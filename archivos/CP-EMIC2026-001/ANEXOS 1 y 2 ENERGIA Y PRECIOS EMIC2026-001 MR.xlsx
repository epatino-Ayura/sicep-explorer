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\\boulevard1\Comun\A-F COMPRA\Convocatorias - Compra de Energia\CONVOCATORIAS 2026\EMIC2026-001\Terminos Definitivos\"/>
    </mc:Choice>
  </mc:AlternateContent>
  <xr:revisionPtr revIDLastSave="0" documentId="13_ncr:1_{EBB68CCB-B3B6-497B-B021-A5CD6AE8F52A}" xr6:coauthVersionLast="47" xr6:coauthVersionMax="47" xr10:uidLastSave="{00000000-0000-0000-0000-000000000000}"/>
  <bookViews>
    <workbookView xWindow="-120" yWindow="-120" windowWidth="29040" windowHeight="15720" tabRatio="949" activeTab="1" xr2:uid="{00000000-000D-0000-FFFF-FFFF00000000}"/>
  </bookViews>
  <sheets>
    <sheet name="P1_ANEXO 1 -2027 a 2037" sheetId="2" r:id="rId1"/>
    <sheet name="P1_ANEXO_2 - 2027 al 2037" sheetId="6" r:id="rId2"/>
    <sheet name="P2_ANEXO 1 -2028 a 2032" sheetId="22" r:id="rId3"/>
    <sheet name="P2_ANEXO_2 - 2028 al 2037" sheetId="23" r:id="rId4"/>
    <sheet name="P3_ANEXO 1 -2033 a 2037" sheetId="25" r:id="rId5"/>
    <sheet name="P3_ANEXO_2 - 2033 al 2037" sheetId="24" r:id="rId6"/>
    <sheet name="P4_ANEXO 1 -2033 a 2037" sheetId="27" r:id="rId7"/>
    <sheet name="P4_ANEXO_2 - 2033 al 2037" sheetId="26" r:id="rId8"/>
    <sheet name="P5_ANEXO 1 -2028 a 2037" sheetId="29" r:id="rId9"/>
    <sheet name="P5_ANEXO_2 - 2028 al 2037" sheetId="28" r:id="rId10"/>
  </sheets>
  <definedNames>
    <definedName name="_bookmark27" localSheetId="0">'P1_ANEXO 1 -2027 a 2037'!#REF!</definedName>
    <definedName name="_xlnm.Print_Area" localSheetId="1">'P1_ANEXO_2 - 2027 al 2037'!$B$1:$L$33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6" l="1"/>
  <c r="F12" i="6"/>
  <c r="K23" i="6"/>
  <c r="K22" i="6"/>
  <c r="K21" i="6"/>
  <c r="K20" i="6"/>
  <c r="K19" i="6"/>
  <c r="K18" i="6"/>
  <c r="K17" i="6"/>
  <c r="K16" i="6"/>
  <c r="K15" i="6"/>
  <c r="K14" i="6"/>
  <c r="K13" i="6"/>
  <c r="K12" i="6"/>
  <c r="E21" i="28"/>
  <c r="E20" i="28"/>
  <c r="E19" i="28"/>
  <c r="E18" i="28"/>
  <c r="E17" i="28"/>
  <c r="E16" i="28"/>
  <c r="E15" i="28"/>
  <c r="E14" i="28"/>
  <c r="E13" i="28"/>
  <c r="E12" i="28"/>
  <c r="AD402" i="29"/>
  <c r="AB401" i="29"/>
  <c r="AB400" i="29"/>
  <c r="AD399" i="29"/>
  <c r="AB399" i="29"/>
  <c r="AB398" i="29"/>
  <c r="AB397" i="29"/>
  <c r="AD396" i="29"/>
  <c r="AB396" i="29"/>
  <c r="AB395" i="29"/>
  <c r="AB394" i="29"/>
  <c r="AD393" i="29"/>
  <c r="AB393" i="29"/>
  <c r="AB392" i="29"/>
  <c r="AB391" i="29"/>
  <c r="AD390" i="29"/>
  <c r="AB390" i="29"/>
  <c r="AB389" i="29"/>
  <c r="AB388" i="29"/>
  <c r="AD387" i="29"/>
  <c r="AB387" i="29"/>
  <c r="AB386" i="29"/>
  <c r="AB385" i="29"/>
  <c r="AD384" i="29"/>
  <c r="AB384" i="29"/>
  <c r="AB383" i="29"/>
  <c r="AB382" i="29"/>
  <c r="AD381" i="29"/>
  <c r="AB381" i="29"/>
  <c r="AB380" i="29"/>
  <c r="AB379" i="29"/>
  <c r="AD378" i="29"/>
  <c r="AB378" i="29"/>
  <c r="AB377" i="29"/>
  <c r="AB376" i="29"/>
  <c r="AD375" i="29"/>
  <c r="AB375" i="29"/>
  <c r="AB374" i="29"/>
  <c r="AB373" i="29"/>
  <c r="AD372" i="29"/>
  <c r="AB372" i="29"/>
  <c r="AB371" i="29"/>
  <c r="AB370" i="29"/>
  <c r="AD369" i="29"/>
  <c r="AB369" i="29"/>
  <c r="AB368" i="29"/>
  <c r="AB367" i="29"/>
  <c r="AD366" i="29"/>
  <c r="AB366" i="29"/>
  <c r="AD362" i="29"/>
  <c r="AB361" i="29"/>
  <c r="AB360" i="29"/>
  <c r="AD359" i="29"/>
  <c r="AB359" i="29"/>
  <c r="AB358" i="29"/>
  <c r="AB357" i="29"/>
  <c r="AD356" i="29"/>
  <c r="AB356" i="29"/>
  <c r="AB355" i="29"/>
  <c r="AB354" i="29"/>
  <c r="AD353" i="29"/>
  <c r="AB353" i="29"/>
  <c r="AB352" i="29"/>
  <c r="AB351" i="29"/>
  <c r="AD350" i="29"/>
  <c r="AB350" i="29"/>
  <c r="AB349" i="29"/>
  <c r="AB348" i="29"/>
  <c r="AD347" i="29"/>
  <c r="AB347" i="29"/>
  <c r="AB346" i="29"/>
  <c r="AB345" i="29"/>
  <c r="AD344" i="29"/>
  <c r="AB344" i="29"/>
  <c r="AB343" i="29"/>
  <c r="AB342" i="29"/>
  <c r="AD341" i="29"/>
  <c r="AB341" i="29"/>
  <c r="AB340" i="29"/>
  <c r="AB339" i="29"/>
  <c r="AD338" i="29"/>
  <c r="AB338" i="29"/>
  <c r="AB337" i="29"/>
  <c r="AB336" i="29"/>
  <c r="AD335" i="29"/>
  <c r="AB335" i="29"/>
  <c r="AB334" i="29"/>
  <c r="AB333" i="29"/>
  <c r="AD332" i="29"/>
  <c r="AB332" i="29"/>
  <c r="AB331" i="29"/>
  <c r="AB330" i="29"/>
  <c r="AD329" i="29"/>
  <c r="AB329" i="29"/>
  <c r="AB328" i="29"/>
  <c r="AB327" i="29"/>
  <c r="AD326" i="29"/>
  <c r="AB326" i="29"/>
  <c r="AD322" i="29"/>
  <c r="AB321" i="29"/>
  <c r="AB320" i="29"/>
  <c r="AD319" i="29"/>
  <c r="AB319" i="29"/>
  <c r="AB318" i="29"/>
  <c r="AB317" i="29"/>
  <c r="AD316" i="29"/>
  <c r="AB316" i="29"/>
  <c r="AB315" i="29"/>
  <c r="AB314" i="29"/>
  <c r="AD313" i="29"/>
  <c r="AB313" i="29"/>
  <c r="AB312" i="29"/>
  <c r="AB311" i="29"/>
  <c r="AD310" i="29"/>
  <c r="AB310" i="29"/>
  <c r="AB309" i="29"/>
  <c r="AB308" i="29"/>
  <c r="AD307" i="29"/>
  <c r="AB307" i="29"/>
  <c r="AB306" i="29"/>
  <c r="AB305" i="29"/>
  <c r="AD304" i="29"/>
  <c r="AB304" i="29"/>
  <c r="AB303" i="29"/>
  <c r="AB302" i="29"/>
  <c r="AD301" i="29"/>
  <c r="AB301" i="29"/>
  <c r="AB300" i="29"/>
  <c r="AB299" i="29"/>
  <c r="AD298" i="29"/>
  <c r="AB298" i="29"/>
  <c r="AB297" i="29"/>
  <c r="AB296" i="29"/>
  <c r="AD295" i="29"/>
  <c r="AB295" i="29"/>
  <c r="AB294" i="29"/>
  <c r="AB293" i="29"/>
  <c r="AD292" i="29"/>
  <c r="AB292" i="29"/>
  <c r="AB291" i="29"/>
  <c r="AB290" i="29"/>
  <c r="AD289" i="29"/>
  <c r="AB289" i="29"/>
  <c r="AB288" i="29"/>
  <c r="AB287" i="29"/>
  <c r="AD286" i="29"/>
  <c r="AB286" i="29"/>
  <c r="AD282" i="29"/>
  <c r="AB281" i="29"/>
  <c r="AB280" i="29"/>
  <c r="AD279" i="29"/>
  <c r="AB279" i="29"/>
  <c r="AB278" i="29"/>
  <c r="AB277" i="29"/>
  <c r="AD276" i="29"/>
  <c r="AB276" i="29"/>
  <c r="AB275" i="29"/>
  <c r="AB274" i="29"/>
  <c r="AD273" i="29"/>
  <c r="AB273" i="29"/>
  <c r="AB272" i="29"/>
  <c r="AB271" i="29"/>
  <c r="AD270" i="29"/>
  <c r="AB270" i="29"/>
  <c r="AB269" i="29"/>
  <c r="AB268" i="29"/>
  <c r="AD267" i="29"/>
  <c r="AB267" i="29"/>
  <c r="AB266" i="29"/>
  <c r="AB265" i="29"/>
  <c r="AD264" i="29"/>
  <c r="AB264" i="29"/>
  <c r="AB263" i="29"/>
  <c r="AB262" i="29"/>
  <c r="AD261" i="29"/>
  <c r="AB261" i="29"/>
  <c r="AB260" i="29"/>
  <c r="AB259" i="29"/>
  <c r="AD258" i="29"/>
  <c r="AB258" i="29"/>
  <c r="AB257" i="29"/>
  <c r="AB256" i="29"/>
  <c r="AD255" i="29"/>
  <c r="AB255" i="29"/>
  <c r="AB254" i="29"/>
  <c r="AB253" i="29"/>
  <c r="AD252" i="29"/>
  <c r="AB252" i="29"/>
  <c r="AB251" i="29"/>
  <c r="AB250" i="29"/>
  <c r="AD249" i="29"/>
  <c r="AB249" i="29"/>
  <c r="AB248" i="29"/>
  <c r="AB247" i="29"/>
  <c r="AD246" i="29"/>
  <c r="AB246" i="29"/>
  <c r="AD242" i="29"/>
  <c r="AB241" i="29"/>
  <c r="AB240" i="29"/>
  <c r="AD239" i="29"/>
  <c r="AB239" i="29"/>
  <c r="AB238" i="29"/>
  <c r="AB237" i="29"/>
  <c r="AD236" i="29"/>
  <c r="AB236" i="29"/>
  <c r="AB235" i="29"/>
  <c r="AB234" i="29"/>
  <c r="AD233" i="29"/>
  <c r="AB233" i="29"/>
  <c r="AB232" i="29"/>
  <c r="AB231" i="29"/>
  <c r="AD230" i="29"/>
  <c r="AB230" i="29"/>
  <c r="AB229" i="29"/>
  <c r="AB228" i="29"/>
  <c r="AD227" i="29"/>
  <c r="AB227" i="29"/>
  <c r="AB226" i="29"/>
  <c r="AB225" i="29"/>
  <c r="AD224" i="29"/>
  <c r="AB224" i="29"/>
  <c r="AB223" i="29"/>
  <c r="AB222" i="29"/>
  <c r="AD221" i="29"/>
  <c r="AB221" i="29"/>
  <c r="AB220" i="29"/>
  <c r="AB219" i="29"/>
  <c r="AD218" i="29"/>
  <c r="AB218" i="29"/>
  <c r="AB217" i="29"/>
  <c r="AB216" i="29"/>
  <c r="AD215" i="29"/>
  <c r="AB215" i="29"/>
  <c r="AB214" i="29"/>
  <c r="AB213" i="29"/>
  <c r="AD212" i="29"/>
  <c r="AB212" i="29"/>
  <c r="AB211" i="29"/>
  <c r="AB210" i="29"/>
  <c r="AD209" i="29"/>
  <c r="AB209" i="29"/>
  <c r="AB208" i="29"/>
  <c r="AB207" i="29"/>
  <c r="AD206" i="29"/>
  <c r="AB206" i="29"/>
  <c r="AD202" i="29"/>
  <c r="AB201" i="29"/>
  <c r="AB200" i="29"/>
  <c r="AD199" i="29"/>
  <c r="AB199" i="29"/>
  <c r="AB198" i="29"/>
  <c r="AB197" i="29"/>
  <c r="AD196" i="29"/>
  <c r="AB196" i="29"/>
  <c r="AB195" i="29"/>
  <c r="AB194" i="29"/>
  <c r="AD193" i="29"/>
  <c r="AB193" i="29"/>
  <c r="AB192" i="29"/>
  <c r="AB191" i="29"/>
  <c r="AD190" i="29"/>
  <c r="AB190" i="29"/>
  <c r="AB189" i="29"/>
  <c r="AB188" i="29"/>
  <c r="AD187" i="29"/>
  <c r="AB187" i="29"/>
  <c r="AB186" i="29"/>
  <c r="AB185" i="29"/>
  <c r="AD184" i="29"/>
  <c r="AB184" i="29"/>
  <c r="AB183" i="29"/>
  <c r="AB182" i="29"/>
  <c r="AD181" i="29"/>
  <c r="AB181" i="29"/>
  <c r="AB180" i="29"/>
  <c r="AB179" i="29"/>
  <c r="AD178" i="29"/>
  <c r="AB178" i="29"/>
  <c r="AB177" i="29"/>
  <c r="AB176" i="29"/>
  <c r="AD175" i="29"/>
  <c r="AB175" i="29"/>
  <c r="AB174" i="29"/>
  <c r="AB173" i="29"/>
  <c r="AD172" i="29"/>
  <c r="AB172" i="29"/>
  <c r="AB171" i="29"/>
  <c r="AB170" i="29"/>
  <c r="AD169" i="29"/>
  <c r="AB169" i="29"/>
  <c r="AB168" i="29"/>
  <c r="AB167" i="29"/>
  <c r="AD166" i="29"/>
  <c r="AB166" i="29"/>
  <c r="AD162" i="29"/>
  <c r="AB161" i="29"/>
  <c r="AB160" i="29"/>
  <c r="AD159" i="29"/>
  <c r="AB159" i="29"/>
  <c r="AB158" i="29"/>
  <c r="AB157" i="29"/>
  <c r="AD156" i="29"/>
  <c r="AB156" i="29"/>
  <c r="AB155" i="29"/>
  <c r="AB154" i="29"/>
  <c r="AD153" i="29"/>
  <c r="AB153" i="29"/>
  <c r="AB152" i="29"/>
  <c r="AB151" i="29"/>
  <c r="AD150" i="29"/>
  <c r="AB150" i="29"/>
  <c r="AB149" i="29"/>
  <c r="AB148" i="29"/>
  <c r="AD147" i="29"/>
  <c r="AB147" i="29"/>
  <c r="AB146" i="29"/>
  <c r="AB145" i="29"/>
  <c r="AD144" i="29"/>
  <c r="AB144" i="29"/>
  <c r="AB143" i="29"/>
  <c r="AB142" i="29"/>
  <c r="AD141" i="29"/>
  <c r="AB141" i="29"/>
  <c r="AB140" i="29"/>
  <c r="AB139" i="29"/>
  <c r="AD138" i="29"/>
  <c r="AB138" i="29"/>
  <c r="AB137" i="29"/>
  <c r="AB136" i="29"/>
  <c r="AD135" i="29"/>
  <c r="AB135" i="29"/>
  <c r="AB134" i="29"/>
  <c r="AB133" i="29"/>
  <c r="AD132" i="29"/>
  <c r="AB132" i="29"/>
  <c r="AB131" i="29"/>
  <c r="AB130" i="29"/>
  <c r="AD129" i="29"/>
  <c r="AB129" i="29"/>
  <c r="AB128" i="29"/>
  <c r="AB127" i="29"/>
  <c r="AD126" i="29"/>
  <c r="AB126" i="29"/>
  <c r="AD122" i="29"/>
  <c r="AB121" i="29"/>
  <c r="AB120" i="29"/>
  <c r="AD119" i="29"/>
  <c r="AB119" i="29"/>
  <c r="AB118" i="29"/>
  <c r="AB117" i="29"/>
  <c r="AD116" i="29"/>
  <c r="AB116" i="29"/>
  <c r="AB115" i="29"/>
  <c r="AB114" i="29"/>
  <c r="AD113" i="29"/>
  <c r="AB113" i="29"/>
  <c r="AB112" i="29"/>
  <c r="AB111" i="29"/>
  <c r="AD110" i="29"/>
  <c r="AB110" i="29"/>
  <c r="AB109" i="29"/>
  <c r="AB108" i="29"/>
  <c r="AD107" i="29"/>
  <c r="AB107" i="29"/>
  <c r="AB106" i="29"/>
  <c r="AB105" i="29"/>
  <c r="AD104" i="29"/>
  <c r="AB104" i="29"/>
  <c r="AB103" i="29"/>
  <c r="AB102" i="29"/>
  <c r="AD101" i="29"/>
  <c r="AB101" i="29"/>
  <c r="AB100" i="29"/>
  <c r="AB99" i="29"/>
  <c r="AD98" i="29"/>
  <c r="AB98" i="29"/>
  <c r="AB97" i="29"/>
  <c r="AB96" i="29"/>
  <c r="AD95" i="29"/>
  <c r="AB95" i="29"/>
  <c r="AB94" i="29"/>
  <c r="AB93" i="29"/>
  <c r="AD92" i="29"/>
  <c r="AB92" i="29"/>
  <c r="AB91" i="29"/>
  <c r="AB90" i="29"/>
  <c r="AD89" i="29"/>
  <c r="AB89" i="29"/>
  <c r="AB88" i="29"/>
  <c r="AB87" i="29"/>
  <c r="AD86" i="29"/>
  <c r="AB86" i="29"/>
  <c r="AD82" i="29"/>
  <c r="AB81" i="29"/>
  <c r="AB80" i="29"/>
  <c r="AD79" i="29"/>
  <c r="AB79" i="29"/>
  <c r="AB78" i="29"/>
  <c r="AB77" i="29"/>
  <c r="AD76" i="29"/>
  <c r="AB76" i="29"/>
  <c r="AB75" i="29"/>
  <c r="AB74" i="29"/>
  <c r="AD73" i="29"/>
  <c r="AB73" i="29"/>
  <c r="AB72" i="29"/>
  <c r="AB71" i="29"/>
  <c r="AD70" i="29"/>
  <c r="AB70" i="29"/>
  <c r="AB69" i="29"/>
  <c r="AB68" i="29"/>
  <c r="AD67" i="29"/>
  <c r="AB67" i="29"/>
  <c r="AB66" i="29"/>
  <c r="AB65" i="29"/>
  <c r="AD64" i="29"/>
  <c r="AB64" i="29"/>
  <c r="AB63" i="29"/>
  <c r="AB62" i="29"/>
  <c r="AD61" i="29"/>
  <c r="AB61" i="29"/>
  <c r="AB60" i="29"/>
  <c r="AB59" i="29"/>
  <c r="AD58" i="29"/>
  <c r="AB58" i="29"/>
  <c r="AB57" i="29"/>
  <c r="AB56" i="29"/>
  <c r="AD55" i="29"/>
  <c r="AB55" i="29"/>
  <c r="AB54" i="29"/>
  <c r="AB53" i="29"/>
  <c r="AD52" i="29"/>
  <c r="AB52" i="29"/>
  <c r="AB51" i="29"/>
  <c r="AB50" i="29"/>
  <c r="AD49" i="29"/>
  <c r="AB49" i="29"/>
  <c r="AB48" i="29"/>
  <c r="AB47" i="29"/>
  <c r="AD46" i="29"/>
  <c r="AB46" i="29"/>
  <c r="AD42" i="29"/>
  <c r="AB41" i="29"/>
  <c r="AB40" i="29"/>
  <c r="AD39" i="29"/>
  <c r="AB39" i="29"/>
  <c r="AB38" i="29"/>
  <c r="AB37" i="29"/>
  <c r="AD36" i="29"/>
  <c r="AB36" i="29"/>
  <c r="AB35" i="29"/>
  <c r="AB34" i="29"/>
  <c r="AD33" i="29"/>
  <c r="AB33" i="29"/>
  <c r="AB32" i="29"/>
  <c r="AB31" i="29"/>
  <c r="AD30" i="29"/>
  <c r="AB30" i="29"/>
  <c r="AB29" i="29"/>
  <c r="AB28" i="29"/>
  <c r="AD27" i="29"/>
  <c r="AB27" i="29"/>
  <c r="AB26" i="29"/>
  <c r="AB25" i="29"/>
  <c r="AD24" i="29"/>
  <c r="AB24" i="29"/>
  <c r="AB23" i="29"/>
  <c r="AB22" i="29"/>
  <c r="AD21" i="29"/>
  <c r="AB21" i="29"/>
  <c r="AB20" i="29"/>
  <c r="AB19" i="29"/>
  <c r="AD18" i="29"/>
  <c r="AB18" i="29"/>
  <c r="AB17" i="29"/>
  <c r="AB16" i="29"/>
  <c r="AD15" i="29"/>
  <c r="AB15" i="29"/>
  <c r="AB14" i="29"/>
  <c r="AB13" i="29"/>
  <c r="AD12" i="29"/>
  <c r="AB12" i="29"/>
  <c r="AB11" i="29"/>
  <c r="AB10" i="29"/>
  <c r="AD9" i="29"/>
  <c r="AB9" i="29"/>
  <c r="AB8" i="29"/>
  <c r="AB7" i="29"/>
  <c r="AD6" i="29"/>
  <c r="AB6" i="29"/>
  <c r="E17" i="26"/>
  <c r="E16" i="26"/>
  <c r="E15" i="26"/>
  <c r="E14" i="26"/>
  <c r="E13" i="26"/>
  <c r="E12" i="26"/>
  <c r="AD202" i="27"/>
  <c r="AB201" i="27"/>
  <c r="AB200" i="27"/>
  <c r="AD199" i="27"/>
  <c r="AB199" i="27"/>
  <c r="AB198" i="27"/>
  <c r="AB197" i="27"/>
  <c r="AD196" i="27"/>
  <c r="AB196" i="27"/>
  <c r="AB195" i="27"/>
  <c r="AB194" i="27"/>
  <c r="AD193" i="27"/>
  <c r="AB193" i="27"/>
  <c r="AB192" i="27"/>
  <c r="AB191" i="27"/>
  <c r="AD190" i="27"/>
  <c r="AB190" i="27"/>
  <c r="AB189" i="27"/>
  <c r="AB188" i="27"/>
  <c r="AD187" i="27"/>
  <c r="AB187" i="27"/>
  <c r="AB186" i="27"/>
  <c r="AB185" i="27"/>
  <c r="AD184" i="27"/>
  <c r="AB184" i="27"/>
  <c r="AB183" i="27"/>
  <c r="AB182" i="27"/>
  <c r="AD181" i="27"/>
  <c r="AB181" i="27"/>
  <c r="AB180" i="27"/>
  <c r="AB179" i="27"/>
  <c r="AD178" i="27"/>
  <c r="AB178" i="27"/>
  <c r="AB177" i="27"/>
  <c r="AB176" i="27"/>
  <c r="AD175" i="27"/>
  <c r="AB175" i="27"/>
  <c r="AB174" i="27"/>
  <c r="AB173" i="27"/>
  <c r="AD172" i="27"/>
  <c r="AB172" i="27"/>
  <c r="AB171" i="27"/>
  <c r="AB170" i="27"/>
  <c r="AD169" i="27"/>
  <c r="AB169" i="27"/>
  <c r="AB168" i="27"/>
  <c r="AB167" i="27"/>
  <c r="AD166" i="27"/>
  <c r="AB166" i="27"/>
  <c r="AD162" i="27"/>
  <c r="AB161" i="27"/>
  <c r="AB160" i="27"/>
  <c r="AD159" i="27"/>
  <c r="AB159" i="27"/>
  <c r="AB158" i="27"/>
  <c r="AB157" i="27"/>
  <c r="AD156" i="27"/>
  <c r="AB156" i="27"/>
  <c r="AB155" i="27"/>
  <c r="AB154" i="27"/>
  <c r="AD153" i="27"/>
  <c r="AB153" i="27"/>
  <c r="AB152" i="27"/>
  <c r="AB151" i="27"/>
  <c r="AD150" i="27"/>
  <c r="AB150" i="27"/>
  <c r="AB149" i="27"/>
  <c r="AB148" i="27"/>
  <c r="AD147" i="27"/>
  <c r="AB147" i="27"/>
  <c r="AB146" i="27"/>
  <c r="AB145" i="27"/>
  <c r="AD144" i="27"/>
  <c r="AB144" i="27"/>
  <c r="AB143" i="27"/>
  <c r="AB142" i="27"/>
  <c r="AD141" i="27"/>
  <c r="AB141" i="27"/>
  <c r="AB140" i="27"/>
  <c r="AB139" i="27"/>
  <c r="AD138" i="27"/>
  <c r="AB138" i="27"/>
  <c r="AB137" i="27"/>
  <c r="AB136" i="27"/>
  <c r="AD135" i="27"/>
  <c r="AB135" i="27"/>
  <c r="AB134" i="27"/>
  <c r="AB133" i="27"/>
  <c r="AD132" i="27"/>
  <c r="AB132" i="27"/>
  <c r="AB131" i="27"/>
  <c r="AB130" i="27"/>
  <c r="AD129" i="27"/>
  <c r="AB129" i="27"/>
  <c r="AB128" i="27"/>
  <c r="AB127" i="27"/>
  <c r="AD126" i="27"/>
  <c r="AB126" i="27"/>
  <c r="AD122" i="27"/>
  <c r="AB121" i="27"/>
  <c r="AB120" i="27"/>
  <c r="AD119" i="27"/>
  <c r="AB119" i="27"/>
  <c r="AB118" i="27"/>
  <c r="AB117" i="27"/>
  <c r="AD116" i="27"/>
  <c r="AB116" i="27"/>
  <c r="AB115" i="27"/>
  <c r="AB114" i="27"/>
  <c r="AD113" i="27"/>
  <c r="AB113" i="27"/>
  <c r="AB112" i="27"/>
  <c r="AB111" i="27"/>
  <c r="AD110" i="27"/>
  <c r="AB110" i="27"/>
  <c r="AB109" i="27"/>
  <c r="AB108" i="27"/>
  <c r="AD107" i="27"/>
  <c r="AB107" i="27"/>
  <c r="AB106" i="27"/>
  <c r="AB105" i="27"/>
  <c r="AD104" i="27"/>
  <c r="AB104" i="27"/>
  <c r="AB103" i="27"/>
  <c r="AB102" i="27"/>
  <c r="AD101" i="27"/>
  <c r="AB101" i="27"/>
  <c r="AB100" i="27"/>
  <c r="AB99" i="27"/>
  <c r="AD98" i="27"/>
  <c r="AB98" i="27"/>
  <c r="AB97" i="27"/>
  <c r="AB96" i="27"/>
  <c r="AD95" i="27"/>
  <c r="AB95" i="27"/>
  <c r="AB94" i="27"/>
  <c r="AB93" i="27"/>
  <c r="AD92" i="27"/>
  <c r="AB92" i="27"/>
  <c r="AB91" i="27"/>
  <c r="AB90" i="27"/>
  <c r="AD89" i="27"/>
  <c r="AB89" i="27"/>
  <c r="AB88" i="27"/>
  <c r="AB87" i="27"/>
  <c r="AD86" i="27"/>
  <c r="AB86" i="27"/>
  <c r="AD82" i="27"/>
  <c r="AB81" i="27"/>
  <c r="AB80" i="27"/>
  <c r="AD79" i="27"/>
  <c r="AB79" i="27"/>
  <c r="AB78" i="27"/>
  <c r="AB77" i="27"/>
  <c r="AD76" i="27"/>
  <c r="AB76" i="27"/>
  <c r="AB75" i="27"/>
  <c r="AB74" i="27"/>
  <c r="AD73" i="27"/>
  <c r="AB73" i="27"/>
  <c r="AB72" i="27"/>
  <c r="AB71" i="27"/>
  <c r="AD70" i="27"/>
  <c r="AB70" i="27"/>
  <c r="AB69" i="27"/>
  <c r="AB68" i="27"/>
  <c r="AD67" i="27"/>
  <c r="AB67" i="27"/>
  <c r="AB66" i="27"/>
  <c r="AB65" i="27"/>
  <c r="AD64" i="27"/>
  <c r="AB64" i="27"/>
  <c r="AB63" i="27"/>
  <c r="AB62" i="27"/>
  <c r="AD61" i="27"/>
  <c r="AB61" i="27"/>
  <c r="AB60" i="27"/>
  <c r="AB59" i="27"/>
  <c r="AD58" i="27"/>
  <c r="AB58" i="27"/>
  <c r="AB57" i="27"/>
  <c r="AB56" i="27"/>
  <c r="AD55" i="27"/>
  <c r="AB55" i="27"/>
  <c r="AB54" i="27"/>
  <c r="AB53" i="27"/>
  <c r="AD52" i="27"/>
  <c r="AB52" i="27"/>
  <c r="AB51" i="27"/>
  <c r="AB50" i="27"/>
  <c r="AD49" i="27"/>
  <c r="AB49" i="27"/>
  <c r="AB48" i="27"/>
  <c r="AB47" i="27"/>
  <c r="AD46" i="27"/>
  <c r="AB46" i="27"/>
  <c r="AD42" i="27"/>
  <c r="AB41" i="27"/>
  <c r="AB40" i="27"/>
  <c r="AD39" i="27"/>
  <c r="AB39" i="27"/>
  <c r="AB38" i="27"/>
  <c r="AB37" i="27"/>
  <c r="AD36" i="27"/>
  <c r="AB36" i="27"/>
  <c r="AB35" i="27"/>
  <c r="AB34" i="27"/>
  <c r="AD33" i="27"/>
  <c r="AB33" i="27"/>
  <c r="AB32" i="27"/>
  <c r="AB31" i="27"/>
  <c r="AD30" i="27"/>
  <c r="AB30" i="27"/>
  <c r="AB29" i="27"/>
  <c r="AB28" i="27"/>
  <c r="AD27" i="27"/>
  <c r="AB27" i="27"/>
  <c r="AB26" i="27"/>
  <c r="AB25" i="27"/>
  <c r="AD24" i="27"/>
  <c r="AB24" i="27"/>
  <c r="AB23" i="27"/>
  <c r="AB22" i="27"/>
  <c r="AD21" i="27"/>
  <c r="AB21" i="27"/>
  <c r="AB20" i="27"/>
  <c r="AB19" i="27"/>
  <c r="AD18" i="27"/>
  <c r="AB18" i="27"/>
  <c r="AB17" i="27"/>
  <c r="AB16" i="27"/>
  <c r="AD15" i="27"/>
  <c r="AB15" i="27"/>
  <c r="AB14" i="27"/>
  <c r="AB13" i="27"/>
  <c r="AD12" i="27"/>
  <c r="AB12" i="27"/>
  <c r="AB11" i="27"/>
  <c r="AB10" i="27"/>
  <c r="AD9" i="27"/>
  <c r="AB9" i="27"/>
  <c r="AB8" i="27"/>
  <c r="AB7" i="27"/>
  <c r="AD6" i="27"/>
  <c r="AB6" i="27"/>
  <c r="E17" i="24"/>
  <c r="E16" i="24"/>
  <c r="E15" i="24"/>
  <c r="E14" i="24"/>
  <c r="E13" i="24"/>
  <c r="E12" i="24"/>
  <c r="AD202" i="25"/>
  <c r="AB201" i="25"/>
  <c r="AB200" i="25"/>
  <c r="AD199" i="25"/>
  <c r="AB199" i="25"/>
  <c r="AB198" i="25"/>
  <c r="AB197" i="25"/>
  <c r="AD196" i="25"/>
  <c r="AB196" i="25"/>
  <c r="AB195" i="25"/>
  <c r="AB194" i="25"/>
  <c r="AD193" i="25"/>
  <c r="AB193" i="25"/>
  <c r="AB192" i="25"/>
  <c r="AB191" i="25"/>
  <c r="AD190" i="25"/>
  <c r="AB190" i="25"/>
  <c r="AB189" i="25"/>
  <c r="AB188" i="25"/>
  <c r="AD187" i="25"/>
  <c r="AB187" i="25"/>
  <c r="AB186" i="25"/>
  <c r="AB185" i="25"/>
  <c r="AD184" i="25"/>
  <c r="AB184" i="25"/>
  <c r="AB183" i="25"/>
  <c r="AB182" i="25"/>
  <c r="AD181" i="25"/>
  <c r="AB181" i="25"/>
  <c r="AB180" i="25"/>
  <c r="AB179" i="25"/>
  <c r="AD178" i="25"/>
  <c r="AB178" i="25"/>
  <c r="AB177" i="25"/>
  <c r="AB176" i="25"/>
  <c r="AD175" i="25"/>
  <c r="AB175" i="25"/>
  <c r="AB174" i="25"/>
  <c r="AB173" i="25"/>
  <c r="AD172" i="25"/>
  <c r="AB172" i="25"/>
  <c r="AB171" i="25"/>
  <c r="AB170" i="25"/>
  <c r="AD169" i="25"/>
  <c r="AB169" i="25"/>
  <c r="AB168" i="25"/>
  <c r="AB167" i="25"/>
  <c r="AD166" i="25"/>
  <c r="AB166" i="25"/>
  <c r="AD162" i="25"/>
  <c r="AB161" i="25"/>
  <c r="AB160" i="25"/>
  <c r="AD159" i="25"/>
  <c r="AB159" i="25"/>
  <c r="AB158" i="25"/>
  <c r="AB157" i="25"/>
  <c r="AD156" i="25"/>
  <c r="AB156" i="25"/>
  <c r="AB155" i="25"/>
  <c r="AB154" i="25"/>
  <c r="AD153" i="25"/>
  <c r="AB153" i="25"/>
  <c r="AB152" i="25"/>
  <c r="AB151" i="25"/>
  <c r="AD150" i="25"/>
  <c r="AB150" i="25"/>
  <c r="AB149" i="25"/>
  <c r="AB148" i="25"/>
  <c r="AD147" i="25"/>
  <c r="AB147" i="25"/>
  <c r="AB146" i="25"/>
  <c r="AB145" i="25"/>
  <c r="AD144" i="25"/>
  <c r="AB144" i="25"/>
  <c r="AB143" i="25"/>
  <c r="AB142" i="25"/>
  <c r="AD141" i="25"/>
  <c r="AB141" i="25"/>
  <c r="AB140" i="25"/>
  <c r="AB139" i="25"/>
  <c r="AD138" i="25"/>
  <c r="AB138" i="25"/>
  <c r="AB137" i="25"/>
  <c r="AB136" i="25"/>
  <c r="AD135" i="25"/>
  <c r="AB135" i="25"/>
  <c r="AB134" i="25"/>
  <c r="AB133" i="25"/>
  <c r="AD132" i="25"/>
  <c r="AB132" i="25"/>
  <c r="AB131" i="25"/>
  <c r="AB130" i="25"/>
  <c r="AD129" i="25"/>
  <c r="AB129" i="25"/>
  <c r="AB128" i="25"/>
  <c r="AB127" i="25"/>
  <c r="AD126" i="25"/>
  <c r="AB126" i="25"/>
  <c r="AD122" i="25"/>
  <c r="AB121" i="25"/>
  <c r="AB120" i="25"/>
  <c r="AD119" i="25"/>
  <c r="AB119" i="25"/>
  <c r="AB118" i="25"/>
  <c r="AB117" i="25"/>
  <c r="AD116" i="25"/>
  <c r="AB116" i="25"/>
  <c r="AB115" i="25"/>
  <c r="AB114" i="25"/>
  <c r="AD113" i="25"/>
  <c r="AB113" i="25"/>
  <c r="AB112" i="25"/>
  <c r="AB111" i="25"/>
  <c r="AD110" i="25"/>
  <c r="AB110" i="25"/>
  <c r="AB109" i="25"/>
  <c r="AB108" i="25"/>
  <c r="AD107" i="25"/>
  <c r="AB107" i="25"/>
  <c r="AB106" i="25"/>
  <c r="AB105" i="25"/>
  <c r="AD104" i="25"/>
  <c r="AB104" i="25"/>
  <c r="AB103" i="25"/>
  <c r="AB102" i="25"/>
  <c r="AD101" i="25"/>
  <c r="AB101" i="25"/>
  <c r="AB100" i="25"/>
  <c r="AB99" i="25"/>
  <c r="AD98" i="25"/>
  <c r="AB98" i="25"/>
  <c r="AB97" i="25"/>
  <c r="AB96" i="25"/>
  <c r="AD95" i="25"/>
  <c r="AB95" i="25"/>
  <c r="AB94" i="25"/>
  <c r="AB93" i="25"/>
  <c r="AD92" i="25"/>
  <c r="AB92" i="25"/>
  <c r="AB91" i="25"/>
  <c r="AB90" i="25"/>
  <c r="AD89" i="25"/>
  <c r="AB89" i="25"/>
  <c r="AB88" i="25"/>
  <c r="AB87" i="25"/>
  <c r="AD86" i="25"/>
  <c r="AB86" i="25"/>
  <c r="AD82" i="25"/>
  <c r="AB81" i="25"/>
  <c r="AB80" i="25"/>
  <c r="AD79" i="25"/>
  <c r="AB79" i="25"/>
  <c r="AB78" i="25"/>
  <c r="AB77" i="25"/>
  <c r="AD76" i="25"/>
  <c r="AB76" i="25"/>
  <c r="AB75" i="25"/>
  <c r="AB74" i="25"/>
  <c r="AD73" i="25"/>
  <c r="AB73" i="25"/>
  <c r="AB72" i="25"/>
  <c r="AB71" i="25"/>
  <c r="AD70" i="25"/>
  <c r="AB70" i="25"/>
  <c r="AB69" i="25"/>
  <c r="AB68" i="25"/>
  <c r="AD67" i="25"/>
  <c r="AB67" i="25"/>
  <c r="AB66" i="25"/>
  <c r="AB65" i="25"/>
  <c r="AD64" i="25"/>
  <c r="AB64" i="25"/>
  <c r="AB63" i="25"/>
  <c r="AB62" i="25"/>
  <c r="AD61" i="25"/>
  <c r="AB61" i="25"/>
  <c r="AB60" i="25"/>
  <c r="AB59" i="25"/>
  <c r="AD58" i="25"/>
  <c r="AB58" i="25"/>
  <c r="AB57" i="25"/>
  <c r="AB56" i="25"/>
  <c r="AD55" i="25"/>
  <c r="AB55" i="25"/>
  <c r="AB54" i="25"/>
  <c r="AB53" i="25"/>
  <c r="AD52" i="25"/>
  <c r="AB52" i="25"/>
  <c r="AB51" i="25"/>
  <c r="AB50" i="25"/>
  <c r="AD49" i="25"/>
  <c r="AB49" i="25"/>
  <c r="AB48" i="25"/>
  <c r="AB47" i="25"/>
  <c r="AD46" i="25"/>
  <c r="AB46" i="25"/>
  <c r="AD42" i="25"/>
  <c r="AB41" i="25"/>
  <c r="AB40" i="25"/>
  <c r="AD39" i="25"/>
  <c r="AB39" i="25"/>
  <c r="AB38" i="25"/>
  <c r="AB37" i="25"/>
  <c r="AD36" i="25"/>
  <c r="AB36" i="25"/>
  <c r="AB35" i="25"/>
  <c r="AB34" i="25"/>
  <c r="AD33" i="25"/>
  <c r="AB33" i="25"/>
  <c r="AB32" i="25"/>
  <c r="AB31" i="25"/>
  <c r="AD30" i="25"/>
  <c r="AB30" i="25"/>
  <c r="AB29" i="25"/>
  <c r="AB28" i="25"/>
  <c r="AD27" i="25"/>
  <c r="AB27" i="25"/>
  <c r="AB26" i="25"/>
  <c r="AB25" i="25"/>
  <c r="AD24" i="25"/>
  <c r="AB24" i="25"/>
  <c r="AB23" i="25"/>
  <c r="AB22" i="25"/>
  <c r="AD21" i="25"/>
  <c r="AB21" i="25"/>
  <c r="AB20" i="25"/>
  <c r="AB19" i="25"/>
  <c r="AD18" i="25"/>
  <c r="AB18" i="25"/>
  <c r="AB17" i="25"/>
  <c r="AB16" i="25"/>
  <c r="AD15" i="25"/>
  <c r="AB15" i="25"/>
  <c r="AB14" i="25"/>
  <c r="AB13" i="25"/>
  <c r="AD12" i="25"/>
  <c r="AB12" i="25"/>
  <c r="AB11" i="25"/>
  <c r="AB10" i="25"/>
  <c r="AD9" i="25"/>
  <c r="AB9" i="25"/>
  <c r="AB8" i="25"/>
  <c r="AB7" i="25"/>
  <c r="AD6" i="25"/>
  <c r="AB6" i="25"/>
  <c r="E17" i="23"/>
  <c r="E16" i="23"/>
  <c r="E15" i="23"/>
  <c r="E14" i="23"/>
  <c r="E13" i="23"/>
  <c r="E12" i="23"/>
  <c r="AD202" i="22"/>
  <c r="AB201" i="22"/>
  <c r="AB200" i="22"/>
  <c r="AD199" i="22"/>
  <c r="AB199" i="22"/>
  <c r="AB198" i="22"/>
  <c r="AB197" i="22"/>
  <c r="AD196" i="22"/>
  <c r="AB196" i="22"/>
  <c r="AB195" i="22"/>
  <c r="AB194" i="22"/>
  <c r="AD193" i="22"/>
  <c r="AB193" i="22"/>
  <c r="AB192" i="22"/>
  <c r="AB191" i="22"/>
  <c r="AD190" i="22"/>
  <c r="AB190" i="22"/>
  <c r="AB189" i="22"/>
  <c r="AB188" i="22"/>
  <c r="AD187" i="22"/>
  <c r="AB187" i="22"/>
  <c r="AB186" i="22"/>
  <c r="AB185" i="22"/>
  <c r="AD184" i="22"/>
  <c r="AB184" i="22"/>
  <c r="AB183" i="22"/>
  <c r="AB182" i="22"/>
  <c r="AD181" i="22"/>
  <c r="AB181" i="22"/>
  <c r="AB180" i="22"/>
  <c r="AB179" i="22"/>
  <c r="AD178" i="22"/>
  <c r="AB178" i="22"/>
  <c r="AB177" i="22"/>
  <c r="AB176" i="22"/>
  <c r="AD175" i="22"/>
  <c r="AB175" i="22"/>
  <c r="AB174" i="22"/>
  <c r="AB173" i="22"/>
  <c r="AD172" i="22"/>
  <c r="AB172" i="22"/>
  <c r="AB171" i="22"/>
  <c r="AB170" i="22"/>
  <c r="AD169" i="22"/>
  <c r="AB169" i="22"/>
  <c r="AB168" i="22"/>
  <c r="AB167" i="22"/>
  <c r="AD166" i="22"/>
  <c r="AB166" i="22"/>
  <c r="AD162" i="22"/>
  <c r="AB161" i="22"/>
  <c r="AB160" i="22"/>
  <c r="AD159" i="22"/>
  <c r="AB159" i="22"/>
  <c r="AB158" i="22"/>
  <c r="AB157" i="22"/>
  <c r="AD156" i="22"/>
  <c r="AB156" i="22"/>
  <c r="AB155" i="22"/>
  <c r="AB154" i="22"/>
  <c r="AD153" i="22"/>
  <c r="AB153" i="22"/>
  <c r="AB152" i="22"/>
  <c r="AB151" i="22"/>
  <c r="AD150" i="22"/>
  <c r="AB150" i="22"/>
  <c r="AB149" i="22"/>
  <c r="AB148" i="22"/>
  <c r="AD147" i="22"/>
  <c r="AB147" i="22"/>
  <c r="AB146" i="22"/>
  <c r="AB145" i="22"/>
  <c r="AD144" i="22"/>
  <c r="AB144" i="22"/>
  <c r="AB143" i="22"/>
  <c r="AB142" i="22"/>
  <c r="AD141" i="22"/>
  <c r="AB141" i="22"/>
  <c r="AB140" i="22"/>
  <c r="AB139" i="22"/>
  <c r="AD138" i="22"/>
  <c r="AB138" i="22"/>
  <c r="AB137" i="22"/>
  <c r="AB136" i="22"/>
  <c r="AD135" i="22"/>
  <c r="AB135" i="22"/>
  <c r="AB134" i="22"/>
  <c r="AB133" i="22"/>
  <c r="AD132" i="22"/>
  <c r="AB132" i="22"/>
  <c r="AB131" i="22"/>
  <c r="AB130" i="22"/>
  <c r="AD129" i="22"/>
  <c r="AB129" i="22"/>
  <c r="AB128" i="22"/>
  <c r="AB127" i="22"/>
  <c r="AD126" i="22"/>
  <c r="AB126" i="22"/>
  <c r="AD122" i="22"/>
  <c r="AB121" i="22"/>
  <c r="AB120" i="22"/>
  <c r="AD119" i="22"/>
  <c r="AB119" i="22"/>
  <c r="AB118" i="22"/>
  <c r="AB117" i="22"/>
  <c r="AD116" i="22"/>
  <c r="AB116" i="22"/>
  <c r="AB115" i="22"/>
  <c r="AB114" i="22"/>
  <c r="AD113" i="22"/>
  <c r="AB113" i="22"/>
  <c r="AB112" i="22"/>
  <c r="AB111" i="22"/>
  <c r="AD110" i="22"/>
  <c r="AB110" i="22"/>
  <c r="AB109" i="22"/>
  <c r="AB108" i="22"/>
  <c r="AD107" i="22"/>
  <c r="AB107" i="22"/>
  <c r="AB106" i="22"/>
  <c r="AB105" i="22"/>
  <c r="AD104" i="22"/>
  <c r="AB104" i="22"/>
  <c r="AB103" i="22"/>
  <c r="AB102" i="22"/>
  <c r="AD101" i="22"/>
  <c r="AB101" i="22"/>
  <c r="AB100" i="22"/>
  <c r="AB99" i="22"/>
  <c r="AD98" i="22"/>
  <c r="AB98" i="22"/>
  <c r="AB97" i="22"/>
  <c r="AB96" i="22"/>
  <c r="AD95" i="22"/>
  <c r="AB95" i="22"/>
  <c r="AB94" i="22"/>
  <c r="AB93" i="22"/>
  <c r="AD92" i="22"/>
  <c r="AB92" i="22"/>
  <c r="AB91" i="22"/>
  <c r="AB90" i="22"/>
  <c r="AD89" i="22"/>
  <c r="AB89" i="22"/>
  <c r="AB88" i="22"/>
  <c r="AB87" i="22"/>
  <c r="AD86" i="22"/>
  <c r="AB86" i="22"/>
  <c r="AD82" i="22"/>
  <c r="AB81" i="22"/>
  <c r="AB80" i="22"/>
  <c r="AD79" i="22"/>
  <c r="AB79" i="22"/>
  <c r="AB78" i="22"/>
  <c r="AB77" i="22"/>
  <c r="AD76" i="22"/>
  <c r="AB76" i="22"/>
  <c r="AB75" i="22"/>
  <c r="AB74" i="22"/>
  <c r="AD73" i="22"/>
  <c r="AB73" i="22"/>
  <c r="AB72" i="22"/>
  <c r="AB71" i="22"/>
  <c r="AD70" i="22"/>
  <c r="AB70" i="22"/>
  <c r="AB69" i="22"/>
  <c r="AB68" i="22"/>
  <c r="AD67" i="22"/>
  <c r="AB67" i="22"/>
  <c r="AB66" i="22"/>
  <c r="AB65" i="22"/>
  <c r="AD64" i="22"/>
  <c r="AB64" i="22"/>
  <c r="AB63" i="22"/>
  <c r="AB62" i="22"/>
  <c r="AD61" i="22"/>
  <c r="AB61" i="22"/>
  <c r="AB60" i="22"/>
  <c r="AB59" i="22"/>
  <c r="AD58" i="22"/>
  <c r="AB58" i="22"/>
  <c r="AB57" i="22"/>
  <c r="AB56" i="22"/>
  <c r="AD55" i="22"/>
  <c r="AB55" i="22"/>
  <c r="AB54" i="22"/>
  <c r="AB53" i="22"/>
  <c r="AD52" i="22"/>
  <c r="AB52" i="22"/>
  <c r="AB51" i="22"/>
  <c r="AB50" i="22"/>
  <c r="AD49" i="22"/>
  <c r="AB49" i="22"/>
  <c r="AB48" i="22"/>
  <c r="AB47" i="22"/>
  <c r="AD46" i="22"/>
  <c r="AB46" i="22"/>
  <c r="AD42" i="22"/>
  <c r="AB41" i="22"/>
  <c r="AB40" i="22"/>
  <c r="AD39" i="22"/>
  <c r="AB39" i="22"/>
  <c r="AB38" i="22"/>
  <c r="AB37" i="22"/>
  <c r="AD36" i="22"/>
  <c r="AB36" i="22"/>
  <c r="AB35" i="22"/>
  <c r="AB34" i="22"/>
  <c r="AD33" i="22"/>
  <c r="AB33" i="22"/>
  <c r="AB32" i="22"/>
  <c r="AB31" i="22"/>
  <c r="AD30" i="22"/>
  <c r="AB30" i="22"/>
  <c r="AB29" i="22"/>
  <c r="AB28" i="22"/>
  <c r="AD27" i="22"/>
  <c r="AB27" i="22"/>
  <c r="AB26" i="22"/>
  <c r="AB25" i="22"/>
  <c r="AD24" i="22"/>
  <c r="AB24" i="22"/>
  <c r="AB23" i="22"/>
  <c r="AB22" i="22"/>
  <c r="AD21" i="22"/>
  <c r="AB21" i="22"/>
  <c r="AB20" i="22"/>
  <c r="AB19" i="22"/>
  <c r="AD18" i="22"/>
  <c r="AB18" i="22"/>
  <c r="AB17" i="22"/>
  <c r="AB16" i="22"/>
  <c r="AD15" i="22"/>
  <c r="AB15" i="22"/>
  <c r="AB14" i="22"/>
  <c r="AB13" i="22"/>
  <c r="AD12" i="22"/>
  <c r="AB12" i="22"/>
  <c r="AB11" i="22"/>
  <c r="AB10" i="22"/>
  <c r="AD9" i="22"/>
  <c r="AB9" i="22"/>
  <c r="AB8" i="22"/>
  <c r="AB7" i="22"/>
  <c r="AD6" i="22"/>
  <c r="AB6" i="22"/>
  <c r="E22" i="6"/>
  <c r="E21" i="6"/>
  <c r="E20" i="6"/>
  <c r="E19" i="6"/>
  <c r="E18" i="6"/>
  <c r="E17" i="6"/>
  <c r="E16" i="6"/>
  <c r="E15" i="6"/>
  <c r="E14" i="6"/>
  <c r="E13" i="6"/>
  <c r="E12" i="6"/>
  <c r="E23" i="6" s="1"/>
  <c r="AD442" i="2"/>
  <c r="AB441" i="2"/>
  <c r="AB440" i="2"/>
  <c r="AD439" i="2"/>
  <c r="AB439" i="2"/>
  <c r="AB438" i="2"/>
  <c r="AB437" i="2"/>
  <c r="AD436" i="2"/>
  <c r="AB436" i="2"/>
  <c r="AB435" i="2"/>
  <c r="AB434" i="2"/>
  <c r="AD433" i="2"/>
  <c r="AB433" i="2"/>
  <c r="AB432" i="2"/>
  <c r="AB431" i="2"/>
  <c r="AD430" i="2"/>
  <c r="AB430" i="2"/>
  <c r="AB429" i="2"/>
  <c r="AB428" i="2"/>
  <c r="AD427" i="2"/>
  <c r="AB427" i="2"/>
  <c r="AB426" i="2"/>
  <c r="AB425" i="2"/>
  <c r="AD424" i="2"/>
  <c r="AB424" i="2"/>
  <c r="AB423" i="2"/>
  <c r="AB422" i="2"/>
  <c r="AD421" i="2"/>
  <c r="AB421" i="2"/>
  <c r="AB420" i="2"/>
  <c r="AB419" i="2"/>
  <c r="AD418" i="2"/>
  <c r="AB418" i="2"/>
  <c r="AB417" i="2"/>
  <c r="AB416" i="2"/>
  <c r="AD415" i="2"/>
  <c r="AB415" i="2"/>
  <c r="AB414" i="2"/>
  <c r="AB413" i="2"/>
  <c r="AD412" i="2"/>
  <c r="AB412" i="2"/>
  <c r="AB411" i="2"/>
  <c r="AB410" i="2"/>
  <c r="AD409" i="2"/>
  <c r="AB409" i="2"/>
  <c r="AB408" i="2"/>
  <c r="AB407" i="2"/>
  <c r="AD406" i="2"/>
  <c r="AB406" i="2"/>
  <c r="AD402" i="2"/>
  <c r="AB401" i="2"/>
  <c r="AB400" i="2"/>
  <c r="AD399" i="2"/>
  <c r="AB399" i="2"/>
  <c r="AB398" i="2"/>
  <c r="AB397" i="2"/>
  <c r="AD396" i="2"/>
  <c r="AB396" i="2"/>
  <c r="AB395" i="2"/>
  <c r="AB394" i="2"/>
  <c r="AD393" i="2"/>
  <c r="AB393" i="2"/>
  <c r="AB392" i="2"/>
  <c r="AB391" i="2"/>
  <c r="AD390" i="2"/>
  <c r="AB390" i="2"/>
  <c r="AB389" i="2"/>
  <c r="AB388" i="2"/>
  <c r="AD387" i="2"/>
  <c r="AB387" i="2"/>
  <c r="AB386" i="2"/>
  <c r="AB385" i="2"/>
  <c r="AD384" i="2"/>
  <c r="AB384" i="2"/>
  <c r="AB383" i="2"/>
  <c r="AB382" i="2"/>
  <c r="AD381" i="2"/>
  <c r="AB381" i="2"/>
  <c r="AB380" i="2"/>
  <c r="AB379" i="2"/>
  <c r="AD378" i="2"/>
  <c r="AB378" i="2"/>
  <c r="AB377" i="2"/>
  <c r="AB376" i="2"/>
  <c r="AD375" i="2"/>
  <c r="AB375" i="2"/>
  <c r="AB374" i="2"/>
  <c r="AB373" i="2"/>
  <c r="AD372" i="2"/>
  <c r="AB372" i="2"/>
  <c r="AB371" i="2"/>
  <c r="AB370" i="2"/>
  <c r="AD369" i="2"/>
  <c r="AB369" i="2"/>
  <c r="AB368" i="2"/>
  <c r="AB367" i="2"/>
  <c r="AD366" i="2"/>
  <c r="AB366" i="2"/>
  <c r="AD362" i="2"/>
  <c r="AB361" i="2"/>
  <c r="AB360" i="2"/>
  <c r="AD359" i="2"/>
  <c r="AB359" i="2"/>
  <c r="AB358" i="2"/>
  <c r="AB357" i="2"/>
  <c r="AD356" i="2"/>
  <c r="AB356" i="2"/>
  <c r="AB355" i="2"/>
  <c r="AB354" i="2"/>
  <c r="AD353" i="2"/>
  <c r="AB353" i="2"/>
  <c r="AB352" i="2"/>
  <c r="AB351" i="2"/>
  <c r="AD350" i="2"/>
  <c r="AB350" i="2"/>
  <c r="AB349" i="2"/>
  <c r="AB348" i="2"/>
  <c r="AD347" i="2"/>
  <c r="AB347" i="2"/>
  <c r="AB346" i="2"/>
  <c r="AB345" i="2"/>
  <c r="AD344" i="2"/>
  <c r="AB344" i="2"/>
  <c r="AB343" i="2"/>
  <c r="AB342" i="2"/>
  <c r="AD341" i="2"/>
  <c r="AB341" i="2"/>
  <c r="AB340" i="2"/>
  <c r="AB339" i="2"/>
  <c r="AD338" i="2"/>
  <c r="AB338" i="2"/>
  <c r="AB337" i="2"/>
  <c r="AB336" i="2"/>
  <c r="AD335" i="2"/>
  <c r="AB335" i="2"/>
  <c r="AB334" i="2"/>
  <c r="AB333" i="2"/>
  <c r="AD332" i="2"/>
  <c r="AB332" i="2"/>
  <c r="AB331" i="2"/>
  <c r="AB330" i="2"/>
  <c r="AD329" i="2"/>
  <c r="AB329" i="2"/>
  <c r="AB328" i="2"/>
  <c r="AB327" i="2"/>
  <c r="AD326" i="2"/>
  <c r="AB326" i="2"/>
  <c r="AD322" i="2"/>
  <c r="AB321" i="2"/>
  <c r="AB320" i="2"/>
  <c r="AD319" i="2"/>
  <c r="AB319" i="2"/>
  <c r="AB318" i="2"/>
  <c r="AB317" i="2"/>
  <c r="AD316" i="2"/>
  <c r="AB316" i="2"/>
  <c r="AB315" i="2"/>
  <c r="AB314" i="2"/>
  <c r="AD313" i="2"/>
  <c r="AB313" i="2"/>
  <c r="AB312" i="2"/>
  <c r="AB311" i="2"/>
  <c r="AD310" i="2"/>
  <c r="AB310" i="2"/>
  <c r="AB309" i="2"/>
  <c r="AB308" i="2"/>
  <c r="AD307" i="2"/>
  <c r="AB307" i="2"/>
  <c r="AB306" i="2"/>
  <c r="AB305" i="2"/>
  <c r="AD304" i="2"/>
  <c r="AB304" i="2"/>
  <c r="AB303" i="2"/>
  <c r="AB302" i="2"/>
  <c r="AD301" i="2"/>
  <c r="AB301" i="2"/>
  <c r="AB300" i="2"/>
  <c r="AB299" i="2"/>
  <c r="AD298" i="2"/>
  <c r="AB298" i="2"/>
  <c r="AB297" i="2"/>
  <c r="AB296" i="2"/>
  <c r="AD295" i="2"/>
  <c r="AB295" i="2"/>
  <c r="AB294" i="2"/>
  <c r="AB293" i="2"/>
  <c r="AD292" i="2"/>
  <c r="AB292" i="2"/>
  <c r="AB291" i="2"/>
  <c r="AB290" i="2"/>
  <c r="AD289" i="2"/>
  <c r="AB289" i="2"/>
  <c r="AB288" i="2"/>
  <c r="AB287" i="2"/>
  <c r="AD286" i="2"/>
  <c r="AB286" i="2"/>
  <c r="AD282" i="2"/>
  <c r="AB281" i="2"/>
  <c r="AB280" i="2"/>
  <c r="AD279" i="2"/>
  <c r="AB279" i="2"/>
  <c r="AB278" i="2"/>
  <c r="AB277" i="2"/>
  <c r="AD276" i="2"/>
  <c r="AB276" i="2"/>
  <c r="AB275" i="2"/>
  <c r="AB274" i="2"/>
  <c r="AD273" i="2"/>
  <c r="AB273" i="2"/>
  <c r="AB272" i="2"/>
  <c r="AB271" i="2"/>
  <c r="AD270" i="2"/>
  <c r="AB270" i="2"/>
  <c r="AB269" i="2"/>
  <c r="AB268" i="2"/>
  <c r="AD267" i="2"/>
  <c r="AB267" i="2"/>
  <c r="AB266" i="2"/>
  <c r="AB265" i="2"/>
  <c r="AD264" i="2"/>
  <c r="AB264" i="2"/>
  <c r="AB263" i="2"/>
  <c r="AB262" i="2"/>
  <c r="AD261" i="2"/>
  <c r="AB261" i="2"/>
  <c r="AB260" i="2"/>
  <c r="AB259" i="2"/>
  <c r="AD258" i="2"/>
  <c r="AB258" i="2"/>
  <c r="AB257" i="2"/>
  <c r="AB256" i="2"/>
  <c r="AD255" i="2"/>
  <c r="AB255" i="2"/>
  <c r="AB254" i="2"/>
  <c r="AB253" i="2"/>
  <c r="AD252" i="2"/>
  <c r="AB252" i="2"/>
  <c r="AB251" i="2"/>
  <c r="AB250" i="2"/>
  <c r="AD249" i="2"/>
  <c r="AB249" i="2"/>
  <c r="AB248" i="2"/>
  <c r="AB247" i="2"/>
  <c r="AD246" i="2"/>
  <c r="AB246" i="2"/>
  <c r="AD242" i="2"/>
  <c r="AB241" i="2"/>
  <c r="AB240" i="2"/>
  <c r="AD239" i="2"/>
  <c r="AB239" i="2"/>
  <c r="AB238" i="2"/>
  <c r="AB237" i="2"/>
  <c r="AD236" i="2"/>
  <c r="AB236" i="2"/>
  <c r="AB235" i="2"/>
  <c r="AB234" i="2"/>
  <c r="AD233" i="2"/>
  <c r="AB233" i="2"/>
  <c r="AB232" i="2"/>
  <c r="AB231" i="2"/>
  <c r="AD230" i="2"/>
  <c r="AB230" i="2"/>
  <c r="AB229" i="2"/>
  <c r="AB228" i="2"/>
  <c r="AD227" i="2"/>
  <c r="AB227" i="2"/>
  <c r="AB226" i="2"/>
  <c r="AB225" i="2"/>
  <c r="AD224" i="2"/>
  <c r="AB224" i="2"/>
  <c r="AB223" i="2"/>
  <c r="AB222" i="2"/>
  <c r="AD221" i="2"/>
  <c r="AB221" i="2"/>
  <c r="AB220" i="2"/>
  <c r="AB219" i="2"/>
  <c r="AD218" i="2"/>
  <c r="AB218" i="2"/>
  <c r="AB217" i="2"/>
  <c r="AB216" i="2"/>
  <c r="AD215" i="2"/>
  <c r="AB215" i="2"/>
  <c r="AB214" i="2"/>
  <c r="AB213" i="2"/>
  <c r="AD212" i="2"/>
  <c r="AB212" i="2"/>
  <c r="AB211" i="2"/>
  <c r="AB210" i="2"/>
  <c r="AD209" i="2"/>
  <c r="AB209" i="2"/>
  <c r="AB208" i="2"/>
  <c r="AB207" i="2"/>
  <c r="AD206" i="2"/>
  <c r="AB206" i="2"/>
  <c r="AD202" i="2"/>
  <c r="AB201" i="2"/>
  <c r="AB200" i="2"/>
  <c r="AD199" i="2"/>
  <c r="AB199" i="2"/>
  <c r="AB198" i="2"/>
  <c r="AB197" i="2"/>
  <c r="AD196" i="2"/>
  <c r="AB196" i="2"/>
  <c r="AB195" i="2"/>
  <c r="AB194" i="2"/>
  <c r="AD193" i="2"/>
  <c r="AB193" i="2"/>
  <c r="AB192" i="2"/>
  <c r="AB191" i="2"/>
  <c r="AD190" i="2"/>
  <c r="AB190" i="2"/>
  <c r="AB189" i="2"/>
  <c r="AB188" i="2"/>
  <c r="AD187" i="2"/>
  <c r="AB187" i="2"/>
  <c r="AB186" i="2"/>
  <c r="AB185" i="2"/>
  <c r="AD184" i="2"/>
  <c r="AB184" i="2"/>
  <c r="AB183" i="2"/>
  <c r="AB182" i="2"/>
  <c r="AD181" i="2"/>
  <c r="AB181" i="2"/>
  <c r="AB180" i="2"/>
  <c r="AB179" i="2"/>
  <c r="AD178" i="2"/>
  <c r="AB178" i="2"/>
  <c r="AB177" i="2"/>
  <c r="AB176" i="2"/>
  <c r="AD175" i="2"/>
  <c r="AB175" i="2"/>
  <c r="AB174" i="2"/>
  <c r="AB173" i="2"/>
  <c r="AD172" i="2"/>
  <c r="AB172" i="2"/>
  <c r="AB171" i="2"/>
  <c r="AB170" i="2"/>
  <c r="AD169" i="2"/>
  <c r="AB169" i="2"/>
  <c r="AB168" i="2"/>
  <c r="AB167" i="2"/>
  <c r="AD166" i="2"/>
  <c r="AB166" i="2"/>
  <c r="AD162" i="2"/>
  <c r="AB161" i="2"/>
  <c r="AB160" i="2"/>
  <c r="AD159" i="2"/>
  <c r="AB159" i="2"/>
  <c r="AB158" i="2"/>
  <c r="AB157" i="2"/>
  <c r="AD156" i="2"/>
  <c r="AB156" i="2"/>
  <c r="AB155" i="2"/>
  <c r="AB154" i="2"/>
  <c r="AD153" i="2"/>
  <c r="AB153" i="2"/>
  <c r="AB152" i="2"/>
  <c r="AB151" i="2"/>
  <c r="AD150" i="2"/>
  <c r="AB150" i="2"/>
  <c r="AB149" i="2"/>
  <c r="AB148" i="2"/>
  <c r="AD147" i="2"/>
  <c r="AB147" i="2"/>
  <c r="AB146" i="2"/>
  <c r="AB145" i="2"/>
  <c r="AD144" i="2"/>
  <c r="AB144" i="2"/>
  <c r="AB143" i="2"/>
  <c r="AB142" i="2"/>
  <c r="AD141" i="2"/>
  <c r="AB141" i="2"/>
  <c r="AB140" i="2"/>
  <c r="AB139" i="2"/>
  <c r="AD138" i="2"/>
  <c r="AB138" i="2"/>
  <c r="AB137" i="2"/>
  <c r="AB136" i="2"/>
  <c r="AD135" i="2"/>
  <c r="AB135" i="2"/>
  <c r="AB134" i="2"/>
  <c r="AB133" i="2"/>
  <c r="AD132" i="2"/>
  <c r="AB132" i="2"/>
  <c r="AB131" i="2"/>
  <c r="AB130" i="2"/>
  <c r="AD129" i="2"/>
  <c r="AB129" i="2"/>
  <c r="AB128" i="2"/>
  <c r="AB127" i="2"/>
  <c r="AD126" i="2"/>
  <c r="AB126" i="2"/>
  <c r="AD122" i="2"/>
  <c r="AB121" i="2"/>
  <c r="AB120" i="2"/>
  <c r="AD119" i="2"/>
  <c r="AB119" i="2"/>
  <c r="AB118" i="2"/>
  <c r="AB117" i="2"/>
  <c r="AD116" i="2"/>
  <c r="AB116" i="2"/>
  <c r="AB115" i="2"/>
  <c r="AB114" i="2"/>
  <c r="AD113" i="2"/>
  <c r="AB113" i="2"/>
  <c r="AB112" i="2"/>
  <c r="AB111" i="2"/>
  <c r="AD110" i="2"/>
  <c r="AB110" i="2"/>
  <c r="AB109" i="2"/>
  <c r="AB108" i="2"/>
  <c r="AD107" i="2"/>
  <c r="AB107" i="2"/>
  <c r="AB106" i="2"/>
  <c r="AB105" i="2"/>
  <c r="AD104" i="2"/>
  <c r="AB104" i="2"/>
  <c r="AB103" i="2"/>
  <c r="AB102" i="2"/>
  <c r="AD101" i="2"/>
  <c r="AB101" i="2"/>
  <c r="AB100" i="2"/>
  <c r="AB99" i="2"/>
  <c r="AD98" i="2"/>
  <c r="AB98" i="2"/>
  <c r="AB97" i="2"/>
  <c r="AB96" i="2"/>
  <c r="AD95" i="2"/>
  <c r="AB95" i="2"/>
  <c r="AB94" i="2"/>
  <c r="AB93" i="2"/>
  <c r="AD92" i="2"/>
  <c r="AB92" i="2"/>
  <c r="AB91" i="2"/>
  <c r="AB90" i="2"/>
  <c r="AD89" i="2"/>
  <c r="AB89" i="2"/>
  <c r="AB88" i="2"/>
  <c r="AB87" i="2"/>
  <c r="AD86" i="2"/>
  <c r="AB86" i="2"/>
  <c r="AD82" i="2"/>
  <c r="AB81" i="2"/>
  <c r="AB80" i="2"/>
  <c r="AD79" i="2"/>
  <c r="AB79" i="2"/>
  <c r="AB78" i="2"/>
  <c r="AB77" i="2"/>
  <c r="AD76" i="2"/>
  <c r="AB76" i="2"/>
  <c r="AB75" i="2"/>
  <c r="AB74" i="2"/>
  <c r="AD73" i="2"/>
  <c r="AB73" i="2"/>
  <c r="AB72" i="2"/>
  <c r="AB71" i="2"/>
  <c r="AD70" i="2"/>
  <c r="AB70" i="2"/>
  <c r="AB69" i="2"/>
  <c r="AB68" i="2"/>
  <c r="AD67" i="2"/>
  <c r="AB67" i="2"/>
  <c r="AB66" i="2"/>
  <c r="AB65" i="2"/>
  <c r="AD64" i="2"/>
  <c r="AB64" i="2"/>
  <c r="AB63" i="2"/>
  <c r="AB62" i="2"/>
  <c r="AD61" i="2"/>
  <c r="AB61" i="2"/>
  <c r="AB60" i="2"/>
  <c r="AB59" i="2"/>
  <c r="AD58" i="2"/>
  <c r="AB58" i="2"/>
  <c r="AB57" i="2"/>
  <c r="AB56" i="2"/>
  <c r="AD55" i="2"/>
  <c r="AB55" i="2"/>
  <c r="AB54" i="2"/>
  <c r="AB53" i="2"/>
  <c r="AD52" i="2"/>
  <c r="AB52" i="2"/>
  <c r="AB51" i="2"/>
  <c r="AB50" i="2"/>
  <c r="AD49" i="2"/>
  <c r="AB49" i="2"/>
  <c r="AB48" i="2"/>
  <c r="AB47" i="2"/>
  <c r="AD46" i="2"/>
  <c r="AB46" i="2"/>
  <c r="AD42" i="2"/>
  <c r="AB41" i="2"/>
  <c r="AB40" i="2"/>
  <c r="AD39" i="2"/>
  <c r="AB39" i="2"/>
  <c r="AB38" i="2"/>
  <c r="AB37" i="2"/>
  <c r="AD36" i="2"/>
  <c r="AB36" i="2"/>
  <c r="AB35" i="2"/>
  <c r="AB34" i="2"/>
  <c r="AD33" i="2"/>
  <c r="AB33" i="2"/>
  <c r="AB32" i="2"/>
  <c r="AB31" i="2"/>
  <c r="AD30" i="2"/>
  <c r="AB30" i="2"/>
  <c r="AB29" i="2"/>
  <c r="AB28" i="2"/>
  <c r="AD27" i="2"/>
  <c r="AB27" i="2"/>
  <c r="AB26" i="2"/>
  <c r="AB25" i="2"/>
  <c r="AD24" i="2"/>
  <c r="AB24" i="2"/>
  <c r="AB23" i="2"/>
  <c r="AB22" i="2"/>
  <c r="AD21" i="2"/>
  <c r="AB21" i="2"/>
  <c r="AB20" i="2"/>
  <c r="AB19" i="2"/>
  <c r="AD18" i="2"/>
  <c r="AB18" i="2"/>
  <c r="AB17" i="2"/>
  <c r="AB16" i="2"/>
  <c r="AD15" i="2"/>
  <c r="AB15" i="2"/>
  <c r="AB14" i="2"/>
  <c r="AB13" i="2"/>
  <c r="AD12" i="2"/>
  <c r="AB12" i="2"/>
  <c r="AB11" i="2"/>
  <c r="AB10" i="2"/>
  <c r="AD9" i="2"/>
  <c r="AB9" i="2"/>
  <c r="AB8" i="2"/>
  <c r="AB7" i="2"/>
  <c r="AD6" i="2"/>
  <c r="AB6" i="2"/>
  <c r="E22" i="28" l="1"/>
</calcChain>
</file>

<file path=xl/sharedStrings.xml><?xml version="1.0" encoding="utf-8"?>
<sst xmlns="http://schemas.openxmlformats.org/spreadsheetml/2006/main" count="2519" uniqueCount="110">
  <si>
    <t>ANEXO No. 1 - CANTIDADES DE ENERGÍA HORARIA Y MENSUAL A CONTRATAR</t>
  </si>
  <si>
    <t>PRODUCTO 1 - ENERO 2027 A DICIEMBRE 2037</t>
  </si>
  <si>
    <t>ENERGÍA PLANA 24 HORAS A SOLICITAR AÑO 2027 PARA MERCADO REGULADO (MWh)</t>
  </si>
  <si>
    <t>MES</t>
  </si>
  <si>
    <t>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</si>
  <si>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</si>
  <si>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</si>
  <si>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</si>
  <si>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</si>
  <si>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</si>
  <si>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</si>
  <si>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</si>
  <si>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</si>
  <si>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</si>
  <si>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</si>
  <si>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</si>
  <si>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</si>
  <si>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</si>
  <si>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</si>
  <si>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</si>
  <si>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</si>
  <si>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</si>
  <si>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</si>
  <si>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</si>
  <si>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</si>
  <si>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</si>
  <si>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</si>
  <si>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</si>
  <si>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</si>
  <si>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</si>
  <si>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No. Dias</t>
  </si>
  <si>
    <t>TOTAL MES</t>
  </si>
  <si>
    <t>ORDINARIO</t>
  </si>
  <si>
    <t>SABADO</t>
  </si>
  <si>
    <t>DOMINGO</t>
  </si>
  <si>
    <t>ENERGÍA REQUERIDA</t>
  </si>
  <si>
    <t>ENERGÍA PLANA 24 HORAS A SOLICITAR AÑO 2028 PARA MERCADO REGULADO (MWh)</t>
  </si>
  <si>
    <t>ENERGÍA PLANA 24 HORAS A SOLICITAR AÑO 2029 PARA MERCADO REGULADO (MWh)</t>
  </si>
  <si>
    <t>ENERGÍA PLANA 24 HORAS A SOLICITAR AÑO 2030 PARA MERCADO REGULADO (MWh)</t>
  </si>
  <si>
    <t>ENERGÍA PLANA 24 HORAS A SOLICITAR AÑO 2031 PARA MERCADO REGULADO (MWh)</t>
  </si>
  <si>
    <t>ENERGÍA PLANA 24 HORAS A SOLICITAR AÑO 2032 PARA MERCADO REGULADO (MWh)</t>
  </si>
  <si>
    <t>ENERGÍA PLANA 24 HORAS A SOLICITAR AÑO 2033 PARA MERCADO REGULADO (MWh)</t>
  </si>
  <si>
    <t>ENERGÍA PLANA 24 HORAS A SOLICITAR AÑO 2034 PARA MERCADO REGULADO (MWh)</t>
  </si>
  <si>
    <t>ENERGÍA PLANA 24 HORAS A SOLICITAR AÑO 2035 PARA MERCADO REGULADO (MWh)</t>
  </si>
  <si>
    <t>ENERGÍA PLANA 24 HORAS A SOLICITAR AÑO 2036 PARA MERCADO REGULADO (MWh)</t>
  </si>
  <si>
    <t>ENERGÍA PLANA 24 HORAS A SOLICITAR AÑO 2037 PARA MERCADO REGULADO (MWh)</t>
  </si>
  <si>
    <t xml:space="preserve">EMPRESAS MUNICIPALES DE CALI- EMCALI EICE ESP </t>
  </si>
  <si>
    <t xml:space="preserve">CONVOCATORIA PÚBLICA PARA COMPRA DE ENERGÍA </t>
  </si>
  <si>
    <t>Código de Convocatoria SICEP No. CP-EMIC2026-001</t>
  </si>
  <si>
    <t>ANEXO No. 2 CANTIDADES Y PRECIOS OFERTADOS</t>
  </si>
  <si>
    <t>AÑO</t>
  </si>
  <si>
    <t>Energía solicitada (MWh)</t>
  </si>
  <si>
    <t>% ofertado</t>
  </si>
  <si>
    <t>$/kWh</t>
  </si>
  <si>
    <t>Total año</t>
  </si>
  <si>
    <t>NOTAS:</t>
  </si>
  <si>
    <t>A partir del año 2028 y hasta 2037 se debe ofertar el mismo porcentaje para todos y cada uno de los años de este producto.</t>
  </si>
  <si>
    <t xml:space="preserve">Se debe ofertar minimo el 30% de la energia requerida para todos y cada uno de los años del producto </t>
  </si>
  <si>
    <t>La energía y los precios a ofertar deben ofrecerse en la  modalidad monomia.</t>
  </si>
  <si>
    <t>Precios en pesos constantes del mes de mayo de 2026.</t>
  </si>
  <si>
    <t>PRODUCTO 2 - ENERO 2028 A DICIEMBRE 2032</t>
  </si>
  <si>
    <t>ENERGÍA PLANA (H07 A H18) A SOLICITAR AÑO 2028 PARA MERCADO REGULADO (MWh)</t>
  </si>
  <si>
    <t>ENERGÍA PLANA (H07 A H18) A SOLICITAR AÑO 2029 PARA MERCADO REGULADO (MWh)</t>
  </si>
  <si>
    <t>ENERGÍA PLANA (H07 A H18) A SOLICITAR AÑO 2030 PARA MERCADO REGULADO (MWh)</t>
  </si>
  <si>
    <t>ENERGÍA PLANA (H07 A H18) A SOLICITAR AÑO 2031 PARA MERCADO REGULADO (MWh)</t>
  </si>
  <si>
    <t>ENERGÍA PLANA (H07 A H18) A SOLICITAR AÑO 2032 PARA MERCADO REGULADO (MWh)</t>
  </si>
  <si>
    <t>Se debe ofertar el mismo porcentaje de la cantidad solicitada para todos los años</t>
  </si>
  <si>
    <t>Se debe ofertar mínimo el 50%  de la energía solicitada</t>
  </si>
  <si>
    <t>PRODUCTO 3 - ENERO 2033 A DICIEMBRE 2037</t>
  </si>
  <si>
    <t>ENERGÍA PLANA (H07 A H18) A SOLICITAR AÑO 2033 PARA MERCADO REGULADO (MWh)</t>
  </si>
  <si>
    <t>ENERGÍA PLANA (H07 A H18) A SOLICITAR AÑO 2034 PARA MERCADO REGULADO (MWh)</t>
  </si>
  <si>
    <t>ENERGÍA PLANA (H07 A H18) A SOLICITAR AÑO 2035 PARA MERCADO REGULADO (MWh)</t>
  </si>
  <si>
    <t>ENERGÍA PLANA (H07 A H18) A SOLICITAR AÑO 2036 PARA MERCADO REGULADO (MWh)</t>
  </si>
  <si>
    <t>ENERGÍA PLANA (H07 A H18) A SOLICITAR AÑO 2037 PARA MERCADO REGULADO (MWh)</t>
  </si>
  <si>
    <t>PRODUCTO 4 - ENERO 2033 A DICIEMBRE 2037</t>
  </si>
  <si>
    <t>Se debe ofertar mínimo el 30%  de la energía solicitada</t>
  </si>
  <si>
    <t>PRODUCTO 5 - ENERO 2027 A DICIEMBRE 2037</t>
  </si>
  <si>
    <t>ENERGÍA CURVA A SOLICITAR AÑO 2028 PARA MERCADO REGULADO (MWh)</t>
  </si>
  <si>
    <t>ENERGÍA CURVA A SOLICITAR AÑO 2029 PARA MERCADO REGULADO (MWh)</t>
  </si>
  <si>
    <t>ENERGÍA CURVA A SOLICITAR AÑO 2030 PARA MERCADO REGULADO (MWh)</t>
  </si>
  <si>
    <t>ENERGÍA CURVA A SOLICITAR AÑO 2031 PARA MERCADO REGULADO (MWh)</t>
  </si>
  <si>
    <t>ENERGÍA CURVA A SOLICITAR AÑO 2032 PARA MERCADO REGULADO (MWh)</t>
  </si>
  <si>
    <t>ENERGÍA CURVA A SOLICITAR AÑO 2033 PARA MERCADO REGULADO (MWh)</t>
  </si>
  <si>
    <t>ENERGÍA CURVA A SOLICITAR AÑO 2034 PARA MERCADO REGULADO (MWh)</t>
  </si>
  <si>
    <t>ENERGÍA CURVA A SOLICITAR AÑO 2035 PARA MERCADO REGULADO (MWh)</t>
  </si>
  <si>
    <t>ENERGÍA CURVA A SOLICITAR AÑO 2036 PARA MERCADO REGULADO (MWh)</t>
  </si>
  <si>
    <t>ENERGÍA CURVA A SOLICITAR AÑO 2037 PARA MERCADO REGULADO (MWh)</t>
  </si>
  <si>
    <t>PRODUCTO 5 - ENERO 2028 A DICIEMBRE 2037</t>
  </si>
  <si>
    <t>Se aceptan ofertas horarias, mínimo 10 horas por día</t>
  </si>
  <si>
    <t>Se debe ofertar mínimo ocho (8) meses por año</t>
  </si>
  <si>
    <t>La adjudicación se hará por período 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</si>
  <si>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</si>
  <si>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</si>
  <si>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</si>
  <si>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</si>
  <si>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</si>
  <si>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</si>
  <si>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</si>
  <si>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</si>
  <si>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</si>
  <si>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</si>
  <si>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</si>
  <si>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</si>
  <si>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 AÑO 2027</t>
  </si>
  <si>
    <t>Para el año 2027 se deben ofertar mínimo 8 meses, cada mes podrá ofertarse con porcentaje diferente, el cual debera ser minimo el 15 % de la necesidad de cada mes.</t>
  </si>
  <si>
    <t>Se debe ofertar el mismo porcentaje de la cantidad solicitada para todos los años.</t>
  </si>
  <si>
    <t>El precio puede ser diferente para cada año ofertado. Para el año 2027 el precio debe ser el mismo para todos los meses ofertados.</t>
  </si>
  <si>
    <t>En caso de ofertar mínimo 10 horas por año o mínimo 8 meses por año favor informar:</t>
  </si>
  <si>
    <t>Horas a ofertar:</t>
  </si>
  <si>
    <t xml:space="preserve">Meses a ofertar: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</si>
</sst>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_ ;\-#,##0\ "/>
    <numFmt numFmtId="165" formatCode="_-* #,##0.00_-;\-* #,##0.00_-;_-* &quot;-&quot;_-;_-@_-"/>
    <numFmt numFmtId="166" formatCode="#,##0.0000_ ;\-#,##0.0000\ "/>
    <numFmt numFmtId="167" formatCode="_-* #,##0_-;\-* #,##0_-;_-* &quot;-&quot;??_-;_-@_-"/>
  </numFmts>
  <fonts count="17"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b/>
      <sz val="18"/>
      <name val="Arial"/>
      <charset val="134"/>
    </font>
    <font>
      <b/>
      <sz val="18"/>
      <color rgb="FFFF0000"/>
      <name val="Calibri"/>
      <charset val="134"/>
      <scheme val="minor"/>
    </font>
    <font>
      <b/>
      <sz val="10"/>
      <name val="Arial"/>
      <charset val="134"/>
    </font>
    <font>
      <b/>
      <sz val="12"/>
      <name val="Arial"/>
      <charset val="134"/>
    </font>
    <font>
      <b/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8"/>
      <color rgb="FFFF0000"/>
      <name val="Arial"/>
      <charset val="134"/>
    </font>
    <font>
      <sz val="12"/>
      <color theme="1"/>
      <name val="Arial"/>
      <charset val="134"/>
    </font>
    <font>
      <sz val="12"/>
      <color theme="1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1" fontId="12" fillId="0" borderId="0" applyFont="0" applyFill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/>
    <xf numFmtId="0" fontId="1" fillId="2" borderId="0" xfId="0" applyFont="1" applyFill="1" applyAlignment="1">
      <alignment horizontal="left" vertical="center"/>
    </xf>
    <xf numFmtId="0" fontId="0" fillId="2" borderId="5" xfId="0" applyFill="1" applyBorder="1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2" fillId="2" borderId="5" xfId="0" applyFont="1" applyFill="1" applyBorder="1"/>
    <xf numFmtId="0" fontId="0" fillId="0" borderId="4" xfId="0" applyBorder="1"/>
    <xf numFmtId="0" fontId="0" fillId="2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164" fontId="0" fillId="2" borderId="6" xfId="3" applyNumberFormat="1" applyFont="1" applyFill="1" applyBorder="1" applyAlignment="1">
      <alignment horizontal="center" vertical="center"/>
    </xf>
    <xf numFmtId="9" fontId="0" fillId="2" borderId="6" xfId="0" applyNumberFormat="1" applyFill="1" applyBorder="1" applyAlignment="1">
      <alignment vertical="center"/>
    </xf>
    <xf numFmtId="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6" xfId="0" applyFont="1" applyFill="1" applyBorder="1"/>
    <xf numFmtId="164" fontId="2" fillId="2" borderId="6" xfId="3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1" fontId="0" fillId="2" borderId="0" xfId="0" applyNumberFormat="1" applyFill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5" fillId="0" borderId="0" xfId="0" applyFont="1"/>
    <xf numFmtId="0" fontId="6" fillId="2" borderId="0" xfId="0" applyFont="1" applyFill="1"/>
    <xf numFmtId="0" fontId="7" fillId="3" borderId="6" xfId="0" applyFont="1" applyFill="1" applyBorder="1" applyAlignment="1">
      <alignment horizontal="center" vertical="center"/>
    </xf>
    <xf numFmtId="3" fontId="7" fillId="3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43" fontId="0" fillId="0" borderId="6" xfId="1" applyFont="1" applyBorder="1" applyAlignment="1">
      <alignment vertical="center"/>
    </xf>
    <xf numFmtId="3" fontId="7" fillId="2" borderId="6" xfId="0" applyNumberFormat="1" applyFont="1" applyFill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10" fillId="4" borderId="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3" fontId="7" fillId="2" borderId="13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3" fontId="7" fillId="2" borderId="1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65" fontId="0" fillId="2" borderId="6" xfId="3" applyNumberFormat="1" applyFont="1" applyFill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5" xfId="0" applyBorder="1"/>
    <xf numFmtId="0" fontId="2" fillId="0" borderId="0" xfId="0" applyFont="1"/>
    <xf numFmtId="0" fontId="2" fillId="0" borderId="5" xfId="0" applyFont="1" applyBorder="1"/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0" fillId="0" borderId="6" xfId="3" applyNumberFormat="1" applyFont="1" applyBorder="1" applyAlignment="1">
      <alignment horizontal="center" vertical="center"/>
    </xf>
    <xf numFmtId="9" fontId="0" fillId="0" borderId="6" xfId="0" applyNumberForma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0" fontId="2" fillId="0" borderId="6" xfId="0" applyFont="1" applyBorder="1"/>
    <xf numFmtId="164" fontId="2" fillId="0" borderId="6" xfId="3" applyNumberFormat="1" applyFont="1" applyBorder="1" applyAlignment="1">
      <alignment horizontal="center" vertical="center"/>
    </xf>
    <xf numFmtId="41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2" borderId="0" xfId="0" applyFont="1" applyFill="1" applyAlignment="1">
      <alignment vertical="center"/>
    </xf>
    <xf numFmtId="3" fontId="0" fillId="2" borderId="0" xfId="0" applyNumberFormat="1" applyFill="1" applyAlignment="1">
      <alignment horizontal="center" vertical="center"/>
    </xf>
    <xf numFmtId="166" fontId="0" fillId="0" borderId="6" xfId="1" applyNumberFormat="1" applyFont="1" applyBorder="1" applyAlignment="1">
      <alignment vertical="center"/>
    </xf>
    <xf numFmtId="10" fontId="0" fillId="0" borderId="0" xfId="2" applyNumberFormat="1" applyFont="1" applyAlignment="1">
      <alignment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/>
    <xf numFmtId="0" fontId="0" fillId="0" borderId="6" xfId="0" applyBorder="1"/>
    <xf numFmtId="9" fontId="0" fillId="0" borderId="6" xfId="2" applyFont="1" applyBorder="1"/>
    <xf numFmtId="3" fontId="0" fillId="0" borderId="6" xfId="0" applyNumberFormat="1" applyBorder="1"/>
    <xf numFmtId="41" fontId="0" fillId="0" borderId="5" xfId="0" applyNumberFormat="1" applyBorder="1"/>
    <xf numFmtId="9" fontId="0" fillId="0" borderId="6" xfId="0" applyNumberFormat="1" applyBorder="1"/>
    <xf numFmtId="3" fontId="0" fillId="0" borderId="0" xfId="0" applyNumberFormat="1"/>
    <xf numFmtId="10" fontId="0" fillId="0" borderId="5" xfId="2" applyNumberFormat="1" applyFont="1" applyBorder="1"/>
    <xf numFmtId="167" fontId="0" fillId="0" borderId="5" xfId="1" applyNumberFormat="1" applyFont="1" applyBorder="1"/>
    <xf numFmtId="0" fontId="4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4" fillId="2" borderId="6" xfId="0" applyFont="1" applyFill="1" applyBorder="1" applyAlignment="1">
      <alignment horizontal="left" vertical="center" wrapText="1"/>
    </xf>
    <xf numFmtId="9" fontId="0" fillId="2" borderId="6" xfId="0" applyNumberForma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7" fontId="8" fillId="0" borderId="6" xfId="0" applyNumberFormat="1" applyFont="1" applyBorder="1" applyAlignment="1">
      <alignment horizontal="center" vertical="center" wrapText="1"/>
    </xf>
    <xf numFmtId="17" fontId="8" fillId="2" borderId="6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5" fillId="2" borderId="6" xfId="0" applyFont="1" applyFill="1" applyBorder="1" applyAlignment="1">
      <alignment horizontal="left" vertical="center" wrapText="1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10" fontId="16" fillId="0" borderId="6" xfId="0" applyNumberFormat="1" applyFont="1" applyBorder="1" applyAlignment="1">
      <alignment vertical="center"/>
    </xf>
    <xf numFmtId="43" fontId="16" fillId="0" borderId="6" xfId="1" applyFont="1" applyBorder="1" applyAlignment="1">
      <alignment vertical="center"/>
    </xf>
  </cellXfs>
  <cellStyles count="4">
    <cellStyle name="Millares" xfId="1" builtinId="3"/>
    <cellStyle name="Millares [0]" xfId="3" builtinId="6"/>
    <cellStyle name="Normal" xfId="0" builtinId="0"/>
    <cellStyle name="Porcentaje" xfId="2" builtinId="5"/>
  </cellStyles>
  <dxfs count="57"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2F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</xdr:colOff>
      <xdr:row>1</xdr:row>
      <xdr:rowOff>139065</xdr:rowOff>
    </xdr:from>
    <xdr:to>
      <xdr:col>1</xdr:col>
      <xdr:colOff>882675</xdr:colOff>
      <xdr:row>5</xdr:row>
      <xdr:rowOff>158223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085" y="329565"/>
          <a:ext cx="827405" cy="93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1</xdr:row>
      <xdr:rowOff>70485</xdr:rowOff>
    </xdr:from>
    <xdr:to>
      <xdr:col>1</xdr:col>
      <xdr:colOff>890295</xdr:colOff>
      <xdr:row>5</xdr:row>
      <xdr:rowOff>211563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30" y="260985"/>
          <a:ext cx="827405" cy="1055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1</xdr:row>
      <xdr:rowOff>70485</xdr:rowOff>
    </xdr:from>
    <xdr:to>
      <xdr:col>1</xdr:col>
      <xdr:colOff>890295</xdr:colOff>
      <xdr:row>5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855" y="260985"/>
          <a:ext cx="827405" cy="10344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1</xdr:row>
      <xdr:rowOff>70485</xdr:rowOff>
    </xdr:from>
    <xdr:to>
      <xdr:col>1</xdr:col>
      <xdr:colOff>890295</xdr:colOff>
      <xdr:row>5</xdr:row>
      <xdr:rowOff>198120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235" y="260985"/>
          <a:ext cx="827405" cy="10420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1</xdr:row>
      <xdr:rowOff>70485</xdr:rowOff>
    </xdr:from>
    <xdr:to>
      <xdr:col>1</xdr:col>
      <xdr:colOff>868680</xdr:colOff>
      <xdr:row>5</xdr:row>
      <xdr:rowOff>205740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855" y="260985"/>
          <a:ext cx="805815" cy="1049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5117038483843"/>
  </sheetPr>
  <dimension ref="B1:AF442"/>
  <sheetViews>
    <sheetView showGridLines="0" zoomScale="70" zoomScaleNormal="70" workbookViewId="0">
      <pane xSplit="3" ySplit="3" topLeftCell="D408" activePane="bottomRight" state="frozen"/>
      <selection pane="topRight"/>
      <selection pane="bottomLeft"/>
      <selection pane="bottomRight" activeCell="AD442" activeCellId="10" sqref="AD42 AD82 AD122 AD162 AD202 AD242 AD282 AD322 AD362 AD402 AD442"/>
    </sheetView>
  </sheetViews>
  <sheetFormatPr baseColWidth="10" defaultColWidth="11.109375" defaultRowHeight="15"/>
  <cols>
    <col min="1" max="1" width="2.109375" style="38" customWidth="1"/>
    <col min="2" max="3" width="11.109375" style="38"/>
    <col min="4" max="27" width="9" style="38" bestFit="1" customWidth="1"/>
    <col min="28" max="28" width="5.88671875" style="40" customWidth="1"/>
    <col min="29" max="29" width="6.77734375" style="40" customWidth="1"/>
    <col min="30" max="30" width="9.6640625" style="38" customWidth="1"/>
    <col min="31" max="16384" width="11.109375" style="38"/>
  </cols>
  <sheetData>
    <row r="1" spans="2:30" ht="23.25">
      <c r="B1" s="41" t="s">
        <v>0</v>
      </c>
    </row>
    <row r="2" spans="2:30" ht="23.25">
      <c r="B2" s="41" t="s">
        <v>1</v>
      </c>
    </row>
    <row r="3" spans="2:30" ht="23.25">
      <c r="B3" s="41"/>
    </row>
    <row r="4" spans="2:30" ht="23.25">
      <c r="B4" s="41" t="s">
        <v>2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68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69"/>
      <c r="AC4" s="69"/>
      <c r="AD4" s="46"/>
    </row>
    <row r="5" spans="2:30">
      <c r="B5" s="32" t="s">
        <v>3</v>
      </c>
      <c r="C5" s="32" t="s">
        <v>4</v>
      </c>
      <c r="D5" s="32" t="s">
        <v>5</v>
      </c>
      <c r="E5" s="32" t="s">
        <v>6</v>
      </c>
      <c r="F5" s="32" t="s">
        <v>7</v>
      </c>
      <c r="G5" s="32" t="s">
        <v>8</v>
      </c>
      <c r="H5" s="32" t="s">
        <v>9</v>
      </c>
      <c r="I5" s="32" t="s">
        <v>10</v>
      </c>
      <c r="J5" s="32" t="s">
        <v>11</v>
      </c>
      <c r="K5" s="32" t="s">
        <v>12</v>
      </c>
      <c r="L5" s="32" t="s">
        <v>13</v>
      </c>
      <c r="M5" s="32" t="s">
        <v>14</v>
      </c>
      <c r="N5" s="32" t="s">
        <v>15</v>
      </c>
      <c r="O5" s="32" t="s">
        <v>16</v>
      </c>
      <c r="P5" s="32" t="s">
        <v>17</v>
      </c>
      <c r="Q5" s="32" t="s">
        <v>18</v>
      </c>
      <c r="R5" s="32" t="s">
        <v>19</v>
      </c>
      <c r="S5" s="32" t="s">
        <v>20</v>
      </c>
      <c r="T5" s="32" t="s">
        <v>21</v>
      </c>
      <c r="U5" s="32" t="s">
        <v>22</v>
      </c>
      <c r="V5" s="32" t="s">
        <v>23</v>
      </c>
      <c r="W5" s="32" t="s">
        <v>24</v>
      </c>
      <c r="X5" s="32" t="s">
        <v>25</v>
      </c>
      <c r="Y5" s="32" t="s">
        <v>26</v>
      </c>
      <c r="Z5" s="32" t="s">
        <v>27</v>
      </c>
      <c r="AA5" s="32" t="s">
        <v>28</v>
      </c>
      <c r="AB5" s="33" t="s">
        <v>29</v>
      </c>
      <c r="AC5" s="33" t="s">
        <v>30</v>
      </c>
      <c r="AD5" s="32" t="s">
        <v>31</v>
      </c>
    </row>
    <row r="6" spans="2:30">
      <c r="B6" s="89">
        <v>46388</v>
      </c>
      <c r="C6" s="34" t="s">
        <v>32</v>
      </c>
      <c r="D6" s="70">
        <v>30.0228</v>
      </c>
      <c r="E6" s="70">
        <v>30.0228</v>
      </c>
      <c r="F6" s="70">
        <v>30.0228</v>
      </c>
      <c r="G6" s="70">
        <v>30.0228</v>
      </c>
      <c r="H6" s="70">
        <v>30.0228</v>
      </c>
      <c r="I6" s="70">
        <v>30.0228</v>
      </c>
      <c r="J6" s="70">
        <v>30.0228</v>
      </c>
      <c r="K6" s="70">
        <v>30.0228</v>
      </c>
      <c r="L6" s="70">
        <v>30.0228</v>
      </c>
      <c r="M6" s="70">
        <v>30.0228</v>
      </c>
      <c r="N6" s="70">
        <v>30.0228</v>
      </c>
      <c r="O6" s="70">
        <v>30.0228</v>
      </c>
      <c r="P6" s="70">
        <v>30.0228</v>
      </c>
      <c r="Q6" s="70">
        <v>30.0228</v>
      </c>
      <c r="R6" s="70">
        <v>30.0228</v>
      </c>
      <c r="S6" s="70">
        <v>30.0228</v>
      </c>
      <c r="T6" s="70">
        <v>30.0228</v>
      </c>
      <c r="U6" s="70">
        <v>30.0228</v>
      </c>
      <c r="V6" s="70">
        <v>30.0228</v>
      </c>
      <c r="W6" s="70">
        <v>30.0228</v>
      </c>
      <c r="X6" s="70">
        <v>30.0228</v>
      </c>
      <c r="Y6" s="70">
        <v>30.0228</v>
      </c>
      <c r="Z6" s="70">
        <v>30.0228</v>
      </c>
      <c r="AA6" s="70">
        <v>30.0228</v>
      </c>
      <c r="AB6" s="36">
        <f>SUM(D6:AA6)</f>
        <v>720.54719999999998</v>
      </c>
      <c r="AC6" s="37">
        <v>19</v>
      </c>
      <c r="AD6" s="91">
        <f>+AB6*AC6+AB7*AC7+AB8*AC8</f>
        <v>22336.963199999998</v>
      </c>
    </row>
    <row r="7" spans="2:30">
      <c r="B7" s="89"/>
      <c r="C7" s="34" t="s">
        <v>33</v>
      </c>
      <c r="D7" s="70">
        <v>30.0228</v>
      </c>
      <c r="E7" s="70">
        <v>30.0228</v>
      </c>
      <c r="F7" s="70">
        <v>30.0228</v>
      </c>
      <c r="G7" s="70">
        <v>30.0228</v>
      </c>
      <c r="H7" s="70">
        <v>30.0228</v>
      </c>
      <c r="I7" s="70">
        <v>30.0228</v>
      </c>
      <c r="J7" s="70">
        <v>30.0228</v>
      </c>
      <c r="K7" s="70">
        <v>30.0228</v>
      </c>
      <c r="L7" s="70">
        <v>30.0228</v>
      </c>
      <c r="M7" s="70">
        <v>30.0228</v>
      </c>
      <c r="N7" s="70">
        <v>30.0228</v>
      </c>
      <c r="O7" s="70">
        <v>30.0228</v>
      </c>
      <c r="P7" s="70">
        <v>30.0228</v>
      </c>
      <c r="Q7" s="70">
        <v>30.0228</v>
      </c>
      <c r="R7" s="70">
        <v>30.0228</v>
      </c>
      <c r="S7" s="70">
        <v>30.0228</v>
      </c>
      <c r="T7" s="70">
        <v>30.0228</v>
      </c>
      <c r="U7" s="70">
        <v>30.0228</v>
      </c>
      <c r="V7" s="70">
        <v>30.0228</v>
      </c>
      <c r="W7" s="70">
        <v>30.0228</v>
      </c>
      <c r="X7" s="70">
        <v>30.0228</v>
      </c>
      <c r="Y7" s="70">
        <v>30.0228</v>
      </c>
      <c r="Z7" s="70">
        <v>30.0228</v>
      </c>
      <c r="AA7" s="70">
        <v>30.0228</v>
      </c>
      <c r="AB7" s="36">
        <f t="shared" ref="AB7:AB41" si="0">SUM(D7:AA7)</f>
        <v>720.54719999999998</v>
      </c>
      <c r="AC7" s="37">
        <v>5</v>
      </c>
      <c r="AD7" s="91"/>
    </row>
    <row r="8" spans="2:30">
      <c r="B8" s="89"/>
      <c r="C8" s="34" t="s">
        <v>34</v>
      </c>
      <c r="D8" s="70">
        <v>30.0228</v>
      </c>
      <c r="E8" s="70">
        <v>30.0228</v>
      </c>
      <c r="F8" s="70">
        <v>30.0228</v>
      </c>
      <c r="G8" s="70">
        <v>30.0228</v>
      </c>
      <c r="H8" s="70">
        <v>30.0228</v>
      </c>
      <c r="I8" s="70">
        <v>30.0228</v>
      </c>
      <c r="J8" s="70">
        <v>30.0228</v>
      </c>
      <c r="K8" s="70">
        <v>30.0228</v>
      </c>
      <c r="L8" s="70">
        <v>30.0228</v>
      </c>
      <c r="M8" s="70">
        <v>30.0228</v>
      </c>
      <c r="N8" s="70">
        <v>30.0228</v>
      </c>
      <c r="O8" s="70">
        <v>30.0228</v>
      </c>
      <c r="P8" s="70">
        <v>30.0228</v>
      </c>
      <c r="Q8" s="70">
        <v>30.0228</v>
      </c>
      <c r="R8" s="70">
        <v>30.0228</v>
      </c>
      <c r="S8" s="70">
        <v>30.0228</v>
      </c>
      <c r="T8" s="70">
        <v>30.0228</v>
      </c>
      <c r="U8" s="70">
        <v>30.0228</v>
      </c>
      <c r="V8" s="70">
        <v>30.0228</v>
      </c>
      <c r="W8" s="70">
        <v>30.0228</v>
      </c>
      <c r="X8" s="70">
        <v>30.0228</v>
      </c>
      <c r="Y8" s="70">
        <v>30.0228</v>
      </c>
      <c r="Z8" s="70">
        <v>30.0228</v>
      </c>
      <c r="AA8" s="70">
        <v>30.0228</v>
      </c>
      <c r="AB8" s="36">
        <f t="shared" si="0"/>
        <v>720.54719999999998</v>
      </c>
      <c r="AC8" s="37">
        <v>7</v>
      </c>
      <c r="AD8" s="91"/>
    </row>
    <row r="9" spans="2:30">
      <c r="B9" s="89">
        <v>46419</v>
      </c>
      <c r="C9" s="34" t="s">
        <v>32</v>
      </c>
      <c r="D9" s="70">
        <v>30.0228</v>
      </c>
      <c r="E9" s="70">
        <v>30.0228</v>
      </c>
      <c r="F9" s="70">
        <v>30.0228</v>
      </c>
      <c r="G9" s="70">
        <v>30.0228</v>
      </c>
      <c r="H9" s="70">
        <v>30.0228</v>
      </c>
      <c r="I9" s="70">
        <v>30.0228</v>
      </c>
      <c r="J9" s="70">
        <v>30.0228</v>
      </c>
      <c r="K9" s="70">
        <v>30.0228</v>
      </c>
      <c r="L9" s="70">
        <v>30.0228</v>
      </c>
      <c r="M9" s="70">
        <v>30.0228</v>
      </c>
      <c r="N9" s="70">
        <v>30.0228</v>
      </c>
      <c r="O9" s="70">
        <v>30.0228</v>
      </c>
      <c r="P9" s="70">
        <v>30.0228</v>
      </c>
      <c r="Q9" s="70">
        <v>30.0228</v>
      </c>
      <c r="R9" s="70">
        <v>30.0228</v>
      </c>
      <c r="S9" s="70">
        <v>30.0228</v>
      </c>
      <c r="T9" s="70">
        <v>30.0228</v>
      </c>
      <c r="U9" s="70">
        <v>30.0228</v>
      </c>
      <c r="V9" s="70">
        <v>30.0228</v>
      </c>
      <c r="W9" s="70">
        <v>30.0228</v>
      </c>
      <c r="X9" s="70">
        <v>30.0228</v>
      </c>
      <c r="Y9" s="70">
        <v>30.0228</v>
      </c>
      <c r="Z9" s="70">
        <v>30.0228</v>
      </c>
      <c r="AA9" s="70">
        <v>30.0228</v>
      </c>
      <c r="AB9" s="36">
        <f t="shared" si="0"/>
        <v>720.54719999999998</v>
      </c>
      <c r="AC9" s="37">
        <v>20</v>
      </c>
      <c r="AD9" s="91">
        <f>+AB9*AC9+AB10*AC10+AB11*AC11</f>
        <v>20175.321599999999</v>
      </c>
    </row>
    <row r="10" spans="2:30">
      <c r="B10" s="89"/>
      <c r="C10" s="34" t="s">
        <v>33</v>
      </c>
      <c r="D10" s="70">
        <v>30.0228</v>
      </c>
      <c r="E10" s="70">
        <v>30.0228</v>
      </c>
      <c r="F10" s="70">
        <v>30.0228</v>
      </c>
      <c r="G10" s="70">
        <v>30.0228</v>
      </c>
      <c r="H10" s="70">
        <v>30.0228</v>
      </c>
      <c r="I10" s="70">
        <v>30.0228</v>
      </c>
      <c r="J10" s="70">
        <v>30.0228</v>
      </c>
      <c r="K10" s="70">
        <v>30.0228</v>
      </c>
      <c r="L10" s="70">
        <v>30.0228</v>
      </c>
      <c r="M10" s="70">
        <v>30.0228</v>
      </c>
      <c r="N10" s="70">
        <v>30.0228</v>
      </c>
      <c r="O10" s="70">
        <v>30.0228</v>
      </c>
      <c r="P10" s="70">
        <v>30.0228</v>
      </c>
      <c r="Q10" s="70">
        <v>30.0228</v>
      </c>
      <c r="R10" s="70">
        <v>30.0228</v>
      </c>
      <c r="S10" s="70">
        <v>30.0228</v>
      </c>
      <c r="T10" s="70">
        <v>30.0228</v>
      </c>
      <c r="U10" s="70">
        <v>30.0228</v>
      </c>
      <c r="V10" s="70">
        <v>30.0228</v>
      </c>
      <c r="W10" s="70">
        <v>30.0228</v>
      </c>
      <c r="X10" s="70">
        <v>30.0228</v>
      </c>
      <c r="Y10" s="70">
        <v>30.0228</v>
      </c>
      <c r="Z10" s="70">
        <v>30.0228</v>
      </c>
      <c r="AA10" s="70">
        <v>30.0228</v>
      </c>
      <c r="AB10" s="36">
        <f t="shared" si="0"/>
        <v>720.54719999999998</v>
      </c>
      <c r="AC10" s="37">
        <v>4</v>
      </c>
      <c r="AD10" s="91"/>
    </row>
    <row r="11" spans="2:30">
      <c r="B11" s="89"/>
      <c r="C11" s="34" t="s">
        <v>34</v>
      </c>
      <c r="D11" s="70">
        <v>30.0228</v>
      </c>
      <c r="E11" s="70">
        <v>30.0228</v>
      </c>
      <c r="F11" s="70">
        <v>30.0228</v>
      </c>
      <c r="G11" s="70">
        <v>30.0228</v>
      </c>
      <c r="H11" s="70">
        <v>30.0228</v>
      </c>
      <c r="I11" s="70">
        <v>30.0228</v>
      </c>
      <c r="J11" s="70">
        <v>30.0228</v>
      </c>
      <c r="K11" s="70">
        <v>30.0228</v>
      </c>
      <c r="L11" s="70">
        <v>30.0228</v>
      </c>
      <c r="M11" s="70">
        <v>30.0228</v>
      </c>
      <c r="N11" s="70">
        <v>30.0228</v>
      </c>
      <c r="O11" s="70">
        <v>30.0228</v>
      </c>
      <c r="P11" s="70">
        <v>30.0228</v>
      </c>
      <c r="Q11" s="70">
        <v>30.0228</v>
      </c>
      <c r="R11" s="70">
        <v>30.0228</v>
      </c>
      <c r="S11" s="70">
        <v>30.0228</v>
      </c>
      <c r="T11" s="70">
        <v>30.0228</v>
      </c>
      <c r="U11" s="70">
        <v>30.0228</v>
      </c>
      <c r="V11" s="70">
        <v>30.0228</v>
      </c>
      <c r="W11" s="70">
        <v>30.0228</v>
      </c>
      <c r="X11" s="70">
        <v>30.0228</v>
      </c>
      <c r="Y11" s="70">
        <v>30.0228</v>
      </c>
      <c r="Z11" s="70">
        <v>30.0228</v>
      </c>
      <c r="AA11" s="70">
        <v>30.0228</v>
      </c>
      <c r="AB11" s="36">
        <f t="shared" si="0"/>
        <v>720.54719999999998</v>
      </c>
      <c r="AC11" s="37">
        <v>4</v>
      </c>
      <c r="AD11" s="91"/>
    </row>
    <row r="12" spans="2:30">
      <c r="B12" s="89">
        <v>46447</v>
      </c>
      <c r="C12" s="34" t="s">
        <v>32</v>
      </c>
      <c r="D12" s="70">
        <v>30.0228</v>
      </c>
      <c r="E12" s="70">
        <v>30.0228</v>
      </c>
      <c r="F12" s="70">
        <v>30.0228</v>
      </c>
      <c r="G12" s="70">
        <v>30.0228</v>
      </c>
      <c r="H12" s="70">
        <v>30.0228</v>
      </c>
      <c r="I12" s="70">
        <v>30.0228</v>
      </c>
      <c r="J12" s="70">
        <v>30.0228</v>
      </c>
      <c r="K12" s="70">
        <v>30.0228</v>
      </c>
      <c r="L12" s="70">
        <v>30.0228</v>
      </c>
      <c r="M12" s="70">
        <v>30.0228</v>
      </c>
      <c r="N12" s="70">
        <v>30.0228</v>
      </c>
      <c r="O12" s="70">
        <v>30.0228</v>
      </c>
      <c r="P12" s="70">
        <v>30.0228</v>
      </c>
      <c r="Q12" s="70">
        <v>30.0228</v>
      </c>
      <c r="R12" s="70">
        <v>30.0228</v>
      </c>
      <c r="S12" s="70">
        <v>30.0228</v>
      </c>
      <c r="T12" s="70">
        <v>30.0228</v>
      </c>
      <c r="U12" s="70">
        <v>30.0228</v>
      </c>
      <c r="V12" s="70">
        <v>30.0228</v>
      </c>
      <c r="W12" s="70">
        <v>30.0228</v>
      </c>
      <c r="X12" s="70">
        <v>30.0228</v>
      </c>
      <c r="Y12" s="70">
        <v>30.0228</v>
      </c>
      <c r="Z12" s="70">
        <v>30.0228</v>
      </c>
      <c r="AA12" s="70">
        <v>30.0228</v>
      </c>
      <c r="AB12" s="36">
        <f t="shared" si="0"/>
        <v>720.54719999999998</v>
      </c>
      <c r="AC12" s="37">
        <v>20</v>
      </c>
      <c r="AD12" s="91">
        <f>+AB12*AC12+AB13*AC13+AB14*AC14</f>
        <v>22336.963199999998</v>
      </c>
    </row>
    <row r="13" spans="2:30">
      <c r="B13" s="89"/>
      <c r="C13" s="34" t="s">
        <v>33</v>
      </c>
      <c r="D13" s="70">
        <v>30.0228</v>
      </c>
      <c r="E13" s="70">
        <v>30.0228</v>
      </c>
      <c r="F13" s="70">
        <v>30.0228</v>
      </c>
      <c r="G13" s="70">
        <v>30.0228</v>
      </c>
      <c r="H13" s="70">
        <v>30.0228</v>
      </c>
      <c r="I13" s="70">
        <v>30.0228</v>
      </c>
      <c r="J13" s="70">
        <v>30.0228</v>
      </c>
      <c r="K13" s="70">
        <v>30.0228</v>
      </c>
      <c r="L13" s="70">
        <v>30.0228</v>
      </c>
      <c r="M13" s="70">
        <v>30.0228</v>
      </c>
      <c r="N13" s="70">
        <v>30.0228</v>
      </c>
      <c r="O13" s="70">
        <v>30.0228</v>
      </c>
      <c r="P13" s="70">
        <v>30.0228</v>
      </c>
      <c r="Q13" s="70">
        <v>30.0228</v>
      </c>
      <c r="R13" s="70">
        <v>30.0228</v>
      </c>
      <c r="S13" s="70">
        <v>30.0228</v>
      </c>
      <c r="T13" s="70">
        <v>30.0228</v>
      </c>
      <c r="U13" s="70">
        <v>30.0228</v>
      </c>
      <c r="V13" s="70">
        <v>30.0228</v>
      </c>
      <c r="W13" s="70">
        <v>30.0228</v>
      </c>
      <c r="X13" s="70">
        <v>30.0228</v>
      </c>
      <c r="Y13" s="70">
        <v>30.0228</v>
      </c>
      <c r="Z13" s="70">
        <v>30.0228</v>
      </c>
      <c r="AA13" s="70">
        <v>30.0228</v>
      </c>
      <c r="AB13" s="36">
        <f t="shared" si="0"/>
        <v>720.54719999999998</v>
      </c>
      <c r="AC13" s="37">
        <v>4</v>
      </c>
      <c r="AD13" s="91"/>
    </row>
    <row r="14" spans="2:30">
      <c r="B14" s="89"/>
      <c r="C14" s="34" t="s">
        <v>34</v>
      </c>
      <c r="D14" s="70">
        <v>30.0228</v>
      </c>
      <c r="E14" s="70">
        <v>30.0228</v>
      </c>
      <c r="F14" s="70">
        <v>30.0228</v>
      </c>
      <c r="G14" s="70">
        <v>30.0228</v>
      </c>
      <c r="H14" s="70">
        <v>30.0228</v>
      </c>
      <c r="I14" s="70">
        <v>30.0228</v>
      </c>
      <c r="J14" s="70">
        <v>30.0228</v>
      </c>
      <c r="K14" s="70">
        <v>30.0228</v>
      </c>
      <c r="L14" s="70">
        <v>30.0228</v>
      </c>
      <c r="M14" s="70">
        <v>30.0228</v>
      </c>
      <c r="N14" s="70">
        <v>30.0228</v>
      </c>
      <c r="O14" s="70">
        <v>30.0228</v>
      </c>
      <c r="P14" s="70">
        <v>30.0228</v>
      </c>
      <c r="Q14" s="70">
        <v>30.0228</v>
      </c>
      <c r="R14" s="70">
        <v>30.0228</v>
      </c>
      <c r="S14" s="70">
        <v>30.0228</v>
      </c>
      <c r="T14" s="70">
        <v>30.0228</v>
      </c>
      <c r="U14" s="70">
        <v>30.0228</v>
      </c>
      <c r="V14" s="70">
        <v>30.0228</v>
      </c>
      <c r="W14" s="70">
        <v>30.0228</v>
      </c>
      <c r="X14" s="70">
        <v>30.0228</v>
      </c>
      <c r="Y14" s="70">
        <v>30.0228</v>
      </c>
      <c r="Z14" s="70">
        <v>30.0228</v>
      </c>
      <c r="AA14" s="70">
        <v>30.0228</v>
      </c>
      <c r="AB14" s="36">
        <f t="shared" si="0"/>
        <v>720.54719999999998</v>
      </c>
      <c r="AC14" s="37">
        <v>7</v>
      </c>
      <c r="AD14" s="91"/>
    </row>
    <row r="15" spans="2:30">
      <c r="B15" s="89">
        <v>46478</v>
      </c>
      <c r="C15" s="34" t="s">
        <v>32</v>
      </c>
      <c r="D15" s="70">
        <v>30.0228</v>
      </c>
      <c r="E15" s="70">
        <v>30.0228</v>
      </c>
      <c r="F15" s="70">
        <v>30.0228</v>
      </c>
      <c r="G15" s="70">
        <v>30.0228</v>
      </c>
      <c r="H15" s="70">
        <v>30.0228</v>
      </c>
      <c r="I15" s="70">
        <v>30.0228</v>
      </c>
      <c r="J15" s="70">
        <v>30.0228</v>
      </c>
      <c r="K15" s="70">
        <v>30.0228</v>
      </c>
      <c r="L15" s="70">
        <v>30.0228</v>
      </c>
      <c r="M15" s="70">
        <v>30.0228</v>
      </c>
      <c r="N15" s="70">
        <v>30.0228</v>
      </c>
      <c r="O15" s="70">
        <v>30.0228</v>
      </c>
      <c r="P15" s="70">
        <v>30.0228</v>
      </c>
      <c r="Q15" s="70">
        <v>30.0228</v>
      </c>
      <c r="R15" s="70">
        <v>30.0228</v>
      </c>
      <c r="S15" s="70">
        <v>30.0228</v>
      </c>
      <c r="T15" s="70">
        <v>30.0228</v>
      </c>
      <c r="U15" s="70">
        <v>30.0228</v>
      </c>
      <c r="V15" s="70">
        <v>30.0228</v>
      </c>
      <c r="W15" s="70">
        <v>30.0228</v>
      </c>
      <c r="X15" s="70">
        <v>30.0228</v>
      </c>
      <c r="Y15" s="70">
        <v>30.0228</v>
      </c>
      <c r="Z15" s="70">
        <v>30.0228</v>
      </c>
      <c r="AA15" s="70">
        <v>30.0228</v>
      </c>
      <c r="AB15" s="36">
        <f t="shared" si="0"/>
        <v>720.54719999999998</v>
      </c>
      <c r="AC15" s="37">
        <v>22</v>
      </c>
      <c r="AD15" s="91">
        <f>+AB15*AC15+AB16*AC16+AB17*AC17</f>
        <v>21616.416000000001</v>
      </c>
    </row>
    <row r="16" spans="2:30">
      <c r="B16" s="89"/>
      <c r="C16" s="34" t="s">
        <v>33</v>
      </c>
      <c r="D16" s="70">
        <v>30.0228</v>
      </c>
      <c r="E16" s="70">
        <v>30.0228</v>
      </c>
      <c r="F16" s="70">
        <v>30.0228</v>
      </c>
      <c r="G16" s="70">
        <v>30.0228</v>
      </c>
      <c r="H16" s="70">
        <v>30.0228</v>
      </c>
      <c r="I16" s="70">
        <v>30.0228</v>
      </c>
      <c r="J16" s="70">
        <v>30.0228</v>
      </c>
      <c r="K16" s="70">
        <v>30.0228</v>
      </c>
      <c r="L16" s="70">
        <v>30.0228</v>
      </c>
      <c r="M16" s="70">
        <v>30.0228</v>
      </c>
      <c r="N16" s="70">
        <v>30.0228</v>
      </c>
      <c r="O16" s="70">
        <v>30.0228</v>
      </c>
      <c r="P16" s="70">
        <v>30.0228</v>
      </c>
      <c r="Q16" s="70">
        <v>30.0228</v>
      </c>
      <c r="R16" s="70">
        <v>30.0228</v>
      </c>
      <c r="S16" s="70">
        <v>30.0228</v>
      </c>
      <c r="T16" s="70">
        <v>30.0228</v>
      </c>
      <c r="U16" s="70">
        <v>30.0228</v>
      </c>
      <c r="V16" s="70">
        <v>30.0228</v>
      </c>
      <c r="W16" s="70">
        <v>30.0228</v>
      </c>
      <c r="X16" s="70">
        <v>30.0228</v>
      </c>
      <c r="Y16" s="70">
        <v>30.0228</v>
      </c>
      <c r="Z16" s="70">
        <v>30.0228</v>
      </c>
      <c r="AA16" s="70">
        <v>30.0228</v>
      </c>
      <c r="AB16" s="36">
        <f t="shared" si="0"/>
        <v>720.54719999999998</v>
      </c>
      <c r="AC16" s="37">
        <v>4</v>
      </c>
      <c r="AD16" s="91"/>
    </row>
    <row r="17" spans="2:30">
      <c r="B17" s="89"/>
      <c r="C17" s="34" t="s">
        <v>34</v>
      </c>
      <c r="D17" s="70">
        <v>30.0228</v>
      </c>
      <c r="E17" s="70">
        <v>30.0228</v>
      </c>
      <c r="F17" s="70">
        <v>30.0228</v>
      </c>
      <c r="G17" s="70">
        <v>30.0228</v>
      </c>
      <c r="H17" s="70">
        <v>30.0228</v>
      </c>
      <c r="I17" s="70">
        <v>30.0228</v>
      </c>
      <c r="J17" s="70">
        <v>30.0228</v>
      </c>
      <c r="K17" s="70">
        <v>30.0228</v>
      </c>
      <c r="L17" s="70">
        <v>30.0228</v>
      </c>
      <c r="M17" s="70">
        <v>30.0228</v>
      </c>
      <c r="N17" s="70">
        <v>30.0228</v>
      </c>
      <c r="O17" s="70">
        <v>30.0228</v>
      </c>
      <c r="P17" s="70">
        <v>30.0228</v>
      </c>
      <c r="Q17" s="70">
        <v>30.0228</v>
      </c>
      <c r="R17" s="70">
        <v>30.0228</v>
      </c>
      <c r="S17" s="70">
        <v>30.0228</v>
      </c>
      <c r="T17" s="70">
        <v>30.0228</v>
      </c>
      <c r="U17" s="70">
        <v>30.0228</v>
      </c>
      <c r="V17" s="70">
        <v>30.0228</v>
      </c>
      <c r="W17" s="70">
        <v>30.0228</v>
      </c>
      <c r="X17" s="70">
        <v>30.0228</v>
      </c>
      <c r="Y17" s="70">
        <v>30.0228</v>
      </c>
      <c r="Z17" s="70">
        <v>30.0228</v>
      </c>
      <c r="AA17" s="70">
        <v>30.0228</v>
      </c>
      <c r="AB17" s="36">
        <f t="shared" si="0"/>
        <v>720.54719999999998</v>
      </c>
      <c r="AC17" s="37">
        <v>4</v>
      </c>
      <c r="AD17" s="91"/>
    </row>
    <row r="18" spans="2:30">
      <c r="B18" s="89">
        <v>46508</v>
      </c>
      <c r="C18" s="34" t="s">
        <v>32</v>
      </c>
      <c r="D18" s="70">
        <v>30.0228</v>
      </c>
      <c r="E18" s="70">
        <v>30.0228</v>
      </c>
      <c r="F18" s="70">
        <v>30.0228</v>
      </c>
      <c r="G18" s="70">
        <v>30.0228</v>
      </c>
      <c r="H18" s="70">
        <v>30.0228</v>
      </c>
      <c r="I18" s="70">
        <v>30.0228</v>
      </c>
      <c r="J18" s="70">
        <v>30.0228</v>
      </c>
      <c r="K18" s="70">
        <v>30.0228</v>
      </c>
      <c r="L18" s="70">
        <v>30.0228</v>
      </c>
      <c r="M18" s="70">
        <v>30.0228</v>
      </c>
      <c r="N18" s="70">
        <v>30.0228</v>
      </c>
      <c r="O18" s="70">
        <v>30.0228</v>
      </c>
      <c r="P18" s="70">
        <v>30.0228</v>
      </c>
      <c r="Q18" s="70">
        <v>30.0228</v>
      </c>
      <c r="R18" s="70">
        <v>30.0228</v>
      </c>
      <c r="S18" s="70">
        <v>30.0228</v>
      </c>
      <c r="T18" s="70">
        <v>30.0228</v>
      </c>
      <c r="U18" s="70">
        <v>30.0228</v>
      </c>
      <c r="V18" s="70">
        <v>30.0228</v>
      </c>
      <c r="W18" s="70">
        <v>30.0228</v>
      </c>
      <c r="X18" s="70">
        <v>30.0228</v>
      </c>
      <c r="Y18" s="70">
        <v>30.0228</v>
      </c>
      <c r="Z18" s="70">
        <v>30.0228</v>
      </c>
      <c r="AA18" s="70">
        <v>30.0228</v>
      </c>
      <c r="AB18" s="36">
        <f t="shared" si="0"/>
        <v>720.54719999999998</v>
      </c>
      <c r="AC18" s="37">
        <v>20</v>
      </c>
      <c r="AD18" s="91">
        <f>+AB18*AC18+AB19*AC19+AB20*AC20</f>
        <v>22336.963199999998</v>
      </c>
    </row>
    <row r="19" spans="2:30">
      <c r="B19" s="89"/>
      <c r="C19" s="34" t="s">
        <v>33</v>
      </c>
      <c r="D19" s="70">
        <v>30.0228</v>
      </c>
      <c r="E19" s="70">
        <v>30.0228</v>
      </c>
      <c r="F19" s="70">
        <v>30.0228</v>
      </c>
      <c r="G19" s="70">
        <v>30.0228</v>
      </c>
      <c r="H19" s="70">
        <v>30.0228</v>
      </c>
      <c r="I19" s="70">
        <v>30.0228</v>
      </c>
      <c r="J19" s="70">
        <v>30.0228</v>
      </c>
      <c r="K19" s="70">
        <v>30.0228</v>
      </c>
      <c r="L19" s="70">
        <v>30.0228</v>
      </c>
      <c r="M19" s="70">
        <v>30.0228</v>
      </c>
      <c r="N19" s="70">
        <v>30.0228</v>
      </c>
      <c r="O19" s="70">
        <v>30.0228</v>
      </c>
      <c r="P19" s="70">
        <v>30.0228</v>
      </c>
      <c r="Q19" s="70">
        <v>30.0228</v>
      </c>
      <c r="R19" s="70">
        <v>30.0228</v>
      </c>
      <c r="S19" s="70">
        <v>30.0228</v>
      </c>
      <c r="T19" s="70">
        <v>30.0228</v>
      </c>
      <c r="U19" s="70">
        <v>30.0228</v>
      </c>
      <c r="V19" s="70">
        <v>30.0228</v>
      </c>
      <c r="W19" s="70">
        <v>30.0228</v>
      </c>
      <c r="X19" s="70">
        <v>30.0228</v>
      </c>
      <c r="Y19" s="70">
        <v>30.0228</v>
      </c>
      <c r="Z19" s="70">
        <v>30.0228</v>
      </c>
      <c r="AA19" s="70">
        <v>30.0228</v>
      </c>
      <c r="AB19" s="36">
        <f t="shared" si="0"/>
        <v>720.54719999999998</v>
      </c>
      <c r="AC19" s="37">
        <v>4</v>
      </c>
      <c r="AD19" s="91"/>
    </row>
    <row r="20" spans="2:30">
      <c r="B20" s="89"/>
      <c r="C20" s="34" t="s">
        <v>34</v>
      </c>
      <c r="D20" s="70">
        <v>30.0228</v>
      </c>
      <c r="E20" s="70">
        <v>30.0228</v>
      </c>
      <c r="F20" s="70">
        <v>30.0228</v>
      </c>
      <c r="G20" s="70">
        <v>30.0228</v>
      </c>
      <c r="H20" s="70">
        <v>30.0228</v>
      </c>
      <c r="I20" s="70">
        <v>30.0228</v>
      </c>
      <c r="J20" s="70">
        <v>30.0228</v>
      </c>
      <c r="K20" s="70">
        <v>30.0228</v>
      </c>
      <c r="L20" s="70">
        <v>30.0228</v>
      </c>
      <c r="M20" s="70">
        <v>30.0228</v>
      </c>
      <c r="N20" s="70">
        <v>30.0228</v>
      </c>
      <c r="O20" s="70">
        <v>30.0228</v>
      </c>
      <c r="P20" s="70">
        <v>30.0228</v>
      </c>
      <c r="Q20" s="70">
        <v>30.0228</v>
      </c>
      <c r="R20" s="70">
        <v>30.0228</v>
      </c>
      <c r="S20" s="70">
        <v>30.0228</v>
      </c>
      <c r="T20" s="70">
        <v>30.0228</v>
      </c>
      <c r="U20" s="70">
        <v>30.0228</v>
      </c>
      <c r="V20" s="70">
        <v>30.0228</v>
      </c>
      <c r="W20" s="70">
        <v>30.0228</v>
      </c>
      <c r="X20" s="70">
        <v>30.0228</v>
      </c>
      <c r="Y20" s="70">
        <v>30.0228</v>
      </c>
      <c r="Z20" s="70">
        <v>30.0228</v>
      </c>
      <c r="AA20" s="70">
        <v>30.0228</v>
      </c>
      <c r="AB20" s="36">
        <f t="shared" si="0"/>
        <v>720.54719999999998</v>
      </c>
      <c r="AC20" s="37">
        <v>7</v>
      </c>
      <c r="AD20" s="91"/>
    </row>
    <row r="21" spans="2:30">
      <c r="B21" s="89">
        <v>46539</v>
      </c>
      <c r="C21" s="34" t="s">
        <v>32</v>
      </c>
      <c r="D21" s="70">
        <v>30.0228</v>
      </c>
      <c r="E21" s="70">
        <v>30.0228</v>
      </c>
      <c r="F21" s="70">
        <v>30.0228</v>
      </c>
      <c r="G21" s="70">
        <v>30.0228</v>
      </c>
      <c r="H21" s="70">
        <v>30.0228</v>
      </c>
      <c r="I21" s="70">
        <v>30.0228</v>
      </c>
      <c r="J21" s="70">
        <v>30.0228</v>
      </c>
      <c r="K21" s="70">
        <v>30.0228</v>
      </c>
      <c r="L21" s="70">
        <v>30.0228</v>
      </c>
      <c r="M21" s="70">
        <v>30.0228</v>
      </c>
      <c r="N21" s="70">
        <v>30.0228</v>
      </c>
      <c r="O21" s="70">
        <v>30.0228</v>
      </c>
      <c r="P21" s="70">
        <v>30.0228</v>
      </c>
      <c r="Q21" s="70">
        <v>30.0228</v>
      </c>
      <c r="R21" s="70">
        <v>30.0228</v>
      </c>
      <c r="S21" s="70">
        <v>30.0228</v>
      </c>
      <c r="T21" s="70">
        <v>30.0228</v>
      </c>
      <c r="U21" s="70">
        <v>30.0228</v>
      </c>
      <c r="V21" s="70">
        <v>30.0228</v>
      </c>
      <c r="W21" s="70">
        <v>30.0228</v>
      </c>
      <c r="X21" s="70">
        <v>30.0228</v>
      </c>
      <c r="Y21" s="70">
        <v>30.0228</v>
      </c>
      <c r="Z21" s="70">
        <v>30.0228</v>
      </c>
      <c r="AA21" s="70">
        <v>30.0228</v>
      </c>
      <c r="AB21" s="36">
        <f t="shared" si="0"/>
        <v>720.54719999999998</v>
      </c>
      <c r="AC21" s="37">
        <v>21</v>
      </c>
      <c r="AD21" s="91">
        <f>+AB21*AC21+AB22*AC22+AB23*AC23</f>
        <v>21616.416000000001</v>
      </c>
    </row>
    <row r="22" spans="2:30">
      <c r="B22" s="89"/>
      <c r="C22" s="34" t="s">
        <v>33</v>
      </c>
      <c r="D22" s="70">
        <v>30.0228</v>
      </c>
      <c r="E22" s="70">
        <v>30.0228</v>
      </c>
      <c r="F22" s="70">
        <v>30.0228</v>
      </c>
      <c r="G22" s="70">
        <v>30.0228</v>
      </c>
      <c r="H22" s="70">
        <v>30.0228</v>
      </c>
      <c r="I22" s="70">
        <v>30.0228</v>
      </c>
      <c r="J22" s="70">
        <v>30.0228</v>
      </c>
      <c r="K22" s="70">
        <v>30.0228</v>
      </c>
      <c r="L22" s="70">
        <v>30.0228</v>
      </c>
      <c r="M22" s="70">
        <v>30.0228</v>
      </c>
      <c r="N22" s="70">
        <v>30.0228</v>
      </c>
      <c r="O22" s="70">
        <v>30.0228</v>
      </c>
      <c r="P22" s="70">
        <v>30.0228</v>
      </c>
      <c r="Q22" s="70">
        <v>30.0228</v>
      </c>
      <c r="R22" s="70">
        <v>30.0228</v>
      </c>
      <c r="S22" s="70">
        <v>30.0228</v>
      </c>
      <c r="T22" s="70">
        <v>30.0228</v>
      </c>
      <c r="U22" s="70">
        <v>30.0228</v>
      </c>
      <c r="V22" s="70">
        <v>30.0228</v>
      </c>
      <c r="W22" s="70">
        <v>30.0228</v>
      </c>
      <c r="X22" s="70">
        <v>30.0228</v>
      </c>
      <c r="Y22" s="70">
        <v>30.0228</v>
      </c>
      <c r="Z22" s="70">
        <v>30.0228</v>
      </c>
      <c r="AA22" s="70">
        <v>30.0228</v>
      </c>
      <c r="AB22" s="36">
        <f t="shared" si="0"/>
        <v>720.54719999999998</v>
      </c>
      <c r="AC22" s="37">
        <v>4</v>
      </c>
      <c r="AD22" s="91"/>
    </row>
    <row r="23" spans="2:30">
      <c r="B23" s="89"/>
      <c r="C23" s="34" t="s">
        <v>34</v>
      </c>
      <c r="D23" s="70">
        <v>30.0228</v>
      </c>
      <c r="E23" s="70">
        <v>30.0228</v>
      </c>
      <c r="F23" s="70">
        <v>30.0228</v>
      </c>
      <c r="G23" s="70">
        <v>30.0228</v>
      </c>
      <c r="H23" s="70">
        <v>30.0228</v>
      </c>
      <c r="I23" s="70">
        <v>30.0228</v>
      </c>
      <c r="J23" s="70">
        <v>30.0228</v>
      </c>
      <c r="K23" s="70">
        <v>30.0228</v>
      </c>
      <c r="L23" s="70">
        <v>30.0228</v>
      </c>
      <c r="M23" s="70">
        <v>30.0228</v>
      </c>
      <c r="N23" s="70">
        <v>30.0228</v>
      </c>
      <c r="O23" s="70">
        <v>30.0228</v>
      </c>
      <c r="P23" s="70">
        <v>30.0228</v>
      </c>
      <c r="Q23" s="70">
        <v>30.0228</v>
      </c>
      <c r="R23" s="70">
        <v>30.0228</v>
      </c>
      <c r="S23" s="70">
        <v>30.0228</v>
      </c>
      <c r="T23" s="70">
        <v>30.0228</v>
      </c>
      <c r="U23" s="70">
        <v>30.0228</v>
      </c>
      <c r="V23" s="70">
        <v>30.0228</v>
      </c>
      <c r="W23" s="70">
        <v>30.0228</v>
      </c>
      <c r="X23" s="70">
        <v>30.0228</v>
      </c>
      <c r="Y23" s="70">
        <v>30.0228</v>
      </c>
      <c r="Z23" s="70">
        <v>30.0228</v>
      </c>
      <c r="AA23" s="70">
        <v>30.0228</v>
      </c>
      <c r="AB23" s="36">
        <f t="shared" si="0"/>
        <v>720.54719999999998</v>
      </c>
      <c r="AC23" s="37">
        <v>5</v>
      </c>
      <c r="AD23" s="91"/>
    </row>
    <row r="24" spans="2:30">
      <c r="B24" s="89">
        <v>46569</v>
      </c>
      <c r="C24" s="34" t="s">
        <v>32</v>
      </c>
      <c r="D24" s="70">
        <v>30.0228</v>
      </c>
      <c r="E24" s="70">
        <v>30.0228</v>
      </c>
      <c r="F24" s="70">
        <v>30.0228</v>
      </c>
      <c r="G24" s="70">
        <v>30.0228</v>
      </c>
      <c r="H24" s="70">
        <v>30.0228</v>
      </c>
      <c r="I24" s="70">
        <v>30.0228</v>
      </c>
      <c r="J24" s="70">
        <v>30.0228</v>
      </c>
      <c r="K24" s="70">
        <v>30.0228</v>
      </c>
      <c r="L24" s="70">
        <v>30.0228</v>
      </c>
      <c r="M24" s="70">
        <v>30.0228</v>
      </c>
      <c r="N24" s="70">
        <v>30.0228</v>
      </c>
      <c r="O24" s="70">
        <v>30.0228</v>
      </c>
      <c r="P24" s="70">
        <v>30.0228</v>
      </c>
      <c r="Q24" s="70">
        <v>30.0228</v>
      </c>
      <c r="R24" s="70">
        <v>30.0228</v>
      </c>
      <c r="S24" s="70">
        <v>30.0228</v>
      </c>
      <c r="T24" s="70">
        <v>30.0228</v>
      </c>
      <c r="U24" s="70">
        <v>30.0228</v>
      </c>
      <c r="V24" s="70">
        <v>30.0228</v>
      </c>
      <c r="W24" s="70">
        <v>30.0228</v>
      </c>
      <c r="X24" s="70">
        <v>30.0228</v>
      </c>
      <c r="Y24" s="70">
        <v>30.0228</v>
      </c>
      <c r="Z24" s="70">
        <v>30.0228</v>
      </c>
      <c r="AA24" s="70">
        <v>30.0228</v>
      </c>
      <c r="AB24" s="36">
        <f t="shared" si="0"/>
        <v>720.54719999999998</v>
      </c>
      <c r="AC24" s="37">
        <v>20</v>
      </c>
      <c r="AD24" s="91">
        <f>+AB24*AC24+AB25*AC25+AB26*AC26</f>
        <v>22336.963199999998</v>
      </c>
    </row>
    <row r="25" spans="2:30">
      <c r="B25" s="89"/>
      <c r="C25" s="34" t="s">
        <v>33</v>
      </c>
      <c r="D25" s="70">
        <v>30.0228</v>
      </c>
      <c r="E25" s="70">
        <v>30.0228</v>
      </c>
      <c r="F25" s="70">
        <v>30.0228</v>
      </c>
      <c r="G25" s="70">
        <v>30.0228</v>
      </c>
      <c r="H25" s="70">
        <v>30.0228</v>
      </c>
      <c r="I25" s="70">
        <v>30.0228</v>
      </c>
      <c r="J25" s="70">
        <v>30.0228</v>
      </c>
      <c r="K25" s="70">
        <v>30.0228</v>
      </c>
      <c r="L25" s="70">
        <v>30.0228</v>
      </c>
      <c r="M25" s="70">
        <v>30.0228</v>
      </c>
      <c r="N25" s="70">
        <v>30.0228</v>
      </c>
      <c r="O25" s="70">
        <v>30.0228</v>
      </c>
      <c r="P25" s="70">
        <v>30.0228</v>
      </c>
      <c r="Q25" s="70">
        <v>30.0228</v>
      </c>
      <c r="R25" s="70">
        <v>30.0228</v>
      </c>
      <c r="S25" s="70">
        <v>30.0228</v>
      </c>
      <c r="T25" s="70">
        <v>30.0228</v>
      </c>
      <c r="U25" s="70">
        <v>30.0228</v>
      </c>
      <c r="V25" s="70">
        <v>30.0228</v>
      </c>
      <c r="W25" s="70">
        <v>30.0228</v>
      </c>
      <c r="X25" s="70">
        <v>30.0228</v>
      </c>
      <c r="Y25" s="70">
        <v>30.0228</v>
      </c>
      <c r="Z25" s="70">
        <v>30.0228</v>
      </c>
      <c r="AA25" s="70">
        <v>30.0228</v>
      </c>
      <c r="AB25" s="36">
        <f t="shared" si="0"/>
        <v>720.54719999999998</v>
      </c>
      <c r="AC25" s="37">
        <v>5</v>
      </c>
      <c r="AD25" s="91"/>
    </row>
    <row r="26" spans="2:30">
      <c r="B26" s="89"/>
      <c r="C26" s="34" t="s">
        <v>34</v>
      </c>
      <c r="D26" s="70">
        <v>30.0228</v>
      </c>
      <c r="E26" s="70">
        <v>30.0228</v>
      </c>
      <c r="F26" s="70">
        <v>30.0228</v>
      </c>
      <c r="G26" s="70">
        <v>30.0228</v>
      </c>
      <c r="H26" s="70">
        <v>30.0228</v>
      </c>
      <c r="I26" s="70">
        <v>30.0228</v>
      </c>
      <c r="J26" s="70">
        <v>30.0228</v>
      </c>
      <c r="K26" s="70">
        <v>30.0228</v>
      </c>
      <c r="L26" s="70">
        <v>30.0228</v>
      </c>
      <c r="M26" s="70">
        <v>30.0228</v>
      </c>
      <c r="N26" s="70">
        <v>30.0228</v>
      </c>
      <c r="O26" s="70">
        <v>30.0228</v>
      </c>
      <c r="P26" s="70">
        <v>30.0228</v>
      </c>
      <c r="Q26" s="70">
        <v>30.0228</v>
      </c>
      <c r="R26" s="70">
        <v>30.0228</v>
      </c>
      <c r="S26" s="70">
        <v>30.0228</v>
      </c>
      <c r="T26" s="70">
        <v>30.0228</v>
      </c>
      <c r="U26" s="70">
        <v>30.0228</v>
      </c>
      <c r="V26" s="70">
        <v>30.0228</v>
      </c>
      <c r="W26" s="70">
        <v>30.0228</v>
      </c>
      <c r="X26" s="70">
        <v>30.0228</v>
      </c>
      <c r="Y26" s="70">
        <v>30.0228</v>
      </c>
      <c r="Z26" s="70">
        <v>30.0228</v>
      </c>
      <c r="AA26" s="70">
        <v>30.0228</v>
      </c>
      <c r="AB26" s="36">
        <f t="shared" si="0"/>
        <v>720.54719999999998</v>
      </c>
      <c r="AC26" s="37">
        <v>6</v>
      </c>
      <c r="AD26" s="91"/>
    </row>
    <row r="27" spans="2:30">
      <c r="B27" s="89">
        <v>46600</v>
      </c>
      <c r="C27" s="34" t="s">
        <v>32</v>
      </c>
      <c r="D27" s="70">
        <v>30.0228</v>
      </c>
      <c r="E27" s="70">
        <v>30.0228</v>
      </c>
      <c r="F27" s="70">
        <v>30.0228</v>
      </c>
      <c r="G27" s="70">
        <v>30.0228</v>
      </c>
      <c r="H27" s="70">
        <v>30.0228</v>
      </c>
      <c r="I27" s="70">
        <v>30.0228</v>
      </c>
      <c r="J27" s="70">
        <v>30.0228</v>
      </c>
      <c r="K27" s="70">
        <v>30.0228</v>
      </c>
      <c r="L27" s="70">
        <v>30.0228</v>
      </c>
      <c r="M27" s="70">
        <v>30.0228</v>
      </c>
      <c r="N27" s="70">
        <v>30.0228</v>
      </c>
      <c r="O27" s="70">
        <v>30.0228</v>
      </c>
      <c r="P27" s="70">
        <v>30.0228</v>
      </c>
      <c r="Q27" s="70">
        <v>30.0228</v>
      </c>
      <c r="R27" s="70">
        <v>30.0228</v>
      </c>
      <c r="S27" s="70">
        <v>30.0228</v>
      </c>
      <c r="T27" s="70">
        <v>30.0228</v>
      </c>
      <c r="U27" s="70">
        <v>30.0228</v>
      </c>
      <c r="V27" s="70">
        <v>30.0228</v>
      </c>
      <c r="W27" s="70">
        <v>30.0228</v>
      </c>
      <c r="X27" s="70">
        <v>30.0228</v>
      </c>
      <c r="Y27" s="70">
        <v>30.0228</v>
      </c>
      <c r="Z27" s="70">
        <v>30.0228</v>
      </c>
      <c r="AA27" s="70">
        <v>30.0228</v>
      </c>
      <c r="AB27" s="36">
        <f t="shared" si="0"/>
        <v>720.54719999999998</v>
      </c>
      <c r="AC27" s="37">
        <v>21</v>
      </c>
      <c r="AD27" s="91">
        <f>+AB27*AC27+AB28*AC28+AB29*AC29</f>
        <v>22336.963199999998</v>
      </c>
    </row>
    <row r="28" spans="2:30">
      <c r="B28" s="89"/>
      <c r="C28" s="34" t="s">
        <v>33</v>
      </c>
      <c r="D28" s="70">
        <v>30.0228</v>
      </c>
      <c r="E28" s="70">
        <v>30.0228</v>
      </c>
      <c r="F28" s="70">
        <v>30.0228</v>
      </c>
      <c r="G28" s="70">
        <v>30.0228</v>
      </c>
      <c r="H28" s="70">
        <v>30.0228</v>
      </c>
      <c r="I28" s="70">
        <v>30.0228</v>
      </c>
      <c r="J28" s="70">
        <v>30.0228</v>
      </c>
      <c r="K28" s="70">
        <v>30.0228</v>
      </c>
      <c r="L28" s="70">
        <v>30.0228</v>
      </c>
      <c r="M28" s="70">
        <v>30.0228</v>
      </c>
      <c r="N28" s="70">
        <v>30.0228</v>
      </c>
      <c r="O28" s="70">
        <v>30.0228</v>
      </c>
      <c r="P28" s="70">
        <v>30.0228</v>
      </c>
      <c r="Q28" s="70">
        <v>30.0228</v>
      </c>
      <c r="R28" s="70">
        <v>30.0228</v>
      </c>
      <c r="S28" s="70">
        <v>30.0228</v>
      </c>
      <c r="T28" s="70">
        <v>30.0228</v>
      </c>
      <c r="U28" s="70">
        <v>30.0228</v>
      </c>
      <c r="V28" s="70">
        <v>30.0228</v>
      </c>
      <c r="W28" s="70">
        <v>30.0228</v>
      </c>
      <c r="X28" s="70">
        <v>30.0228</v>
      </c>
      <c r="Y28" s="70">
        <v>30.0228</v>
      </c>
      <c r="Z28" s="70">
        <v>30.0228</v>
      </c>
      <c r="AA28" s="70">
        <v>30.0228</v>
      </c>
      <c r="AB28" s="36">
        <f t="shared" si="0"/>
        <v>720.54719999999998</v>
      </c>
      <c r="AC28" s="37">
        <v>3</v>
      </c>
      <c r="AD28" s="91"/>
    </row>
    <row r="29" spans="2:30">
      <c r="B29" s="89"/>
      <c r="C29" s="34" t="s">
        <v>34</v>
      </c>
      <c r="D29" s="70">
        <v>30.0228</v>
      </c>
      <c r="E29" s="70">
        <v>30.0228</v>
      </c>
      <c r="F29" s="70">
        <v>30.0228</v>
      </c>
      <c r="G29" s="70">
        <v>30.0228</v>
      </c>
      <c r="H29" s="70">
        <v>30.0228</v>
      </c>
      <c r="I29" s="70">
        <v>30.0228</v>
      </c>
      <c r="J29" s="70">
        <v>30.0228</v>
      </c>
      <c r="K29" s="70">
        <v>30.0228</v>
      </c>
      <c r="L29" s="70">
        <v>30.0228</v>
      </c>
      <c r="M29" s="70">
        <v>30.0228</v>
      </c>
      <c r="N29" s="70">
        <v>30.0228</v>
      </c>
      <c r="O29" s="70">
        <v>30.0228</v>
      </c>
      <c r="P29" s="70">
        <v>30.0228</v>
      </c>
      <c r="Q29" s="70">
        <v>30.0228</v>
      </c>
      <c r="R29" s="70">
        <v>30.0228</v>
      </c>
      <c r="S29" s="70">
        <v>30.0228</v>
      </c>
      <c r="T29" s="70">
        <v>30.0228</v>
      </c>
      <c r="U29" s="70">
        <v>30.0228</v>
      </c>
      <c r="V29" s="70">
        <v>30.0228</v>
      </c>
      <c r="W29" s="70">
        <v>30.0228</v>
      </c>
      <c r="X29" s="70">
        <v>30.0228</v>
      </c>
      <c r="Y29" s="70">
        <v>30.0228</v>
      </c>
      <c r="Z29" s="70">
        <v>30.0228</v>
      </c>
      <c r="AA29" s="70">
        <v>30.0228</v>
      </c>
      <c r="AB29" s="36">
        <f t="shared" si="0"/>
        <v>720.54719999999998</v>
      </c>
      <c r="AC29" s="37">
        <v>7</v>
      </c>
      <c r="AD29" s="91"/>
    </row>
    <row r="30" spans="2:30">
      <c r="B30" s="89">
        <v>46631</v>
      </c>
      <c r="C30" s="34" t="s">
        <v>32</v>
      </c>
      <c r="D30" s="70">
        <v>30.0228</v>
      </c>
      <c r="E30" s="70">
        <v>30.0228</v>
      </c>
      <c r="F30" s="70">
        <v>30.0228</v>
      </c>
      <c r="G30" s="70">
        <v>30.0228</v>
      </c>
      <c r="H30" s="70">
        <v>30.0228</v>
      </c>
      <c r="I30" s="70">
        <v>30.0228</v>
      </c>
      <c r="J30" s="70">
        <v>30.0228</v>
      </c>
      <c r="K30" s="70">
        <v>30.0228</v>
      </c>
      <c r="L30" s="70">
        <v>30.0228</v>
      </c>
      <c r="M30" s="70">
        <v>30.0228</v>
      </c>
      <c r="N30" s="70">
        <v>30.0228</v>
      </c>
      <c r="O30" s="70">
        <v>30.0228</v>
      </c>
      <c r="P30" s="70">
        <v>30.0228</v>
      </c>
      <c r="Q30" s="70">
        <v>30.0228</v>
      </c>
      <c r="R30" s="70">
        <v>30.0228</v>
      </c>
      <c r="S30" s="70">
        <v>30.0228</v>
      </c>
      <c r="T30" s="70">
        <v>30.0228</v>
      </c>
      <c r="U30" s="70">
        <v>30.0228</v>
      </c>
      <c r="V30" s="70">
        <v>30.0228</v>
      </c>
      <c r="W30" s="70">
        <v>30.0228</v>
      </c>
      <c r="X30" s="70">
        <v>30.0228</v>
      </c>
      <c r="Y30" s="70">
        <v>30.0228</v>
      </c>
      <c r="Z30" s="70">
        <v>30.0228</v>
      </c>
      <c r="AA30" s="70">
        <v>30.0228</v>
      </c>
      <c r="AB30" s="36">
        <f t="shared" si="0"/>
        <v>720.54719999999998</v>
      </c>
      <c r="AC30" s="37">
        <v>22</v>
      </c>
      <c r="AD30" s="91">
        <f>+AB30*AC30+AB31*AC31+AB32*AC32</f>
        <v>21616.416000000001</v>
      </c>
    </row>
    <row r="31" spans="2:30">
      <c r="B31" s="89"/>
      <c r="C31" s="34" t="s">
        <v>33</v>
      </c>
      <c r="D31" s="70">
        <v>30.0228</v>
      </c>
      <c r="E31" s="70">
        <v>30.0228</v>
      </c>
      <c r="F31" s="70">
        <v>30.0228</v>
      </c>
      <c r="G31" s="70">
        <v>30.0228</v>
      </c>
      <c r="H31" s="70">
        <v>30.0228</v>
      </c>
      <c r="I31" s="70">
        <v>30.0228</v>
      </c>
      <c r="J31" s="70">
        <v>30.0228</v>
      </c>
      <c r="K31" s="70">
        <v>30.0228</v>
      </c>
      <c r="L31" s="70">
        <v>30.0228</v>
      </c>
      <c r="M31" s="70">
        <v>30.0228</v>
      </c>
      <c r="N31" s="70">
        <v>30.0228</v>
      </c>
      <c r="O31" s="70">
        <v>30.0228</v>
      </c>
      <c r="P31" s="70">
        <v>30.0228</v>
      </c>
      <c r="Q31" s="70">
        <v>30.0228</v>
      </c>
      <c r="R31" s="70">
        <v>30.0228</v>
      </c>
      <c r="S31" s="70">
        <v>30.0228</v>
      </c>
      <c r="T31" s="70">
        <v>30.0228</v>
      </c>
      <c r="U31" s="70">
        <v>30.0228</v>
      </c>
      <c r="V31" s="70">
        <v>30.0228</v>
      </c>
      <c r="W31" s="70">
        <v>30.0228</v>
      </c>
      <c r="X31" s="70">
        <v>30.0228</v>
      </c>
      <c r="Y31" s="70">
        <v>30.0228</v>
      </c>
      <c r="Z31" s="70">
        <v>30.0228</v>
      </c>
      <c r="AA31" s="70">
        <v>30.0228</v>
      </c>
      <c r="AB31" s="36">
        <f t="shared" si="0"/>
        <v>720.54719999999998</v>
      </c>
      <c r="AC31" s="37">
        <v>4</v>
      </c>
      <c r="AD31" s="91"/>
    </row>
    <row r="32" spans="2:30">
      <c r="B32" s="89"/>
      <c r="C32" s="34" t="s">
        <v>34</v>
      </c>
      <c r="D32" s="70">
        <v>30.0228</v>
      </c>
      <c r="E32" s="70">
        <v>30.0228</v>
      </c>
      <c r="F32" s="70">
        <v>30.0228</v>
      </c>
      <c r="G32" s="70">
        <v>30.0228</v>
      </c>
      <c r="H32" s="70">
        <v>30.0228</v>
      </c>
      <c r="I32" s="70">
        <v>30.0228</v>
      </c>
      <c r="J32" s="70">
        <v>30.0228</v>
      </c>
      <c r="K32" s="70">
        <v>30.0228</v>
      </c>
      <c r="L32" s="70">
        <v>30.0228</v>
      </c>
      <c r="M32" s="70">
        <v>30.0228</v>
      </c>
      <c r="N32" s="70">
        <v>30.0228</v>
      </c>
      <c r="O32" s="70">
        <v>30.0228</v>
      </c>
      <c r="P32" s="70">
        <v>30.0228</v>
      </c>
      <c r="Q32" s="70">
        <v>30.0228</v>
      </c>
      <c r="R32" s="70">
        <v>30.0228</v>
      </c>
      <c r="S32" s="70">
        <v>30.0228</v>
      </c>
      <c r="T32" s="70">
        <v>30.0228</v>
      </c>
      <c r="U32" s="70">
        <v>30.0228</v>
      </c>
      <c r="V32" s="70">
        <v>30.0228</v>
      </c>
      <c r="W32" s="70">
        <v>30.0228</v>
      </c>
      <c r="X32" s="70">
        <v>30.0228</v>
      </c>
      <c r="Y32" s="70">
        <v>30.0228</v>
      </c>
      <c r="Z32" s="70">
        <v>30.0228</v>
      </c>
      <c r="AA32" s="70">
        <v>30.0228</v>
      </c>
      <c r="AB32" s="36">
        <f t="shared" si="0"/>
        <v>720.54719999999998</v>
      </c>
      <c r="AC32" s="37">
        <v>4</v>
      </c>
      <c r="AD32" s="91"/>
    </row>
    <row r="33" spans="2:32">
      <c r="B33" s="89">
        <v>46661</v>
      </c>
      <c r="C33" s="34" t="s">
        <v>32</v>
      </c>
      <c r="D33" s="70">
        <v>30.0228</v>
      </c>
      <c r="E33" s="70">
        <v>30.0228</v>
      </c>
      <c r="F33" s="70">
        <v>30.0228</v>
      </c>
      <c r="G33" s="70">
        <v>30.0228</v>
      </c>
      <c r="H33" s="70">
        <v>30.0228</v>
      </c>
      <c r="I33" s="70">
        <v>30.0228</v>
      </c>
      <c r="J33" s="70">
        <v>30.0228</v>
      </c>
      <c r="K33" s="70">
        <v>30.0228</v>
      </c>
      <c r="L33" s="70">
        <v>30.0228</v>
      </c>
      <c r="M33" s="70">
        <v>30.0228</v>
      </c>
      <c r="N33" s="70">
        <v>30.0228</v>
      </c>
      <c r="O33" s="70">
        <v>30.0228</v>
      </c>
      <c r="P33" s="70">
        <v>30.0228</v>
      </c>
      <c r="Q33" s="70">
        <v>30.0228</v>
      </c>
      <c r="R33" s="70">
        <v>30.0228</v>
      </c>
      <c r="S33" s="70">
        <v>30.0228</v>
      </c>
      <c r="T33" s="70">
        <v>30.0228</v>
      </c>
      <c r="U33" s="70">
        <v>30.0228</v>
      </c>
      <c r="V33" s="70">
        <v>30.0228</v>
      </c>
      <c r="W33" s="70">
        <v>30.0228</v>
      </c>
      <c r="X33" s="70">
        <v>30.0228</v>
      </c>
      <c r="Y33" s="70">
        <v>30.0228</v>
      </c>
      <c r="Z33" s="70">
        <v>30.0228</v>
      </c>
      <c r="AA33" s="70">
        <v>30.0228</v>
      </c>
      <c r="AB33" s="36">
        <f t="shared" si="0"/>
        <v>720.54719999999998</v>
      </c>
      <c r="AC33" s="37">
        <v>20</v>
      </c>
      <c r="AD33" s="91">
        <f>+AB33*AC33+AB34*AC34+AB35*AC35</f>
        <v>22336.963199999998</v>
      </c>
    </row>
    <row r="34" spans="2:32">
      <c r="B34" s="89"/>
      <c r="C34" s="34" t="s">
        <v>33</v>
      </c>
      <c r="D34" s="70">
        <v>30.0228</v>
      </c>
      <c r="E34" s="70">
        <v>30.0228</v>
      </c>
      <c r="F34" s="70">
        <v>30.0228</v>
      </c>
      <c r="G34" s="70">
        <v>30.0228</v>
      </c>
      <c r="H34" s="70">
        <v>30.0228</v>
      </c>
      <c r="I34" s="70">
        <v>30.0228</v>
      </c>
      <c r="J34" s="70">
        <v>30.0228</v>
      </c>
      <c r="K34" s="70">
        <v>30.0228</v>
      </c>
      <c r="L34" s="70">
        <v>30.0228</v>
      </c>
      <c r="M34" s="70">
        <v>30.0228</v>
      </c>
      <c r="N34" s="70">
        <v>30.0228</v>
      </c>
      <c r="O34" s="70">
        <v>30.0228</v>
      </c>
      <c r="P34" s="70">
        <v>30.0228</v>
      </c>
      <c r="Q34" s="70">
        <v>30.0228</v>
      </c>
      <c r="R34" s="70">
        <v>30.0228</v>
      </c>
      <c r="S34" s="70">
        <v>30.0228</v>
      </c>
      <c r="T34" s="70">
        <v>30.0228</v>
      </c>
      <c r="U34" s="70">
        <v>30.0228</v>
      </c>
      <c r="V34" s="70">
        <v>30.0228</v>
      </c>
      <c r="W34" s="70">
        <v>30.0228</v>
      </c>
      <c r="X34" s="70">
        <v>30.0228</v>
      </c>
      <c r="Y34" s="70">
        <v>30.0228</v>
      </c>
      <c r="Z34" s="70">
        <v>30.0228</v>
      </c>
      <c r="AA34" s="70">
        <v>30.0228</v>
      </c>
      <c r="AB34" s="36">
        <f t="shared" si="0"/>
        <v>720.54719999999998</v>
      </c>
      <c r="AC34" s="37">
        <v>5</v>
      </c>
      <c r="AD34" s="91"/>
    </row>
    <row r="35" spans="2:32">
      <c r="B35" s="89"/>
      <c r="C35" s="34" t="s">
        <v>34</v>
      </c>
      <c r="D35" s="70">
        <v>30.0228</v>
      </c>
      <c r="E35" s="70">
        <v>30.0228</v>
      </c>
      <c r="F35" s="70">
        <v>30.0228</v>
      </c>
      <c r="G35" s="70">
        <v>30.0228</v>
      </c>
      <c r="H35" s="70">
        <v>30.0228</v>
      </c>
      <c r="I35" s="70">
        <v>30.0228</v>
      </c>
      <c r="J35" s="70">
        <v>30.0228</v>
      </c>
      <c r="K35" s="70">
        <v>30.0228</v>
      </c>
      <c r="L35" s="70">
        <v>30.0228</v>
      </c>
      <c r="M35" s="70">
        <v>30.0228</v>
      </c>
      <c r="N35" s="70">
        <v>30.0228</v>
      </c>
      <c r="O35" s="70">
        <v>30.0228</v>
      </c>
      <c r="P35" s="70">
        <v>30.0228</v>
      </c>
      <c r="Q35" s="70">
        <v>30.0228</v>
      </c>
      <c r="R35" s="70">
        <v>30.0228</v>
      </c>
      <c r="S35" s="70">
        <v>30.0228</v>
      </c>
      <c r="T35" s="70">
        <v>30.0228</v>
      </c>
      <c r="U35" s="70">
        <v>30.0228</v>
      </c>
      <c r="V35" s="70">
        <v>30.0228</v>
      </c>
      <c r="W35" s="70">
        <v>30.0228</v>
      </c>
      <c r="X35" s="70">
        <v>30.0228</v>
      </c>
      <c r="Y35" s="70">
        <v>30.0228</v>
      </c>
      <c r="Z35" s="70">
        <v>30.0228</v>
      </c>
      <c r="AA35" s="70">
        <v>30.0228</v>
      </c>
      <c r="AB35" s="36">
        <f t="shared" si="0"/>
        <v>720.54719999999998</v>
      </c>
      <c r="AC35" s="37">
        <v>6</v>
      </c>
      <c r="AD35" s="91"/>
    </row>
    <row r="36" spans="2:32">
      <c r="B36" s="89">
        <v>46692</v>
      </c>
      <c r="C36" s="34" t="s">
        <v>32</v>
      </c>
      <c r="D36" s="70">
        <v>30.0228</v>
      </c>
      <c r="E36" s="70">
        <v>30.0228</v>
      </c>
      <c r="F36" s="70">
        <v>30.0228</v>
      </c>
      <c r="G36" s="70">
        <v>30.0228</v>
      </c>
      <c r="H36" s="70">
        <v>30.0228</v>
      </c>
      <c r="I36" s="70">
        <v>30.0228</v>
      </c>
      <c r="J36" s="70">
        <v>30.0228</v>
      </c>
      <c r="K36" s="70">
        <v>30.0228</v>
      </c>
      <c r="L36" s="70">
        <v>30.0228</v>
      </c>
      <c r="M36" s="70">
        <v>30.0228</v>
      </c>
      <c r="N36" s="70">
        <v>30.0228</v>
      </c>
      <c r="O36" s="70">
        <v>30.0228</v>
      </c>
      <c r="P36" s="70">
        <v>30.0228</v>
      </c>
      <c r="Q36" s="70">
        <v>30.0228</v>
      </c>
      <c r="R36" s="70">
        <v>30.0228</v>
      </c>
      <c r="S36" s="70">
        <v>30.0228</v>
      </c>
      <c r="T36" s="70">
        <v>30.0228</v>
      </c>
      <c r="U36" s="70">
        <v>30.0228</v>
      </c>
      <c r="V36" s="70">
        <v>30.0228</v>
      </c>
      <c r="W36" s="70">
        <v>30.0228</v>
      </c>
      <c r="X36" s="70">
        <v>30.0228</v>
      </c>
      <c r="Y36" s="70">
        <v>30.0228</v>
      </c>
      <c r="Z36" s="70">
        <v>30.0228</v>
      </c>
      <c r="AA36" s="70">
        <v>30.0228</v>
      </c>
      <c r="AB36" s="36">
        <f t="shared" si="0"/>
        <v>720.54719999999998</v>
      </c>
      <c r="AC36" s="37">
        <v>20</v>
      </c>
      <c r="AD36" s="91">
        <f>+AB36*AC36+AB37*AC37+AB38*AC38</f>
        <v>21616.416000000001</v>
      </c>
    </row>
    <row r="37" spans="2:32">
      <c r="B37" s="89"/>
      <c r="C37" s="34" t="s">
        <v>33</v>
      </c>
      <c r="D37" s="70">
        <v>30.0228</v>
      </c>
      <c r="E37" s="70">
        <v>30.0228</v>
      </c>
      <c r="F37" s="70">
        <v>30.0228</v>
      </c>
      <c r="G37" s="70">
        <v>30.0228</v>
      </c>
      <c r="H37" s="70">
        <v>30.0228</v>
      </c>
      <c r="I37" s="70">
        <v>30.0228</v>
      </c>
      <c r="J37" s="70">
        <v>30.0228</v>
      </c>
      <c r="K37" s="70">
        <v>30.0228</v>
      </c>
      <c r="L37" s="70">
        <v>30.0228</v>
      </c>
      <c r="M37" s="70">
        <v>30.0228</v>
      </c>
      <c r="N37" s="70">
        <v>30.0228</v>
      </c>
      <c r="O37" s="70">
        <v>30.0228</v>
      </c>
      <c r="P37" s="70">
        <v>30.0228</v>
      </c>
      <c r="Q37" s="70">
        <v>30.0228</v>
      </c>
      <c r="R37" s="70">
        <v>30.0228</v>
      </c>
      <c r="S37" s="70">
        <v>30.0228</v>
      </c>
      <c r="T37" s="70">
        <v>30.0228</v>
      </c>
      <c r="U37" s="70">
        <v>30.0228</v>
      </c>
      <c r="V37" s="70">
        <v>30.0228</v>
      </c>
      <c r="W37" s="70">
        <v>30.0228</v>
      </c>
      <c r="X37" s="70">
        <v>30.0228</v>
      </c>
      <c r="Y37" s="70">
        <v>30.0228</v>
      </c>
      <c r="Z37" s="70">
        <v>30.0228</v>
      </c>
      <c r="AA37" s="70">
        <v>30.0228</v>
      </c>
      <c r="AB37" s="36">
        <f t="shared" si="0"/>
        <v>720.54719999999998</v>
      </c>
      <c r="AC37" s="37">
        <v>4</v>
      </c>
      <c r="AD37" s="91"/>
    </row>
    <row r="38" spans="2:32">
      <c r="B38" s="89"/>
      <c r="C38" s="34" t="s">
        <v>34</v>
      </c>
      <c r="D38" s="70">
        <v>30.0228</v>
      </c>
      <c r="E38" s="70">
        <v>30.0228</v>
      </c>
      <c r="F38" s="70">
        <v>30.0228</v>
      </c>
      <c r="G38" s="70">
        <v>30.0228</v>
      </c>
      <c r="H38" s="70">
        <v>30.0228</v>
      </c>
      <c r="I38" s="70">
        <v>30.0228</v>
      </c>
      <c r="J38" s="70">
        <v>30.0228</v>
      </c>
      <c r="K38" s="70">
        <v>30.0228</v>
      </c>
      <c r="L38" s="70">
        <v>30.0228</v>
      </c>
      <c r="M38" s="70">
        <v>30.0228</v>
      </c>
      <c r="N38" s="70">
        <v>30.0228</v>
      </c>
      <c r="O38" s="70">
        <v>30.0228</v>
      </c>
      <c r="P38" s="70">
        <v>30.0228</v>
      </c>
      <c r="Q38" s="70">
        <v>30.0228</v>
      </c>
      <c r="R38" s="70">
        <v>30.0228</v>
      </c>
      <c r="S38" s="70">
        <v>30.0228</v>
      </c>
      <c r="T38" s="70">
        <v>30.0228</v>
      </c>
      <c r="U38" s="70">
        <v>30.0228</v>
      </c>
      <c r="V38" s="70">
        <v>30.0228</v>
      </c>
      <c r="W38" s="70">
        <v>30.0228</v>
      </c>
      <c r="X38" s="70">
        <v>30.0228</v>
      </c>
      <c r="Y38" s="70">
        <v>30.0228</v>
      </c>
      <c r="Z38" s="70">
        <v>30.0228</v>
      </c>
      <c r="AA38" s="70">
        <v>30.0228</v>
      </c>
      <c r="AB38" s="36">
        <f t="shared" si="0"/>
        <v>720.54719999999998</v>
      </c>
      <c r="AC38" s="37">
        <v>6</v>
      </c>
      <c r="AD38" s="91"/>
    </row>
    <row r="39" spans="2:32">
      <c r="B39" s="89">
        <v>46722</v>
      </c>
      <c r="C39" s="34" t="s">
        <v>32</v>
      </c>
      <c r="D39" s="70">
        <v>30.0228</v>
      </c>
      <c r="E39" s="70">
        <v>30.0228</v>
      </c>
      <c r="F39" s="70">
        <v>30.0228</v>
      </c>
      <c r="G39" s="70">
        <v>30.0228</v>
      </c>
      <c r="H39" s="70">
        <v>30.0228</v>
      </c>
      <c r="I39" s="70">
        <v>30.0228</v>
      </c>
      <c r="J39" s="70">
        <v>30.0228</v>
      </c>
      <c r="K39" s="70">
        <v>30.0228</v>
      </c>
      <c r="L39" s="70">
        <v>30.0228</v>
      </c>
      <c r="M39" s="70">
        <v>30.0228</v>
      </c>
      <c r="N39" s="70">
        <v>30.0228</v>
      </c>
      <c r="O39" s="70">
        <v>30.0228</v>
      </c>
      <c r="P39" s="70">
        <v>30.0228</v>
      </c>
      <c r="Q39" s="70">
        <v>30.0228</v>
      </c>
      <c r="R39" s="70">
        <v>30.0228</v>
      </c>
      <c r="S39" s="70">
        <v>30.0228</v>
      </c>
      <c r="T39" s="70">
        <v>30.0228</v>
      </c>
      <c r="U39" s="70">
        <v>30.0228</v>
      </c>
      <c r="V39" s="70">
        <v>30.0228</v>
      </c>
      <c r="W39" s="70">
        <v>30.0228</v>
      </c>
      <c r="X39" s="70">
        <v>30.0228</v>
      </c>
      <c r="Y39" s="70">
        <v>30.0228</v>
      </c>
      <c r="Z39" s="70">
        <v>30.0228</v>
      </c>
      <c r="AA39" s="70">
        <v>30.0228</v>
      </c>
      <c r="AB39" s="36">
        <f t="shared" si="0"/>
        <v>720.54719999999998</v>
      </c>
      <c r="AC39" s="37">
        <v>22</v>
      </c>
      <c r="AD39" s="91">
        <f>+AB39*AC39+AB40*AC40+AB41*AC41</f>
        <v>22336.963199999998</v>
      </c>
    </row>
    <row r="40" spans="2:32">
      <c r="B40" s="89"/>
      <c r="C40" s="34" t="s">
        <v>33</v>
      </c>
      <c r="D40" s="70">
        <v>30.0228</v>
      </c>
      <c r="E40" s="70">
        <v>30.0228</v>
      </c>
      <c r="F40" s="70">
        <v>30.0228</v>
      </c>
      <c r="G40" s="70">
        <v>30.0228</v>
      </c>
      <c r="H40" s="70">
        <v>30.0228</v>
      </c>
      <c r="I40" s="70">
        <v>30.0228</v>
      </c>
      <c r="J40" s="70">
        <v>30.0228</v>
      </c>
      <c r="K40" s="70">
        <v>30.0228</v>
      </c>
      <c r="L40" s="70">
        <v>30.0228</v>
      </c>
      <c r="M40" s="70">
        <v>30.0228</v>
      </c>
      <c r="N40" s="70">
        <v>30.0228</v>
      </c>
      <c r="O40" s="70">
        <v>30.0228</v>
      </c>
      <c r="P40" s="70">
        <v>30.0228</v>
      </c>
      <c r="Q40" s="70">
        <v>30.0228</v>
      </c>
      <c r="R40" s="70">
        <v>30.0228</v>
      </c>
      <c r="S40" s="70">
        <v>30.0228</v>
      </c>
      <c r="T40" s="70">
        <v>30.0228</v>
      </c>
      <c r="U40" s="70">
        <v>30.0228</v>
      </c>
      <c r="V40" s="70">
        <v>30.0228</v>
      </c>
      <c r="W40" s="70">
        <v>30.0228</v>
      </c>
      <c r="X40" s="70">
        <v>30.0228</v>
      </c>
      <c r="Y40" s="70">
        <v>30.0228</v>
      </c>
      <c r="Z40" s="70">
        <v>30.0228</v>
      </c>
      <c r="AA40" s="70">
        <v>30.0228</v>
      </c>
      <c r="AB40" s="36">
        <f t="shared" si="0"/>
        <v>720.54719999999998</v>
      </c>
      <c r="AC40" s="37">
        <v>3</v>
      </c>
      <c r="AD40" s="91"/>
    </row>
    <row r="41" spans="2:32">
      <c r="B41" s="89"/>
      <c r="C41" s="34" t="s">
        <v>34</v>
      </c>
      <c r="D41" s="70">
        <v>30.0228</v>
      </c>
      <c r="E41" s="70">
        <v>30.0228</v>
      </c>
      <c r="F41" s="70">
        <v>30.0228</v>
      </c>
      <c r="G41" s="70">
        <v>30.0228</v>
      </c>
      <c r="H41" s="70">
        <v>30.0228</v>
      </c>
      <c r="I41" s="70">
        <v>30.0228</v>
      </c>
      <c r="J41" s="70">
        <v>30.0228</v>
      </c>
      <c r="K41" s="70">
        <v>30.0228</v>
      </c>
      <c r="L41" s="70">
        <v>30.0228</v>
      </c>
      <c r="M41" s="70">
        <v>30.0228</v>
      </c>
      <c r="N41" s="70">
        <v>30.0228</v>
      </c>
      <c r="O41" s="70">
        <v>30.0228</v>
      </c>
      <c r="P41" s="70">
        <v>30.0228</v>
      </c>
      <c r="Q41" s="70">
        <v>30.0228</v>
      </c>
      <c r="R41" s="70">
        <v>30.0228</v>
      </c>
      <c r="S41" s="70">
        <v>30.0228</v>
      </c>
      <c r="T41" s="70">
        <v>30.0228</v>
      </c>
      <c r="U41" s="70">
        <v>30.0228</v>
      </c>
      <c r="V41" s="70">
        <v>30.0228</v>
      </c>
      <c r="W41" s="70">
        <v>30.0228</v>
      </c>
      <c r="X41" s="70">
        <v>30.0228</v>
      </c>
      <c r="Y41" s="70">
        <v>30.0228</v>
      </c>
      <c r="Z41" s="70">
        <v>30.0228</v>
      </c>
      <c r="AA41" s="70">
        <v>30.0228</v>
      </c>
      <c r="AB41" s="36">
        <f t="shared" si="0"/>
        <v>720.54719999999998</v>
      </c>
      <c r="AC41" s="37">
        <v>6</v>
      </c>
      <c r="AD41" s="91"/>
    </row>
    <row r="42" spans="2:32">
      <c r="AA42" s="86" t="s">
        <v>35</v>
      </c>
      <c r="AB42" s="87"/>
      <c r="AC42" s="88"/>
      <c r="AD42" s="39">
        <f>SUM(AD6:AD41)</f>
        <v>262999.728</v>
      </c>
      <c r="AF42" s="71"/>
    </row>
    <row r="43" spans="2:32">
      <c r="AB43" s="38"/>
      <c r="AC43" s="38"/>
    </row>
    <row r="44" spans="2:32" ht="23.25">
      <c r="B44" s="41" t="s">
        <v>36</v>
      </c>
    </row>
    <row r="45" spans="2:32">
      <c r="B45" s="32" t="s">
        <v>3</v>
      </c>
      <c r="C45" s="32" t="s">
        <v>4</v>
      </c>
      <c r="D45" s="32" t="s">
        <v>5</v>
      </c>
      <c r="E45" s="32" t="s">
        <v>6</v>
      </c>
      <c r="F45" s="32" t="s">
        <v>7</v>
      </c>
      <c r="G45" s="32" t="s">
        <v>8</v>
      </c>
      <c r="H45" s="32" t="s">
        <v>9</v>
      </c>
      <c r="I45" s="32" t="s">
        <v>10</v>
      </c>
      <c r="J45" s="32" t="s">
        <v>11</v>
      </c>
      <c r="K45" s="32" t="s">
        <v>12</v>
      </c>
      <c r="L45" s="32" t="s">
        <v>13</v>
      </c>
      <c r="M45" s="32" t="s">
        <v>14</v>
      </c>
      <c r="N45" s="32" t="s">
        <v>15</v>
      </c>
      <c r="O45" s="32" t="s">
        <v>16</v>
      </c>
      <c r="P45" s="32" t="s">
        <v>17</v>
      </c>
      <c r="Q45" s="32" t="s">
        <v>18</v>
      </c>
      <c r="R45" s="32" t="s">
        <v>19</v>
      </c>
      <c r="S45" s="32" t="s">
        <v>20</v>
      </c>
      <c r="T45" s="32" t="s">
        <v>21</v>
      </c>
      <c r="U45" s="32" t="s">
        <v>22</v>
      </c>
      <c r="V45" s="32" t="s">
        <v>23</v>
      </c>
      <c r="W45" s="32" t="s">
        <v>24</v>
      </c>
      <c r="X45" s="32" t="s">
        <v>25</v>
      </c>
      <c r="Y45" s="32" t="s">
        <v>26</v>
      </c>
      <c r="Z45" s="32" t="s">
        <v>27</v>
      </c>
      <c r="AA45" s="32" t="s">
        <v>28</v>
      </c>
      <c r="AB45" s="33" t="s">
        <v>29</v>
      </c>
      <c r="AC45" s="33" t="s">
        <v>30</v>
      </c>
      <c r="AD45" s="32" t="s">
        <v>31</v>
      </c>
    </row>
    <row r="46" spans="2:32">
      <c r="B46" s="89">
        <v>46753</v>
      </c>
      <c r="C46" s="34" t="s">
        <v>32</v>
      </c>
      <c r="D46" s="35">
        <v>22.8</v>
      </c>
      <c r="E46" s="35">
        <v>22.8</v>
      </c>
      <c r="F46" s="35">
        <v>22.8</v>
      </c>
      <c r="G46" s="35">
        <v>22.8</v>
      </c>
      <c r="H46" s="35">
        <v>22.8</v>
      </c>
      <c r="I46" s="35">
        <v>22.8</v>
      </c>
      <c r="J46" s="35">
        <v>22.8</v>
      </c>
      <c r="K46" s="35">
        <v>22.8</v>
      </c>
      <c r="L46" s="35">
        <v>22.8</v>
      </c>
      <c r="M46" s="35">
        <v>22.8</v>
      </c>
      <c r="N46" s="35">
        <v>22.8</v>
      </c>
      <c r="O46" s="35">
        <v>22.8</v>
      </c>
      <c r="P46" s="35">
        <v>22.8</v>
      </c>
      <c r="Q46" s="35">
        <v>22.8</v>
      </c>
      <c r="R46" s="35">
        <v>22.8</v>
      </c>
      <c r="S46" s="35">
        <v>22.8</v>
      </c>
      <c r="T46" s="35">
        <v>22.8</v>
      </c>
      <c r="U46" s="35">
        <v>22.8</v>
      </c>
      <c r="V46" s="35">
        <v>22.8</v>
      </c>
      <c r="W46" s="35">
        <v>22.8</v>
      </c>
      <c r="X46" s="35">
        <v>22.8</v>
      </c>
      <c r="Y46" s="35">
        <v>22.8</v>
      </c>
      <c r="Z46" s="35">
        <v>22.8</v>
      </c>
      <c r="AA46" s="35">
        <v>22.8</v>
      </c>
      <c r="AB46" s="36">
        <f>SUM(D46:AA46)</f>
        <v>547.20000000000005</v>
      </c>
      <c r="AC46" s="37">
        <v>20</v>
      </c>
      <c r="AD46" s="91">
        <f>+AB46*AC46+AB47*AC47+AB48*AC48</f>
        <v>16963.2</v>
      </c>
    </row>
    <row r="47" spans="2:32">
      <c r="B47" s="89"/>
      <c r="C47" s="34" t="s">
        <v>33</v>
      </c>
      <c r="D47" s="35">
        <v>22.8</v>
      </c>
      <c r="E47" s="35">
        <v>22.8</v>
      </c>
      <c r="F47" s="35">
        <v>22.8</v>
      </c>
      <c r="G47" s="35">
        <v>22.8</v>
      </c>
      <c r="H47" s="35">
        <v>22.8</v>
      </c>
      <c r="I47" s="35">
        <v>22.8</v>
      </c>
      <c r="J47" s="35">
        <v>22.8</v>
      </c>
      <c r="K47" s="35">
        <v>22.8</v>
      </c>
      <c r="L47" s="35">
        <v>22.8</v>
      </c>
      <c r="M47" s="35">
        <v>22.8</v>
      </c>
      <c r="N47" s="35">
        <v>22.8</v>
      </c>
      <c r="O47" s="35">
        <v>22.8</v>
      </c>
      <c r="P47" s="35">
        <v>22.8</v>
      </c>
      <c r="Q47" s="35">
        <v>22.8</v>
      </c>
      <c r="R47" s="35">
        <v>22.8</v>
      </c>
      <c r="S47" s="35">
        <v>22.8</v>
      </c>
      <c r="T47" s="35">
        <v>22.8</v>
      </c>
      <c r="U47" s="35">
        <v>22.8</v>
      </c>
      <c r="V47" s="35">
        <v>22.8</v>
      </c>
      <c r="W47" s="35">
        <v>22.8</v>
      </c>
      <c r="X47" s="35">
        <v>22.8</v>
      </c>
      <c r="Y47" s="35">
        <v>22.8</v>
      </c>
      <c r="Z47" s="35">
        <v>22.8</v>
      </c>
      <c r="AA47" s="35">
        <v>22.8</v>
      </c>
      <c r="AB47" s="36">
        <f t="shared" ref="AB47:AB81" si="1">SUM(D47:AA47)</f>
        <v>547.20000000000005</v>
      </c>
      <c r="AC47" s="37">
        <v>4</v>
      </c>
      <c r="AD47" s="91"/>
    </row>
    <row r="48" spans="2:32">
      <c r="B48" s="89"/>
      <c r="C48" s="34" t="s">
        <v>34</v>
      </c>
      <c r="D48" s="35">
        <v>22.8</v>
      </c>
      <c r="E48" s="35">
        <v>22.8</v>
      </c>
      <c r="F48" s="35">
        <v>22.8</v>
      </c>
      <c r="G48" s="35">
        <v>22.8</v>
      </c>
      <c r="H48" s="35">
        <v>22.8</v>
      </c>
      <c r="I48" s="35">
        <v>22.8</v>
      </c>
      <c r="J48" s="35">
        <v>22.8</v>
      </c>
      <c r="K48" s="35">
        <v>22.8</v>
      </c>
      <c r="L48" s="35">
        <v>22.8</v>
      </c>
      <c r="M48" s="35">
        <v>22.8</v>
      </c>
      <c r="N48" s="35">
        <v>22.8</v>
      </c>
      <c r="O48" s="35">
        <v>22.8</v>
      </c>
      <c r="P48" s="35">
        <v>22.8</v>
      </c>
      <c r="Q48" s="35">
        <v>22.8</v>
      </c>
      <c r="R48" s="35">
        <v>22.8</v>
      </c>
      <c r="S48" s="35">
        <v>22.8</v>
      </c>
      <c r="T48" s="35">
        <v>22.8</v>
      </c>
      <c r="U48" s="35">
        <v>22.8</v>
      </c>
      <c r="V48" s="35">
        <v>22.8</v>
      </c>
      <c r="W48" s="35">
        <v>22.8</v>
      </c>
      <c r="X48" s="35">
        <v>22.8</v>
      </c>
      <c r="Y48" s="35">
        <v>22.8</v>
      </c>
      <c r="Z48" s="35">
        <v>22.8</v>
      </c>
      <c r="AA48" s="35">
        <v>22.8</v>
      </c>
      <c r="AB48" s="36">
        <f t="shared" si="1"/>
        <v>547.20000000000005</v>
      </c>
      <c r="AC48" s="37">
        <v>7</v>
      </c>
      <c r="AD48" s="91"/>
    </row>
    <row r="49" spans="2:30">
      <c r="B49" s="89">
        <v>46784</v>
      </c>
      <c r="C49" s="34" t="s">
        <v>32</v>
      </c>
      <c r="D49" s="35">
        <v>22.8</v>
      </c>
      <c r="E49" s="35">
        <v>22.8</v>
      </c>
      <c r="F49" s="35">
        <v>22.8</v>
      </c>
      <c r="G49" s="35">
        <v>22.8</v>
      </c>
      <c r="H49" s="35">
        <v>22.8</v>
      </c>
      <c r="I49" s="35">
        <v>22.8</v>
      </c>
      <c r="J49" s="35">
        <v>22.8</v>
      </c>
      <c r="K49" s="35">
        <v>22.8</v>
      </c>
      <c r="L49" s="35">
        <v>22.8</v>
      </c>
      <c r="M49" s="35">
        <v>22.8</v>
      </c>
      <c r="N49" s="35">
        <v>22.8</v>
      </c>
      <c r="O49" s="35">
        <v>22.8</v>
      </c>
      <c r="P49" s="35">
        <v>22.8</v>
      </c>
      <c r="Q49" s="35">
        <v>22.8</v>
      </c>
      <c r="R49" s="35">
        <v>22.8</v>
      </c>
      <c r="S49" s="35">
        <v>22.8</v>
      </c>
      <c r="T49" s="35">
        <v>22.8</v>
      </c>
      <c r="U49" s="35">
        <v>22.8</v>
      </c>
      <c r="V49" s="35">
        <v>22.8</v>
      </c>
      <c r="W49" s="35">
        <v>22.8</v>
      </c>
      <c r="X49" s="35">
        <v>22.8</v>
      </c>
      <c r="Y49" s="35">
        <v>22.8</v>
      </c>
      <c r="Z49" s="35">
        <v>22.8</v>
      </c>
      <c r="AA49" s="35">
        <v>22.8</v>
      </c>
      <c r="AB49" s="36">
        <f t="shared" si="1"/>
        <v>547.20000000000005</v>
      </c>
      <c r="AC49" s="37">
        <v>21</v>
      </c>
      <c r="AD49" s="91">
        <f>+AB49*AC49+AB50*AC50+AB51*AC51</f>
        <v>15868.8</v>
      </c>
    </row>
    <row r="50" spans="2:30">
      <c r="B50" s="89"/>
      <c r="C50" s="34" t="s">
        <v>33</v>
      </c>
      <c r="D50" s="35">
        <v>22.8</v>
      </c>
      <c r="E50" s="35">
        <v>22.8</v>
      </c>
      <c r="F50" s="35">
        <v>22.8</v>
      </c>
      <c r="G50" s="35">
        <v>22.8</v>
      </c>
      <c r="H50" s="35">
        <v>22.8</v>
      </c>
      <c r="I50" s="35">
        <v>22.8</v>
      </c>
      <c r="J50" s="35">
        <v>22.8</v>
      </c>
      <c r="K50" s="35">
        <v>22.8</v>
      </c>
      <c r="L50" s="35">
        <v>22.8</v>
      </c>
      <c r="M50" s="35">
        <v>22.8</v>
      </c>
      <c r="N50" s="35">
        <v>22.8</v>
      </c>
      <c r="O50" s="35">
        <v>22.8</v>
      </c>
      <c r="P50" s="35">
        <v>22.8</v>
      </c>
      <c r="Q50" s="35">
        <v>22.8</v>
      </c>
      <c r="R50" s="35">
        <v>22.8</v>
      </c>
      <c r="S50" s="35">
        <v>22.8</v>
      </c>
      <c r="T50" s="35">
        <v>22.8</v>
      </c>
      <c r="U50" s="35">
        <v>22.8</v>
      </c>
      <c r="V50" s="35">
        <v>22.8</v>
      </c>
      <c r="W50" s="35">
        <v>22.8</v>
      </c>
      <c r="X50" s="35">
        <v>22.8</v>
      </c>
      <c r="Y50" s="35">
        <v>22.8</v>
      </c>
      <c r="Z50" s="35">
        <v>22.8</v>
      </c>
      <c r="AA50" s="35">
        <v>22.8</v>
      </c>
      <c r="AB50" s="36">
        <f t="shared" si="1"/>
        <v>547.20000000000005</v>
      </c>
      <c r="AC50" s="37">
        <v>4</v>
      </c>
      <c r="AD50" s="91"/>
    </row>
    <row r="51" spans="2:30">
      <c r="B51" s="89"/>
      <c r="C51" s="34" t="s">
        <v>34</v>
      </c>
      <c r="D51" s="35">
        <v>22.8</v>
      </c>
      <c r="E51" s="35">
        <v>22.8</v>
      </c>
      <c r="F51" s="35">
        <v>22.8</v>
      </c>
      <c r="G51" s="35">
        <v>22.8</v>
      </c>
      <c r="H51" s="35">
        <v>22.8</v>
      </c>
      <c r="I51" s="35">
        <v>22.8</v>
      </c>
      <c r="J51" s="35">
        <v>22.8</v>
      </c>
      <c r="K51" s="35">
        <v>22.8</v>
      </c>
      <c r="L51" s="35">
        <v>22.8</v>
      </c>
      <c r="M51" s="35">
        <v>22.8</v>
      </c>
      <c r="N51" s="35">
        <v>22.8</v>
      </c>
      <c r="O51" s="35">
        <v>22.8</v>
      </c>
      <c r="P51" s="35">
        <v>22.8</v>
      </c>
      <c r="Q51" s="35">
        <v>22.8</v>
      </c>
      <c r="R51" s="35">
        <v>22.8</v>
      </c>
      <c r="S51" s="35">
        <v>22.8</v>
      </c>
      <c r="T51" s="35">
        <v>22.8</v>
      </c>
      <c r="U51" s="35">
        <v>22.8</v>
      </c>
      <c r="V51" s="35">
        <v>22.8</v>
      </c>
      <c r="W51" s="35">
        <v>22.8</v>
      </c>
      <c r="X51" s="35">
        <v>22.8</v>
      </c>
      <c r="Y51" s="35">
        <v>22.8</v>
      </c>
      <c r="Z51" s="35">
        <v>22.8</v>
      </c>
      <c r="AA51" s="35">
        <v>22.8</v>
      </c>
      <c r="AB51" s="36">
        <f t="shared" si="1"/>
        <v>547.20000000000005</v>
      </c>
      <c r="AC51" s="37">
        <v>4</v>
      </c>
      <c r="AD51" s="91"/>
    </row>
    <row r="52" spans="2:30">
      <c r="B52" s="89">
        <v>46813</v>
      </c>
      <c r="C52" s="34" t="s">
        <v>32</v>
      </c>
      <c r="D52" s="35">
        <v>22.8</v>
      </c>
      <c r="E52" s="35">
        <v>22.8</v>
      </c>
      <c r="F52" s="35">
        <v>22.8</v>
      </c>
      <c r="G52" s="35">
        <v>22.8</v>
      </c>
      <c r="H52" s="35">
        <v>22.8</v>
      </c>
      <c r="I52" s="35">
        <v>22.8</v>
      </c>
      <c r="J52" s="35">
        <v>22.8</v>
      </c>
      <c r="K52" s="35">
        <v>22.8</v>
      </c>
      <c r="L52" s="35">
        <v>22.8</v>
      </c>
      <c r="M52" s="35">
        <v>22.8</v>
      </c>
      <c r="N52" s="35">
        <v>22.8</v>
      </c>
      <c r="O52" s="35">
        <v>22.8</v>
      </c>
      <c r="P52" s="35">
        <v>22.8</v>
      </c>
      <c r="Q52" s="35">
        <v>22.8</v>
      </c>
      <c r="R52" s="35">
        <v>22.8</v>
      </c>
      <c r="S52" s="35">
        <v>22.8</v>
      </c>
      <c r="T52" s="35">
        <v>22.8</v>
      </c>
      <c r="U52" s="35">
        <v>22.8</v>
      </c>
      <c r="V52" s="35">
        <v>22.8</v>
      </c>
      <c r="W52" s="35">
        <v>22.8</v>
      </c>
      <c r="X52" s="35">
        <v>22.8</v>
      </c>
      <c r="Y52" s="35">
        <v>22.8</v>
      </c>
      <c r="Z52" s="35">
        <v>22.8</v>
      </c>
      <c r="AA52" s="35">
        <v>22.8</v>
      </c>
      <c r="AB52" s="36">
        <f t="shared" si="1"/>
        <v>547.20000000000005</v>
      </c>
      <c r="AC52" s="37">
        <v>22</v>
      </c>
      <c r="AD52" s="91">
        <f>+AB52*AC52+AB53*AC53+AB54*AC54</f>
        <v>16963.2</v>
      </c>
    </row>
    <row r="53" spans="2:30">
      <c r="B53" s="89"/>
      <c r="C53" s="34" t="s">
        <v>33</v>
      </c>
      <c r="D53" s="35">
        <v>22.8</v>
      </c>
      <c r="E53" s="35">
        <v>22.8</v>
      </c>
      <c r="F53" s="35">
        <v>22.8</v>
      </c>
      <c r="G53" s="35">
        <v>22.8</v>
      </c>
      <c r="H53" s="35">
        <v>22.8</v>
      </c>
      <c r="I53" s="35">
        <v>22.8</v>
      </c>
      <c r="J53" s="35">
        <v>22.8</v>
      </c>
      <c r="K53" s="35">
        <v>22.8</v>
      </c>
      <c r="L53" s="35">
        <v>22.8</v>
      </c>
      <c r="M53" s="35">
        <v>22.8</v>
      </c>
      <c r="N53" s="35">
        <v>22.8</v>
      </c>
      <c r="O53" s="35">
        <v>22.8</v>
      </c>
      <c r="P53" s="35">
        <v>22.8</v>
      </c>
      <c r="Q53" s="35">
        <v>22.8</v>
      </c>
      <c r="R53" s="35">
        <v>22.8</v>
      </c>
      <c r="S53" s="35">
        <v>22.8</v>
      </c>
      <c r="T53" s="35">
        <v>22.8</v>
      </c>
      <c r="U53" s="35">
        <v>22.8</v>
      </c>
      <c r="V53" s="35">
        <v>22.8</v>
      </c>
      <c r="W53" s="35">
        <v>22.8</v>
      </c>
      <c r="X53" s="35">
        <v>22.8</v>
      </c>
      <c r="Y53" s="35">
        <v>22.8</v>
      </c>
      <c r="Z53" s="35">
        <v>22.8</v>
      </c>
      <c r="AA53" s="35">
        <v>22.8</v>
      </c>
      <c r="AB53" s="36">
        <f t="shared" si="1"/>
        <v>547.20000000000005</v>
      </c>
      <c r="AC53" s="37">
        <v>4</v>
      </c>
      <c r="AD53" s="91"/>
    </row>
    <row r="54" spans="2:30">
      <c r="B54" s="89"/>
      <c r="C54" s="34" t="s">
        <v>34</v>
      </c>
      <c r="D54" s="35">
        <v>22.8</v>
      </c>
      <c r="E54" s="35">
        <v>22.8</v>
      </c>
      <c r="F54" s="35">
        <v>22.8</v>
      </c>
      <c r="G54" s="35">
        <v>22.8</v>
      </c>
      <c r="H54" s="35">
        <v>22.8</v>
      </c>
      <c r="I54" s="35">
        <v>22.8</v>
      </c>
      <c r="J54" s="35">
        <v>22.8</v>
      </c>
      <c r="K54" s="35">
        <v>22.8</v>
      </c>
      <c r="L54" s="35">
        <v>22.8</v>
      </c>
      <c r="M54" s="35">
        <v>22.8</v>
      </c>
      <c r="N54" s="35">
        <v>22.8</v>
      </c>
      <c r="O54" s="35">
        <v>22.8</v>
      </c>
      <c r="P54" s="35">
        <v>22.8</v>
      </c>
      <c r="Q54" s="35">
        <v>22.8</v>
      </c>
      <c r="R54" s="35">
        <v>22.8</v>
      </c>
      <c r="S54" s="35">
        <v>22.8</v>
      </c>
      <c r="T54" s="35">
        <v>22.8</v>
      </c>
      <c r="U54" s="35">
        <v>22.8</v>
      </c>
      <c r="V54" s="35">
        <v>22.8</v>
      </c>
      <c r="W54" s="35">
        <v>22.8</v>
      </c>
      <c r="X54" s="35">
        <v>22.8</v>
      </c>
      <c r="Y54" s="35">
        <v>22.8</v>
      </c>
      <c r="Z54" s="35">
        <v>22.8</v>
      </c>
      <c r="AA54" s="35">
        <v>22.8</v>
      </c>
      <c r="AB54" s="36">
        <f t="shared" si="1"/>
        <v>547.20000000000005</v>
      </c>
      <c r="AC54" s="37">
        <v>5</v>
      </c>
      <c r="AD54" s="91"/>
    </row>
    <row r="55" spans="2:30">
      <c r="B55" s="89">
        <v>46844</v>
      </c>
      <c r="C55" s="34" t="s">
        <v>32</v>
      </c>
      <c r="D55" s="35">
        <v>22.8</v>
      </c>
      <c r="E55" s="35">
        <v>22.8</v>
      </c>
      <c r="F55" s="35">
        <v>22.8</v>
      </c>
      <c r="G55" s="35">
        <v>22.8</v>
      </c>
      <c r="H55" s="35">
        <v>22.8</v>
      </c>
      <c r="I55" s="35">
        <v>22.8</v>
      </c>
      <c r="J55" s="35">
        <v>22.8</v>
      </c>
      <c r="K55" s="35">
        <v>22.8</v>
      </c>
      <c r="L55" s="35">
        <v>22.8</v>
      </c>
      <c r="M55" s="35">
        <v>22.8</v>
      </c>
      <c r="N55" s="35">
        <v>22.8</v>
      </c>
      <c r="O55" s="35">
        <v>22.8</v>
      </c>
      <c r="P55" s="35">
        <v>22.8</v>
      </c>
      <c r="Q55" s="35">
        <v>22.8</v>
      </c>
      <c r="R55" s="35">
        <v>22.8</v>
      </c>
      <c r="S55" s="35">
        <v>22.8</v>
      </c>
      <c r="T55" s="35">
        <v>22.8</v>
      </c>
      <c r="U55" s="35">
        <v>22.8</v>
      </c>
      <c r="V55" s="35">
        <v>22.8</v>
      </c>
      <c r="W55" s="35">
        <v>22.8</v>
      </c>
      <c r="X55" s="35">
        <v>22.8</v>
      </c>
      <c r="Y55" s="35">
        <v>22.8</v>
      </c>
      <c r="Z55" s="35">
        <v>22.8</v>
      </c>
      <c r="AA55" s="35">
        <v>22.8</v>
      </c>
      <c r="AB55" s="36">
        <f t="shared" si="1"/>
        <v>547.20000000000005</v>
      </c>
      <c r="AC55" s="37">
        <v>18</v>
      </c>
      <c r="AD55" s="91">
        <f>+AB55*AC55+AB56*AC56+AB57*AC57</f>
        <v>16416</v>
      </c>
    </row>
    <row r="56" spans="2:30">
      <c r="B56" s="89"/>
      <c r="C56" s="34" t="s">
        <v>33</v>
      </c>
      <c r="D56" s="35">
        <v>22.8</v>
      </c>
      <c r="E56" s="35">
        <v>22.8</v>
      </c>
      <c r="F56" s="35">
        <v>22.8</v>
      </c>
      <c r="G56" s="35">
        <v>22.8</v>
      </c>
      <c r="H56" s="35">
        <v>22.8</v>
      </c>
      <c r="I56" s="35">
        <v>22.8</v>
      </c>
      <c r="J56" s="35">
        <v>22.8</v>
      </c>
      <c r="K56" s="35">
        <v>22.8</v>
      </c>
      <c r="L56" s="35">
        <v>22.8</v>
      </c>
      <c r="M56" s="35">
        <v>22.8</v>
      </c>
      <c r="N56" s="35">
        <v>22.8</v>
      </c>
      <c r="O56" s="35">
        <v>22.8</v>
      </c>
      <c r="P56" s="35">
        <v>22.8</v>
      </c>
      <c r="Q56" s="35">
        <v>22.8</v>
      </c>
      <c r="R56" s="35">
        <v>22.8</v>
      </c>
      <c r="S56" s="35">
        <v>22.8</v>
      </c>
      <c r="T56" s="35">
        <v>22.8</v>
      </c>
      <c r="U56" s="35">
        <v>22.8</v>
      </c>
      <c r="V56" s="35">
        <v>22.8</v>
      </c>
      <c r="W56" s="35">
        <v>22.8</v>
      </c>
      <c r="X56" s="35">
        <v>22.8</v>
      </c>
      <c r="Y56" s="35">
        <v>22.8</v>
      </c>
      <c r="Z56" s="35">
        <v>22.8</v>
      </c>
      <c r="AA56" s="35">
        <v>22.8</v>
      </c>
      <c r="AB56" s="36">
        <f t="shared" si="1"/>
        <v>547.20000000000005</v>
      </c>
      <c r="AC56" s="37">
        <v>5</v>
      </c>
      <c r="AD56" s="91"/>
    </row>
    <row r="57" spans="2:30">
      <c r="B57" s="89"/>
      <c r="C57" s="34" t="s">
        <v>34</v>
      </c>
      <c r="D57" s="35">
        <v>22.8</v>
      </c>
      <c r="E57" s="35">
        <v>22.8</v>
      </c>
      <c r="F57" s="35">
        <v>22.8</v>
      </c>
      <c r="G57" s="35">
        <v>22.8</v>
      </c>
      <c r="H57" s="35">
        <v>22.8</v>
      </c>
      <c r="I57" s="35">
        <v>22.8</v>
      </c>
      <c r="J57" s="35">
        <v>22.8</v>
      </c>
      <c r="K57" s="35">
        <v>22.8</v>
      </c>
      <c r="L57" s="35">
        <v>22.8</v>
      </c>
      <c r="M57" s="35">
        <v>22.8</v>
      </c>
      <c r="N57" s="35">
        <v>22.8</v>
      </c>
      <c r="O57" s="35">
        <v>22.8</v>
      </c>
      <c r="P57" s="35">
        <v>22.8</v>
      </c>
      <c r="Q57" s="35">
        <v>22.8</v>
      </c>
      <c r="R57" s="35">
        <v>22.8</v>
      </c>
      <c r="S57" s="35">
        <v>22.8</v>
      </c>
      <c r="T57" s="35">
        <v>22.8</v>
      </c>
      <c r="U57" s="35">
        <v>22.8</v>
      </c>
      <c r="V57" s="35">
        <v>22.8</v>
      </c>
      <c r="W57" s="35">
        <v>22.8</v>
      </c>
      <c r="X57" s="35">
        <v>22.8</v>
      </c>
      <c r="Y57" s="35">
        <v>22.8</v>
      </c>
      <c r="Z57" s="35">
        <v>22.8</v>
      </c>
      <c r="AA57" s="35">
        <v>22.8</v>
      </c>
      <c r="AB57" s="36">
        <f t="shared" si="1"/>
        <v>547.20000000000005</v>
      </c>
      <c r="AC57" s="37">
        <v>7</v>
      </c>
      <c r="AD57" s="91"/>
    </row>
    <row r="58" spans="2:30">
      <c r="B58" s="89">
        <v>46874</v>
      </c>
      <c r="C58" s="34" t="s">
        <v>32</v>
      </c>
      <c r="D58" s="35">
        <v>22.8</v>
      </c>
      <c r="E58" s="35">
        <v>22.8</v>
      </c>
      <c r="F58" s="35">
        <v>22.8</v>
      </c>
      <c r="G58" s="35">
        <v>22.8</v>
      </c>
      <c r="H58" s="35">
        <v>22.8</v>
      </c>
      <c r="I58" s="35">
        <v>22.8</v>
      </c>
      <c r="J58" s="35">
        <v>22.8</v>
      </c>
      <c r="K58" s="35">
        <v>22.8</v>
      </c>
      <c r="L58" s="35">
        <v>22.8</v>
      </c>
      <c r="M58" s="35">
        <v>22.8</v>
      </c>
      <c r="N58" s="35">
        <v>22.8</v>
      </c>
      <c r="O58" s="35">
        <v>22.8</v>
      </c>
      <c r="P58" s="35">
        <v>22.8</v>
      </c>
      <c r="Q58" s="35">
        <v>22.8</v>
      </c>
      <c r="R58" s="35">
        <v>22.8</v>
      </c>
      <c r="S58" s="35">
        <v>22.8</v>
      </c>
      <c r="T58" s="35">
        <v>22.8</v>
      </c>
      <c r="U58" s="35">
        <v>22.8</v>
      </c>
      <c r="V58" s="35">
        <v>22.8</v>
      </c>
      <c r="W58" s="35">
        <v>22.8</v>
      </c>
      <c r="X58" s="35">
        <v>22.8</v>
      </c>
      <c r="Y58" s="35">
        <v>22.8</v>
      </c>
      <c r="Z58" s="35">
        <v>22.8</v>
      </c>
      <c r="AA58" s="35">
        <v>22.8</v>
      </c>
      <c r="AB58" s="36">
        <f t="shared" si="1"/>
        <v>547.20000000000005</v>
      </c>
      <c r="AC58" s="37">
        <v>21</v>
      </c>
      <c r="AD58" s="91">
        <f>+AB58*AC58+AB59*AC59+AB60*AC60</f>
        <v>16963.2</v>
      </c>
    </row>
    <row r="59" spans="2:30">
      <c r="B59" s="89"/>
      <c r="C59" s="34" t="s">
        <v>33</v>
      </c>
      <c r="D59" s="35">
        <v>22.8</v>
      </c>
      <c r="E59" s="35">
        <v>22.8</v>
      </c>
      <c r="F59" s="35">
        <v>22.8</v>
      </c>
      <c r="G59" s="35">
        <v>22.8</v>
      </c>
      <c r="H59" s="35">
        <v>22.8</v>
      </c>
      <c r="I59" s="35">
        <v>22.8</v>
      </c>
      <c r="J59" s="35">
        <v>22.8</v>
      </c>
      <c r="K59" s="35">
        <v>22.8</v>
      </c>
      <c r="L59" s="35">
        <v>22.8</v>
      </c>
      <c r="M59" s="35">
        <v>22.8</v>
      </c>
      <c r="N59" s="35">
        <v>22.8</v>
      </c>
      <c r="O59" s="35">
        <v>22.8</v>
      </c>
      <c r="P59" s="35">
        <v>22.8</v>
      </c>
      <c r="Q59" s="35">
        <v>22.8</v>
      </c>
      <c r="R59" s="35">
        <v>22.8</v>
      </c>
      <c r="S59" s="35">
        <v>22.8</v>
      </c>
      <c r="T59" s="35">
        <v>22.8</v>
      </c>
      <c r="U59" s="35">
        <v>22.8</v>
      </c>
      <c r="V59" s="35">
        <v>22.8</v>
      </c>
      <c r="W59" s="35">
        <v>22.8</v>
      </c>
      <c r="X59" s="35">
        <v>22.8</v>
      </c>
      <c r="Y59" s="35">
        <v>22.8</v>
      </c>
      <c r="Z59" s="35">
        <v>22.8</v>
      </c>
      <c r="AA59" s="35">
        <v>22.8</v>
      </c>
      <c r="AB59" s="36">
        <f t="shared" si="1"/>
        <v>547.20000000000005</v>
      </c>
      <c r="AC59" s="37">
        <v>4</v>
      </c>
      <c r="AD59" s="91"/>
    </row>
    <row r="60" spans="2:30">
      <c r="B60" s="89"/>
      <c r="C60" s="34" t="s">
        <v>34</v>
      </c>
      <c r="D60" s="35">
        <v>22.8</v>
      </c>
      <c r="E60" s="35">
        <v>22.8</v>
      </c>
      <c r="F60" s="35">
        <v>22.8</v>
      </c>
      <c r="G60" s="35">
        <v>22.8</v>
      </c>
      <c r="H60" s="35">
        <v>22.8</v>
      </c>
      <c r="I60" s="35">
        <v>22.8</v>
      </c>
      <c r="J60" s="35">
        <v>22.8</v>
      </c>
      <c r="K60" s="35">
        <v>22.8</v>
      </c>
      <c r="L60" s="35">
        <v>22.8</v>
      </c>
      <c r="M60" s="35">
        <v>22.8</v>
      </c>
      <c r="N60" s="35">
        <v>22.8</v>
      </c>
      <c r="O60" s="35">
        <v>22.8</v>
      </c>
      <c r="P60" s="35">
        <v>22.8</v>
      </c>
      <c r="Q60" s="35">
        <v>22.8</v>
      </c>
      <c r="R60" s="35">
        <v>22.8</v>
      </c>
      <c r="S60" s="35">
        <v>22.8</v>
      </c>
      <c r="T60" s="35">
        <v>22.8</v>
      </c>
      <c r="U60" s="35">
        <v>22.8</v>
      </c>
      <c r="V60" s="35">
        <v>22.8</v>
      </c>
      <c r="W60" s="35">
        <v>22.8</v>
      </c>
      <c r="X60" s="35">
        <v>22.8</v>
      </c>
      <c r="Y60" s="35">
        <v>22.8</v>
      </c>
      <c r="Z60" s="35">
        <v>22.8</v>
      </c>
      <c r="AA60" s="35">
        <v>22.8</v>
      </c>
      <c r="AB60" s="36">
        <f t="shared" si="1"/>
        <v>547.20000000000005</v>
      </c>
      <c r="AC60" s="37">
        <v>6</v>
      </c>
      <c r="AD60" s="91"/>
    </row>
    <row r="61" spans="2:30">
      <c r="B61" s="89">
        <v>46905</v>
      </c>
      <c r="C61" s="34" t="s">
        <v>32</v>
      </c>
      <c r="D61" s="35">
        <v>22.8</v>
      </c>
      <c r="E61" s="35">
        <v>22.8</v>
      </c>
      <c r="F61" s="35">
        <v>22.8</v>
      </c>
      <c r="G61" s="35">
        <v>22.8</v>
      </c>
      <c r="H61" s="35">
        <v>22.8</v>
      </c>
      <c r="I61" s="35">
        <v>22.8</v>
      </c>
      <c r="J61" s="35">
        <v>22.8</v>
      </c>
      <c r="K61" s="35">
        <v>22.8</v>
      </c>
      <c r="L61" s="35">
        <v>22.8</v>
      </c>
      <c r="M61" s="35">
        <v>22.8</v>
      </c>
      <c r="N61" s="35">
        <v>22.8</v>
      </c>
      <c r="O61" s="35">
        <v>22.8</v>
      </c>
      <c r="P61" s="35">
        <v>22.8</v>
      </c>
      <c r="Q61" s="35">
        <v>22.8</v>
      </c>
      <c r="R61" s="35">
        <v>22.8</v>
      </c>
      <c r="S61" s="35">
        <v>22.8</v>
      </c>
      <c r="T61" s="35">
        <v>22.8</v>
      </c>
      <c r="U61" s="35">
        <v>22.8</v>
      </c>
      <c r="V61" s="35">
        <v>22.8</v>
      </c>
      <c r="W61" s="35">
        <v>22.8</v>
      </c>
      <c r="X61" s="35">
        <v>22.8</v>
      </c>
      <c r="Y61" s="35">
        <v>22.8</v>
      </c>
      <c r="Z61" s="35">
        <v>22.8</v>
      </c>
      <c r="AA61" s="35">
        <v>22.8</v>
      </c>
      <c r="AB61" s="36">
        <f t="shared" si="1"/>
        <v>547.20000000000005</v>
      </c>
      <c r="AC61" s="37">
        <v>20</v>
      </c>
      <c r="AD61" s="91">
        <f>+AB61*AC61+AB62*AC62+AB63*AC63</f>
        <v>16416</v>
      </c>
    </row>
    <row r="62" spans="2:30">
      <c r="B62" s="89"/>
      <c r="C62" s="34" t="s">
        <v>33</v>
      </c>
      <c r="D62" s="35">
        <v>22.8</v>
      </c>
      <c r="E62" s="35">
        <v>22.8</v>
      </c>
      <c r="F62" s="35">
        <v>22.8</v>
      </c>
      <c r="G62" s="35">
        <v>22.8</v>
      </c>
      <c r="H62" s="35">
        <v>22.8</v>
      </c>
      <c r="I62" s="35">
        <v>22.8</v>
      </c>
      <c r="J62" s="35">
        <v>22.8</v>
      </c>
      <c r="K62" s="35">
        <v>22.8</v>
      </c>
      <c r="L62" s="35">
        <v>22.8</v>
      </c>
      <c r="M62" s="35">
        <v>22.8</v>
      </c>
      <c r="N62" s="35">
        <v>22.8</v>
      </c>
      <c r="O62" s="35">
        <v>22.8</v>
      </c>
      <c r="P62" s="35">
        <v>22.8</v>
      </c>
      <c r="Q62" s="35">
        <v>22.8</v>
      </c>
      <c r="R62" s="35">
        <v>22.8</v>
      </c>
      <c r="S62" s="35">
        <v>22.8</v>
      </c>
      <c r="T62" s="35">
        <v>22.8</v>
      </c>
      <c r="U62" s="35">
        <v>22.8</v>
      </c>
      <c r="V62" s="35">
        <v>22.8</v>
      </c>
      <c r="W62" s="35">
        <v>22.8</v>
      </c>
      <c r="X62" s="35">
        <v>22.8</v>
      </c>
      <c r="Y62" s="35">
        <v>22.8</v>
      </c>
      <c r="Z62" s="35">
        <v>22.8</v>
      </c>
      <c r="AA62" s="35">
        <v>22.8</v>
      </c>
      <c r="AB62" s="36">
        <f t="shared" si="1"/>
        <v>547.20000000000005</v>
      </c>
      <c r="AC62" s="37">
        <v>4</v>
      </c>
      <c r="AD62" s="91"/>
    </row>
    <row r="63" spans="2:30">
      <c r="B63" s="89"/>
      <c r="C63" s="34" t="s">
        <v>34</v>
      </c>
      <c r="D63" s="35">
        <v>22.8</v>
      </c>
      <c r="E63" s="35">
        <v>22.8</v>
      </c>
      <c r="F63" s="35">
        <v>22.8</v>
      </c>
      <c r="G63" s="35">
        <v>22.8</v>
      </c>
      <c r="H63" s="35">
        <v>22.8</v>
      </c>
      <c r="I63" s="35">
        <v>22.8</v>
      </c>
      <c r="J63" s="35">
        <v>22.8</v>
      </c>
      <c r="K63" s="35">
        <v>22.8</v>
      </c>
      <c r="L63" s="35">
        <v>22.8</v>
      </c>
      <c r="M63" s="35">
        <v>22.8</v>
      </c>
      <c r="N63" s="35">
        <v>22.8</v>
      </c>
      <c r="O63" s="35">
        <v>22.8</v>
      </c>
      <c r="P63" s="35">
        <v>22.8</v>
      </c>
      <c r="Q63" s="35">
        <v>22.8</v>
      </c>
      <c r="R63" s="35">
        <v>22.8</v>
      </c>
      <c r="S63" s="35">
        <v>22.8</v>
      </c>
      <c r="T63" s="35">
        <v>22.8</v>
      </c>
      <c r="U63" s="35">
        <v>22.8</v>
      </c>
      <c r="V63" s="35">
        <v>22.8</v>
      </c>
      <c r="W63" s="35">
        <v>22.8</v>
      </c>
      <c r="X63" s="35">
        <v>22.8</v>
      </c>
      <c r="Y63" s="35">
        <v>22.8</v>
      </c>
      <c r="Z63" s="35">
        <v>22.8</v>
      </c>
      <c r="AA63" s="35">
        <v>22.8</v>
      </c>
      <c r="AB63" s="36">
        <f t="shared" si="1"/>
        <v>547.20000000000005</v>
      </c>
      <c r="AC63" s="37">
        <v>6</v>
      </c>
      <c r="AD63" s="91"/>
    </row>
    <row r="64" spans="2:30">
      <c r="B64" s="89">
        <v>46935</v>
      </c>
      <c r="C64" s="34" t="s">
        <v>32</v>
      </c>
      <c r="D64" s="35">
        <v>22.8</v>
      </c>
      <c r="E64" s="35">
        <v>22.8</v>
      </c>
      <c r="F64" s="35">
        <v>22.8</v>
      </c>
      <c r="G64" s="35">
        <v>22.8</v>
      </c>
      <c r="H64" s="35">
        <v>22.8</v>
      </c>
      <c r="I64" s="35">
        <v>22.8</v>
      </c>
      <c r="J64" s="35">
        <v>22.8</v>
      </c>
      <c r="K64" s="35">
        <v>22.8</v>
      </c>
      <c r="L64" s="35">
        <v>22.8</v>
      </c>
      <c r="M64" s="35">
        <v>22.8</v>
      </c>
      <c r="N64" s="35">
        <v>22.8</v>
      </c>
      <c r="O64" s="35">
        <v>22.8</v>
      </c>
      <c r="P64" s="35">
        <v>22.8</v>
      </c>
      <c r="Q64" s="35">
        <v>22.8</v>
      </c>
      <c r="R64" s="35">
        <v>22.8</v>
      </c>
      <c r="S64" s="35">
        <v>22.8</v>
      </c>
      <c r="T64" s="35">
        <v>22.8</v>
      </c>
      <c r="U64" s="35">
        <v>22.8</v>
      </c>
      <c r="V64" s="35">
        <v>22.8</v>
      </c>
      <c r="W64" s="35">
        <v>22.8</v>
      </c>
      <c r="X64" s="35">
        <v>22.8</v>
      </c>
      <c r="Y64" s="35">
        <v>22.8</v>
      </c>
      <c r="Z64" s="35">
        <v>22.8</v>
      </c>
      <c r="AA64" s="35">
        <v>22.8</v>
      </c>
      <c r="AB64" s="36">
        <f t="shared" si="1"/>
        <v>547.20000000000005</v>
      </c>
      <c r="AC64" s="37">
        <v>19</v>
      </c>
      <c r="AD64" s="91">
        <f>+AB64*AC64+AB65*AC65+AB66*AC66</f>
        <v>16963.2</v>
      </c>
    </row>
    <row r="65" spans="2:30">
      <c r="B65" s="89"/>
      <c r="C65" s="34" t="s">
        <v>33</v>
      </c>
      <c r="D65" s="35">
        <v>22.8</v>
      </c>
      <c r="E65" s="35">
        <v>22.8</v>
      </c>
      <c r="F65" s="35">
        <v>22.8</v>
      </c>
      <c r="G65" s="35">
        <v>22.8</v>
      </c>
      <c r="H65" s="35">
        <v>22.8</v>
      </c>
      <c r="I65" s="35">
        <v>22.8</v>
      </c>
      <c r="J65" s="35">
        <v>22.8</v>
      </c>
      <c r="K65" s="35">
        <v>22.8</v>
      </c>
      <c r="L65" s="35">
        <v>22.8</v>
      </c>
      <c r="M65" s="35">
        <v>22.8</v>
      </c>
      <c r="N65" s="35">
        <v>22.8</v>
      </c>
      <c r="O65" s="35">
        <v>22.8</v>
      </c>
      <c r="P65" s="35">
        <v>22.8</v>
      </c>
      <c r="Q65" s="35">
        <v>22.8</v>
      </c>
      <c r="R65" s="35">
        <v>22.8</v>
      </c>
      <c r="S65" s="35">
        <v>22.8</v>
      </c>
      <c r="T65" s="35">
        <v>22.8</v>
      </c>
      <c r="U65" s="35">
        <v>22.8</v>
      </c>
      <c r="V65" s="35">
        <v>22.8</v>
      </c>
      <c r="W65" s="35">
        <v>22.8</v>
      </c>
      <c r="X65" s="35">
        <v>22.8</v>
      </c>
      <c r="Y65" s="35">
        <v>22.8</v>
      </c>
      <c r="Z65" s="35">
        <v>22.8</v>
      </c>
      <c r="AA65" s="35">
        <v>22.8</v>
      </c>
      <c r="AB65" s="36">
        <f t="shared" si="1"/>
        <v>547.20000000000005</v>
      </c>
      <c r="AC65" s="37">
        <v>5</v>
      </c>
      <c r="AD65" s="91"/>
    </row>
    <row r="66" spans="2:30">
      <c r="B66" s="89"/>
      <c r="C66" s="34" t="s">
        <v>34</v>
      </c>
      <c r="D66" s="35">
        <v>22.8</v>
      </c>
      <c r="E66" s="35">
        <v>22.8</v>
      </c>
      <c r="F66" s="35">
        <v>22.8</v>
      </c>
      <c r="G66" s="35">
        <v>22.8</v>
      </c>
      <c r="H66" s="35">
        <v>22.8</v>
      </c>
      <c r="I66" s="35">
        <v>22.8</v>
      </c>
      <c r="J66" s="35">
        <v>22.8</v>
      </c>
      <c r="K66" s="35">
        <v>22.8</v>
      </c>
      <c r="L66" s="35">
        <v>22.8</v>
      </c>
      <c r="M66" s="35">
        <v>22.8</v>
      </c>
      <c r="N66" s="35">
        <v>22.8</v>
      </c>
      <c r="O66" s="35">
        <v>22.8</v>
      </c>
      <c r="P66" s="35">
        <v>22.8</v>
      </c>
      <c r="Q66" s="35">
        <v>22.8</v>
      </c>
      <c r="R66" s="35">
        <v>22.8</v>
      </c>
      <c r="S66" s="35">
        <v>22.8</v>
      </c>
      <c r="T66" s="35">
        <v>22.8</v>
      </c>
      <c r="U66" s="35">
        <v>22.8</v>
      </c>
      <c r="V66" s="35">
        <v>22.8</v>
      </c>
      <c r="W66" s="35">
        <v>22.8</v>
      </c>
      <c r="X66" s="35">
        <v>22.8</v>
      </c>
      <c r="Y66" s="35">
        <v>22.8</v>
      </c>
      <c r="Z66" s="35">
        <v>22.8</v>
      </c>
      <c r="AA66" s="35">
        <v>22.8</v>
      </c>
      <c r="AB66" s="36">
        <f t="shared" si="1"/>
        <v>547.20000000000005</v>
      </c>
      <c r="AC66" s="37">
        <v>7</v>
      </c>
      <c r="AD66" s="91"/>
    </row>
    <row r="67" spans="2:30">
      <c r="B67" s="89">
        <v>46966</v>
      </c>
      <c r="C67" s="34" t="s">
        <v>32</v>
      </c>
      <c r="D67" s="35">
        <v>22.8</v>
      </c>
      <c r="E67" s="35">
        <v>22.8</v>
      </c>
      <c r="F67" s="35">
        <v>22.8</v>
      </c>
      <c r="G67" s="35">
        <v>22.8</v>
      </c>
      <c r="H67" s="35">
        <v>22.8</v>
      </c>
      <c r="I67" s="35">
        <v>22.8</v>
      </c>
      <c r="J67" s="35">
        <v>22.8</v>
      </c>
      <c r="K67" s="35">
        <v>22.8</v>
      </c>
      <c r="L67" s="35">
        <v>22.8</v>
      </c>
      <c r="M67" s="35">
        <v>22.8</v>
      </c>
      <c r="N67" s="35">
        <v>22.8</v>
      </c>
      <c r="O67" s="35">
        <v>22.8</v>
      </c>
      <c r="P67" s="35">
        <v>22.8</v>
      </c>
      <c r="Q67" s="35">
        <v>22.8</v>
      </c>
      <c r="R67" s="35">
        <v>22.8</v>
      </c>
      <c r="S67" s="35">
        <v>22.8</v>
      </c>
      <c r="T67" s="35">
        <v>22.8</v>
      </c>
      <c r="U67" s="35">
        <v>22.8</v>
      </c>
      <c r="V67" s="35">
        <v>22.8</v>
      </c>
      <c r="W67" s="35">
        <v>22.8</v>
      </c>
      <c r="X67" s="35">
        <v>22.8</v>
      </c>
      <c r="Y67" s="35">
        <v>22.8</v>
      </c>
      <c r="Z67" s="35">
        <v>22.8</v>
      </c>
      <c r="AA67" s="35">
        <v>22.8</v>
      </c>
      <c r="AB67" s="36">
        <f t="shared" si="1"/>
        <v>547.20000000000005</v>
      </c>
      <c r="AC67" s="37">
        <v>21</v>
      </c>
      <c r="AD67" s="91">
        <f>+AB67*AC67+AB68*AC68+AB69*AC69</f>
        <v>16963.2</v>
      </c>
    </row>
    <row r="68" spans="2:30">
      <c r="B68" s="89"/>
      <c r="C68" s="34" t="s">
        <v>33</v>
      </c>
      <c r="D68" s="35">
        <v>22.8</v>
      </c>
      <c r="E68" s="35">
        <v>22.8</v>
      </c>
      <c r="F68" s="35">
        <v>22.8</v>
      </c>
      <c r="G68" s="35">
        <v>22.8</v>
      </c>
      <c r="H68" s="35">
        <v>22.8</v>
      </c>
      <c r="I68" s="35">
        <v>22.8</v>
      </c>
      <c r="J68" s="35">
        <v>22.8</v>
      </c>
      <c r="K68" s="35">
        <v>22.8</v>
      </c>
      <c r="L68" s="35">
        <v>22.8</v>
      </c>
      <c r="M68" s="35">
        <v>22.8</v>
      </c>
      <c r="N68" s="35">
        <v>22.8</v>
      </c>
      <c r="O68" s="35">
        <v>22.8</v>
      </c>
      <c r="P68" s="35">
        <v>22.8</v>
      </c>
      <c r="Q68" s="35">
        <v>22.8</v>
      </c>
      <c r="R68" s="35">
        <v>22.8</v>
      </c>
      <c r="S68" s="35">
        <v>22.8</v>
      </c>
      <c r="T68" s="35">
        <v>22.8</v>
      </c>
      <c r="U68" s="35">
        <v>22.8</v>
      </c>
      <c r="V68" s="35">
        <v>22.8</v>
      </c>
      <c r="W68" s="35">
        <v>22.8</v>
      </c>
      <c r="X68" s="35">
        <v>22.8</v>
      </c>
      <c r="Y68" s="35">
        <v>22.8</v>
      </c>
      <c r="Z68" s="35">
        <v>22.8</v>
      </c>
      <c r="AA68" s="35">
        <v>22.8</v>
      </c>
      <c r="AB68" s="36">
        <f t="shared" si="1"/>
        <v>547.20000000000005</v>
      </c>
      <c r="AC68" s="37">
        <v>4</v>
      </c>
      <c r="AD68" s="91"/>
    </row>
    <row r="69" spans="2:30">
      <c r="B69" s="89"/>
      <c r="C69" s="34" t="s">
        <v>34</v>
      </c>
      <c r="D69" s="35">
        <v>22.8</v>
      </c>
      <c r="E69" s="35">
        <v>22.8</v>
      </c>
      <c r="F69" s="35">
        <v>22.8</v>
      </c>
      <c r="G69" s="35">
        <v>22.8</v>
      </c>
      <c r="H69" s="35">
        <v>22.8</v>
      </c>
      <c r="I69" s="35">
        <v>22.8</v>
      </c>
      <c r="J69" s="35">
        <v>22.8</v>
      </c>
      <c r="K69" s="35">
        <v>22.8</v>
      </c>
      <c r="L69" s="35">
        <v>22.8</v>
      </c>
      <c r="M69" s="35">
        <v>22.8</v>
      </c>
      <c r="N69" s="35">
        <v>22.8</v>
      </c>
      <c r="O69" s="35">
        <v>22.8</v>
      </c>
      <c r="P69" s="35">
        <v>22.8</v>
      </c>
      <c r="Q69" s="35">
        <v>22.8</v>
      </c>
      <c r="R69" s="35">
        <v>22.8</v>
      </c>
      <c r="S69" s="35">
        <v>22.8</v>
      </c>
      <c r="T69" s="35">
        <v>22.8</v>
      </c>
      <c r="U69" s="35">
        <v>22.8</v>
      </c>
      <c r="V69" s="35">
        <v>22.8</v>
      </c>
      <c r="W69" s="35">
        <v>22.8</v>
      </c>
      <c r="X69" s="35">
        <v>22.8</v>
      </c>
      <c r="Y69" s="35">
        <v>22.8</v>
      </c>
      <c r="Z69" s="35">
        <v>22.8</v>
      </c>
      <c r="AA69" s="35">
        <v>22.8</v>
      </c>
      <c r="AB69" s="36">
        <f t="shared" si="1"/>
        <v>547.20000000000005</v>
      </c>
      <c r="AC69" s="37">
        <v>6</v>
      </c>
      <c r="AD69" s="91"/>
    </row>
    <row r="70" spans="2:30">
      <c r="B70" s="89">
        <v>46997</v>
      </c>
      <c r="C70" s="34" t="s">
        <v>32</v>
      </c>
      <c r="D70" s="35">
        <v>22.8</v>
      </c>
      <c r="E70" s="35">
        <v>22.8</v>
      </c>
      <c r="F70" s="35">
        <v>22.8</v>
      </c>
      <c r="G70" s="35">
        <v>22.8</v>
      </c>
      <c r="H70" s="35">
        <v>22.8</v>
      </c>
      <c r="I70" s="35">
        <v>22.8</v>
      </c>
      <c r="J70" s="35">
        <v>22.8</v>
      </c>
      <c r="K70" s="35">
        <v>22.8</v>
      </c>
      <c r="L70" s="35">
        <v>22.8</v>
      </c>
      <c r="M70" s="35">
        <v>22.8</v>
      </c>
      <c r="N70" s="35">
        <v>22.8</v>
      </c>
      <c r="O70" s="35">
        <v>22.8</v>
      </c>
      <c r="P70" s="35">
        <v>22.8</v>
      </c>
      <c r="Q70" s="35">
        <v>22.8</v>
      </c>
      <c r="R70" s="35">
        <v>22.8</v>
      </c>
      <c r="S70" s="35">
        <v>22.8</v>
      </c>
      <c r="T70" s="35">
        <v>22.8</v>
      </c>
      <c r="U70" s="35">
        <v>22.8</v>
      </c>
      <c r="V70" s="35">
        <v>22.8</v>
      </c>
      <c r="W70" s="35">
        <v>22.8</v>
      </c>
      <c r="X70" s="35">
        <v>22.8</v>
      </c>
      <c r="Y70" s="35">
        <v>22.8</v>
      </c>
      <c r="Z70" s="35">
        <v>22.8</v>
      </c>
      <c r="AA70" s="35">
        <v>22.8</v>
      </c>
      <c r="AB70" s="36">
        <f t="shared" si="1"/>
        <v>547.20000000000005</v>
      </c>
      <c r="AC70" s="37">
        <v>21</v>
      </c>
      <c r="AD70" s="91">
        <f>+AB70*AC70+AB71*AC71+AB72*AC72</f>
        <v>16416</v>
      </c>
    </row>
    <row r="71" spans="2:30">
      <c r="B71" s="89"/>
      <c r="C71" s="34" t="s">
        <v>33</v>
      </c>
      <c r="D71" s="35">
        <v>22.8</v>
      </c>
      <c r="E71" s="35">
        <v>22.8</v>
      </c>
      <c r="F71" s="35">
        <v>22.8</v>
      </c>
      <c r="G71" s="35">
        <v>22.8</v>
      </c>
      <c r="H71" s="35">
        <v>22.8</v>
      </c>
      <c r="I71" s="35">
        <v>22.8</v>
      </c>
      <c r="J71" s="35">
        <v>22.8</v>
      </c>
      <c r="K71" s="35">
        <v>22.8</v>
      </c>
      <c r="L71" s="35">
        <v>22.8</v>
      </c>
      <c r="M71" s="35">
        <v>22.8</v>
      </c>
      <c r="N71" s="35">
        <v>22.8</v>
      </c>
      <c r="O71" s="35">
        <v>22.8</v>
      </c>
      <c r="P71" s="35">
        <v>22.8</v>
      </c>
      <c r="Q71" s="35">
        <v>22.8</v>
      </c>
      <c r="R71" s="35">
        <v>22.8</v>
      </c>
      <c r="S71" s="35">
        <v>22.8</v>
      </c>
      <c r="T71" s="35">
        <v>22.8</v>
      </c>
      <c r="U71" s="35">
        <v>22.8</v>
      </c>
      <c r="V71" s="35">
        <v>22.8</v>
      </c>
      <c r="W71" s="35">
        <v>22.8</v>
      </c>
      <c r="X71" s="35">
        <v>22.8</v>
      </c>
      <c r="Y71" s="35">
        <v>22.8</v>
      </c>
      <c r="Z71" s="35">
        <v>22.8</v>
      </c>
      <c r="AA71" s="35">
        <v>22.8</v>
      </c>
      <c r="AB71" s="36">
        <f t="shared" si="1"/>
        <v>547.20000000000005</v>
      </c>
      <c r="AC71" s="37">
        <v>5</v>
      </c>
      <c r="AD71" s="91"/>
    </row>
    <row r="72" spans="2:30">
      <c r="B72" s="89"/>
      <c r="C72" s="34" t="s">
        <v>34</v>
      </c>
      <c r="D72" s="35">
        <v>22.8</v>
      </c>
      <c r="E72" s="35">
        <v>22.8</v>
      </c>
      <c r="F72" s="35">
        <v>22.8</v>
      </c>
      <c r="G72" s="35">
        <v>22.8</v>
      </c>
      <c r="H72" s="35">
        <v>22.8</v>
      </c>
      <c r="I72" s="35">
        <v>22.8</v>
      </c>
      <c r="J72" s="35">
        <v>22.8</v>
      </c>
      <c r="K72" s="35">
        <v>22.8</v>
      </c>
      <c r="L72" s="35">
        <v>22.8</v>
      </c>
      <c r="M72" s="35">
        <v>22.8</v>
      </c>
      <c r="N72" s="35">
        <v>22.8</v>
      </c>
      <c r="O72" s="35">
        <v>22.8</v>
      </c>
      <c r="P72" s="35">
        <v>22.8</v>
      </c>
      <c r="Q72" s="35">
        <v>22.8</v>
      </c>
      <c r="R72" s="35">
        <v>22.8</v>
      </c>
      <c r="S72" s="35">
        <v>22.8</v>
      </c>
      <c r="T72" s="35">
        <v>22.8</v>
      </c>
      <c r="U72" s="35">
        <v>22.8</v>
      </c>
      <c r="V72" s="35">
        <v>22.8</v>
      </c>
      <c r="W72" s="35">
        <v>22.8</v>
      </c>
      <c r="X72" s="35">
        <v>22.8</v>
      </c>
      <c r="Y72" s="35">
        <v>22.8</v>
      </c>
      <c r="Z72" s="35">
        <v>22.8</v>
      </c>
      <c r="AA72" s="35">
        <v>22.8</v>
      </c>
      <c r="AB72" s="36">
        <f t="shared" si="1"/>
        <v>547.20000000000005</v>
      </c>
      <c r="AC72" s="37">
        <v>4</v>
      </c>
      <c r="AD72" s="91"/>
    </row>
    <row r="73" spans="2:30">
      <c r="B73" s="89">
        <v>47027</v>
      </c>
      <c r="C73" s="34" t="s">
        <v>32</v>
      </c>
      <c r="D73" s="35">
        <v>22.8</v>
      </c>
      <c r="E73" s="35">
        <v>22.8</v>
      </c>
      <c r="F73" s="35">
        <v>22.8</v>
      </c>
      <c r="G73" s="35">
        <v>22.8</v>
      </c>
      <c r="H73" s="35">
        <v>22.8</v>
      </c>
      <c r="I73" s="35">
        <v>22.8</v>
      </c>
      <c r="J73" s="35">
        <v>22.8</v>
      </c>
      <c r="K73" s="35">
        <v>22.8</v>
      </c>
      <c r="L73" s="35">
        <v>22.8</v>
      </c>
      <c r="M73" s="35">
        <v>22.8</v>
      </c>
      <c r="N73" s="35">
        <v>22.8</v>
      </c>
      <c r="O73" s="35">
        <v>22.8</v>
      </c>
      <c r="P73" s="35">
        <v>22.8</v>
      </c>
      <c r="Q73" s="35">
        <v>22.8</v>
      </c>
      <c r="R73" s="35">
        <v>22.8</v>
      </c>
      <c r="S73" s="35">
        <v>22.8</v>
      </c>
      <c r="T73" s="35">
        <v>22.8</v>
      </c>
      <c r="U73" s="35">
        <v>22.8</v>
      </c>
      <c r="V73" s="35">
        <v>22.8</v>
      </c>
      <c r="W73" s="35">
        <v>22.8</v>
      </c>
      <c r="X73" s="35">
        <v>22.8</v>
      </c>
      <c r="Y73" s="35">
        <v>22.8</v>
      </c>
      <c r="Z73" s="35">
        <v>22.8</v>
      </c>
      <c r="AA73" s="35">
        <v>22.8</v>
      </c>
      <c r="AB73" s="36">
        <f t="shared" si="1"/>
        <v>547.20000000000005</v>
      </c>
      <c r="AC73" s="37">
        <v>21</v>
      </c>
      <c r="AD73" s="91">
        <f>+AB73*AC73+AB74*AC74+AB75*AC75</f>
        <v>16963.2</v>
      </c>
    </row>
    <row r="74" spans="2:30">
      <c r="B74" s="89"/>
      <c r="C74" s="34" t="s">
        <v>33</v>
      </c>
      <c r="D74" s="35">
        <v>22.8</v>
      </c>
      <c r="E74" s="35">
        <v>22.8</v>
      </c>
      <c r="F74" s="35">
        <v>22.8</v>
      </c>
      <c r="G74" s="35">
        <v>22.8</v>
      </c>
      <c r="H74" s="35">
        <v>22.8</v>
      </c>
      <c r="I74" s="35">
        <v>22.8</v>
      </c>
      <c r="J74" s="35">
        <v>22.8</v>
      </c>
      <c r="K74" s="35">
        <v>22.8</v>
      </c>
      <c r="L74" s="35">
        <v>22.8</v>
      </c>
      <c r="M74" s="35">
        <v>22.8</v>
      </c>
      <c r="N74" s="35">
        <v>22.8</v>
      </c>
      <c r="O74" s="35">
        <v>22.8</v>
      </c>
      <c r="P74" s="35">
        <v>22.8</v>
      </c>
      <c r="Q74" s="35">
        <v>22.8</v>
      </c>
      <c r="R74" s="35">
        <v>22.8</v>
      </c>
      <c r="S74" s="35">
        <v>22.8</v>
      </c>
      <c r="T74" s="35">
        <v>22.8</v>
      </c>
      <c r="U74" s="35">
        <v>22.8</v>
      </c>
      <c r="V74" s="35">
        <v>22.8</v>
      </c>
      <c r="W74" s="35">
        <v>22.8</v>
      </c>
      <c r="X74" s="35">
        <v>22.8</v>
      </c>
      <c r="Y74" s="35">
        <v>22.8</v>
      </c>
      <c r="Z74" s="35">
        <v>22.8</v>
      </c>
      <c r="AA74" s="35">
        <v>22.8</v>
      </c>
      <c r="AB74" s="36">
        <f t="shared" si="1"/>
        <v>547.20000000000005</v>
      </c>
      <c r="AC74" s="37">
        <v>4</v>
      </c>
      <c r="AD74" s="91"/>
    </row>
    <row r="75" spans="2:30">
      <c r="B75" s="89"/>
      <c r="C75" s="34" t="s">
        <v>34</v>
      </c>
      <c r="D75" s="35">
        <v>22.8</v>
      </c>
      <c r="E75" s="35">
        <v>22.8</v>
      </c>
      <c r="F75" s="35">
        <v>22.8</v>
      </c>
      <c r="G75" s="35">
        <v>22.8</v>
      </c>
      <c r="H75" s="35">
        <v>22.8</v>
      </c>
      <c r="I75" s="35">
        <v>22.8</v>
      </c>
      <c r="J75" s="35">
        <v>22.8</v>
      </c>
      <c r="K75" s="35">
        <v>22.8</v>
      </c>
      <c r="L75" s="35">
        <v>22.8</v>
      </c>
      <c r="M75" s="35">
        <v>22.8</v>
      </c>
      <c r="N75" s="35">
        <v>22.8</v>
      </c>
      <c r="O75" s="35">
        <v>22.8</v>
      </c>
      <c r="P75" s="35">
        <v>22.8</v>
      </c>
      <c r="Q75" s="35">
        <v>22.8</v>
      </c>
      <c r="R75" s="35">
        <v>22.8</v>
      </c>
      <c r="S75" s="35">
        <v>22.8</v>
      </c>
      <c r="T75" s="35">
        <v>22.8</v>
      </c>
      <c r="U75" s="35">
        <v>22.8</v>
      </c>
      <c r="V75" s="35">
        <v>22.8</v>
      </c>
      <c r="W75" s="35">
        <v>22.8</v>
      </c>
      <c r="X75" s="35">
        <v>22.8</v>
      </c>
      <c r="Y75" s="35">
        <v>22.8</v>
      </c>
      <c r="Z75" s="35">
        <v>22.8</v>
      </c>
      <c r="AA75" s="35">
        <v>22.8</v>
      </c>
      <c r="AB75" s="36">
        <f t="shared" si="1"/>
        <v>547.20000000000005</v>
      </c>
      <c r="AC75" s="37">
        <v>6</v>
      </c>
      <c r="AD75" s="91"/>
    </row>
    <row r="76" spans="2:30">
      <c r="B76" s="89">
        <v>47058</v>
      </c>
      <c r="C76" s="34" t="s">
        <v>32</v>
      </c>
      <c r="D76" s="35">
        <v>22.8</v>
      </c>
      <c r="E76" s="35">
        <v>22.8</v>
      </c>
      <c r="F76" s="35">
        <v>22.8</v>
      </c>
      <c r="G76" s="35">
        <v>22.8</v>
      </c>
      <c r="H76" s="35">
        <v>22.8</v>
      </c>
      <c r="I76" s="35">
        <v>22.8</v>
      </c>
      <c r="J76" s="35">
        <v>22.8</v>
      </c>
      <c r="K76" s="35">
        <v>22.8</v>
      </c>
      <c r="L76" s="35">
        <v>22.8</v>
      </c>
      <c r="M76" s="35">
        <v>22.8</v>
      </c>
      <c r="N76" s="35">
        <v>22.8</v>
      </c>
      <c r="O76" s="35">
        <v>22.8</v>
      </c>
      <c r="P76" s="35">
        <v>22.8</v>
      </c>
      <c r="Q76" s="35">
        <v>22.8</v>
      </c>
      <c r="R76" s="35">
        <v>22.8</v>
      </c>
      <c r="S76" s="35">
        <v>22.8</v>
      </c>
      <c r="T76" s="35">
        <v>22.8</v>
      </c>
      <c r="U76" s="35">
        <v>22.8</v>
      </c>
      <c r="V76" s="35">
        <v>22.8</v>
      </c>
      <c r="W76" s="35">
        <v>22.8</v>
      </c>
      <c r="X76" s="35">
        <v>22.8</v>
      </c>
      <c r="Y76" s="35">
        <v>22.8</v>
      </c>
      <c r="Z76" s="35">
        <v>22.8</v>
      </c>
      <c r="AA76" s="35">
        <v>22.8</v>
      </c>
      <c r="AB76" s="36">
        <f t="shared" si="1"/>
        <v>547.20000000000005</v>
      </c>
      <c r="AC76" s="37">
        <v>20</v>
      </c>
      <c r="AD76" s="91">
        <f>+AB76*AC76+AB77*AC77+AB78*AC78</f>
        <v>16416</v>
      </c>
    </row>
    <row r="77" spans="2:30">
      <c r="B77" s="89"/>
      <c r="C77" s="34" t="s">
        <v>33</v>
      </c>
      <c r="D77" s="35">
        <v>22.8</v>
      </c>
      <c r="E77" s="35">
        <v>22.8</v>
      </c>
      <c r="F77" s="35">
        <v>22.8</v>
      </c>
      <c r="G77" s="35">
        <v>22.8</v>
      </c>
      <c r="H77" s="35">
        <v>22.8</v>
      </c>
      <c r="I77" s="35">
        <v>22.8</v>
      </c>
      <c r="J77" s="35">
        <v>22.8</v>
      </c>
      <c r="K77" s="35">
        <v>22.8</v>
      </c>
      <c r="L77" s="35">
        <v>22.8</v>
      </c>
      <c r="M77" s="35">
        <v>22.8</v>
      </c>
      <c r="N77" s="35">
        <v>22.8</v>
      </c>
      <c r="O77" s="35">
        <v>22.8</v>
      </c>
      <c r="P77" s="35">
        <v>22.8</v>
      </c>
      <c r="Q77" s="35">
        <v>22.8</v>
      </c>
      <c r="R77" s="35">
        <v>22.8</v>
      </c>
      <c r="S77" s="35">
        <v>22.8</v>
      </c>
      <c r="T77" s="35">
        <v>22.8</v>
      </c>
      <c r="U77" s="35">
        <v>22.8</v>
      </c>
      <c r="V77" s="35">
        <v>22.8</v>
      </c>
      <c r="W77" s="35">
        <v>22.8</v>
      </c>
      <c r="X77" s="35">
        <v>22.8</v>
      </c>
      <c r="Y77" s="35">
        <v>22.8</v>
      </c>
      <c r="Z77" s="35">
        <v>22.8</v>
      </c>
      <c r="AA77" s="35">
        <v>22.8</v>
      </c>
      <c r="AB77" s="36">
        <f t="shared" si="1"/>
        <v>547.20000000000005</v>
      </c>
      <c r="AC77" s="37">
        <v>4</v>
      </c>
      <c r="AD77" s="91"/>
    </row>
    <row r="78" spans="2:30">
      <c r="B78" s="89"/>
      <c r="C78" s="34" t="s">
        <v>34</v>
      </c>
      <c r="D78" s="35">
        <v>22.8</v>
      </c>
      <c r="E78" s="35">
        <v>22.8</v>
      </c>
      <c r="F78" s="35">
        <v>22.8</v>
      </c>
      <c r="G78" s="35">
        <v>22.8</v>
      </c>
      <c r="H78" s="35">
        <v>22.8</v>
      </c>
      <c r="I78" s="35">
        <v>22.8</v>
      </c>
      <c r="J78" s="35">
        <v>22.8</v>
      </c>
      <c r="K78" s="35">
        <v>22.8</v>
      </c>
      <c r="L78" s="35">
        <v>22.8</v>
      </c>
      <c r="M78" s="35">
        <v>22.8</v>
      </c>
      <c r="N78" s="35">
        <v>22.8</v>
      </c>
      <c r="O78" s="35">
        <v>22.8</v>
      </c>
      <c r="P78" s="35">
        <v>22.8</v>
      </c>
      <c r="Q78" s="35">
        <v>22.8</v>
      </c>
      <c r="R78" s="35">
        <v>22.8</v>
      </c>
      <c r="S78" s="35">
        <v>22.8</v>
      </c>
      <c r="T78" s="35">
        <v>22.8</v>
      </c>
      <c r="U78" s="35">
        <v>22.8</v>
      </c>
      <c r="V78" s="35">
        <v>22.8</v>
      </c>
      <c r="W78" s="35">
        <v>22.8</v>
      </c>
      <c r="X78" s="35">
        <v>22.8</v>
      </c>
      <c r="Y78" s="35">
        <v>22.8</v>
      </c>
      <c r="Z78" s="35">
        <v>22.8</v>
      </c>
      <c r="AA78" s="35">
        <v>22.8</v>
      </c>
      <c r="AB78" s="36">
        <f t="shared" si="1"/>
        <v>547.20000000000005</v>
      </c>
      <c r="AC78" s="37">
        <v>6</v>
      </c>
      <c r="AD78" s="91"/>
    </row>
    <row r="79" spans="2:30">
      <c r="B79" s="89">
        <v>47088</v>
      </c>
      <c r="C79" s="34" t="s">
        <v>32</v>
      </c>
      <c r="D79" s="35">
        <v>22.8</v>
      </c>
      <c r="E79" s="35">
        <v>22.8</v>
      </c>
      <c r="F79" s="35">
        <v>22.8</v>
      </c>
      <c r="G79" s="35">
        <v>22.8</v>
      </c>
      <c r="H79" s="35">
        <v>22.8</v>
      </c>
      <c r="I79" s="35">
        <v>22.8</v>
      </c>
      <c r="J79" s="35">
        <v>22.8</v>
      </c>
      <c r="K79" s="35">
        <v>22.8</v>
      </c>
      <c r="L79" s="35">
        <v>22.8</v>
      </c>
      <c r="M79" s="35">
        <v>22.8</v>
      </c>
      <c r="N79" s="35">
        <v>22.8</v>
      </c>
      <c r="O79" s="35">
        <v>22.8</v>
      </c>
      <c r="P79" s="35">
        <v>22.8</v>
      </c>
      <c r="Q79" s="35">
        <v>22.8</v>
      </c>
      <c r="R79" s="35">
        <v>22.8</v>
      </c>
      <c r="S79" s="35">
        <v>22.8</v>
      </c>
      <c r="T79" s="35">
        <v>22.8</v>
      </c>
      <c r="U79" s="35">
        <v>22.8</v>
      </c>
      <c r="V79" s="35">
        <v>22.8</v>
      </c>
      <c r="W79" s="35">
        <v>22.8</v>
      </c>
      <c r="X79" s="35">
        <v>22.8</v>
      </c>
      <c r="Y79" s="35">
        <v>22.8</v>
      </c>
      <c r="Z79" s="35">
        <v>22.8</v>
      </c>
      <c r="AA79" s="35">
        <v>22.8</v>
      </c>
      <c r="AB79" s="36">
        <f t="shared" si="1"/>
        <v>547.20000000000005</v>
      </c>
      <c r="AC79" s="37">
        <v>19</v>
      </c>
      <c r="AD79" s="91">
        <f>+AB79*AC79+AB80*AC80+AB81*AC81</f>
        <v>16963.2</v>
      </c>
    </row>
    <row r="80" spans="2:30">
      <c r="B80" s="89"/>
      <c r="C80" s="34" t="s">
        <v>33</v>
      </c>
      <c r="D80" s="35">
        <v>22.8</v>
      </c>
      <c r="E80" s="35">
        <v>22.8</v>
      </c>
      <c r="F80" s="35">
        <v>22.8</v>
      </c>
      <c r="G80" s="35">
        <v>22.8</v>
      </c>
      <c r="H80" s="35">
        <v>22.8</v>
      </c>
      <c r="I80" s="35">
        <v>22.8</v>
      </c>
      <c r="J80" s="35">
        <v>22.8</v>
      </c>
      <c r="K80" s="35">
        <v>22.8</v>
      </c>
      <c r="L80" s="35">
        <v>22.8</v>
      </c>
      <c r="M80" s="35">
        <v>22.8</v>
      </c>
      <c r="N80" s="35">
        <v>22.8</v>
      </c>
      <c r="O80" s="35">
        <v>22.8</v>
      </c>
      <c r="P80" s="35">
        <v>22.8</v>
      </c>
      <c r="Q80" s="35">
        <v>22.8</v>
      </c>
      <c r="R80" s="35">
        <v>22.8</v>
      </c>
      <c r="S80" s="35">
        <v>22.8</v>
      </c>
      <c r="T80" s="35">
        <v>22.8</v>
      </c>
      <c r="U80" s="35">
        <v>22.8</v>
      </c>
      <c r="V80" s="35">
        <v>22.8</v>
      </c>
      <c r="W80" s="35">
        <v>22.8</v>
      </c>
      <c r="X80" s="35">
        <v>22.8</v>
      </c>
      <c r="Y80" s="35">
        <v>22.8</v>
      </c>
      <c r="Z80" s="35">
        <v>22.8</v>
      </c>
      <c r="AA80" s="35">
        <v>22.8</v>
      </c>
      <c r="AB80" s="36">
        <f t="shared" si="1"/>
        <v>547.20000000000005</v>
      </c>
      <c r="AC80" s="37">
        <v>5</v>
      </c>
      <c r="AD80" s="91"/>
    </row>
    <row r="81" spans="2:30">
      <c r="B81" s="89"/>
      <c r="C81" s="34" t="s">
        <v>34</v>
      </c>
      <c r="D81" s="35">
        <v>22.8</v>
      </c>
      <c r="E81" s="35">
        <v>22.8</v>
      </c>
      <c r="F81" s="35">
        <v>22.8</v>
      </c>
      <c r="G81" s="35">
        <v>22.8</v>
      </c>
      <c r="H81" s="35">
        <v>22.8</v>
      </c>
      <c r="I81" s="35">
        <v>22.8</v>
      </c>
      <c r="J81" s="35">
        <v>22.8</v>
      </c>
      <c r="K81" s="35">
        <v>22.8</v>
      </c>
      <c r="L81" s="35">
        <v>22.8</v>
      </c>
      <c r="M81" s="35">
        <v>22.8</v>
      </c>
      <c r="N81" s="35">
        <v>22.8</v>
      </c>
      <c r="O81" s="35">
        <v>22.8</v>
      </c>
      <c r="P81" s="35">
        <v>22.8</v>
      </c>
      <c r="Q81" s="35">
        <v>22.8</v>
      </c>
      <c r="R81" s="35">
        <v>22.8</v>
      </c>
      <c r="S81" s="35">
        <v>22.8</v>
      </c>
      <c r="T81" s="35">
        <v>22.8</v>
      </c>
      <c r="U81" s="35">
        <v>22.8</v>
      </c>
      <c r="V81" s="35">
        <v>22.8</v>
      </c>
      <c r="W81" s="35">
        <v>22.8</v>
      </c>
      <c r="X81" s="35">
        <v>22.8</v>
      </c>
      <c r="Y81" s="35">
        <v>22.8</v>
      </c>
      <c r="Z81" s="35">
        <v>22.8</v>
      </c>
      <c r="AA81" s="35">
        <v>22.8</v>
      </c>
      <c r="AB81" s="36">
        <f t="shared" si="1"/>
        <v>547.20000000000005</v>
      </c>
      <c r="AC81" s="37">
        <v>7</v>
      </c>
      <c r="AD81" s="91"/>
    </row>
    <row r="82" spans="2:30">
      <c r="AA82" s="86" t="s">
        <v>35</v>
      </c>
      <c r="AB82" s="87"/>
      <c r="AC82" s="88"/>
      <c r="AD82" s="39">
        <f>SUM(AD46:AD81)</f>
        <v>200275.20000000001</v>
      </c>
    </row>
    <row r="83" spans="2:30">
      <c r="AB83" s="38"/>
      <c r="AC83" s="38"/>
    </row>
    <row r="84" spans="2:30" ht="23.25">
      <c r="B84" s="41" t="s">
        <v>37</v>
      </c>
    </row>
    <row r="85" spans="2:30">
      <c r="B85" s="32" t="s">
        <v>3</v>
      </c>
      <c r="C85" s="32" t="s">
        <v>4</v>
      </c>
      <c r="D85" s="32" t="s">
        <v>5</v>
      </c>
      <c r="E85" s="32" t="s">
        <v>6</v>
      </c>
      <c r="F85" s="32" t="s">
        <v>7</v>
      </c>
      <c r="G85" s="32" t="s">
        <v>8</v>
      </c>
      <c r="H85" s="32" t="s">
        <v>9</v>
      </c>
      <c r="I85" s="32" t="s">
        <v>10</v>
      </c>
      <c r="J85" s="32" t="s">
        <v>11</v>
      </c>
      <c r="K85" s="32" t="s">
        <v>12</v>
      </c>
      <c r="L85" s="32" t="s">
        <v>13</v>
      </c>
      <c r="M85" s="32" t="s">
        <v>14</v>
      </c>
      <c r="N85" s="32" t="s">
        <v>15</v>
      </c>
      <c r="O85" s="32" t="s">
        <v>16</v>
      </c>
      <c r="P85" s="32" t="s">
        <v>17</v>
      </c>
      <c r="Q85" s="32" t="s">
        <v>18</v>
      </c>
      <c r="R85" s="32" t="s">
        <v>19</v>
      </c>
      <c r="S85" s="32" t="s">
        <v>20</v>
      </c>
      <c r="T85" s="32" t="s">
        <v>21</v>
      </c>
      <c r="U85" s="32" t="s">
        <v>22</v>
      </c>
      <c r="V85" s="32" t="s">
        <v>23</v>
      </c>
      <c r="W85" s="32" t="s">
        <v>24</v>
      </c>
      <c r="X85" s="32" t="s">
        <v>25</v>
      </c>
      <c r="Y85" s="32" t="s">
        <v>26</v>
      </c>
      <c r="Z85" s="32" t="s">
        <v>27</v>
      </c>
      <c r="AA85" s="32" t="s">
        <v>28</v>
      </c>
      <c r="AB85" s="33" t="s">
        <v>29</v>
      </c>
      <c r="AC85" s="33" t="s">
        <v>30</v>
      </c>
      <c r="AD85" s="32" t="s">
        <v>31</v>
      </c>
    </row>
    <row r="86" spans="2:30">
      <c r="B86" s="89">
        <v>47119</v>
      </c>
      <c r="C86" s="34" t="s">
        <v>32</v>
      </c>
      <c r="D86" s="35">
        <v>34</v>
      </c>
      <c r="E86" s="35">
        <v>34</v>
      </c>
      <c r="F86" s="35">
        <v>34</v>
      </c>
      <c r="G86" s="35">
        <v>34</v>
      </c>
      <c r="H86" s="35">
        <v>34</v>
      </c>
      <c r="I86" s="35">
        <v>34</v>
      </c>
      <c r="J86" s="35">
        <v>34</v>
      </c>
      <c r="K86" s="35">
        <v>34</v>
      </c>
      <c r="L86" s="35">
        <v>34</v>
      </c>
      <c r="M86" s="35">
        <v>34</v>
      </c>
      <c r="N86" s="35">
        <v>34</v>
      </c>
      <c r="O86" s="35">
        <v>34</v>
      </c>
      <c r="P86" s="35">
        <v>34</v>
      </c>
      <c r="Q86" s="35">
        <v>34</v>
      </c>
      <c r="R86" s="35">
        <v>34</v>
      </c>
      <c r="S86" s="35">
        <v>34</v>
      </c>
      <c r="T86" s="35">
        <v>34</v>
      </c>
      <c r="U86" s="35">
        <v>34</v>
      </c>
      <c r="V86" s="35">
        <v>34</v>
      </c>
      <c r="W86" s="35">
        <v>34</v>
      </c>
      <c r="X86" s="35">
        <v>34</v>
      </c>
      <c r="Y86" s="35">
        <v>34</v>
      </c>
      <c r="Z86" s="35">
        <v>34</v>
      </c>
      <c r="AA86" s="35">
        <v>34</v>
      </c>
      <c r="AB86" s="36">
        <f>SUM(D86:AA86)</f>
        <v>816</v>
      </c>
      <c r="AC86" s="37">
        <v>21</v>
      </c>
      <c r="AD86" s="91">
        <f>+AB86*AC86+AB87*AC87+AB88*AC88</f>
        <v>25296</v>
      </c>
    </row>
    <row r="87" spans="2:30">
      <c r="B87" s="89"/>
      <c r="C87" s="34" t="s">
        <v>33</v>
      </c>
      <c r="D87" s="35">
        <v>34</v>
      </c>
      <c r="E87" s="35">
        <v>34</v>
      </c>
      <c r="F87" s="35">
        <v>34</v>
      </c>
      <c r="G87" s="35">
        <v>34</v>
      </c>
      <c r="H87" s="35">
        <v>34</v>
      </c>
      <c r="I87" s="35">
        <v>34</v>
      </c>
      <c r="J87" s="35">
        <v>34</v>
      </c>
      <c r="K87" s="35">
        <v>34</v>
      </c>
      <c r="L87" s="35">
        <v>34</v>
      </c>
      <c r="M87" s="35">
        <v>34</v>
      </c>
      <c r="N87" s="35">
        <v>34</v>
      </c>
      <c r="O87" s="35">
        <v>34</v>
      </c>
      <c r="P87" s="35">
        <v>34</v>
      </c>
      <c r="Q87" s="35">
        <v>34</v>
      </c>
      <c r="R87" s="35">
        <v>34</v>
      </c>
      <c r="S87" s="35">
        <v>34</v>
      </c>
      <c r="T87" s="35">
        <v>34</v>
      </c>
      <c r="U87" s="35">
        <v>34</v>
      </c>
      <c r="V87" s="35">
        <v>34</v>
      </c>
      <c r="W87" s="35">
        <v>34</v>
      </c>
      <c r="X87" s="35">
        <v>34</v>
      </c>
      <c r="Y87" s="35">
        <v>34</v>
      </c>
      <c r="Z87" s="35">
        <v>34</v>
      </c>
      <c r="AA87" s="35">
        <v>34</v>
      </c>
      <c r="AB87" s="36">
        <f t="shared" ref="AB87:AB121" si="2">SUM(D87:AA87)</f>
        <v>816</v>
      </c>
      <c r="AC87" s="37">
        <v>4</v>
      </c>
      <c r="AD87" s="91"/>
    </row>
    <row r="88" spans="2:30">
      <c r="B88" s="89"/>
      <c r="C88" s="34" t="s">
        <v>34</v>
      </c>
      <c r="D88" s="35">
        <v>34</v>
      </c>
      <c r="E88" s="35">
        <v>34</v>
      </c>
      <c r="F88" s="35">
        <v>34</v>
      </c>
      <c r="G88" s="35">
        <v>34</v>
      </c>
      <c r="H88" s="35">
        <v>34</v>
      </c>
      <c r="I88" s="35">
        <v>34</v>
      </c>
      <c r="J88" s="35">
        <v>34</v>
      </c>
      <c r="K88" s="35">
        <v>34</v>
      </c>
      <c r="L88" s="35">
        <v>34</v>
      </c>
      <c r="M88" s="35">
        <v>34</v>
      </c>
      <c r="N88" s="35">
        <v>34</v>
      </c>
      <c r="O88" s="35">
        <v>34</v>
      </c>
      <c r="P88" s="35">
        <v>34</v>
      </c>
      <c r="Q88" s="35">
        <v>34</v>
      </c>
      <c r="R88" s="35">
        <v>34</v>
      </c>
      <c r="S88" s="35">
        <v>34</v>
      </c>
      <c r="T88" s="35">
        <v>34</v>
      </c>
      <c r="U88" s="35">
        <v>34</v>
      </c>
      <c r="V88" s="35">
        <v>34</v>
      </c>
      <c r="W88" s="35">
        <v>34</v>
      </c>
      <c r="X88" s="35">
        <v>34</v>
      </c>
      <c r="Y88" s="35">
        <v>34</v>
      </c>
      <c r="Z88" s="35">
        <v>34</v>
      </c>
      <c r="AA88" s="35">
        <v>34</v>
      </c>
      <c r="AB88" s="36">
        <f t="shared" si="2"/>
        <v>816</v>
      </c>
      <c r="AC88" s="37">
        <v>6</v>
      </c>
      <c r="AD88" s="91"/>
    </row>
    <row r="89" spans="2:30">
      <c r="B89" s="89">
        <v>47150</v>
      </c>
      <c r="C89" s="34" t="s">
        <v>32</v>
      </c>
      <c r="D89" s="35">
        <v>34</v>
      </c>
      <c r="E89" s="35">
        <v>34</v>
      </c>
      <c r="F89" s="35">
        <v>34</v>
      </c>
      <c r="G89" s="35">
        <v>34</v>
      </c>
      <c r="H89" s="35">
        <v>34</v>
      </c>
      <c r="I89" s="35">
        <v>34</v>
      </c>
      <c r="J89" s="35">
        <v>34</v>
      </c>
      <c r="K89" s="35">
        <v>34</v>
      </c>
      <c r="L89" s="35">
        <v>34</v>
      </c>
      <c r="M89" s="35">
        <v>34</v>
      </c>
      <c r="N89" s="35">
        <v>34</v>
      </c>
      <c r="O89" s="35">
        <v>34</v>
      </c>
      <c r="P89" s="35">
        <v>34</v>
      </c>
      <c r="Q89" s="35">
        <v>34</v>
      </c>
      <c r="R89" s="35">
        <v>34</v>
      </c>
      <c r="S89" s="35">
        <v>34</v>
      </c>
      <c r="T89" s="35">
        <v>34</v>
      </c>
      <c r="U89" s="35">
        <v>34</v>
      </c>
      <c r="V89" s="35">
        <v>34</v>
      </c>
      <c r="W89" s="35">
        <v>34</v>
      </c>
      <c r="X89" s="35">
        <v>34</v>
      </c>
      <c r="Y89" s="35">
        <v>34</v>
      </c>
      <c r="Z89" s="35">
        <v>34</v>
      </c>
      <c r="AA89" s="35">
        <v>34</v>
      </c>
      <c r="AB89" s="36">
        <f t="shared" si="2"/>
        <v>816</v>
      </c>
      <c r="AC89" s="37">
        <v>20</v>
      </c>
      <c r="AD89" s="91">
        <f>+AB89*AC89+AB90*AC90+AB91*AC91</f>
        <v>22848</v>
      </c>
    </row>
    <row r="90" spans="2:30">
      <c r="B90" s="89"/>
      <c r="C90" s="34" t="s">
        <v>33</v>
      </c>
      <c r="D90" s="35">
        <v>34</v>
      </c>
      <c r="E90" s="35">
        <v>34</v>
      </c>
      <c r="F90" s="35">
        <v>34</v>
      </c>
      <c r="G90" s="35">
        <v>34</v>
      </c>
      <c r="H90" s="35">
        <v>34</v>
      </c>
      <c r="I90" s="35">
        <v>34</v>
      </c>
      <c r="J90" s="35">
        <v>34</v>
      </c>
      <c r="K90" s="35">
        <v>34</v>
      </c>
      <c r="L90" s="35">
        <v>34</v>
      </c>
      <c r="M90" s="35">
        <v>34</v>
      </c>
      <c r="N90" s="35">
        <v>34</v>
      </c>
      <c r="O90" s="35">
        <v>34</v>
      </c>
      <c r="P90" s="35">
        <v>34</v>
      </c>
      <c r="Q90" s="35">
        <v>34</v>
      </c>
      <c r="R90" s="35">
        <v>34</v>
      </c>
      <c r="S90" s="35">
        <v>34</v>
      </c>
      <c r="T90" s="35">
        <v>34</v>
      </c>
      <c r="U90" s="35">
        <v>34</v>
      </c>
      <c r="V90" s="35">
        <v>34</v>
      </c>
      <c r="W90" s="35">
        <v>34</v>
      </c>
      <c r="X90" s="35">
        <v>34</v>
      </c>
      <c r="Y90" s="35">
        <v>34</v>
      </c>
      <c r="Z90" s="35">
        <v>34</v>
      </c>
      <c r="AA90" s="35">
        <v>34</v>
      </c>
      <c r="AB90" s="36">
        <f t="shared" si="2"/>
        <v>816</v>
      </c>
      <c r="AC90" s="37">
        <v>4</v>
      </c>
      <c r="AD90" s="91"/>
    </row>
    <row r="91" spans="2:30">
      <c r="B91" s="89"/>
      <c r="C91" s="34" t="s">
        <v>34</v>
      </c>
      <c r="D91" s="35">
        <v>34</v>
      </c>
      <c r="E91" s="35">
        <v>34</v>
      </c>
      <c r="F91" s="35">
        <v>34</v>
      </c>
      <c r="G91" s="35">
        <v>34</v>
      </c>
      <c r="H91" s="35">
        <v>34</v>
      </c>
      <c r="I91" s="35">
        <v>34</v>
      </c>
      <c r="J91" s="35">
        <v>34</v>
      </c>
      <c r="K91" s="35">
        <v>34</v>
      </c>
      <c r="L91" s="35">
        <v>34</v>
      </c>
      <c r="M91" s="35">
        <v>34</v>
      </c>
      <c r="N91" s="35">
        <v>34</v>
      </c>
      <c r="O91" s="35">
        <v>34</v>
      </c>
      <c r="P91" s="35">
        <v>34</v>
      </c>
      <c r="Q91" s="35">
        <v>34</v>
      </c>
      <c r="R91" s="35">
        <v>34</v>
      </c>
      <c r="S91" s="35">
        <v>34</v>
      </c>
      <c r="T91" s="35">
        <v>34</v>
      </c>
      <c r="U91" s="35">
        <v>34</v>
      </c>
      <c r="V91" s="35">
        <v>34</v>
      </c>
      <c r="W91" s="35">
        <v>34</v>
      </c>
      <c r="X91" s="35">
        <v>34</v>
      </c>
      <c r="Y91" s="35">
        <v>34</v>
      </c>
      <c r="Z91" s="35">
        <v>34</v>
      </c>
      <c r="AA91" s="35">
        <v>34</v>
      </c>
      <c r="AB91" s="36">
        <f t="shared" si="2"/>
        <v>816</v>
      </c>
      <c r="AC91" s="37">
        <v>4</v>
      </c>
      <c r="AD91" s="91"/>
    </row>
    <row r="92" spans="2:30">
      <c r="B92" s="89">
        <v>47178</v>
      </c>
      <c r="C92" s="34" t="s">
        <v>32</v>
      </c>
      <c r="D92" s="35">
        <v>34</v>
      </c>
      <c r="E92" s="35">
        <v>34</v>
      </c>
      <c r="F92" s="35">
        <v>34</v>
      </c>
      <c r="G92" s="35">
        <v>34</v>
      </c>
      <c r="H92" s="35">
        <v>34</v>
      </c>
      <c r="I92" s="35">
        <v>34</v>
      </c>
      <c r="J92" s="35">
        <v>34</v>
      </c>
      <c r="K92" s="35">
        <v>34</v>
      </c>
      <c r="L92" s="35">
        <v>34</v>
      </c>
      <c r="M92" s="35">
        <v>34</v>
      </c>
      <c r="N92" s="35">
        <v>34</v>
      </c>
      <c r="O92" s="35">
        <v>34</v>
      </c>
      <c r="P92" s="35">
        <v>34</v>
      </c>
      <c r="Q92" s="35">
        <v>34</v>
      </c>
      <c r="R92" s="35">
        <v>34</v>
      </c>
      <c r="S92" s="35">
        <v>34</v>
      </c>
      <c r="T92" s="35">
        <v>34</v>
      </c>
      <c r="U92" s="35">
        <v>34</v>
      </c>
      <c r="V92" s="35">
        <v>34</v>
      </c>
      <c r="W92" s="35">
        <v>34</v>
      </c>
      <c r="X92" s="35">
        <v>34</v>
      </c>
      <c r="Y92" s="35">
        <v>34</v>
      </c>
      <c r="Z92" s="35">
        <v>34</v>
      </c>
      <c r="AA92" s="35">
        <v>34</v>
      </c>
      <c r="AB92" s="36">
        <f t="shared" si="2"/>
        <v>816</v>
      </c>
      <c r="AC92" s="37">
        <v>19</v>
      </c>
      <c r="AD92" s="91">
        <f>+AB92*AC92+AB93*AC93+AB94*AC94</f>
        <v>25296</v>
      </c>
    </row>
    <row r="93" spans="2:30">
      <c r="B93" s="89"/>
      <c r="C93" s="34" t="s">
        <v>33</v>
      </c>
      <c r="D93" s="35">
        <v>34</v>
      </c>
      <c r="E93" s="35">
        <v>34</v>
      </c>
      <c r="F93" s="35">
        <v>34</v>
      </c>
      <c r="G93" s="35">
        <v>34</v>
      </c>
      <c r="H93" s="35">
        <v>34</v>
      </c>
      <c r="I93" s="35">
        <v>34</v>
      </c>
      <c r="J93" s="35">
        <v>34</v>
      </c>
      <c r="K93" s="35">
        <v>34</v>
      </c>
      <c r="L93" s="35">
        <v>34</v>
      </c>
      <c r="M93" s="35">
        <v>34</v>
      </c>
      <c r="N93" s="35">
        <v>34</v>
      </c>
      <c r="O93" s="35">
        <v>34</v>
      </c>
      <c r="P93" s="35">
        <v>34</v>
      </c>
      <c r="Q93" s="35">
        <v>34</v>
      </c>
      <c r="R93" s="35">
        <v>34</v>
      </c>
      <c r="S93" s="35">
        <v>34</v>
      </c>
      <c r="T93" s="35">
        <v>34</v>
      </c>
      <c r="U93" s="35">
        <v>34</v>
      </c>
      <c r="V93" s="35">
        <v>34</v>
      </c>
      <c r="W93" s="35">
        <v>34</v>
      </c>
      <c r="X93" s="35">
        <v>34</v>
      </c>
      <c r="Y93" s="35">
        <v>34</v>
      </c>
      <c r="Z93" s="35">
        <v>34</v>
      </c>
      <c r="AA93" s="35">
        <v>34</v>
      </c>
      <c r="AB93" s="36">
        <f t="shared" si="2"/>
        <v>816</v>
      </c>
      <c r="AC93" s="37">
        <v>5</v>
      </c>
      <c r="AD93" s="91"/>
    </row>
    <row r="94" spans="2:30">
      <c r="B94" s="89"/>
      <c r="C94" s="34" t="s">
        <v>34</v>
      </c>
      <c r="D94" s="35">
        <v>34</v>
      </c>
      <c r="E94" s="35">
        <v>34</v>
      </c>
      <c r="F94" s="35">
        <v>34</v>
      </c>
      <c r="G94" s="35">
        <v>34</v>
      </c>
      <c r="H94" s="35">
        <v>34</v>
      </c>
      <c r="I94" s="35">
        <v>34</v>
      </c>
      <c r="J94" s="35">
        <v>34</v>
      </c>
      <c r="K94" s="35">
        <v>34</v>
      </c>
      <c r="L94" s="35">
        <v>34</v>
      </c>
      <c r="M94" s="35">
        <v>34</v>
      </c>
      <c r="N94" s="35">
        <v>34</v>
      </c>
      <c r="O94" s="35">
        <v>34</v>
      </c>
      <c r="P94" s="35">
        <v>34</v>
      </c>
      <c r="Q94" s="35">
        <v>34</v>
      </c>
      <c r="R94" s="35">
        <v>34</v>
      </c>
      <c r="S94" s="35">
        <v>34</v>
      </c>
      <c r="T94" s="35">
        <v>34</v>
      </c>
      <c r="U94" s="35">
        <v>34</v>
      </c>
      <c r="V94" s="35">
        <v>34</v>
      </c>
      <c r="W94" s="35">
        <v>34</v>
      </c>
      <c r="X94" s="35">
        <v>34</v>
      </c>
      <c r="Y94" s="35">
        <v>34</v>
      </c>
      <c r="Z94" s="35">
        <v>34</v>
      </c>
      <c r="AA94" s="35">
        <v>34</v>
      </c>
      <c r="AB94" s="36">
        <f t="shared" si="2"/>
        <v>816</v>
      </c>
      <c r="AC94" s="37">
        <v>7</v>
      </c>
      <c r="AD94" s="91"/>
    </row>
    <row r="95" spans="2:30">
      <c r="B95" s="89">
        <v>47209</v>
      </c>
      <c r="C95" s="34" t="s">
        <v>32</v>
      </c>
      <c r="D95" s="35">
        <v>34</v>
      </c>
      <c r="E95" s="35">
        <v>34</v>
      </c>
      <c r="F95" s="35">
        <v>34</v>
      </c>
      <c r="G95" s="35">
        <v>34</v>
      </c>
      <c r="H95" s="35">
        <v>34</v>
      </c>
      <c r="I95" s="35">
        <v>34</v>
      </c>
      <c r="J95" s="35">
        <v>34</v>
      </c>
      <c r="K95" s="35">
        <v>34</v>
      </c>
      <c r="L95" s="35">
        <v>34</v>
      </c>
      <c r="M95" s="35">
        <v>34</v>
      </c>
      <c r="N95" s="35">
        <v>34</v>
      </c>
      <c r="O95" s="35">
        <v>34</v>
      </c>
      <c r="P95" s="35">
        <v>34</v>
      </c>
      <c r="Q95" s="35">
        <v>34</v>
      </c>
      <c r="R95" s="35">
        <v>34</v>
      </c>
      <c r="S95" s="35">
        <v>34</v>
      </c>
      <c r="T95" s="35">
        <v>34</v>
      </c>
      <c r="U95" s="35">
        <v>34</v>
      </c>
      <c r="V95" s="35">
        <v>34</v>
      </c>
      <c r="W95" s="35">
        <v>34</v>
      </c>
      <c r="X95" s="35">
        <v>34</v>
      </c>
      <c r="Y95" s="35">
        <v>34</v>
      </c>
      <c r="Z95" s="35">
        <v>34</v>
      </c>
      <c r="AA95" s="35">
        <v>34</v>
      </c>
      <c r="AB95" s="36">
        <f t="shared" si="2"/>
        <v>816</v>
      </c>
      <c r="AC95" s="37">
        <v>21</v>
      </c>
      <c r="AD95" s="91">
        <f>+AB95*AC95+AB96*AC96+AB97*AC97</f>
        <v>24480</v>
      </c>
    </row>
    <row r="96" spans="2:30">
      <c r="B96" s="89"/>
      <c r="C96" s="34" t="s">
        <v>33</v>
      </c>
      <c r="D96" s="35">
        <v>34</v>
      </c>
      <c r="E96" s="35">
        <v>34</v>
      </c>
      <c r="F96" s="35">
        <v>34</v>
      </c>
      <c r="G96" s="35">
        <v>34</v>
      </c>
      <c r="H96" s="35">
        <v>34</v>
      </c>
      <c r="I96" s="35">
        <v>34</v>
      </c>
      <c r="J96" s="35">
        <v>34</v>
      </c>
      <c r="K96" s="35">
        <v>34</v>
      </c>
      <c r="L96" s="35">
        <v>34</v>
      </c>
      <c r="M96" s="35">
        <v>34</v>
      </c>
      <c r="N96" s="35">
        <v>34</v>
      </c>
      <c r="O96" s="35">
        <v>34</v>
      </c>
      <c r="P96" s="35">
        <v>34</v>
      </c>
      <c r="Q96" s="35">
        <v>34</v>
      </c>
      <c r="R96" s="35">
        <v>34</v>
      </c>
      <c r="S96" s="35">
        <v>34</v>
      </c>
      <c r="T96" s="35">
        <v>34</v>
      </c>
      <c r="U96" s="35">
        <v>34</v>
      </c>
      <c r="V96" s="35">
        <v>34</v>
      </c>
      <c r="W96" s="35">
        <v>34</v>
      </c>
      <c r="X96" s="35">
        <v>34</v>
      </c>
      <c r="Y96" s="35">
        <v>34</v>
      </c>
      <c r="Z96" s="35">
        <v>34</v>
      </c>
      <c r="AA96" s="35">
        <v>34</v>
      </c>
      <c r="AB96" s="36">
        <f t="shared" si="2"/>
        <v>816</v>
      </c>
      <c r="AC96" s="37">
        <v>4</v>
      </c>
      <c r="AD96" s="91"/>
    </row>
    <row r="97" spans="2:30">
      <c r="B97" s="89"/>
      <c r="C97" s="34" t="s">
        <v>34</v>
      </c>
      <c r="D97" s="35">
        <v>34</v>
      </c>
      <c r="E97" s="35">
        <v>34</v>
      </c>
      <c r="F97" s="35">
        <v>34</v>
      </c>
      <c r="G97" s="35">
        <v>34</v>
      </c>
      <c r="H97" s="35">
        <v>34</v>
      </c>
      <c r="I97" s="35">
        <v>34</v>
      </c>
      <c r="J97" s="35">
        <v>34</v>
      </c>
      <c r="K97" s="35">
        <v>34</v>
      </c>
      <c r="L97" s="35">
        <v>34</v>
      </c>
      <c r="M97" s="35">
        <v>34</v>
      </c>
      <c r="N97" s="35">
        <v>34</v>
      </c>
      <c r="O97" s="35">
        <v>34</v>
      </c>
      <c r="P97" s="35">
        <v>34</v>
      </c>
      <c r="Q97" s="35">
        <v>34</v>
      </c>
      <c r="R97" s="35">
        <v>34</v>
      </c>
      <c r="S97" s="35">
        <v>34</v>
      </c>
      <c r="T97" s="35">
        <v>34</v>
      </c>
      <c r="U97" s="35">
        <v>34</v>
      </c>
      <c r="V97" s="35">
        <v>34</v>
      </c>
      <c r="W97" s="35">
        <v>34</v>
      </c>
      <c r="X97" s="35">
        <v>34</v>
      </c>
      <c r="Y97" s="35">
        <v>34</v>
      </c>
      <c r="Z97" s="35">
        <v>34</v>
      </c>
      <c r="AA97" s="35">
        <v>34</v>
      </c>
      <c r="AB97" s="36">
        <f t="shared" si="2"/>
        <v>816</v>
      </c>
      <c r="AC97" s="37">
        <v>5</v>
      </c>
      <c r="AD97" s="91"/>
    </row>
    <row r="98" spans="2:30">
      <c r="B98" s="89">
        <v>47239</v>
      </c>
      <c r="C98" s="34" t="s">
        <v>32</v>
      </c>
      <c r="D98" s="35">
        <v>34</v>
      </c>
      <c r="E98" s="35">
        <v>34</v>
      </c>
      <c r="F98" s="35">
        <v>34</v>
      </c>
      <c r="G98" s="35">
        <v>34</v>
      </c>
      <c r="H98" s="35">
        <v>34</v>
      </c>
      <c r="I98" s="35">
        <v>34</v>
      </c>
      <c r="J98" s="35">
        <v>34</v>
      </c>
      <c r="K98" s="35">
        <v>34</v>
      </c>
      <c r="L98" s="35">
        <v>34</v>
      </c>
      <c r="M98" s="35">
        <v>34</v>
      </c>
      <c r="N98" s="35">
        <v>34</v>
      </c>
      <c r="O98" s="35">
        <v>34</v>
      </c>
      <c r="P98" s="35">
        <v>34</v>
      </c>
      <c r="Q98" s="35">
        <v>34</v>
      </c>
      <c r="R98" s="35">
        <v>34</v>
      </c>
      <c r="S98" s="35">
        <v>34</v>
      </c>
      <c r="T98" s="35">
        <v>34</v>
      </c>
      <c r="U98" s="35">
        <v>34</v>
      </c>
      <c r="V98" s="35">
        <v>34</v>
      </c>
      <c r="W98" s="35">
        <v>34</v>
      </c>
      <c r="X98" s="35">
        <v>34</v>
      </c>
      <c r="Y98" s="35">
        <v>34</v>
      </c>
      <c r="Z98" s="35">
        <v>34</v>
      </c>
      <c r="AA98" s="35">
        <v>34</v>
      </c>
      <c r="AB98" s="36">
        <f t="shared" si="2"/>
        <v>816</v>
      </c>
      <c r="AC98" s="37">
        <v>21</v>
      </c>
      <c r="AD98" s="91">
        <f>+AB98*AC98+AB99*AC99+AB100*AC100</f>
        <v>25296</v>
      </c>
    </row>
    <row r="99" spans="2:30">
      <c r="B99" s="89"/>
      <c r="C99" s="34" t="s">
        <v>33</v>
      </c>
      <c r="D99" s="35">
        <v>34</v>
      </c>
      <c r="E99" s="35">
        <v>34</v>
      </c>
      <c r="F99" s="35">
        <v>34</v>
      </c>
      <c r="G99" s="35">
        <v>34</v>
      </c>
      <c r="H99" s="35">
        <v>34</v>
      </c>
      <c r="I99" s="35">
        <v>34</v>
      </c>
      <c r="J99" s="35">
        <v>34</v>
      </c>
      <c r="K99" s="35">
        <v>34</v>
      </c>
      <c r="L99" s="35">
        <v>34</v>
      </c>
      <c r="M99" s="35">
        <v>34</v>
      </c>
      <c r="N99" s="35">
        <v>34</v>
      </c>
      <c r="O99" s="35">
        <v>34</v>
      </c>
      <c r="P99" s="35">
        <v>34</v>
      </c>
      <c r="Q99" s="35">
        <v>34</v>
      </c>
      <c r="R99" s="35">
        <v>34</v>
      </c>
      <c r="S99" s="35">
        <v>34</v>
      </c>
      <c r="T99" s="35">
        <v>34</v>
      </c>
      <c r="U99" s="35">
        <v>34</v>
      </c>
      <c r="V99" s="35">
        <v>34</v>
      </c>
      <c r="W99" s="35">
        <v>34</v>
      </c>
      <c r="X99" s="35">
        <v>34</v>
      </c>
      <c r="Y99" s="35">
        <v>34</v>
      </c>
      <c r="Z99" s="35">
        <v>34</v>
      </c>
      <c r="AA99" s="35">
        <v>34</v>
      </c>
      <c r="AB99" s="36">
        <f t="shared" si="2"/>
        <v>816</v>
      </c>
      <c r="AC99" s="37">
        <v>4</v>
      </c>
      <c r="AD99" s="91"/>
    </row>
    <row r="100" spans="2:30">
      <c r="B100" s="89"/>
      <c r="C100" s="34" t="s">
        <v>34</v>
      </c>
      <c r="D100" s="35">
        <v>34</v>
      </c>
      <c r="E100" s="35">
        <v>34</v>
      </c>
      <c r="F100" s="35">
        <v>34</v>
      </c>
      <c r="G100" s="35">
        <v>34</v>
      </c>
      <c r="H100" s="35">
        <v>34</v>
      </c>
      <c r="I100" s="35">
        <v>34</v>
      </c>
      <c r="J100" s="35">
        <v>34</v>
      </c>
      <c r="K100" s="35">
        <v>34</v>
      </c>
      <c r="L100" s="35">
        <v>34</v>
      </c>
      <c r="M100" s="35">
        <v>34</v>
      </c>
      <c r="N100" s="35">
        <v>34</v>
      </c>
      <c r="O100" s="35">
        <v>34</v>
      </c>
      <c r="P100" s="35">
        <v>34</v>
      </c>
      <c r="Q100" s="35">
        <v>34</v>
      </c>
      <c r="R100" s="35">
        <v>34</v>
      </c>
      <c r="S100" s="35">
        <v>34</v>
      </c>
      <c r="T100" s="35">
        <v>34</v>
      </c>
      <c r="U100" s="35">
        <v>34</v>
      </c>
      <c r="V100" s="35">
        <v>34</v>
      </c>
      <c r="W100" s="35">
        <v>34</v>
      </c>
      <c r="X100" s="35">
        <v>34</v>
      </c>
      <c r="Y100" s="35">
        <v>34</v>
      </c>
      <c r="Z100" s="35">
        <v>34</v>
      </c>
      <c r="AA100" s="35">
        <v>34</v>
      </c>
      <c r="AB100" s="36">
        <f t="shared" si="2"/>
        <v>816</v>
      </c>
      <c r="AC100" s="37">
        <v>6</v>
      </c>
      <c r="AD100" s="91"/>
    </row>
    <row r="101" spans="2:30">
      <c r="B101" s="89">
        <v>47270</v>
      </c>
      <c r="C101" s="34" t="s">
        <v>32</v>
      </c>
      <c r="D101" s="35">
        <v>34</v>
      </c>
      <c r="E101" s="35">
        <v>34</v>
      </c>
      <c r="F101" s="35">
        <v>34</v>
      </c>
      <c r="G101" s="35">
        <v>34</v>
      </c>
      <c r="H101" s="35">
        <v>34</v>
      </c>
      <c r="I101" s="35">
        <v>34</v>
      </c>
      <c r="J101" s="35">
        <v>34</v>
      </c>
      <c r="K101" s="35">
        <v>34</v>
      </c>
      <c r="L101" s="35">
        <v>34</v>
      </c>
      <c r="M101" s="35">
        <v>34</v>
      </c>
      <c r="N101" s="35">
        <v>34</v>
      </c>
      <c r="O101" s="35">
        <v>34</v>
      </c>
      <c r="P101" s="35">
        <v>34</v>
      </c>
      <c r="Q101" s="35">
        <v>34</v>
      </c>
      <c r="R101" s="35">
        <v>34</v>
      </c>
      <c r="S101" s="35">
        <v>34</v>
      </c>
      <c r="T101" s="35">
        <v>34</v>
      </c>
      <c r="U101" s="35">
        <v>34</v>
      </c>
      <c r="V101" s="35">
        <v>34</v>
      </c>
      <c r="W101" s="35">
        <v>34</v>
      </c>
      <c r="X101" s="35">
        <v>34</v>
      </c>
      <c r="Y101" s="35">
        <v>34</v>
      </c>
      <c r="Z101" s="35">
        <v>34</v>
      </c>
      <c r="AA101" s="35">
        <v>34</v>
      </c>
      <c r="AB101" s="36">
        <f t="shared" si="2"/>
        <v>816</v>
      </c>
      <c r="AC101" s="37">
        <v>19</v>
      </c>
      <c r="AD101" s="91">
        <f>+AB101*AC101+AB102*AC102+AB103*AC103</f>
        <v>24480</v>
      </c>
    </row>
    <row r="102" spans="2:30">
      <c r="B102" s="89"/>
      <c r="C102" s="34" t="s">
        <v>33</v>
      </c>
      <c r="D102" s="35">
        <v>34</v>
      </c>
      <c r="E102" s="35">
        <v>34</v>
      </c>
      <c r="F102" s="35">
        <v>34</v>
      </c>
      <c r="G102" s="35">
        <v>34</v>
      </c>
      <c r="H102" s="35">
        <v>34</v>
      </c>
      <c r="I102" s="35">
        <v>34</v>
      </c>
      <c r="J102" s="35">
        <v>34</v>
      </c>
      <c r="K102" s="35">
        <v>34</v>
      </c>
      <c r="L102" s="35">
        <v>34</v>
      </c>
      <c r="M102" s="35">
        <v>34</v>
      </c>
      <c r="N102" s="35">
        <v>34</v>
      </c>
      <c r="O102" s="35">
        <v>34</v>
      </c>
      <c r="P102" s="35">
        <v>34</v>
      </c>
      <c r="Q102" s="35">
        <v>34</v>
      </c>
      <c r="R102" s="35">
        <v>34</v>
      </c>
      <c r="S102" s="35">
        <v>34</v>
      </c>
      <c r="T102" s="35">
        <v>34</v>
      </c>
      <c r="U102" s="35">
        <v>34</v>
      </c>
      <c r="V102" s="35">
        <v>34</v>
      </c>
      <c r="W102" s="35">
        <v>34</v>
      </c>
      <c r="X102" s="35">
        <v>34</v>
      </c>
      <c r="Y102" s="35">
        <v>34</v>
      </c>
      <c r="Z102" s="35">
        <v>34</v>
      </c>
      <c r="AA102" s="35">
        <v>34</v>
      </c>
      <c r="AB102" s="36">
        <f t="shared" si="2"/>
        <v>816</v>
      </c>
      <c r="AC102" s="37">
        <v>5</v>
      </c>
      <c r="AD102" s="91"/>
    </row>
    <row r="103" spans="2:30">
      <c r="B103" s="89"/>
      <c r="C103" s="34" t="s">
        <v>34</v>
      </c>
      <c r="D103" s="35">
        <v>34</v>
      </c>
      <c r="E103" s="35">
        <v>34</v>
      </c>
      <c r="F103" s="35">
        <v>34</v>
      </c>
      <c r="G103" s="35">
        <v>34</v>
      </c>
      <c r="H103" s="35">
        <v>34</v>
      </c>
      <c r="I103" s="35">
        <v>34</v>
      </c>
      <c r="J103" s="35">
        <v>34</v>
      </c>
      <c r="K103" s="35">
        <v>34</v>
      </c>
      <c r="L103" s="35">
        <v>34</v>
      </c>
      <c r="M103" s="35">
        <v>34</v>
      </c>
      <c r="N103" s="35">
        <v>34</v>
      </c>
      <c r="O103" s="35">
        <v>34</v>
      </c>
      <c r="P103" s="35">
        <v>34</v>
      </c>
      <c r="Q103" s="35">
        <v>34</v>
      </c>
      <c r="R103" s="35">
        <v>34</v>
      </c>
      <c r="S103" s="35">
        <v>34</v>
      </c>
      <c r="T103" s="35">
        <v>34</v>
      </c>
      <c r="U103" s="35">
        <v>34</v>
      </c>
      <c r="V103" s="35">
        <v>34</v>
      </c>
      <c r="W103" s="35">
        <v>34</v>
      </c>
      <c r="X103" s="35">
        <v>34</v>
      </c>
      <c r="Y103" s="35">
        <v>34</v>
      </c>
      <c r="Z103" s="35">
        <v>34</v>
      </c>
      <c r="AA103" s="35">
        <v>34</v>
      </c>
      <c r="AB103" s="36">
        <f t="shared" si="2"/>
        <v>816</v>
      </c>
      <c r="AC103" s="37">
        <v>6</v>
      </c>
      <c r="AD103" s="91"/>
    </row>
    <row r="104" spans="2:30">
      <c r="B104" s="89">
        <v>47300</v>
      </c>
      <c r="C104" s="34" t="s">
        <v>32</v>
      </c>
      <c r="D104" s="35">
        <v>34</v>
      </c>
      <c r="E104" s="35">
        <v>34</v>
      </c>
      <c r="F104" s="35">
        <v>34</v>
      </c>
      <c r="G104" s="35">
        <v>34</v>
      </c>
      <c r="H104" s="35">
        <v>34</v>
      </c>
      <c r="I104" s="35">
        <v>34</v>
      </c>
      <c r="J104" s="35">
        <v>34</v>
      </c>
      <c r="K104" s="35">
        <v>34</v>
      </c>
      <c r="L104" s="35">
        <v>34</v>
      </c>
      <c r="M104" s="35">
        <v>34</v>
      </c>
      <c r="N104" s="35">
        <v>34</v>
      </c>
      <c r="O104" s="35">
        <v>34</v>
      </c>
      <c r="P104" s="35">
        <v>34</v>
      </c>
      <c r="Q104" s="35">
        <v>34</v>
      </c>
      <c r="R104" s="35">
        <v>34</v>
      </c>
      <c r="S104" s="35">
        <v>34</v>
      </c>
      <c r="T104" s="35">
        <v>34</v>
      </c>
      <c r="U104" s="35">
        <v>34</v>
      </c>
      <c r="V104" s="35">
        <v>34</v>
      </c>
      <c r="W104" s="35">
        <v>34</v>
      </c>
      <c r="X104" s="35">
        <v>34</v>
      </c>
      <c r="Y104" s="35">
        <v>34</v>
      </c>
      <c r="Z104" s="35">
        <v>34</v>
      </c>
      <c r="AA104" s="35">
        <v>34</v>
      </c>
      <c r="AB104" s="36">
        <f t="shared" si="2"/>
        <v>816</v>
      </c>
      <c r="AC104" s="37">
        <v>20</v>
      </c>
      <c r="AD104" s="91">
        <f>+AB104*AC104+AB105*AC105+AB106*AC106</f>
        <v>25296</v>
      </c>
    </row>
    <row r="105" spans="2:30">
      <c r="B105" s="89"/>
      <c r="C105" s="34" t="s">
        <v>33</v>
      </c>
      <c r="D105" s="35">
        <v>34</v>
      </c>
      <c r="E105" s="35">
        <v>34</v>
      </c>
      <c r="F105" s="35">
        <v>34</v>
      </c>
      <c r="G105" s="35">
        <v>34</v>
      </c>
      <c r="H105" s="35">
        <v>34</v>
      </c>
      <c r="I105" s="35">
        <v>34</v>
      </c>
      <c r="J105" s="35">
        <v>34</v>
      </c>
      <c r="K105" s="35">
        <v>34</v>
      </c>
      <c r="L105" s="35">
        <v>34</v>
      </c>
      <c r="M105" s="35">
        <v>34</v>
      </c>
      <c r="N105" s="35">
        <v>34</v>
      </c>
      <c r="O105" s="35">
        <v>34</v>
      </c>
      <c r="P105" s="35">
        <v>34</v>
      </c>
      <c r="Q105" s="35">
        <v>34</v>
      </c>
      <c r="R105" s="35">
        <v>34</v>
      </c>
      <c r="S105" s="35">
        <v>34</v>
      </c>
      <c r="T105" s="35">
        <v>34</v>
      </c>
      <c r="U105" s="35">
        <v>34</v>
      </c>
      <c r="V105" s="35">
        <v>34</v>
      </c>
      <c r="W105" s="35">
        <v>34</v>
      </c>
      <c r="X105" s="35">
        <v>34</v>
      </c>
      <c r="Y105" s="35">
        <v>34</v>
      </c>
      <c r="Z105" s="35">
        <v>34</v>
      </c>
      <c r="AA105" s="35">
        <v>34</v>
      </c>
      <c r="AB105" s="36">
        <f t="shared" si="2"/>
        <v>816</v>
      </c>
      <c r="AC105" s="37">
        <v>4</v>
      </c>
      <c r="AD105" s="91"/>
    </row>
    <row r="106" spans="2:30">
      <c r="B106" s="89"/>
      <c r="C106" s="34" t="s">
        <v>34</v>
      </c>
      <c r="D106" s="35">
        <v>34</v>
      </c>
      <c r="E106" s="35">
        <v>34</v>
      </c>
      <c r="F106" s="35">
        <v>34</v>
      </c>
      <c r="G106" s="35">
        <v>34</v>
      </c>
      <c r="H106" s="35">
        <v>34</v>
      </c>
      <c r="I106" s="35">
        <v>34</v>
      </c>
      <c r="J106" s="35">
        <v>34</v>
      </c>
      <c r="K106" s="35">
        <v>34</v>
      </c>
      <c r="L106" s="35">
        <v>34</v>
      </c>
      <c r="M106" s="35">
        <v>34</v>
      </c>
      <c r="N106" s="35">
        <v>34</v>
      </c>
      <c r="O106" s="35">
        <v>34</v>
      </c>
      <c r="P106" s="35">
        <v>34</v>
      </c>
      <c r="Q106" s="35">
        <v>34</v>
      </c>
      <c r="R106" s="35">
        <v>34</v>
      </c>
      <c r="S106" s="35">
        <v>34</v>
      </c>
      <c r="T106" s="35">
        <v>34</v>
      </c>
      <c r="U106" s="35">
        <v>34</v>
      </c>
      <c r="V106" s="35">
        <v>34</v>
      </c>
      <c r="W106" s="35">
        <v>34</v>
      </c>
      <c r="X106" s="35">
        <v>34</v>
      </c>
      <c r="Y106" s="35">
        <v>34</v>
      </c>
      <c r="Z106" s="35">
        <v>34</v>
      </c>
      <c r="AA106" s="35">
        <v>34</v>
      </c>
      <c r="AB106" s="36">
        <f t="shared" si="2"/>
        <v>816</v>
      </c>
      <c r="AC106" s="37">
        <v>7</v>
      </c>
      <c r="AD106" s="91"/>
    </row>
    <row r="107" spans="2:30">
      <c r="B107" s="89">
        <v>47331</v>
      </c>
      <c r="C107" s="34" t="s">
        <v>32</v>
      </c>
      <c r="D107" s="35">
        <v>34</v>
      </c>
      <c r="E107" s="35">
        <v>34</v>
      </c>
      <c r="F107" s="35">
        <v>34</v>
      </c>
      <c r="G107" s="35">
        <v>34</v>
      </c>
      <c r="H107" s="35">
        <v>34</v>
      </c>
      <c r="I107" s="35">
        <v>34</v>
      </c>
      <c r="J107" s="35">
        <v>34</v>
      </c>
      <c r="K107" s="35">
        <v>34</v>
      </c>
      <c r="L107" s="35">
        <v>34</v>
      </c>
      <c r="M107" s="35">
        <v>34</v>
      </c>
      <c r="N107" s="35">
        <v>34</v>
      </c>
      <c r="O107" s="35">
        <v>34</v>
      </c>
      <c r="P107" s="35">
        <v>34</v>
      </c>
      <c r="Q107" s="35">
        <v>34</v>
      </c>
      <c r="R107" s="35">
        <v>34</v>
      </c>
      <c r="S107" s="35">
        <v>34</v>
      </c>
      <c r="T107" s="35">
        <v>34</v>
      </c>
      <c r="U107" s="35">
        <v>34</v>
      </c>
      <c r="V107" s="35">
        <v>34</v>
      </c>
      <c r="W107" s="35">
        <v>34</v>
      </c>
      <c r="X107" s="35">
        <v>34</v>
      </c>
      <c r="Y107" s="35">
        <v>34</v>
      </c>
      <c r="Z107" s="35">
        <v>34</v>
      </c>
      <c r="AA107" s="35">
        <v>34</v>
      </c>
      <c r="AB107" s="36">
        <f t="shared" si="2"/>
        <v>816</v>
      </c>
      <c r="AC107" s="37">
        <v>21</v>
      </c>
      <c r="AD107" s="91">
        <f>+AB107*AC107+AB108*AC108+AB109*AC109</f>
        <v>25296</v>
      </c>
    </row>
    <row r="108" spans="2:30">
      <c r="B108" s="89"/>
      <c r="C108" s="34" t="s">
        <v>33</v>
      </c>
      <c r="D108" s="35">
        <v>34</v>
      </c>
      <c r="E108" s="35">
        <v>34</v>
      </c>
      <c r="F108" s="35">
        <v>34</v>
      </c>
      <c r="G108" s="35">
        <v>34</v>
      </c>
      <c r="H108" s="35">
        <v>34</v>
      </c>
      <c r="I108" s="35">
        <v>34</v>
      </c>
      <c r="J108" s="35">
        <v>34</v>
      </c>
      <c r="K108" s="35">
        <v>34</v>
      </c>
      <c r="L108" s="35">
        <v>34</v>
      </c>
      <c r="M108" s="35">
        <v>34</v>
      </c>
      <c r="N108" s="35">
        <v>34</v>
      </c>
      <c r="O108" s="35">
        <v>34</v>
      </c>
      <c r="P108" s="35">
        <v>34</v>
      </c>
      <c r="Q108" s="35">
        <v>34</v>
      </c>
      <c r="R108" s="35">
        <v>34</v>
      </c>
      <c r="S108" s="35">
        <v>34</v>
      </c>
      <c r="T108" s="35">
        <v>34</v>
      </c>
      <c r="U108" s="35">
        <v>34</v>
      </c>
      <c r="V108" s="35">
        <v>34</v>
      </c>
      <c r="W108" s="35">
        <v>34</v>
      </c>
      <c r="X108" s="35">
        <v>34</v>
      </c>
      <c r="Y108" s="35">
        <v>34</v>
      </c>
      <c r="Z108" s="35">
        <v>34</v>
      </c>
      <c r="AA108" s="35">
        <v>34</v>
      </c>
      <c r="AB108" s="36">
        <f t="shared" si="2"/>
        <v>816</v>
      </c>
      <c r="AC108" s="37">
        <v>4</v>
      </c>
      <c r="AD108" s="91"/>
    </row>
    <row r="109" spans="2:30">
      <c r="B109" s="89"/>
      <c r="C109" s="34" t="s">
        <v>34</v>
      </c>
      <c r="D109" s="35">
        <v>34</v>
      </c>
      <c r="E109" s="35">
        <v>34</v>
      </c>
      <c r="F109" s="35">
        <v>34</v>
      </c>
      <c r="G109" s="35">
        <v>34</v>
      </c>
      <c r="H109" s="35">
        <v>34</v>
      </c>
      <c r="I109" s="35">
        <v>34</v>
      </c>
      <c r="J109" s="35">
        <v>34</v>
      </c>
      <c r="K109" s="35">
        <v>34</v>
      </c>
      <c r="L109" s="35">
        <v>34</v>
      </c>
      <c r="M109" s="35">
        <v>34</v>
      </c>
      <c r="N109" s="35">
        <v>34</v>
      </c>
      <c r="O109" s="35">
        <v>34</v>
      </c>
      <c r="P109" s="35">
        <v>34</v>
      </c>
      <c r="Q109" s="35">
        <v>34</v>
      </c>
      <c r="R109" s="35">
        <v>34</v>
      </c>
      <c r="S109" s="35">
        <v>34</v>
      </c>
      <c r="T109" s="35">
        <v>34</v>
      </c>
      <c r="U109" s="35">
        <v>34</v>
      </c>
      <c r="V109" s="35">
        <v>34</v>
      </c>
      <c r="W109" s="35">
        <v>34</v>
      </c>
      <c r="X109" s="35">
        <v>34</v>
      </c>
      <c r="Y109" s="35">
        <v>34</v>
      </c>
      <c r="Z109" s="35">
        <v>34</v>
      </c>
      <c r="AA109" s="35">
        <v>34</v>
      </c>
      <c r="AB109" s="36">
        <f t="shared" si="2"/>
        <v>816</v>
      </c>
      <c r="AC109" s="37">
        <v>6</v>
      </c>
      <c r="AD109" s="91"/>
    </row>
    <row r="110" spans="2:30">
      <c r="B110" s="89">
        <v>47362</v>
      </c>
      <c r="C110" s="34" t="s">
        <v>32</v>
      </c>
      <c r="D110" s="35">
        <v>34</v>
      </c>
      <c r="E110" s="35">
        <v>34</v>
      </c>
      <c r="F110" s="35">
        <v>34</v>
      </c>
      <c r="G110" s="35">
        <v>34</v>
      </c>
      <c r="H110" s="35">
        <v>34</v>
      </c>
      <c r="I110" s="35">
        <v>34</v>
      </c>
      <c r="J110" s="35">
        <v>34</v>
      </c>
      <c r="K110" s="35">
        <v>34</v>
      </c>
      <c r="L110" s="35">
        <v>34</v>
      </c>
      <c r="M110" s="35">
        <v>34</v>
      </c>
      <c r="N110" s="35">
        <v>34</v>
      </c>
      <c r="O110" s="35">
        <v>34</v>
      </c>
      <c r="P110" s="35">
        <v>34</v>
      </c>
      <c r="Q110" s="35">
        <v>34</v>
      </c>
      <c r="R110" s="35">
        <v>34</v>
      </c>
      <c r="S110" s="35">
        <v>34</v>
      </c>
      <c r="T110" s="35">
        <v>34</v>
      </c>
      <c r="U110" s="35">
        <v>34</v>
      </c>
      <c r="V110" s="35">
        <v>34</v>
      </c>
      <c r="W110" s="35">
        <v>34</v>
      </c>
      <c r="X110" s="35">
        <v>34</v>
      </c>
      <c r="Y110" s="35">
        <v>34</v>
      </c>
      <c r="Z110" s="35">
        <v>34</v>
      </c>
      <c r="AA110" s="35">
        <v>34</v>
      </c>
      <c r="AB110" s="36">
        <f t="shared" si="2"/>
        <v>816</v>
      </c>
      <c r="AC110" s="37">
        <v>20</v>
      </c>
      <c r="AD110" s="91">
        <f>+AB110*AC110+AB111*AC111+AB112*AC112</f>
        <v>24480</v>
      </c>
    </row>
    <row r="111" spans="2:30">
      <c r="B111" s="89"/>
      <c r="C111" s="34" t="s">
        <v>33</v>
      </c>
      <c r="D111" s="35">
        <v>34</v>
      </c>
      <c r="E111" s="35">
        <v>34</v>
      </c>
      <c r="F111" s="35">
        <v>34</v>
      </c>
      <c r="G111" s="35">
        <v>34</v>
      </c>
      <c r="H111" s="35">
        <v>34</v>
      </c>
      <c r="I111" s="35">
        <v>34</v>
      </c>
      <c r="J111" s="35">
        <v>34</v>
      </c>
      <c r="K111" s="35">
        <v>34</v>
      </c>
      <c r="L111" s="35">
        <v>34</v>
      </c>
      <c r="M111" s="35">
        <v>34</v>
      </c>
      <c r="N111" s="35">
        <v>34</v>
      </c>
      <c r="O111" s="35">
        <v>34</v>
      </c>
      <c r="P111" s="35">
        <v>34</v>
      </c>
      <c r="Q111" s="35">
        <v>34</v>
      </c>
      <c r="R111" s="35">
        <v>34</v>
      </c>
      <c r="S111" s="35">
        <v>34</v>
      </c>
      <c r="T111" s="35">
        <v>34</v>
      </c>
      <c r="U111" s="35">
        <v>34</v>
      </c>
      <c r="V111" s="35">
        <v>34</v>
      </c>
      <c r="W111" s="35">
        <v>34</v>
      </c>
      <c r="X111" s="35">
        <v>34</v>
      </c>
      <c r="Y111" s="35">
        <v>34</v>
      </c>
      <c r="Z111" s="35">
        <v>34</v>
      </c>
      <c r="AA111" s="35">
        <v>34</v>
      </c>
      <c r="AB111" s="36">
        <f t="shared" si="2"/>
        <v>816</v>
      </c>
      <c r="AC111" s="37">
        <v>5</v>
      </c>
      <c r="AD111" s="91"/>
    </row>
    <row r="112" spans="2:30">
      <c r="B112" s="89"/>
      <c r="C112" s="34" t="s">
        <v>34</v>
      </c>
      <c r="D112" s="35">
        <v>34</v>
      </c>
      <c r="E112" s="35">
        <v>34</v>
      </c>
      <c r="F112" s="35">
        <v>34</v>
      </c>
      <c r="G112" s="35">
        <v>34</v>
      </c>
      <c r="H112" s="35">
        <v>34</v>
      </c>
      <c r="I112" s="35">
        <v>34</v>
      </c>
      <c r="J112" s="35">
        <v>34</v>
      </c>
      <c r="K112" s="35">
        <v>34</v>
      </c>
      <c r="L112" s="35">
        <v>34</v>
      </c>
      <c r="M112" s="35">
        <v>34</v>
      </c>
      <c r="N112" s="35">
        <v>34</v>
      </c>
      <c r="O112" s="35">
        <v>34</v>
      </c>
      <c r="P112" s="35">
        <v>34</v>
      </c>
      <c r="Q112" s="35">
        <v>34</v>
      </c>
      <c r="R112" s="35">
        <v>34</v>
      </c>
      <c r="S112" s="35">
        <v>34</v>
      </c>
      <c r="T112" s="35">
        <v>34</v>
      </c>
      <c r="U112" s="35">
        <v>34</v>
      </c>
      <c r="V112" s="35">
        <v>34</v>
      </c>
      <c r="W112" s="35">
        <v>34</v>
      </c>
      <c r="X112" s="35">
        <v>34</v>
      </c>
      <c r="Y112" s="35">
        <v>34</v>
      </c>
      <c r="Z112" s="35">
        <v>34</v>
      </c>
      <c r="AA112" s="35">
        <v>34</v>
      </c>
      <c r="AB112" s="36">
        <f t="shared" si="2"/>
        <v>816</v>
      </c>
      <c r="AC112" s="37">
        <v>5</v>
      </c>
      <c r="AD112" s="91"/>
    </row>
    <row r="113" spans="2:30">
      <c r="B113" s="89">
        <v>47392</v>
      </c>
      <c r="C113" s="34" t="s">
        <v>32</v>
      </c>
      <c r="D113" s="35">
        <v>34</v>
      </c>
      <c r="E113" s="35">
        <v>34</v>
      </c>
      <c r="F113" s="35">
        <v>34</v>
      </c>
      <c r="G113" s="35">
        <v>34</v>
      </c>
      <c r="H113" s="35">
        <v>34</v>
      </c>
      <c r="I113" s="35">
        <v>34</v>
      </c>
      <c r="J113" s="35">
        <v>34</v>
      </c>
      <c r="K113" s="35">
        <v>34</v>
      </c>
      <c r="L113" s="35">
        <v>34</v>
      </c>
      <c r="M113" s="35">
        <v>34</v>
      </c>
      <c r="N113" s="35">
        <v>34</v>
      </c>
      <c r="O113" s="35">
        <v>34</v>
      </c>
      <c r="P113" s="35">
        <v>34</v>
      </c>
      <c r="Q113" s="35">
        <v>34</v>
      </c>
      <c r="R113" s="35">
        <v>34</v>
      </c>
      <c r="S113" s="35">
        <v>34</v>
      </c>
      <c r="T113" s="35">
        <v>34</v>
      </c>
      <c r="U113" s="35">
        <v>34</v>
      </c>
      <c r="V113" s="35">
        <v>34</v>
      </c>
      <c r="W113" s="35">
        <v>34</v>
      </c>
      <c r="X113" s="35">
        <v>34</v>
      </c>
      <c r="Y113" s="35">
        <v>34</v>
      </c>
      <c r="Z113" s="35">
        <v>34</v>
      </c>
      <c r="AA113" s="35">
        <v>34</v>
      </c>
      <c r="AB113" s="36">
        <f t="shared" si="2"/>
        <v>816</v>
      </c>
      <c r="AC113" s="37">
        <v>22</v>
      </c>
      <c r="AD113" s="91">
        <f>+AB113*AC113+AB114*AC114+AB115*AC115</f>
        <v>25296</v>
      </c>
    </row>
    <row r="114" spans="2:30">
      <c r="B114" s="89"/>
      <c r="C114" s="34" t="s">
        <v>33</v>
      </c>
      <c r="D114" s="35">
        <v>34</v>
      </c>
      <c r="E114" s="35">
        <v>34</v>
      </c>
      <c r="F114" s="35">
        <v>34</v>
      </c>
      <c r="G114" s="35">
        <v>34</v>
      </c>
      <c r="H114" s="35">
        <v>34</v>
      </c>
      <c r="I114" s="35">
        <v>34</v>
      </c>
      <c r="J114" s="35">
        <v>34</v>
      </c>
      <c r="K114" s="35">
        <v>34</v>
      </c>
      <c r="L114" s="35">
        <v>34</v>
      </c>
      <c r="M114" s="35">
        <v>34</v>
      </c>
      <c r="N114" s="35">
        <v>34</v>
      </c>
      <c r="O114" s="35">
        <v>34</v>
      </c>
      <c r="P114" s="35">
        <v>34</v>
      </c>
      <c r="Q114" s="35">
        <v>34</v>
      </c>
      <c r="R114" s="35">
        <v>34</v>
      </c>
      <c r="S114" s="35">
        <v>34</v>
      </c>
      <c r="T114" s="35">
        <v>34</v>
      </c>
      <c r="U114" s="35">
        <v>34</v>
      </c>
      <c r="V114" s="35">
        <v>34</v>
      </c>
      <c r="W114" s="35">
        <v>34</v>
      </c>
      <c r="X114" s="35">
        <v>34</v>
      </c>
      <c r="Y114" s="35">
        <v>34</v>
      </c>
      <c r="Z114" s="35">
        <v>34</v>
      </c>
      <c r="AA114" s="35">
        <v>34</v>
      </c>
      <c r="AB114" s="36">
        <f t="shared" si="2"/>
        <v>816</v>
      </c>
      <c r="AC114" s="37">
        <v>4</v>
      </c>
      <c r="AD114" s="91"/>
    </row>
    <row r="115" spans="2:30">
      <c r="B115" s="89"/>
      <c r="C115" s="34" t="s">
        <v>34</v>
      </c>
      <c r="D115" s="35">
        <v>34</v>
      </c>
      <c r="E115" s="35">
        <v>34</v>
      </c>
      <c r="F115" s="35">
        <v>34</v>
      </c>
      <c r="G115" s="35">
        <v>34</v>
      </c>
      <c r="H115" s="35">
        <v>34</v>
      </c>
      <c r="I115" s="35">
        <v>34</v>
      </c>
      <c r="J115" s="35">
        <v>34</v>
      </c>
      <c r="K115" s="35">
        <v>34</v>
      </c>
      <c r="L115" s="35">
        <v>34</v>
      </c>
      <c r="M115" s="35">
        <v>34</v>
      </c>
      <c r="N115" s="35">
        <v>34</v>
      </c>
      <c r="O115" s="35">
        <v>34</v>
      </c>
      <c r="P115" s="35">
        <v>34</v>
      </c>
      <c r="Q115" s="35">
        <v>34</v>
      </c>
      <c r="R115" s="35">
        <v>34</v>
      </c>
      <c r="S115" s="35">
        <v>34</v>
      </c>
      <c r="T115" s="35">
        <v>34</v>
      </c>
      <c r="U115" s="35">
        <v>34</v>
      </c>
      <c r="V115" s="35">
        <v>34</v>
      </c>
      <c r="W115" s="35">
        <v>34</v>
      </c>
      <c r="X115" s="35">
        <v>34</v>
      </c>
      <c r="Y115" s="35">
        <v>34</v>
      </c>
      <c r="Z115" s="35">
        <v>34</v>
      </c>
      <c r="AA115" s="35">
        <v>34</v>
      </c>
      <c r="AB115" s="36">
        <f t="shared" si="2"/>
        <v>816</v>
      </c>
      <c r="AC115" s="37">
        <v>5</v>
      </c>
      <c r="AD115" s="91"/>
    </row>
    <row r="116" spans="2:30">
      <c r="B116" s="89">
        <v>47423</v>
      </c>
      <c r="C116" s="34" t="s">
        <v>32</v>
      </c>
      <c r="D116" s="35">
        <v>34</v>
      </c>
      <c r="E116" s="35">
        <v>34</v>
      </c>
      <c r="F116" s="35">
        <v>34</v>
      </c>
      <c r="G116" s="35">
        <v>34</v>
      </c>
      <c r="H116" s="35">
        <v>34</v>
      </c>
      <c r="I116" s="35">
        <v>34</v>
      </c>
      <c r="J116" s="35">
        <v>34</v>
      </c>
      <c r="K116" s="35">
        <v>34</v>
      </c>
      <c r="L116" s="35">
        <v>34</v>
      </c>
      <c r="M116" s="35">
        <v>34</v>
      </c>
      <c r="N116" s="35">
        <v>34</v>
      </c>
      <c r="O116" s="35">
        <v>34</v>
      </c>
      <c r="P116" s="35">
        <v>34</v>
      </c>
      <c r="Q116" s="35">
        <v>34</v>
      </c>
      <c r="R116" s="35">
        <v>34</v>
      </c>
      <c r="S116" s="35">
        <v>34</v>
      </c>
      <c r="T116" s="35">
        <v>34</v>
      </c>
      <c r="U116" s="35">
        <v>34</v>
      </c>
      <c r="V116" s="35">
        <v>34</v>
      </c>
      <c r="W116" s="35">
        <v>34</v>
      </c>
      <c r="X116" s="35">
        <v>34</v>
      </c>
      <c r="Y116" s="35">
        <v>34</v>
      </c>
      <c r="Z116" s="35">
        <v>34</v>
      </c>
      <c r="AA116" s="35">
        <v>34</v>
      </c>
      <c r="AB116" s="36">
        <f t="shared" si="2"/>
        <v>816</v>
      </c>
      <c r="AC116" s="37">
        <v>20</v>
      </c>
      <c r="AD116" s="91">
        <f>+AB116*AC116+AB117*AC117+AB118*AC118</f>
        <v>24480</v>
      </c>
    </row>
    <row r="117" spans="2:30">
      <c r="B117" s="89"/>
      <c r="C117" s="34" t="s">
        <v>33</v>
      </c>
      <c r="D117" s="35">
        <v>34</v>
      </c>
      <c r="E117" s="35">
        <v>34</v>
      </c>
      <c r="F117" s="35">
        <v>34</v>
      </c>
      <c r="G117" s="35">
        <v>34</v>
      </c>
      <c r="H117" s="35">
        <v>34</v>
      </c>
      <c r="I117" s="35">
        <v>34</v>
      </c>
      <c r="J117" s="35">
        <v>34</v>
      </c>
      <c r="K117" s="35">
        <v>34</v>
      </c>
      <c r="L117" s="35">
        <v>34</v>
      </c>
      <c r="M117" s="35">
        <v>34</v>
      </c>
      <c r="N117" s="35">
        <v>34</v>
      </c>
      <c r="O117" s="35">
        <v>34</v>
      </c>
      <c r="P117" s="35">
        <v>34</v>
      </c>
      <c r="Q117" s="35">
        <v>34</v>
      </c>
      <c r="R117" s="35">
        <v>34</v>
      </c>
      <c r="S117" s="35">
        <v>34</v>
      </c>
      <c r="T117" s="35">
        <v>34</v>
      </c>
      <c r="U117" s="35">
        <v>34</v>
      </c>
      <c r="V117" s="35">
        <v>34</v>
      </c>
      <c r="W117" s="35">
        <v>34</v>
      </c>
      <c r="X117" s="35">
        <v>34</v>
      </c>
      <c r="Y117" s="35">
        <v>34</v>
      </c>
      <c r="Z117" s="35">
        <v>34</v>
      </c>
      <c r="AA117" s="35">
        <v>34</v>
      </c>
      <c r="AB117" s="36">
        <f t="shared" si="2"/>
        <v>816</v>
      </c>
      <c r="AC117" s="37">
        <v>4</v>
      </c>
      <c r="AD117" s="91"/>
    </row>
    <row r="118" spans="2:30">
      <c r="B118" s="89"/>
      <c r="C118" s="34" t="s">
        <v>34</v>
      </c>
      <c r="D118" s="35">
        <v>34</v>
      </c>
      <c r="E118" s="35">
        <v>34</v>
      </c>
      <c r="F118" s="35">
        <v>34</v>
      </c>
      <c r="G118" s="35">
        <v>34</v>
      </c>
      <c r="H118" s="35">
        <v>34</v>
      </c>
      <c r="I118" s="35">
        <v>34</v>
      </c>
      <c r="J118" s="35">
        <v>34</v>
      </c>
      <c r="K118" s="35">
        <v>34</v>
      </c>
      <c r="L118" s="35">
        <v>34</v>
      </c>
      <c r="M118" s="35">
        <v>34</v>
      </c>
      <c r="N118" s="35">
        <v>34</v>
      </c>
      <c r="O118" s="35">
        <v>34</v>
      </c>
      <c r="P118" s="35">
        <v>34</v>
      </c>
      <c r="Q118" s="35">
        <v>34</v>
      </c>
      <c r="R118" s="35">
        <v>34</v>
      </c>
      <c r="S118" s="35">
        <v>34</v>
      </c>
      <c r="T118" s="35">
        <v>34</v>
      </c>
      <c r="U118" s="35">
        <v>34</v>
      </c>
      <c r="V118" s="35">
        <v>34</v>
      </c>
      <c r="W118" s="35">
        <v>34</v>
      </c>
      <c r="X118" s="35">
        <v>34</v>
      </c>
      <c r="Y118" s="35">
        <v>34</v>
      </c>
      <c r="Z118" s="35">
        <v>34</v>
      </c>
      <c r="AA118" s="35">
        <v>34</v>
      </c>
      <c r="AB118" s="36">
        <f t="shared" si="2"/>
        <v>816</v>
      </c>
      <c r="AC118" s="37">
        <v>6</v>
      </c>
      <c r="AD118" s="91"/>
    </row>
    <row r="119" spans="2:30">
      <c r="B119" s="89">
        <v>47453</v>
      </c>
      <c r="C119" s="34" t="s">
        <v>32</v>
      </c>
      <c r="D119" s="35">
        <v>34</v>
      </c>
      <c r="E119" s="35">
        <v>34</v>
      </c>
      <c r="F119" s="35">
        <v>34</v>
      </c>
      <c r="G119" s="35">
        <v>34</v>
      </c>
      <c r="H119" s="35">
        <v>34</v>
      </c>
      <c r="I119" s="35">
        <v>34</v>
      </c>
      <c r="J119" s="35">
        <v>34</v>
      </c>
      <c r="K119" s="35">
        <v>34</v>
      </c>
      <c r="L119" s="35">
        <v>34</v>
      </c>
      <c r="M119" s="35">
        <v>34</v>
      </c>
      <c r="N119" s="35">
        <v>34</v>
      </c>
      <c r="O119" s="35">
        <v>34</v>
      </c>
      <c r="P119" s="35">
        <v>34</v>
      </c>
      <c r="Q119" s="35">
        <v>34</v>
      </c>
      <c r="R119" s="35">
        <v>34</v>
      </c>
      <c r="S119" s="35">
        <v>34</v>
      </c>
      <c r="T119" s="35">
        <v>34</v>
      </c>
      <c r="U119" s="35">
        <v>34</v>
      </c>
      <c r="V119" s="35">
        <v>34</v>
      </c>
      <c r="W119" s="35">
        <v>34</v>
      </c>
      <c r="X119" s="35">
        <v>34</v>
      </c>
      <c r="Y119" s="35">
        <v>34</v>
      </c>
      <c r="Z119" s="35">
        <v>34</v>
      </c>
      <c r="AA119" s="35">
        <v>34</v>
      </c>
      <c r="AB119" s="36">
        <f t="shared" si="2"/>
        <v>816</v>
      </c>
      <c r="AC119" s="37">
        <v>20</v>
      </c>
      <c r="AD119" s="91">
        <f>+AB119*AC119+AB120*AC120+AB121*AC121</f>
        <v>25296</v>
      </c>
    </row>
    <row r="120" spans="2:30">
      <c r="B120" s="89"/>
      <c r="C120" s="34" t="s">
        <v>33</v>
      </c>
      <c r="D120" s="35">
        <v>34</v>
      </c>
      <c r="E120" s="35">
        <v>34</v>
      </c>
      <c r="F120" s="35">
        <v>34</v>
      </c>
      <c r="G120" s="35">
        <v>34</v>
      </c>
      <c r="H120" s="35">
        <v>34</v>
      </c>
      <c r="I120" s="35">
        <v>34</v>
      </c>
      <c r="J120" s="35">
        <v>34</v>
      </c>
      <c r="K120" s="35">
        <v>34</v>
      </c>
      <c r="L120" s="35">
        <v>34</v>
      </c>
      <c r="M120" s="35">
        <v>34</v>
      </c>
      <c r="N120" s="35">
        <v>34</v>
      </c>
      <c r="O120" s="35">
        <v>34</v>
      </c>
      <c r="P120" s="35">
        <v>34</v>
      </c>
      <c r="Q120" s="35">
        <v>34</v>
      </c>
      <c r="R120" s="35">
        <v>34</v>
      </c>
      <c r="S120" s="35">
        <v>34</v>
      </c>
      <c r="T120" s="35">
        <v>34</v>
      </c>
      <c r="U120" s="35">
        <v>34</v>
      </c>
      <c r="V120" s="35">
        <v>34</v>
      </c>
      <c r="W120" s="35">
        <v>34</v>
      </c>
      <c r="X120" s="35">
        <v>34</v>
      </c>
      <c r="Y120" s="35">
        <v>34</v>
      </c>
      <c r="Z120" s="35">
        <v>34</v>
      </c>
      <c r="AA120" s="35">
        <v>34</v>
      </c>
      <c r="AB120" s="36">
        <f t="shared" si="2"/>
        <v>816</v>
      </c>
      <c r="AC120" s="37">
        <v>4</v>
      </c>
      <c r="AD120" s="91"/>
    </row>
    <row r="121" spans="2:30">
      <c r="B121" s="89"/>
      <c r="C121" s="34" t="s">
        <v>34</v>
      </c>
      <c r="D121" s="35">
        <v>34</v>
      </c>
      <c r="E121" s="35">
        <v>34</v>
      </c>
      <c r="F121" s="35">
        <v>34</v>
      </c>
      <c r="G121" s="35">
        <v>34</v>
      </c>
      <c r="H121" s="35">
        <v>34</v>
      </c>
      <c r="I121" s="35">
        <v>34</v>
      </c>
      <c r="J121" s="35">
        <v>34</v>
      </c>
      <c r="K121" s="35">
        <v>34</v>
      </c>
      <c r="L121" s="35">
        <v>34</v>
      </c>
      <c r="M121" s="35">
        <v>34</v>
      </c>
      <c r="N121" s="35">
        <v>34</v>
      </c>
      <c r="O121" s="35">
        <v>34</v>
      </c>
      <c r="P121" s="35">
        <v>34</v>
      </c>
      <c r="Q121" s="35">
        <v>34</v>
      </c>
      <c r="R121" s="35">
        <v>34</v>
      </c>
      <c r="S121" s="35">
        <v>34</v>
      </c>
      <c r="T121" s="35">
        <v>34</v>
      </c>
      <c r="U121" s="35">
        <v>34</v>
      </c>
      <c r="V121" s="35">
        <v>34</v>
      </c>
      <c r="W121" s="35">
        <v>34</v>
      </c>
      <c r="X121" s="35">
        <v>34</v>
      </c>
      <c r="Y121" s="35">
        <v>34</v>
      </c>
      <c r="Z121" s="35">
        <v>34</v>
      </c>
      <c r="AA121" s="35">
        <v>34</v>
      </c>
      <c r="AB121" s="36">
        <f t="shared" si="2"/>
        <v>816</v>
      </c>
      <c r="AC121" s="37">
        <v>7</v>
      </c>
      <c r="AD121" s="91"/>
    </row>
    <row r="122" spans="2:30">
      <c r="AA122" s="86" t="s">
        <v>35</v>
      </c>
      <c r="AB122" s="87"/>
      <c r="AC122" s="88"/>
      <c r="AD122" s="39">
        <f>SUM(AD86:AD121)</f>
        <v>297840</v>
      </c>
    </row>
    <row r="123" spans="2:30">
      <c r="AB123" s="38"/>
      <c r="AC123" s="38"/>
    </row>
    <row r="124" spans="2:30" ht="23.25">
      <c r="B124" s="41" t="s">
        <v>38</v>
      </c>
    </row>
    <row r="125" spans="2:30">
      <c r="B125" s="32" t="s">
        <v>3</v>
      </c>
      <c r="C125" s="32" t="s">
        <v>4</v>
      </c>
      <c r="D125" s="32" t="s">
        <v>5</v>
      </c>
      <c r="E125" s="32" t="s">
        <v>6</v>
      </c>
      <c r="F125" s="32" t="s">
        <v>7</v>
      </c>
      <c r="G125" s="32" t="s">
        <v>8</v>
      </c>
      <c r="H125" s="32" t="s">
        <v>9</v>
      </c>
      <c r="I125" s="32" t="s">
        <v>10</v>
      </c>
      <c r="J125" s="32" t="s">
        <v>11</v>
      </c>
      <c r="K125" s="32" t="s">
        <v>12</v>
      </c>
      <c r="L125" s="32" t="s">
        <v>13</v>
      </c>
      <c r="M125" s="32" t="s">
        <v>14</v>
      </c>
      <c r="N125" s="32" t="s">
        <v>15</v>
      </c>
      <c r="O125" s="32" t="s">
        <v>16</v>
      </c>
      <c r="P125" s="32" t="s">
        <v>17</v>
      </c>
      <c r="Q125" s="32" t="s">
        <v>18</v>
      </c>
      <c r="R125" s="32" t="s">
        <v>19</v>
      </c>
      <c r="S125" s="32" t="s">
        <v>20</v>
      </c>
      <c r="T125" s="32" t="s">
        <v>21</v>
      </c>
      <c r="U125" s="32" t="s">
        <v>22</v>
      </c>
      <c r="V125" s="32" t="s">
        <v>23</v>
      </c>
      <c r="W125" s="32" t="s">
        <v>24</v>
      </c>
      <c r="X125" s="32" t="s">
        <v>25</v>
      </c>
      <c r="Y125" s="32" t="s">
        <v>26</v>
      </c>
      <c r="Z125" s="32" t="s">
        <v>27</v>
      </c>
      <c r="AA125" s="32" t="s">
        <v>28</v>
      </c>
      <c r="AB125" s="33" t="s">
        <v>29</v>
      </c>
      <c r="AC125" s="33" t="s">
        <v>30</v>
      </c>
      <c r="AD125" s="32" t="s">
        <v>31</v>
      </c>
    </row>
    <row r="126" spans="2:30">
      <c r="B126" s="89">
        <v>47484</v>
      </c>
      <c r="C126" s="34" t="s">
        <v>32</v>
      </c>
      <c r="D126" s="35">
        <v>13</v>
      </c>
      <c r="E126" s="35">
        <v>13</v>
      </c>
      <c r="F126" s="35">
        <v>13</v>
      </c>
      <c r="G126" s="35">
        <v>13</v>
      </c>
      <c r="H126" s="35">
        <v>13</v>
      </c>
      <c r="I126" s="35">
        <v>13</v>
      </c>
      <c r="J126" s="35">
        <v>13</v>
      </c>
      <c r="K126" s="35">
        <v>13</v>
      </c>
      <c r="L126" s="35">
        <v>13</v>
      </c>
      <c r="M126" s="35">
        <v>13</v>
      </c>
      <c r="N126" s="35">
        <v>13</v>
      </c>
      <c r="O126" s="35">
        <v>13</v>
      </c>
      <c r="P126" s="35">
        <v>13</v>
      </c>
      <c r="Q126" s="35">
        <v>13</v>
      </c>
      <c r="R126" s="35">
        <v>13</v>
      </c>
      <c r="S126" s="35">
        <v>13</v>
      </c>
      <c r="T126" s="35">
        <v>13</v>
      </c>
      <c r="U126" s="35">
        <v>13</v>
      </c>
      <c r="V126" s="35">
        <v>13</v>
      </c>
      <c r="W126" s="35">
        <v>13</v>
      </c>
      <c r="X126" s="35">
        <v>13</v>
      </c>
      <c r="Y126" s="35">
        <v>13</v>
      </c>
      <c r="Z126" s="35">
        <v>13</v>
      </c>
      <c r="AA126" s="35">
        <v>13</v>
      </c>
      <c r="AB126" s="36">
        <f>SUM(D126:AA126)</f>
        <v>312</v>
      </c>
      <c r="AC126" s="37">
        <v>21</v>
      </c>
      <c r="AD126" s="91">
        <f>+AB126*AC126+AB127*AC127+AB128*AC128</f>
        <v>9672</v>
      </c>
    </row>
    <row r="127" spans="2:30">
      <c r="B127" s="89"/>
      <c r="C127" s="34" t="s">
        <v>33</v>
      </c>
      <c r="D127" s="35">
        <v>13</v>
      </c>
      <c r="E127" s="35">
        <v>13</v>
      </c>
      <c r="F127" s="35">
        <v>13</v>
      </c>
      <c r="G127" s="35">
        <v>13</v>
      </c>
      <c r="H127" s="35">
        <v>13</v>
      </c>
      <c r="I127" s="35">
        <v>13</v>
      </c>
      <c r="J127" s="35">
        <v>13</v>
      </c>
      <c r="K127" s="35">
        <v>13</v>
      </c>
      <c r="L127" s="35">
        <v>13</v>
      </c>
      <c r="M127" s="35">
        <v>13</v>
      </c>
      <c r="N127" s="35">
        <v>13</v>
      </c>
      <c r="O127" s="35">
        <v>13</v>
      </c>
      <c r="P127" s="35">
        <v>13</v>
      </c>
      <c r="Q127" s="35">
        <v>13</v>
      </c>
      <c r="R127" s="35">
        <v>13</v>
      </c>
      <c r="S127" s="35">
        <v>13</v>
      </c>
      <c r="T127" s="35">
        <v>13</v>
      </c>
      <c r="U127" s="35">
        <v>13</v>
      </c>
      <c r="V127" s="35">
        <v>13</v>
      </c>
      <c r="W127" s="35">
        <v>13</v>
      </c>
      <c r="X127" s="35">
        <v>13</v>
      </c>
      <c r="Y127" s="35">
        <v>13</v>
      </c>
      <c r="Z127" s="35">
        <v>13</v>
      </c>
      <c r="AA127" s="35">
        <v>13</v>
      </c>
      <c r="AB127" s="36">
        <f t="shared" ref="AB127:AB161" si="3">SUM(D127:AA127)</f>
        <v>312</v>
      </c>
      <c r="AC127" s="37">
        <v>4</v>
      </c>
      <c r="AD127" s="91"/>
    </row>
    <row r="128" spans="2:30">
      <c r="B128" s="89"/>
      <c r="C128" s="34" t="s">
        <v>34</v>
      </c>
      <c r="D128" s="35">
        <v>13</v>
      </c>
      <c r="E128" s="35">
        <v>13</v>
      </c>
      <c r="F128" s="35">
        <v>13</v>
      </c>
      <c r="G128" s="35">
        <v>13</v>
      </c>
      <c r="H128" s="35">
        <v>13</v>
      </c>
      <c r="I128" s="35">
        <v>13</v>
      </c>
      <c r="J128" s="35">
        <v>13</v>
      </c>
      <c r="K128" s="35">
        <v>13</v>
      </c>
      <c r="L128" s="35">
        <v>13</v>
      </c>
      <c r="M128" s="35">
        <v>13</v>
      </c>
      <c r="N128" s="35">
        <v>13</v>
      </c>
      <c r="O128" s="35">
        <v>13</v>
      </c>
      <c r="P128" s="35">
        <v>13</v>
      </c>
      <c r="Q128" s="35">
        <v>13</v>
      </c>
      <c r="R128" s="35">
        <v>13</v>
      </c>
      <c r="S128" s="35">
        <v>13</v>
      </c>
      <c r="T128" s="35">
        <v>13</v>
      </c>
      <c r="U128" s="35">
        <v>13</v>
      </c>
      <c r="V128" s="35">
        <v>13</v>
      </c>
      <c r="W128" s="35">
        <v>13</v>
      </c>
      <c r="X128" s="35">
        <v>13</v>
      </c>
      <c r="Y128" s="35">
        <v>13</v>
      </c>
      <c r="Z128" s="35">
        <v>13</v>
      </c>
      <c r="AA128" s="35">
        <v>13</v>
      </c>
      <c r="AB128" s="36">
        <f t="shared" si="3"/>
        <v>312</v>
      </c>
      <c r="AC128" s="37">
        <v>6</v>
      </c>
      <c r="AD128" s="91"/>
    </row>
    <row r="129" spans="2:30">
      <c r="B129" s="89">
        <v>47515</v>
      </c>
      <c r="C129" s="34" t="s">
        <v>32</v>
      </c>
      <c r="D129" s="35">
        <v>13</v>
      </c>
      <c r="E129" s="35">
        <v>13</v>
      </c>
      <c r="F129" s="35">
        <v>13</v>
      </c>
      <c r="G129" s="35">
        <v>13</v>
      </c>
      <c r="H129" s="35">
        <v>13</v>
      </c>
      <c r="I129" s="35">
        <v>13</v>
      </c>
      <c r="J129" s="35">
        <v>13</v>
      </c>
      <c r="K129" s="35">
        <v>13</v>
      </c>
      <c r="L129" s="35">
        <v>13</v>
      </c>
      <c r="M129" s="35">
        <v>13</v>
      </c>
      <c r="N129" s="35">
        <v>13</v>
      </c>
      <c r="O129" s="35">
        <v>13</v>
      </c>
      <c r="P129" s="35">
        <v>13</v>
      </c>
      <c r="Q129" s="35">
        <v>13</v>
      </c>
      <c r="R129" s="35">
        <v>13</v>
      </c>
      <c r="S129" s="35">
        <v>13</v>
      </c>
      <c r="T129" s="35">
        <v>13</v>
      </c>
      <c r="U129" s="35">
        <v>13</v>
      </c>
      <c r="V129" s="35">
        <v>13</v>
      </c>
      <c r="W129" s="35">
        <v>13</v>
      </c>
      <c r="X129" s="35">
        <v>13</v>
      </c>
      <c r="Y129" s="35">
        <v>13</v>
      </c>
      <c r="Z129" s="35">
        <v>13</v>
      </c>
      <c r="AA129" s="35">
        <v>13</v>
      </c>
      <c r="AB129" s="36">
        <f t="shared" si="3"/>
        <v>312</v>
      </c>
      <c r="AC129" s="37">
        <v>20</v>
      </c>
      <c r="AD129" s="91">
        <f>+AB129*AC129+AB130*AC130+AB131*AC131</f>
        <v>8736</v>
      </c>
    </row>
    <row r="130" spans="2:30">
      <c r="B130" s="89"/>
      <c r="C130" s="34" t="s">
        <v>33</v>
      </c>
      <c r="D130" s="35">
        <v>13</v>
      </c>
      <c r="E130" s="35">
        <v>13</v>
      </c>
      <c r="F130" s="35">
        <v>13</v>
      </c>
      <c r="G130" s="35">
        <v>13</v>
      </c>
      <c r="H130" s="35">
        <v>13</v>
      </c>
      <c r="I130" s="35">
        <v>13</v>
      </c>
      <c r="J130" s="35">
        <v>13</v>
      </c>
      <c r="K130" s="35">
        <v>13</v>
      </c>
      <c r="L130" s="35">
        <v>13</v>
      </c>
      <c r="M130" s="35">
        <v>13</v>
      </c>
      <c r="N130" s="35">
        <v>13</v>
      </c>
      <c r="O130" s="35">
        <v>13</v>
      </c>
      <c r="P130" s="35">
        <v>13</v>
      </c>
      <c r="Q130" s="35">
        <v>13</v>
      </c>
      <c r="R130" s="35">
        <v>13</v>
      </c>
      <c r="S130" s="35">
        <v>13</v>
      </c>
      <c r="T130" s="35">
        <v>13</v>
      </c>
      <c r="U130" s="35">
        <v>13</v>
      </c>
      <c r="V130" s="35">
        <v>13</v>
      </c>
      <c r="W130" s="35">
        <v>13</v>
      </c>
      <c r="X130" s="35">
        <v>13</v>
      </c>
      <c r="Y130" s="35">
        <v>13</v>
      </c>
      <c r="Z130" s="35">
        <v>13</v>
      </c>
      <c r="AA130" s="35">
        <v>13</v>
      </c>
      <c r="AB130" s="36">
        <f t="shared" si="3"/>
        <v>312</v>
      </c>
      <c r="AC130" s="37">
        <v>4</v>
      </c>
      <c r="AD130" s="91"/>
    </row>
    <row r="131" spans="2:30">
      <c r="B131" s="89"/>
      <c r="C131" s="34" t="s">
        <v>34</v>
      </c>
      <c r="D131" s="35">
        <v>13</v>
      </c>
      <c r="E131" s="35">
        <v>13</v>
      </c>
      <c r="F131" s="35">
        <v>13</v>
      </c>
      <c r="G131" s="35">
        <v>13</v>
      </c>
      <c r="H131" s="35">
        <v>13</v>
      </c>
      <c r="I131" s="35">
        <v>13</v>
      </c>
      <c r="J131" s="35">
        <v>13</v>
      </c>
      <c r="K131" s="35">
        <v>13</v>
      </c>
      <c r="L131" s="35">
        <v>13</v>
      </c>
      <c r="M131" s="35">
        <v>13</v>
      </c>
      <c r="N131" s="35">
        <v>13</v>
      </c>
      <c r="O131" s="35">
        <v>13</v>
      </c>
      <c r="P131" s="35">
        <v>13</v>
      </c>
      <c r="Q131" s="35">
        <v>13</v>
      </c>
      <c r="R131" s="35">
        <v>13</v>
      </c>
      <c r="S131" s="35">
        <v>13</v>
      </c>
      <c r="T131" s="35">
        <v>13</v>
      </c>
      <c r="U131" s="35">
        <v>13</v>
      </c>
      <c r="V131" s="35">
        <v>13</v>
      </c>
      <c r="W131" s="35">
        <v>13</v>
      </c>
      <c r="X131" s="35">
        <v>13</v>
      </c>
      <c r="Y131" s="35">
        <v>13</v>
      </c>
      <c r="Z131" s="35">
        <v>13</v>
      </c>
      <c r="AA131" s="35">
        <v>13</v>
      </c>
      <c r="AB131" s="36">
        <f t="shared" si="3"/>
        <v>312</v>
      </c>
      <c r="AC131" s="37">
        <v>4</v>
      </c>
      <c r="AD131" s="91"/>
    </row>
    <row r="132" spans="2:30">
      <c r="B132" s="89">
        <v>47543</v>
      </c>
      <c r="C132" s="34" t="s">
        <v>32</v>
      </c>
      <c r="D132" s="35">
        <v>13</v>
      </c>
      <c r="E132" s="35">
        <v>13</v>
      </c>
      <c r="F132" s="35">
        <v>13</v>
      </c>
      <c r="G132" s="35">
        <v>13</v>
      </c>
      <c r="H132" s="35">
        <v>13</v>
      </c>
      <c r="I132" s="35">
        <v>13</v>
      </c>
      <c r="J132" s="35">
        <v>13</v>
      </c>
      <c r="K132" s="35">
        <v>13</v>
      </c>
      <c r="L132" s="35">
        <v>13</v>
      </c>
      <c r="M132" s="35">
        <v>13</v>
      </c>
      <c r="N132" s="35">
        <v>13</v>
      </c>
      <c r="O132" s="35">
        <v>13</v>
      </c>
      <c r="P132" s="35">
        <v>13</v>
      </c>
      <c r="Q132" s="35">
        <v>13</v>
      </c>
      <c r="R132" s="35">
        <v>13</v>
      </c>
      <c r="S132" s="35">
        <v>13</v>
      </c>
      <c r="T132" s="35">
        <v>13</v>
      </c>
      <c r="U132" s="35">
        <v>13</v>
      </c>
      <c r="V132" s="35">
        <v>13</v>
      </c>
      <c r="W132" s="35">
        <v>13</v>
      </c>
      <c r="X132" s="35">
        <v>13</v>
      </c>
      <c r="Y132" s="35">
        <v>13</v>
      </c>
      <c r="Z132" s="35">
        <v>13</v>
      </c>
      <c r="AA132" s="35">
        <v>13</v>
      </c>
      <c r="AB132" s="36">
        <f t="shared" si="3"/>
        <v>312</v>
      </c>
      <c r="AC132" s="37">
        <v>20</v>
      </c>
      <c r="AD132" s="91">
        <f>+AB132*AC132+AB133*AC133+AB134*AC134</f>
        <v>9672</v>
      </c>
    </row>
    <row r="133" spans="2:30">
      <c r="B133" s="89"/>
      <c r="C133" s="34" t="s">
        <v>33</v>
      </c>
      <c r="D133" s="35">
        <v>13</v>
      </c>
      <c r="E133" s="35">
        <v>13</v>
      </c>
      <c r="F133" s="35">
        <v>13</v>
      </c>
      <c r="G133" s="35">
        <v>13</v>
      </c>
      <c r="H133" s="35">
        <v>13</v>
      </c>
      <c r="I133" s="35">
        <v>13</v>
      </c>
      <c r="J133" s="35">
        <v>13</v>
      </c>
      <c r="K133" s="35">
        <v>13</v>
      </c>
      <c r="L133" s="35">
        <v>13</v>
      </c>
      <c r="M133" s="35">
        <v>13</v>
      </c>
      <c r="N133" s="35">
        <v>13</v>
      </c>
      <c r="O133" s="35">
        <v>13</v>
      </c>
      <c r="P133" s="35">
        <v>13</v>
      </c>
      <c r="Q133" s="35">
        <v>13</v>
      </c>
      <c r="R133" s="35">
        <v>13</v>
      </c>
      <c r="S133" s="35">
        <v>13</v>
      </c>
      <c r="T133" s="35">
        <v>13</v>
      </c>
      <c r="U133" s="35">
        <v>13</v>
      </c>
      <c r="V133" s="35">
        <v>13</v>
      </c>
      <c r="W133" s="35">
        <v>13</v>
      </c>
      <c r="X133" s="35">
        <v>13</v>
      </c>
      <c r="Y133" s="35">
        <v>13</v>
      </c>
      <c r="Z133" s="35">
        <v>13</v>
      </c>
      <c r="AA133" s="35">
        <v>13</v>
      </c>
      <c r="AB133" s="36">
        <f t="shared" si="3"/>
        <v>312</v>
      </c>
      <c r="AC133" s="37">
        <v>5</v>
      </c>
      <c r="AD133" s="91"/>
    </row>
    <row r="134" spans="2:30">
      <c r="B134" s="89"/>
      <c r="C134" s="34" t="s">
        <v>34</v>
      </c>
      <c r="D134" s="35">
        <v>13</v>
      </c>
      <c r="E134" s="35">
        <v>13</v>
      </c>
      <c r="F134" s="35">
        <v>13</v>
      </c>
      <c r="G134" s="35">
        <v>13</v>
      </c>
      <c r="H134" s="35">
        <v>13</v>
      </c>
      <c r="I134" s="35">
        <v>13</v>
      </c>
      <c r="J134" s="35">
        <v>13</v>
      </c>
      <c r="K134" s="35">
        <v>13</v>
      </c>
      <c r="L134" s="35">
        <v>13</v>
      </c>
      <c r="M134" s="35">
        <v>13</v>
      </c>
      <c r="N134" s="35">
        <v>13</v>
      </c>
      <c r="O134" s="35">
        <v>13</v>
      </c>
      <c r="P134" s="35">
        <v>13</v>
      </c>
      <c r="Q134" s="35">
        <v>13</v>
      </c>
      <c r="R134" s="35">
        <v>13</v>
      </c>
      <c r="S134" s="35">
        <v>13</v>
      </c>
      <c r="T134" s="35">
        <v>13</v>
      </c>
      <c r="U134" s="35">
        <v>13</v>
      </c>
      <c r="V134" s="35">
        <v>13</v>
      </c>
      <c r="W134" s="35">
        <v>13</v>
      </c>
      <c r="X134" s="35">
        <v>13</v>
      </c>
      <c r="Y134" s="35">
        <v>13</v>
      </c>
      <c r="Z134" s="35">
        <v>13</v>
      </c>
      <c r="AA134" s="35">
        <v>13</v>
      </c>
      <c r="AB134" s="36">
        <f t="shared" si="3"/>
        <v>312</v>
      </c>
      <c r="AC134" s="37">
        <v>6</v>
      </c>
      <c r="AD134" s="91"/>
    </row>
    <row r="135" spans="2:30">
      <c r="B135" s="89">
        <v>47574</v>
      </c>
      <c r="C135" s="34" t="s">
        <v>32</v>
      </c>
      <c r="D135" s="35">
        <v>13</v>
      </c>
      <c r="E135" s="35">
        <v>13</v>
      </c>
      <c r="F135" s="35">
        <v>13</v>
      </c>
      <c r="G135" s="35">
        <v>13</v>
      </c>
      <c r="H135" s="35">
        <v>13</v>
      </c>
      <c r="I135" s="35">
        <v>13</v>
      </c>
      <c r="J135" s="35">
        <v>13</v>
      </c>
      <c r="K135" s="35">
        <v>13</v>
      </c>
      <c r="L135" s="35">
        <v>13</v>
      </c>
      <c r="M135" s="35">
        <v>13</v>
      </c>
      <c r="N135" s="35">
        <v>13</v>
      </c>
      <c r="O135" s="35">
        <v>13</v>
      </c>
      <c r="P135" s="35">
        <v>13</v>
      </c>
      <c r="Q135" s="35">
        <v>13</v>
      </c>
      <c r="R135" s="35">
        <v>13</v>
      </c>
      <c r="S135" s="35">
        <v>13</v>
      </c>
      <c r="T135" s="35">
        <v>13</v>
      </c>
      <c r="U135" s="35">
        <v>13</v>
      </c>
      <c r="V135" s="35">
        <v>13</v>
      </c>
      <c r="W135" s="35">
        <v>13</v>
      </c>
      <c r="X135" s="35">
        <v>13</v>
      </c>
      <c r="Y135" s="35">
        <v>13</v>
      </c>
      <c r="Z135" s="35">
        <v>13</v>
      </c>
      <c r="AA135" s="35">
        <v>13</v>
      </c>
      <c r="AB135" s="36">
        <f t="shared" si="3"/>
        <v>312</v>
      </c>
      <c r="AC135" s="37">
        <v>20</v>
      </c>
      <c r="AD135" s="91">
        <f>+AB135*AC135+AB136*AC136+AB137*AC137</f>
        <v>9360</v>
      </c>
    </row>
    <row r="136" spans="2:30">
      <c r="B136" s="89"/>
      <c r="C136" s="34" t="s">
        <v>33</v>
      </c>
      <c r="D136" s="35">
        <v>13</v>
      </c>
      <c r="E136" s="35">
        <v>13</v>
      </c>
      <c r="F136" s="35">
        <v>13</v>
      </c>
      <c r="G136" s="35">
        <v>13</v>
      </c>
      <c r="H136" s="35">
        <v>13</v>
      </c>
      <c r="I136" s="35">
        <v>13</v>
      </c>
      <c r="J136" s="35">
        <v>13</v>
      </c>
      <c r="K136" s="35">
        <v>13</v>
      </c>
      <c r="L136" s="35">
        <v>13</v>
      </c>
      <c r="M136" s="35">
        <v>13</v>
      </c>
      <c r="N136" s="35">
        <v>13</v>
      </c>
      <c r="O136" s="35">
        <v>13</v>
      </c>
      <c r="P136" s="35">
        <v>13</v>
      </c>
      <c r="Q136" s="35">
        <v>13</v>
      </c>
      <c r="R136" s="35">
        <v>13</v>
      </c>
      <c r="S136" s="35">
        <v>13</v>
      </c>
      <c r="T136" s="35">
        <v>13</v>
      </c>
      <c r="U136" s="35">
        <v>13</v>
      </c>
      <c r="V136" s="35">
        <v>13</v>
      </c>
      <c r="W136" s="35">
        <v>13</v>
      </c>
      <c r="X136" s="35">
        <v>13</v>
      </c>
      <c r="Y136" s="35">
        <v>13</v>
      </c>
      <c r="Z136" s="35">
        <v>13</v>
      </c>
      <c r="AA136" s="35">
        <v>13</v>
      </c>
      <c r="AB136" s="36">
        <f t="shared" si="3"/>
        <v>312</v>
      </c>
      <c r="AC136" s="37">
        <v>4</v>
      </c>
      <c r="AD136" s="91"/>
    </row>
    <row r="137" spans="2:30">
      <c r="B137" s="89"/>
      <c r="C137" s="34" t="s">
        <v>34</v>
      </c>
      <c r="D137" s="35">
        <v>13</v>
      </c>
      <c r="E137" s="35">
        <v>13</v>
      </c>
      <c r="F137" s="35">
        <v>13</v>
      </c>
      <c r="G137" s="35">
        <v>13</v>
      </c>
      <c r="H137" s="35">
        <v>13</v>
      </c>
      <c r="I137" s="35">
        <v>13</v>
      </c>
      <c r="J137" s="35">
        <v>13</v>
      </c>
      <c r="K137" s="35">
        <v>13</v>
      </c>
      <c r="L137" s="35">
        <v>13</v>
      </c>
      <c r="M137" s="35">
        <v>13</v>
      </c>
      <c r="N137" s="35">
        <v>13</v>
      </c>
      <c r="O137" s="35">
        <v>13</v>
      </c>
      <c r="P137" s="35">
        <v>13</v>
      </c>
      <c r="Q137" s="35">
        <v>13</v>
      </c>
      <c r="R137" s="35">
        <v>13</v>
      </c>
      <c r="S137" s="35">
        <v>13</v>
      </c>
      <c r="T137" s="35">
        <v>13</v>
      </c>
      <c r="U137" s="35">
        <v>13</v>
      </c>
      <c r="V137" s="35">
        <v>13</v>
      </c>
      <c r="W137" s="35">
        <v>13</v>
      </c>
      <c r="X137" s="35">
        <v>13</v>
      </c>
      <c r="Y137" s="35">
        <v>13</v>
      </c>
      <c r="Z137" s="35">
        <v>13</v>
      </c>
      <c r="AA137" s="35">
        <v>13</v>
      </c>
      <c r="AB137" s="36">
        <f t="shared" si="3"/>
        <v>312</v>
      </c>
      <c r="AC137" s="37">
        <v>6</v>
      </c>
      <c r="AD137" s="91"/>
    </row>
    <row r="138" spans="2:30">
      <c r="B138" s="89">
        <v>47604</v>
      </c>
      <c r="C138" s="34" t="s">
        <v>32</v>
      </c>
      <c r="D138" s="35">
        <v>13</v>
      </c>
      <c r="E138" s="35">
        <v>13</v>
      </c>
      <c r="F138" s="35">
        <v>13</v>
      </c>
      <c r="G138" s="35">
        <v>13</v>
      </c>
      <c r="H138" s="35">
        <v>13</v>
      </c>
      <c r="I138" s="35">
        <v>13</v>
      </c>
      <c r="J138" s="35">
        <v>13</v>
      </c>
      <c r="K138" s="35">
        <v>13</v>
      </c>
      <c r="L138" s="35">
        <v>13</v>
      </c>
      <c r="M138" s="35">
        <v>13</v>
      </c>
      <c r="N138" s="35">
        <v>13</v>
      </c>
      <c r="O138" s="35">
        <v>13</v>
      </c>
      <c r="P138" s="35">
        <v>13</v>
      </c>
      <c r="Q138" s="35">
        <v>13</v>
      </c>
      <c r="R138" s="35">
        <v>13</v>
      </c>
      <c r="S138" s="35">
        <v>13</v>
      </c>
      <c r="T138" s="35">
        <v>13</v>
      </c>
      <c r="U138" s="35">
        <v>13</v>
      </c>
      <c r="V138" s="35">
        <v>13</v>
      </c>
      <c r="W138" s="35">
        <v>13</v>
      </c>
      <c r="X138" s="35">
        <v>13</v>
      </c>
      <c r="Y138" s="35">
        <v>13</v>
      </c>
      <c r="Z138" s="35">
        <v>13</v>
      </c>
      <c r="AA138" s="35">
        <v>13</v>
      </c>
      <c r="AB138" s="36">
        <f t="shared" si="3"/>
        <v>312</v>
      </c>
      <c r="AC138" s="37">
        <v>22</v>
      </c>
      <c r="AD138" s="91">
        <f>+AB138*AC138+AB139*AC139+AB140*AC140</f>
        <v>9672</v>
      </c>
    </row>
    <row r="139" spans="2:30">
      <c r="B139" s="89"/>
      <c r="C139" s="34" t="s">
        <v>33</v>
      </c>
      <c r="D139" s="35">
        <v>13</v>
      </c>
      <c r="E139" s="35">
        <v>13</v>
      </c>
      <c r="F139" s="35">
        <v>13</v>
      </c>
      <c r="G139" s="35">
        <v>13</v>
      </c>
      <c r="H139" s="35">
        <v>13</v>
      </c>
      <c r="I139" s="35">
        <v>13</v>
      </c>
      <c r="J139" s="35">
        <v>13</v>
      </c>
      <c r="K139" s="35">
        <v>13</v>
      </c>
      <c r="L139" s="35">
        <v>13</v>
      </c>
      <c r="M139" s="35">
        <v>13</v>
      </c>
      <c r="N139" s="35">
        <v>13</v>
      </c>
      <c r="O139" s="35">
        <v>13</v>
      </c>
      <c r="P139" s="35">
        <v>13</v>
      </c>
      <c r="Q139" s="35">
        <v>13</v>
      </c>
      <c r="R139" s="35">
        <v>13</v>
      </c>
      <c r="S139" s="35">
        <v>13</v>
      </c>
      <c r="T139" s="35">
        <v>13</v>
      </c>
      <c r="U139" s="35">
        <v>13</v>
      </c>
      <c r="V139" s="35">
        <v>13</v>
      </c>
      <c r="W139" s="35">
        <v>13</v>
      </c>
      <c r="X139" s="35">
        <v>13</v>
      </c>
      <c r="Y139" s="35">
        <v>13</v>
      </c>
      <c r="Z139" s="35">
        <v>13</v>
      </c>
      <c r="AA139" s="35">
        <v>13</v>
      </c>
      <c r="AB139" s="36">
        <f t="shared" si="3"/>
        <v>312</v>
      </c>
      <c r="AC139" s="37">
        <v>4</v>
      </c>
      <c r="AD139" s="91"/>
    </row>
    <row r="140" spans="2:30">
      <c r="B140" s="89"/>
      <c r="C140" s="34" t="s">
        <v>34</v>
      </c>
      <c r="D140" s="35">
        <v>13</v>
      </c>
      <c r="E140" s="35">
        <v>13</v>
      </c>
      <c r="F140" s="35">
        <v>13</v>
      </c>
      <c r="G140" s="35">
        <v>13</v>
      </c>
      <c r="H140" s="35">
        <v>13</v>
      </c>
      <c r="I140" s="35">
        <v>13</v>
      </c>
      <c r="J140" s="35">
        <v>13</v>
      </c>
      <c r="K140" s="35">
        <v>13</v>
      </c>
      <c r="L140" s="35">
        <v>13</v>
      </c>
      <c r="M140" s="35">
        <v>13</v>
      </c>
      <c r="N140" s="35">
        <v>13</v>
      </c>
      <c r="O140" s="35">
        <v>13</v>
      </c>
      <c r="P140" s="35">
        <v>13</v>
      </c>
      <c r="Q140" s="35">
        <v>13</v>
      </c>
      <c r="R140" s="35">
        <v>13</v>
      </c>
      <c r="S140" s="35">
        <v>13</v>
      </c>
      <c r="T140" s="35">
        <v>13</v>
      </c>
      <c r="U140" s="35">
        <v>13</v>
      </c>
      <c r="V140" s="35">
        <v>13</v>
      </c>
      <c r="W140" s="35">
        <v>13</v>
      </c>
      <c r="X140" s="35">
        <v>13</v>
      </c>
      <c r="Y140" s="35">
        <v>13</v>
      </c>
      <c r="Z140" s="35">
        <v>13</v>
      </c>
      <c r="AA140" s="35">
        <v>13</v>
      </c>
      <c r="AB140" s="36">
        <f t="shared" si="3"/>
        <v>312</v>
      </c>
      <c r="AC140" s="37">
        <v>5</v>
      </c>
      <c r="AD140" s="91"/>
    </row>
    <row r="141" spans="2:30">
      <c r="B141" s="89">
        <v>47635</v>
      </c>
      <c r="C141" s="34" t="s">
        <v>32</v>
      </c>
      <c r="D141" s="35">
        <v>13</v>
      </c>
      <c r="E141" s="35">
        <v>13</v>
      </c>
      <c r="F141" s="35">
        <v>13</v>
      </c>
      <c r="G141" s="35">
        <v>13</v>
      </c>
      <c r="H141" s="35">
        <v>13</v>
      </c>
      <c r="I141" s="35">
        <v>13</v>
      </c>
      <c r="J141" s="35">
        <v>13</v>
      </c>
      <c r="K141" s="35">
        <v>13</v>
      </c>
      <c r="L141" s="35">
        <v>13</v>
      </c>
      <c r="M141" s="35">
        <v>13</v>
      </c>
      <c r="N141" s="35">
        <v>13</v>
      </c>
      <c r="O141" s="35">
        <v>13</v>
      </c>
      <c r="P141" s="35">
        <v>13</v>
      </c>
      <c r="Q141" s="35">
        <v>13</v>
      </c>
      <c r="R141" s="35">
        <v>13</v>
      </c>
      <c r="S141" s="35">
        <v>13</v>
      </c>
      <c r="T141" s="35">
        <v>13</v>
      </c>
      <c r="U141" s="35">
        <v>13</v>
      </c>
      <c r="V141" s="35">
        <v>13</v>
      </c>
      <c r="W141" s="35">
        <v>13</v>
      </c>
      <c r="X141" s="35">
        <v>13</v>
      </c>
      <c r="Y141" s="35">
        <v>13</v>
      </c>
      <c r="Z141" s="35">
        <v>13</v>
      </c>
      <c r="AA141" s="35">
        <v>13</v>
      </c>
      <c r="AB141" s="36">
        <f t="shared" si="3"/>
        <v>312</v>
      </c>
      <c r="AC141" s="37">
        <v>18</v>
      </c>
      <c r="AD141" s="91">
        <f>+AB141*AC141+AB142*AC142+AB143*AC143</f>
        <v>9360</v>
      </c>
    </row>
    <row r="142" spans="2:30">
      <c r="B142" s="89"/>
      <c r="C142" s="34" t="s">
        <v>33</v>
      </c>
      <c r="D142" s="35">
        <v>13</v>
      </c>
      <c r="E142" s="35">
        <v>13</v>
      </c>
      <c r="F142" s="35">
        <v>13</v>
      </c>
      <c r="G142" s="35">
        <v>13</v>
      </c>
      <c r="H142" s="35">
        <v>13</v>
      </c>
      <c r="I142" s="35">
        <v>13</v>
      </c>
      <c r="J142" s="35">
        <v>13</v>
      </c>
      <c r="K142" s="35">
        <v>13</v>
      </c>
      <c r="L142" s="35">
        <v>13</v>
      </c>
      <c r="M142" s="35">
        <v>13</v>
      </c>
      <c r="N142" s="35">
        <v>13</v>
      </c>
      <c r="O142" s="35">
        <v>13</v>
      </c>
      <c r="P142" s="35">
        <v>13</v>
      </c>
      <c r="Q142" s="35">
        <v>13</v>
      </c>
      <c r="R142" s="35">
        <v>13</v>
      </c>
      <c r="S142" s="35">
        <v>13</v>
      </c>
      <c r="T142" s="35">
        <v>13</v>
      </c>
      <c r="U142" s="35">
        <v>13</v>
      </c>
      <c r="V142" s="35">
        <v>13</v>
      </c>
      <c r="W142" s="35">
        <v>13</v>
      </c>
      <c r="X142" s="35">
        <v>13</v>
      </c>
      <c r="Y142" s="35">
        <v>13</v>
      </c>
      <c r="Z142" s="35">
        <v>13</v>
      </c>
      <c r="AA142" s="35">
        <v>13</v>
      </c>
      <c r="AB142" s="36">
        <f t="shared" si="3"/>
        <v>312</v>
      </c>
      <c r="AC142" s="37">
        <v>5</v>
      </c>
      <c r="AD142" s="91"/>
    </row>
    <row r="143" spans="2:30">
      <c r="B143" s="89"/>
      <c r="C143" s="34" t="s">
        <v>34</v>
      </c>
      <c r="D143" s="35">
        <v>13</v>
      </c>
      <c r="E143" s="35">
        <v>13</v>
      </c>
      <c r="F143" s="35">
        <v>13</v>
      </c>
      <c r="G143" s="35">
        <v>13</v>
      </c>
      <c r="H143" s="35">
        <v>13</v>
      </c>
      <c r="I143" s="35">
        <v>13</v>
      </c>
      <c r="J143" s="35">
        <v>13</v>
      </c>
      <c r="K143" s="35">
        <v>13</v>
      </c>
      <c r="L143" s="35">
        <v>13</v>
      </c>
      <c r="M143" s="35">
        <v>13</v>
      </c>
      <c r="N143" s="35">
        <v>13</v>
      </c>
      <c r="O143" s="35">
        <v>13</v>
      </c>
      <c r="P143" s="35">
        <v>13</v>
      </c>
      <c r="Q143" s="35">
        <v>13</v>
      </c>
      <c r="R143" s="35">
        <v>13</v>
      </c>
      <c r="S143" s="35">
        <v>13</v>
      </c>
      <c r="T143" s="35">
        <v>13</v>
      </c>
      <c r="U143" s="35">
        <v>13</v>
      </c>
      <c r="V143" s="35">
        <v>13</v>
      </c>
      <c r="W143" s="35">
        <v>13</v>
      </c>
      <c r="X143" s="35">
        <v>13</v>
      </c>
      <c r="Y143" s="35">
        <v>13</v>
      </c>
      <c r="Z143" s="35">
        <v>13</v>
      </c>
      <c r="AA143" s="35">
        <v>13</v>
      </c>
      <c r="AB143" s="36">
        <f t="shared" si="3"/>
        <v>312</v>
      </c>
      <c r="AC143" s="37">
        <v>7</v>
      </c>
      <c r="AD143" s="91"/>
    </row>
    <row r="144" spans="2:30">
      <c r="B144" s="89">
        <v>47665</v>
      </c>
      <c r="C144" s="34" t="s">
        <v>32</v>
      </c>
      <c r="D144" s="35">
        <v>13</v>
      </c>
      <c r="E144" s="35">
        <v>13</v>
      </c>
      <c r="F144" s="35">
        <v>13</v>
      </c>
      <c r="G144" s="35">
        <v>13</v>
      </c>
      <c r="H144" s="35">
        <v>13</v>
      </c>
      <c r="I144" s="35">
        <v>13</v>
      </c>
      <c r="J144" s="35">
        <v>13</v>
      </c>
      <c r="K144" s="35">
        <v>13</v>
      </c>
      <c r="L144" s="35">
        <v>13</v>
      </c>
      <c r="M144" s="35">
        <v>13</v>
      </c>
      <c r="N144" s="35">
        <v>13</v>
      </c>
      <c r="O144" s="35">
        <v>13</v>
      </c>
      <c r="P144" s="35">
        <v>13</v>
      </c>
      <c r="Q144" s="35">
        <v>13</v>
      </c>
      <c r="R144" s="35">
        <v>13</v>
      </c>
      <c r="S144" s="35">
        <v>13</v>
      </c>
      <c r="T144" s="35">
        <v>13</v>
      </c>
      <c r="U144" s="35">
        <v>13</v>
      </c>
      <c r="V144" s="35">
        <v>13</v>
      </c>
      <c r="W144" s="35">
        <v>13</v>
      </c>
      <c r="X144" s="35">
        <v>13</v>
      </c>
      <c r="Y144" s="35">
        <v>13</v>
      </c>
      <c r="Z144" s="35">
        <v>13</v>
      </c>
      <c r="AA144" s="35">
        <v>13</v>
      </c>
      <c r="AB144" s="36">
        <f t="shared" si="3"/>
        <v>312</v>
      </c>
      <c r="AC144" s="37">
        <v>22</v>
      </c>
      <c r="AD144" s="91">
        <f>+AB144*AC144+AB145*AC145+AB146*AC146</f>
        <v>9672</v>
      </c>
    </row>
    <row r="145" spans="2:30">
      <c r="B145" s="89"/>
      <c r="C145" s="34" t="s">
        <v>33</v>
      </c>
      <c r="D145" s="35">
        <v>13</v>
      </c>
      <c r="E145" s="35">
        <v>13</v>
      </c>
      <c r="F145" s="35">
        <v>13</v>
      </c>
      <c r="G145" s="35">
        <v>13</v>
      </c>
      <c r="H145" s="35">
        <v>13</v>
      </c>
      <c r="I145" s="35">
        <v>13</v>
      </c>
      <c r="J145" s="35">
        <v>13</v>
      </c>
      <c r="K145" s="35">
        <v>13</v>
      </c>
      <c r="L145" s="35">
        <v>13</v>
      </c>
      <c r="M145" s="35">
        <v>13</v>
      </c>
      <c r="N145" s="35">
        <v>13</v>
      </c>
      <c r="O145" s="35">
        <v>13</v>
      </c>
      <c r="P145" s="35">
        <v>13</v>
      </c>
      <c r="Q145" s="35">
        <v>13</v>
      </c>
      <c r="R145" s="35">
        <v>13</v>
      </c>
      <c r="S145" s="35">
        <v>13</v>
      </c>
      <c r="T145" s="35">
        <v>13</v>
      </c>
      <c r="U145" s="35">
        <v>13</v>
      </c>
      <c r="V145" s="35">
        <v>13</v>
      </c>
      <c r="W145" s="35">
        <v>13</v>
      </c>
      <c r="X145" s="35">
        <v>13</v>
      </c>
      <c r="Y145" s="35">
        <v>13</v>
      </c>
      <c r="Z145" s="35">
        <v>13</v>
      </c>
      <c r="AA145" s="35">
        <v>13</v>
      </c>
      <c r="AB145" s="36">
        <f t="shared" si="3"/>
        <v>312</v>
      </c>
      <c r="AC145" s="37">
        <v>3</v>
      </c>
      <c r="AD145" s="91"/>
    </row>
    <row r="146" spans="2:30">
      <c r="B146" s="89"/>
      <c r="C146" s="34" t="s">
        <v>34</v>
      </c>
      <c r="D146" s="35">
        <v>13</v>
      </c>
      <c r="E146" s="35">
        <v>13</v>
      </c>
      <c r="F146" s="35">
        <v>13</v>
      </c>
      <c r="G146" s="35">
        <v>13</v>
      </c>
      <c r="H146" s="35">
        <v>13</v>
      </c>
      <c r="I146" s="35">
        <v>13</v>
      </c>
      <c r="J146" s="35">
        <v>13</v>
      </c>
      <c r="K146" s="35">
        <v>13</v>
      </c>
      <c r="L146" s="35">
        <v>13</v>
      </c>
      <c r="M146" s="35">
        <v>13</v>
      </c>
      <c r="N146" s="35">
        <v>13</v>
      </c>
      <c r="O146" s="35">
        <v>13</v>
      </c>
      <c r="P146" s="35">
        <v>13</v>
      </c>
      <c r="Q146" s="35">
        <v>13</v>
      </c>
      <c r="R146" s="35">
        <v>13</v>
      </c>
      <c r="S146" s="35">
        <v>13</v>
      </c>
      <c r="T146" s="35">
        <v>13</v>
      </c>
      <c r="U146" s="35">
        <v>13</v>
      </c>
      <c r="V146" s="35">
        <v>13</v>
      </c>
      <c r="W146" s="35">
        <v>13</v>
      </c>
      <c r="X146" s="35">
        <v>13</v>
      </c>
      <c r="Y146" s="35">
        <v>13</v>
      </c>
      <c r="Z146" s="35">
        <v>13</v>
      </c>
      <c r="AA146" s="35">
        <v>13</v>
      </c>
      <c r="AB146" s="36">
        <f t="shared" si="3"/>
        <v>312</v>
      </c>
      <c r="AC146" s="37">
        <v>6</v>
      </c>
      <c r="AD146" s="91"/>
    </row>
    <row r="147" spans="2:30">
      <c r="B147" s="89">
        <v>47696</v>
      </c>
      <c r="C147" s="34" t="s">
        <v>32</v>
      </c>
      <c r="D147" s="35">
        <v>13</v>
      </c>
      <c r="E147" s="35">
        <v>13</v>
      </c>
      <c r="F147" s="35">
        <v>13</v>
      </c>
      <c r="G147" s="35">
        <v>13</v>
      </c>
      <c r="H147" s="35">
        <v>13</v>
      </c>
      <c r="I147" s="35">
        <v>13</v>
      </c>
      <c r="J147" s="35">
        <v>13</v>
      </c>
      <c r="K147" s="35">
        <v>13</v>
      </c>
      <c r="L147" s="35">
        <v>13</v>
      </c>
      <c r="M147" s="35">
        <v>13</v>
      </c>
      <c r="N147" s="35">
        <v>13</v>
      </c>
      <c r="O147" s="35">
        <v>13</v>
      </c>
      <c r="P147" s="35">
        <v>13</v>
      </c>
      <c r="Q147" s="35">
        <v>13</v>
      </c>
      <c r="R147" s="35">
        <v>13</v>
      </c>
      <c r="S147" s="35">
        <v>13</v>
      </c>
      <c r="T147" s="35">
        <v>13</v>
      </c>
      <c r="U147" s="35">
        <v>13</v>
      </c>
      <c r="V147" s="35">
        <v>13</v>
      </c>
      <c r="W147" s="35">
        <v>13</v>
      </c>
      <c r="X147" s="35">
        <v>13</v>
      </c>
      <c r="Y147" s="35">
        <v>13</v>
      </c>
      <c r="Z147" s="35">
        <v>13</v>
      </c>
      <c r="AA147" s="35">
        <v>13</v>
      </c>
      <c r="AB147" s="36">
        <f t="shared" si="3"/>
        <v>312</v>
      </c>
      <c r="AC147" s="37">
        <v>20</v>
      </c>
      <c r="AD147" s="91">
        <f>+AB147*AC147+AB148*AC148+AB149*AC149</f>
        <v>9672</v>
      </c>
    </row>
    <row r="148" spans="2:30">
      <c r="B148" s="89"/>
      <c r="C148" s="34" t="s">
        <v>33</v>
      </c>
      <c r="D148" s="35">
        <v>13</v>
      </c>
      <c r="E148" s="35">
        <v>13</v>
      </c>
      <c r="F148" s="35">
        <v>13</v>
      </c>
      <c r="G148" s="35">
        <v>13</v>
      </c>
      <c r="H148" s="35">
        <v>13</v>
      </c>
      <c r="I148" s="35">
        <v>13</v>
      </c>
      <c r="J148" s="35">
        <v>13</v>
      </c>
      <c r="K148" s="35">
        <v>13</v>
      </c>
      <c r="L148" s="35">
        <v>13</v>
      </c>
      <c r="M148" s="35">
        <v>13</v>
      </c>
      <c r="N148" s="35">
        <v>13</v>
      </c>
      <c r="O148" s="35">
        <v>13</v>
      </c>
      <c r="P148" s="35">
        <v>13</v>
      </c>
      <c r="Q148" s="35">
        <v>13</v>
      </c>
      <c r="R148" s="35">
        <v>13</v>
      </c>
      <c r="S148" s="35">
        <v>13</v>
      </c>
      <c r="T148" s="35">
        <v>13</v>
      </c>
      <c r="U148" s="35">
        <v>13</v>
      </c>
      <c r="V148" s="35">
        <v>13</v>
      </c>
      <c r="W148" s="35">
        <v>13</v>
      </c>
      <c r="X148" s="35">
        <v>13</v>
      </c>
      <c r="Y148" s="35">
        <v>13</v>
      </c>
      <c r="Z148" s="35">
        <v>13</v>
      </c>
      <c r="AA148" s="35">
        <v>13</v>
      </c>
      <c r="AB148" s="36">
        <f t="shared" si="3"/>
        <v>312</v>
      </c>
      <c r="AC148" s="37">
        <v>5</v>
      </c>
      <c r="AD148" s="91"/>
    </row>
    <row r="149" spans="2:30">
      <c r="B149" s="89"/>
      <c r="C149" s="34" t="s">
        <v>34</v>
      </c>
      <c r="D149" s="35">
        <v>13</v>
      </c>
      <c r="E149" s="35">
        <v>13</v>
      </c>
      <c r="F149" s="35">
        <v>13</v>
      </c>
      <c r="G149" s="35">
        <v>13</v>
      </c>
      <c r="H149" s="35">
        <v>13</v>
      </c>
      <c r="I149" s="35">
        <v>13</v>
      </c>
      <c r="J149" s="35">
        <v>13</v>
      </c>
      <c r="K149" s="35">
        <v>13</v>
      </c>
      <c r="L149" s="35">
        <v>13</v>
      </c>
      <c r="M149" s="35">
        <v>13</v>
      </c>
      <c r="N149" s="35">
        <v>13</v>
      </c>
      <c r="O149" s="35">
        <v>13</v>
      </c>
      <c r="P149" s="35">
        <v>13</v>
      </c>
      <c r="Q149" s="35">
        <v>13</v>
      </c>
      <c r="R149" s="35">
        <v>13</v>
      </c>
      <c r="S149" s="35">
        <v>13</v>
      </c>
      <c r="T149" s="35">
        <v>13</v>
      </c>
      <c r="U149" s="35">
        <v>13</v>
      </c>
      <c r="V149" s="35">
        <v>13</v>
      </c>
      <c r="W149" s="35">
        <v>13</v>
      </c>
      <c r="X149" s="35">
        <v>13</v>
      </c>
      <c r="Y149" s="35">
        <v>13</v>
      </c>
      <c r="Z149" s="35">
        <v>13</v>
      </c>
      <c r="AA149" s="35">
        <v>13</v>
      </c>
      <c r="AB149" s="36">
        <f t="shared" si="3"/>
        <v>312</v>
      </c>
      <c r="AC149" s="37">
        <v>6</v>
      </c>
      <c r="AD149" s="91"/>
    </row>
    <row r="150" spans="2:30">
      <c r="B150" s="89">
        <v>47727</v>
      </c>
      <c r="C150" s="34" t="s">
        <v>32</v>
      </c>
      <c r="D150" s="35">
        <v>13</v>
      </c>
      <c r="E150" s="35">
        <v>13</v>
      </c>
      <c r="F150" s="35">
        <v>13</v>
      </c>
      <c r="G150" s="35">
        <v>13</v>
      </c>
      <c r="H150" s="35">
        <v>13</v>
      </c>
      <c r="I150" s="35">
        <v>13</v>
      </c>
      <c r="J150" s="35">
        <v>13</v>
      </c>
      <c r="K150" s="35">
        <v>13</v>
      </c>
      <c r="L150" s="35">
        <v>13</v>
      </c>
      <c r="M150" s="35">
        <v>13</v>
      </c>
      <c r="N150" s="35">
        <v>13</v>
      </c>
      <c r="O150" s="35">
        <v>13</v>
      </c>
      <c r="P150" s="35">
        <v>13</v>
      </c>
      <c r="Q150" s="35">
        <v>13</v>
      </c>
      <c r="R150" s="35">
        <v>13</v>
      </c>
      <c r="S150" s="35">
        <v>13</v>
      </c>
      <c r="T150" s="35">
        <v>13</v>
      </c>
      <c r="U150" s="35">
        <v>13</v>
      </c>
      <c r="V150" s="35">
        <v>13</v>
      </c>
      <c r="W150" s="35">
        <v>13</v>
      </c>
      <c r="X150" s="35">
        <v>13</v>
      </c>
      <c r="Y150" s="35">
        <v>13</v>
      </c>
      <c r="Z150" s="35">
        <v>13</v>
      </c>
      <c r="AA150" s="35">
        <v>13</v>
      </c>
      <c r="AB150" s="36">
        <f t="shared" si="3"/>
        <v>312</v>
      </c>
      <c r="AC150" s="37">
        <v>21</v>
      </c>
      <c r="AD150" s="91">
        <f>+AB150*AC150+AB151*AC151+AB152*AC152</f>
        <v>9360</v>
      </c>
    </row>
    <row r="151" spans="2:30">
      <c r="B151" s="89"/>
      <c r="C151" s="34" t="s">
        <v>33</v>
      </c>
      <c r="D151" s="35">
        <v>13</v>
      </c>
      <c r="E151" s="35">
        <v>13</v>
      </c>
      <c r="F151" s="35">
        <v>13</v>
      </c>
      <c r="G151" s="35">
        <v>13</v>
      </c>
      <c r="H151" s="35">
        <v>13</v>
      </c>
      <c r="I151" s="35">
        <v>13</v>
      </c>
      <c r="J151" s="35">
        <v>13</v>
      </c>
      <c r="K151" s="35">
        <v>13</v>
      </c>
      <c r="L151" s="35">
        <v>13</v>
      </c>
      <c r="M151" s="35">
        <v>13</v>
      </c>
      <c r="N151" s="35">
        <v>13</v>
      </c>
      <c r="O151" s="35">
        <v>13</v>
      </c>
      <c r="P151" s="35">
        <v>13</v>
      </c>
      <c r="Q151" s="35">
        <v>13</v>
      </c>
      <c r="R151" s="35">
        <v>13</v>
      </c>
      <c r="S151" s="35">
        <v>13</v>
      </c>
      <c r="T151" s="35">
        <v>13</v>
      </c>
      <c r="U151" s="35">
        <v>13</v>
      </c>
      <c r="V151" s="35">
        <v>13</v>
      </c>
      <c r="W151" s="35">
        <v>13</v>
      </c>
      <c r="X151" s="35">
        <v>13</v>
      </c>
      <c r="Y151" s="35">
        <v>13</v>
      </c>
      <c r="Z151" s="35">
        <v>13</v>
      </c>
      <c r="AA151" s="35">
        <v>13</v>
      </c>
      <c r="AB151" s="36">
        <f t="shared" si="3"/>
        <v>312</v>
      </c>
      <c r="AC151" s="37">
        <v>4</v>
      </c>
      <c r="AD151" s="91"/>
    </row>
    <row r="152" spans="2:30">
      <c r="B152" s="89"/>
      <c r="C152" s="34" t="s">
        <v>34</v>
      </c>
      <c r="D152" s="35">
        <v>13</v>
      </c>
      <c r="E152" s="35">
        <v>13</v>
      </c>
      <c r="F152" s="35">
        <v>13</v>
      </c>
      <c r="G152" s="35">
        <v>13</v>
      </c>
      <c r="H152" s="35">
        <v>13</v>
      </c>
      <c r="I152" s="35">
        <v>13</v>
      </c>
      <c r="J152" s="35">
        <v>13</v>
      </c>
      <c r="K152" s="35">
        <v>13</v>
      </c>
      <c r="L152" s="35">
        <v>13</v>
      </c>
      <c r="M152" s="35">
        <v>13</v>
      </c>
      <c r="N152" s="35">
        <v>13</v>
      </c>
      <c r="O152" s="35">
        <v>13</v>
      </c>
      <c r="P152" s="35">
        <v>13</v>
      </c>
      <c r="Q152" s="35">
        <v>13</v>
      </c>
      <c r="R152" s="35">
        <v>13</v>
      </c>
      <c r="S152" s="35">
        <v>13</v>
      </c>
      <c r="T152" s="35">
        <v>13</v>
      </c>
      <c r="U152" s="35">
        <v>13</v>
      </c>
      <c r="V152" s="35">
        <v>13</v>
      </c>
      <c r="W152" s="35">
        <v>13</v>
      </c>
      <c r="X152" s="35">
        <v>13</v>
      </c>
      <c r="Y152" s="35">
        <v>13</v>
      </c>
      <c r="Z152" s="35">
        <v>13</v>
      </c>
      <c r="AA152" s="35">
        <v>13</v>
      </c>
      <c r="AB152" s="36">
        <f t="shared" si="3"/>
        <v>312</v>
      </c>
      <c r="AC152" s="37">
        <v>5</v>
      </c>
      <c r="AD152" s="91"/>
    </row>
    <row r="153" spans="2:30">
      <c r="B153" s="89">
        <v>47757</v>
      </c>
      <c r="C153" s="34" t="s">
        <v>32</v>
      </c>
      <c r="D153" s="35">
        <v>13</v>
      </c>
      <c r="E153" s="35">
        <v>13</v>
      </c>
      <c r="F153" s="35">
        <v>13</v>
      </c>
      <c r="G153" s="35">
        <v>13</v>
      </c>
      <c r="H153" s="35">
        <v>13</v>
      </c>
      <c r="I153" s="35">
        <v>13</v>
      </c>
      <c r="J153" s="35">
        <v>13</v>
      </c>
      <c r="K153" s="35">
        <v>13</v>
      </c>
      <c r="L153" s="35">
        <v>13</v>
      </c>
      <c r="M153" s="35">
        <v>13</v>
      </c>
      <c r="N153" s="35">
        <v>13</v>
      </c>
      <c r="O153" s="35">
        <v>13</v>
      </c>
      <c r="P153" s="35">
        <v>13</v>
      </c>
      <c r="Q153" s="35">
        <v>13</v>
      </c>
      <c r="R153" s="35">
        <v>13</v>
      </c>
      <c r="S153" s="35">
        <v>13</v>
      </c>
      <c r="T153" s="35">
        <v>13</v>
      </c>
      <c r="U153" s="35">
        <v>13</v>
      </c>
      <c r="V153" s="35">
        <v>13</v>
      </c>
      <c r="W153" s="35">
        <v>13</v>
      </c>
      <c r="X153" s="35">
        <v>13</v>
      </c>
      <c r="Y153" s="35">
        <v>13</v>
      </c>
      <c r="Z153" s="35">
        <v>13</v>
      </c>
      <c r="AA153" s="35">
        <v>13</v>
      </c>
      <c r="AB153" s="36">
        <f t="shared" si="3"/>
        <v>312</v>
      </c>
      <c r="AC153" s="37">
        <v>22</v>
      </c>
      <c r="AD153" s="91">
        <f>+AB153*AC153+AB154*AC154+AB155*AC155</f>
        <v>9672</v>
      </c>
    </row>
    <row r="154" spans="2:30">
      <c r="B154" s="89"/>
      <c r="C154" s="34" t="s">
        <v>33</v>
      </c>
      <c r="D154" s="35">
        <v>13</v>
      </c>
      <c r="E154" s="35">
        <v>13</v>
      </c>
      <c r="F154" s="35">
        <v>13</v>
      </c>
      <c r="G154" s="35">
        <v>13</v>
      </c>
      <c r="H154" s="35">
        <v>13</v>
      </c>
      <c r="I154" s="35">
        <v>13</v>
      </c>
      <c r="J154" s="35">
        <v>13</v>
      </c>
      <c r="K154" s="35">
        <v>13</v>
      </c>
      <c r="L154" s="35">
        <v>13</v>
      </c>
      <c r="M154" s="35">
        <v>13</v>
      </c>
      <c r="N154" s="35">
        <v>13</v>
      </c>
      <c r="O154" s="35">
        <v>13</v>
      </c>
      <c r="P154" s="35">
        <v>13</v>
      </c>
      <c r="Q154" s="35">
        <v>13</v>
      </c>
      <c r="R154" s="35">
        <v>13</v>
      </c>
      <c r="S154" s="35">
        <v>13</v>
      </c>
      <c r="T154" s="35">
        <v>13</v>
      </c>
      <c r="U154" s="35">
        <v>13</v>
      </c>
      <c r="V154" s="35">
        <v>13</v>
      </c>
      <c r="W154" s="35">
        <v>13</v>
      </c>
      <c r="X154" s="35">
        <v>13</v>
      </c>
      <c r="Y154" s="35">
        <v>13</v>
      </c>
      <c r="Z154" s="35">
        <v>13</v>
      </c>
      <c r="AA154" s="35">
        <v>13</v>
      </c>
      <c r="AB154" s="36">
        <f t="shared" si="3"/>
        <v>312</v>
      </c>
      <c r="AC154" s="37">
        <v>4</v>
      </c>
      <c r="AD154" s="91"/>
    </row>
    <row r="155" spans="2:30">
      <c r="B155" s="89"/>
      <c r="C155" s="34" t="s">
        <v>34</v>
      </c>
      <c r="D155" s="35">
        <v>13</v>
      </c>
      <c r="E155" s="35">
        <v>13</v>
      </c>
      <c r="F155" s="35">
        <v>13</v>
      </c>
      <c r="G155" s="35">
        <v>13</v>
      </c>
      <c r="H155" s="35">
        <v>13</v>
      </c>
      <c r="I155" s="35">
        <v>13</v>
      </c>
      <c r="J155" s="35">
        <v>13</v>
      </c>
      <c r="K155" s="35">
        <v>13</v>
      </c>
      <c r="L155" s="35">
        <v>13</v>
      </c>
      <c r="M155" s="35">
        <v>13</v>
      </c>
      <c r="N155" s="35">
        <v>13</v>
      </c>
      <c r="O155" s="35">
        <v>13</v>
      </c>
      <c r="P155" s="35">
        <v>13</v>
      </c>
      <c r="Q155" s="35">
        <v>13</v>
      </c>
      <c r="R155" s="35">
        <v>13</v>
      </c>
      <c r="S155" s="35">
        <v>13</v>
      </c>
      <c r="T155" s="35">
        <v>13</v>
      </c>
      <c r="U155" s="35">
        <v>13</v>
      </c>
      <c r="V155" s="35">
        <v>13</v>
      </c>
      <c r="W155" s="35">
        <v>13</v>
      </c>
      <c r="X155" s="35">
        <v>13</v>
      </c>
      <c r="Y155" s="35">
        <v>13</v>
      </c>
      <c r="Z155" s="35">
        <v>13</v>
      </c>
      <c r="AA155" s="35">
        <v>13</v>
      </c>
      <c r="AB155" s="36">
        <f t="shared" si="3"/>
        <v>312</v>
      </c>
      <c r="AC155" s="37">
        <v>5</v>
      </c>
      <c r="AD155" s="91"/>
    </row>
    <row r="156" spans="2:30">
      <c r="B156" s="89">
        <v>47788</v>
      </c>
      <c r="C156" s="34" t="s">
        <v>32</v>
      </c>
      <c r="D156" s="35">
        <v>13</v>
      </c>
      <c r="E156" s="35">
        <v>13</v>
      </c>
      <c r="F156" s="35">
        <v>13</v>
      </c>
      <c r="G156" s="35">
        <v>13</v>
      </c>
      <c r="H156" s="35">
        <v>13</v>
      </c>
      <c r="I156" s="35">
        <v>13</v>
      </c>
      <c r="J156" s="35">
        <v>13</v>
      </c>
      <c r="K156" s="35">
        <v>13</v>
      </c>
      <c r="L156" s="35">
        <v>13</v>
      </c>
      <c r="M156" s="35">
        <v>13</v>
      </c>
      <c r="N156" s="35">
        <v>13</v>
      </c>
      <c r="O156" s="35">
        <v>13</v>
      </c>
      <c r="P156" s="35">
        <v>13</v>
      </c>
      <c r="Q156" s="35">
        <v>13</v>
      </c>
      <c r="R156" s="35">
        <v>13</v>
      </c>
      <c r="S156" s="35">
        <v>13</v>
      </c>
      <c r="T156" s="35">
        <v>13</v>
      </c>
      <c r="U156" s="35">
        <v>13</v>
      </c>
      <c r="V156" s="35">
        <v>13</v>
      </c>
      <c r="W156" s="35">
        <v>13</v>
      </c>
      <c r="X156" s="35">
        <v>13</v>
      </c>
      <c r="Y156" s="35">
        <v>13</v>
      </c>
      <c r="Z156" s="35">
        <v>13</v>
      </c>
      <c r="AA156" s="35">
        <v>13</v>
      </c>
      <c r="AB156" s="36">
        <f t="shared" si="3"/>
        <v>312</v>
      </c>
      <c r="AC156" s="37">
        <v>19</v>
      </c>
      <c r="AD156" s="91">
        <f>+AB156*AC156+AB157*AC157+AB158*AC158</f>
        <v>9360</v>
      </c>
    </row>
    <row r="157" spans="2:30">
      <c r="B157" s="89"/>
      <c r="C157" s="34" t="s">
        <v>33</v>
      </c>
      <c r="D157" s="35">
        <v>13</v>
      </c>
      <c r="E157" s="35">
        <v>13</v>
      </c>
      <c r="F157" s="35">
        <v>13</v>
      </c>
      <c r="G157" s="35">
        <v>13</v>
      </c>
      <c r="H157" s="35">
        <v>13</v>
      </c>
      <c r="I157" s="35">
        <v>13</v>
      </c>
      <c r="J157" s="35">
        <v>13</v>
      </c>
      <c r="K157" s="35">
        <v>13</v>
      </c>
      <c r="L157" s="35">
        <v>13</v>
      </c>
      <c r="M157" s="35">
        <v>13</v>
      </c>
      <c r="N157" s="35">
        <v>13</v>
      </c>
      <c r="O157" s="35">
        <v>13</v>
      </c>
      <c r="P157" s="35">
        <v>13</v>
      </c>
      <c r="Q157" s="35">
        <v>13</v>
      </c>
      <c r="R157" s="35">
        <v>13</v>
      </c>
      <c r="S157" s="35">
        <v>13</v>
      </c>
      <c r="T157" s="35">
        <v>13</v>
      </c>
      <c r="U157" s="35">
        <v>13</v>
      </c>
      <c r="V157" s="35">
        <v>13</v>
      </c>
      <c r="W157" s="35">
        <v>13</v>
      </c>
      <c r="X157" s="35">
        <v>13</v>
      </c>
      <c r="Y157" s="35">
        <v>13</v>
      </c>
      <c r="Z157" s="35">
        <v>13</v>
      </c>
      <c r="AA157" s="35">
        <v>13</v>
      </c>
      <c r="AB157" s="36">
        <f t="shared" si="3"/>
        <v>312</v>
      </c>
      <c r="AC157" s="37">
        <v>5</v>
      </c>
      <c r="AD157" s="91"/>
    </row>
    <row r="158" spans="2:30">
      <c r="B158" s="89"/>
      <c r="C158" s="34" t="s">
        <v>34</v>
      </c>
      <c r="D158" s="35">
        <v>13</v>
      </c>
      <c r="E158" s="35">
        <v>13</v>
      </c>
      <c r="F158" s="35">
        <v>13</v>
      </c>
      <c r="G158" s="35">
        <v>13</v>
      </c>
      <c r="H158" s="35">
        <v>13</v>
      </c>
      <c r="I158" s="35">
        <v>13</v>
      </c>
      <c r="J158" s="35">
        <v>13</v>
      </c>
      <c r="K158" s="35">
        <v>13</v>
      </c>
      <c r="L158" s="35">
        <v>13</v>
      </c>
      <c r="M158" s="35">
        <v>13</v>
      </c>
      <c r="N158" s="35">
        <v>13</v>
      </c>
      <c r="O158" s="35">
        <v>13</v>
      </c>
      <c r="P158" s="35">
        <v>13</v>
      </c>
      <c r="Q158" s="35">
        <v>13</v>
      </c>
      <c r="R158" s="35">
        <v>13</v>
      </c>
      <c r="S158" s="35">
        <v>13</v>
      </c>
      <c r="T158" s="35">
        <v>13</v>
      </c>
      <c r="U158" s="35">
        <v>13</v>
      </c>
      <c r="V158" s="35">
        <v>13</v>
      </c>
      <c r="W158" s="35">
        <v>13</v>
      </c>
      <c r="X158" s="35">
        <v>13</v>
      </c>
      <c r="Y158" s="35">
        <v>13</v>
      </c>
      <c r="Z158" s="35">
        <v>13</v>
      </c>
      <c r="AA158" s="35">
        <v>13</v>
      </c>
      <c r="AB158" s="36">
        <f t="shared" si="3"/>
        <v>312</v>
      </c>
      <c r="AC158" s="37">
        <v>6</v>
      </c>
      <c r="AD158" s="91"/>
    </row>
    <row r="159" spans="2:30">
      <c r="B159" s="89">
        <v>47818</v>
      </c>
      <c r="C159" s="34" t="s">
        <v>32</v>
      </c>
      <c r="D159" s="35">
        <v>13</v>
      </c>
      <c r="E159" s="35">
        <v>13</v>
      </c>
      <c r="F159" s="35">
        <v>13</v>
      </c>
      <c r="G159" s="35">
        <v>13</v>
      </c>
      <c r="H159" s="35">
        <v>13</v>
      </c>
      <c r="I159" s="35">
        <v>13</v>
      </c>
      <c r="J159" s="35">
        <v>13</v>
      </c>
      <c r="K159" s="35">
        <v>13</v>
      </c>
      <c r="L159" s="35">
        <v>13</v>
      </c>
      <c r="M159" s="35">
        <v>13</v>
      </c>
      <c r="N159" s="35">
        <v>13</v>
      </c>
      <c r="O159" s="35">
        <v>13</v>
      </c>
      <c r="P159" s="35">
        <v>13</v>
      </c>
      <c r="Q159" s="35">
        <v>13</v>
      </c>
      <c r="R159" s="35">
        <v>13</v>
      </c>
      <c r="S159" s="35">
        <v>13</v>
      </c>
      <c r="T159" s="35">
        <v>13</v>
      </c>
      <c r="U159" s="35">
        <v>13</v>
      </c>
      <c r="V159" s="35">
        <v>13</v>
      </c>
      <c r="W159" s="35">
        <v>13</v>
      </c>
      <c r="X159" s="35">
        <v>13</v>
      </c>
      <c r="Y159" s="35">
        <v>13</v>
      </c>
      <c r="Z159" s="35">
        <v>13</v>
      </c>
      <c r="AA159" s="35">
        <v>13</v>
      </c>
      <c r="AB159" s="36">
        <f t="shared" si="3"/>
        <v>312</v>
      </c>
      <c r="AC159" s="37">
        <v>21</v>
      </c>
      <c r="AD159" s="91">
        <f>+AB159*AC159+AB160*AC160+AB161*AC161</f>
        <v>9672</v>
      </c>
    </row>
    <row r="160" spans="2:30">
      <c r="B160" s="89"/>
      <c r="C160" s="34" t="s">
        <v>33</v>
      </c>
      <c r="D160" s="35">
        <v>13</v>
      </c>
      <c r="E160" s="35">
        <v>13</v>
      </c>
      <c r="F160" s="35">
        <v>13</v>
      </c>
      <c r="G160" s="35">
        <v>13</v>
      </c>
      <c r="H160" s="35">
        <v>13</v>
      </c>
      <c r="I160" s="35">
        <v>13</v>
      </c>
      <c r="J160" s="35">
        <v>13</v>
      </c>
      <c r="K160" s="35">
        <v>13</v>
      </c>
      <c r="L160" s="35">
        <v>13</v>
      </c>
      <c r="M160" s="35">
        <v>13</v>
      </c>
      <c r="N160" s="35">
        <v>13</v>
      </c>
      <c r="O160" s="35">
        <v>13</v>
      </c>
      <c r="P160" s="35">
        <v>13</v>
      </c>
      <c r="Q160" s="35">
        <v>13</v>
      </c>
      <c r="R160" s="35">
        <v>13</v>
      </c>
      <c r="S160" s="35">
        <v>13</v>
      </c>
      <c r="T160" s="35">
        <v>13</v>
      </c>
      <c r="U160" s="35">
        <v>13</v>
      </c>
      <c r="V160" s="35">
        <v>13</v>
      </c>
      <c r="W160" s="35">
        <v>13</v>
      </c>
      <c r="X160" s="35">
        <v>13</v>
      </c>
      <c r="Y160" s="35">
        <v>13</v>
      </c>
      <c r="Z160" s="35">
        <v>13</v>
      </c>
      <c r="AA160" s="35">
        <v>13</v>
      </c>
      <c r="AB160" s="36">
        <f t="shared" si="3"/>
        <v>312</v>
      </c>
      <c r="AC160" s="37">
        <v>4</v>
      </c>
      <c r="AD160" s="91"/>
    </row>
    <row r="161" spans="2:30">
      <c r="B161" s="89"/>
      <c r="C161" s="34" t="s">
        <v>34</v>
      </c>
      <c r="D161" s="35">
        <v>13</v>
      </c>
      <c r="E161" s="35">
        <v>13</v>
      </c>
      <c r="F161" s="35">
        <v>13</v>
      </c>
      <c r="G161" s="35">
        <v>13</v>
      </c>
      <c r="H161" s="35">
        <v>13</v>
      </c>
      <c r="I161" s="35">
        <v>13</v>
      </c>
      <c r="J161" s="35">
        <v>13</v>
      </c>
      <c r="K161" s="35">
        <v>13</v>
      </c>
      <c r="L161" s="35">
        <v>13</v>
      </c>
      <c r="M161" s="35">
        <v>13</v>
      </c>
      <c r="N161" s="35">
        <v>13</v>
      </c>
      <c r="O161" s="35">
        <v>13</v>
      </c>
      <c r="P161" s="35">
        <v>13</v>
      </c>
      <c r="Q161" s="35">
        <v>13</v>
      </c>
      <c r="R161" s="35">
        <v>13</v>
      </c>
      <c r="S161" s="35">
        <v>13</v>
      </c>
      <c r="T161" s="35">
        <v>13</v>
      </c>
      <c r="U161" s="35">
        <v>13</v>
      </c>
      <c r="V161" s="35">
        <v>13</v>
      </c>
      <c r="W161" s="35">
        <v>13</v>
      </c>
      <c r="X161" s="35">
        <v>13</v>
      </c>
      <c r="Y161" s="35">
        <v>13</v>
      </c>
      <c r="Z161" s="35">
        <v>13</v>
      </c>
      <c r="AA161" s="35">
        <v>13</v>
      </c>
      <c r="AB161" s="36">
        <f t="shared" si="3"/>
        <v>312</v>
      </c>
      <c r="AC161" s="37">
        <v>6</v>
      </c>
      <c r="AD161" s="91"/>
    </row>
    <row r="162" spans="2:30">
      <c r="AA162" s="86" t="s">
        <v>35</v>
      </c>
      <c r="AB162" s="87"/>
      <c r="AC162" s="88"/>
      <c r="AD162" s="39">
        <f>SUM(AD126:AD161)</f>
        <v>113880</v>
      </c>
    </row>
    <row r="163" spans="2:30">
      <c r="AB163" s="38"/>
      <c r="AC163" s="38"/>
    </row>
    <row r="164" spans="2:30" ht="23.25">
      <c r="B164" s="41" t="s">
        <v>39</v>
      </c>
    </row>
    <row r="165" spans="2:30">
      <c r="B165" s="32" t="s">
        <v>3</v>
      </c>
      <c r="C165" s="32" t="s">
        <v>4</v>
      </c>
      <c r="D165" s="32" t="s">
        <v>5</v>
      </c>
      <c r="E165" s="32" t="s">
        <v>6</v>
      </c>
      <c r="F165" s="32" t="s">
        <v>7</v>
      </c>
      <c r="G165" s="32" t="s">
        <v>8</v>
      </c>
      <c r="H165" s="32" t="s">
        <v>9</v>
      </c>
      <c r="I165" s="32" t="s">
        <v>10</v>
      </c>
      <c r="J165" s="32" t="s">
        <v>11</v>
      </c>
      <c r="K165" s="32" t="s">
        <v>12</v>
      </c>
      <c r="L165" s="32" t="s">
        <v>13</v>
      </c>
      <c r="M165" s="32" t="s">
        <v>14</v>
      </c>
      <c r="N165" s="32" t="s">
        <v>15</v>
      </c>
      <c r="O165" s="32" t="s">
        <v>16</v>
      </c>
      <c r="P165" s="32" t="s">
        <v>17</v>
      </c>
      <c r="Q165" s="32" t="s">
        <v>18</v>
      </c>
      <c r="R165" s="32" t="s">
        <v>19</v>
      </c>
      <c r="S165" s="32" t="s">
        <v>20</v>
      </c>
      <c r="T165" s="32" t="s">
        <v>21</v>
      </c>
      <c r="U165" s="32" t="s">
        <v>22</v>
      </c>
      <c r="V165" s="32" t="s">
        <v>23</v>
      </c>
      <c r="W165" s="32" t="s">
        <v>24</v>
      </c>
      <c r="X165" s="32" t="s">
        <v>25</v>
      </c>
      <c r="Y165" s="32" t="s">
        <v>26</v>
      </c>
      <c r="Z165" s="32" t="s">
        <v>27</v>
      </c>
      <c r="AA165" s="32" t="s">
        <v>28</v>
      </c>
      <c r="AB165" s="33" t="s">
        <v>29</v>
      </c>
      <c r="AC165" s="33" t="s">
        <v>30</v>
      </c>
      <c r="AD165" s="32" t="s">
        <v>31</v>
      </c>
    </row>
    <row r="166" spans="2:30">
      <c r="B166" s="89">
        <v>47849</v>
      </c>
      <c r="C166" s="34" t="s">
        <v>32</v>
      </c>
      <c r="D166" s="35">
        <v>22</v>
      </c>
      <c r="E166" s="35">
        <v>22</v>
      </c>
      <c r="F166" s="35">
        <v>22</v>
      </c>
      <c r="G166" s="35">
        <v>22</v>
      </c>
      <c r="H166" s="35">
        <v>22</v>
      </c>
      <c r="I166" s="35">
        <v>22</v>
      </c>
      <c r="J166" s="35">
        <v>22</v>
      </c>
      <c r="K166" s="35">
        <v>22</v>
      </c>
      <c r="L166" s="35">
        <v>22</v>
      </c>
      <c r="M166" s="35">
        <v>22</v>
      </c>
      <c r="N166" s="35">
        <v>22</v>
      </c>
      <c r="O166" s="35">
        <v>22</v>
      </c>
      <c r="P166" s="35">
        <v>22</v>
      </c>
      <c r="Q166" s="35">
        <v>22</v>
      </c>
      <c r="R166" s="35">
        <v>22</v>
      </c>
      <c r="S166" s="35">
        <v>22</v>
      </c>
      <c r="T166" s="35">
        <v>22</v>
      </c>
      <c r="U166" s="35">
        <v>22</v>
      </c>
      <c r="V166" s="35">
        <v>22</v>
      </c>
      <c r="W166" s="35">
        <v>22</v>
      </c>
      <c r="X166" s="35">
        <v>22</v>
      </c>
      <c r="Y166" s="35">
        <v>22</v>
      </c>
      <c r="Z166" s="35">
        <v>22</v>
      </c>
      <c r="AA166" s="35">
        <v>22</v>
      </c>
      <c r="AB166" s="36">
        <f>SUM(D166:AA166)</f>
        <v>528</v>
      </c>
      <c r="AC166" s="37">
        <v>21</v>
      </c>
      <c r="AD166" s="91">
        <f>+AB166*AC166+AB167*AC167+AB168*AC168</f>
        <v>16368</v>
      </c>
    </row>
    <row r="167" spans="2:30">
      <c r="B167" s="89"/>
      <c r="C167" s="34" t="s">
        <v>33</v>
      </c>
      <c r="D167" s="35">
        <v>22</v>
      </c>
      <c r="E167" s="35">
        <v>22</v>
      </c>
      <c r="F167" s="35">
        <v>22</v>
      </c>
      <c r="G167" s="35">
        <v>22</v>
      </c>
      <c r="H167" s="35">
        <v>22</v>
      </c>
      <c r="I167" s="35">
        <v>22</v>
      </c>
      <c r="J167" s="35">
        <v>22</v>
      </c>
      <c r="K167" s="35">
        <v>22</v>
      </c>
      <c r="L167" s="35">
        <v>22</v>
      </c>
      <c r="M167" s="35">
        <v>22</v>
      </c>
      <c r="N167" s="35">
        <v>22</v>
      </c>
      <c r="O167" s="35">
        <v>22</v>
      </c>
      <c r="P167" s="35">
        <v>22</v>
      </c>
      <c r="Q167" s="35">
        <v>22</v>
      </c>
      <c r="R167" s="35">
        <v>22</v>
      </c>
      <c r="S167" s="35">
        <v>22</v>
      </c>
      <c r="T167" s="35">
        <v>22</v>
      </c>
      <c r="U167" s="35">
        <v>22</v>
      </c>
      <c r="V167" s="35">
        <v>22</v>
      </c>
      <c r="W167" s="35">
        <v>22</v>
      </c>
      <c r="X167" s="35">
        <v>22</v>
      </c>
      <c r="Y167" s="35">
        <v>22</v>
      </c>
      <c r="Z167" s="35">
        <v>22</v>
      </c>
      <c r="AA167" s="35">
        <v>22</v>
      </c>
      <c r="AB167" s="36">
        <f t="shared" ref="AB167:AB201" si="4">SUM(D167:AA167)</f>
        <v>528</v>
      </c>
      <c r="AC167" s="37">
        <v>4</v>
      </c>
      <c r="AD167" s="91"/>
    </row>
    <row r="168" spans="2:30">
      <c r="B168" s="89"/>
      <c r="C168" s="34" t="s">
        <v>34</v>
      </c>
      <c r="D168" s="35">
        <v>22</v>
      </c>
      <c r="E168" s="35">
        <v>22</v>
      </c>
      <c r="F168" s="35">
        <v>22</v>
      </c>
      <c r="G168" s="35">
        <v>22</v>
      </c>
      <c r="H168" s="35">
        <v>22</v>
      </c>
      <c r="I168" s="35">
        <v>22</v>
      </c>
      <c r="J168" s="35">
        <v>22</v>
      </c>
      <c r="K168" s="35">
        <v>22</v>
      </c>
      <c r="L168" s="35">
        <v>22</v>
      </c>
      <c r="M168" s="35">
        <v>22</v>
      </c>
      <c r="N168" s="35">
        <v>22</v>
      </c>
      <c r="O168" s="35">
        <v>22</v>
      </c>
      <c r="P168" s="35">
        <v>22</v>
      </c>
      <c r="Q168" s="35">
        <v>22</v>
      </c>
      <c r="R168" s="35">
        <v>22</v>
      </c>
      <c r="S168" s="35">
        <v>22</v>
      </c>
      <c r="T168" s="35">
        <v>22</v>
      </c>
      <c r="U168" s="35">
        <v>22</v>
      </c>
      <c r="V168" s="35">
        <v>22</v>
      </c>
      <c r="W168" s="35">
        <v>22</v>
      </c>
      <c r="X168" s="35">
        <v>22</v>
      </c>
      <c r="Y168" s="35">
        <v>22</v>
      </c>
      <c r="Z168" s="35">
        <v>22</v>
      </c>
      <c r="AA168" s="35">
        <v>22</v>
      </c>
      <c r="AB168" s="36">
        <f t="shared" si="4"/>
        <v>528</v>
      </c>
      <c r="AC168" s="37">
        <v>6</v>
      </c>
      <c r="AD168" s="91"/>
    </row>
    <row r="169" spans="2:30">
      <c r="B169" s="89">
        <v>47880</v>
      </c>
      <c r="C169" s="34" t="s">
        <v>32</v>
      </c>
      <c r="D169" s="35">
        <v>22</v>
      </c>
      <c r="E169" s="35">
        <v>22</v>
      </c>
      <c r="F169" s="35">
        <v>22</v>
      </c>
      <c r="G169" s="35">
        <v>22</v>
      </c>
      <c r="H169" s="35">
        <v>22</v>
      </c>
      <c r="I169" s="35">
        <v>22</v>
      </c>
      <c r="J169" s="35">
        <v>22</v>
      </c>
      <c r="K169" s="35">
        <v>22</v>
      </c>
      <c r="L169" s="35">
        <v>22</v>
      </c>
      <c r="M169" s="35">
        <v>22</v>
      </c>
      <c r="N169" s="35">
        <v>22</v>
      </c>
      <c r="O169" s="35">
        <v>22</v>
      </c>
      <c r="P169" s="35">
        <v>22</v>
      </c>
      <c r="Q169" s="35">
        <v>22</v>
      </c>
      <c r="R169" s="35">
        <v>22</v>
      </c>
      <c r="S169" s="35">
        <v>22</v>
      </c>
      <c r="T169" s="35">
        <v>22</v>
      </c>
      <c r="U169" s="35">
        <v>22</v>
      </c>
      <c r="V169" s="35">
        <v>22</v>
      </c>
      <c r="W169" s="35">
        <v>22</v>
      </c>
      <c r="X169" s="35">
        <v>22</v>
      </c>
      <c r="Y169" s="35">
        <v>22</v>
      </c>
      <c r="Z169" s="35">
        <v>22</v>
      </c>
      <c r="AA169" s="35">
        <v>22</v>
      </c>
      <c r="AB169" s="36">
        <f t="shared" si="4"/>
        <v>528</v>
      </c>
      <c r="AC169" s="37">
        <v>20</v>
      </c>
      <c r="AD169" s="91">
        <f>+AB169*AC169+AB170*AC170+AB171*AC171</f>
        <v>14784</v>
      </c>
    </row>
    <row r="170" spans="2:30">
      <c r="B170" s="89"/>
      <c r="C170" s="34" t="s">
        <v>33</v>
      </c>
      <c r="D170" s="35">
        <v>22</v>
      </c>
      <c r="E170" s="35">
        <v>22</v>
      </c>
      <c r="F170" s="35">
        <v>22</v>
      </c>
      <c r="G170" s="35">
        <v>22</v>
      </c>
      <c r="H170" s="35">
        <v>22</v>
      </c>
      <c r="I170" s="35">
        <v>22</v>
      </c>
      <c r="J170" s="35">
        <v>22</v>
      </c>
      <c r="K170" s="35">
        <v>22</v>
      </c>
      <c r="L170" s="35">
        <v>22</v>
      </c>
      <c r="M170" s="35">
        <v>22</v>
      </c>
      <c r="N170" s="35">
        <v>22</v>
      </c>
      <c r="O170" s="35">
        <v>22</v>
      </c>
      <c r="P170" s="35">
        <v>22</v>
      </c>
      <c r="Q170" s="35">
        <v>22</v>
      </c>
      <c r="R170" s="35">
        <v>22</v>
      </c>
      <c r="S170" s="35">
        <v>22</v>
      </c>
      <c r="T170" s="35">
        <v>22</v>
      </c>
      <c r="U170" s="35">
        <v>22</v>
      </c>
      <c r="V170" s="35">
        <v>22</v>
      </c>
      <c r="W170" s="35">
        <v>22</v>
      </c>
      <c r="X170" s="35">
        <v>22</v>
      </c>
      <c r="Y170" s="35">
        <v>22</v>
      </c>
      <c r="Z170" s="35">
        <v>22</v>
      </c>
      <c r="AA170" s="35">
        <v>22</v>
      </c>
      <c r="AB170" s="36">
        <f t="shared" si="4"/>
        <v>528</v>
      </c>
      <c r="AC170" s="37">
        <v>4</v>
      </c>
      <c r="AD170" s="91"/>
    </row>
    <row r="171" spans="2:30">
      <c r="B171" s="89"/>
      <c r="C171" s="34" t="s">
        <v>34</v>
      </c>
      <c r="D171" s="35">
        <v>22</v>
      </c>
      <c r="E171" s="35">
        <v>22</v>
      </c>
      <c r="F171" s="35">
        <v>22</v>
      </c>
      <c r="G171" s="35">
        <v>22</v>
      </c>
      <c r="H171" s="35">
        <v>22</v>
      </c>
      <c r="I171" s="35">
        <v>22</v>
      </c>
      <c r="J171" s="35">
        <v>22</v>
      </c>
      <c r="K171" s="35">
        <v>22</v>
      </c>
      <c r="L171" s="35">
        <v>22</v>
      </c>
      <c r="M171" s="35">
        <v>22</v>
      </c>
      <c r="N171" s="35">
        <v>22</v>
      </c>
      <c r="O171" s="35">
        <v>22</v>
      </c>
      <c r="P171" s="35">
        <v>22</v>
      </c>
      <c r="Q171" s="35">
        <v>22</v>
      </c>
      <c r="R171" s="35">
        <v>22</v>
      </c>
      <c r="S171" s="35">
        <v>22</v>
      </c>
      <c r="T171" s="35">
        <v>22</v>
      </c>
      <c r="U171" s="35">
        <v>22</v>
      </c>
      <c r="V171" s="35">
        <v>22</v>
      </c>
      <c r="W171" s="35">
        <v>22</v>
      </c>
      <c r="X171" s="35">
        <v>22</v>
      </c>
      <c r="Y171" s="35">
        <v>22</v>
      </c>
      <c r="Z171" s="35">
        <v>22</v>
      </c>
      <c r="AA171" s="35">
        <v>22</v>
      </c>
      <c r="AB171" s="36">
        <f t="shared" si="4"/>
        <v>528</v>
      </c>
      <c r="AC171" s="37">
        <v>4</v>
      </c>
      <c r="AD171" s="91"/>
    </row>
    <row r="172" spans="2:30">
      <c r="B172" s="89">
        <v>47908</v>
      </c>
      <c r="C172" s="34" t="s">
        <v>32</v>
      </c>
      <c r="D172" s="35">
        <v>22</v>
      </c>
      <c r="E172" s="35">
        <v>22</v>
      </c>
      <c r="F172" s="35">
        <v>22</v>
      </c>
      <c r="G172" s="35">
        <v>22</v>
      </c>
      <c r="H172" s="35">
        <v>22</v>
      </c>
      <c r="I172" s="35">
        <v>22</v>
      </c>
      <c r="J172" s="35">
        <v>22</v>
      </c>
      <c r="K172" s="35">
        <v>22</v>
      </c>
      <c r="L172" s="35">
        <v>22</v>
      </c>
      <c r="M172" s="35">
        <v>22</v>
      </c>
      <c r="N172" s="35">
        <v>22</v>
      </c>
      <c r="O172" s="35">
        <v>22</v>
      </c>
      <c r="P172" s="35">
        <v>22</v>
      </c>
      <c r="Q172" s="35">
        <v>22</v>
      </c>
      <c r="R172" s="35">
        <v>22</v>
      </c>
      <c r="S172" s="35">
        <v>22</v>
      </c>
      <c r="T172" s="35">
        <v>22</v>
      </c>
      <c r="U172" s="35">
        <v>22</v>
      </c>
      <c r="V172" s="35">
        <v>22</v>
      </c>
      <c r="W172" s="35">
        <v>22</v>
      </c>
      <c r="X172" s="35">
        <v>22</v>
      </c>
      <c r="Y172" s="35">
        <v>22</v>
      </c>
      <c r="Z172" s="35">
        <v>22</v>
      </c>
      <c r="AA172" s="35">
        <v>22</v>
      </c>
      <c r="AB172" s="36">
        <f t="shared" si="4"/>
        <v>528</v>
      </c>
      <c r="AC172" s="37">
        <v>20</v>
      </c>
      <c r="AD172" s="91">
        <f>+AB172*AC172+AB173*AC173+AB174*AC174</f>
        <v>16368</v>
      </c>
    </row>
    <row r="173" spans="2:30">
      <c r="B173" s="89"/>
      <c r="C173" s="34" t="s">
        <v>33</v>
      </c>
      <c r="D173" s="35">
        <v>22</v>
      </c>
      <c r="E173" s="35">
        <v>22</v>
      </c>
      <c r="F173" s="35">
        <v>22</v>
      </c>
      <c r="G173" s="35">
        <v>22</v>
      </c>
      <c r="H173" s="35">
        <v>22</v>
      </c>
      <c r="I173" s="35">
        <v>22</v>
      </c>
      <c r="J173" s="35">
        <v>22</v>
      </c>
      <c r="K173" s="35">
        <v>22</v>
      </c>
      <c r="L173" s="35">
        <v>22</v>
      </c>
      <c r="M173" s="35">
        <v>22</v>
      </c>
      <c r="N173" s="35">
        <v>22</v>
      </c>
      <c r="O173" s="35">
        <v>22</v>
      </c>
      <c r="P173" s="35">
        <v>22</v>
      </c>
      <c r="Q173" s="35">
        <v>22</v>
      </c>
      <c r="R173" s="35">
        <v>22</v>
      </c>
      <c r="S173" s="35">
        <v>22</v>
      </c>
      <c r="T173" s="35">
        <v>22</v>
      </c>
      <c r="U173" s="35">
        <v>22</v>
      </c>
      <c r="V173" s="35">
        <v>22</v>
      </c>
      <c r="W173" s="35">
        <v>22</v>
      </c>
      <c r="X173" s="35">
        <v>22</v>
      </c>
      <c r="Y173" s="35">
        <v>22</v>
      </c>
      <c r="Z173" s="35">
        <v>22</v>
      </c>
      <c r="AA173" s="35">
        <v>22</v>
      </c>
      <c r="AB173" s="36">
        <f t="shared" si="4"/>
        <v>528</v>
      </c>
      <c r="AC173" s="37">
        <v>5</v>
      </c>
      <c r="AD173" s="91"/>
    </row>
    <row r="174" spans="2:30">
      <c r="B174" s="89"/>
      <c r="C174" s="34" t="s">
        <v>34</v>
      </c>
      <c r="D174" s="35">
        <v>22</v>
      </c>
      <c r="E174" s="35">
        <v>22</v>
      </c>
      <c r="F174" s="35">
        <v>22</v>
      </c>
      <c r="G174" s="35">
        <v>22</v>
      </c>
      <c r="H174" s="35">
        <v>22</v>
      </c>
      <c r="I174" s="35">
        <v>22</v>
      </c>
      <c r="J174" s="35">
        <v>22</v>
      </c>
      <c r="K174" s="35">
        <v>22</v>
      </c>
      <c r="L174" s="35">
        <v>22</v>
      </c>
      <c r="M174" s="35">
        <v>22</v>
      </c>
      <c r="N174" s="35">
        <v>22</v>
      </c>
      <c r="O174" s="35">
        <v>22</v>
      </c>
      <c r="P174" s="35">
        <v>22</v>
      </c>
      <c r="Q174" s="35">
        <v>22</v>
      </c>
      <c r="R174" s="35">
        <v>22</v>
      </c>
      <c r="S174" s="35">
        <v>22</v>
      </c>
      <c r="T174" s="35">
        <v>22</v>
      </c>
      <c r="U174" s="35">
        <v>22</v>
      </c>
      <c r="V174" s="35">
        <v>22</v>
      </c>
      <c r="W174" s="35">
        <v>22</v>
      </c>
      <c r="X174" s="35">
        <v>22</v>
      </c>
      <c r="Y174" s="35">
        <v>22</v>
      </c>
      <c r="Z174" s="35">
        <v>22</v>
      </c>
      <c r="AA174" s="35">
        <v>22</v>
      </c>
      <c r="AB174" s="36">
        <f t="shared" si="4"/>
        <v>528</v>
      </c>
      <c r="AC174" s="37">
        <v>6</v>
      </c>
      <c r="AD174" s="91"/>
    </row>
    <row r="175" spans="2:30">
      <c r="B175" s="89">
        <v>47939</v>
      </c>
      <c r="C175" s="34" t="s">
        <v>32</v>
      </c>
      <c r="D175" s="35">
        <v>22</v>
      </c>
      <c r="E175" s="35">
        <v>22</v>
      </c>
      <c r="F175" s="35">
        <v>22</v>
      </c>
      <c r="G175" s="35">
        <v>22</v>
      </c>
      <c r="H175" s="35">
        <v>22</v>
      </c>
      <c r="I175" s="35">
        <v>22</v>
      </c>
      <c r="J175" s="35">
        <v>22</v>
      </c>
      <c r="K175" s="35">
        <v>22</v>
      </c>
      <c r="L175" s="35">
        <v>22</v>
      </c>
      <c r="M175" s="35">
        <v>22</v>
      </c>
      <c r="N175" s="35">
        <v>22</v>
      </c>
      <c r="O175" s="35">
        <v>22</v>
      </c>
      <c r="P175" s="35">
        <v>22</v>
      </c>
      <c r="Q175" s="35">
        <v>22</v>
      </c>
      <c r="R175" s="35">
        <v>22</v>
      </c>
      <c r="S175" s="35">
        <v>22</v>
      </c>
      <c r="T175" s="35">
        <v>22</v>
      </c>
      <c r="U175" s="35">
        <v>22</v>
      </c>
      <c r="V175" s="35">
        <v>22</v>
      </c>
      <c r="W175" s="35">
        <v>22</v>
      </c>
      <c r="X175" s="35">
        <v>22</v>
      </c>
      <c r="Y175" s="35">
        <v>22</v>
      </c>
      <c r="Z175" s="35">
        <v>22</v>
      </c>
      <c r="AA175" s="35">
        <v>22</v>
      </c>
      <c r="AB175" s="36">
        <f t="shared" si="4"/>
        <v>528</v>
      </c>
      <c r="AC175" s="37">
        <v>20</v>
      </c>
      <c r="AD175" s="91">
        <f>+AB175*AC175+AB176*AC176+AB177*AC177</f>
        <v>15840</v>
      </c>
    </row>
    <row r="176" spans="2:30">
      <c r="B176" s="89"/>
      <c r="C176" s="34" t="s">
        <v>33</v>
      </c>
      <c r="D176" s="35">
        <v>22</v>
      </c>
      <c r="E176" s="35">
        <v>22</v>
      </c>
      <c r="F176" s="35">
        <v>22</v>
      </c>
      <c r="G176" s="35">
        <v>22</v>
      </c>
      <c r="H176" s="35">
        <v>22</v>
      </c>
      <c r="I176" s="35">
        <v>22</v>
      </c>
      <c r="J176" s="35">
        <v>22</v>
      </c>
      <c r="K176" s="35">
        <v>22</v>
      </c>
      <c r="L176" s="35">
        <v>22</v>
      </c>
      <c r="M176" s="35">
        <v>22</v>
      </c>
      <c r="N176" s="35">
        <v>22</v>
      </c>
      <c r="O176" s="35">
        <v>22</v>
      </c>
      <c r="P176" s="35">
        <v>22</v>
      </c>
      <c r="Q176" s="35">
        <v>22</v>
      </c>
      <c r="R176" s="35">
        <v>22</v>
      </c>
      <c r="S176" s="35">
        <v>22</v>
      </c>
      <c r="T176" s="35">
        <v>22</v>
      </c>
      <c r="U176" s="35">
        <v>22</v>
      </c>
      <c r="V176" s="35">
        <v>22</v>
      </c>
      <c r="W176" s="35">
        <v>22</v>
      </c>
      <c r="X176" s="35">
        <v>22</v>
      </c>
      <c r="Y176" s="35">
        <v>22</v>
      </c>
      <c r="Z176" s="35">
        <v>22</v>
      </c>
      <c r="AA176" s="35">
        <v>22</v>
      </c>
      <c r="AB176" s="36">
        <f t="shared" si="4"/>
        <v>528</v>
      </c>
      <c r="AC176" s="37">
        <v>4</v>
      </c>
      <c r="AD176" s="91"/>
    </row>
    <row r="177" spans="2:30">
      <c r="B177" s="89"/>
      <c r="C177" s="34" t="s">
        <v>34</v>
      </c>
      <c r="D177" s="35">
        <v>22</v>
      </c>
      <c r="E177" s="35">
        <v>22</v>
      </c>
      <c r="F177" s="35">
        <v>22</v>
      </c>
      <c r="G177" s="35">
        <v>22</v>
      </c>
      <c r="H177" s="35">
        <v>22</v>
      </c>
      <c r="I177" s="35">
        <v>22</v>
      </c>
      <c r="J177" s="35">
        <v>22</v>
      </c>
      <c r="K177" s="35">
        <v>22</v>
      </c>
      <c r="L177" s="35">
        <v>22</v>
      </c>
      <c r="M177" s="35">
        <v>22</v>
      </c>
      <c r="N177" s="35">
        <v>22</v>
      </c>
      <c r="O177" s="35">
        <v>22</v>
      </c>
      <c r="P177" s="35">
        <v>22</v>
      </c>
      <c r="Q177" s="35">
        <v>22</v>
      </c>
      <c r="R177" s="35">
        <v>22</v>
      </c>
      <c r="S177" s="35">
        <v>22</v>
      </c>
      <c r="T177" s="35">
        <v>22</v>
      </c>
      <c r="U177" s="35">
        <v>22</v>
      </c>
      <c r="V177" s="35">
        <v>22</v>
      </c>
      <c r="W177" s="35">
        <v>22</v>
      </c>
      <c r="X177" s="35">
        <v>22</v>
      </c>
      <c r="Y177" s="35">
        <v>22</v>
      </c>
      <c r="Z177" s="35">
        <v>22</v>
      </c>
      <c r="AA177" s="35">
        <v>22</v>
      </c>
      <c r="AB177" s="36">
        <f t="shared" si="4"/>
        <v>528</v>
      </c>
      <c r="AC177" s="37">
        <v>6</v>
      </c>
      <c r="AD177" s="91"/>
    </row>
    <row r="178" spans="2:30">
      <c r="B178" s="89">
        <v>47969</v>
      </c>
      <c r="C178" s="34" t="s">
        <v>32</v>
      </c>
      <c r="D178" s="35">
        <v>22</v>
      </c>
      <c r="E178" s="35">
        <v>22</v>
      </c>
      <c r="F178" s="35">
        <v>22</v>
      </c>
      <c r="G178" s="35">
        <v>22</v>
      </c>
      <c r="H178" s="35">
        <v>22</v>
      </c>
      <c r="I178" s="35">
        <v>22</v>
      </c>
      <c r="J178" s="35">
        <v>22</v>
      </c>
      <c r="K178" s="35">
        <v>22</v>
      </c>
      <c r="L178" s="35">
        <v>22</v>
      </c>
      <c r="M178" s="35">
        <v>22</v>
      </c>
      <c r="N178" s="35">
        <v>22</v>
      </c>
      <c r="O178" s="35">
        <v>22</v>
      </c>
      <c r="P178" s="35">
        <v>22</v>
      </c>
      <c r="Q178" s="35">
        <v>22</v>
      </c>
      <c r="R178" s="35">
        <v>22</v>
      </c>
      <c r="S178" s="35">
        <v>22</v>
      </c>
      <c r="T178" s="35">
        <v>22</v>
      </c>
      <c r="U178" s="35">
        <v>22</v>
      </c>
      <c r="V178" s="35">
        <v>22</v>
      </c>
      <c r="W178" s="35">
        <v>22</v>
      </c>
      <c r="X178" s="35">
        <v>22</v>
      </c>
      <c r="Y178" s="35">
        <v>22</v>
      </c>
      <c r="Z178" s="35">
        <v>22</v>
      </c>
      <c r="AA178" s="35">
        <v>22</v>
      </c>
      <c r="AB178" s="36">
        <f t="shared" si="4"/>
        <v>528</v>
      </c>
      <c r="AC178" s="37">
        <v>20</v>
      </c>
      <c r="AD178" s="91">
        <f>+AB178*AC178+AB179*AC179+AB180*AC180</f>
        <v>16368</v>
      </c>
    </row>
    <row r="179" spans="2:30">
      <c r="B179" s="89"/>
      <c r="C179" s="34" t="s">
        <v>33</v>
      </c>
      <c r="D179" s="35">
        <v>22</v>
      </c>
      <c r="E179" s="35">
        <v>22</v>
      </c>
      <c r="F179" s="35">
        <v>22</v>
      </c>
      <c r="G179" s="35">
        <v>22</v>
      </c>
      <c r="H179" s="35">
        <v>22</v>
      </c>
      <c r="I179" s="35">
        <v>22</v>
      </c>
      <c r="J179" s="35">
        <v>22</v>
      </c>
      <c r="K179" s="35">
        <v>22</v>
      </c>
      <c r="L179" s="35">
        <v>22</v>
      </c>
      <c r="M179" s="35">
        <v>22</v>
      </c>
      <c r="N179" s="35">
        <v>22</v>
      </c>
      <c r="O179" s="35">
        <v>22</v>
      </c>
      <c r="P179" s="35">
        <v>22</v>
      </c>
      <c r="Q179" s="35">
        <v>22</v>
      </c>
      <c r="R179" s="35">
        <v>22</v>
      </c>
      <c r="S179" s="35">
        <v>22</v>
      </c>
      <c r="T179" s="35">
        <v>22</v>
      </c>
      <c r="U179" s="35">
        <v>22</v>
      </c>
      <c r="V179" s="35">
        <v>22</v>
      </c>
      <c r="W179" s="35">
        <v>22</v>
      </c>
      <c r="X179" s="35">
        <v>22</v>
      </c>
      <c r="Y179" s="35">
        <v>22</v>
      </c>
      <c r="Z179" s="35">
        <v>22</v>
      </c>
      <c r="AA179" s="35">
        <v>22</v>
      </c>
      <c r="AB179" s="36">
        <f t="shared" si="4"/>
        <v>528</v>
      </c>
      <c r="AC179" s="37">
        <v>5</v>
      </c>
      <c r="AD179" s="91"/>
    </row>
    <row r="180" spans="2:30">
      <c r="B180" s="89"/>
      <c r="C180" s="34" t="s">
        <v>34</v>
      </c>
      <c r="D180" s="35">
        <v>22</v>
      </c>
      <c r="E180" s="35">
        <v>22</v>
      </c>
      <c r="F180" s="35">
        <v>22</v>
      </c>
      <c r="G180" s="35">
        <v>22</v>
      </c>
      <c r="H180" s="35">
        <v>22</v>
      </c>
      <c r="I180" s="35">
        <v>22</v>
      </c>
      <c r="J180" s="35">
        <v>22</v>
      </c>
      <c r="K180" s="35">
        <v>22</v>
      </c>
      <c r="L180" s="35">
        <v>22</v>
      </c>
      <c r="M180" s="35">
        <v>22</v>
      </c>
      <c r="N180" s="35">
        <v>22</v>
      </c>
      <c r="O180" s="35">
        <v>22</v>
      </c>
      <c r="P180" s="35">
        <v>22</v>
      </c>
      <c r="Q180" s="35">
        <v>22</v>
      </c>
      <c r="R180" s="35">
        <v>22</v>
      </c>
      <c r="S180" s="35">
        <v>22</v>
      </c>
      <c r="T180" s="35">
        <v>22</v>
      </c>
      <c r="U180" s="35">
        <v>22</v>
      </c>
      <c r="V180" s="35">
        <v>22</v>
      </c>
      <c r="W180" s="35">
        <v>22</v>
      </c>
      <c r="X180" s="35">
        <v>22</v>
      </c>
      <c r="Y180" s="35">
        <v>22</v>
      </c>
      <c r="Z180" s="35">
        <v>22</v>
      </c>
      <c r="AA180" s="35">
        <v>22</v>
      </c>
      <c r="AB180" s="36">
        <f t="shared" si="4"/>
        <v>528</v>
      </c>
      <c r="AC180" s="37">
        <v>6</v>
      </c>
      <c r="AD180" s="91"/>
    </row>
    <row r="181" spans="2:30">
      <c r="B181" s="89">
        <v>48000</v>
      </c>
      <c r="C181" s="34" t="s">
        <v>32</v>
      </c>
      <c r="D181" s="35">
        <v>22</v>
      </c>
      <c r="E181" s="35">
        <v>22</v>
      </c>
      <c r="F181" s="35">
        <v>22</v>
      </c>
      <c r="G181" s="35">
        <v>22</v>
      </c>
      <c r="H181" s="35">
        <v>22</v>
      </c>
      <c r="I181" s="35">
        <v>22</v>
      </c>
      <c r="J181" s="35">
        <v>22</v>
      </c>
      <c r="K181" s="35">
        <v>22</v>
      </c>
      <c r="L181" s="35">
        <v>22</v>
      </c>
      <c r="M181" s="35">
        <v>22</v>
      </c>
      <c r="N181" s="35">
        <v>22</v>
      </c>
      <c r="O181" s="35">
        <v>22</v>
      </c>
      <c r="P181" s="35">
        <v>22</v>
      </c>
      <c r="Q181" s="35">
        <v>22</v>
      </c>
      <c r="R181" s="35">
        <v>22</v>
      </c>
      <c r="S181" s="35">
        <v>22</v>
      </c>
      <c r="T181" s="35">
        <v>22</v>
      </c>
      <c r="U181" s="35">
        <v>22</v>
      </c>
      <c r="V181" s="35">
        <v>22</v>
      </c>
      <c r="W181" s="35">
        <v>22</v>
      </c>
      <c r="X181" s="35">
        <v>22</v>
      </c>
      <c r="Y181" s="35">
        <v>22</v>
      </c>
      <c r="Z181" s="35">
        <v>22</v>
      </c>
      <c r="AA181" s="35">
        <v>22</v>
      </c>
      <c r="AB181" s="36">
        <f t="shared" si="4"/>
        <v>528</v>
      </c>
      <c r="AC181" s="37">
        <v>18</v>
      </c>
      <c r="AD181" s="91">
        <f>+AB181*AC181+AB182*AC182+AB183*AC183</f>
        <v>15840</v>
      </c>
    </row>
    <row r="182" spans="2:30">
      <c r="B182" s="89"/>
      <c r="C182" s="34" t="s">
        <v>33</v>
      </c>
      <c r="D182" s="35">
        <v>22</v>
      </c>
      <c r="E182" s="35">
        <v>22</v>
      </c>
      <c r="F182" s="35">
        <v>22</v>
      </c>
      <c r="G182" s="35">
        <v>22</v>
      </c>
      <c r="H182" s="35">
        <v>22</v>
      </c>
      <c r="I182" s="35">
        <v>22</v>
      </c>
      <c r="J182" s="35">
        <v>22</v>
      </c>
      <c r="K182" s="35">
        <v>22</v>
      </c>
      <c r="L182" s="35">
        <v>22</v>
      </c>
      <c r="M182" s="35">
        <v>22</v>
      </c>
      <c r="N182" s="35">
        <v>22</v>
      </c>
      <c r="O182" s="35">
        <v>22</v>
      </c>
      <c r="P182" s="35">
        <v>22</v>
      </c>
      <c r="Q182" s="35">
        <v>22</v>
      </c>
      <c r="R182" s="35">
        <v>22</v>
      </c>
      <c r="S182" s="35">
        <v>22</v>
      </c>
      <c r="T182" s="35">
        <v>22</v>
      </c>
      <c r="U182" s="35">
        <v>22</v>
      </c>
      <c r="V182" s="35">
        <v>22</v>
      </c>
      <c r="W182" s="35">
        <v>22</v>
      </c>
      <c r="X182" s="35">
        <v>22</v>
      </c>
      <c r="Y182" s="35">
        <v>22</v>
      </c>
      <c r="Z182" s="35">
        <v>22</v>
      </c>
      <c r="AA182" s="35">
        <v>22</v>
      </c>
      <c r="AB182" s="36">
        <f t="shared" si="4"/>
        <v>528</v>
      </c>
      <c r="AC182" s="37">
        <v>4</v>
      </c>
      <c r="AD182" s="91"/>
    </row>
    <row r="183" spans="2:30">
      <c r="B183" s="89"/>
      <c r="C183" s="34" t="s">
        <v>34</v>
      </c>
      <c r="D183" s="35">
        <v>22</v>
      </c>
      <c r="E183" s="35">
        <v>22</v>
      </c>
      <c r="F183" s="35">
        <v>22</v>
      </c>
      <c r="G183" s="35">
        <v>22</v>
      </c>
      <c r="H183" s="35">
        <v>22</v>
      </c>
      <c r="I183" s="35">
        <v>22</v>
      </c>
      <c r="J183" s="35">
        <v>22</v>
      </c>
      <c r="K183" s="35">
        <v>22</v>
      </c>
      <c r="L183" s="35">
        <v>22</v>
      </c>
      <c r="M183" s="35">
        <v>22</v>
      </c>
      <c r="N183" s="35">
        <v>22</v>
      </c>
      <c r="O183" s="35">
        <v>22</v>
      </c>
      <c r="P183" s="35">
        <v>22</v>
      </c>
      <c r="Q183" s="35">
        <v>22</v>
      </c>
      <c r="R183" s="35">
        <v>22</v>
      </c>
      <c r="S183" s="35">
        <v>22</v>
      </c>
      <c r="T183" s="35">
        <v>22</v>
      </c>
      <c r="U183" s="35">
        <v>22</v>
      </c>
      <c r="V183" s="35">
        <v>22</v>
      </c>
      <c r="W183" s="35">
        <v>22</v>
      </c>
      <c r="X183" s="35">
        <v>22</v>
      </c>
      <c r="Y183" s="35">
        <v>22</v>
      </c>
      <c r="Z183" s="35">
        <v>22</v>
      </c>
      <c r="AA183" s="35">
        <v>22</v>
      </c>
      <c r="AB183" s="36">
        <f t="shared" si="4"/>
        <v>528</v>
      </c>
      <c r="AC183" s="37">
        <v>8</v>
      </c>
      <c r="AD183" s="91"/>
    </row>
    <row r="184" spans="2:30">
      <c r="B184" s="89">
        <v>48030</v>
      </c>
      <c r="C184" s="34" t="s">
        <v>32</v>
      </c>
      <c r="D184" s="35">
        <v>22</v>
      </c>
      <c r="E184" s="35">
        <v>22</v>
      </c>
      <c r="F184" s="35">
        <v>22</v>
      </c>
      <c r="G184" s="35">
        <v>22</v>
      </c>
      <c r="H184" s="35">
        <v>22</v>
      </c>
      <c r="I184" s="35">
        <v>22</v>
      </c>
      <c r="J184" s="35">
        <v>22</v>
      </c>
      <c r="K184" s="35">
        <v>22</v>
      </c>
      <c r="L184" s="35">
        <v>22</v>
      </c>
      <c r="M184" s="35">
        <v>22</v>
      </c>
      <c r="N184" s="35">
        <v>22</v>
      </c>
      <c r="O184" s="35">
        <v>22</v>
      </c>
      <c r="P184" s="35">
        <v>22</v>
      </c>
      <c r="Q184" s="35">
        <v>22</v>
      </c>
      <c r="R184" s="35">
        <v>22</v>
      </c>
      <c r="S184" s="35">
        <v>22</v>
      </c>
      <c r="T184" s="35">
        <v>22</v>
      </c>
      <c r="U184" s="35">
        <v>22</v>
      </c>
      <c r="V184" s="35">
        <v>22</v>
      </c>
      <c r="W184" s="35">
        <v>22</v>
      </c>
      <c r="X184" s="35">
        <v>22</v>
      </c>
      <c r="Y184" s="35">
        <v>22</v>
      </c>
      <c r="Z184" s="35">
        <v>22</v>
      </c>
      <c r="AA184" s="35">
        <v>22</v>
      </c>
      <c r="AB184" s="36">
        <f t="shared" si="4"/>
        <v>528</v>
      </c>
      <c r="AC184" s="37">
        <v>23</v>
      </c>
      <c r="AD184" s="91">
        <f>+AB184*AC184+AB185*AC185+AB186*AC186</f>
        <v>16368</v>
      </c>
    </row>
    <row r="185" spans="2:30">
      <c r="B185" s="89"/>
      <c r="C185" s="34" t="s">
        <v>33</v>
      </c>
      <c r="D185" s="35">
        <v>22</v>
      </c>
      <c r="E185" s="35">
        <v>22</v>
      </c>
      <c r="F185" s="35">
        <v>22</v>
      </c>
      <c r="G185" s="35">
        <v>22</v>
      </c>
      <c r="H185" s="35">
        <v>22</v>
      </c>
      <c r="I185" s="35">
        <v>22</v>
      </c>
      <c r="J185" s="35">
        <v>22</v>
      </c>
      <c r="K185" s="35">
        <v>22</v>
      </c>
      <c r="L185" s="35">
        <v>22</v>
      </c>
      <c r="M185" s="35">
        <v>22</v>
      </c>
      <c r="N185" s="35">
        <v>22</v>
      </c>
      <c r="O185" s="35">
        <v>22</v>
      </c>
      <c r="P185" s="35">
        <v>22</v>
      </c>
      <c r="Q185" s="35">
        <v>22</v>
      </c>
      <c r="R185" s="35">
        <v>22</v>
      </c>
      <c r="S185" s="35">
        <v>22</v>
      </c>
      <c r="T185" s="35">
        <v>22</v>
      </c>
      <c r="U185" s="35">
        <v>22</v>
      </c>
      <c r="V185" s="35">
        <v>22</v>
      </c>
      <c r="W185" s="35">
        <v>22</v>
      </c>
      <c r="X185" s="35">
        <v>22</v>
      </c>
      <c r="Y185" s="35">
        <v>22</v>
      </c>
      <c r="Z185" s="35">
        <v>22</v>
      </c>
      <c r="AA185" s="35">
        <v>22</v>
      </c>
      <c r="AB185" s="36">
        <f t="shared" si="4"/>
        <v>528</v>
      </c>
      <c r="AC185" s="37">
        <v>4</v>
      </c>
      <c r="AD185" s="91"/>
    </row>
    <row r="186" spans="2:30">
      <c r="B186" s="89"/>
      <c r="C186" s="34" t="s">
        <v>34</v>
      </c>
      <c r="D186" s="35">
        <v>22</v>
      </c>
      <c r="E186" s="35">
        <v>22</v>
      </c>
      <c r="F186" s="35">
        <v>22</v>
      </c>
      <c r="G186" s="35">
        <v>22</v>
      </c>
      <c r="H186" s="35">
        <v>22</v>
      </c>
      <c r="I186" s="35">
        <v>22</v>
      </c>
      <c r="J186" s="35">
        <v>22</v>
      </c>
      <c r="K186" s="35">
        <v>22</v>
      </c>
      <c r="L186" s="35">
        <v>22</v>
      </c>
      <c r="M186" s="35">
        <v>22</v>
      </c>
      <c r="N186" s="35">
        <v>22</v>
      </c>
      <c r="O186" s="35">
        <v>22</v>
      </c>
      <c r="P186" s="35">
        <v>22</v>
      </c>
      <c r="Q186" s="35">
        <v>22</v>
      </c>
      <c r="R186" s="35">
        <v>22</v>
      </c>
      <c r="S186" s="35">
        <v>22</v>
      </c>
      <c r="T186" s="35">
        <v>22</v>
      </c>
      <c r="U186" s="35">
        <v>22</v>
      </c>
      <c r="V186" s="35">
        <v>22</v>
      </c>
      <c r="W186" s="35">
        <v>22</v>
      </c>
      <c r="X186" s="35">
        <v>22</v>
      </c>
      <c r="Y186" s="35">
        <v>22</v>
      </c>
      <c r="Z186" s="35">
        <v>22</v>
      </c>
      <c r="AA186" s="35">
        <v>22</v>
      </c>
      <c r="AB186" s="36">
        <f t="shared" si="4"/>
        <v>528</v>
      </c>
      <c r="AC186" s="37">
        <v>4</v>
      </c>
      <c r="AD186" s="91"/>
    </row>
    <row r="187" spans="2:30">
      <c r="B187" s="89">
        <v>48061</v>
      </c>
      <c r="C187" s="34" t="s">
        <v>32</v>
      </c>
      <c r="D187" s="35">
        <v>22</v>
      </c>
      <c r="E187" s="35">
        <v>22</v>
      </c>
      <c r="F187" s="35">
        <v>22</v>
      </c>
      <c r="G187" s="35">
        <v>22</v>
      </c>
      <c r="H187" s="35">
        <v>22</v>
      </c>
      <c r="I187" s="35">
        <v>22</v>
      </c>
      <c r="J187" s="35">
        <v>22</v>
      </c>
      <c r="K187" s="35">
        <v>22</v>
      </c>
      <c r="L187" s="35">
        <v>22</v>
      </c>
      <c r="M187" s="35">
        <v>22</v>
      </c>
      <c r="N187" s="35">
        <v>22</v>
      </c>
      <c r="O187" s="35">
        <v>22</v>
      </c>
      <c r="P187" s="35">
        <v>22</v>
      </c>
      <c r="Q187" s="35">
        <v>22</v>
      </c>
      <c r="R187" s="35">
        <v>22</v>
      </c>
      <c r="S187" s="35">
        <v>22</v>
      </c>
      <c r="T187" s="35">
        <v>22</v>
      </c>
      <c r="U187" s="35">
        <v>22</v>
      </c>
      <c r="V187" s="35">
        <v>22</v>
      </c>
      <c r="W187" s="35">
        <v>22</v>
      </c>
      <c r="X187" s="35">
        <v>22</v>
      </c>
      <c r="Y187" s="35">
        <v>22</v>
      </c>
      <c r="Z187" s="35">
        <v>22</v>
      </c>
      <c r="AA187" s="35">
        <v>22</v>
      </c>
      <c r="AB187" s="36">
        <f t="shared" si="4"/>
        <v>528</v>
      </c>
      <c r="AC187" s="37">
        <v>19</v>
      </c>
      <c r="AD187" s="91">
        <f>+AB187*AC187+AB188*AC188+AB189*AC189</f>
        <v>16368</v>
      </c>
    </row>
    <row r="188" spans="2:30">
      <c r="B188" s="89"/>
      <c r="C188" s="34" t="s">
        <v>33</v>
      </c>
      <c r="D188" s="35">
        <v>22</v>
      </c>
      <c r="E188" s="35">
        <v>22</v>
      </c>
      <c r="F188" s="35">
        <v>22</v>
      </c>
      <c r="G188" s="35">
        <v>22</v>
      </c>
      <c r="H188" s="35">
        <v>22</v>
      </c>
      <c r="I188" s="35">
        <v>22</v>
      </c>
      <c r="J188" s="35">
        <v>22</v>
      </c>
      <c r="K188" s="35">
        <v>22</v>
      </c>
      <c r="L188" s="35">
        <v>22</v>
      </c>
      <c r="M188" s="35">
        <v>22</v>
      </c>
      <c r="N188" s="35">
        <v>22</v>
      </c>
      <c r="O188" s="35">
        <v>22</v>
      </c>
      <c r="P188" s="35">
        <v>22</v>
      </c>
      <c r="Q188" s="35">
        <v>22</v>
      </c>
      <c r="R188" s="35">
        <v>22</v>
      </c>
      <c r="S188" s="35">
        <v>22</v>
      </c>
      <c r="T188" s="35">
        <v>22</v>
      </c>
      <c r="U188" s="35">
        <v>22</v>
      </c>
      <c r="V188" s="35">
        <v>22</v>
      </c>
      <c r="W188" s="35">
        <v>22</v>
      </c>
      <c r="X188" s="35">
        <v>22</v>
      </c>
      <c r="Y188" s="35">
        <v>22</v>
      </c>
      <c r="Z188" s="35">
        <v>22</v>
      </c>
      <c r="AA188" s="35">
        <v>22</v>
      </c>
      <c r="AB188" s="36">
        <f t="shared" si="4"/>
        <v>528</v>
      </c>
      <c r="AC188" s="37">
        <v>5</v>
      </c>
      <c r="AD188" s="91"/>
    </row>
    <row r="189" spans="2:30">
      <c r="B189" s="89"/>
      <c r="C189" s="34" t="s">
        <v>34</v>
      </c>
      <c r="D189" s="35">
        <v>22</v>
      </c>
      <c r="E189" s="35">
        <v>22</v>
      </c>
      <c r="F189" s="35">
        <v>22</v>
      </c>
      <c r="G189" s="35">
        <v>22</v>
      </c>
      <c r="H189" s="35">
        <v>22</v>
      </c>
      <c r="I189" s="35">
        <v>22</v>
      </c>
      <c r="J189" s="35">
        <v>22</v>
      </c>
      <c r="K189" s="35">
        <v>22</v>
      </c>
      <c r="L189" s="35">
        <v>22</v>
      </c>
      <c r="M189" s="35">
        <v>22</v>
      </c>
      <c r="N189" s="35">
        <v>22</v>
      </c>
      <c r="O189" s="35">
        <v>22</v>
      </c>
      <c r="P189" s="35">
        <v>22</v>
      </c>
      <c r="Q189" s="35">
        <v>22</v>
      </c>
      <c r="R189" s="35">
        <v>22</v>
      </c>
      <c r="S189" s="35">
        <v>22</v>
      </c>
      <c r="T189" s="35">
        <v>22</v>
      </c>
      <c r="U189" s="35">
        <v>22</v>
      </c>
      <c r="V189" s="35">
        <v>22</v>
      </c>
      <c r="W189" s="35">
        <v>22</v>
      </c>
      <c r="X189" s="35">
        <v>22</v>
      </c>
      <c r="Y189" s="35">
        <v>22</v>
      </c>
      <c r="Z189" s="35">
        <v>22</v>
      </c>
      <c r="AA189" s="35">
        <v>22</v>
      </c>
      <c r="AB189" s="36">
        <f t="shared" si="4"/>
        <v>528</v>
      </c>
      <c r="AC189" s="37">
        <v>7</v>
      </c>
      <c r="AD189" s="91"/>
    </row>
    <row r="190" spans="2:30">
      <c r="B190" s="89">
        <v>48092</v>
      </c>
      <c r="C190" s="34" t="s">
        <v>32</v>
      </c>
      <c r="D190" s="35">
        <v>22</v>
      </c>
      <c r="E190" s="35">
        <v>22</v>
      </c>
      <c r="F190" s="35">
        <v>22</v>
      </c>
      <c r="G190" s="35">
        <v>22</v>
      </c>
      <c r="H190" s="35">
        <v>22</v>
      </c>
      <c r="I190" s="35">
        <v>22</v>
      </c>
      <c r="J190" s="35">
        <v>22</v>
      </c>
      <c r="K190" s="35">
        <v>22</v>
      </c>
      <c r="L190" s="35">
        <v>22</v>
      </c>
      <c r="M190" s="35">
        <v>22</v>
      </c>
      <c r="N190" s="35">
        <v>22</v>
      </c>
      <c r="O190" s="35">
        <v>22</v>
      </c>
      <c r="P190" s="35">
        <v>22</v>
      </c>
      <c r="Q190" s="35">
        <v>22</v>
      </c>
      <c r="R190" s="35">
        <v>22</v>
      </c>
      <c r="S190" s="35">
        <v>22</v>
      </c>
      <c r="T190" s="35">
        <v>22</v>
      </c>
      <c r="U190" s="35">
        <v>22</v>
      </c>
      <c r="V190" s="35">
        <v>22</v>
      </c>
      <c r="W190" s="35">
        <v>22</v>
      </c>
      <c r="X190" s="35">
        <v>22</v>
      </c>
      <c r="Y190" s="35">
        <v>22</v>
      </c>
      <c r="Z190" s="35">
        <v>22</v>
      </c>
      <c r="AA190" s="35">
        <v>22</v>
      </c>
      <c r="AB190" s="36">
        <f t="shared" si="4"/>
        <v>528</v>
      </c>
      <c r="AC190" s="37">
        <v>22</v>
      </c>
      <c r="AD190" s="91">
        <f>+AB190*AC190+AB191*AC191+AB192*AC192</f>
        <v>15840</v>
      </c>
    </row>
    <row r="191" spans="2:30">
      <c r="B191" s="89"/>
      <c r="C191" s="34" t="s">
        <v>33</v>
      </c>
      <c r="D191" s="35">
        <v>22</v>
      </c>
      <c r="E191" s="35">
        <v>22</v>
      </c>
      <c r="F191" s="35">
        <v>22</v>
      </c>
      <c r="G191" s="35">
        <v>22</v>
      </c>
      <c r="H191" s="35">
        <v>22</v>
      </c>
      <c r="I191" s="35">
        <v>22</v>
      </c>
      <c r="J191" s="35">
        <v>22</v>
      </c>
      <c r="K191" s="35">
        <v>22</v>
      </c>
      <c r="L191" s="35">
        <v>22</v>
      </c>
      <c r="M191" s="35">
        <v>22</v>
      </c>
      <c r="N191" s="35">
        <v>22</v>
      </c>
      <c r="O191" s="35">
        <v>22</v>
      </c>
      <c r="P191" s="35">
        <v>22</v>
      </c>
      <c r="Q191" s="35">
        <v>22</v>
      </c>
      <c r="R191" s="35">
        <v>22</v>
      </c>
      <c r="S191" s="35">
        <v>22</v>
      </c>
      <c r="T191" s="35">
        <v>22</v>
      </c>
      <c r="U191" s="35">
        <v>22</v>
      </c>
      <c r="V191" s="35">
        <v>22</v>
      </c>
      <c r="W191" s="35">
        <v>22</v>
      </c>
      <c r="X191" s="35">
        <v>22</v>
      </c>
      <c r="Y191" s="35">
        <v>22</v>
      </c>
      <c r="Z191" s="35">
        <v>22</v>
      </c>
      <c r="AA191" s="35">
        <v>22</v>
      </c>
      <c r="AB191" s="36">
        <f t="shared" si="4"/>
        <v>528</v>
      </c>
      <c r="AC191" s="37">
        <v>4</v>
      </c>
      <c r="AD191" s="91"/>
    </row>
    <row r="192" spans="2:30">
      <c r="B192" s="89"/>
      <c r="C192" s="34" t="s">
        <v>34</v>
      </c>
      <c r="D192" s="35">
        <v>22</v>
      </c>
      <c r="E192" s="35">
        <v>22</v>
      </c>
      <c r="F192" s="35">
        <v>22</v>
      </c>
      <c r="G192" s="35">
        <v>22</v>
      </c>
      <c r="H192" s="35">
        <v>22</v>
      </c>
      <c r="I192" s="35">
        <v>22</v>
      </c>
      <c r="J192" s="35">
        <v>22</v>
      </c>
      <c r="K192" s="35">
        <v>22</v>
      </c>
      <c r="L192" s="35">
        <v>22</v>
      </c>
      <c r="M192" s="35">
        <v>22</v>
      </c>
      <c r="N192" s="35">
        <v>22</v>
      </c>
      <c r="O192" s="35">
        <v>22</v>
      </c>
      <c r="P192" s="35">
        <v>22</v>
      </c>
      <c r="Q192" s="35">
        <v>22</v>
      </c>
      <c r="R192" s="35">
        <v>22</v>
      </c>
      <c r="S192" s="35">
        <v>22</v>
      </c>
      <c r="T192" s="35">
        <v>22</v>
      </c>
      <c r="U192" s="35">
        <v>22</v>
      </c>
      <c r="V192" s="35">
        <v>22</v>
      </c>
      <c r="W192" s="35">
        <v>22</v>
      </c>
      <c r="X192" s="35">
        <v>22</v>
      </c>
      <c r="Y192" s="35">
        <v>22</v>
      </c>
      <c r="Z192" s="35">
        <v>22</v>
      </c>
      <c r="AA192" s="35">
        <v>22</v>
      </c>
      <c r="AB192" s="36">
        <f t="shared" si="4"/>
        <v>528</v>
      </c>
      <c r="AC192" s="37">
        <v>4</v>
      </c>
      <c r="AD192" s="91"/>
    </row>
    <row r="193" spans="2:30">
      <c r="B193" s="89">
        <v>48122</v>
      </c>
      <c r="C193" s="34" t="s">
        <v>32</v>
      </c>
      <c r="D193" s="35">
        <v>22</v>
      </c>
      <c r="E193" s="35">
        <v>22</v>
      </c>
      <c r="F193" s="35">
        <v>22</v>
      </c>
      <c r="G193" s="35">
        <v>22</v>
      </c>
      <c r="H193" s="35">
        <v>22</v>
      </c>
      <c r="I193" s="35">
        <v>22</v>
      </c>
      <c r="J193" s="35">
        <v>22</v>
      </c>
      <c r="K193" s="35">
        <v>22</v>
      </c>
      <c r="L193" s="35">
        <v>22</v>
      </c>
      <c r="M193" s="35">
        <v>22</v>
      </c>
      <c r="N193" s="35">
        <v>22</v>
      </c>
      <c r="O193" s="35">
        <v>22</v>
      </c>
      <c r="P193" s="35">
        <v>22</v>
      </c>
      <c r="Q193" s="35">
        <v>22</v>
      </c>
      <c r="R193" s="35">
        <v>22</v>
      </c>
      <c r="S193" s="35">
        <v>22</v>
      </c>
      <c r="T193" s="35">
        <v>22</v>
      </c>
      <c r="U193" s="35">
        <v>22</v>
      </c>
      <c r="V193" s="35">
        <v>22</v>
      </c>
      <c r="W193" s="35">
        <v>22</v>
      </c>
      <c r="X193" s="35">
        <v>22</v>
      </c>
      <c r="Y193" s="35">
        <v>22</v>
      </c>
      <c r="Z193" s="35">
        <v>22</v>
      </c>
      <c r="AA193" s="35">
        <v>22</v>
      </c>
      <c r="AB193" s="36">
        <f t="shared" si="4"/>
        <v>528</v>
      </c>
      <c r="AC193" s="37">
        <v>22</v>
      </c>
      <c r="AD193" s="91">
        <f>+AB193*AC193+AB194*AC194+AB195*AC195</f>
        <v>16368</v>
      </c>
    </row>
    <row r="194" spans="2:30">
      <c r="B194" s="89"/>
      <c r="C194" s="34" t="s">
        <v>33</v>
      </c>
      <c r="D194" s="35">
        <v>22</v>
      </c>
      <c r="E194" s="35">
        <v>22</v>
      </c>
      <c r="F194" s="35">
        <v>22</v>
      </c>
      <c r="G194" s="35">
        <v>22</v>
      </c>
      <c r="H194" s="35">
        <v>22</v>
      </c>
      <c r="I194" s="35">
        <v>22</v>
      </c>
      <c r="J194" s="35">
        <v>22</v>
      </c>
      <c r="K194" s="35">
        <v>22</v>
      </c>
      <c r="L194" s="35">
        <v>22</v>
      </c>
      <c r="M194" s="35">
        <v>22</v>
      </c>
      <c r="N194" s="35">
        <v>22</v>
      </c>
      <c r="O194" s="35">
        <v>22</v>
      </c>
      <c r="P194" s="35">
        <v>22</v>
      </c>
      <c r="Q194" s="35">
        <v>22</v>
      </c>
      <c r="R194" s="35">
        <v>22</v>
      </c>
      <c r="S194" s="35">
        <v>22</v>
      </c>
      <c r="T194" s="35">
        <v>22</v>
      </c>
      <c r="U194" s="35">
        <v>22</v>
      </c>
      <c r="V194" s="35">
        <v>22</v>
      </c>
      <c r="W194" s="35">
        <v>22</v>
      </c>
      <c r="X194" s="35">
        <v>22</v>
      </c>
      <c r="Y194" s="35">
        <v>22</v>
      </c>
      <c r="Z194" s="35">
        <v>22</v>
      </c>
      <c r="AA194" s="35">
        <v>22</v>
      </c>
      <c r="AB194" s="36">
        <f t="shared" si="4"/>
        <v>528</v>
      </c>
      <c r="AC194" s="37">
        <v>4</v>
      </c>
      <c r="AD194" s="91"/>
    </row>
    <row r="195" spans="2:30">
      <c r="B195" s="89"/>
      <c r="C195" s="34" t="s">
        <v>34</v>
      </c>
      <c r="D195" s="35">
        <v>22</v>
      </c>
      <c r="E195" s="35">
        <v>22</v>
      </c>
      <c r="F195" s="35">
        <v>22</v>
      </c>
      <c r="G195" s="35">
        <v>22</v>
      </c>
      <c r="H195" s="35">
        <v>22</v>
      </c>
      <c r="I195" s="35">
        <v>22</v>
      </c>
      <c r="J195" s="35">
        <v>22</v>
      </c>
      <c r="K195" s="35">
        <v>22</v>
      </c>
      <c r="L195" s="35">
        <v>22</v>
      </c>
      <c r="M195" s="35">
        <v>22</v>
      </c>
      <c r="N195" s="35">
        <v>22</v>
      </c>
      <c r="O195" s="35">
        <v>22</v>
      </c>
      <c r="P195" s="35">
        <v>22</v>
      </c>
      <c r="Q195" s="35">
        <v>22</v>
      </c>
      <c r="R195" s="35">
        <v>22</v>
      </c>
      <c r="S195" s="35">
        <v>22</v>
      </c>
      <c r="T195" s="35">
        <v>22</v>
      </c>
      <c r="U195" s="35">
        <v>22</v>
      </c>
      <c r="V195" s="35">
        <v>22</v>
      </c>
      <c r="W195" s="35">
        <v>22</v>
      </c>
      <c r="X195" s="35">
        <v>22</v>
      </c>
      <c r="Y195" s="35">
        <v>22</v>
      </c>
      <c r="Z195" s="35">
        <v>22</v>
      </c>
      <c r="AA195" s="35">
        <v>22</v>
      </c>
      <c r="AB195" s="36">
        <f t="shared" si="4"/>
        <v>528</v>
      </c>
      <c r="AC195" s="37">
        <v>5</v>
      </c>
      <c r="AD195" s="91"/>
    </row>
    <row r="196" spans="2:30">
      <c r="B196" s="89">
        <v>48153</v>
      </c>
      <c r="C196" s="34" t="s">
        <v>32</v>
      </c>
      <c r="D196" s="35">
        <v>22</v>
      </c>
      <c r="E196" s="35">
        <v>22</v>
      </c>
      <c r="F196" s="35">
        <v>22</v>
      </c>
      <c r="G196" s="35">
        <v>22</v>
      </c>
      <c r="H196" s="35">
        <v>22</v>
      </c>
      <c r="I196" s="35">
        <v>22</v>
      </c>
      <c r="J196" s="35">
        <v>22</v>
      </c>
      <c r="K196" s="35">
        <v>22</v>
      </c>
      <c r="L196" s="35">
        <v>22</v>
      </c>
      <c r="M196" s="35">
        <v>22</v>
      </c>
      <c r="N196" s="35">
        <v>22</v>
      </c>
      <c r="O196" s="35">
        <v>22</v>
      </c>
      <c r="P196" s="35">
        <v>22</v>
      </c>
      <c r="Q196" s="35">
        <v>22</v>
      </c>
      <c r="R196" s="35">
        <v>22</v>
      </c>
      <c r="S196" s="35">
        <v>22</v>
      </c>
      <c r="T196" s="35">
        <v>22</v>
      </c>
      <c r="U196" s="35">
        <v>22</v>
      </c>
      <c r="V196" s="35">
        <v>22</v>
      </c>
      <c r="W196" s="35">
        <v>22</v>
      </c>
      <c r="X196" s="35">
        <v>22</v>
      </c>
      <c r="Y196" s="35">
        <v>22</v>
      </c>
      <c r="Z196" s="35">
        <v>22</v>
      </c>
      <c r="AA196" s="35">
        <v>22</v>
      </c>
      <c r="AB196" s="36">
        <f t="shared" si="4"/>
        <v>528</v>
      </c>
      <c r="AC196" s="37">
        <v>18</v>
      </c>
      <c r="AD196" s="91">
        <f>+AB196*AC196+AB197*AC197+AB198*AC198</f>
        <v>15840</v>
      </c>
    </row>
    <row r="197" spans="2:30">
      <c r="B197" s="89"/>
      <c r="C197" s="34" t="s">
        <v>33</v>
      </c>
      <c r="D197" s="35">
        <v>22</v>
      </c>
      <c r="E197" s="35">
        <v>22</v>
      </c>
      <c r="F197" s="35">
        <v>22</v>
      </c>
      <c r="G197" s="35">
        <v>22</v>
      </c>
      <c r="H197" s="35">
        <v>22</v>
      </c>
      <c r="I197" s="35">
        <v>22</v>
      </c>
      <c r="J197" s="35">
        <v>22</v>
      </c>
      <c r="K197" s="35">
        <v>22</v>
      </c>
      <c r="L197" s="35">
        <v>22</v>
      </c>
      <c r="M197" s="35">
        <v>22</v>
      </c>
      <c r="N197" s="35">
        <v>22</v>
      </c>
      <c r="O197" s="35">
        <v>22</v>
      </c>
      <c r="P197" s="35">
        <v>22</v>
      </c>
      <c r="Q197" s="35">
        <v>22</v>
      </c>
      <c r="R197" s="35">
        <v>22</v>
      </c>
      <c r="S197" s="35">
        <v>22</v>
      </c>
      <c r="T197" s="35">
        <v>22</v>
      </c>
      <c r="U197" s="35">
        <v>22</v>
      </c>
      <c r="V197" s="35">
        <v>22</v>
      </c>
      <c r="W197" s="35">
        <v>22</v>
      </c>
      <c r="X197" s="35">
        <v>22</v>
      </c>
      <c r="Y197" s="35">
        <v>22</v>
      </c>
      <c r="Z197" s="35">
        <v>22</v>
      </c>
      <c r="AA197" s="35">
        <v>22</v>
      </c>
      <c r="AB197" s="36">
        <f t="shared" si="4"/>
        <v>528</v>
      </c>
      <c r="AC197" s="37">
        <v>5</v>
      </c>
      <c r="AD197" s="91"/>
    </row>
    <row r="198" spans="2:30">
      <c r="B198" s="89"/>
      <c r="C198" s="34" t="s">
        <v>34</v>
      </c>
      <c r="D198" s="35">
        <v>22</v>
      </c>
      <c r="E198" s="35">
        <v>22</v>
      </c>
      <c r="F198" s="35">
        <v>22</v>
      </c>
      <c r="G198" s="35">
        <v>22</v>
      </c>
      <c r="H198" s="35">
        <v>22</v>
      </c>
      <c r="I198" s="35">
        <v>22</v>
      </c>
      <c r="J198" s="35">
        <v>22</v>
      </c>
      <c r="K198" s="35">
        <v>22</v>
      </c>
      <c r="L198" s="35">
        <v>22</v>
      </c>
      <c r="M198" s="35">
        <v>22</v>
      </c>
      <c r="N198" s="35">
        <v>22</v>
      </c>
      <c r="O198" s="35">
        <v>22</v>
      </c>
      <c r="P198" s="35">
        <v>22</v>
      </c>
      <c r="Q198" s="35">
        <v>22</v>
      </c>
      <c r="R198" s="35">
        <v>22</v>
      </c>
      <c r="S198" s="35">
        <v>22</v>
      </c>
      <c r="T198" s="35">
        <v>22</v>
      </c>
      <c r="U198" s="35">
        <v>22</v>
      </c>
      <c r="V198" s="35">
        <v>22</v>
      </c>
      <c r="W198" s="35">
        <v>22</v>
      </c>
      <c r="X198" s="35">
        <v>22</v>
      </c>
      <c r="Y198" s="35">
        <v>22</v>
      </c>
      <c r="Z198" s="35">
        <v>22</v>
      </c>
      <c r="AA198" s="35">
        <v>22</v>
      </c>
      <c r="AB198" s="36">
        <f t="shared" si="4"/>
        <v>528</v>
      </c>
      <c r="AC198" s="37">
        <v>7</v>
      </c>
      <c r="AD198" s="91"/>
    </row>
    <row r="199" spans="2:30">
      <c r="B199" s="89">
        <v>48183</v>
      </c>
      <c r="C199" s="34" t="s">
        <v>32</v>
      </c>
      <c r="D199" s="35">
        <v>22</v>
      </c>
      <c r="E199" s="35">
        <v>22</v>
      </c>
      <c r="F199" s="35">
        <v>22</v>
      </c>
      <c r="G199" s="35">
        <v>22</v>
      </c>
      <c r="H199" s="35">
        <v>22</v>
      </c>
      <c r="I199" s="35">
        <v>22</v>
      </c>
      <c r="J199" s="35">
        <v>22</v>
      </c>
      <c r="K199" s="35">
        <v>22</v>
      </c>
      <c r="L199" s="35">
        <v>22</v>
      </c>
      <c r="M199" s="35">
        <v>22</v>
      </c>
      <c r="N199" s="35">
        <v>22</v>
      </c>
      <c r="O199" s="35">
        <v>22</v>
      </c>
      <c r="P199" s="35">
        <v>22</v>
      </c>
      <c r="Q199" s="35">
        <v>22</v>
      </c>
      <c r="R199" s="35">
        <v>22</v>
      </c>
      <c r="S199" s="35">
        <v>22</v>
      </c>
      <c r="T199" s="35">
        <v>22</v>
      </c>
      <c r="U199" s="35">
        <v>22</v>
      </c>
      <c r="V199" s="35">
        <v>22</v>
      </c>
      <c r="W199" s="35">
        <v>22</v>
      </c>
      <c r="X199" s="35">
        <v>22</v>
      </c>
      <c r="Y199" s="35">
        <v>22</v>
      </c>
      <c r="Z199" s="35">
        <v>22</v>
      </c>
      <c r="AA199" s="35">
        <v>22</v>
      </c>
      <c r="AB199" s="36">
        <f t="shared" si="4"/>
        <v>528</v>
      </c>
      <c r="AC199" s="37">
        <v>21</v>
      </c>
      <c r="AD199" s="91">
        <f>+AB199*AC199+AB200*AC200+AB201*AC201</f>
        <v>16368</v>
      </c>
    </row>
    <row r="200" spans="2:30">
      <c r="B200" s="89"/>
      <c r="C200" s="34" t="s">
        <v>33</v>
      </c>
      <c r="D200" s="35">
        <v>22</v>
      </c>
      <c r="E200" s="35">
        <v>22</v>
      </c>
      <c r="F200" s="35">
        <v>22</v>
      </c>
      <c r="G200" s="35">
        <v>22</v>
      </c>
      <c r="H200" s="35">
        <v>22</v>
      </c>
      <c r="I200" s="35">
        <v>22</v>
      </c>
      <c r="J200" s="35">
        <v>22</v>
      </c>
      <c r="K200" s="35">
        <v>22</v>
      </c>
      <c r="L200" s="35">
        <v>22</v>
      </c>
      <c r="M200" s="35">
        <v>22</v>
      </c>
      <c r="N200" s="35">
        <v>22</v>
      </c>
      <c r="O200" s="35">
        <v>22</v>
      </c>
      <c r="P200" s="35">
        <v>22</v>
      </c>
      <c r="Q200" s="35">
        <v>22</v>
      </c>
      <c r="R200" s="35">
        <v>22</v>
      </c>
      <c r="S200" s="35">
        <v>22</v>
      </c>
      <c r="T200" s="35">
        <v>22</v>
      </c>
      <c r="U200" s="35">
        <v>22</v>
      </c>
      <c r="V200" s="35">
        <v>22</v>
      </c>
      <c r="W200" s="35">
        <v>22</v>
      </c>
      <c r="X200" s="35">
        <v>22</v>
      </c>
      <c r="Y200" s="35">
        <v>22</v>
      </c>
      <c r="Z200" s="35">
        <v>22</v>
      </c>
      <c r="AA200" s="35">
        <v>22</v>
      </c>
      <c r="AB200" s="36">
        <f t="shared" si="4"/>
        <v>528</v>
      </c>
      <c r="AC200" s="37">
        <v>4</v>
      </c>
      <c r="AD200" s="91"/>
    </row>
    <row r="201" spans="2:30">
      <c r="B201" s="89"/>
      <c r="C201" s="34" t="s">
        <v>34</v>
      </c>
      <c r="D201" s="35">
        <v>22</v>
      </c>
      <c r="E201" s="35">
        <v>22</v>
      </c>
      <c r="F201" s="35">
        <v>22</v>
      </c>
      <c r="G201" s="35">
        <v>22</v>
      </c>
      <c r="H201" s="35">
        <v>22</v>
      </c>
      <c r="I201" s="35">
        <v>22</v>
      </c>
      <c r="J201" s="35">
        <v>22</v>
      </c>
      <c r="K201" s="35">
        <v>22</v>
      </c>
      <c r="L201" s="35">
        <v>22</v>
      </c>
      <c r="M201" s="35">
        <v>22</v>
      </c>
      <c r="N201" s="35">
        <v>22</v>
      </c>
      <c r="O201" s="35">
        <v>22</v>
      </c>
      <c r="P201" s="35">
        <v>22</v>
      </c>
      <c r="Q201" s="35">
        <v>22</v>
      </c>
      <c r="R201" s="35">
        <v>22</v>
      </c>
      <c r="S201" s="35">
        <v>22</v>
      </c>
      <c r="T201" s="35">
        <v>22</v>
      </c>
      <c r="U201" s="35">
        <v>22</v>
      </c>
      <c r="V201" s="35">
        <v>22</v>
      </c>
      <c r="W201" s="35">
        <v>22</v>
      </c>
      <c r="X201" s="35">
        <v>22</v>
      </c>
      <c r="Y201" s="35">
        <v>22</v>
      </c>
      <c r="Z201" s="35">
        <v>22</v>
      </c>
      <c r="AA201" s="35">
        <v>22</v>
      </c>
      <c r="AB201" s="36">
        <f t="shared" si="4"/>
        <v>528</v>
      </c>
      <c r="AC201" s="37">
        <v>6</v>
      </c>
      <c r="AD201" s="91"/>
    </row>
    <row r="202" spans="2:30">
      <c r="AA202" s="86" t="s">
        <v>35</v>
      </c>
      <c r="AB202" s="87"/>
      <c r="AC202" s="88"/>
      <c r="AD202" s="39">
        <f>SUM(AD166:AD201)</f>
        <v>192720</v>
      </c>
    </row>
    <row r="203" spans="2:30">
      <c r="AB203" s="38"/>
      <c r="AC203" s="38"/>
    </row>
    <row r="204" spans="2:30" ht="23.25">
      <c r="B204" s="41" t="s">
        <v>40</v>
      </c>
    </row>
    <row r="205" spans="2:30">
      <c r="B205" s="32" t="s">
        <v>3</v>
      </c>
      <c r="C205" s="32" t="s">
        <v>4</v>
      </c>
      <c r="D205" s="32" t="s">
        <v>5</v>
      </c>
      <c r="E205" s="32" t="s">
        <v>6</v>
      </c>
      <c r="F205" s="32" t="s">
        <v>7</v>
      </c>
      <c r="G205" s="32" t="s">
        <v>8</v>
      </c>
      <c r="H205" s="32" t="s">
        <v>9</v>
      </c>
      <c r="I205" s="32" t="s">
        <v>10</v>
      </c>
      <c r="J205" s="32" t="s">
        <v>11</v>
      </c>
      <c r="K205" s="32" t="s">
        <v>12</v>
      </c>
      <c r="L205" s="32" t="s">
        <v>13</v>
      </c>
      <c r="M205" s="32" t="s">
        <v>14</v>
      </c>
      <c r="N205" s="32" t="s">
        <v>15</v>
      </c>
      <c r="O205" s="32" t="s">
        <v>16</v>
      </c>
      <c r="P205" s="32" t="s">
        <v>17</v>
      </c>
      <c r="Q205" s="32" t="s">
        <v>18</v>
      </c>
      <c r="R205" s="32" t="s">
        <v>19</v>
      </c>
      <c r="S205" s="32" t="s">
        <v>20</v>
      </c>
      <c r="T205" s="32" t="s">
        <v>21</v>
      </c>
      <c r="U205" s="32" t="s">
        <v>22</v>
      </c>
      <c r="V205" s="32" t="s">
        <v>23</v>
      </c>
      <c r="W205" s="32" t="s">
        <v>24</v>
      </c>
      <c r="X205" s="32" t="s">
        <v>25</v>
      </c>
      <c r="Y205" s="32" t="s">
        <v>26</v>
      </c>
      <c r="Z205" s="32" t="s">
        <v>27</v>
      </c>
      <c r="AA205" s="32" t="s">
        <v>28</v>
      </c>
      <c r="AB205" s="33" t="s">
        <v>29</v>
      </c>
      <c r="AC205" s="33" t="s">
        <v>30</v>
      </c>
      <c r="AD205" s="32" t="s">
        <v>31</v>
      </c>
    </row>
    <row r="206" spans="2:30">
      <c r="B206" s="89">
        <v>48214</v>
      </c>
      <c r="C206" s="34" t="s">
        <v>32</v>
      </c>
      <c r="D206" s="35">
        <v>32</v>
      </c>
      <c r="E206" s="35">
        <v>32</v>
      </c>
      <c r="F206" s="35">
        <v>32</v>
      </c>
      <c r="G206" s="35">
        <v>32</v>
      </c>
      <c r="H206" s="35">
        <v>32</v>
      </c>
      <c r="I206" s="35">
        <v>32</v>
      </c>
      <c r="J206" s="35">
        <v>32</v>
      </c>
      <c r="K206" s="35">
        <v>32</v>
      </c>
      <c r="L206" s="35">
        <v>32</v>
      </c>
      <c r="M206" s="35">
        <v>32</v>
      </c>
      <c r="N206" s="35">
        <v>32</v>
      </c>
      <c r="O206" s="35">
        <v>32</v>
      </c>
      <c r="P206" s="35">
        <v>32</v>
      </c>
      <c r="Q206" s="35">
        <v>32</v>
      </c>
      <c r="R206" s="35">
        <v>32</v>
      </c>
      <c r="S206" s="35">
        <v>32</v>
      </c>
      <c r="T206" s="35">
        <v>32</v>
      </c>
      <c r="U206" s="35">
        <v>32</v>
      </c>
      <c r="V206" s="35">
        <v>32</v>
      </c>
      <c r="W206" s="35">
        <v>32</v>
      </c>
      <c r="X206" s="35">
        <v>32</v>
      </c>
      <c r="Y206" s="35">
        <v>32</v>
      </c>
      <c r="Z206" s="35">
        <v>32</v>
      </c>
      <c r="AA206" s="35">
        <v>32</v>
      </c>
      <c r="AB206" s="36">
        <f>SUM(D206:AA206)</f>
        <v>768</v>
      </c>
      <c r="AC206" s="37">
        <v>20</v>
      </c>
      <c r="AD206" s="91">
        <f>+AB206*AC206+AB207*AC207+AB208*AC208</f>
        <v>23808</v>
      </c>
    </row>
    <row r="207" spans="2:30">
      <c r="B207" s="89"/>
      <c r="C207" s="34" t="s">
        <v>33</v>
      </c>
      <c r="D207" s="35">
        <v>32</v>
      </c>
      <c r="E207" s="35">
        <v>32</v>
      </c>
      <c r="F207" s="35">
        <v>32</v>
      </c>
      <c r="G207" s="35">
        <v>32</v>
      </c>
      <c r="H207" s="35">
        <v>32</v>
      </c>
      <c r="I207" s="35">
        <v>32</v>
      </c>
      <c r="J207" s="35">
        <v>32</v>
      </c>
      <c r="K207" s="35">
        <v>32</v>
      </c>
      <c r="L207" s="35">
        <v>32</v>
      </c>
      <c r="M207" s="35">
        <v>32</v>
      </c>
      <c r="N207" s="35">
        <v>32</v>
      </c>
      <c r="O207" s="35">
        <v>32</v>
      </c>
      <c r="P207" s="35">
        <v>32</v>
      </c>
      <c r="Q207" s="35">
        <v>32</v>
      </c>
      <c r="R207" s="35">
        <v>32</v>
      </c>
      <c r="S207" s="35">
        <v>32</v>
      </c>
      <c r="T207" s="35">
        <v>32</v>
      </c>
      <c r="U207" s="35">
        <v>32</v>
      </c>
      <c r="V207" s="35">
        <v>32</v>
      </c>
      <c r="W207" s="35">
        <v>32</v>
      </c>
      <c r="X207" s="35">
        <v>32</v>
      </c>
      <c r="Y207" s="35">
        <v>32</v>
      </c>
      <c r="Z207" s="35">
        <v>32</v>
      </c>
      <c r="AA207" s="35">
        <v>32</v>
      </c>
      <c r="AB207" s="36">
        <f t="shared" ref="AB207:AB241" si="5">SUM(D207:AA207)</f>
        <v>768</v>
      </c>
      <c r="AC207" s="37">
        <v>5</v>
      </c>
      <c r="AD207" s="91"/>
    </row>
    <row r="208" spans="2:30">
      <c r="B208" s="89"/>
      <c r="C208" s="34" t="s">
        <v>34</v>
      </c>
      <c r="D208" s="35">
        <v>32</v>
      </c>
      <c r="E208" s="35">
        <v>32</v>
      </c>
      <c r="F208" s="35">
        <v>32</v>
      </c>
      <c r="G208" s="35">
        <v>32</v>
      </c>
      <c r="H208" s="35">
        <v>32</v>
      </c>
      <c r="I208" s="35">
        <v>32</v>
      </c>
      <c r="J208" s="35">
        <v>32</v>
      </c>
      <c r="K208" s="35">
        <v>32</v>
      </c>
      <c r="L208" s="35">
        <v>32</v>
      </c>
      <c r="M208" s="35">
        <v>32</v>
      </c>
      <c r="N208" s="35">
        <v>32</v>
      </c>
      <c r="O208" s="35">
        <v>32</v>
      </c>
      <c r="P208" s="35">
        <v>32</v>
      </c>
      <c r="Q208" s="35">
        <v>32</v>
      </c>
      <c r="R208" s="35">
        <v>32</v>
      </c>
      <c r="S208" s="35">
        <v>32</v>
      </c>
      <c r="T208" s="35">
        <v>32</v>
      </c>
      <c r="U208" s="35">
        <v>32</v>
      </c>
      <c r="V208" s="35">
        <v>32</v>
      </c>
      <c r="W208" s="35">
        <v>32</v>
      </c>
      <c r="X208" s="35">
        <v>32</v>
      </c>
      <c r="Y208" s="35">
        <v>32</v>
      </c>
      <c r="Z208" s="35">
        <v>32</v>
      </c>
      <c r="AA208" s="35">
        <v>32</v>
      </c>
      <c r="AB208" s="36">
        <f t="shared" si="5"/>
        <v>768</v>
      </c>
      <c r="AC208" s="37">
        <v>6</v>
      </c>
      <c r="AD208" s="91"/>
    </row>
    <row r="209" spans="2:30">
      <c r="B209" s="89">
        <v>48245</v>
      </c>
      <c r="C209" s="34" t="s">
        <v>32</v>
      </c>
      <c r="D209" s="35">
        <v>32</v>
      </c>
      <c r="E209" s="35">
        <v>32</v>
      </c>
      <c r="F209" s="35">
        <v>32</v>
      </c>
      <c r="G209" s="35">
        <v>32</v>
      </c>
      <c r="H209" s="35">
        <v>32</v>
      </c>
      <c r="I209" s="35">
        <v>32</v>
      </c>
      <c r="J209" s="35">
        <v>32</v>
      </c>
      <c r="K209" s="35">
        <v>32</v>
      </c>
      <c r="L209" s="35">
        <v>32</v>
      </c>
      <c r="M209" s="35">
        <v>32</v>
      </c>
      <c r="N209" s="35">
        <v>32</v>
      </c>
      <c r="O209" s="35">
        <v>32</v>
      </c>
      <c r="P209" s="35">
        <v>32</v>
      </c>
      <c r="Q209" s="35">
        <v>32</v>
      </c>
      <c r="R209" s="35">
        <v>32</v>
      </c>
      <c r="S209" s="35">
        <v>32</v>
      </c>
      <c r="T209" s="35">
        <v>32</v>
      </c>
      <c r="U209" s="35">
        <v>32</v>
      </c>
      <c r="V209" s="35">
        <v>32</v>
      </c>
      <c r="W209" s="35">
        <v>32</v>
      </c>
      <c r="X209" s="35">
        <v>32</v>
      </c>
      <c r="Y209" s="35">
        <v>32</v>
      </c>
      <c r="Z209" s="35">
        <v>32</v>
      </c>
      <c r="AA209" s="35">
        <v>32</v>
      </c>
      <c r="AB209" s="36">
        <f t="shared" si="5"/>
        <v>768</v>
      </c>
      <c r="AC209" s="37">
        <v>20</v>
      </c>
      <c r="AD209" s="91">
        <f>+AB209*AC209+AB210*AC210+AB211*AC211</f>
        <v>22272</v>
      </c>
    </row>
    <row r="210" spans="2:30">
      <c r="B210" s="89"/>
      <c r="C210" s="34" t="s">
        <v>33</v>
      </c>
      <c r="D210" s="35">
        <v>32</v>
      </c>
      <c r="E210" s="35">
        <v>32</v>
      </c>
      <c r="F210" s="35">
        <v>32</v>
      </c>
      <c r="G210" s="35">
        <v>32</v>
      </c>
      <c r="H210" s="35">
        <v>32</v>
      </c>
      <c r="I210" s="35">
        <v>32</v>
      </c>
      <c r="J210" s="35">
        <v>32</v>
      </c>
      <c r="K210" s="35">
        <v>32</v>
      </c>
      <c r="L210" s="35">
        <v>32</v>
      </c>
      <c r="M210" s="35">
        <v>32</v>
      </c>
      <c r="N210" s="35">
        <v>32</v>
      </c>
      <c r="O210" s="35">
        <v>32</v>
      </c>
      <c r="P210" s="35">
        <v>32</v>
      </c>
      <c r="Q210" s="35">
        <v>32</v>
      </c>
      <c r="R210" s="35">
        <v>32</v>
      </c>
      <c r="S210" s="35">
        <v>32</v>
      </c>
      <c r="T210" s="35">
        <v>32</v>
      </c>
      <c r="U210" s="35">
        <v>32</v>
      </c>
      <c r="V210" s="35">
        <v>32</v>
      </c>
      <c r="W210" s="35">
        <v>32</v>
      </c>
      <c r="X210" s="35">
        <v>32</v>
      </c>
      <c r="Y210" s="35">
        <v>32</v>
      </c>
      <c r="Z210" s="35">
        <v>32</v>
      </c>
      <c r="AA210" s="35">
        <v>32</v>
      </c>
      <c r="AB210" s="36">
        <f t="shared" si="5"/>
        <v>768</v>
      </c>
      <c r="AC210" s="37">
        <v>4</v>
      </c>
      <c r="AD210" s="91"/>
    </row>
    <row r="211" spans="2:30">
      <c r="B211" s="89"/>
      <c r="C211" s="34" t="s">
        <v>34</v>
      </c>
      <c r="D211" s="35">
        <v>32</v>
      </c>
      <c r="E211" s="35">
        <v>32</v>
      </c>
      <c r="F211" s="35">
        <v>32</v>
      </c>
      <c r="G211" s="35">
        <v>32</v>
      </c>
      <c r="H211" s="35">
        <v>32</v>
      </c>
      <c r="I211" s="35">
        <v>32</v>
      </c>
      <c r="J211" s="35">
        <v>32</v>
      </c>
      <c r="K211" s="35">
        <v>32</v>
      </c>
      <c r="L211" s="35">
        <v>32</v>
      </c>
      <c r="M211" s="35">
        <v>32</v>
      </c>
      <c r="N211" s="35">
        <v>32</v>
      </c>
      <c r="O211" s="35">
        <v>32</v>
      </c>
      <c r="P211" s="35">
        <v>32</v>
      </c>
      <c r="Q211" s="35">
        <v>32</v>
      </c>
      <c r="R211" s="35">
        <v>32</v>
      </c>
      <c r="S211" s="35">
        <v>32</v>
      </c>
      <c r="T211" s="35">
        <v>32</v>
      </c>
      <c r="U211" s="35">
        <v>32</v>
      </c>
      <c r="V211" s="35">
        <v>32</v>
      </c>
      <c r="W211" s="35">
        <v>32</v>
      </c>
      <c r="X211" s="35">
        <v>32</v>
      </c>
      <c r="Y211" s="35">
        <v>32</v>
      </c>
      <c r="Z211" s="35">
        <v>32</v>
      </c>
      <c r="AA211" s="35">
        <v>32</v>
      </c>
      <c r="AB211" s="36">
        <f t="shared" si="5"/>
        <v>768</v>
      </c>
      <c r="AC211" s="37">
        <v>5</v>
      </c>
      <c r="AD211" s="91"/>
    </row>
    <row r="212" spans="2:30">
      <c r="B212" s="89">
        <v>48274</v>
      </c>
      <c r="C212" s="34" t="s">
        <v>32</v>
      </c>
      <c r="D212" s="35">
        <v>32</v>
      </c>
      <c r="E212" s="35">
        <v>32</v>
      </c>
      <c r="F212" s="35">
        <v>32</v>
      </c>
      <c r="G212" s="35">
        <v>32</v>
      </c>
      <c r="H212" s="35">
        <v>32</v>
      </c>
      <c r="I212" s="35">
        <v>32</v>
      </c>
      <c r="J212" s="35">
        <v>32</v>
      </c>
      <c r="K212" s="35">
        <v>32</v>
      </c>
      <c r="L212" s="35">
        <v>32</v>
      </c>
      <c r="M212" s="35">
        <v>32</v>
      </c>
      <c r="N212" s="35">
        <v>32</v>
      </c>
      <c r="O212" s="35">
        <v>32</v>
      </c>
      <c r="P212" s="35">
        <v>32</v>
      </c>
      <c r="Q212" s="35">
        <v>32</v>
      </c>
      <c r="R212" s="35">
        <v>32</v>
      </c>
      <c r="S212" s="35">
        <v>32</v>
      </c>
      <c r="T212" s="35">
        <v>32</v>
      </c>
      <c r="U212" s="35">
        <v>32</v>
      </c>
      <c r="V212" s="35">
        <v>32</v>
      </c>
      <c r="W212" s="35">
        <v>32</v>
      </c>
      <c r="X212" s="35">
        <v>32</v>
      </c>
      <c r="Y212" s="35">
        <v>32</v>
      </c>
      <c r="Z212" s="35">
        <v>32</v>
      </c>
      <c r="AA212" s="35">
        <v>32</v>
      </c>
      <c r="AB212" s="36">
        <f t="shared" si="5"/>
        <v>768</v>
      </c>
      <c r="AC212" s="37">
        <v>20</v>
      </c>
      <c r="AD212" s="91">
        <f>+AB212*AC212+AB213*AC213+AB214*AC214</f>
        <v>23808</v>
      </c>
    </row>
    <row r="213" spans="2:30">
      <c r="B213" s="89"/>
      <c r="C213" s="34" t="s">
        <v>33</v>
      </c>
      <c r="D213" s="35">
        <v>32</v>
      </c>
      <c r="E213" s="35">
        <v>32</v>
      </c>
      <c r="F213" s="35">
        <v>32</v>
      </c>
      <c r="G213" s="35">
        <v>32</v>
      </c>
      <c r="H213" s="35">
        <v>32</v>
      </c>
      <c r="I213" s="35">
        <v>32</v>
      </c>
      <c r="J213" s="35">
        <v>32</v>
      </c>
      <c r="K213" s="35">
        <v>32</v>
      </c>
      <c r="L213" s="35">
        <v>32</v>
      </c>
      <c r="M213" s="35">
        <v>32</v>
      </c>
      <c r="N213" s="35">
        <v>32</v>
      </c>
      <c r="O213" s="35">
        <v>32</v>
      </c>
      <c r="P213" s="35">
        <v>32</v>
      </c>
      <c r="Q213" s="35">
        <v>32</v>
      </c>
      <c r="R213" s="35">
        <v>32</v>
      </c>
      <c r="S213" s="35">
        <v>32</v>
      </c>
      <c r="T213" s="35">
        <v>32</v>
      </c>
      <c r="U213" s="35">
        <v>32</v>
      </c>
      <c r="V213" s="35">
        <v>32</v>
      </c>
      <c r="W213" s="35">
        <v>32</v>
      </c>
      <c r="X213" s="35">
        <v>32</v>
      </c>
      <c r="Y213" s="35">
        <v>32</v>
      </c>
      <c r="Z213" s="35">
        <v>32</v>
      </c>
      <c r="AA213" s="35">
        <v>32</v>
      </c>
      <c r="AB213" s="36">
        <f t="shared" si="5"/>
        <v>768</v>
      </c>
      <c r="AC213" s="37">
        <v>4</v>
      </c>
      <c r="AD213" s="91"/>
    </row>
    <row r="214" spans="2:30">
      <c r="B214" s="89"/>
      <c r="C214" s="34" t="s">
        <v>34</v>
      </c>
      <c r="D214" s="35">
        <v>32</v>
      </c>
      <c r="E214" s="35">
        <v>32</v>
      </c>
      <c r="F214" s="35">
        <v>32</v>
      </c>
      <c r="G214" s="35">
        <v>32</v>
      </c>
      <c r="H214" s="35">
        <v>32</v>
      </c>
      <c r="I214" s="35">
        <v>32</v>
      </c>
      <c r="J214" s="35">
        <v>32</v>
      </c>
      <c r="K214" s="35">
        <v>32</v>
      </c>
      <c r="L214" s="35">
        <v>32</v>
      </c>
      <c r="M214" s="35">
        <v>32</v>
      </c>
      <c r="N214" s="35">
        <v>32</v>
      </c>
      <c r="O214" s="35">
        <v>32</v>
      </c>
      <c r="P214" s="35">
        <v>32</v>
      </c>
      <c r="Q214" s="35">
        <v>32</v>
      </c>
      <c r="R214" s="35">
        <v>32</v>
      </c>
      <c r="S214" s="35">
        <v>32</v>
      </c>
      <c r="T214" s="35">
        <v>32</v>
      </c>
      <c r="U214" s="35">
        <v>32</v>
      </c>
      <c r="V214" s="35">
        <v>32</v>
      </c>
      <c r="W214" s="35">
        <v>32</v>
      </c>
      <c r="X214" s="35">
        <v>32</v>
      </c>
      <c r="Y214" s="35">
        <v>32</v>
      </c>
      <c r="Z214" s="35">
        <v>32</v>
      </c>
      <c r="AA214" s="35">
        <v>32</v>
      </c>
      <c r="AB214" s="36">
        <f t="shared" si="5"/>
        <v>768</v>
      </c>
      <c r="AC214" s="37">
        <v>7</v>
      </c>
      <c r="AD214" s="91"/>
    </row>
    <row r="215" spans="2:30">
      <c r="B215" s="89">
        <v>48305</v>
      </c>
      <c r="C215" s="34" t="s">
        <v>32</v>
      </c>
      <c r="D215" s="35">
        <v>32</v>
      </c>
      <c r="E215" s="35">
        <v>32</v>
      </c>
      <c r="F215" s="35">
        <v>32</v>
      </c>
      <c r="G215" s="35">
        <v>32</v>
      </c>
      <c r="H215" s="35">
        <v>32</v>
      </c>
      <c r="I215" s="35">
        <v>32</v>
      </c>
      <c r="J215" s="35">
        <v>32</v>
      </c>
      <c r="K215" s="35">
        <v>32</v>
      </c>
      <c r="L215" s="35">
        <v>32</v>
      </c>
      <c r="M215" s="35">
        <v>32</v>
      </c>
      <c r="N215" s="35">
        <v>32</v>
      </c>
      <c r="O215" s="35">
        <v>32</v>
      </c>
      <c r="P215" s="35">
        <v>32</v>
      </c>
      <c r="Q215" s="35">
        <v>32</v>
      </c>
      <c r="R215" s="35">
        <v>32</v>
      </c>
      <c r="S215" s="35">
        <v>32</v>
      </c>
      <c r="T215" s="35">
        <v>32</v>
      </c>
      <c r="U215" s="35">
        <v>32</v>
      </c>
      <c r="V215" s="35">
        <v>32</v>
      </c>
      <c r="W215" s="35">
        <v>32</v>
      </c>
      <c r="X215" s="35">
        <v>32</v>
      </c>
      <c r="Y215" s="35">
        <v>32</v>
      </c>
      <c r="Z215" s="35">
        <v>32</v>
      </c>
      <c r="AA215" s="35">
        <v>32</v>
      </c>
      <c r="AB215" s="36">
        <f t="shared" si="5"/>
        <v>768</v>
      </c>
      <c r="AC215" s="37">
        <v>22</v>
      </c>
      <c r="AD215" s="91">
        <f>+AB215*AC215+AB216*AC216+AB217*AC217</f>
        <v>23040</v>
      </c>
    </row>
    <row r="216" spans="2:30">
      <c r="B216" s="89"/>
      <c r="C216" s="34" t="s">
        <v>33</v>
      </c>
      <c r="D216" s="35">
        <v>32</v>
      </c>
      <c r="E216" s="35">
        <v>32</v>
      </c>
      <c r="F216" s="35">
        <v>32</v>
      </c>
      <c r="G216" s="35">
        <v>32</v>
      </c>
      <c r="H216" s="35">
        <v>32</v>
      </c>
      <c r="I216" s="35">
        <v>32</v>
      </c>
      <c r="J216" s="35">
        <v>32</v>
      </c>
      <c r="K216" s="35">
        <v>32</v>
      </c>
      <c r="L216" s="35">
        <v>32</v>
      </c>
      <c r="M216" s="35">
        <v>32</v>
      </c>
      <c r="N216" s="35">
        <v>32</v>
      </c>
      <c r="O216" s="35">
        <v>32</v>
      </c>
      <c r="P216" s="35">
        <v>32</v>
      </c>
      <c r="Q216" s="35">
        <v>32</v>
      </c>
      <c r="R216" s="35">
        <v>32</v>
      </c>
      <c r="S216" s="35">
        <v>32</v>
      </c>
      <c r="T216" s="35">
        <v>32</v>
      </c>
      <c r="U216" s="35">
        <v>32</v>
      </c>
      <c r="V216" s="35">
        <v>32</v>
      </c>
      <c r="W216" s="35">
        <v>32</v>
      </c>
      <c r="X216" s="35">
        <v>32</v>
      </c>
      <c r="Y216" s="35">
        <v>32</v>
      </c>
      <c r="Z216" s="35">
        <v>32</v>
      </c>
      <c r="AA216" s="35">
        <v>32</v>
      </c>
      <c r="AB216" s="36">
        <f t="shared" si="5"/>
        <v>768</v>
      </c>
      <c r="AC216" s="37">
        <v>4</v>
      </c>
      <c r="AD216" s="91"/>
    </row>
    <row r="217" spans="2:30">
      <c r="B217" s="89"/>
      <c r="C217" s="34" t="s">
        <v>34</v>
      </c>
      <c r="D217" s="35">
        <v>32</v>
      </c>
      <c r="E217" s="35">
        <v>32</v>
      </c>
      <c r="F217" s="35">
        <v>32</v>
      </c>
      <c r="G217" s="35">
        <v>32</v>
      </c>
      <c r="H217" s="35">
        <v>32</v>
      </c>
      <c r="I217" s="35">
        <v>32</v>
      </c>
      <c r="J217" s="35">
        <v>32</v>
      </c>
      <c r="K217" s="35">
        <v>32</v>
      </c>
      <c r="L217" s="35">
        <v>32</v>
      </c>
      <c r="M217" s="35">
        <v>32</v>
      </c>
      <c r="N217" s="35">
        <v>32</v>
      </c>
      <c r="O217" s="35">
        <v>32</v>
      </c>
      <c r="P217" s="35">
        <v>32</v>
      </c>
      <c r="Q217" s="35">
        <v>32</v>
      </c>
      <c r="R217" s="35">
        <v>32</v>
      </c>
      <c r="S217" s="35">
        <v>32</v>
      </c>
      <c r="T217" s="35">
        <v>32</v>
      </c>
      <c r="U217" s="35">
        <v>32</v>
      </c>
      <c r="V217" s="35">
        <v>32</v>
      </c>
      <c r="W217" s="35">
        <v>32</v>
      </c>
      <c r="X217" s="35">
        <v>32</v>
      </c>
      <c r="Y217" s="35">
        <v>32</v>
      </c>
      <c r="Z217" s="35">
        <v>32</v>
      </c>
      <c r="AA217" s="35">
        <v>32</v>
      </c>
      <c r="AB217" s="36">
        <f t="shared" si="5"/>
        <v>768</v>
      </c>
      <c r="AC217" s="37">
        <v>4</v>
      </c>
      <c r="AD217" s="91"/>
    </row>
    <row r="218" spans="2:30">
      <c r="B218" s="89">
        <v>48335</v>
      </c>
      <c r="C218" s="34" t="s">
        <v>32</v>
      </c>
      <c r="D218" s="35">
        <v>32</v>
      </c>
      <c r="E218" s="35">
        <v>32</v>
      </c>
      <c r="F218" s="35">
        <v>32</v>
      </c>
      <c r="G218" s="35">
        <v>32</v>
      </c>
      <c r="H218" s="35">
        <v>32</v>
      </c>
      <c r="I218" s="35">
        <v>32</v>
      </c>
      <c r="J218" s="35">
        <v>32</v>
      </c>
      <c r="K218" s="35">
        <v>32</v>
      </c>
      <c r="L218" s="35">
        <v>32</v>
      </c>
      <c r="M218" s="35">
        <v>32</v>
      </c>
      <c r="N218" s="35">
        <v>32</v>
      </c>
      <c r="O218" s="35">
        <v>32</v>
      </c>
      <c r="P218" s="35">
        <v>32</v>
      </c>
      <c r="Q218" s="35">
        <v>32</v>
      </c>
      <c r="R218" s="35">
        <v>32</v>
      </c>
      <c r="S218" s="35">
        <v>32</v>
      </c>
      <c r="T218" s="35">
        <v>32</v>
      </c>
      <c r="U218" s="35">
        <v>32</v>
      </c>
      <c r="V218" s="35">
        <v>32</v>
      </c>
      <c r="W218" s="35">
        <v>32</v>
      </c>
      <c r="X218" s="35">
        <v>32</v>
      </c>
      <c r="Y218" s="35">
        <v>32</v>
      </c>
      <c r="Z218" s="35">
        <v>32</v>
      </c>
      <c r="AA218" s="35">
        <v>32</v>
      </c>
      <c r="AB218" s="36">
        <f t="shared" si="5"/>
        <v>768</v>
      </c>
      <c r="AC218" s="37">
        <v>19</v>
      </c>
      <c r="AD218" s="91">
        <f>+AB218*AC218+AB219*AC219+AB220*AC220</f>
        <v>23808</v>
      </c>
    </row>
    <row r="219" spans="2:30">
      <c r="B219" s="89"/>
      <c r="C219" s="34" t="s">
        <v>33</v>
      </c>
      <c r="D219" s="35">
        <v>32</v>
      </c>
      <c r="E219" s="35">
        <v>32</v>
      </c>
      <c r="F219" s="35">
        <v>32</v>
      </c>
      <c r="G219" s="35">
        <v>32</v>
      </c>
      <c r="H219" s="35">
        <v>32</v>
      </c>
      <c r="I219" s="35">
        <v>32</v>
      </c>
      <c r="J219" s="35">
        <v>32</v>
      </c>
      <c r="K219" s="35">
        <v>32</v>
      </c>
      <c r="L219" s="35">
        <v>32</v>
      </c>
      <c r="M219" s="35">
        <v>32</v>
      </c>
      <c r="N219" s="35">
        <v>32</v>
      </c>
      <c r="O219" s="35">
        <v>32</v>
      </c>
      <c r="P219" s="35">
        <v>32</v>
      </c>
      <c r="Q219" s="35">
        <v>32</v>
      </c>
      <c r="R219" s="35">
        <v>32</v>
      </c>
      <c r="S219" s="35">
        <v>32</v>
      </c>
      <c r="T219" s="35">
        <v>32</v>
      </c>
      <c r="U219" s="35">
        <v>32</v>
      </c>
      <c r="V219" s="35">
        <v>32</v>
      </c>
      <c r="W219" s="35">
        <v>32</v>
      </c>
      <c r="X219" s="35">
        <v>32</v>
      </c>
      <c r="Y219" s="35">
        <v>32</v>
      </c>
      <c r="Z219" s="35">
        <v>32</v>
      </c>
      <c r="AA219" s="35">
        <v>32</v>
      </c>
      <c r="AB219" s="36">
        <f t="shared" si="5"/>
        <v>768</v>
      </c>
      <c r="AC219" s="37">
        <v>4</v>
      </c>
      <c r="AD219" s="91"/>
    </row>
    <row r="220" spans="2:30">
      <c r="B220" s="89"/>
      <c r="C220" s="34" t="s">
        <v>34</v>
      </c>
      <c r="D220" s="35">
        <v>32</v>
      </c>
      <c r="E220" s="35">
        <v>32</v>
      </c>
      <c r="F220" s="35">
        <v>32</v>
      </c>
      <c r="G220" s="35">
        <v>32</v>
      </c>
      <c r="H220" s="35">
        <v>32</v>
      </c>
      <c r="I220" s="35">
        <v>32</v>
      </c>
      <c r="J220" s="35">
        <v>32</v>
      </c>
      <c r="K220" s="35">
        <v>32</v>
      </c>
      <c r="L220" s="35">
        <v>32</v>
      </c>
      <c r="M220" s="35">
        <v>32</v>
      </c>
      <c r="N220" s="35">
        <v>32</v>
      </c>
      <c r="O220" s="35">
        <v>32</v>
      </c>
      <c r="P220" s="35">
        <v>32</v>
      </c>
      <c r="Q220" s="35">
        <v>32</v>
      </c>
      <c r="R220" s="35">
        <v>32</v>
      </c>
      <c r="S220" s="35">
        <v>32</v>
      </c>
      <c r="T220" s="35">
        <v>32</v>
      </c>
      <c r="U220" s="35">
        <v>32</v>
      </c>
      <c r="V220" s="35">
        <v>32</v>
      </c>
      <c r="W220" s="35">
        <v>32</v>
      </c>
      <c r="X220" s="35">
        <v>32</v>
      </c>
      <c r="Y220" s="35">
        <v>32</v>
      </c>
      <c r="Z220" s="35">
        <v>32</v>
      </c>
      <c r="AA220" s="35">
        <v>32</v>
      </c>
      <c r="AB220" s="36">
        <f t="shared" si="5"/>
        <v>768</v>
      </c>
      <c r="AC220" s="37">
        <v>8</v>
      </c>
      <c r="AD220" s="91"/>
    </row>
    <row r="221" spans="2:30">
      <c r="B221" s="89">
        <v>48366</v>
      </c>
      <c r="C221" s="34" t="s">
        <v>32</v>
      </c>
      <c r="D221" s="35">
        <v>32</v>
      </c>
      <c r="E221" s="35">
        <v>32</v>
      </c>
      <c r="F221" s="35">
        <v>32</v>
      </c>
      <c r="G221" s="35">
        <v>32</v>
      </c>
      <c r="H221" s="35">
        <v>32</v>
      </c>
      <c r="I221" s="35">
        <v>32</v>
      </c>
      <c r="J221" s="35">
        <v>32</v>
      </c>
      <c r="K221" s="35">
        <v>32</v>
      </c>
      <c r="L221" s="35">
        <v>32</v>
      </c>
      <c r="M221" s="35">
        <v>32</v>
      </c>
      <c r="N221" s="35">
        <v>32</v>
      </c>
      <c r="O221" s="35">
        <v>32</v>
      </c>
      <c r="P221" s="35">
        <v>32</v>
      </c>
      <c r="Q221" s="35">
        <v>32</v>
      </c>
      <c r="R221" s="35">
        <v>32</v>
      </c>
      <c r="S221" s="35">
        <v>32</v>
      </c>
      <c r="T221" s="35">
        <v>32</v>
      </c>
      <c r="U221" s="35">
        <v>32</v>
      </c>
      <c r="V221" s="35">
        <v>32</v>
      </c>
      <c r="W221" s="35">
        <v>32</v>
      </c>
      <c r="X221" s="35">
        <v>32</v>
      </c>
      <c r="Y221" s="35">
        <v>32</v>
      </c>
      <c r="Z221" s="35">
        <v>32</v>
      </c>
      <c r="AA221" s="35">
        <v>32</v>
      </c>
      <c r="AB221" s="36">
        <f t="shared" si="5"/>
        <v>768</v>
      </c>
      <c r="AC221" s="37">
        <v>21</v>
      </c>
      <c r="AD221" s="91">
        <f>+AB221*AC221+AB222*AC222+AB223*AC223</f>
        <v>23040</v>
      </c>
    </row>
    <row r="222" spans="2:30">
      <c r="B222" s="89"/>
      <c r="C222" s="34" t="s">
        <v>33</v>
      </c>
      <c r="D222" s="35">
        <v>32</v>
      </c>
      <c r="E222" s="35">
        <v>32</v>
      </c>
      <c r="F222" s="35">
        <v>32</v>
      </c>
      <c r="G222" s="35">
        <v>32</v>
      </c>
      <c r="H222" s="35">
        <v>32</v>
      </c>
      <c r="I222" s="35">
        <v>32</v>
      </c>
      <c r="J222" s="35">
        <v>32</v>
      </c>
      <c r="K222" s="35">
        <v>32</v>
      </c>
      <c r="L222" s="35">
        <v>32</v>
      </c>
      <c r="M222" s="35">
        <v>32</v>
      </c>
      <c r="N222" s="35">
        <v>32</v>
      </c>
      <c r="O222" s="35">
        <v>32</v>
      </c>
      <c r="P222" s="35">
        <v>32</v>
      </c>
      <c r="Q222" s="35">
        <v>32</v>
      </c>
      <c r="R222" s="35">
        <v>32</v>
      </c>
      <c r="S222" s="35">
        <v>32</v>
      </c>
      <c r="T222" s="35">
        <v>32</v>
      </c>
      <c r="U222" s="35">
        <v>32</v>
      </c>
      <c r="V222" s="35">
        <v>32</v>
      </c>
      <c r="W222" s="35">
        <v>32</v>
      </c>
      <c r="X222" s="35">
        <v>32</v>
      </c>
      <c r="Y222" s="35">
        <v>32</v>
      </c>
      <c r="Z222" s="35">
        <v>32</v>
      </c>
      <c r="AA222" s="35">
        <v>32</v>
      </c>
      <c r="AB222" s="36">
        <f t="shared" si="5"/>
        <v>768</v>
      </c>
      <c r="AC222" s="37">
        <v>4</v>
      </c>
      <c r="AD222" s="91"/>
    </row>
    <row r="223" spans="2:30">
      <c r="B223" s="89"/>
      <c r="C223" s="34" t="s">
        <v>34</v>
      </c>
      <c r="D223" s="35">
        <v>32</v>
      </c>
      <c r="E223" s="35">
        <v>32</v>
      </c>
      <c r="F223" s="35">
        <v>32</v>
      </c>
      <c r="G223" s="35">
        <v>32</v>
      </c>
      <c r="H223" s="35">
        <v>32</v>
      </c>
      <c r="I223" s="35">
        <v>32</v>
      </c>
      <c r="J223" s="35">
        <v>32</v>
      </c>
      <c r="K223" s="35">
        <v>32</v>
      </c>
      <c r="L223" s="35">
        <v>32</v>
      </c>
      <c r="M223" s="35">
        <v>32</v>
      </c>
      <c r="N223" s="35">
        <v>32</v>
      </c>
      <c r="O223" s="35">
        <v>32</v>
      </c>
      <c r="P223" s="35">
        <v>32</v>
      </c>
      <c r="Q223" s="35">
        <v>32</v>
      </c>
      <c r="R223" s="35">
        <v>32</v>
      </c>
      <c r="S223" s="35">
        <v>32</v>
      </c>
      <c r="T223" s="35">
        <v>32</v>
      </c>
      <c r="U223" s="35">
        <v>32</v>
      </c>
      <c r="V223" s="35">
        <v>32</v>
      </c>
      <c r="W223" s="35">
        <v>32</v>
      </c>
      <c r="X223" s="35">
        <v>32</v>
      </c>
      <c r="Y223" s="35">
        <v>32</v>
      </c>
      <c r="Z223" s="35">
        <v>32</v>
      </c>
      <c r="AA223" s="35">
        <v>32</v>
      </c>
      <c r="AB223" s="36">
        <f t="shared" si="5"/>
        <v>768</v>
      </c>
      <c r="AC223" s="37">
        <v>5</v>
      </c>
      <c r="AD223" s="91"/>
    </row>
    <row r="224" spans="2:30">
      <c r="B224" s="89">
        <v>48396</v>
      </c>
      <c r="C224" s="34" t="s">
        <v>32</v>
      </c>
      <c r="D224" s="35">
        <v>32</v>
      </c>
      <c r="E224" s="35">
        <v>32</v>
      </c>
      <c r="F224" s="35">
        <v>32</v>
      </c>
      <c r="G224" s="35">
        <v>32</v>
      </c>
      <c r="H224" s="35">
        <v>32</v>
      </c>
      <c r="I224" s="35">
        <v>32</v>
      </c>
      <c r="J224" s="35">
        <v>32</v>
      </c>
      <c r="K224" s="35">
        <v>32</v>
      </c>
      <c r="L224" s="35">
        <v>32</v>
      </c>
      <c r="M224" s="35">
        <v>32</v>
      </c>
      <c r="N224" s="35">
        <v>32</v>
      </c>
      <c r="O224" s="35">
        <v>32</v>
      </c>
      <c r="P224" s="35">
        <v>32</v>
      </c>
      <c r="Q224" s="35">
        <v>32</v>
      </c>
      <c r="R224" s="35">
        <v>32</v>
      </c>
      <c r="S224" s="35">
        <v>32</v>
      </c>
      <c r="T224" s="35">
        <v>32</v>
      </c>
      <c r="U224" s="35">
        <v>32</v>
      </c>
      <c r="V224" s="35">
        <v>32</v>
      </c>
      <c r="W224" s="35">
        <v>32</v>
      </c>
      <c r="X224" s="35">
        <v>32</v>
      </c>
      <c r="Y224" s="35">
        <v>32</v>
      </c>
      <c r="Z224" s="35">
        <v>32</v>
      </c>
      <c r="AA224" s="35">
        <v>32</v>
      </c>
      <c r="AB224" s="36">
        <f t="shared" si="5"/>
        <v>768</v>
      </c>
      <c r="AC224" s="37">
        <v>20</v>
      </c>
      <c r="AD224" s="91">
        <f>+AB224*AC224+AB225*AC225+AB226*AC226</f>
        <v>23808</v>
      </c>
    </row>
    <row r="225" spans="2:30">
      <c r="B225" s="89"/>
      <c r="C225" s="34" t="s">
        <v>33</v>
      </c>
      <c r="D225" s="35">
        <v>32</v>
      </c>
      <c r="E225" s="35">
        <v>32</v>
      </c>
      <c r="F225" s="35">
        <v>32</v>
      </c>
      <c r="G225" s="35">
        <v>32</v>
      </c>
      <c r="H225" s="35">
        <v>32</v>
      </c>
      <c r="I225" s="35">
        <v>32</v>
      </c>
      <c r="J225" s="35">
        <v>32</v>
      </c>
      <c r="K225" s="35">
        <v>32</v>
      </c>
      <c r="L225" s="35">
        <v>32</v>
      </c>
      <c r="M225" s="35">
        <v>32</v>
      </c>
      <c r="N225" s="35">
        <v>32</v>
      </c>
      <c r="O225" s="35">
        <v>32</v>
      </c>
      <c r="P225" s="35">
        <v>32</v>
      </c>
      <c r="Q225" s="35">
        <v>32</v>
      </c>
      <c r="R225" s="35">
        <v>32</v>
      </c>
      <c r="S225" s="35">
        <v>32</v>
      </c>
      <c r="T225" s="35">
        <v>32</v>
      </c>
      <c r="U225" s="35">
        <v>32</v>
      </c>
      <c r="V225" s="35">
        <v>32</v>
      </c>
      <c r="W225" s="35">
        <v>32</v>
      </c>
      <c r="X225" s="35">
        <v>32</v>
      </c>
      <c r="Y225" s="35">
        <v>32</v>
      </c>
      <c r="Z225" s="35">
        <v>32</v>
      </c>
      <c r="AA225" s="35">
        <v>32</v>
      </c>
      <c r="AB225" s="36">
        <f t="shared" si="5"/>
        <v>768</v>
      </c>
      <c r="AC225" s="37">
        <v>5</v>
      </c>
      <c r="AD225" s="91"/>
    </row>
    <row r="226" spans="2:30">
      <c r="B226" s="89"/>
      <c r="C226" s="34" t="s">
        <v>34</v>
      </c>
      <c r="D226" s="35">
        <v>32</v>
      </c>
      <c r="E226" s="35">
        <v>32</v>
      </c>
      <c r="F226" s="35">
        <v>32</v>
      </c>
      <c r="G226" s="35">
        <v>32</v>
      </c>
      <c r="H226" s="35">
        <v>32</v>
      </c>
      <c r="I226" s="35">
        <v>32</v>
      </c>
      <c r="J226" s="35">
        <v>32</v>
      </c>
      <c r="K226" s="35">
        <v>32</v>
      </c>
      <c r="L226" s="35">
        <v>32</v>
      </c>
      <c r="M226" s="35">
        <v>32</v>
      </c>
      <c r="N226" s="35">
        <v>32</v>
      </c>
      <c r="O226" s="35">
        <v>32</v>
      </c>
      <c r="P226" s="35">
        <v>32</v>
      </c>
      <c r="Q226" s="35">
        <v>32</v>
      </c>
      <c r="R226" s="35">
        <v>32</v>
      </c>
      <c r="S226" s="35">
        <v>32</v>
      </c>
      <c r="T226" s="35">
        <v>32</v>
      </c>
      <c r="U226" s="35">
        <v>32</v>
      </c>
      <c r="V226" s="35">
        <v>32</v>
      </c>
      <c r="W226" s="35">
        <v>32</v>
      </c>
      <c r="X226" s="35">
        <v>32</v>
      </c>
      <c r="Y226" s="35">
        <v>32</v>
      </c>
      <c r="Z226" s="35">
        <v>32</v>
      </c>
      <c r="AA226" s="35">
        <v>32</v>
      </c>
      <c r="AB226" s="36">
        <f t="shared" si="5"/>
        <v>768</v>
      </c>
      <c r="AC226" s="37">
        <v>6</v>
      </c>
      <c r="AD226" s="91"/>
    </row>
    <row r="227" spans="2:30">
      <c r="B227" s="89">
        <v>48427</v>
      </c>
      <c r="C227" s="34" t="s">
        <v>32</v>
      </c>
      <c r="D227" s="35">
        <v>32</v>
      </c>
      <c r="E227" s="35">
        <v>32</v>
      </c>
      <c r="F227" s="35">
        <v>32</v>
      </c>
      <c r="G227" s="35">
        <v>32</v>
      </c>
      <c r="H227" s="35">
        <v>32</v>
      </c>
      <c r="I227" s="35">
        <v>32</v>
      </c>
      <c r="J227" s="35">
        <v>32</v>
      </c>
      <c r="K227" s="35">
        <v>32</v>
      </c>
      <c r="L227" s="35">
        <v>32</v>
      </c>
      <c r="M227" s="35">
        <v>32</v>
      </c>
      <c r="N227" s="35">
        <v>32</v>
      </c>
      <c r="O227" s="35">
        <v>32</v>
      </c>
      <c r="P227" s="35">
        <v>32</v>
      </c>
      <c r="Q227" s="35">
        <v>32</v>
      </c>
      <c r="R227" s="35">
        <v>32</v>
      </c>
      <c r="S227" s="35">
        <v>32</v>
      </c>
      <c r="T227" s="35">
        <v>32</v>
      </c>
      <c r="U227" s="35">
        <v>32</v>
      </c>
      <c r="V227" s="35">
        <v>32</v>
      </c>
      <c r="W227" s="35">
        <v>32</v>
      </c>
      <c r="X227" s="35">
        <v>32</v>
      </c>
      <c r="Y227" s="35">
        <v>32</v>
      </c>
      <c r="Z227" s="35">
        <v>32</v>
      </c>
      <c r="AA227" s="35">
        <v>32</v>
      </c>
      <c r="AB227" s="36">
        <f t="shared" si="5"/>
        <v>768</v>
      </c>
      <c r="AC227" s="37">
        <v>21</v>
      </c>
      <c r="AD227" s="91">
        <f>+AB227*AC227+AB228*AC228+AB229*AC229</f>
        <v>23808</v>
      </c>
    </row>
    <row r="228" spans="2:30">
      <c r="B228" s="89"/>
      <c r="C228" s="34" t="s">
        <v>33</v>
      </c>
      <c r="D228" s="35">
        <v>32</v>
      </c>
      <c r="E228" s="35">
        <v>32</v>
      </c>
      <c r="F228" s="35">
        <v>32</v>
      </c>
      <c r="G228" s="35">
        <v>32</v>
      </c>
      <c r="H228" s="35">
        <v>32</v>
      </c>
      <c r="I228" s="35">
        <v>32</v>
      </c>
      <c r="J228" s="35">
        <v>32</v>
      </c>
      <c r="K228" s="35">
        <v>32</v>
      </c>
      <c r="L228" s="35">
        <v>32</v>
      </c>
      <c r="M228" s="35">
        <v>32</v>
      </c>
      <c r="N228" s="35">
        <v>32</v>
      </c>
      <c r="O228" s="35">
        <v>32</v>
      </c>
      <c r="P228" s="35">
        <v>32</v>
      </c>
      <c r="Q228" s="35">
        <v>32</v>
      </c>
      <c r="R228" s="35">
        <v>32</v>
      </c>
      <c r="S228" s="35">
        <v>32</v>
      </c>
      <c r="T228" s="35">
        <v>32</v>
      </c>
      <c r="U228" s="35">
        <v>32</v>
      </c>
      <c r="V228" s="35">
        <v>32</v>
      </c>
      <c r="W228" s="35">
        <v>32</v>
      </c>
      <c r="X228" s="35">
        <v>32</v>
      </c>
      <c r="Y228" s="35">
        <v>32</v>
      </c>
      <c r="Z228" s="35">
        <v>32</v>
      </c>
      <c r="AA228" s="35">
        <v>32</v>
      </c>
      <c r="AB228" s="36">
        <f t="shared" si="5"/>
        <v>768</v>
      </c>
      <c r="AC228" s="37">
        <v>3</v>
      </c>
      <c r="AD228" s="91"/>
    </row>
    <row r="229" spans="2:30">
      <c r="B229" s="89"/>
      <c r="C229" s="34" t="s">
        <v>34</v>
      </c>
      <c r="D229" s="35">
        <v>32</v>
      </c>
      <c r="E229" s="35">
        <v>32</v>
      </c>
      <c r="F229" s="35">
        <v>32</v>
      </c>
      <c r="G229" s="35">
        <v>32</v>
      </c>
      <c r="H229" s="35">
        <v>32</v>
      </c>
      <c r="I229" s="35">
        <v>32</v>
      </c>
      <c r="J229" s="35">
        <v>32</v>
      </c>
      <c r="K229" s="35">
        <v>32</v>
      </c>
      <c r="L229" s="35">
        <v>32</v>
      </c>
      <c r="M229" s="35">
        <v>32</v>
      </c>
      <c r="N229" s="35">
        <v>32</v>
      </c>
      <c r="O229" s="35">
        <v>32</v>
      </c>
      <c r="P229" s="35">
        <v>32</v>
      </c>
      <c r="Q229" s="35">
        <v>32</v>
      </c>
      <c r="R229" s="35">
        <v>32</v>
      </c>
      <c r="S229" s="35">
        <v>32</v>
      </c>
      <c r="T229" s="35">
        <v>32</v>
      </c>
      <c r="U229" s="35">
        <v>32</v>
      </c>
      <c r="V229" s="35">
        <v>32</v>
      </c>
      <c r="W229" s="35">
        <v>32</v>
      </c>
      <c r="X229" s="35">
        <v>32</v>
      </c>
      <c r="Y229" s="35">
        <v>32</v>
      </c>
      <c r="Z229" s="35">
        <v>32</v>
      </c>
      <c r="AA229" s="35">
        <v>32</v>
      </c>
      <c r="AB229" s="36">
        <f t="shared" si="5"/>
        <v>768</v>
      </c>
      <c r="AC229" s="37">
        <v>7</v>
      </c>
      <c r="AD229" s="91"/>
    </row>
    <row r="230" spans="2:30">
      <c r="B230" s="89">
        <v>48458</v>
      </c>
      <c r="C230" s="34" t="s">
        <v>32</v>
      </c>
      <c r="D230" s="35">
        <v>32</v>
      </c>
      <c r="E230" s="35">
        <v>32</v>
      </c>
      <c r="F230" s="35">
        <v>32</v>
      </c>
      <c r="G230" s="35">
        <v>32</v>
      </c>
      <c r="H230" s="35">
        <v>32</v>
      </c>
      <c r="I230" s="35">
        <v>32</v>
      </c>
      <c r="J230" s="35">
        <v>32</v>
      </c>
      <c r="K230" s="35">
        <v>32</v>
      </c>
      <c r="L230" s="35">
        <v>32</v>
      </c>
      <c r="M230" s="35">
        <v>32</v>
      </c>
      <c r="N230" s="35">
        <v>32</v>
      </c>
      <c r="O230" s="35">
        <v>32</v>
      </c>
      <c r="P230" s="35">
        <v>32</v>
      </c>
      <c r="Q230" s="35">
        <v>32</v>
      </c>
      <c r="R230" s="35">
        <v>32</v>
      </c>
      <c r="S230" s="35">
        <v>32</v>
      </c>
      <c r="T230" s="35">
        <v>32</v>
      </c>
      <c r="U230" s="35">
        <v>32</v>
      </c>
      <c r="V230" s="35">
        <v>32</v>
      </c>
      <c r="W230" s="35">
        <v>32</v>
      </c>
      <c r="X230" s="35">
        <v>32</v>
      </c>
      <c r="Y230" s="35">
        <v>32</v>
      </c>
      <c r="Z230" s="35">
        <v>32</v>
      </c>
      <c r="AA230" s="35">
        <v>32</v>
      </c>
      <c r="AB230" s="36">
        <f t="shared" si="5"/>
        <v>768</v>
      </c>
      <c r="AC230" s="37">
        <v>22</v>
      </c>
      <c r="AD230" s="91">
        <f>+AB230*AC230+AB231*AC231+AB232*AC232</f>
        <v>23040</v>
      </c>
    </row>
    <row r="231" spans="2:30">
      <c r="B231" s="89"/>
      <c r="C231" s="34" t="s">
        <v>33</v>
      </c>
      <c r="D231" s="35">
        <v>32</v>
      </c>
      <c r="E231" s="35">
        <v>32</v>
      </c>
      <c r="F231" s="35">
        <v>32</v>
      </c>
      <c r="G231" s="35">
        <v>32</v>
      </c>
      <c r="H231" s="35">
        <v>32</v>
      </c>
      <c r="I231" s="35">
        <v>32</v>
      </c>
      <c r="J231" s="35">
        <v>32</v>
      </c>
      <c r="K231" s="35">
        <v>32</v>
      </c>
      <c r="L231" s="35">
        <v>32</v>
      </c>
      <c r="M231" s="35">
        <v>32</v>
      </c>
      <c r="N231" s="35">
        <v>32</v>
      </c>
      <c r="O231" s="35">
        <v>32</v>
      </c>
      <c r="P231" s="35">
        <v>32</v>
      </c>
      <c r="Q231" s="35">
        <v>32</v>
      </c>
      <c r="R231" s="35">
        <v>32</v>
      </c>
      <c r="S231" s="35">
        <v>32</v>
      </c>
      <c r="T231" s="35">
        <v>32</v>
      </c>
      <c r="U231" s="35">
        <v>32</v>
      </c>
      <c r="V231" s="35">
        <v>32</v>
      </c>
      <c r="W231" s="35">
        <v>32</v>
      </c>
      <c r="X231" s="35">
        <v>32</v>
      </c>
      <c r="Y231" s="35">
        <v>32</v>
      </c>
      <c r="Z231" s="35">
        <v>32</v>
      </c>
      <c r="AA231" s="35">
        <v>32</v>
      </c>
      <c r="AB231" s="36">
        <f t="shared" si="5"/>
        <v>768</v>
      </c>
      <c r="AC231" s="37">
        <v>4</v>
      </c>
      <c r="AD231" s="91"/>
    </row>
    <row r="232" spans="2:30">
      <c r="B232" s="89"/>
      <c r="C232" s="34" t="s">
        <v>34</v>
      </c>
      <c r="D232" s="35">
        <v>32</v>
      </c>
      <c r="E232" s="35">
        <v>32</v>
      </c>
      <c r="F232" s="35">
        <v>32</v>
      </c>
      <c r="G232" s="35">
        <v>32</v>
      </c>
      <c r="H232" s="35">
        <v>32</v>
      </c>
      <c r="I232" s="35">
        <v>32</v>
      </c>
      <c r="J232" s="35">
        <v>32</v>
      </c>
      <c r="K232" s="35">
        <v>32</v>
      </c>
      <c r="L232" s="35">
        <v>32</v>
      </c>
      <c r="M232" s="35">
        <v>32</v>
      </c>
      <c r="N232" s="35">
        <v>32</v>
      </c>
      <c r="O232" s="35">
        <v>32</v>
      </c>
      <c r="P232" s="35">
        <v>32</v>
      </c>
      <c r="Q232" s="35">
        <v>32</v>
      </c>
      <c r="R232" s="35">
        <v>32</v>
      </c>
      <c r="S232" s="35">
        <v>32</v>
      </c>
      <c r="T232" s="35">
        <v>32</v>
      </c>
      <c r="U232" s="35">
        <v>32</v>
      </c>
      <c r="V232" s="35">
        <v>32</v>
      </c>
      <c r="W232" s="35">
        <v>32</v>
      </c>
      <c r="X232" s="35">
        <v>32</v>
      </c>
      <c r="Y232" s="35">
        <v>32</v>
      </c>
      <c r="Z232" s="35">
        <v>32</v>
      </c>
      <c r="AA232" s="35">
        <v>32</v>
      </c>
      <c r="AB232" s="36">
        <f t="shared" si="5"/>
        <v>768</v>
      </c>
      <c r="AC232" s="37">
        <v>4</v>
      </c>
      <c r="AD232" s="91"/>
    </row>
    <row r="233" spans="2:30">
      <c r="B233" s="89">
        <v>48488</v>
      </c>
      <c r="C233" s="34" t="s">
        <v>32</v>
      </c>
      <c r="D233" s="35">
        <v>32</v>
      </c>
      <c r="E233" s="35">
        <v>32</v>
      </c>
      <c r="F233" s="35">
        <v>32</v>
      </c>
      <c r="G233" s="35">
        <v>32</v>
      </c>
      <c r="H233" s="35">
        <v>32</v>
      </c>
      <c r="I233" s="35">
        <v>32</v>
      </c>
      <c r="J233" s="35">
        <v>32</v>
      </c>
      <c r="K233" s="35">
        <v>32</v>
      </c>
      <c r="L233" s="35">
        <v>32</v>
      </c>
      <c r="M233" s="35">
        <v>32</v>
      </c>
      <c r="N233" s="35">
        <v>32</v>
      </c>
      <c r="O233" s="35">
        <v>32</v>
      </c>
      <c r="P233" s="35">
        <v>32</v>
      </c>
      <c r="Q233" s="35">
        <v>32</v>
      </c>
      <c r="R233" s="35">
        <v>32</v>
      </c>
      <c r="S233" s="35">
        <v>32</v>
      </c>
      <c r="T233" s="35">
        <v>32</v>
      </c>
      <c r="U233" s="35">
        <v>32</v>
      </c>
      <c r="V233" s="35">
        <v>32</v>
      </c>
      <c r="W233" s="35">
        <v>32</v>
      </c>
      <c r="X233" s="35">
        <v>32</v>
      </c>
      <c r="Y233" s="35">
        <v>32</v>
      </c>
      <c r="Z233" s="35">
        <v>32</v>
      </c>
      <c r="AA233" s="35">
        <v>32</v>
      </c>
      <c r="AB233" s="36">
        <f t="shared" si="5"/>
        <v>768</v>
      </c>
      <c r="AC233" s="37">
        <v>20</v>
      </c>
      <c r="AD233" s="91">
        <f>+AB233*AC233+AB234*AC234+AB235*AC235</f>
        <v>23808</v>
      </c>
    </row>
    <row r="234" spans="2:30">
      <c r="B234" s="89"/>
      <c r="C234" s="34" t="s">
        <v>33</v>
      </c>
      <c r="D234" s="35">
        <v>32</v>
      </c>
      <c r="E234" s="35">
        <v>32</v>
      </c>
      <c r="F234" s="35">
        <v>32</v>
      </c>
      <c r="G234" s="35">
        <v>32</v>
      </c>
      <c r="H234" s="35">
        <v>32</v>
      </c>
      <c r="I234" s="35">
        <v>32</v>
      </c>
      <c r="J234" s="35">
        <v>32</v>
      </c>
      <c r="K234" s="35">
        <v>32</v>
      </c>
      <c r="L234" s="35">
        <v>32</v>
      </c>
      <c r="M234" s="35">
        <v>32</v>
      </c>
      <c r="N234" s="35">
        <v>32</v>
      </c>
      <c r="O234" s="35">
        <v>32</v>
      </c>
      <c r="P234" s="35">
        <v>32</v>
      </c>
      <c r="Q234" s="35">
        <v>32</v>
      </c>
      <c r="R234" s="35">
        <v>32</v>
      </c>
      <c r="S234" s="35">
        <v>32</v>
      </c>
      <c r="T234" s="35">
        <v>32</v>
      </c>
      <c r="U234" s="35">
        <v>32</v>
      </c>
      <c r="V234" s="35">
        <v>32</v>
      </c>
      <c r="W234" s="35">
        <v>32</v>
      </c>
      <c r="X234" s="35">
        <v>32</v>
      </c>
      <c r="Y234" s="35">
        <v>32</v>
      </c>
      <c r="Z234" s="35">
        <v>32</v>
      </c>
      <c r="AA234" s="35">
        <v>32</v>
      </c>
      <c r="AB234" s="36">
        <f t="shared" si="5"/>
        <v>768</v>
      </c>
      <c r="AC234" s="37">
        <v>5</v>
      </c>
      <c r="AD234" s="91"/>
    </row>
    <row r="235" spans="2:30">
      <c r="B235" s="89"/>
      <c r="C235" s="34" t="s">
        <v>34</v>
      </c>
      <c r="D235" s="35">
        <v>32</v>
      </c>
      <c r="E235" s="35">
        <v>32</v>
      </c>
      <c r="F235" s="35">
        <v>32</v>
      </c>
      <c r="G235" s="35">
        <v>32</v>
      </c>
      <c r="H235" s="35">
        <v>32</v>
      </c>
      <c r="I235" s="35">
        <v>32</v>
      </c>
      <c r="J235" s="35">
        <v>32</v>
      </c>
      <c r="K235" s="35">
        <v>32</v>
      </c>
      <c r="L235" s="35">
        <v>32</v>
      </c>
      <c r="M235" s="35">
        <v>32</v>
      </c>
      <c r="N235" s="35">
        <v>32</v>
      </c>
      <c r="O235" s="35">
        <v>32</v>
      </c>
      <c r="P235" s="35">
        <v>32</v>
      </c>
      <c r="Q235" s="35">
        <v>32</v>
      </c>
      <c r="R235" s="35">
        <v>32</v>
      </c>
      <c r="S235" s="35">
        <v>32</v>
      </c>
      <c r="T235" s="35">
        <v>32</v>
      </c>
      <c r="U235" s="35">
        <v>32</v>
      </c>
      <c r="V235" s="35">
        <v>32</v>
      </c>
      <c r="W235" s="35">
        <v>32</v>
      </c>
      <c r="X235" s="35">
        <v>32</v>
      </c>
      <c r="Y235" s="35">
        <v>32</v>
      </c>
      <c r="Z235" s="35">
        <v>32</v>
      </c>
      <c r="AA235" s="35">
        <v>32</v>
      </c>
      <c r="AB235" s="36">
        <f t="shared" si="5"/>
        <v>768</v>
      </c>
      <c r="AC235" s="37">
        <v>6</v>
      </c>
      <c r="AD235" s="91"/>
    </row>
    <row r="236" spans="2:30">
      <c r="B236" s="89">
        <v>48519</v>
      </c>
      <c r="C236" s="34" t="s">
        <v>32</v>
      </c>
      <c r="D236" s="35">
        <v>32</v>
      </c>
      <c r="E236" s="35">
        <v>32</v>
      </c>
      <c r="F236" s="35">
        <v>32</v>
      </c>
      <c r="G236" s="35">
        <v>32</v>
      </c>
      <c r="H236" s="35">
        <v>32</v>
      </c>
      <c r="I236" s="35">
        <v>32</v>
      </c>
      <c r="J236" s="35">
        <v>32</v>
      </c>
      <c r="K236" s="35">
        <v>32</v>
      </c>
      <c r="L236" s="35">
        <v>32</v>
      </c>
      <c r="M236" s="35">
        <v>32</v>
      </c>
      <c r="N236" s="35">
        <v>32</v>
      </c>
      <c r="O236" s="35">
        <v>32</v>
      </c>
      <c r="P236" s="35">
        <v>32</v>
      </c>
      <c r="Q236" s="35">
        <v>32</v>
      </c>
      <c r="R236" s="35">
        <v>32</v>
      </c>
      <c r="S236" s="35">
        <v>32</v>
      </c>
      <c r="T236" s="35">
        <v>32</v>
      </c>
      <c r="U236" s="35">
        <v>32</v>
      </c>
      <c r="V236" s="35">
        <v>32</v>
      </c>
      <c r="W236" s="35">
        <v>32</v>
      </c>
      <c r="X236" s="35">
        <v>32</v>
      </c>
      <c r="Y236" s="35">
        <v>32</v>
      </c>
      <c r="Z236" s="35">
        <v>32</v>
      </c>
      <c r="AA236" s="35">
        <v>32</v>
      </c>
      <c r="AB236" s="36">
        <f t="shared" si="5"/>
        <v>768</v>
      </c>
      <c r="AC236" s="37">
        <v>20</v>
      </c>
      <c r="AD236" s="91">
        <f>+AB236*AC236+AB237*AC237+AB238*AC238</f>
        <v>23040</v>
      </c>
    </row>
    <row r="237" spans="2:30">
      <c r="B237" s="89"/>
      <c r="C237" s="34" t="s">
        <v>33</v>
      </c>
      <c r="D237" s="35">
        <v>32</v>
      </c>
      <c r="E237" s="35">
        <v>32</v>
      </c>
      <c r="F237" s="35">
        <v>32</v>
      </c>
      <c r="G237" s="35">
        <v>32</v>
      </c>
      <c r="H237" s="35">
        <v>32</v>
      </c>
      <c r="I237" s="35">
        <v>32</v>
      </c>
      <c r="J237" s="35">
        <v>32</v>
      </c>
      <c r="K237" s="35">
        <v>32</v>
      </c>
      <c r="L237" s="35">
        <v>32</v>
      </c>
      <c r="M237" s="35">
        <v>32</v>
      </c>
      <c r="N237" s="35">
        <v>32</v>
      </c>
      <c r="O237" s="35">
        <v>32</v>
      </c>
      <c r="P237" s="35">
        <v>32</v>
      </c>
      <c r="Q237" s="35">
        <v>32</v>
      </c>
      <c r="R237" s="35">
        <v>32</v>
      </c>
      <c r="S237" s="35">
        <v>32</v>
      </c>
      <c r="T237" s="35">
        <v>32</v>
      </c>
      <c r="U237" s="35">
        <v>32</v>
      </c>
      <c r="V237" s="35">
        <v>32</v>
      </c>
      <c r="W237" s="35">
        <v>32</v>
      </c>
      <c r="X237" s="35">
        <v>32</v>
      </c>
      <c r="Y237" s="35">
        <v>32</v>
      </c>
      <c r="Z237" s="35">
        <v>32</v>
      </c>
      <c r="AA237" s="35">
        <v>32</v>
      </c>
      <c r="AB237" s="36">
        <f t="shared" si="5"/>
        <v>768</v>
      </c>
      <c r="AC237" s="37">
        <v>4</v>
      </c>
      <c r="AD237" s="91"/>
    </row>
    <row r="238" spans="2:30">
      <c r="B238" s="89"/>
      <c r="C238" s="34" t="s">
        <v>34</v>
      </c>
      <c r="D238" s="35">
        <v>32</v>
      </c>
      <c r="E238" s="35">
        <v>32</v>
      </c>
      <c r="F238" s="35">
        <v>32</v>
      </c>
      <c r="G238" s="35">
        <v>32</v>
      </c>
      <c r="H238" s="35">
        <v>32</v>
      </c>
      <c r="I238" s="35">
        <v>32</v>
      </c>
      <c r="J238" s="35">
        <v>32</v>
      </c>
      <c r="K238" s="35">
        <v>32</v>
      </c>
      <c r="L238" s="35">
        <v>32</v>
      </c>
      <c r="M238" s="35">
        <v>32</v>
      </c>
      <c r="N238" s="35">
        <v>32</v>
      </c>
      <c r="O238" s="35">
        <v>32</v>
      </c>
      <c r="P238" s="35">
        <v>32</v>
      </c>
      <c r="Q238" s="35">
        <v>32</v>
      </c>
      <c r="R238" s="35">
        <v>32</v>
      </c>
      <c r="S238" s="35">
        <v>32</v>
      </c>
      <c r="T238" s="35">
        <v>32</v>
      </c>
      <c r="U238" s="35">
        <v>32</v>
      </c>
      <c r="V238" s="35">
        <v>32</v>
      </c>
      <c r="W238" s="35">
        <v>32</v>
      </c>
      <c r="X238" s="35">
        <v>32</v>
      </c>
      <c r="Y238" s="35">
        <v>32</v>
      </c>
      <c r="Z238" s="35">
        <v>32</v>
      </c>
      <c r="AA238" s="35">
        <v>32</v>
      </c>
      <c r="AB238" s="36">
        <f t="shared" si="5"/>
        <v>768</v>
      </c>
      <c r="AC238" s="37">
        <v>6</v>
      </c>
      <c r="AD238" s="91"/>
    </row>
    <row r="239" spans="2:30">
      <c r="B239" s="89">
        <v>48549</v>
      </c>
      <c r="C239" s="34" t="s">
        <v>32</v>
      </c>
      <c r="D239" s="35">
        <v>32</v>
      </c>
      <c r="E239" s="35">
        <v>32</v>
      </c>
      <c r="F239" s="35">
        <v>32</v>
      </c>
      <c r="G239" s="35">
        <v>32</v>
      </c>
      <c r="H239" s="35">
        <v>32</v>
      </c>
      <c r="I239" s="35">
        <v>32</v>
      </c>
      <c r="J239" s="35">
        <v>32</v>
      </c>
      <c r="K239" s="35">
        <v>32</v>
      </c>
      <c r="L239" s="35">
        <v>32</v>
      </c>
      <c r="M239" s="35">
        <v>32</v>
      </c>
      <c r="N239" s="35">
        <v>32</v>
      </c>
      <c r="O239" s="35">
        <v>32</v>
      </c>
      <c r="P239" s="35">
        <v>32</v>
      </c>
      <c r="Q239" s="35">
        <v>32</v>
      </c>
      <c r="R239" s="35">
        <v>32</v>
      </c>
      <c r="S239" s="35">
        <v>32</v>
      </c>
      <c r="T239" s="35">
        <v>32</v>
      </c>
      <c r="U239" s="35">
        <v>32</v>
      </c>
      <c r="V239" s="35">
        <v>32</v>
      </c>
      <c r="W239" s="35">
        <v>32</v>
      </c>
      <c r="X239" s="35">
        <v>32</v>
      </c>
      <c r="Y239" s="35">
        <v>32</v>
      </c>
      <c r="Z239" s="35">
        <v>32</v>
      </c>
      <c r="AA239" s="35">
        <v>32</v>
      </c>
      <c r="AB239" s="36">
        <f t="shared" si="5"/>
        <v>768</v>
      </c>
      <c r="AC239" s="37">
        <v>22</v>
      </c>
      <c r="AD239" s="91">
        <f>+AB239*AC239+AB240*AC240+AB241*AC241</f>
        <v>23808</v>
      </c>
    </row>
    <row r="240" spans="2:30">
      <c r="B240" s="89"/>
      <c r="C240" s="34" t="s">
        <v>33</v>
      </c>
      <c r="D240" s="35">
        <v>32</v>
      </c>
      <c r="E240" s="35">
        <v>32</v>
      </c>
      <c r="F240" s="35">
        <v>32</v>
      </c>
      <c r="G240" s="35">
        <v>32</v>
      </c>
      <c r="H240" s="35">
        <v>32</v>
      </c>
      <c r="I240" s="35">
        <v>32</v>
      </c>
      <c r="J240" s="35">
        <v>32</v>
      </c>
      <c r="K240" s="35">
        <v>32</v>
      </c>
      <c r="L240" s="35">
        <v>32</v>
      </c>
      <c r="M240" s="35">
        <v>32</v>
      </c>
      <c r="N240" s="35">
        <v>32</v>
      </c>
      <c r="O240" s="35">
        <v>32</v>
      </c>
      <c r="P240" s="35">
        <v>32</v>
      </c>
      <c r="Q240" s="35">
        <v>32</v>
      </c>
      <c r="R240" s="35">
        <v>32</v>
      </c>
      <c r="S240" s="35">
        <v>32</v>
      </c>
      <c r="T240" s="35">
        <v>32</v>
      </c>
      <c r="U240" s="35">
        <v>32</v>
      </c>
      <c r="V240" s="35">
        <v>32</v>
      </c>
      <c r="W240" s="35">
        <v>32</v>
      </c>
      <c r="X240" s="35">
        <v>32</v>
      </c>
      <c r="Y240" s="35">
        <v>32</v>
      </c>
      <c r="Z240" s="35">
        <v>32</v>
      </c>
      <c r="AA240" s="35">
        <v>32</v>
      </c>
      <c r="AB240" s="36">
        <f t="shared" si="5"/>
        <v>768</v>
      </c>
      <c r="AC240" s="37">
        <v>3</v>
      </c>
      <c r="AD240" s="91"/>
    </row>
    <row r="241" spans="2:30">
      <c r="B241" s="89"/>
      <c r="C241" s="34" t="s">
        <v>34</v>
      </c>
      <c r="D241" s="35">
        <v>32</v>
      </c>
      <c r="E241" s="35">
        <v>32</v>
      </c>
      <c r="F241" s="35">
        <v>32</v>
      </c>
      <c r="G241" s="35">
        <v>32</v>
      </c>
      <c r="H241" s="35">
        <v>32</v>
      </c>
      <c r="I241" s="35">
        <v>32</v>
      </c>
      <c r="J241" s="35">
        <v>32</v>
      </c>
      <c r="K241" s="35">
        <v>32</v>
      </c>
      <c r="L241" s="35">
        <v>32</v>
      </c>
      <c r="M241" s="35">
        <v>32</v>
      </c>
      <c r="N241" s="35">
        <v>32</v>
      </c>
      <c r="O241" s="35">
        <v>32</v>
      </c>
      <c r="P241" s="35">
        <v>32</v>
      </c>
      <c r="Q241" s="35">
        <v>32</v>
      </c>
      <c r="R241" s="35">
        <v>32</v>
      </c>
      <c r="S241" s="35">
        <v>32</v>
      </c>
      <c r="T241" s="35">
        <v>32</v>
      </c>
      <c r="U241" s="35">
        <v>32</v>
      </c>
      <c r="V241" s="35">
        <v>32</v>
      </c>
      <c r="W241" s="35">
        <v>32</v>
      </c>
      <c r="X241" s="35">
        <v>32</v>
      </c>
      <c r="Y241" s="35">
        <v>32</v>
      </c>
      <c r="Z241" s="35">
        <v>32</v>
      </c>
      <c r="AA241" s="35">
        <v>32</v>
      </c>
      <c r="AB241" s="36">
        <f t="shared" si="5"/>
        <v>768</v>
      </c>
      <c r="AC241" s="37">
        <v>6</v>
      </c>
      <c r="AD241" s="91"/>
    </row>
    <row r="242" spans="2:30">
      <c r="AA242" s="86" t="s">
        <v>35</v>
      </c>
      <c r="AB242" s="87"/>
      <c r="AC242" s="88"/>
      <c r="AD242" s="39">
        <f>SUM(AD206:AD241)</f>
        <v>281088</v>
      </c>
    </row>
    <row r="243" spans="2:30">
      <c r="AB243" s="38"/>
      <c r="AC243" s="38"/>
    </row>
    <row r="244" spans="2:30" ht="23.25">
      <c r="B244" s="41" t="s">
        <v>41</v>
      </c>
    </row>
    <row r="245" spans="2:30">
      <c r="B245" s="42" t="s">
        <v>3</v>
      </c>
      <c r="C245" s="42" t="s">
        <v>4</v>
      </c>
      <c r="D245" s="42" t="s">
        <v>5</v>
      </c>
      <c r="E245" s="42" t="s">
        <v>6</v>
      </c>
      <c r="F245" s="42" t="s">
        <v>7</v>
      </c>
      <c r="G245" s="42" t="s">
        <v>8</v>
      </c>
      <c r="H245" s="42" t="s">
        <v>9</v>
      </c>
      <c r="I245" s="42" t="s">
        <v>10</v>
      </c>
      <c r="J245" s="42" t="s">
        <v>11</v>
      </c>
      <c r="K245" s="42" t="s">
        <v>12</v>
      </c>
      <c r="L245" s="42" t="s">
        <v>13</v>
      </c>
      <c r="M245" s="42" t="s">
        <v>14</v>
      </c>
      <c r="N245" s="42" t="s">
        <v>15</v>
      </c>
      <c r="O245" s="42" t="s">
        <v>16</v>
      </c>
      <c r="P245" s="42" t="s">
        <v>17</v>
      </c>
      <c r="Q245" s="42" t="s">
        <v>18</v>
      </c>
      <c r="R245" s="42" t="s">
        <v>19</v>
      </c>
      <c r="S245" s="42" t="s">
        <v>20</v>
      </c>
      <c r="T245" s="42" t="s">
        <v>21</v>
      </c>
      <c r="U245" s="42" t="s">
        <v>22</v>
      </c>
      <c r="V245" s="42" t="s">
        <v>23</v>
      </c>
      <c r="W245" s="42" t="s">
        <v>24</v>
      </c>
      <c r="X245" s="42" t="s">
        <v>25</v>
      </c>
      <c r="Y245" s="42" t="s">
        <v>26</v>
      </c>
      <c r="Z245" s="42" t="s">
        <v>27</v>
      </c>
      <c r="AA245" s="42" t="s">
        <v>28</v>
      </c>
      <c r="AB245" s="36" t="s">
        <v>29</v>
      </c>
      <c r="AC245" s="43" t="s">
        <v>30</v>
      </c>
      <c r="AD245" s="42" t="s">
        <v>31</v>
      </c>
    </row>
    <row r="246" spans="2:30">
      <c r="B246" s="90">
        <v>48580</v>
      </c>
      <c r="C246" s="44" t="s">
        <v>32</v>
      </c>
      <c r="D246" s="47">
        <v>29.68</v>
      </c>
      <c r="E246" s="47">
        <v>29.68</v>
      </c>
      <c r="F246" s="47">
        <v>29.68</v>
      </c>
      <c r="G246" s="47">
        <v>29.68</v>
      </c>
      <c r="H246" s="47">
        <v>29.68</v>
      </c>
      <c r="I246" s="47">
        <v>29.68</v>
      </c>
      <c r="J246" s="47">
        <v>29.68</v>
      </c>
      <c r="K246" s="47">
        <v>29.68</v>
      </c>
      <c r="L246" s="47">
        <v>29.68</v>
      </c>
      <c r="M246" s="47">
        <v>29.68</v>
      </c>
      <c r="N246" s="47">
        <v>29.68</v>
      </c>
      <c r="O246" s="47">
        <v>29.68</v>
      </c>
      <c r="P246" s="47">
        <v>29.68</v>
      </c>
      <c r="Q246" s="47">
        <v>29.68</v>
      </c>
      <c r="R246" s="47">
        <v>29.68</v>
      </c>
      <c r="S246" s="47">
        <v>29.68</v>
      </c>
      <c r="T246" s="47">
        <v>29.68</v>
      </c>
      <c r="U246" s="47">
        <v>29.68</v>
      </c>
      <c r="V246" s="47">
        <v>29.68</v>
      </c>
      <c r="W246" s="47">
        <v>29.68</v>
      </c>
      <c r="X246" s="47">
        <v>29.68</v>
      </c>
      <c r="Y246" s="47">
        <v>29.68</v>
      </c>
      <c r="Z246" s="47">
        <v>29.68</v>
      </c>
      <c r="AA246" s="47">
        <v>29.68</v>
      </c>
      <c r="AB246" s="45">
        <f>SUM(D246:AA246)</f>
        <v>712.32</v>
      </c>
      <c r="AC246" s="37">
        <v>19</v>
      </c>
      <c r="AD246" s="92">
        <f>+AB246*AC246+AB247*AC247+AB248*AC248</f>
        <v>22081.919999999998</v>
      </c>
    </row>
    <row r="247" spans="2:30">
      <c r="B247" s="90"/>
      <c r="C247" s="44" t="s">
        <v>33</v>
      </c>
      <c r="D247" s="47">
        <v>29.68</v>
      </c>
      <c r="E247" s="47">
        <v>29.68</v>
      </c>
      <c r="F247" s="47">
        <v>29.68</v>
      </c>
      <c r="G247" s="47">
        <v>29.68</v>
      </c>
      <c r="H247" s="47">
        <v>29.68</v>
      </c>
      <c r="I247" s="47">
        <v>29.68</v>
      </c>
      <c r="J247" s="47">
        <v>29.68</v>
      </c>
      <c r="K247" s="47">
        <v>29.68</v>
      </c>
      <c r="L247" s="47">
        <v>29.68</v>
      </c>
      <c r="M247" s="47">
        <v>29.68</v>
      </c>
      <c r="N247" s="47">
        <v>29.68</v>
      </c>
      <c r="O247" s="47">
        <v>29.68</v>
      </c>
      <c r="P247" s="47">
        <v>29.68</v>
      </c>
      <c r="Q247" s="47">
        <v>29.68</v>
      </c>
      <c r="R247" s="47">
        <v>29.68</v>
      </c>
      <c r="S247" s="47">
        <v>29.68</v>
      </c>
      <c r="T247" s="47">
        <v>29.68</v>
      </c>
      <c r="U247" s="47">
        <v>29.68</v>
      </c>
      <c r="V247" s="47">
        <v>29.68</v>
      </c>
      <c r="W247" s="47">
        <v>29.68</v>
      </c>
      <c r="X247" s="47">
        <v>29.68</v>
      </c>
      <c r="Y247" s="47">
        <v>29.68</v>
      </c>
      <c r="Z247" s="47">
        <v>29.68</v>
      </c>
      <c r="AA247" s="47">
        <v>29.68</v>
      </c>
      <c r="AB247" s="45">
        <f t="shared" ref="AB247:AB281" si="6">SUM(D247:AA247)</f>
        <v>712.32</v>
      </c>
      <c r="AC247" s="37">
        <v>4</v>
      </c>
      <c r="AD247" s="92"/>
    </row>
    <row r="248" spans="2:30">
      <c r="B248" s="90"/>
      <c r="C248" s="44" t="s">
        <v>34</v>
      </c>
      <c r="D248" s="47">
        <v>29.68</v>
      </c>
      <c r="E248" s="47">
        <v>29.68</v>
      </c>
      <c r="F248" s="47">
        <v>29.68</v>
      </c>
      <c r="G248" s="47">
        <v>29.68</v>
      </c>
      <c r="H248" s="47">
        <v>29.68</v>
      </c>
      <c r="I248" s="47">
        <v>29.68</v>
      </c>
      <c r="J248" s="47">
        <v>29.68</v>
      </c>
      <c r="K248" s="47">
        <v>29.68</v>
      </c>
      <c r="L248" s="47">
        <v>29.68</v>
      </c>
      <c r="M248" s="47">
        <v>29.68</v>
      </c>
      <c r="N248" s="47">
        <v>29.68</v>
      </c>
      <c r="O248" s="47">
        <v>29.68</v>
      </c>
      <c r="P248" s="47">
        <v>29.68</v>
      </c>
      <c r="Q248" s="47">
        <v>29.68</v>
      </c>
      <c r="R248" s="47">
        <v>29.68</v>
      </c>
      <c r="S248" s="47">
        <v>29.68</v>
      </c>
      <c r="T248" s="47">
        <v>29.68</v>
      </c>
      <c r="U248" s="47">
        <v>29.68</v>
      </c>
      <c r="V248" s="47">
        <v>29.68</v>
      </c>
      <c r="W248" s="47">
        <v>29.68</v>
      </c>
      <c r="X248" s="47">
        <v>29.68</v>
      </c>
      <c r="Y248" s="47">
        <v>29.68</v>
      </c>
      <c r="Z248" s="47">
        <v>29.68</v>
      </c>
      <c r="AA248" s="47">
        <v>29.68</v>
      </c>
      <c r="AB248" s="45">
        <f t="shared" si="6"/>
        <v>712.32</v>
      </c>
      <c r="AC248" s="37">
        <v>8</v>
      </c>
      <c r="AD248" s="92"/>
    </row>
    <row r="249" spans="2:30">
      <c r="B249" s="90">
        <v>48611</v>
      </c>
      <c r="C249" s="44" t="s">
        <v>32</v>
      </c>
      <c r="D249" s="47">
        <v>29.68</v>
      </c>
      <c r="E249" s="47">
        <v>29.68</v>
      </c>
      <c r="F249" s="47">
        <v>29.68</v>
      </c>
      <c r="G249" s="47">
        <v>29.68</v>
      </c>
      <c r="H249" s="47">
        <v>29.68</v>
      </c>
      <c r="I249" s="47">
        <v>29.68</v>
      </c>
      <c r="J249" s="47">
        <v>29.68</v>
      </c>
      <c r="K249" s="47">
        <v>29.68</v>
      </c>
      <c r="L249" s="47">
        <v>29.68</v>
      </c>
      <c r="M249" s="47">
        <v>29.68</v>
      </c>
      <c r="N249" s="47">
        <v>29.68</v>
      </c>
      <c r="O249" s="47">
        <v>29.68</v>
      </c>
      <c r="P249" s="47">
        <v>29.68</v>
      </c>
      <c r="Q249" s="47">
        <v>29.68</v>
      </c>
      <c r="R249" s="47">
        <v>29.68</v>
      </c>
      <c r="S249" s="47">
        <v>29.68</v>
      </c>
      <c r="T249" s="47">
        <v>29.68</v>
      </c>
      <c r="U249" s="47">
        <v>29.68</v>
      </c>
      <c r="V249" s="47">
        <v>29.68</v>
      </c>
      <c r="W249" s="47">
        <v>29.68</v>
      </c>
      <c r="X249" s="47">
        <v>29.68</v>
      </c>
      <c r="Y249" s="47">
        <v>29.68</v>
      </c>
      <c r="Z249" s="47">
        <v>29.68</v>
      </c>
      <c r="AA249" s="47">
        <v>29.68</v>
      </c>
      <c r="AB249" s="45">
        <f t="shared" si="6"/>
        <v>712.32</v>
      </c>
      <c r="AC249" s="37">
        <v>20</v>
      </c>
      <c r="AD249" s="92">
        <f>+AB249*AC249+AB250*AC250+AB251*AC251</f>
        <v>19944.96</v>
      </c>
    </row>
    <row r="250" spans="2:30">
      <c r="B250" s="90"/>
      <c r="C250" s="44" t="s">
        <v>33</v>
      </c>
      <c r="D250" s="47">
        <v>29.68</v>
      </c>
      <c r="E250" s="47">
        <v>29.68</v>
      </c>
      <c r="F250" s="47">
        <v>29.68</v>
      </c>
      <c r="G250" s="47">
        <v>29.68</v>
      </c>
      <c r="H250" s="47">
        <v>29.68</v>
      </c>
      <c r="I250" s="47">
        <v>29.68</v>
      </c>
      <c r="J250" s="47">
        <v>29.68</v>
      </c>
      <c r="K250" s="47">
        <v>29.68</v>
      </c>
      <c r="L250" s="47">
        <v>29.68</v>
      </c>
      <c r="M250" s="47">
        <v>29.68</v>
      </c>
      <c r="N250" s="47">
        <v>29.68</v>
      </c>
      <c r="O250" s="47">
        <v>29.68</v>
      </c>
      <c r="P250" s="47">
        <v>29.68</v>
      </c>
      <c r="Q250" s="47">
        <v>29.68</v>
      </c>
      <c r="R250" s="47">
        <v>29.68</v>
      </c>
      <c r="S250" s="47">
        <v>29.68</v>
      </c>
      <c r="T250" s="47">
        <v>29.68</v>
      </c>
      <c r="U250" s="47">
        <v>29.68</v>
      </c>
      <c r="V250" s="47">
        <v>29.68</v>
      </c>
      <c r="W250" s="47">
        <v>29.68</v>
      </c>
      <c r="X250" s="47">
        <v>29.68</v>
      </c>
      <c r="Y250" s="47">
        <v>29.68</v>
      </c>
      <c r="Z250" s="47">
        <v>29.68</v>
      </c>
      <c r="AA250" s="47">
        <v>29.68</v>
      </c>
      <c r="AB250" s="45">
        <f t="shared" si="6"/>
        <v>712.32</v>
      </c>
      <c r="AC250" s="37">
        <v>4</v>
      </c>
      <c r="AD250" s="92"/>
    </row>
    <row r="251" spans="2:30">
      <c r="B251" s="90"/>
      <c r="C251" s="44" t="s">
        <v>34</v>
      </c>
      <c r="D251" s="47">
        <v>29.68</v>
      </c>
      <c r="E251" s="47">
        <v>29.68</v>
      </c>
      <c r="F251" s="47">
        <v>29.68</v>
      </c>
      <c r="G251" s="47">
        <v>29.68</v>
      </c>
      <c r="H251" s="47">
        <v>29.68</v>
      </c>
      <c r="I251" s="47">
        <v>29.68</v>
      </c>
      <c r="J251" s="47">
        <v>29.68</v>
      </c>
      <c r="K251" s="47">
        <v>29.68</v>
      </c>
      <c r="L251" s="47">
        <v>29.68</v>
      </c>
      <c r="M251" s="47">
        <v>29.68</v>
      </c>
      <c r="N251" s="47">
        <v>29.68</v>
      </c>
      <c r="O251" s="47">
        <v>29.68</v>
      </c>
      <c r="P251" s="47">
        <v>29.68</v>
      </c>
      <c r="Q251" s="47">
        <v>29.68</v>
      </c>
      <c r="R251" s="47">
        <v>29.68</v>
      </c>
      <c r="S251" s="47">
        <v>29.68</v>
      </c>
      <c r="T251" s="47">
        <v>29.68</v>
      </c>
      <c r="U251" s="47">
        <v>29.68</v>
      </c>
      <c r="V251" s="47">
        <v>29.68</v>
      </c>
      <c r="W251" s="47">
        <v>29.68</v>
      </c>
      <c r="X251" s="47">
        <v>29.68</v>
      </c>
      <c r="Y251" s="47">
        <v>29.68</v>
      </c>
      <c r="Z251" s="47">
        <v>29.68</v>
      </c>
      <c r="AA251" s="47">
        <v>29.68</v>
      </c>
      <c r="AB251" s="45">
        <f t="shared" si="6"/>
        <v>712.32</v>
      </c>
      <c r="AC251" s="37">
        <v>4</v>
      </c>
      <c r="AD251" s="92"/>
    </row>
    <row r="252" spans="2:30">
      <c r="B252" s="90">
        <v>48639</v>
      </c>
      <c r="C252" s="44" t="s">
        <v>32</v>
      </c>
      <c r="D252" s="47">
        <v>29.68</v>
      </c>
      <c r="E252" s="47">
        <v>29.68</v>
      </c>
      <c r="F252" s="47">
        <v>29.68</v>
      </c>
      <c r="G252" s="47">
        <v>29.68</v>
      </c>
      <c r="H252" s="47">
        <v>29.68</v>
      </c>
      <c r="I252" s="47">
        <v>29.68</v>
      </c>
      <c r="J252" s="47">
        <v>29.68</v>
      </c>
      <c r="K252" s="47">
        <v>29.68</v>
      </c>
      <c r="L252" s="47">
        <v>29.68</v>
      </c>
      <c r="M252" s="47">
        <v>29.68</v>
      </c>
      <c r="N252" s="47">
        <v>29.68</v>
      </c>
      <c r="O252" s="47">
        <v>29.68</v>
      </c>
      <c r="P252" s="47">
        <v>29.68</v>
      </c>
      <c r="Q252" s="47">
        <v>29.68</v>
      </c>
      <c r="R252" s="47">
        <v>29.68</v>
      </c>
      <c r="S252" s="47">
        <v>29.68</v>
      </c>
      <c r="T252" s="47">
        <v>29.68</v>
      </c>
      <c r="U252" s="47">
        <v>29.68</v>
      </c>
      <c r="V252" s="47">
        <v>29.68</v>
      </c>
      <c r="W252" s="47">
        <v>29.68</v>
      </c>
      <c r="X252" s="47">
        <v>29.68</v>
      </c>
      <c r="Y252" s="47">
        <v>29.68</v>
      </c>
      <c r="Z252" s="47">
        <v>29.68</v>
      </c>
      <c r="AA252" s="47">
        <v>29.68</v>
      </c>
      <c r="AB252" s="45">
        <f t="shared" si="6"/>
        <v>712.32</v>
      </c>
      <c r="AC252" s="37">
        <v>22</v>
      </c>
      <c r="AD252" s="92">
        <f>+AB252*AC252+AB253*AC253+AB254*AC254</f>
        <v>22081.919999999998</v>
      </c>
    </row>
    <row r="253" spans="2:30">
      <c r="B253" s="90"/>
      <c r="C253" s="44" t="s">
        <v>33</v>
      </c>
      <c r="D253" s="47">
        <v>29.68</v>
      </c>
      <c r="E253" s="47">
        <v>29.68</v>
      </c>
      <c r="F253" s="47">
        <v>29.68</v>
      </c>
      <c r="G253" s="47">
        <v>29.68</v>
      </c>
      <c r="H253" s="47">
        <v>29.68</v>
      </c>
      <c r="I253" s="47">
        <v>29.68</v>
      </c>
      <c r="J253" s="47">
        <v>29.68</v>
      </c>
      <c r="K253" s="47">
        <v>29.68</v>
      </c>
      <c r="L253" s="47">
        <v>29.68</v>
      </c>
      <c r="M253" s="47">
        <v>29.68</v>
      </c>
      <c r="N253" s="47">
        <v>29.68</v>
      </c>
      <c r="O253" s="47">
        <v>29.68</v>
      </c>
      <c r="P253" s="47">
        <v>29.68</v>
      </c>
      <c r="Q253" s="47">
        <v>29.68</v>
      </c>
      <c r="R253" s="47">
        <v>29.68</v>
      </c>
      <c r="S253" s="47">
        <v>29.68</v>
      </c>
      <c r="T253" s="47">
        <v>29.68</v>
      </c>
      <c r="U253" s="47">
        <v>29.68</v>
      </c>
      <c r="V253" s="47">
        <v>29.68</v>
      </c>
      <c r="W253" s="47">
        <v>29.68</v>
      </c>
      <c r="X253" s="47">
        <v>29.68</v>
      </c>
      <c r="Y253" s="47">
        <v>29.68</v>
      </c>
      <c r="Z253" s="47">
        <v>29.68</v>
      </c>
      <c r="AA253" s="47">
        <v>29.68</v>
      </c>
      <c r="AB253" s="45">
        <f t="shared" si="6"/>
        <v>712.32</v>
      </c>
      <c r="AC253" s="37">
        <v>3</v>
      </c>
      <c r="AD253" s="92"/>
    </row>
    <row r="254" spans="2:30">
      <c r="B254" s="90"/>
      <c r="C254" s="44" t="s">
        <v>34</v>
      </c>
      <c r="D254" s="47">
        <v>29.68</v>
      </c>
      <c r="E254" s="47">
        <v>29.68</v>
      </c>
      <c r="F254" s="47">
        <v>29.68</v>
      </c>
      <c r="G254" s="47">
        <v>29.68</v>
      </c>
      <c r="H254" s="47">
        <v>29.68</v>
      </c>
      <c r="I254" s="47">
        <v>29.68</v>
      </c>
      <c r="J254" s="47">
        <v>29.68</v>
      </c>
      <c r="K254" s="47">
        <v>29.68</v>
      </c>
      <c r="L254" s="47">
        <v>29.68</v>
      </c>
      <c r="M254" s="47">
        <v>29.68</v>
      </c>
      <c r="N254" s="47">
        <v>29.68</v>
      </c>
      <c r="O254" s="47">
        <v>29.68</v>
      </c>
      <c r="P254" s="47">
        <v>29.68</v>
      </c>
      <c r="Q254" s="47">
        <v>29.68</v>
      </c>
      <c r="R254" s="47">
        <v>29.68</v>
      </c>
      <c r="S254" s="47">
        <v>29.68</v>
      </c>
      <c r="T254" s="47">
        <v>29.68</v>
      </c>
      <c r="U254" s="47">
        <v>29.68</v>
      </c>
      <c r="V254" s="47">
        <v>29.68</v>
      </c>
      <c r="W254" s="47">
        <v>29.68</v>
      </c>
      <c r="X254" s="47">
        <v>29.68</v>
      </c>
      <c r="Y254" s="47">
        <v>29.68</v>
      </c>
      <c r="Z254" s="47">
        <v>29.68</v>
      </c>
      <c r="AA254" s="47">
        <v>29.68</v>
      </c>
      <c r="AB254" s="45">
        <f t="shared" si="6"/>
        <v>712.32</v>
      </c>
      <c r="AC254" s="37">
        <v>6</v>
      </c>
      <c r="AD254" s="92"/>
    </row>
    <row r="255" spans="2:30">
      <c r="B255" s="90">
        <v>48670</v>
      </c>
      <c r="C255" s="44" t="s">
        <v>32</v>
      </c>
      <c r="D255" s="47">
        <v>29.68</v>
      </c>
      <c r="E255" s="47">
        <v>29.68</v>
      </c>
      <c r="F255" s="47">
        <v>29.68</v>
      </c>
      <c r="G255" s="47">
        <v>29.68</v>
      </c>
      <c r="H255" s="47">
        <v>29.68</v>
      </c>
      <c r="I255" s="47">
        <v>29.68</v>
      </c>
      <c r="J255" s="47">
        <v>29.68</v>
      </c>
      <c r="K255" s="47">
        <v>29.68</v>
      </c>
      <c r="L255" s="47">
        <v>29.68</v>
      </c>
      <c r="M255" s="47">
        <v>29.68</v>
      </c>
      <c r="N255" s="47">
        <v>29.68</v>
      </c>
      <c r="O255" s="47">
        <v>29.68</v>
      </c>
      <c r="P255" s="47">
        <v>29.68</v>
      </c>
      <c r="Q255" s="47">
        <v>29.68</v>
      </c>
      <c r="R255" s="47">
        <v>29.68</v>
      </c>
      <c r="S255" s="47">
        <v>29.68</v>
      </c>
      <c r="T255" s="47">
        <v>29.68</v>
      </c>
      <c r="U255" s="47">
        <v>29.68</v>
      </c>
      <c r="V255" s="47">
        <v>29.68</v>
      </c>
      <c r="W255" s="47">
        <v>29.68</v>
      </c>
      <c r="X255" s="47">
        <v>29.68</v>
      </c>
      <c r="Y255" s="47">
        <v>29.68</v>
      </c>
      <c r="Z255" s="47">
        <v>29.68</v>
      </c>
      <c r="AA255" s="47">
        <v>29.68</v>
      </c>
      <c r="AB255" s="45">
        <f t="shared" si="6"/>
        <v>712.32</v>
      </c>
      <c r="AC255" s="37">
        <v>19</v>
      </c>
      <c r="AD255" s="92">
        <f>+AB255*AC255+AB256*AC256+AB257*AC257</f>
        <v>21369.599999999999</v>
      </c>
    </row>
    <row r="256" spans="2:30">
      <c r="B256" s="90"/>
      <c r="C256" s="44" t="s">
        <v>33</v>
      </c>
      <c r="D256" s="47">
        <v>29.68</v>
      </c>
      <c r="E256" s="47">
        <v>29.68</v>
      </c>
      <c r="F256" s="47">
        <v>29.68</v>
      </c>
      <c r="G256" s="47">
        <v>29.68</v>
      </c>
      <c r="H256" s="47">
        <v>29.68</v>
      </c>
      <c r="I256" s="47">
        <v>29.68</v>
      </c>
      <c r="J256" s="47">
        <v>29.68</v>
      </c>
      <c r="K256" s="47">
        <v>29.68</v>
      </c>
      <c r="L256" s="47">
        <v>29.68</v>
      </c>
      <c r="M256" s="47">
        <v>29.68</v>
      </c>
      <c r="N256" s="47">
        <v>29.68</v>
      </c>
      <c r="O256" s="47">
        <v>29.68</v>
      </c>
      <c r="P256" s="47">
        <v>29.68</v>
      </c>
      <c r="Q256" s="47">
        <v>29.68</v>
      </c>
      <c r="R256" s="47">
        <v>29.68</v>
      </c>
      <c r="S256" s="47">
        <v>29.68</v>
      </c>
      <c r="T256" s="47">
        <v>29.68</v>
      </c>
      <c r="U256" s="47">
        <v>29.68</v>
      </c>
      <c r="V256" s="47">
        <v>29.68</v>
      </c>
      <c r="W256" s="47">
        <v>29.68</v>
      </c>
      <c r="X256" s="47">
        <v>29.68</v>
      </c>
      <c r="Y256" s="47">
        <v>29.68</v>
      </c>
      <c r="Z256" s="47">
        <v>29.68</v>
      </c>
      <c r="AA256" s="47">
        <v>29.68</v>
      </c>
      <c r="AB256" s="45">
        <f t="shared" si="6"/>
        <v>712.32</v>
      </c>
      <c r="AC256" s="37">
        <v>5</v>
      </c>
      <c r="AD256" s="92"/>
    </row>
    <row r="257" spans="2:30">
      <c r="B257" s="90"/>
      <c r="C257" s="44" t="s">
        <v>34</v>
      </c>
      <c r="D257" s="47">
        <v>29.68</v>
      </c>
      <c r="E257" s="47">
        <v>29.68</v>
      </c>
      <c r="F257" s="47">
        <v>29.68</v>
      </c>
      <c r="G257" s="47">
        <v>29.68</v>
      </c>
      <c r="H257" s="47">
        <v>29.68</v>
      </c>
      <c r="I257" s="47">
        <v>29.68</v>
      </c>
      <c r="J257" s="47">
        <v>29.68</v>
      </c>
      <c r="K257" s="47">
        <v>29.68</v>
      </c>
      <c r="L257" s="47">
        <v>29.68</v>
      </c>
      <c r="M257" s="47">
        <v>29.68</v>
      </c>
      <c r="N257" s="47">
        <v>29.68</v>
      </c>
      <c r="O257" s="47">
        <v>29.68</v>
      </c>
      <c r="P257" s="47">
        <v>29.68</v>
      </c>
      <c r="Q257" s="47">
        <v>29.68</v>
      </c>
      <c r="R257" s="47">
        <v>29.68</v>
      </c>
      <c r="S257" s="47">
        <v>29.68</v>
      </c>
      <c r="T257" s="47">
        <v>29.68</v>
      </c>
      <c r="U257" s="47">
        <v>29.68</v>
      </c>
      <c r="V257" s="47">
        <v>29.68</v>
      </c>
      <c r="W257" s="47">
        <v>29.68</v>
      </c>
      <c r="X257" s="47">
        <v>29.68</v>
      </c>
      <c r="Y257" s="47">
        <v>29.68</v>
      </c>
      <c r="Z257" s="47">
        <v>29.68</v>
      </c>
      <c r="AA257" s="47">
        <v>29.68</v>
      </c>
      <c r="AB257" s="45">
        <f t="shared" si="6"/>
        <v>712.32</v>
      </c>
      <c r="AC257" s="37">
        <v>6</v>
      </c>
      <c r="AD257" s="92"/>
    </row>
    <row r="258" spans="2:30">
      <c r="B258" s="90">
        <v>48700</v>
      </c>
      <c r="C258" s="44" t="s">
        <v>32</v>
      </c>
      <c r="D258" s="47">
        <v>29.68</v>
      </c>
      <c r="E258" s="47">
        <v>29.68</v>
      </c>
      <c r="F258" s="47">
        <v>29.68</v>
      </c>
      <c r="G258" s="47">
        <v>29.68</v>
      </c>
      <c r="H258" s="47">
        <v>29.68</v>
      </c>
      <c r="I258" s="47">
        <v>29.68</v>
      </c>
      <c r="J258" s="47">
        <v>29.68</v>
      </c>
      <c r="K258" s="47">
        <v>29.68</v>
      </c>
      <c r="L258" s="47">
        <v>29.68</v>
      </c>
      <c r="M258" s="47">
        <v>29.68</v>
      </c>
      <c r="N258" s="47">
        <v>29.68</v>
      </c>
      <c r="O258" s="47">
        <v>29.68</v>
      </c>
      <c r="P258" s="47">
        <v>29.68</v>
      </c>
      <c r="Q258" s="47">
        <v>29.68</v>
      </c>
      <c r="R258" s="47">
        <v>29.68</v>
      </c>
      <c r="S258" s="47">
        <v>29.68</v>
      </c>
      <c r="T258" s="47">
        <v>29.68</v>
      </c>
      <c r="U258" s="47">
        <v>29.68</v>
      </c>
      <c r="V258" s="47">
        <v>29.68</v>
      </c>
      <c r="W258" s="47">
        <v>29.68</v>
      </c>
      <c r="X258" s="47">
        <v>29.68</v>
      </c>
      <c r="Y258" s="47">
        <v>29.68</v>
      </c>
      <c r="Z258" s="47">
        <v>29.68</v>
      </c>
      <c r="AA258" s="47">
        <v>29.68</v>
      </c>
      <c r="AB258" s="45">
        <f t="shared" si="6"/>
        <v>712.32</v>
      </c>
      <c r="AC258" s="37">
        <v>20</v>
      </c>
      <c r="AD258" s="92">
        <f>+AB258*AC258+AB259*AC259+AB260*AC260</f>
        <v>22081.919999999998</v>
      </c>
    </row>
    <row r="259" spans="2:30">
      <c r="B259" s="90"/>
      <c r="C259" s="44" t="s">
        <v>33</v>
      </c>
      <c r="D259" s="47">
        <v>29.68</v>
      </c>
      <c r="E259" s="47">
        <v>29.68</v>
      </c>
      <c r="F259" s="47">
        <v>29.68</v>
      </c>
      <c r="G259" s="47">
        <v>29.68</v>
      </c>
      <c r="H259" s="47">
        <v>29.68</v>
      </c>
      <c r="I259" s="47">
        <v>29.68</v>
      </c>
      <c r="J259" s="47">
        <v>29.68</v>
      </c>
      <c r="K259" s="47">
        <v>29.68</v>
      </c>
      <c r="L259" s="47">
        <v>29.68</v>
      </c>
      <c r="M259" s="47">
        <v>29.68</v>
      </c>
      <c r="N259" s="47">
        <v>29.68</v>
      </c>
      <c r="O259" s="47">
        <v>29.68</v>
      </c>
      <c r="P259" s="47">
        <v>29.68</v>
      </c>
      <c r="Q259" s="47">
        <v>29.68</v>
      </c>
      <c r="R259" s="47">
        <v>29.68</v>
      </c>
      <c r="S259" s="47">
        <v>29.68</v>
      </c>
      <c r="T259" s="47">
        <v>29.68</v>
      </c>
      <c r="U259" s="47">
        <v>29.68</v>
      </c>
      <c r="V259" s="47">
        <v>29.68</v>
      </c>
      <c r="W259" s="47">
        <v>29.68</v>
      </c>
      <c r="X259" s="47">
        <v>29.68</v>
      </c>
      <c r="Y259" s="47">
        <v>29.68</v>
      </c>
      <c r="Z259" s="47">
        <v>29.68</v>
      </c>
      <c r="AA259" s="47">
        <v>29.68</v>
      </c>
      <c r="AB259" s="45">
        <f t="shared" si="6"/>
        <v>712.32</v>
      </c>
      <c r="AC259" s="37">
        <v>4</v>
      </c>
      <c r="AD259" s="92"/>
    </row>
    <row r="260" spans="2:30">
      <c r="B260" s="90"/>
      <c r="C260" s="44" t="s">
        <v>34</v>
      </c>
      <c r="D260" s="47">
        <v>29.68</v>
      </c>
      <c r="E260" s="47">
        <v>29.68</v>
      </c>
      <c r="F260" s="47">
        <v>29.68</v>
      </c>
      <c r="G260" s="47">
        <v>29.68</v>
      </c>
      <c r="H260" s="47">
        <v>29.68</v>
      </c>
      <c r="I260" s="47">
        <v>29.68</v>
      </c>
      <c r="J260" s="47">
        <v>29.68</v>
      </c>
      <c r="K260" s="47">
        <v>29.68</v>
      </c>
      <c r="L260" s="47">
        <v>29.68</v>
      </c>
      <c r="M260" s="47">
        <v>29.68</v>
      </c>
      <c r="N260" s="47">
        <v>29.68</v>
      </c>
      <c r="O260" s="47">
        <v>29.68</v>
      </c>
      <c r="P260" s="47">
        <v>29.68</v>
      </c>
      <c r="Q260" s="47">
        <v>29.68</v>
      </c>
      <c r="R260" s="47">
        <v>29.68</v>
      </c>
      <c r="S260" s="47">
        <v>29.68</v>
      </c>
      <c r="T260" s="47">
        <v>29.68</v>
      </c>
      <c r="U260" s="47">
        <v>29.68</v>
      </c>
      <c r="V260" s="47">
        <v>29.68</v>
      </c>
      <c r="W260" s="47">
        <v>29.68</v>
      </c>
      <c r="X260" s="47">
        <v>29.68</v>
      </c>
      <c r="Y260" s="47">
        <v>29.68</v>
      </c>
      <c r="Z260" s="47">
        <v>29.68</v>
      </c>
      <c r="AA260" s="47">
        <v>29.68</v>
      </c>
      <c r="AB260" s="45">
        <f t="shared" si="6"/>
        <v>712.32</v>
      </c>
      <c r="AC260" s="37">
        <v>7</v>
      </c>
      <c r="AD260" s="92"/>
    </row>
    <row r="261" spans="2:30">
      <c r="B261" s="90">
        <v>48731</v>
      </c>
      <c r="C261" s="44" t="s">
        <v>32</v>
      </c>
      <c r="D261" s="47">
        <v>29.68</v>
      </c>
      <c r="E261" s="47">
        <v>29.68</v>
      </c>
      <c r="F261" s="47">
        <v>29.68</v>
      </c>
      <c r="G261" s="47">
        <v>29.68</v>
      </c>
      <c r="H261" s="47">
        <v>29.68</v>
      </c>
      <c r="I261" s="47">
        <v>29.68</v>
      </c>
      <c r="J261" s="47">
        <v>29.68</v>
      </c>
      <c r="K261" s="47">
        <v>29.68</v>
      </c>
      <c r="L261" s="47">
        <v>29.68</v>
      </c>
      <c r="M261" s="47">
        <v>29.68</v>
      </c>
      <c r="N261" s="47">
        <v>29.68</v>
      </c>
      <c r="O261" s="47">
        <v>29.68</v>
      </c>
      <c r="P261" s="47">
        <v>29.68</v>
      </c>
      <c r="Q261" s="47">
        <v>29.68</v>
      </c>
      <c r="R261" s="47">
        <v>29.68</v>
      </c>
      <c r="S261" s="47">
        <v>29.68</v>
      </c>
      <c r="T261" s="47">
        <v>29.68</v>
      </c>
      <c r="U261" s="47">
        <v>29.68</v>
      </c>
      <c r="V261" s="47">
        <v>29.68</v>
      </c>
      <c r="W261" s="47">
        <v>29.68</v>
      </c>
      <c r="X261" s="47">
        <v>29.68</v>
      </c>
      <c r="Y261" s="47">
        <v>29.68</v>
      </c>
      <c r="Z261" s="47">
        <v>29.68</v>
      </c>
      <c r="AA261" s="47">
        <v>29.68</v>
      </c>
      <c r="AB261" s="45">
        <f t="shared" si="6"/>
        <v>712.32</v>
      </c>
      <c r="AC261" s="37">
        <v>19</v>
      </c>
      <c r="AD261" s="92">
        <f>+AB261*AC261+AB262*AC262+AB263*AC263</f>
        <v>21369.599999999999</v>
      </c>
    </row>
    <row r="262" spans="2:30">
      <c r="B262" s="90"/>
      <c r="C262" s="44" t="s">
        <v>33</v>
      </c>
      <c r="D262" s="47">
        <v>29.68</v>
      </c>
      <c r="E262" s="47">
        <v>29.68</v>
      </c>
      <c r="F262" s="47">
        <v>29.68</v>
      </c>
      <c r="G262" s="47">
        <v>29.68</v>
      </c>
      <c r="H262" s="47">
        <v>29.68</v>
      </c>
      <c r="I262" s="47">
        <v>29.68</v>
      </c>
      <c r="J262" s="47">
        <v>29.68</v>
      </c>
      <c r="K262" s="47">
        <v>29.68</v>
      </c>
      <c r="L262" s="47">
        <v>29.68</v>
      </c>
      <c r="M262" s="47">
        <v>29.68</v>
      </c>
      <c r="N262" s="47">
        <v>29.68</v>
      </c>
      <c r="O262" s="47">
        <v>29.68</v>
      </c>
      <c r="P262" s="47">
        <v>29.68</v>
      </c>
      <c r="Q262" s="47">
        <v>29.68</v>
      </c>
      <c r="R262" s="47">
        <v>29.68</v>
      </c>
      <c r="S262" s="47">
        <v>29.68</v>
      </c>
      <c r="T262" s="47">
        <v>29.68</v>
      </c>
      <c r="U262" s="47">
        <v>29.68</v>
      </c>
      <c r="V262" s="47">
        <v>29.68</v>
      </c>
      <c r="W262" s="47">
        <v>29.68</v>
      </c>
      <c r="X262" s="47">
        <v>29.68</v>
      </c>
      <c r="Y262" s="47">
        <v>29.68</v>
      </c>
      <c r="Z262" s="47">
        <v>29.68</v>
      </c>
      <c r="AA262" s="47">
        <v>29.68</v>
      </c>
      <c r="AB262" s="45">
        <f t="shared" si="6"/>
        <v>712.32</v>
      </c>
      <c r="AC262" s="37">
        <v>4</v>
      </c>
      <c r="AD262" s="92"/>
    </row>
    <row r="263" spans="2:30">
      <c r="B263" s="90"/>
      <c r="C263" s="44" t="s">
        <v>34</v>
      </c>
      <c r="D263" s="47">
        <v>29.68</v>
      </c>
      <c r="E263" s="47">
        <v>29.68</v>
      </c>
      <c r="F263" s="47">
        <v>29.68</v>
      </c>
      <c r="G263" s="47">
        <v>29.68</v>
      </c>
      <c r="H263" s="47">
        <v>29.68</v>
      </c>
      <c r="I263" s="47">
        <v>29.68</v>
      </c>
      <c r="J263" s="47">
        <v>29.68</v>
      </c>
      <c r="K263" s="47">
        <v>29.68</v>
      </c>
      <c r="L263" s="47">
        <v>29.68</v>
      </c>
      <c r="M263" s="47">
        <v>29.68</v>
      </c>
      <c r="N263" s="47">
        <v>29.68</v>
      </c>
      <c r="O263" s="47">
        <v>29.68</v>
      </c>
      <c r="P263" s="47">
        <v>29.68</v>
      </c>
      <c r="Q263" s="47">
        <v>29.68</v>
      </c>
      <c r="R263" s="47">
        <v>29.68</v>
      </c>
      <c r="S263" s="47">
        <v>29.68</v>
      </c>
      <c r="T263" s="47">
        <v>29.68</v>
      </c>
      <c r="U263" s="47">
        <v>29.68</v>
      </c>
      <c r="V263" s="47">
        <v>29.68</v>
      </c>
      <c r="W263" s="47">
        <v>29.68</v>
      </c>
      <c r="X263" s="47">
        <v>29.68</v>
      </c>
      <c r="Y263" s="47">
        <v>29.68</v>
      </c>
      <c r="Z263" s="47">
        <v>29.68</v>
      </c>
      <c r="AA263" s="47">
        <v>29.68</v>
      </c>
      <c r="AB263" s="45">
        <f t="shared" si="6"/>
        <v>712.32</v>
      </c>
      <c r="AC263" s="37">
        <v>7</v>
      </c>
      <c r="AD263" s="92"/>
    </row>
    <row r="264" spans="2:30">
      <c r="B264" s="90">
        <v>48761</v>
      </c>
      <c r="C264" s="44" t="s">
        <v>32</v>
      </c>
      <c r="D264" s="47">
        <v>29.68</v>
      </c>
      <c r="E264" s="47">
        <v>29.68</v>
      </c>
      <c r="F264" s="47">
        <v>29.68</v>
      </c>
      <c r="G264" s="47">
        <v>29.68</v>
      </c>
      <c r="H264" s="47">
        <v>29.68</v>
      </c>
      <c r="I264" s="47">
        <v>29.68</v>
      </c>
      <c r="J264" s="47">
        <v>29.68</v>
      </c>
      <c r="K264" s="47">
        <v>29.68</v>
      </c>
      <c r="L264" s="47">
        <v>29.68</v>
      </c>
      <c r="M264" s="47">
        <v>29.68</v>
      </c>
      <c r="N264" s="47">
        <v>29.68</v>
      </c>
      <c r="O264" s="47">
        <v>29.68</v>
      </c>
      <c r="P264" s="47">
        <v>29.68</v>
      </c>
      <c r="Q264" s="47">
        <v>29.68</v>
      </c>
      <c r="R264" s="47">
        <v>29.68</v>
      </c>
      <c r="S264" s="47">
        <v>29.68</v>
      </c>
      <c r="T264" s="47">
        <v>29.68</v>
      </c>
      <c r="U264" s="47">
        <v>29.68</v>
      </c>
      <c r="V264" s="47">
        <v>29.68</v>
      </c>
      <c r="W264" s="47">
        <v>29.68</v>
      </c>
      <c r="X264" s="47">
        <v>29.68</v>
      </c>
      <c r="Y264" s="47">
        <v>29.68</v>
      </c>
      <c r="Z264" s="47">
        <v>29.68</v>
      </c>
      <c r="AA264" s="47">
        <v>29.68</v>
      </c>
      <c r="AB264" s="45">
        <f t="shared" si="6"/>
        <v>712.32</v>
      </c>
      <c r="AC264" s="37">
        <v>19</v>
      </c>
      <c r="AD264" s="92">
        <f>+AB264*AC264+AB265*AC265+AB266*AC266</f>
        <v>22081.919999999998</v>
      </c>
    </row>
    <row r="265" spans="2:30">
      <c r="B265" s="90"/>
      <c r="C265" s="44" t="s">
        <v>33</v>
      </c>
      <c r="D265" s="47">
        <v>29.68</v>
      </c>
      <c r="E265" s="47">
        <v>29.68</v>
      </c>
      <c r="F265" s="47">
        <v>29.68</v>
      </c>
      <c r="G265" s="47">
        <v>29.68</v>
      </c>
      <c r="H265" s="47">
        <v>29.68</v>
      </c>
      <c r="I265" s="47">
        <v>29.68</v>
      </c>
      <c r="J265" s="47">
        <v>29.68</v>
      </c>
      <c r="K265" s="47">
        <v>29.68</v>
      </c>
      <c r="L265" s="47">
        <v>29.68</v>
      </c>
      <c r="M265" s="47">
        <v>29.68</v>
      </c>
      <c r="N265" s="47">
        <v>29.68</v>
      </c>
      <c r="O265" s="47">
        <v>29.68</v>
      </c>
      <c r="P265" s="47">
        <v>29.68</v>
      </c>
      <c r="Q265" s="47">
        <v>29.68</v>
      </c>
      <c r="R265" s="47">
        <v>29.68</v>
      </c>
      <c r="S265" s="47">
        <v>29.68</v>
      </c>
      <c r="T265" s="47">
        <v>29.68</v>
      </c>
      <c r="U265" s="47">
        <v>29.68</v>
      </c>
      <c r="V265" s="47">
        <v>29.68</v>
      </c>
      <c r="W265" s="47">
        <v>29.68</v>
      </c>
      <c r="X265" s="47">
        <v>29.68</v>
      </c>
      <c r="Y265" s="47">
        <v>29.68</v>
      </c>
      <c r="Z265" s="47">
        <v>29.68</v>
      </c>
      <c r="AA265" s="47">
        <v>29.68</v>
      </c>
      <c r="AB265" s="45">
        <f t="shared" si="6"/>
        <v>712.32</v>
      </c>
      <c r="AC265" s="37">
        <v>5</v>
      </c>
      <c r="AD265" s="92"/>
    </row>
    <row r="266" spans="2:30">
      <c r="B266" s="90"/>
      <c r="C266" s="44" t="s">
        <v>34</v>
      </c>
      <c r="D266" s="47">
        <v>29.68</v>
      </c>
      <c r="E266" s="47">
        <v>29.68</v>
      </c>
      <c r="F266" s="47">
        <v>29.68</v>
      </c>
      <c r="G266" s="47">
        <v>29.68</v>
      </c>
      <c r="H266" s="47">
        <v>29.68</v>
      </c>
      <c r="I266" s="47">
        <v>29.68</v>
      </c>
      <c r="J266" s="47">
        <v>29.68</v>
      </c>
      <c r="K266" s="47">
        <v>29.68</v>
      </c>
      <c r="L266" s="47">
        <v>29.68</v>
      </c>
      <c r="M266" s="47">
        <v>29.68</v>
      </c>
      <c r="N266" s="47">
        <v>29.68</v>
      </c>
      <c r="O266" s="47">
        <v>29.68</v>
      </c>
      <c r="P266" s="47">
        <v>29.68</v>
      </c>
      <c r="Q266" s="47">
        <v>29.68</v>
      </c>
      <c r="R266" s="47">
        <v>29.68</v>
      </c>
      <c r="S266" s="47">
        <v>29.68</v>
      </c>
      <c r="T266" s="47">
        <v>29.68</v>
      </c>
      <c r="U266" s="47">
        <v>29.68</v>
      </c>
      <c r="V266" s="47">
        <v>29.68</v>
      </c>
      <c r="W266" s="47">
        <v>29.68</v>
      </c>
      <c r="X266" s="47">
        <v>29.68</v>
      </c>
      <c r="Y266" s="47">
        <v>29.68</v>
      </c>
      <c r="Z266" s="47">
        <v>29.68</v>
      </c>
      <c r="AA266" s="47">
        <v>29.68</v>
      </c>
      <c r="AB266" s="45">
        <f t="shared" si="6"/>
        <v>712.32</v>
      </c>
      <c r="AC266" s="37">
        <v>7</v>
      </c>
      <c r="AD266" s="92"/>
    </row>
    <row r="267" spans="2:30">
      <c r="B267" s="90">
        <v>48792</v>
      </c>
      <c r="C267" s="44" t="s">
        <v>32</v>
      </c>
      <c r="D267" s="47">
        <v>29.68</v>
      </c>
      <c r="E267" s="47">
        <v>29.68</v>
      </c>
      <c r="F267" s="47">
        <v>29.68</v>
      </c>
      <c r="G267" s="47">
        <v>29.68</v>
      </c>
      <c r="H267" s="47">
        <v>29.68</v>
      </c>
      <c r="I267" s="47">
        <v>29.68</v>
      </c>
      <c r="J267" s="47">
        <v>29.68</v>
      </c>
      <c r="K267" s="47">
        <v>29.68</v>
      </c>
      <c r="L267" s="47">
        <v>29.68</v>
      </c>
      <c r="M267" s="47">
        <v>29.68</v>
      </c>
      <c r="N267" s="47">
        <v>29.68</v>
      </c>
      <c r="O267" s="47">
        <v>29.68</v>
      </c>
      <c r="P267" s="47">
        <v>29.68</v>
      </c>
      <c r="Q267" s="47">
        <v>29.68</v>
      </c>
      <c r="R267" s="47">
        <v>29.68</v>
      </c>
      <c r="S267" s="47">
        <v>29.68</v>
      </c>
      <c r="T267" s="47">
        <v>29.68</v>
      </c>
      <c r="U267" s="47">
        <v>29.68</v>
      </c>
      <c r="V267" s="47">
        <v>29.68</v>
      </c>
      <c r="W267" s="47">
        <v>29.68</v>
      </c>
      <c r="X267" s="47">
        <v>29.68</v>
      </c>
      <c r="Y267" s="47">
        <v>29.68</v>
      </c>
      <c r="Z267" s="47">
        <v>29.68</v>
      </c>
      <c r="AA267" s="47">
        <v>29.68</v>
      </c>
      <c r="AB267" s="45">
        <f t="shared" si="6"/>
        <v>712.32</v>
      </c>
      <c r="AC267" s="37">
        <v>22</v>
      </c>
      <c r="AD267" s="92">
        <f>+AB267*AC267+AB268*AC268+AB269*AC269</f>
        <v>22081.919999999998</v>
      </c>
    </row>
    <row r="268" spans="2:30">
      <c r="B268" s="90"/>
      <c r="C268" s="44" t="s">
        <v>33</v>
      </c>
      <c r="D268" s="47">
        <v>29.68</v>
      </c>
      <c r="E268" s="47">
        <v>29.68</v>
      </c>
      <c r="F268" s="47">
        <v>29.68</v>
      </c>
      <c r="G268" s="47">
        <v>29.68</v>
      </c>
      <c r="H268" s="47">
        <v>29.68</v>
      </c>
      <c r="I268" s="47">
        <v>29.68</v>
      </c>
      <c r="J268" s="47">
        <v>29.68</v>
      </c>
      <c r="K268" s="47">
        <v>29.68</v>
      </c>
      <c r="L268" s="47">
        <v>29.68</v>
      </c>
      <c r="M268" s="47">
        <v>29.68</v>
      </c>
      <c r="N268" s="47">
        <v>29.68</v>
      </c>
      <c r="O268" s="47">
        <v>29.68</v>
      </c>
      <c r="P268" s="47">
        <v>29.68</v>
      </c>
      <c r="Q268" s="47">
        <v>29.68</v>
      </c>
      <c r="R268" s="47">
        <v>29.68</v>
      </c>
      <c r="S268" s="47">
        <v>29.68</v>
      </c>
      <c r="T268" s="47">
        <v>29.68</v>
      </c>
      <c r="U268" s="47">
        <v>29.68</v>
      </c>
      <c r="V268" s="47">
        <v>29.68</v>
      </c>
      <c r="W268" s="47">
        <v>29.68</v>
      </c>
      <c r="X268" s="47">
        <v>29.68</v>
      </c>
      <c r="Y268" s="47">
        <v>29.68</v>
      </c>
      <c r="Z268" s="47">
        <v>29.68</v>
      </c>
      <c r="AA268" s="47">
        <v>29.68</v>
      </c>
      <c r="AB268" s="45">
        <f t="shared" si="6"/>
        <v>712.32</v>
      </c>
      <c r="AC268" s="37">
        <v>4</v>
      </c>
      <c r="AD268" s="92"/>
    </row>
    <row r="269" spans="2:30">
      <c r="B269" s="90"/>
      <c r="C269" s="44" t="s">
        <v>34</v>
      </c>
      <c r="D269" s="47">
        <v>29.68</v>
      </c>
      <c r="E269" s="47">
        <v>29.68</v>
      </c>
      <c r="F269" s="47">
        <v>29.68</v>
      </c>
      <c r="G269" s="47">
        <v>29.68</v>
      </c>
      <c r="H269" s="47">
        <v>29.68</v>
      </c>
      <c r="I269" s="47">
        <v>29.68</v>
      </c>
      <c r="J269" s="47">
        <v>29.68</v>
      </c>
      <c r="K269" s="47">
        <v>29.68</v>
      </c>
      <c r="L269" s="47">
        <v>29.68</v>
      </c>
      <c r="M269" s="47">
        <v>29.68</v>
      </c>
      <c r="N269" s="47">
        <v>29.68</v>
      </c>
      <c r="O269" s="47">
        <v>29.68</v>
      </c>
      <c r="P269" s="47">
        <v>29.68</v>
      </c>
      <c r="Q269" s="47">
        <v>29.68</v>
      </c>
      <c r="R269" s="47">
        <v>29.68</v>
      </c>
      <c r="S269" s="47">
        <v>29.68</v>
      </c>
      <c r="T269" s="47">
        <v>29.68</v>
      </c>
      <c r="U269" s="47">
        <v>29.68</v>
      </c>
      <c r="V269" s="47">
        <v>29.68</v>
      </c>
      <c r="W269" s="47">
        <v>29.68</v>
      </c>
      <c r="X269" s="47">
        <v>29.68</v>
      </c>
      <c r="Y269" s="47">
        <v>29.68</v>
      </c>
      <c r="Z269" s="47">
        <v>29.68</v>
      </c>
      <c r="AA269" s="47">
        <v>29.68</v>
      </c>
      <c r="AB269" s="45">
        <f t="shared" si="6"/>
        <v>712.32</v>
      </c>
      <c r="AC269" s="37">
        <v>5</v>
      </c>
      <c r="AD269" s="92"/>
    </row>
    <row r="270" spans="2:30">
      <c r="B270" s="90">
        <v>48823</v>
      </c>
      <c r="C270" s="44" t="s">
        <v>32</v>
      </c>
      <c r="D270" s="47">
        <v>29.68</v>
      </c>
      <c r="E270" s="47">
        <v>29.68</v>
      </c>
      <c r="F270" s="47">
        <v>29.68</v>
      </c>
      <c r="G270" s="47">
        <v>29.68</v>
      </c>
      <c r="H270" s="47">
        <v>29.68</v>
      </c>
      <c r="I270" s="47">
        <v>29.68</v>
      </c>
      <c r="J270" s="47">
        <v>29.68</v>
      </c>
      <c r="K270" s="47">
        <v>29.68</v>
      </c>
      <c r="L270" s="47">
        <v>29.68</v>
      </c>
      <c r="M270" s="47">
        <v>29.68</v>
      </c>
      <c r="N270" s="47">
        <v>29.68</v>
      </c>
      <c r="O270" s="47">
        <v>29.68</v>
      </c>
      <c r="P270" s="47">
        <v>29.68</v>
      </c>
      <c r="Q270" s="47">
        <v>29.68</v>
      </c>
      <c r="R270" s="47">
        <v>29.68</v>
      </c>
      <c r="S270" s="47">
        <v>29.68</v>
      </c>
      <c r="T270" s="47">
        <v>29.68</v>
      </c>
      <c r="U270" s="47">
        <v>29.68</v>
      </c>
      <c r="V270" s="47">
        <v>29.68</v>
      </c>
      <c r="W270" s="47">
        <v>29.68</v>
      </c>
      <c r="X270" s="47">
        <v>29.68</v>
      </c>
      <c r="Y270" s="47">
        <v>29.68</v>
      </c>
      <c r="Z270" s="47">
        <v>29.68</v>
      </c>
      <c r="AA270" s="47">
        <v>29.68</v>
      </c>
      <c r="AB270" s="45">
        <f t="shared" si="6"/>
        <v>712.32</v>
      </c>
      <c r="AC270" s="37">
        <v>22</v>
      </c>
      <c r="AD270" s="92">
        <f>+AB270*AC270+AB271*AC271+AB272*AC272</f>
        <v>21369.599999999999</v>
      </c>
    </row>
    <row r="271" spans="2:30">
      <c r="B271" s="90"/>
      <c r="C271" s="44" t="s">
        <v>33</v>
      </c>
      <c r="D271" s="47">
        <v>29.68</v>
      </c>
      <c r="E271" s="47">
        <v>29.68</v>
      </c>
      <c r="F271" s="47">
        <v>29.68</v>
      </c>
      <c r="G271" s="47">
        <v>29.68</v>
      </c>
      <c r="H271" s="47">
        <v>29.68</v>
      </c>
      <c r="I271" s="47">
        <v>29.68</v>
      </c>
      <c r="J271" s="47">
        <v>29.68</v>
      </c>
      <c r="K271" s="47">
        <v>29.68</v>
      </c>
      <c r="L271" s="47">
        <v>29.68</v>
      </c>
      <c r="M271" s="47">
        <v>29.68</v>
      </c>
      <c r="N271" s="47">
        <v>29.68</v>
      </c>
      <c r="O271" s="47">
        <v>29.68</v>
      </c>
      <c r="P271" s="47">
        <v>29.68</v>
      </c>
      <c r="Q271" s="47">
        <v>29.68</v>
      </c>
      <c r="R271" s="47">
        <v>29.68</v>
      </c>
      <c r="S271" s="47">
        <v>29.68</v>
      </c>
      <c r="T271" s="47">
        <v>29.68</v>
      </c>
      <c r="U271" s="47">
        <v>29.68</v>
      </c>
      <c r="V271" s="47">
        <v>29.68</v>
      </c>
      <c r="W271" s="47">
        <v>29.68</v>
      </c>
      <c r="X271" s="47">
        <v>29.68</v>
      </c>
      <c r="Y271" s="47">
        <v>29.68</v>
      </c>
      <c r="Z271" s="47">
        <v>29.68</v>
      </c>
      <c r="AA271" s="47">
        <v>29.68</v>
      </c>
      <c r="AB271" s="45">
        <f t="shared" si="6"/>
        <v>712.32</v>
      </c>
      <c r="AC271" s="37">
        <v>4</v>
      </c>
      <c r="AD271" s="92"/>
    </row>
    <row r="272" spans="2:30">
      <c r="B272" s="90"/>
      <c r="C272" s="44" t="s">
        <v>34</v>
      </c>
      <c r="D272" s="47">
        <v>29.68</v>
      </c>
      <c r="E272" s="47">
        <v>29.68</v>
      </c>
      <c r="F272" s="47">
        <v>29.68</v>
      </c>
      <c r="G272" s="47">
        <v>29.68</v>
      </c>
      <c r="H272" s="47">
        <v>29.68</v>
      </c>
      <c r="I272" s="47">
        <v>29.68</v>
      </c>
      <c r="J272" s="47">
        <v>29.68</v>
      </c>
      <c r="K272" s="47">
        <v>29.68</v>
      </c>
      <c r="L272" s="47">
        <v>29.68</v>
      </c>
      <c r="M272" s="47">
        <v>29.68</v>
      </c>
      <c r="N272" s="47">
        <v>29.68</v>
      </c>
      <c r="O272" s="47">
        <v>29.68</v>
      </c>
      <c r="P272" s="47">
        <v>29.68</v>
      </c>
      <c r="Q272" s="47">
        <v>29.68</v>
      </c>
      <c r="R272" s="47">
        <v>29.68</v>
      </c>
      <c r="S272" s="47">
        <v>29.68</v>
      </c>
      <c r="T272" s="47">
        <v>29.68</v>
      </c>
      <c r="U272" s="47">
        <v>29.68</v>
      </c>
      <c r="V272" s="47">
        <v>29.68</v>
      </c>
      <c r="W272" s="47">
        <v>29.68</v>
      </c>
      <c r="X272" s="47">
        <v>29.68</v>
      </c>
      <c r="Y272" s="47">
        <v>29.68</v>
      </c>
      <c r="Z272" s="47">
        <v>29.68</v>
      </c>
      <c r="AA272" s="47">
        <v>29.68</v>
      </c>
      <c r="AB272" s="45">
        <f t="shared" si="6"/>
        <v>712.32</v>
      </c>
      <c r="AC272" s="37">
        <v>4</v>
      </c>
      <c r="AD272" s="92"/>
    </row>
    <row r="273" spans="2:32">
      <c r="B273" s="90">
        <v>48853</v>
      </c>
      <c r="C273" s="44" t="s">
        <v>32</v>
      </c>
      <c r="D273" s="47">
        <v>29.68</v>
      </c>
      <c r="E273" s="47">
        <v>29.68</v>
      </c>
      <c r="F273" s="47">
        <v>29.68</v>
      </c>
      <c r="G273" s="47">
        <v>29.68</v>
      </c>
      <c r="H273" s="47">
        <v>29.68</v>
      </c>
      <c r="I273" s="47">
        <v>29.68</v>
      </c>
      <c r="J273" s="47">
        <v>29.68</v>
      </c>
      <c r="K273" s="47">
        <v>29.68</v>
      </c>
      <c r="L273" s="47">
        <v>29.68</v>
      </c>
      <c r="M273" s="47">
        <v>29.68</v>
      </c>
      <c r="N273" s="47">
        <v>29.68</v>
      </c>
      <c r="O273" s="47">
        <v>29.68</v>
      </c>
      <c r="P273" s="47">
        <v>29.68</v>
      </c>
      <c r="Q273" s="47">
        <v>29.68</v>
      </c>
      <c r="R273" s="47">
        <v>29.68</v>
      </c>
      <c r="S273" s="47">
        <v>29.68</v>
      </c>
      <c r="T273" s="47">
        <v>29.68</v>
      </c>
      <c r="U273" s="47">
        <v>29.68</v>
      </c>
      <c r="V273" s="47">
        <v>29.68</v>
      </c>
      <c r="W273" s="47">
        <v>29.68</v>
      </c>
      <c r="X273" s="47">
        <v>29.68</v>
      </c>
      <c r="Y273" s="47">
        <v>29.68</v>
      </c>
      <c r="Z273" s="47">
        <v>29.68</v>
      </c>
      <c r="AA273" s="47">
        <v>29.68</v>
      </c>
      <c r="AB273" s="45">
        <f t="shared" si="6"/>
        <v>712.32</v>
      </c>
      <c r="AC273" s="37">
        <v>19</v>
      </c>
      <c r="AD273" s="92">
        <f>+AB273*AC273+AB274*AC274+AB275*AC275</f>
        <v>22081.919999999998</v>
      </c>
    </row>
    <row r="274" spans="2:32">
      <c r="B274" s="90"/>
      <c r="C274" s="44" t="s">
        <v>33</v>
      </c>
      <c r="D274" s="47">
        <v>29.68</v>
      </c>
      <c r="E274" s="47">
        <v>29.68</v>
      </c>
      <c r="F274" s="47">
        <v>29.68</v>
      </c>
      <c r="G274" s="47">
        <v>29.68</v>
      </c>
      <c r="H274" s="47">
        <v>29.68</v>
      </c>
      <c r="I274" s="47">
        <v>29.68</v>
      </c>
      <c r="J274" s="47">
        <v>29.68</v>
      </c>
      <c r="K274" s="47">
        <v>29.68</v>
      </c>
      <c r="L274" s="47">
        <v>29.68</v>
      </c>
      <c r="M274" s="47">
        <v>29.68</v>
      </c>
      <c r="N274" s="47">
        <v>29.68</v>
      </c>
      <c r="O274" s="47">
        <v>29.68</v>
      </c>
      <c r="P274" s="47">
        <v>29.68</v>
      </c>
      <c r="Q274" s="47">
        <v>29.68</v>
      </c>
      <c r="R274" s="47">
        <v>29.68</v>
      </c>
      <c r="S274" s="47">
        <v>29.68</v>
      </c>
      <c r="T274" s="47">
        <v>29.68</v>
      </c>
      <c r="U274" s="47">
        <v>29.68</v>
      </c>
      <c r="V274" s="47">
        <v>29.68</v>
      </c>
      <c r="W274" s="47">
        <v>29.68</v>
      </c>
      <c r="X274" s="47">
        <v>29.68</v>
      </c>
      <c r="Y274" s="47">
        <v>29.68</v>
      </c>
      <c r="Z274" s="47">
        <v>29.68</v>
      </c>
      <c r="AA274" s="47">
        <v>29.68</v>
      </c>
      <c r="AB274" s="45">
        <f t="shared" si="6"/>
        <v>712.32</v>
      </c>
      <c r="AC274" s="37">
        <v>5</v>
      </c>
      <c r="AD274" s="92"/>
    </row>
    <row r="275" spans="2:32">
      <c r="B275" s="90"/>
      <c r="C275" s="44" t="s">
        <v>34</v>
      </c>
      <c r="D275" s="47">
        <v>29.68</v>
      </c>
      <c r="E275" s="47">
        <v>29.68</v>
      </c>
      <c r="F275" s="47">
        <v>29.68</v>
      </c>
      <c r="G275" s="47">
        <v>29.68</v>
      </c>
      <c r="H275" s="47">
        <v>29.68</v>
      </c>
      <c r="I275" s="47">
        <v>29.68</v>
      </c>
      <c r="J275" s="47">
        <v>29.68</v>
      </c>
      <c r="K275" s="47">
        <v>29.68</v>
      </c>
      <c r="L275" s="47">
        <v>29.68</v>
      </c>
      <c r="M275" s="47">
        <v>29.68</v>
      </c>
      <c r="N275" s="47">
        <v>29.68</v>
      </c>
      <c r="O275" s="47">
        <v>29.68</v>
      </c>
      <c r="P275" s="47">
        <v>29.68</v>
      </c>
      <c r="Q275" s="47">
        <v>29.68</v>
      </c>
      <c r="R275" s="47">
        <v>29.68</v>
      </c>
      <c r="S275" s="47">
        <v>29.68</v>
      </c>
      <c r="T275" s="47">
        <v>29.68</v>
      </c>
      <c r="U275" s="47">
        <v>29.68</v>
      </c>
      <c r="V275" s="47">
        <v>29.68</v>
      </c>
      <c r="W275" s="47">
        <v>29.68</v>
      </c>
      <c r="X275" s="47">
        <v>29.68</v>
      </c>
      <c r="Y275" s="47">
        <v>29.68</v>
      </c>
      <c r="Z275" s="47">
        <v>29.68</v>
      </c>
      <c r="AA275" s="47">
        <v>29.68</v>
      </c>
      <c r="AB275" s="45">
        <f t="shared" si="6"/>
        <v>712.32</v>
      </c>
      <c r="AC275" s="37">
        <v>7</v>
      </c>
      <c r="AD275" s="92"/>
    </row>
    <row r="276" spans="2:32">
      <c r="B276" s="90">
        <v>48884</v>
      </c>
      <c r="C276" s="44" t="s">
        <v>32</v>
      </c>
      <c r="D276" s="47">
        <v>29.68</v>
      </c>
      <c r="E276" s="47">
        <v>29.68</v>
      </c>
      <c r="F276" s="47">
        <v>29.68</v>
      </c>
      <c r="G276" s="47">
        <v>29.68</v>
      </c>
      <c r="H276" s="47">
        <v>29.68</v>
      </c>
      <c r="I276" s="47">
        <v>29.68</v>
      </c>
      <c r="J276" s="47">
        <v>29.68</v>
      </c>
      <c r="K276" s="47">
        <v>29.68</v>
      </c>
      <c r="L276" s="47">
        <v>29.68</v>
      </c>
      <c r="M276" s="47">
        <v>29.68</v>
      </c>
      <c r="N276" s="47">
        <v>29.68</v>
      </c>
      <c r="O276" s="47">
        <v>29.68</v>
      </c>
      <c r="P276" s="47">
        <v>29.68</v>
      </c>
      <c r="Q276" s="47">
        <v>29.68</v>
      </c>
      <c r="R276" s="47">
        <v>29.68</v>
      </c>
      <c r="S276" s="47">
        <v>29.68</v>
      </c>
      <c r="T276" s="47">
        <v>29.68</v>
      </c>
      <c r="U276" s="47">
        <v>29.68</v>
      </c>
      <c r="V276" s="47">
        <v>29.68</v>
      </c>
      <c r="W276" s="47">
        <v>29.68</v>
      </c>
      <c r="X276" s="47">
        <v>29.68</v>
      </c>
      <c r="Y276" s="47">
        <v>29.68</v>
      </c>
      <c r="Z276" s="47">
        <v>29.68</v>
      </c>
      <c r="AA276" s="47">
        <v>29.68</v>
      </c>
      <c r="AB276" s="45">
        <f t="shared" si="6"/>
        <v>712.32</v>
      </c>
      <c r="AC276" s="37">
        <v>19</v>
      </c>
      <c r="AD276" s="92">
        <f>+AB276*AC276+AB277*AC277+AB278*AC278</f>
        <v>21369.599999999999</v>
      </c>
    </row>
    <row r="277" spans="2:32">
      <c r="B277" s="90"/>
      <c r="C277" s="44" t="s">
        <v>33</v>
      </c>
      <c r="D277" s="47">
        <v>29.68</v>
      </c>
      <c r="E277" s="47">
        <v>29.68</v>
      </c>
      <c r="F277" s="47">
        <v>29.68</v>
      </c>
      <c r="G277" s="47">
        <v>29.68</v>
      </c>
      <c r="H277" s="47">
        <v>29.68</v>
      </c>
      <c r="I277" s="47">
        <v>29.68</v>
      </c>
      <c r="J277" s="47">
        <v>29.68</v>
      </c>
      <c r="K277" s="47">
        <v>29.68</v>
      </c>
      <c r="L277" s="47">
        <v>29.68</v>
      </c>
      <c r="M277" s="47">
        <v>29.68</v>
      </c>
      <c r="N277" s="47">
        <v>29.68</v>
      </c>
      <c r="O277" s="47">
        <v>29.68</v>
      </c>
      <c r="P277" s="47">
        <v>29.68</v>
      </c>
      <c r="Q277" s="47">
        <v>29.68</v>
      </c>
      <c r="R277" s="47">
        <v>29.68</v>
      </c>
      <c r="S277" s="47">
        <v>29.68</v>
      </c>
      <c r="T277" s="47">
        <v>29.68</v>
      </c>
      <c r="U277" s="47">
        <v>29.68</v>
      </c>
      <c r="V277" s="47">
        <v>29.68</v>
      </c>
      <c r="W277" s="47">
        <v>29.68</v>
      </c>
      <c r="X277" s="47">
        <v>29.68</v>
      </c>
      <c r="Y277" s="47">
        <v>29.68</v>
      </c>
      <c r="Z277" s="47">
        <v>29.68</v>
      </c>
      <c r="AA277" s="47">
        <v>29.68</v>
      </c>
      <c r="AB277" s="45">
        <f t="shared" si="6"/>
        <v>712.32</v>
      </c>
      <c r="AC277" s="37">
        <v>4</v>
      </c>
      <c r="AD277" s="92"/>
    </row>
    <row r="278" spans="2:32">
      <c r="B278" s="90"/>
      <c r="C278" s="44" t="s">
        <v>34</v>
      </c>
      <c r="D278" s="47">
        <v>29.68</v>
      </c>
      <c r="E278" s="47">
        <v>29.68</v>
      </c>
      <c r="F278" s="47">
        <v>29.68</v>
      </c>
      <c r="G278" s="47">
        <v>29.68</v>
      </c>
      <c r="H278" s="47">
        <v>29.68</v>
      </c>
      <c r="I278" s="47">
        <v>29.68</v>
      </c>
      <c r="J278" s="47">
        <v>29.68</v>
      </c>
      <c r="K278" s="47">
        <v>29.68</v>
      </c>
      <c r="L278" s="47">
        <v>29.68</v>
      </c>
      <c r="M278" s="47">
        <v>29.68</v>
      </c>
      <c r="N278" s="47">
        <v>29.68</v>
      </c>
      <c r="O278" s="47">
        <v>29.68</v>
      </c>
      <c r="P278" s="47">
        <v>29.68</v>
      </c>
      <c r="Q278" s="47">
        <v>29.68</v>
      </c>
      <c r="R278" s="47">
        <v>29.68</v>
      </c>
      <c r="S278" s="47">
        <v>29.68</v>
      </c>
      <c r="T278" s="47">
        <v>29.68</v>
      </c>
      <c r="U278" s="47">
        <v>29.68</v>
      </c>
      <c r="V278" s="47">
        <v>29.68</v>
      </c>
      <c r="W278" s="47">
        <v>29.68</v>
      </c>
      <c r="X278" s="47">
        <v>29.68</v>
      </c>
      <c r="Y278" s="47">
        <v>29.68</v>
      </c>
      <c r="Z278" s="47">
        <v>29.68</v>
      </c>
      <c r="AA278" s="47">
        <v>29.68</v>
      </c>
      <c r="AB278" s="45">
        <f t="shared" si="6"/>
        <v>712.32</v>
      </c>
      <c r="AC278" s="37">
        <v>7</v>
      </c>
      <c r="AD278" s="92"/>
    </row>
    <row r="279" spans="2:32">
      <c r="B279" s="90">
        <v>48914</v>
      </c>
      <c r="C279" s="44" t="s">
        <v>32</v>
      </c>
      <c r="D279" s="47">
        <v>29.68</v>
      </c>
      <c r="E279" s="47">
        <v>29.68</v>
      </c>
      <c r="F279" s="47">
        <v>29.68</v>
      </c>
      <c r="G279" s="47">
        <v>29.68</v>
      </c>
      <c r="H279" s="47">
        <v>29.68</v>
      </c>
      <c r="I279" s="47">
        <v>29.68</v>
      </c>
      <c r="J279" s="47">
        <v>29.68</v>
      </c>
      <c r="K279" s="47">
        <v>29.68</v>
      </c>
      <c r="L279" s="47">
        <v>29.68</v>
      </c>
      <c r="M279" s="47">
        <v>29.68</v>
      </c>
      <c r="N279" s="47">
        <v>29.68</v>
      </c>
      <c r="O279" s="47">
        <v>29.68</v>
      </c>
      <c r="P279" s="47">
        <v>29.68</v>
      </c>
      <c r="Q279" s="47">
        <v>29.68</v>
      </c>
      <c r="R279" s="47">
        <v>29.68</v>
      </c>
      <c r="S279" s="47">
        <v>29.68</v>
      </c>
      <c r="T279" s="47">
        <v>29.68</v>
      </c>
      <c r="U279" s="47">
        <v>29.68</v>
      </c>
      <c r="V279" s="47">
        <v>29.68</v>
      </c>
      <c r="W279" s="47">
        <v>29.68</v>
      </c>
      <c r="X279" s="47">
        <v>29.68</v>
      </c>
      <c r="Y279" s="47">
        <v>29.68</v>
      </c>
      <c r="Z279" s="47">
        <v>29.68</v>
      </c>
      <c r="AA279" s="47">
        <v>29.68</v>
      </c>
      <c r="AB279" s="45">
        <f t="shared" si="6"/>
        <v>712.32</v>
      </c>
      <c r="AC279" s="37">
        <v>21</v>
      </c>
      <c r="AD279" s="92">
        <f>+AB279*AC279+AB280*AC280+AB281*AC281</f>
        <v>22081.919999999998</v>
      </c>
    </row>
    <row r="280" spans="2:32">
      <c r="B280" s="90"/>
      <c r="C280" s="44" t="s">
        <v>33</v>
      </c>
      <c r="D280" s="47">
        <v>29.68</v>
      </c>
      <c r="E280" s="47">
        <v>29.68</v>
      </c>
      <c r="F280" s="47">
        <v>29.68</v>
      </c>
      <c r="G280" s="47">
        <v>29.68</v>
      </c>
      <c r="H280" s="47">
        <v>29.68</v>
      </c>
      <c r="I280" s="47">
        <v>29.68</v>
      </c>
      <c r="J280" s="47">
        <v>29.68</v>
      </c>
      <c r="K280" s="47">
        <v>29.68</v>
      </c>
      <c r="L280" s="47">
        <v>29.68</v>
      </c>
      <c r="M280" s="47">
        <v>29.68</v>
      </c>
      <c r="N280" s="47">
        <v>29.68</v>
      </c>
      <c r="O280" s="47">
        <v>29.68</v>
      </c>
      <c r="P280" s="47">
        <v>29.68</v>
      </c>
      <c r="Q280" s="47">
        <v>29.68</v>
      </c>
      <c r="R280" s="47">
        <v>29.68</v>
      </c>
      <c r="S280" s="47">
        <v>29.68</v>
      </c>
      <c r="T280" s="47">
        <v>29.68</v>
      </c>
      <c r="U280" s="47">
        <v>29.68</v>
      </c>
      <c r="V280" s="47">
        <v>29.68</v>
      </c>
      <c r="W280" s="47">
        <v>29.68</v>
      </c>
      <c r="X280" s="47">
        <v>29.68</v>
      </c>
      <c r="Y280" s="47">
        <v>29.68</v>
      </c>
      <c r="Z280" s="47">
        <v>29.68</v>
      </c>
      <c r="AA280" s="47">
        <v>29.68</v>
      </c>
      <c r="AB280" s="45">
        <f t="shared" si="6"/>
        <v>712.32</v>
      </c>
      <c r="AC280" s="37">
        <v>5</v>
      </c>
      <c r="AD280" s="92"/>
    </row>
    <row r="281" spans="2:32">
      <c r="B281" s="90"/>
      <c r="C281" s="44" t="s">
        <v>34</v>
      </c>
      <c r="D281" s="47">
        <v>29.68</v>
      </c>
      <c r="E281" s="47">
        <v>29.68</v>
      </c>
      <c r="F281" s="47">
        <v>29.68</v>
      </c>
      <c r="G281" s="47">
        <v>29.68</v>
      </c>
      <c r="H281" s="47">
        <v>29.68</v>
      </c>
      <c r="I281" s="47">
        <v>29.68</v>
      </c>
      <c r="J281" s="47">
        <v>29.68</v>
      </c>
      <c r="K281" s="47">
        <v>29.68</v>
      </c>
      <c r="L281" s="47">
        <v>29.68</v>
      </c>
      <c r="M281" s="47">
        <v>29.68</v>
      </c>
      <c r="N281" s="47">
        <v>29.68</v>
      </c>
      <c r="O281" s="47">
        <v>29.68</v>
      </c>
      <c r="P281" s="47">
        <v>29.68</v>
      </c>
      <c r="Q281" s="47">
        <v>29.68</v>
      </c>
      <c r="R281" s="47">
        <v>29.68</v>
      </c>
      <c r="S281" s="47">
        <v>29.68</v>
      </c>
      <c r="T281" s="47">
        <v>29.68</v>
      </c>
      <c r="U281" s="47">
        <v>29.68</v>
      </c>
      <c r="V281" s="47">
        <v>29.68</v>
      </c>
      <c r="W281" s="47">
        <v>29.68</v>
      </c>
      <c r="X281" s="47">
        <v>29.68</v>
      </c>
      <c r="Y281" s="47">
        <v>29.68</v>
      </c>
      <c r="Z281" s="47">
        <v>29.68</v>
      </c>
      <c r="AA281" s="47">
        <v>29.68</v>
      </c>
      <c r="AB281" s="45">
        <f t="shared" si="6"/>
        <v>712.32</v>
      </c>
      <c r="AC281" s="37">
        <v>5</v>
      </c>
      <c r="AD281" s="92"/>
    </row>
    <row r="282" spans="2:32"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86" t="s">
        <v>35</v>
      </c>
      <c r="AB282" s="87"/>
      <c r="AC282" s="88"/>
      <c r="AD282" s="39">
        <f>SUM(AD246:AD281)</f>
        <v>259996.79999999999</v>
      </c>
    </row>
    <row r="283" spans="2:32"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 spans="2:32" ht="23.25">
      <c r="B284" s="41" t="s">
        <v>42</v>
      </c>
    </row>
    <row r="285" spans="2:32">
      <c r="B285" s="42" t="s">
        <v>3</v>
      </c>
      <c r="C285" s="42" t="s">
        <v>4</v>
      </c>
      <c r="D285" s="42" t="s">
        <v>5</v>
      </c>
      <c r="E285" s="42" t="s">
        <v>6</v>
      </c>
      <c r="F285" s="42" t="s">
        <v>7</v>
      </c>
      <c r="G285" s="42" t="s">
        <v>8</v>
      </c>
      <c r="H285" s="42" t="s">
        <v>9</v>
      </c>
      <c r="I285" s="42" t="s">
        <v>10</v>
      </c>
      <c r="J285" s="42" t="s">
        <v>11</v>
      </c>
      <c r="K285" s="42" t="s">
        <v>12</v>
      </c>
      <c r="L285" s="42" t="s">
        <v>13</v>
      </c>
      <c r="M285" s="42" t="s">
        <v>14</v>
      </c>
      <c r="N285" s="42" t="s">
        <v>15</v>
      </c>
      <c r="O285" s="42" t="s">
        <v>16</v>
      </c>
      <c r="P285" s="42" t="s">
        <v>17</v>
      </c>
      <c r="Q285" s="42" t="s">
        <v>18</v>
      </c>
      <c r="R285" s="42" t="s">
        <v>19</v>
      </c>
      <c r="S285" s="42" t="s">
        <v>20</v>
      </c>
      <c r="T285" s="42" t="s">
        <v>21</v>
      </c>
      <c r="U285" s="42" t="s">
        <v>22</v>
      </c>
      <c r="V285" s="42" t="s">
        <v>23</v>
      </c>
      <c r="W285" s="42" t="s">
        <v>24</v>
      </c>
      <c r="X285" s="42" t="s">
        <v>25</v>
      </c>
      <c r="Y285" s="42" t="s">
        <v>26</v>
      </c>
      <c r="Z285" s="42" t="s">
        <v>27</v>
      </c>
      <c r="AA285" s="42" t="s">
        <v>28</v>
      </c>
      <c r="AB285" s="36" t="s">
        <v>29</v>
      </c>
      <c r="AC285" s="43" t="s">
        <v>30</v>
      </c>
      <c r="AD285" s="42" t="s">
        <v>31</v>
      </c>
    </row>
    <row r="286" spans="2:32">
      <c r="B286" s="90">
        <v>48945</v>
      </c>
      <c r="C286" s="44" t="s">
        <v>32</v>
      </c>
      <c r="D286" s="47">
        <v>29.68</v>
      </c>
      <c r="E286" s="47">
        <v>29.68</v>
      </c>
      <c r="F286" s="47">
        <v>29.68</v>
      </c>
      <c r="G286" s="47">
        <v>29.68</v>
      </c>
      <c r="H286" s="47">
        <v>29.68</v>
      </c>
      <c r="I286" s="47">
        <v>29.68</v>
      </c>
      <c r="J286" s="47">
        <v>29.68</v>
      </c>
      <c r="K286" s="47">
        <v>29.68</v>
      </c>
      <c r="L286" s="47">
        <v>29.68</v>
      </c>
      <c r="M286" s="47">
        <v>29.68</v>
      </c>
      <c r="N286" s="47">
        <v>29.68</v>
      </c>
      <c r="O286" s="47">
        <v>29.68</v>
      </c>
      <c r="P286" s="47">
        <v>29.68</v>
      </c>
      <c r="Q286" s="47">
        <v>29.68</v>
      </c>
      <c r="R286" s="47">
        <v>29.68</v>
      </c>
      <c r="S286" s="47">
        <v>29.68</v>
      </c>
      <c r="T286" s="47">
        <v>29.68</v>
      </c>
      <c r="U286" s="47">
        <v>29.68</v>
      </c>
      <c r="V286" s="47">
        <v>29.68</v>
      </c>
      <c r="W286" s="47">
        <v>29.68</v>
      </c>
      <c r="X286" s="47">
        <v>29.68</v>
      </c>
      <c r="Y286" s="47">
        <v>29.68</v>
      </c>
      <c r="Z286" s="47">
        <v>29.68</v>
      </c>
      <c r="AA286" s="47">
        <v>29.68</v>
      </c>
      <c r="AB286" s="45">
        <f>SUM(D286:AA286)</f>
        <v>712.32</v>
      </c>
      <c r="AC286" s="37">
        <v>21</v>
      </c>
      <c r="AD286" s="92">
        <f>+AB286*AC286+AB287*AC287+AB288*AC288</f>
        <v>22081.919999999998</v>
      </c>
    </row>
    <row r="287" spans="2:32">
      <c r="B287" s="90"/>
      <c r="C287" s="44" t="s">
        <v>33</v>
      </c>
      <c r="D287" s="47">
        <v>29.68</v>
      </c>
      <c r="E287" s="47">
        <v>29.68</v>
      </c>
      <c r="F287" s="47">
        <v>29.68</v>
      </c>
      <c r="G287" s="47">
        <v>29.68</v>
      </c>
      <c r="H287" s="47">
        <v>29.68</v>
      </c>
      <c r="I287" s="47">
        <v>29.68</v>
      </c>
      <c r="J287" s="47">
        <v>29.68</v>
      </c>
      <c r="K287" s="47">
        <v>29.68</v>
      </c>
      <c r="L287" s="47">
        <v>29.68</v>
      </c>
      <c r="M287" s="47">
        <v>29.68</v>
      </c>
      <c r="N287" s="47">
        <v>29.68</v>
      </c>
      <c r="O287" s="47">
        <v>29.68</v>
      </c>
      <c r="P287" s="47">
        <v>29.68</v>
      </c>
      <c r="Q287" s="47">
        <v>29.68</v>
      </c>
      <c r="R287" s="47">
        <v>29.68</v>
      </c>
      <c r="S287" s="47">
        <v>29.68</v>
      </c>
      <c r="T287" s="47">
        <v>29.68</v>
      </c>
      <c r="U287" s="47">
        <v>29.68</v>
      </c>
      <c r="V287" s="47">
        <v>29.68</v>
      </c>
      <c r="W287" s="47">
        <v>29.68</v>
      </c>
      <c r="X287" s="47">
        <v>29.68</v>
      </c>
      <c r="Y287" s="47">
        <v>29.68</v>
      </c>
      <c r="Z287" s="47">
        <v>29.68</v>
      </c>
      <c r="AA287" s="47">
        <v>29.68</v>
      </c>
      <c r="AB287" s="45">
        <f t="shared" ref="AB287:AB321" si="7">SUM(D287:AA287)</f>
        <v>712.32</v>
      </c>
      <c r="AC287" s="37">
        <v>4</v>
      </c>
      <c r="AD287" s="92"/>
    </row>
    <row r="288" spans="2:32">
      <c r="B288" s="90"/>
      <c r="C288" s="44" t="s">
        <v>34</v>
      </c>
      <c r="D288" s="47">
        <v>29.68</v>
      </c>
      <c r="E288" s="47">
        <v>29.68</v>
      </c>
      <c r="F288" s="47">
        <v>29.68</v>
      </c>
      <c r="G288" s="47">
        <v>29.68</v>
      </c>
      <c r="H288" s="47">
        <v>29.68</v>
      </c>
      <c r="I288" s="47">
        <v>29.68</v>
      </c>
      <c r="J288" s="47">
        <v>29.68</v>
      </c>
      <c r="K288" s="47">
        <v>29.68</v>
      </c>
      <c r="L288" s="47">
        <v>29.68</v>
      </c>
      <c r="M288" s="47">
        <v>29.68</v>
      </c>
      <c r="N288" s="47">
        <v>29.68</v>
      </c>
      <c r="O288" s="47">
        <v>29.68</v>
      </c>
      <c r="P288" s="47">
        <v>29.68</v>
      </c>
      <c r="Q288" s="47">
        <v>29.68</v>
      </c>
      <c r="R288" s="47">
        <v>29.68</v>
      </c>
      <c r="S288" s="47">
        <v>29.68</v>
      </c>
      <c r="T288" s="47">
        <v>29.68</v>
      </c>
      <c r="U288" s="47">
        <v>29.68</v>
      </c>
      <c r="V288" s="47">
        <v>29.68</v>
      </c>
      <c r="W288" s="47">
        <v>29.68</v>
      </c>
      <c r="X288" s="47">
        <v>29.68</v>
      </c>
      <c r="Y288" s="47">
        <v>29.68</v>
      </c>
      <c r="Z288" s="47">
        <v>29.68</v>
      </c>
      <c r="AA288" s="47">
        <v>29.68</v>
      </c>
      <c r="AB288" s="45">
        <f t="shared" si="7"/>
        <v>712.32</v>
      </c>
      <c r="AC288" s="37">
        <v>6</v>
      </c>
      <c r="AD288" s="92"/>
    </row>
    <row r="289" spans="2:30">
      <c r="B289" s="90">
        <v>48976</v>
      </c>
      <c r="C289" s="44" t="s">
        <v>32</v>
      </c>
      <c r="D289" s="47">
        <v>29.68</v>
      </c>
      <c r="E289" s="47">
        <v>29.68</v>
      </c>
      <c r="F289" s="47">
        <v>29.68</v>
      </c>
      <c r="G289" s="47">
        <v>29.68</v>
      </c>
      <c r="H289" s="47">
        <v>29.68</v>
      </c>
      <c r="I289" s="47">
        <v>29.68</v>
      </c>
      <c r="J289" s="47">
        <v>29.68</v>
      </c>
      <c r="K289" s="47">
        <v>29.68</v>
      </c>
      <c r="L289" s="47">
        <v>29.68</v>
      </c>
      <c r="M289" s="47">
        <v>29.68</v>
      </c>
      <c r="N289" s="47">
        <v>29.68</v>
      </c>
      <c r="O289" s="47">
        <v>29.68</v>
      </c>
      <c r="P289" s="47">
        <v>29.68</v>
      </c>
      <c r="Q289" s="47">
        <v>29.68</v>
      </c>
      <c r="R289" s="47">
        <v>29.68</v>
      </c>
      <c r="S289" s="47">
        <v>29.68</v>
      </c>
      <c r="T289" s="47">
        <v>29.68</v>
      </c>
      <c r="U289" s="47">
        <v>29.68</v>
      </c>
      <c r="V289" s="47">
        <v>29.68</v>
      </c>
      <c r="W289" s="47">
        <v>29.68</v>
      </c>
      <c r="X289" s="47">
        <v>29.68</v>
      </c>
      <c r="Y289" s="47">
        <v>29.68</v>
      </c>
      <c r="Z289" s="47">
        <v>29.68</v>
      </c>
      <c r="AA289" s="47">
        <v>29.68</v>
      </c>
      <c r="AB289" s="45">
        <f t="shared" si="7"/>
        <v>712.32</v>
      </c>
      <c r="AC289" s="37">
        <v>20</v>
      </c>
      <c r="AD289" s="92">
        <f>+AB289*AC289+AB290*AC290+AB291*AC291</f>
        <v>19944.96</v>
      </c>
    </row>
    <row r="290" spans="2:30">
      <c r="B290" s="90"/>
      <c r="C290" s="44" t="s">
        <v>33</v>
      </c>
      <c r="D290" s="47">
        <v>29.68</v>
      </c>
      <c r="E290" s="47">
        <v>29.68</v>
      </c>
      <c r="F290" s="47">
        <v>29.68</v>
      </c>
      <c r="G290" s="47">
        <v>29.68</v>
      </c>
      <c r="H290" s="47">
        <v>29.68</v>
      </c>
      <c r="I290" s="47">
        <v>29.68</v>
      </c>
      <c r="J290" s="47">
        <v>29.68</v>
      </c>
      <c r="K290" s="47">
        <v>29.68</v>
      </c>
      <c r="L290" s="47">
        <v>29.68</v>
      </c>
      <c r="M290" s="47">
        <v>29.68</v>
      </c>
      <c r="N290" s="47">
        <v>29.68</v>
      </c>
      <c r="O290" s="47">
        <v>29.68</v>
      </c>
      <c r="P290" s="47">
        <v>29.68</v>
      </c>
      <c r="Q290" s="47">
        <v>29.68</v>
      </c>
      <c r="R290" s="47">
        <v>29.68</v>
      </c>
      <c r="S290" s="47">
        <v>29.68</v>
      </c>
      <c r="T290" s="47">
        <v>29.68</v>
      </c>
      <c r="U290" s="47">
        <v>29.68</v>
      </c>
      <c r="V290" s="47">
        <v>29.68</v>
      </c>
      <c r="W290" s="47">
        <v>29.68</v>
      </c>
      <c r="X290" s="47">
        <v>29.68</v>
      </c>
      <c r="Y290" s="47">
        <v>29.68</v>
      </c>
      <c r="Z290" s="47">
        <v>29.68</v>
      </c>
      <c r="AA290" s="47">
        <v>29.68</v>
      </c>
      <c r="AB290" s="45">
        <f t="shared" si="7"/>
        <v>712.32</v>
      </c>
      <c r="AC290" s="37">
        <v>4</v>
      </c>
      <c r="AD290" s="92"/>
    </row>
    <row r="291" spans="2:30">
      <c r="B291" s="90"/>
      <c r="C291" s="44" t="s">
        <v>34</v>
      </c>
      <c r="D291" s="47">
        <v>29.68</v>
      </c>
      <c r="E291" s="47">
        <v>29.68</v>
      </c>
      <c r="F291" s="47">
        <v>29.68</v>
      </c>
      <c r="G291" s="47">
        <v>29.68</v>
      </c>
      <c r="H291" s="47">
        <v>29.68</v>
      </c>
      <c r="I291" s="47">
        <v>29.68</v>
      </c>
      <c r="J291" s="47">
        <v>29.68</v>
      </c>
      <c r="K291" s="47">
        <v>29.68</v>
      </c>
      <c r="L291" s="47">
        <v>29.68</v>
      </c>
      <c r="M291" s="47">
        <v>29.68</v>
      </c>
      <c r="N291" s="47">
        <v>29.68</v>
      </c>
      <c r="O291" s="47">
        <v>29.68</v>
      </c>
      <c r="P291" s="47">
        <v>29.68</v>
      </c>
      <c r="Q291" s="47">
        <v>29.68</v>
      </c>
      <c r="R291" s="47">
        <v>29.68</v>
      </c>
      <c r="S291" s="47">
        <v>29.68</v>
      </c>
      <c r="T291" s="47">
        <v>29.68</v>
      </c>
      <c r="U291" s="47">
        <v>29.68</v>
      </c>
      <c r="V291" s="47">
        <v>29.68</v>
      </c>
      <c r="W291" s="47">
        <v>29.68</v>
      </c>
      <c r="X291" s="47">
        <v>29.68</v>
      </c>
      <c r="Y291" s="47">
        <v>29.68</v>
      </c>
      <c r="Z291" s="47">
        <v>29.68</v>
      </c>
      <c r="AA291" s="47">
        <v>29.68</v>
      </c>
      <c r="AB291" s="45">
        <f t="shared" si="7"/>
        <v>712.32</v>
      </c>
      <c r="AC291" s="37">
        <v>4</v>
      </c>
      <c r="AD291" s="92"/>
    </row>
    <row r="292" spans="2:30">
      <c r="B292" s="90">
        <v>49004</v>
      </c>
      <c r="C292" s="44" t="s">
        <v>32</v>
      </c>
      <c r="D292" s="47">
        <v>29.68</v>
      </c>
      <c r="E292" s="47">
        <v>29.68</v>
      </c>
      <c r="F292" s="47">
        <v>29.68</v>
      </c>
      <c r="G292" s="47">
        <v>29.68</v>
      </c>
      <c r="H292" s="47">
        <v>29.68</v>
      </c>
      <c r="I292" s="47">
        <v>29.68</v>
      </c>
      <c r="J292" s="47">
        <v>29.68</v>
      </c>
      <c r="K292" s="47">
        <v>29.68</v>
      </c>
      <c r="L292" s="47">
        <v>29.68</v>
      </c>
      <c r="M292" s="47">
        <v>29.68</v>
      </c>
      <c r="N292" s="47">
        <v>29.68</v>
      </c>
      <c r="O292" s="47">
        <v>29.68</v>
      </c>
      <c r="P292" s="47">
        <v>29.68</v>
      </c>
      <c r="Q292" s="47">
        <v>29.68</v>
      </c>
      <c r="R292" s="47">
        <v>29.68</v>
      </c>
      <c r="S292" s="47">
        <v>29.68</v>
      </c>
      <c r="T292" s="47">
        <v>29.68</v>
      </c>
      <c r="U292" s="47">
        <v>29.68</v>
      </c>
      <c r="V292" s="47">
        <v>29.68</v>
      </c>
      <c r="W292" s="47">
        <v>29.68</v>
      </c>
      <c r="X292" s="47">
        <v>29.68</v>
      </c>
      <c r="Y292" s="47">
        <v>29.68</v>
      </c>
      <c r="Z292" s="47">
        <v>29.68</v>
      </c>
      <c r="AA292" s="47">
        <v>29.68</v>
      </c>
      <c r="AB292" s="45">
        <f t="shared" si="7"/>
        <v>712.32</v>
      </c>
      <c r="AC292" s="37">
        <v>22</v>
      </c>
      <c r="AD292" s="92">
        <f>+AB292*AC292+AB293*AC293+AB294*AC294</f>
        <v>22081.919999999998</v>
      </c>
    </row>
    <row r="293" spans="2:30">
      <c r="B293" s="90"/>
      <c r="C293" s="44" t="s">
        <v>33</v>
      </c>
      <c r="D293" s="47">
        <v>29.68</v>
      </c>
      <c r="E293" s="47">
        <v>29.68</v>
      </c>
      <c r="F293" s="47">
        <v>29.68</v>
      </c>
      <c r="G293" s="47">
        <v>29.68</v>
      </c>
      <c r="H293" s="47">
        <v>29.68</v>
      </c>
      <c r="I293" s="47">
        <v>29.68</v>
      </c>
      <c r="J293" s="47">
        <v>29.68</v>
      </c>
      <c r="K293" s="47">
        <v>29.68</v>
      </c>
      <c r="L293" s="47">
        <v>29.68</v>
      </c>
      <c r="M293" s="47">
        <v>29.68</v>
      </c>
      <c r="N293" s="47">
        <v>29.68</v>
      </c>
      <c r="O293" s="47">
        <v>29.68</v>
      </c>
      <c r="P293" s="47">
        <v>29.68</v>
      </c>
      <c r="Q293" s="47">
        <v>29.68</v>
      </c>
      <c r="R293" s="47">
        <v>29.68</v>
      </c>
      <c r="S293" s="47">
        <v>29.68</v>
      </c>
      <c r="T293" s="47">
        <v>29.68</v>
      </c>
      <c r="U293" s="47">
        <v>29.68</v>
      </c>
      <c r="V293" s="47">
        <v>29.68</v>
      </c>
      <c r="W293" s="47">
        <v>29.68</v>
      </c>
      <c r="X293" s="47">
        <v>29.68</v>
      </c>
      <c r="Y293" s="47">
        <v>29.68</v>
      </c>
      <c r="Z293" s="47">
        <v>29.68</v>
      </c>
      <c r="AA293" s="47">
        <v>29.68</v>
      </c>
      <c r="AB293" s="45">
        <f t="shared" si="7"/>
        <v>712.32</v>
      </c>
      <c r="AC293" s="37">
        <v>4</v>
      </c>
      <c r="AD293" s="92"/>
    </row>
    <row r="294" spans="2:30">
      <c r="B294" s="90"/>
      <c r="C294" s="44" t="s">
        <v>34</v>
      </c>
      <c r="D294" s="47">
        <v>29.68</v>
      </c>
      <c r="E294" s="47">
        <v>29.68</v>
      </c>
      <c r="F294" s="47">
        <v>29.68</v>
      </c>
      <c r="G294" s="47">
        <v>29.68</v>
      </c>
      <c r="H294" s="47">
        <v>29.68</v>
      </c>
      <c r="I294" s="47">
        <v>29.68</v>
      </c>
      <c r="J294" s="47">
        <v>29.68</v>
      </c>
      <c r="K294" s="47">
        <v>29.68</v>
      </c>
      <c r="L294" s="47">
        <v>29.68</v>
      </c>
      <c r="M294" s="47">
        <v>29.68</v>
      </c>
      <c r="N294" s="47">
        <v>29.68</v>
      </c>
      <c r="O294" s="47">
        <v>29.68</v>
      </c>
      <c r="P294" s="47">
        <v>29.68</v>
      </c>
      <c r="Q294" s="47">
        <v>29.68</v>
      </c>
      <c r="R294" s="47">
        <v>29.68</v>
      </c>
      <c r="S294" s="47">
        <v>29.68</v>
      </c>
      <c r="T294" s="47">
        <v>29.68</v>
      </c>
      <c r="U294" s="47">
        <v>29.68</v>
      </c>
      <c r="V294" s="47">
        <v>29.68</v>
      </c>
      <c r="W294" s="47">
        <v>29.68</v>
      </c>
      <c r="X294" s="47">
        <v>29.68</v>
      </c>
      <c r="Y294" s="47">
        <v>29.68</v>
      </c>
      <c r="Z294" s="47">
        <v>29.68</v>
      </c>
      <c r="AA294" s="47">
        <v>29.68</v>
      </c>
      <c r="AB294" s="45">
        <f t="shared" si="7"/>
        <v>712.32</v>
      </c>
      <c r="AC294" s="37">
        <v>5</v>
      </c>
      <c r="AD294" s="92"/>
    </row>
    <row r="295" spans="2:30">
      <c r="B295" s="90">
        <v>49035</v>
      </c>
      <c r="C295" s="44" t="s">
        <v>32</v>
      </c>
      <c r="D295" s="47">
        <v>29.68</v>
      </c>
      <c r="E295" s="47">
        <v>29.68</v>
      </c>
      <c r="F295" s="47">
        <v>29.68</v>
      </c>
      <c r="G295" s="47">
        <v>29.68</v>
      </c>
      <c r="H295" s="47">
        <v>29.68</v>
      </c>
      <c r="I295" s="47">
        <v>29.68</v>
      </c>
      <c r="J295" s="47">
        <v>29.68</v>
      </c>
      <c r="K295" s="47">
        <v>29.68</v>
      </c>
      <c r="L295" s="47">
        <v>29.68</v>
      </c>
      <c r="M295" s="47">
        <v>29.68</v>
      </c>
      <c r="N295" s="47">
        <v>29.68</v>
      </c>
      <c r="O295" s="47">
        <v>29.68</v>
      </c>
      <c r="P295" s="47">
        <v>29.68</v>
      </c>
      <c r="Q295" s="47">
        <v>29.68</v>
      </c>
      <c r="R295" s="47">
        <v>29.68</v>
      </c>
      <c r="S295" s="47">
        <v>29.68</v>
      </c>
      <c r="T295" s="47">
        <v>29.68</v>
      </c>
      <c r="U295" s="47">
        <v>29.68</v>
      </c>
      <c r="V295" s="47">
        <v>29.68</v>
      </c>
      <c r="W295" s="47">
        <v>29.68</v>
      </c>
      <c r="X295" s="47">
        <v>29.68</v>
      </c>
      <c r="Y295" s="47">
        <v>29.68</v>
      </c>
      <c r="Z295" s="47">
        <v>29.68</v>
      </c>
      <c r="AA295" s="47">
        <v>29.68</v>
      </c>
      <c r="AB295" s="45">
        <f t="shared" si="7"/>
        <v>712.32</v>
      </c>
      <c r="AC295" s="37">
        <v>18</v>
      </c>
      <c r="AD295" s="92">
        <f>+AB295*AC295+AB296*AC296+AB297*AC297</f>
        <v>21369.599999999999</v>
      </c>
    </row>
    <row r="296" spans="2:30">
      <c r="B296" s="90"/>
      <c r="C296" s="44" t="s">
        <v>33</v>
      </c>
      <c r="D296" s="47">
        <v>29.68</v>
      </c>
      <c r="E296" s="47">
        <v>29.68</v>
      </c>
      <c r="F296" s="47">
        <v>29.68</v>
      </c>
      <c r="G296" s="47">
        <v>29.68</v>
      </c>
      <c r="H296" s="47">
        <v>29.68</v>
      </c>
      <c r="I296" s="47">
        <v>29.68</v>
      </c>
      <c r="J296" s="47">
        <v>29.68</v>
      </c>
      <c r="K296" s="47">
        <v>29.68</v>
      </c>
      <c r="L296" s="47">
        <v>29.68</v>
      </c>
      <c r="M296" s="47">
        <v>29.68</v>
      </c>
      <c r="N296" s="47">
        <v>29.68</v>
      </c>
      <c r="O296" s="47">
        <v>29.68</v>
      </c>
      <c r="P296" s="47">
        <v>29.68</v>
      </c>
      <c r="Q296" s="47">
        <v>29.68</v>
      </c>
      <c r="R296" s="47">
        <v>29.68</v>
      </c>
      <c r="S296" s="47">
        <v>29.68</v>
      </c>
      <c r="T296" s="47">
        <v>29.68</v>
      </c>
      <c r="U296" s="47">
        <v>29.68</v>
      </c>
      <c r="V296" s="47">
        <v>29.68</v>
      </c>
      <c r="W296" s="47">
        <v>29.68</v>
      </c>
      <c r="X296" s="47">
        <v>29.68</v>
      </c>
      <c r="Y296" s="47">
        <v>29.68</v>
      </c>
      <c r="Z296" s="47">
        <v>29.68</v>
      </c>
      <c r="AA296" s="47">
        <v>29.68</v>
      </c>
      <c r="AB296" s="45">
        <f t="shared" si="7"/>
        <v>712.32</v>
      </c>
      <c r="AC296" s="37">
        <v>5</v>
      </c>
      <c r="AD296" s="92"/>
    </row>
    <row r="297" spans="2:30">
      <c r="B297" s="90"/>
      <c r="C297" s="44" t="s">
        <v>34</v>
      </c>
      <c r="D297" s="47">
        <v>29.68</v>
      </c>
      <c r="E297" s="47">
        <v>29.68</v>
      </c>
      <c r="F297" s="47">
        <v>29.68</v>
      </c>
      <c r="G297" s="47">
        <v>29.68</v>
      </c>
      <c r="H297" s="47">
        <v>29.68</v>
      </c>
      <c r="I297" s="47">
        <v>29.68</v>
      </c>
      <c r="J297" s="47">
        <v>29.68</v>
      </c>
      <c r="K297" s="47">
        <v>29.68</v>
      </c>
      <c r="L297" s="47">
        <v>29.68</v>
      </c>
      <c r="M297" s="47">
        <v>29.68</v>
      </c>
      <c r="N297" s="47">
        <v>29.68</v>
      </c>
      <c r="O297" s="47">
        <v>29.68</v>
      </c>
      <c r="P297" s="47">
        <v>29.68</v>
      </c>
      <c r="Q297" s="47">
        <v>29.68</v>
      </c>
      <c r="R297" s="47">
        <v>29.68</v>
      </c>
      <c r="S297" s="47">
        <v>29.68</v>
      </c>
      <c r="T297" s="47">
        <v>29.68</v>
      </c>
      <c r="U297" s="47">
        <v>29.68</v>
      </c>
      <c r="V297" s="47">
        <v>29.68</v>
      </c>
      <c r="W297" s="47">
        <v>29.68</v>
      </c>
      <c r="X297" s="47">
        <v>29.68</v>
      </c>
      <c r="Y297" s="47">
        <v>29.68</v>
      </c>
      <c r="Z297" s="47">
        <v>29.68</v>
      </c>
      <c r="AA297" s="47">
        <v>29.68</v>
      </c>
      <c r="AB297" s="45">
        <f t="shared" si="7"/>
        <v>712.32</v>
      </c>
      <c r="AC297" s="37">
        <v>7</v>
      </c>
      <c r="AD297" s="92"/>
    </row>
    <row r="298" spans="2:30">
      <c r="B298" s="90">
        <v>49065</v>
      </c>
      <c r="C298" s="44" t="s">
        <v>32</v>
      </c>
      <c r="D298" s="47">
        <v>29.68</v>
      </c>
      <c r="E298" s="47">
        <v>29.68</v>
      </c>
      <c r="F298" s="47">
        <v>29.68</v>
      </c>
      <c r="G298" s="47">
        <v>29.68</v>
      </c>
      <c r="H298" s="47">
        <v>29.68</v>
      </c>
      <c r="I298" s="47">
        <v>29.68</v>
      </c>
      <c r="J298" s="47">
        <v>29.68</v>
      </c>
      <c r="K298" s="47">
        <v>29.68</v>
      </c>
      <c r="L298" s="47">
        <v>29.68</v>
      </c>
      <c r="M298" s="47">
        <v>29.68</v>
      </c>
      <c r="N298" s="47">
        <v>29.68</v>
      </c>
      <c r="O298" s="47">
        <v>29.68</v>
      </c>
      <c r="P298" s="47">
        <v>29.68</v>
      </c>
      <c r="Q298" s="47">
        <v>29.68</v>
      </c>
      <c r="R298" s="47">
        <v>29.68</v>
      </c>
      <c r="S298" s="47">
        <v>29.68</v>
      </c>
      <c r="T298" s="47">
        <v>29.68</v>
      </c>
      <c r="U298" s="47">
        <v>29.68</v>
      </c>
      <c r="V298" s="47">
        <v>29.68</v>
      </c>
      <c r="W298" s="47">
        <v>29.68</v>
      </c>
      <c r="X298" s="47">
        <v>29.68</v>
      </c>
      <c r="Y298" s="47">
        <v>29.68</v>
      </c>
      <c r="Z298" s="47">
        <v>29.68</v>
      </c>
      <c r="AA298" s="47">
        <v>29.68</v>
      </c>
      <c r="AB298" s="45">
        <f t="shared" si="7"/>
        <v>712.32</v>
      </c>
      <c r="AC298" s="37">
        <v>21</v>
      </c>
      <c r="AD298" s="92">
        <f>+AB298*AC298+AB299*AC299+AB300*AC300</f>
        <v>22081.919999999998</v>
      </c>
    </row>
    <row r="299" spans="2:30">
      <c r="B299" s="90"/>
      <c r="C299" s="44" t="s">
        <v>33</v>
      </c>
      <c r="D299" s="47">
        <v>29.68</v>
      </c>
      <c r="E299" s="47">
        <v>29.68</v>
      </c>
      <c r="F299" s="47">
        <v>29.68</v>
      </c>
      <c r="G299" s="47">
        <v>29.68</v>
      </c>
      <c r="H299" s="47">
        <v>29.68</v>
      </c>
      <c r="I299" s="47">
        <v>29.68</v>
      </c>
      <c r="J299" s="47">
        <v>29.68</v>
      </c>
      <c r="K299" s="47">
        <v>29.68</v>
      </c>
      <c r="L299" s="47">
        <v>29.68</v>
      </c>
      <c r="M299" s="47">
        <v>29.68</v>
      </c>
      <c r="N299" s="47">
        <v>29.68</v>
      </c>
      <c r="O299" s="47">
        <v>29.68</v>
      </c>
      <c r="P299" s="47">
        <v>29.68</v>
      </c>
      <c r="Q299" s="47">
        <v>29.68</v>
      </c>
      <c r="R299" s="47">
        <v>29.68</v>
      </c>
      <c r="S299" s="47">
        <v>29.68</v>
      </c>
      <c r="T299" s="47">
        <v>29.68</v>
      </c>
      <c r="U299" s="47">
        <v>29.68</v>
      </c>
      <c r="V299" s="47">
        <v>29.68</v>
      </c>
      <c r="W299" s="47">
        <v>29.68</v>
      </c>
      <c r="X299" s="47">
        <v>29.68</v>
      </c>
      <c r="Y299" s="47">
        <v>29.68</v>
      </c>
      <c r="Z299" s="47">
        <v>29.68</v>
      </c>
      <c r="AA299" s="47">
        <v>29.68</v>
      </c>
      <c r="AB299" s="45">
        <f t="shared" si="7"/>
        <v>712.32</v>
      </c>
      <c r="AC299" s="37">
        <v>4</v>
      </c>
      <c r="AD299" s="92"/>
    </row>
    <row r="300" spans="2:30">
      <c r="B300" s="90"/>
      <c r="C300" s="44" t="s">
        <v>34</v>
      </c>
      <c r="D300" s="47">
        <v>29.68</v>
      </c>
      <c r="E300" s="47">
        <v>29.68</v>
      </c>
      <c r="F300" s="47">
        <v>29.68</v>
      </c>
      <c r="G300" s="47">
        <v>29.68</v>
      </c>
      <c r="H300" s="47">
        <v>29.68</v>
      </c>
      <c r="I300" s="47">
        <v>29.68</v>
      </c>
      <c r="J300" s="47">
        <v>29.68</v>
      </c>
      <c r="K300" s="47">
        <v>29.68</v>
      </c>
      <c r="L300" s="47">
        <v>29.68</v>
      </c>
      <c r="M300" s="47">
        <v>29.68</v>
      </c>
      <c r="N300" s="47">
        <v>29.68</v>
      </c>
      <c r="O300" s="47">
        <v>29.68</v>
      </c>
      <c r="P300" s="47">
        <v>29.68</v>
      </c>
      <c r="Q300" s="47">
        <v>29.68</v>
      </c>
      <c r="R300" s="47">
        <v>29.68</v>
      </c>
      <c r="S300" s="47">
        <v>29.68</v>
      </c>
      <c r="T300" s="47">
        <v>29.68</v>
      </c>
      <c r="U300" s="47">
        <v>29.68</v>
      </c>
      <c r="V300" s="47">
        <v>29.68</v>
      </c>
      <c r="W300" s="47">
        <v>29.68</v>
      </c>
      <c r="X300" s="47">
        <v>29.68</v>
      </c>
      <c r="Y300" s="47">
        <v>29.68</v>
      </c>
      <c r="Z300" s="47">
        <v>29.68</v>
      </c>
      <c r="AA300" s="47">
        <v>29.68</v>
      </c>
      <c r="AB300" s="45">
        <f t="shared" si="7"/>
        <v>712.32</v>
      </c>
      <c r="AC300" s="37">
        <v>6</v>
      </c>
      <c r="AD300" s="92"/>
    </row>
    <row r="301" spans="2:30">
      <c r="B301" s="90">
        <v>49096</v>
      </c>
      <c r="C301" s="44" t="s">
        <v>32</v>
      </c>
      <c r="D301" s="47">
        <v>29.68</v>
      </c>
      <c r="E301" s="47">
        <v>29.68</v>
      </c>
      <c r="F301" s="47">
        <v>29.68</v>
      </c>
      <c r="G301" s="47">
        <v>29.68</v>
      </c>
      <c r="H301" s="47">
        <v>29.68</v>
      </c>
      <c r="I301" s="47">
        <v>29.68</v>
      </c>
      <c r="J301" s="47">
        <v>29.68</v>
      </c>
      <c r="K301" s="47">
        <v>29.68</v>
      </c>
      <c r="L301" s="47">
        <v>29.68</v>
      </c>
      <c r="M301" s="47">
        <v>29.68</v>
      </c>
      <c r="N301" s="47">
        <v>29.68</v>
      </c>
      <c r="O301" s="47">
        <v>29.68</v>
      </c>
      <c r="P301" s="47">
        <v>29.68</v>
      </c>
      <c r="Q301" s="47">
        <v>29.68</v>
      </c>
      <c r="R301" s="47">
        <v>29.68</v>
      </c>
      <c r="S301" s="47">
        <v>29.68</v>
      </c>
      <c r="T301" s="47">
        <v>29.68</v>
      </c>
      <c r="U301" s="47">
        <v>29.68</v>
      </c>
      <c r="V301" s="47">
        <v>29.68</v>
      </c>
      <c r="W301" s="47">
        <v>29.68</v>
      </c>
      <c r="X301" s="47">
        <v>29.68</v>
      </c>
      <c r="Y301" s="47">
        <v>29.68</v>
      </c>
      <c r="Z301" s="47">
        <v>29.68</v>
      </c>
      <c r="AA301" s="47">
        <v>29.68</v>
      </c>
      <c r="AB301" s="45">
        <f t="shared" si="7"/>
        <v>712.32</v>
      </c>
      <c r="AC301" s="37">
        <v>20</v>
      </c>
      <c r="AD301" s="92">
        <f>+AB301*AC301+AB302*AC302+AB303*AC303</f>
        <v>21369.599999999999</v>
      </c>
    </row>
    <row r="302" spans="2:30">
      <c r="B302" s="90"/>
      <c r="C302" s="44" t="s">
        <v>33</v>
      </c>
      <c r="D302" s="47">
        <v>29.68</v>
      </c>
      <c r="E302" s="47">
        <v>29.68</v>
      </c>
      <c r="F302" s="47">
        <v>29.68</v>
      </c>
      <c r="G302" s="47">
        <v>29.68</v>
      </c>
      <c r="H302" s="47">
        <v>29.68</v>
      </c>
      <c r="I302" s="47">
        <v>29.68</v>
      </c>
      <c r="J302" s="47">
        <v>29.68</v>
      </c>
      <c r="K302" s="47">
        <v>29.68</v>
      </c>
      <c r="L302" s="47">
        <v>29.68</v>
      </c>
      <c r="M302" s="47">
        <v>29.68</v>
      </c>
      <c r="N302" s="47">
        <v>29.68</v>
      </c>
      <c r="O302" s="47">
        <v>29.68</v>
      </c>
      <c r="P302" s="47">
        <v>29.68</v>
      </c>
      <c r="Q302" s="47">
        <v>29.68</v>
      </c>
      <c r="R302" s="47">
        <v>29.68</v>
      </c>
      <c r="S302" s="47">
        <v>29.68</v>
      </c>
      <c r="T302" s="47">
        <v>29.68</v>
      </c>
      <c r="U302" s="47">
        <v>29.68</v>
      </c>
      <c r="V302" s="47">
        <v>29.68</v>
      </c>
      <c r="W302" s="47">
        <v>29.68</v>
      </c>
      <c r="X302" s="47">
        <v>29.68</v>
      </c>
      <c r="Y302" s="47">
        <v>29.68</v>
      </c>
      <c r="Z302" s="47">
        <v>29.68</v>
      </c>
      <c r="AA302" s="47">
        <v>29.68</v>
      </c>
      <c r="AB302" s="45">
        <f t="shared" si="7"/>
        <v>712.32</v>
      </c>
      <c r="AC302" s="37">
        <v>4</v>
      </c>
      <c r="AD302" s="92"/>
    </row>
    <row r="303" spans="2:30">
      <c r="B303" s="90"/>
      <c r="C303" s="44" t="s">
        <v>34</v>
      </c>
      <c r="D303" s="47">
        <v>29.68</v>
      </c>
      <c r="E303" s="47">
        <v>29.68</v>
      </c>
      <c r="F303" s="47">
        <v>29.68</v>
      </c>
      <c r="G303" s="47">
        <v>29.68</v>
      </c>
      <c r="H303" s="47">
        <v>29.68</v>
      </c>
      <c r="I303" s="47">
        <v>29.68</v>
      </c>
      <c r="J303" s="47">
        <v>29.68</v>
      </c>
      <c r="K303" s="47">
        <v>29.68</v>
      </c>
      <c r="L303" s="47">
        <v>29.68</v>
      </c>
      <c r="M303" s="47">
        <v>29.68</v>
      </c>
      <c r="N303" s="47">
        <v>29.68</v>
      </c>
      <c r="O303" s="47">
        <v>29.68</v>
      </c>
      <c r="P303" s="47">
        <v>29.68</v>
      </c>
      <c r="Q303" s="47">
        <v>29.68</v>
      </c>
      <c r="R303" s="47">
        <v>29.68</v>
      </c>
      <c r="S303" s="47">
        <v>29.68</v>
      </c>
      <c r="T303" s="47">
        <v>29.68</v>
      </c>
      <c r="U303" s="47">
        <v>29.68</v>
      </c>
      <c r="V303" s="47">
        <v>29.68</v>
      </c>
      <c r="W303" s="47">
        <v>29.68</v>
      </c>
      <c r="X303" s="47">
        <v>29.68</v>
      </c>
      <c r="Y303" s="47">
        <v>29.68</v>
      </c>
      <c r="Z303" s="47">
        <v>29.68</v>
      </c>
      <c r="AA303" s="47">
        <v>29.68</v>
      </c>
      <c r="AB303" s="45">
        <f t="shared" si="7"/>
        <v>712.32</v>
      </c>
      <c r="AC303" s="37">
        <v>6</v>
      </c>
      <c r="AD303" s="92"/>
    </row>
    <row r="304" spans="2:30">
      <c r="B304" s="90">
        <v>49126</v>
      </c>
      <c r="C304" s="44" t="s">
        <v>32</v>
      </c>
      <c r="D304" s="47">
        <v>29.68</v>
      </c>
      <c r="E304" s="47">
        <v>29.68</v>
      </c>
      <c r="F304" s="47">
        <v>29.68</v>
      </c>
      <c r="G304" s="47">
        <v>29.68</v>
      </c>
      <c r="H304" s="47">
        <v>29.68</v>
      </c>
      <c r="I304" s="47">
        <v>29.68</v>
      </c>
      <c r="J304" s="47">
        <v>29.68</v>
      </c>
      <c r="K304" s="47">
        <v>29.68</v>
      </c>
      <c r="L304" s="47">
        <v>29.68</v>
      </c>
      <c r="M304" s="47">
        <v>29.68</v>
      </c>
      <c r="N304" s="47">
        <v>29.68</v>
      </c>
      <c r="O304" s="47">
        <v>29.68</v>
      </c>
      <c r="P304" s="47">
        <v>29.68</v>
      </c>
      <c r="Q304" s="47">
        <v>29.68</v>
      </c>
      <c r="R304" s="47">
        <v>29.68</v>
      </c>
      <c r="S304" s="47">
        <v>29.68</v>
      </c>
      <c r="T304" s="47">
        <v>29.68</v>
      </c>
      <c r="U304" s="47">
        <v>29.68</v>
      </c>
      <c r="V304" s="47">
        <v>29.68</v>
      </c>
      <c r="W304" s="47">
        <v>29.68</v>
      </c>
      <c r="X304" s="47">
        <v>29.68</v>
      </c>
      <c r="Y304" s="47">
        <v>29.68</v>
      </c>
      <c r="Z304" s="47">
        <v>29.68</v>
      </c>
      <c r="AA304" s="47">
        <v>29.68</v>
      </c>
      <c r="AB304" s="45">
        <f t="shared" si="7"/>
        <v>712.32</v>
      </c>
      <c r="AC304" s="37">
        <v>19</v>
      </c>
      <c r="AD304" s="92">
        <f>+AB304*AC304+AB305*AC305+AB306*AC306</f>
        <v>22081.919999999998</v>
      </c>
    </row>
    <row r="305" spans="2:30">
      <c r="B305" s="90"/>
      <c r="C305" s="44" t="s">
        <v>33</v>
      </c>
      <c r="D305" s="47">
        <v>29.68</v>
      </c>
      <c r="E305" s="47">
        <v>29.68</v>
      </c>
      <c r="F305" s="47">
        <v>29.68</v>
      </c>
      <c r="G305" s="47">
        <v>29.68</v>
      </c>
      <c r="H305" s="47">
        <v>29.68</v>
      </c>
      <c r="I305" s="47">
        <v>29.68</v>
      </c>
      <c r="J305" s="47">
        <v>29.68</v>
      </c>
      <c r="K305" s="47">
        <v>29.68</v>
      </c>
      <c r="L305" s="47">
        <v>29.68</v>
      </c>
      <c r="M305" s="47">
        <v>29.68</v>
      </c>
      <c r="N305" s="47">
        <v>29.68</v>
      </c>
      <c r="O305" s="47">
        <v>29.68</v>
      </c>
      <c r="P305" s="47">
        <v>29.68</v>
      </c>
      <c r="Q305" s="47">
        <v>29.68</v>
      </c>
      <c r="R305" s="47">
        <v>29.68</v>
      </c>
      <c r="S305" s="47">
        <v>29.68</v>
      </c>
      <c r="T305" s="47">
        <v>29.68</v>
      </c>
      <c r="U305" s="47">
        <v>29.68</v>
      </c>
      <c r="V305" s="47">
        <v>29.68</v>
      </c>
      <c r="W305" s="47">
        <v>29.68</v>
      </c>
      <c r="X305" s="47">
        <v>29.68</v>
      </c>
      <c r="Y305" s="47">
        <v>29.68</v>
      </c>
      <c r="Z305" s="47">
        <v>29.68</v>
      </c>
      <c r="AA305" s="47">
        <v>29.68</v>
      </c>
      <c r="AB305" s="45">
        <f t="shared" si="7"/>
        <v>712.32</v>
      </c>
      <c r="AC305" s="37">
        <v>5</v>
      </c>
      <c r="AD305" s="92"/>
    </row>
    <row r="306" spans="2:30">
      <c r="B306" s="90"/>
      <c r="C306" s="44" t="s">
        <v>34</v>
      </c>
      <c r="D306" s="47">
        <v>29.68</v>
      </c>
      <c r="E306" s="47">
        <v>29.68</v>
      </c>
      <c r="F306" s="47">
        <v>29.68</v>
      </c>
      <c r="G306" s="47">
        <v>29.68</v>
      </c>
      <c r="H306" s="47">
        <v>29.68</v>
      </c>
      <c r="I306" s="47">
        <v>29.68</v>
      </c>
      <c r="J306" s="47">
        <v>29.68</v>
      </c>
      <c r="K306" s="47">
        <v>29.68</v>
      </c>
      <c r="L306" s="47">
        <v>29.68</v>
      </c>
      <c r="M306" s="47">
        <v>29.68</v>
      </c>
      <c r="N306" s="47">
        <v>29.68</v>
      </c>
      <c r="O306" s="47">
        <v>29.68</v>
      </c>
      <c r="P306" s="47">
        <v>29.68</v>
      </c>
      <c r="Q306" s="47">
        <v>29.68</v>
      </c>
      <c r="R306" s="47">
        <v>29.68</v>
      </c>
      <c r="S306" s="47">
        <v>29.68</v>
      </c>
      <c r="T306" s="47">
        <v>29.68</v>
      </c>
      <c r="U306" s="47">
        <v>29.68</v>
      </c>
      <c r="V306" s="47">
        <v>29.68</v>
      </c>
      <c r="W306" s="47">
        <v>29.68</v>
      </c>
      <c r="X306" s="47">
        <v>29.68</v>
      </c>
      <c r="Y306" s="47">
        <v>29.68</v>
      </c>
      <c r="Z306" s="47">
        <v>29.68</v>
      </c>
      <c r="AA306" s="47">
        <v>29.68</v>
      </c>
      <c r="AB306" s="45">
        <f t="shared" si="7"/>
        <v>712.32</v>
      </c>
      <c r="AC306" s="37">
        <v>7</v>
      </c>
      <c r="AD306" s="92"/>
    </row>
    <row r="307" spans="2:30">
      <c r="B307" s="90">
        <v>49157</v>
      </c>
      <c r="C307" s="44" t="s">
        <v>32</v>
      </c>
      <c r="D307" s="47">
        <v>29.68</v>
      </c>
      <c r="E307" s="47">
        <v>29.68</v>
      </c>
      <c r="F307" s="47">
        <v>29.68</v>
      </c>
      <c r="G307" s="47">
        <v>29.68</v>
      </c>
      <c r="H307" s="47">
        <v>29.68</v>
      </c>
      <c r="I307" s="47">
        <v>29.68</v>
      </c>
      <c r="J307" s="47">
        <v>29.68</v>
      </c>
      <c r="K307" s="47">
        <v>29.68</v>
      </c>
      <c r="L307" s="47">
        <v>29.68</v>
      </c>
      <c r="M307" s="47">
        <v>29.68</v>
      </c>
      <c r="N307" s="47">
        <v>29.68</v>
      </c>
      <c r="O307" s="47">
        <v>29.68</v>
      </c>
      <c r="P307" s="47">
        <v>29.68</v>
      </c>
      <c r="Q307" s="47">
        <v>29.68</v>
      </c>
      <c r="R307" s="47">
        <v>29.68</v>
      </c>
      <c r="S307" s="47">
        <v>29.68</v>
      </c>
      <c r="T307" s="47">
        <v>29.68</v>
      </c>
      <c r="U307" s="47">
        <v>29.68</v>
      </c>
      <c r="V307" s="47">
        <v>29.68</v>
      </c>
      <c r="W307" s="47">
        <v>29.68</v>
      </c>
      <c r="X307" s="47">
        <v>29.68</v>
      </c>
      <c r="Y307" s="47">
        <v>29.68</v>
      </c>
      <c r="Z307" s="47">
        <v>29.68</v>
      </c>
      <c r="AA307" s="47">
        <v>29.68</v>
      </c>
      <c r="AB307" s="45">
        <f t="shared" si="7"/>
        <v>712.32</v>
      </c>
      <c r="AC307" s="37">
        <v>21</v>
      </c>
      <c r="AD307" s="92">
        <f>+AB307*AC307+AB308*AC308+AB309*AC309</f>
        <v>22081.919999999998</v>
      </c>
    </row>
    <row r="308" spans="2:30">
      <c r="B308" s="90"/>
      <c r="C308" s="44" t="s">
        <v>33</v>
      </c>
      <c r="D308" s="47">
        <v>29.68</v>
      </c>
      <c r="E308" s="47">
        <v>29.68</v>
      </c>
      <c r="F308" s="47">
        <v>29.68</v>
      </c>
      <c r="G308" s="47">
        <v>29.68</v>
      </c>
      <c r="H308" s="47">
        <v>29.68</v>
      </c>
      <c r="I308" s="47">
        <v>29.68</v>
      </c>
      <c r="J308" s="47">
        <v>29.68</v>
      </c>
      <c r="K308" s="47">
        <v>29.68</v>
      </c>
      <c r="L308" s="47">
        <v>29.68</v>
      </c>
      <c r="M308" s="47">
        <v>29.68</v>
      </c>
      <c r="N308" s="47">
        <v>29.68</v>
      </c>
      <c r="O308" s="47">
        <v>29.68</v>
      </c>
      <c r="P308" s="47">
        <v>29.68</v>
      </c>
      <c r="Q308" s="47">
        <v>29.68</v>
      </c>
      <c r="R308" s="47">
        <v>29.68</v>
      </c>
      <c r="S308" s="47">
        <v>29.68</v>
      </c>
      <c r="T308" s="47">
        <v>29.68</v>
      </c>
      <c r="U308" s="47">
        <v>29.68</v>
      </c>
      <c r="V308" s="47">
        <v>29.68</v>
      </c>
      <c r="W308" s="47">
        <v>29.68</v>
      </c>
      <c r="X308" s="47">
        <v>29.68</v>
      </c>
      <c r="Y308" s="47">
        <v>29.68</v>
      </c>
      <c r="Z308" s="47">
        <v>29.68</v>
      </c>
      <c r="AA308" s="47">
        <v>29.68</v>
      </c>
      <c r="AB308" s="45">
        <f t="shared" si="7"/>
        <v>712.32</v>
      </c>
      <c r="AC308" s="37">
        <v>4</v>
      </c>
      <c r="AD308" s="92"/>
    </row>
    <row r="309" spans="2:30">
      <c r="B309" s="90"/>
      <c r="C309" s="44" t="s">
        <v>34</v>
      </c>
      <c r="D309" s="47">
        <v>29.68</v>
      </c>
      <c r="E309" s="47">
        <v>29.68</v>
      </c>
      <c r="F309" s="47">
        <v>29.68</v>
      </c>
      <c r="G309" s="47">
        <v>29.68</v>
      </c>
      <c r="H309" s="47">
        <v>29.68</v>
      </c>
      <c r="I309" s="47">
        <v>29.68</v>
      </c>
      <c r="J309" s="47">
        <v>29.68</v>
      </c>
      <c r="K309" s="47">
        <v>29.68</v>
      </c>
      <c r="L309" s="47">
        <v>29.68</v>
      </c>
      <c r="M309" s="47">
        <v>29.68</v>
      </c>
      <c r="N309" s="47">
        <v>29.68</v>
      </c>
      <c r="O309" s="47">
        <v>29.68</v>
      </c>
      <c r="P309" s="47">
        <v>29.68</v>
      </c>
      <c r="Q309" s="47">
        <v>29.68</v>
      </c>
      <c r="R309" s="47">
        <v>29.68</v>
      </c>
      <c r="S309" s="47">
        <v>29.68</v>
      </c>
      <c r="T309" s="47">
        <v>29.68</v>
      </c>
      <c r="U309" s="47">
        <v>29.68</v>
      </c>
      <c r="V309" s="47">
        <v>29.68</v>
      </c>
      <c r="W309" s="47">
        <v>29.68</v>
      </c>
      <c r="X309" s="47">
        <v>29.68</v>
      </c>
      <c r="Y309" s="47">
        <v>29.68</v>
      </c>
      <c r="Z309" s="47">
        <v>29.68</v>
      </c>
      <c r="AA309" s="47">
        <v>29.68</v>
      </c>
      <c r="AB309" s="45">
        <f t="shared" si="7"/>
        <v>712.32</v>
      </c>
      <c r="AC309" s="37">
        <v>6</v>
      </c>
      <c r="AD309" s="92"/>
    </row>
    <row r="310" spans="2:30">
      <c r="B310" s="90">
        <v>49188</v>
      </c>
      <c r="C310" s="44" t="s">
        <v>32</v>
      </c>
      <c r="D310" s="47">
        <v>29.68</v>
      </c>
      <c r="E310" s="47">
        <v>29.68</v>
      </c>
      <c r="F310" s="47">
        <v>29.68</v>
      </c>
      <c r="G310" s="47">
        <v>29.68</v>
      </c>
      <c r="H310" s="47">
        <v>29.68</v>
      </c>
      <c r="I310" s="47">
        <v>29.68</v>
      </c>
      <c r="J310" s="47">
        <v>29.68</v>
      </c>
      <c r="K310" s="47">
        <v>29.68</v>
      </c>
      <c r="L310" s="47">
        <v>29.68</v>
      </c>
      <c r="M310" s="47">
        <v>29.68</v>
      </c>
      <c r="N310" s="47">
        <v>29.68</v>
      </c>
      <c r="O310" s="47">
        <v>29.68</v>
      </c>
      <c r="P310" s="47">
        <v>29.68</v>
      </c>
      <c r="Q310" s="47">
        <v>29.68</v>
      </c>
      <c r="R310" s="47">
        <v>29.68</v>
      </c>
      <c r="S310" s="47">
        <v>29.68</v>
      </c>
      <c r="T310" s="47">
        <v>29.68</v>
      </c>
      <c r="U310" s="47">
        <v>29.68</v>
      </c>
      <c r="V310" s="47">
        <v>29.68</v>
      </c>
      <c r="W310" s="47">
        <v>29.68</v>
      </c>
      <c r="X310" s="47">
        <v>29.68</v>
      </c>
      <c r="Y310" s="47">
        <v>29.68</v>
      </c>
      <c r="Z310" s="47">
        <v>29.68</v>
      </c>
      <c r="AA310" s="47">
        <v>29.68</v>
      </c>
      <c r="AB310" s="45">
        <f t="shared" si="7"/>
        <v>712.32</v>
      </c>
      <c r="AC310" s="37">
        <v>21</v>
      </c>
      <c r="AD310" s="92">
        <f>+AB310*AC310+AB311*AC311+AB312*AC312</f>
        <v>21369.599999999999</v>
      </c>
    </row>
    <row r="311" spans="2:30">
      <c r="B311" s="90"/>
      <c r="C311" s="44" t="s">
        <v>33</v>
      </c>
      <c r="D311" s="47">
        <v>29.68</v>
      </c>
      <c r="E311" s="47">
        <v>29.68</v>
      </c>
      <c r="F311" s="47">
        <v>29.68</v>
      </c>
      <c r="G311" s="47">
        <v>29.68</v>
      </c>
      <c r="H311" s="47">
        <v>29.68</v>
      </c>
      <c r="I311" s="47">
        <v>29.68</v>
      </c>
      <c r="J311" s="47">
        <v>29.68</v>
      </c>
      <c r="K311" s="47">
        <v>29.68</v>
      </c>
      <c r="L311" s="47">
        <v>29.68</v>
      </c>
      <c r="M311" s="47">
        <v>29.68</v>
      </c>
      <c r="N311" s="47">
        <v>29.68</v>
      </c>
      <c r="O311" s="47">
        <v>29.68</v>
      </c>
      <c r="P311" s="47">
        <v>29.68</v>
      </c>
      <c r="Q311" s="47">
        <v>29.68</v>
      </c>
      <c r="R311" s="47">
        <v>29.68</v>
      </c>
      <c r="S311" s="47">
        <v>29.68</v>
      </c>
      <c r="T311" s="47">
        <v>29.68</v>
      </c>
      <c r="U311" s="47">
        <v>29.68</v>
      </c>
      <c r="V311" s="47">
        <v>29.68</v>
      </c>
      <c r="W311" s="47">
        <v>29.68</v>
      </c>
      <c r="X311" s="47">
        <v>29.68</v>
      </c>
      <c r="Y311" s="47">
        <v>29.68</v>
      </c>
      <c r="Z311" s="47">
        <v>29.68</v>
      </c>
      <c r="AA311" s="47">
        <v>29.68</v>
      </c>
      <c r="AB311" s="45">
        <f t="shared" si="7"/>
        <v>712.32</v>
      </c>
      <c r="AC311" s="37">
        <v>5</v>
      </c>
      <c r="AD311" s="92"/>
    </row>
    <row r="312" spans="2:30">
      <c r="B312" s="90"/>
      <c r="C312" s="44" t="s">
        <v>34</v>
      </c>
      <c r="D312" s="47">
        <v>29.68</v>
      </c>
      <c r="E312" s="47">
        <v>29.68</v>
      </c>
      <c r="F312" s="47">
        <v>29.68</v>
      </c>
      <c r="G312" s="47">
        <v>29.68</v>
      </c>
      <c r="H312" s="47">
        <v>29.68</v>
      </c>
      <c r="I312" s="47">
        <v>29.68</v>
      </c>
      <c r="J312" s="47">
        <v>29.68</v>
      </c>
      <c r="K312" s="47">
        <v>29.68</v>
      </c>
      <c r="L312" s="47">
        <v>29.68</v>
      </c>
      <c r="M312" s="47">
        <v>29.68</v>
      </c>
      <c r="N312" s="47">
        <v>29.68</v>
      </c>
      <c r="O312" s="47">
        <v>29.68</v>
      </c>
      <c r="P312" s="47">
        <v>29.68</v>
      </c>
      <c r="Q312" s="47">
        <v>29.68</v>
      </c>
      <c r="R312" s="47">
        <v>29.68</v>
      </c>
      <c r="S312" s="47">
        <v>29.68</v>
      </c>
      <c r="T312" s="47">
        <v>29.68</v>
      </c>
      <c r="U312" s="47">
        <v>29.68</v>
      </c>
      <c r="V312" s="47">
        <v>29.68</v>
      </c>
      <c r="W312" s="47">
        <v>29.68</v>
      </c>
      <c r="X312" s="47">
        <v>29.68</v>
      </c>
      <c r="Y312" s="47">
        <v>29.68</v>
      </c>
      <c r="Z312" s="47">
        <v>29.68</v>
      </c>
      <c r="AA312" s="47">
        <v>29.68</v>
      </c>
      <c r="AB312" s="45">
        <f t="shared" si="7"/>
        <v>712.32</v>
      </c>
      <c r="AC312" s="37">
        <v>4</v>
      </c>
      <c r="AD312" s="92"/>
    </row>
    <row r="313" spans="2:30">
      <c r="B313" s="90">
        <v>49218</v>
      </c>
      <c r="C313" s="44" t="s">
        <v>32</v>
      </c>
      <c r="D313" s="47">
        <v>29.68</v>
      </c>
      <c r="E313" s="47">
        <v>29.68</v>
      </c>
      <c r="F313" s="47">
        <v>29.68</v>
      </c>
      <c r="G313" s="47">
        <v>29.68</v>
      </c>
      <c r="H313" s="47">
        <v>29.68</v>
      </c>
      <c r="I313" s="47">
        <v>29.68</v>
      </c>
      <c r="J313" s="47">
        <v>29.68</v>
      </c>
      <c r="K313" s="47">
        <v>29.68</v>
      </c>
      <c r="L313" s="47">
        <v>29.68</v>
      </c>
      <c r="M313" s="47">
        <v>29.68</v>
      </c>
      <c r="N313" s="47">
        <v>29.68</v>
      </c>
      <c r="O313" s="47">
        <v>29.68</v>
      </c>
      <c r="P313" s="47">
        <v>29.68</v>
      </c>
      <c r="Q313" s="47">
        <v>29.68</v>
      </c>
      <c r="R313" s="47">
        <v>29.68</v>
      </c>
      <c r="S313" s="47">
        <v>29.68</v>
      </c>
      <c r="T313" s="47">
        <v>29.68</v>
      </c>
      <c r="U313" s="47">
        <v>29.68</v>
      </c>
      <c r="V313" s="47">
        <v>29.68</v>
      </c>
      <c r="W313" s="47">
        <v>29.68</v>
      </c>
      <c r="X313" s="47">
        <v>29.68</v>
      </c>
      <c r="Y313" s="47">
        <v>29.68</v>
      </c>
      <c r="Z313" s="47">
        <v>29.68</v>
      </c>
      <c r="AA313" s="47">
        <v>29.68</v>
      </c>
      <c r="AB313" s="45">
        <f t="shared" si="7"/>
        <v>712.32</v>
      </c>
      <c r="AC313" s="37">
        <v>21</v>
      </c>
      <c r="AD313" s="92">
        <f>+AB313*AC313+AB314*AC314+AB315*AC315</f>
        <v>22081.919999999998</v>
      </c>
    </row>
    <row r="314" spans="2:30">
      <c r="B314" s="90"/>
      <c r="C314" s="44" t="s">
        <v>33</v>
      </c>
      <c r="D314" s="47">
        <v>29.68</v>
      </c>
      <c r="E314" s="47">
        <v>29.68</v>
      </c>
      <c r="F314" s="47">
        <v>29.68</v>
      </c>
      <c r="G314" s="47">
        <v>29.68</v>
      </c>
      <c r="H314" s="47">
        <v>29.68</v>
      </c>
      <c r="I314" s="47">
        <v>29.68</v>
      </c>
      <c r="J314" s="47">
        <v>29.68</v>
      </c>
      <c r="K314" s="47">
        <v>29.68</v>
      </c>
      <c r="L314" s="47">
        <v>29.68</v>
      </c>
      <c r="M314" s="47">
        <v>29.68</v>
      </c>
      <c r="N314" s="47">
        <v>29.68</v>
      </c>
      <c r="O314" s="47">
        <v>29.68</v>
      </c>
      <c r="P314" s="47">
        <v>29.68</v>
      </c>
      <c r="Q314" s="47">
        <v>29.68</v>
      </c>
      <c r="R314" s="47">
        <v>29.68</v>
      </c>
      <c r="S314" s="47">
        <v>29.68</v>
      </c>
      <c r="T314" s="47">
        <v>29.68</v>
      </c>
      <c r="U314" s="47">
        <v>29.68</v>
      </c>
      <c r="V314" s="47">
        <v>29.68</v>
      </c>
      <c r="W314" s="47">
        <v>29.68</v>
      </c>
      <c r="X314" s="47">
        <v>29.68</v>
      </c>
      <c r="Y314" s="47">
        <v>29.68</v>
      </c>
      <c r="Z314" s="47">
        <v>29.68</v>
      </c>
      <c r="AA314" s="47">
        <v>29.68</v>
      </c>
      <c r="AB314" s="45">
        <f t="shared" si="7"/>
        <v>712.32</v>
      </c>
      <c r="AC314" s="37">
        <v>4</v>
      </c>
      <c r="AD314" s="92"/>
    </row>
    <row r="315" spans="2:30">
      <c r="B315" s="90"/>
      <c r="C315" s="44" t="s">
        <v>34</v>
      </c>
      <c r="D315" s="47">
        <v>29.68</v>
      </c>
      <c r="E315" s="47">
        <v>29.68</v>
      </c>
      <c r="F315" s="47">
        <v>29.68</v>
      </c>
      <c r="G315" s="47">
        <v>29.68</v>
      </c>
      <c r="H315" s="47">
        <v>29.68</v>
      </c>
      <c r="I315" s="47">
        <v>29.68</v>
      </c>
      <c r="J315" s="47">
        <v>29.68</v>
      </c>
      <c r="K315" s="47">
        <v>29.68</v>
      </c>
      <c r="L315" s="47">
        <v>29.68</v>
      </c>
      <c r="M315" s="47">
        <v>29.68</v>
      </c>
      <c r="N315" s="47">
        <v>29.68</v>
      </c>
      <c r="O315" s="47">
        <v>29.68</v>
      </c>
      <c r="P315" s="47">
        <v>29.68</v>
      </c>
      <c r="Q315" s="47">
        <v>29.68</v>
      </c>
      <c r="R315" s="47">
        <v>29.68</v>
      </c>
      <c r="S315" s="47">
        <v>29.68</v>
      </c>
      <c r="T315" s="47">
        <v>29.68</v>
      </c>
      <c r="U315" s="47">
        <v>29.68</v>
      </c>
      <c r="V315" s="47">
        <v>29.68</v>
      </c>
      <c r="W315" s="47">
        <v>29.68</v>
      </c>
      <c r="X315" s="47">
        <v>29.68</v>
      </c>
      <c r="Y315" s="47">
        <v>29.68</v>
      </c>
      <c r="Z315" s="47">
        <v>29.68</v>
      </c>
      <c r="AA315" s="47">
        <v>29.68</v>
      </c>
      <c r="AB315" s="45">
        <f t="shared" si="7"/>
        <v>712.32</v>
      </c>
      <c r="AC315" s="37">
        <v>6</v>
      </c>
      <c r="AD315" s="92"/>
    </row>
    <row r="316" spans="2:30">
      <c r="B316" s="90">
        <v>49249</v>
      </c>
      <c r="C316" s="44" t="s">
        <v>32</v>
      </c>
      <c r="D316" s="47">
        <v>29.68</v>
      </c>
      <c r="E316" s="47">
        <v>29.68</v>
      </c>
      <c r="F316" s="47">
        <v>29.68</v>
      </c>
      <c r="G316" s="47">
        <v>29.68</v>
      </c>
      <c r="H316" s="47">
        <v>29.68</v>
      </c>
      <c r="I316" s="47">
        <v>29.68</v>
      </c>
      <c r="J316" s="47">
        <v>29.68</v>
      </c>
      <c r="K316" s="47">
        <v>29.68</v>
      </c>
      <c r="L316" s="47">
        <v>29.68</v>
      </c>
      <c r="M316" s="47">
        <v>29.68</v>
      </c>
      <c r="N316" s="47">
        <v>29.68</v>
      </c>
      <c r="O316" s="47">
        <v>29.68</v>
      </c>
      <c r="P316" s="47">
        <v>29.68</v>
      </c>
      <c r="Q316" s="47">
        <v>29.68</v>
      </c>
      <c r="R316" s="47">
        <v>29.68</v>
      </c>
      <c r="S316" s="47">
        <v>29.68</v>
      </c>
      <c r="T316" s="47">
        <v>29.68</v>
      </c>
      <c r="U316" s="47">
        <v>29.68</v>
      </c>
      <c r="V316" s="47">
        <v>29.68</v>
      </c>
      <c r="W316" s="47">
        <v>29.68</v>
      </c>
      <c r="X316" s="47">
        <v>29.68</v>
      </c>
      <c r="Y316" s="47">
        <v>29.68</v>
      </c>
      <c r="Z316" s="47">
        <v>29.68</v>
      </c>
      <c r="AA316" s="47">
        <v>29.68</v>
      </c>
      <c r="AB316" s="45">
        <f t="shared" si="7"/>
        <v>712.32</v>
      </c>
      <c r="AC316" s="37">
        <v>20</v>
      </c>
      <c r="AD316" s="92">
        <f>+AB316*AC316+AB317*AC317+AB318*AC318</f>
        <v>21369.599999999999</v>
      </c>
    </row>
    <row r="317" spans="2:30">
      <c r="B317" s="90"/>
      <c r="C317" s="44" t="s">
        <v>33</v>
      </c>
      <c r="D317" s="47">
        <v>29.68</v>
      </c>
      <c r="E317" s="47">
        <v>29.68</v>
      </c>
      <c r="F317" s="47">
        <v>29.68</v>
      </c>
      <c r="G317" s="47">
        <v>29.68</v>
      </c>
      <c r="H317" s="47">
        <v>29.68</v>
      </c>
      <c r="I317" s="47">
        <v>29.68</v>
      </c>
      <c r="J317" s="47">
        <v>29.68</v>
      </c>
      <c r="K317" s="47">
        <v>29.68</v>
      </c>
      <c r="L317" s="47">
        <v>29.68</v>
      </c>
      <c r="M317" s="47">
        <v>29.68</v>
      </c>
      <c r="N317" s="47">
        <v>29.68</v>
      </c>
      <c r="O317" s="47">
        <v>29.68</v>
      </c>
      <c r="P317" s="47">
        <v>29.68</v>
      </c>
      <c r="Q317" s="47">
        <v>29.68</v>
      </c>
      <c r="R317" s="47">
        <v>29.68</v>
      </c>
      <c r="S317" s="47">
        <v>29.68</v>
      </c>
      <c r="T317" s="47">
        <v>29.68</v>
      </c>
      <c r="U317" s="47">
        <v>29.68</v>
      </c>
      <c r="V317" s="47">
        <v>29.68</v>
      </c>
      <c r="W317" s="47">
        <v>29.68</v>
      </c>
      <c r="X317" s="47">
        <v>29.68</v>
      </c>
      <c r="Y317" s="47">
        <v>29.68</v>
      </c>
      <c r="Z317" s="47">
        <v>29.68</v>
      </c>
      <c r="AA317" s="47">
        <v>29.68</v>
      </c>
      <c r="AB317" s="45">
        <f t="shared" si="7"/>
        <v>712.32</v>
      </c>
      <c r="AC317" s="37">
        <v>4</v>
      </c>
      <c r="AD317" s="92"/>
    </row>
    <row r="318" spans="2:30">
      <c r="B318" s="90"/>
      <c r="C318" s="44" t="s">
        <v>34</v>
      </c>
      <c r="D318" s="47">
        <v>29.68</v>
      </c>
      <c r="E318" s="47">
        <v>29.68</v>
      </c>
      <c r="F318" s="47">
        <v>29.68</v>
      </c>
      <c r="G318" s="47">
        <v>29.68</v>
      </c>
      <c r="H318" s="47">
        <v>29.68</v>
      </c>
      <c r="I318" s="47">
        <v>29.68</v>
      </c>
      <c r="J318" s="47">
        <v>29.68</v>
      </c>
      <c r="K318" s="47">
        <v>29.68</v>
      </c>
      <c r="L318" s="47">
        <v>29.68</v>
      </c>
      <c r="M318" s="47">
        <v>29.68</v>
      </c>
      <c r="N318" s="47">
        <v>29.68</v>
      </c>
      <c r="O318" s="47">
        <v>29.68</v>
      </c>
      <c r="P318" s="47">
        <v>29.68</v>
      </c>
      <c r="Q318" s="47">
        <v>29.68</v>
      </c>
      <c r="R318" s="47">
        <v>29.68</v>
      </c>
      <c r="S318" s="47">
        <v>29.68</v>
      </c>
      <c r="T318" s="47">
        <v>29.68</v>
      </c>
      <c r="U318" s="47">
        <v>29.68</v>
      </c>
      <c r="V318" s="47">
        <v>29.68</v>
      </c>
      <c r="W318" s="47">
        <v>29.68</v>
      </c>
      <c r="X318" s="47">
        <v>29.68</v>
      </c>
      <c r="Y318" s="47">
        <v>29.68</v>
      </c>
      <c r="Z318" s="47">
        <v>29.68</v>
      </c>
      <c r="AA318" s="47">
        <v>29.68</v>
      </c>
      <c r="AB318" s="45">
        <f t="shared" si="7"/>
        <v>712.32</v>
      </c>
      <c r="AC318" s="37">
        <v>6</v>
      </c>
      <c r="AD318" s="92"/>
    </row>
    <row r="319" spans="2:30">
      <c r="B319" s="90">
        <v>49279</v>
      </c>
      <c r="C319" s="44" t="s">
        <v>32</v>
      </c>
      <c r="D319" s="47">
        <v>29.68</v>
      </c>
      <c r="E319" s="47">
        <v>29.68</v>
      </c>
      <c r="F319" s="47">
        <v>29.68</v>
      </c>
      <c r="G319" s="47">
        <v>29.68</v>
      </c>
      <c r="H319" s="47">
        <v>29.68</v>
      </c>
      <c r="I319" s="47">
        <v>29.68</v>
      </c>
      <c r="J319" s="47">
        <v>29.68</v>
      </c>
      <c r="K319" s="47">
        <v>29.68</v>
      </c>
      <c r="L319" s="47">
        <v>29.68</v>
      </c>
      <c r="M319" s="47">
        <v>29.68</v>
      </c>
      <c r="N319" s="47">
        <v>29.68</v>
      </c>
      <c r="O319" s="47">
        <v>29.68</v>
      </c>
      <c r="P319" s="47">
        <v>29.68</v>
      </c>
      <c r="Q319" s="47">
        <v>29.68</v>
      </c>
      <c r="R319" s="47">
        <v>29.68</v>
      </c>
      <c r="S319" s="47">
        <v>29.68</v>
      </c>
      <c r="T319" s="47">
        <v>29.68</v>
      </c>
      <c r="U319" s="47">
        <v>29.68</v>
      </c>
      <c r="V319" s="47">
        <v>29.68</v>
      </c>
      <c r="W319" s="47">
        <v>29.68</v>
      </c>
      <c r="X319" s="47">
        <v>29.68</v>
      </c>
      <c r="Y319" s="47">
        <v>29.68</v>
      </c>
      <c r="Z319" s="47">
        <v>29.68</v>
      </c>
      <c r="AA319" s="47">
        <v>29.68</v>
      </c>
      <c r="AB319" s="45">
        <f t="shared" si="7"/>
        <v>712.32</v>
      </c>
      <c r="AC319" s="37">
        <v>19</v>
      </c>
      <c r="AD319" s="92">
        <f>+AB319*AC319+AB320*AC320+AB321*AC321</f>
        <v>22081.919999999998</v>
      </c>
    </row>
    <row r="320" spans="2:30">
      <c r="B320" s="90"/>
      <c r="C320" s="44" t="s">
        <v>33</v>
      </c>
      <c r="D320" s="47">
        <v>29.68</v>
      </c>
      <c r="E320" s="47">
        <v>29.68</v>
      </c>
      <c r="F320" s="47">
        <v>29.68</v>
      </c>
      <c r="G320" s="47">
        <v>29.68</v>
      </c>
      <c r="H320" s="47">
        <v>29.68</v>
      </c>
      <c r="I320" s="47">
        <v>29.68</v>
      </c>
      <c r="J320" s="47">
        <v>29.68</v>
      </c>
      <c r="K320" s="47">
        <v>29.68</v>
      </c>
      <c r="L320" s="47">
        <v>29.68</v>
      </c>
      <c r="M320" s="47">
        <v>29.68</v>
      </c>
      <c r="N320" s="47">
        <v>29.68</v>
      </c>
      <c r="O320" s="47">
        <v>29.68</v>
      </c>
      <c r="P320" s="47">
        <v>29.68</v>
      </c>
      <c r="Q320" s="47">
        <v>29.68</v>
      </c>
      <c r="R320" s="47">
        <v>29.68</v>
      </c>
      <c r="S320" s="47">
        <v>29.68</v>
      </c>
      <c r="T320" s="47">
        <v>29.68</v>
      </c>
      <c r="U320" s="47">
        <v>29.68</v>
      </c>
      <c r="V320" s="47">
        <v>29.68</v>
      </c>
      <c r="W320" s="47">
        <v>29.68</v>
      </c>
      <c r="X320" s="47">
        <v>29.68</v>
      </c>
      <c r="Y320" s="47">
        <v>29.68</v>
      </c>
      <c r="Z320" s="47">
        <v>29.68</v>
      </c>
      <c r="AA320" s="47">
        <v>29.68</v>
      </c>
      <c r="AB320" s="45">
        <f t="shared" si="7"/>
        <v>712.32</v>
      </c>
      <c r="AC320" s="37">
        <v>5</v>
      </c>
      <c r="AD320" s="92"/>
    </row>
    <row r="321" spans="2:31">
      <c r="B321" s="90"/>
      <c r="C321" s="44" t="s">
        <v>34</v>
      </c>
      <c r="D321" s="47">
        <v>29.68</v>
      </c>
      <c r="E321" s="47">
        <v>29.68</v>
      </c>
      <c r="F321" s="47">
        <v>29.68</v>
      </c>
      <c r="G321" s="47">
        <v>29.68</v>
      </c>
      <c r="H321" s="47">
        <v>29.68</v>
      </c>
      <c r="I321" s="47">
        <v>29.68</v>
      </c>
      <c r="J321" s="47">
        <v>29.68</v>
      </c>
      <c r="K321" s="47">
        <v>29.68</v>
      </c>
      <c r="L321" s="47">
        <v>29.68</v>
      </c>
      <c r="M321" s="47">
        <v>29.68</v>
      </c>
      <c r="N321" s="47">
        <v>29.68</v>
      </c>
      <c r="O321" s="47">
        <v>29.68</v>
      </c>
      <c r="P321" s="47">
        <v>29.68</v>
      </c>
      <c r="Q321" s="47">
        <v>29.68</v>
      </c>
      <c r="R321" s="47">
        <v>29.68</v>
      </c>
      <c r="S321" s="47">
        <v>29.68</v>
      </c>
      <c r="T321" s="47">
        <v>29.68</v>
      </c>
      <c r="U321" s="47">
        <v>29.68</v>
      </c>
      <c r="V321" s="47">
        <v>29.68</v>
      </c>
      <c r="W321" s="47">
        <v>29.68</v>
      </c>
      <c r="X321" s="47">
        <v>29.68</v>
      </c>
      <c r="Y321" s="47">
        <v>29.68</v>
      </c>
      <c r="Z321" s="47">
        <v>29.68</v>
      </c>
      <c r="AA321" s="47">
        <v>29.68</v>
      </c>
      <c r="AB321" s="45">
        <f t="shared" si="7"/>
        <v>712.32</v>
      </c>
      <c r="AC321" s="37">
        <v>7</v>
      </c>
      <c r="AD321" s="92"/>
    </row>
    <row r="322" spans="2:31"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86" t="s">
        <v>35</v>
      </c>
      <c r="AB322" s="87"/>
      <c r="AC322" s="88"/>
      <c r="AD322" s="39">
        <f>SUM(AD286:AD321)</f>
        <v>259996.79999999999</v>
      </c>
    </row>
    <row r="323" spans="2:31"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 spans="2:31" ht="23.25">
      <c r="B324" s="41" t="s">
        <v>43</v>
      </c>
    </row>
    <row r="325" spans="2:31">
      <c r="B325" s="42" t="s">
        <v>3</v>
      </c>
      <c r="C325" s="42" t="s">
        <v>4</v>
      </c>
      <c r="D325" s="42" t="s">
        <v>5</v>
      </c>
      <c r="E325" s="42" t="s">
        <v>6</v>
      </c>
      <c r="F325" s="42" t="s">
        <v>7</v>
      </c>
      <c r="G325" s="42" t="s">
        <v>8</v>
      </c>
      <c r="H325" s="42" t="s">
        <v>9</v>
      </c>
      <c r="I325" s="42" t="s">
        <v>10</v>
      </c>
      <c r="J325" s="42" t="s">
        <v>11</v>
      </c>
      <c r="K325" s="42" t="s">
        <v>12</v>
      </c>
      <c r="L325" s="42" t="s">
        <v>13</v>
      </c>
      <c r="M325" s="42" t="s">
        <v>14</v>
      </c>
      <c r="N325" s="42" t="s">
        <v>15</v>
      </c>
      <c r="O325" s="42" t="s">
        <v>16</v>
      </c>
      <c r="P325" s="42" t="s">
        <v>17</v>
      </c>
      <c r="Q325" s="42" t="s">
        <v>18</v>
      </c>
      <c r="R325" s="42" t="s">
        <v>19</v>
      </c>
      <c r="S325" s="42" t="s">
        <v>20</v>
      </c>
      <c r="T325" s="42" t="s">
        <v>21</v>
      </c>
      <c r="U325" s="42" t="s">
        <v>22</v>
      </c>
      <c r="V325" s="42" t="s">
        <v>23</v>
      </c>
      <c r="W325" s="42" t="s">
        <v>24</v>
      </c>
      <c r="X325" s="42" t="s">
        <v>25</v>
      </c>
      <c r="Y325" s="42" t="s">
        <v>26</v>
      </c>
      <c r="Z325" s="42" t="s">
        <v>27</v>
      </c>
      <c r="AA325" s="42" t="s">
        <v>28</v>
      </c>
      <c r="AB325" s="36" t="s">
        <v>29</v>
      </c>
      <c r="AC325" s="43" t="s">
        <v>30</v>
      </c>
      <c r="AD325" s="42" t="s">
        <v>31</v>
      </c>
    </row>
    <row r="326" spans="2:31">
      <c r="B326" s="90">
        <v>49310</v>
      </c>
      <c r="C326" s="44" t="s">
        <v>32</v>
      </c>
      <c r="D326" s="47">
        <v>29.68</v>
      </c>
      <c r="E326" s="47">
        <v>29.68</v>
      </c>
      <c r="F326" s="47">
        <v>29.68</v>
      </c>
      <c r="G326" s="47">
        <v>29.68</v>
      </c>
      <c r="H326" s="47">
        <v>29.68</v>
      </c>
      <c r="I326" s="47">
        <v>29.68</v>
      </c>
      <c r="J326" s="47">
        <v>29.68</v>
      </c>
      <c r="K326" s="47">
        <v>29.68</v>
      </c>
      <c r="L326" s="47">
        <v>29.68</v>
      </c>
      <c r="M326" s="47">
        <v>29.68</v>
      </c>
      <c r="N326" s="47">
        <v>29.68</v>
      </c>
      <c r="O326" s="47">
        <v>29.68</v>
      </c>
      <c r="P326" s="47">
        <v>29.68</v>
      </c>
      <c r="Q326" s="47">
        <v>29.68</v>
      </c>
      <c r="R326" s="47">
        <v>29.68</v>
      </c>
      <c r="S326" s="47">
        <v>29.68</v>
      </c>
      <c r="T326" s="47">
        <v>29.68</v>
      </c>
      <c r="U326" s="47">
        <v>29.68</v>
      </c>
      <c r="V326" s="47">
        <v>29.68</v>
      </c>
      <c r="W326" s="47">
        <v>29.68</v>
      </c>
      <c r="X326" s="47">
        <v>29.68</v>
      </c>
      <c r="Y326" s="47">
        <v>29.68</v>
      </c>
      <c r="Z326" s="47">
        <v>29.68</v>
      </c>
      <c r="AA326" s="47">
        <v>29.68</v>
      </c>
      <c r="AB326" s="45">
        <f>SUM(D326:AA326)</f>
        <v>712.32</v>
      </c>
      <c r="AC326" s="37">
        <v>21</v>
      </c>
      <c r="AD326" s="92">
        <f>+AB326*AC326+AB327*AC327+AB328*AC328</f>
        <v>22081.919999999998</v>
      </c>
    </row>
    <row r="327" spans="2:31">
      <c r="B327" s="90"/>
      <c r="C327" s="44" t="s">
        <v>33</v>
      </c>
      <c r="D327" s="47">
        <v>29.68</v>
      </c>
      <c r="E327" s="47">
        <v>29.68</v>
      </c>
      <c r="F327" s="47">
        <v>29.68</v>
      </c>
      <c r="G327" s="47">
        <v>29.68</v>
      </c>
      <c r="H327" s="47">
        <v>29.68</v>
      </c>
      <c r="I327" s="47">
        <v>29.68</v>
      </c>
      <c r="J327" s="47">
        <v>29.68</v>
      </c>
      <c r="K327" s="47">
        <v>29.68</v>
      </c>
      <c r="L327" s="47">
        <v>29.68</v>
      </c>
      <c r="M327" s="47">
        <v>29.68</v>
      </c>
      <c r="N327" s="47">
        <v>29.68</v>
      </c>
      <c r="O327" s="47">
        <v>29.68</v>
      </c>
      <c r="P327" s="47">
        <v>29.68</v>
      </c>
      <c r="Q327" s="47">
        <v>29.68</v>
      </c>
      <c r="R327" s="47">
        <v>29.68</v>
      </c>
      <c r="S327" s="47">
        <v>29.68</v>
      </c>
      <c r="T327" s="47">
        <v>29.68</v>
      </c>
      <c r="U327" s="47">
        <v>29.68</v>
      </c>
      <c r="V327" s="47">
        <v>29.68</v>
      </c>
      <c r="W327" s="47">
        <v>29.68</v>
      </c>
      <c r="X327" s="47">
        <v>29.68</v>
      </c>
      <c r="Y327" s="47">
        <v>29.68</v>
      </c>
      <c r="Z327" s="47">
        <v>29.68</v>
      </c>
      <c r="AA327" s="47">
        <v>29.68</v>
      </c>
      <c r="AB327" s="45">
        <f t="shared" ref="AB327:AB361" si="8">SUM(D327:AA327)</f>
        <v>712.32</v>
      </c>
      <c r="AC327" s="37">
        <v>4</v>
      </c>
      <c r="AD327" s="92"/>
    </row>
    <row r="328" spans="2:31">
      <c r="B328" s="90"/>
      <c r="C328" s="44" t="s">
        <v>34</v>
      </c>
      <c r="D328" s="47">
        <v>29.68</v>
      </c>
      <c r="E328" s="47">
        <v>29.68</v>
      </c>
      <c r="F328" s="47">
        <v>29.68</v>
      </c>
      <c r="G328" s="47">
        <v>29.68</v>
      </c>
      <c r="H328" s="47">
        <v>29.68</v>
      </c>
      <c r="I328" s="47">
        <v>29.68</v>
      </c>
      <c r="J328" s="47">
        <v>29.68</v>
      </c>
      <c r="K328" s="47">
        <v>29.68</v>
      </c>
      <c r="L328" s="47">
        <v>29.68</v>
      </c>
      <c r="M328" s="47">
        <v>29.68</v>
      </c>
      <c r="N328" s="47">
        <v>29.68</v>
      </c>
      <c r="O328" s="47">
        <v>29.68</v>
      </c>
      <c r="P328" s="47">
        <v>29.68</v>
      </c>
      <c r="Q328" s="47">
        <v>29.68</v>
      </c>
      <c r="R328" s="47">
        <v>29.68</v>
      </c>
      <c r="S328" s="47">
        <v>29.68</v>
      </c>
      <c r="T328" s="47">
        <v>29.68</v>
      </c>
      <c r="U328" s="47">
        <v>29.68</v>
      </c>
      <c r="V328" s="47">
        <v>29.68</v>
      </c>
      <c r="W328" s="47">
        <v>29.68</v>
      </c>
      <c r="X328" s="47">
        <v>29.68</v>
      </c>
      <c r="Y328" s="47">
        <v>29.68</v>
      </c>
      <c r="Z328" s="47">
        <v>29.68</v>
      </c>
      <c r="AA328" s="47">
        <v>29.68</v>
      </c>
      <c r="AB328" s="45">
        <f t="shared" si="8"/>
        <v>712.32</v>
      </c>
      <c r="AC328" s="37">
        <v>6</v>
      </c>
      <c r="AD328" s="92"/>
    </row>
    <row r="329" spans="2:31">
      <c r="B329" s="90">
        <v>49341</v>
      </c>
      <c r="C329" s="44" t="s">
        <v>32</v>
      </c>
      <c r="D329" s="47">
        <v>29.68</v>
      </c>
      <c r="E329" s="47">
        <v>29.68</v>
      </c>
      <c r="F329" s="47">
        <v>29.68</v>
      </c>
      <c r="G329" s="47">
        <v>29.68</v>
      </c>
      <c r="H329" s="47">
        <v>29.68</v>
      </c>
      <c r="I329" s="47">
        <v>29.68</v>
      </c>
      <c r="J329" s="47">
        <v>29.68</v>
      </c>
      <c r="K329" s="47">
        <v>29.68</v>
      </c>
      <c r="L329" s="47">
        <v>29.68</v>
      </c>
      <c r="M329" s="47">
        <v>29.68</v>
      </c>
      <c r="N329" s="47">
        <v>29.68</v>
      </c>
      <c r="O329" s="47">
        <v>29.68</v>
      </c>
      <c r="P329" s="47">
        <v>29.68</v>
      </c>
      <c r="Q329" s="47">
        <v>29.68</v>
      </c>
      <c r="R329" s="47">
        <v>29.68</v>
      </c>
      <c r="S329" s="47">
        <v>29.68</v>
      </c>
      <c r="T329" s="47">
        <v>29.68</v>
      </c>
      <c r="U329" s="47">
        <v>29.68</v>
      </c>
      <c r="V329" s="47">
        <v>29.68</v>
      </c>
      <c r="W329" s="47">
        <v>29.68</v>
      </c>
      <c r="X329" s="47">
        <v>29.68</v>
      </c>
      <c r="Y329" s="47">
        <v>29.68</v>
      </c>
      <c r="Z329" s="47">
        <v>29.68</v>
      </c>
      <c r="AA329" s="47">
        <v>29.68</v>
      </c>
      <c r="AB329" s="45">
        <f t="shared" si="8"/>
        <v>712.32</v>
      </c>
      <c r="AC329" s="37">
        <v>20</v>
      </c>
      <c r="AD329" s="92">
        <f>+AB329*AC329+AB330*AC330+AB331*AC331</f>
        <v>19944.96</v>
      </c>
    </row>
    <row r="330" spans="2:31">
      <c r="B330" s="90"/>
      <c r="C330" s="44" t="s">
        <v>33</v>
      </c>
      <c r="D330" s="47">
        <v>29.68</v>
      </c>
      <c r="E330" s="47">
        <v>29.68</v>
      </c>
      <c r="F330" s="47">
        <v>29.68</v>
      </c>
      <c r="G330" s="47">
        <v>29.68</v>
      </c>
      <c r="H330" s="47">
        <v>29.68</v>
      </c>
      <c r="I330" s="47">
        <v>29.68</v>
      </c>
      <c r="J330" s="47">
        <v>29.68</v>
      </c>
      <c r="K330" s="47">
        <v>29.68</v>
      </c>
      <c r="L330" s="47">
        <v>29.68</v>
      </c>
      <c r="M330" s="47">
        <v>29.68</v>
      </c>
      <c r="N330" s="47">
        <v>29.68</v>
      </c>
      <c r="O330" s="47">
        <v>29.68</v>
      </c>
      <c r="P330" s="47">
        <v>29.68</v>
      </c>
      <c r="Q330" s="47">
        <v>29.68</v>
      </c>
      <c r="R330" s="47">
        <v>29.68</v>
      </c>
      <c r="S330" s="47">
        <v>29.68</v>
      </c>
      <c r="T330" s="47">
        <v>29.68</v>
      </c>
      <c r="U330" s="47">
        <v>29.68</v>
      </c>
      <c r="V330" s="47">
        <v>29.68</v>
      </c>
      <c r="W330" s="47">
        <v>29.68</v>
      </c>
      <c r="X330" s="47">
        <v>29.68</v>
      </c>
      <c r="Y330" s="47">
        <v>29.68</v>
      </c>
      <c r="Z330" s="47">
        <v>29.68</v>
      </c>
      <c r="AA330" s="47">
        <v>29.68</v>
      </c>
      <c r="AB330" s="45">
        <f t="shared" si="8"/>
        <v>712.32</v>
      </c>
      <c r="AC330" s="37">
        <v>4</v>
      </c>
      <c r="AD330" s="92"/>
    </row>
    <row r="331" spans="2:31">
      <c r="B331" s="90"/>
      <c r="C331" s="44" t="s">
        <v>34</v>
      </c>
      <c r="D331" s="47">
        <v>29.68</v>
      </c>
      <c r="E331" s="47">
        <v>29.68</v>
      </c>
      <c r="F331" s="47">
        <v>29.68</v>
      </c>
      <c r="G331" s="47">
        <v>29.68</v>
      </c>
      <c r="H331" s="47">
        <v>29.68</v>
      </c>
      <c r="I331" s="47">
        <v>29.68</v>
      </c>
      <c r="J331" s="47">
        <v>29.68</v>
      </c>
      <c r="K331" s="47">
        <v>29.68</v>
      </c>
      <c r="L331" s="47">
        <v>29.68</v>
      </c>
      <c r="M331" s="47">
        <v>29.68</v>
      </c>
      <c r="N331" s="47">
        <v>29.68</v>
      </c>
      <c r="O331" s="47">
        <v>29.68</v>
      </c>
      <c r="P331" s="47">
        <v>29.68</v>
      </c>
      <c r="Q331" s="47">
        <v>29.68</v>
      </c>
      <c r="R331" s="47">
        <v>29.68</v>
      </c>
      <c r="S331" s="47">
        <v>29.68</v>
      </c>
      <c r="T331" s="47">
        <v>29.68</v>
      </c>
      <c r="U331" s="47">
        <v>29.68</v>
      </c>
      <c r="V331" s="47">
        <v>29.68</v>
      </c>
      <c r="W331" s="47">
        <v>29.68</v>
      </c>
      <c r="X331" s="47">
        <v>29.68</v>
      </c>
      <c r="Y331" s="47">
        <v>29.68</v>
      </c>
      <c r="Z331" s="47">
        <v>29.68</v>
      </c>
      <c r="AA331" s="47">
        <v>29.68</v>
      </c>
      <c r="AB331" s="45">
        <f t="shared" si="8"/>
        <v>712.32</v>
      </c>
      <c r="AC331" s="37">
        <v>4</v>
      </c>
      <c r="AD331" s="92"/>
    </row>
    <row r="332" spans="2:31">
      <c r="B332" s="90">
        <v>49369</v>
      </c>
      <c r="C332" s="44" t="s">
        <v>32</v>
      </c>
      <c r="D332" s="47">
        <v>29.68</v>
      </c>
      <c r="E332" s="47">
        <v>29.68</v>
      </c>
      <c r="F332" s="47">
        <v>29.68</v>
      </c>
      <c r="G332" s="47">
        <v>29.68</v>
      </c>
      <c r="H332" s="47">
        <v>29.68</v>
      </c>
      <c r="I332" s="47">
        <v>29.68</v>
      </c>
      <c r="J332" s="47">
        <v>29.68</v>
      </c>
      <c r="K332" s="47">
        <v>29.68</v>
      </c>
      <c r="L332" s="47">
        <v>29.68</v>
      </c>
      <c r="M332" s="47">
        <v>29.68</v>
      </c>
      <c r="N332" s="47">
        <v>29.68</v>
      </c>
      <c r="O332" s="47">
        <v>29.68</v>
      </c>
      <c r="P332" s="47">
        <v>29.68</v>
      </c>
      <c r="Q332" s="47">
        <v>29.68</v>
      </c>
      <c r="R332" s="47">
        <v>29.68</v>
      </c>
      <c r="S332" s="47">
        <v>29.68</v>
      </c>
      <c r="T332" s="47">
        <v>29.68</v>
      </c>
      <c r="U332" s="47">
        <v>29.68</v>
      </c>
      <c r="V332" s="47">
        <v>29.68</v>
      </c>
      <c r="W332" s="47">
        <v>29.68</v>
      </c>
      <c r="X332" s="47">
        <v>29.68</v>
      </c>
      <c r="Y332" s="47">
        <v>29.68</v>
      </c>
      <c r="Z332" s="47">
        <v>29.68</v>
      </c>
      <c r="AA332" s="47">
        <v>29.68</v>
      </c>
      <c r="AB332" s="45">
        <f t="shared" si="8"/>
        <v>712.32</v>
      </c>
      <c r="AC332" s="37">
        <v>19</v>
      </c>
      <c r="AD332" s="92">
        <f>+AB332*AC332+AB333*AC333+AB334*AC334</f>
        <v>22081.919999999998</v>
      </c>
    </row>
    <row r="333" spans="2:31">
      <c r="B333" s="90"/>
      <c r="C333" s="44" t="s">
        <v>33</v>
      </c>
      <c r="D333" s="47">
        <v>29.68</v>
      </c>
      <c r="E333" s="47">
        <v>29.68</v>
      </c>
      <c r="F333" s="47">
        <v>29.68</v>
      </c>
      <c r="G333" s="47">
        <v>29.68</v>
      </c>
      <c r="H333" s="47">
        <v>29.68</v>
      </c>
      <c r="I333" s="47">
        <v>29.68</v>
      </c>
      <c r="J333" s="47">
        <v>29.68</v>
      </c>
      <c r="K333" s="47">
        <v>29.68</v>
      </c>
      <c r="L333" s="47">
        <v>29.68</v>
      </c>
      <c r="M333" s="47">
        <v>29.68</v>
      </c>
      <c r="N333" s="47">
        <v>29.68</v>
      </c>
      <c r="O333" s="47">
        <v>29.68</v>
      </c>
      <c r="P333" s="47">
        <v>29.68</v>
      </c>
      <c r="Q333" s="47">
        <v>29.68</v>
      </c>
      <c r="R333" s="47">
        <v>29.68</v>
      </c>
      <c r="S333" s="47">
        <v>29.68</v>
      </c>
      <c r="T333" s="47">
        <v>29.68</v>
      </c>
      <c r="U333" s="47">
        <v>29.68</v>
      </c>
      <c r="V333" s="47">
        <v>29.68</v>
      </c>
      <c r="W333" s="47">
        <v>29.68</v>
      </c>
      <c r="X333" s="47">
        <v>29.68</v>
      </c>
      <c r="Y333" s="47">
        <v>29.68</v>
      </c>
      <c r="Z333" s="47">
        <v>29.68</v>
      </c>
      <c r="AA333" s="47">
        <v>29.68</v>
      </c>
      <c r="AB333" s="45">
        <f t="shared" si="8"/>
        <v>712.32</v>
      </c>
      <c r="AC333" s="37">
        <v>5</v>
      </c>
      <c r="AD333" s="92"/>
    </row>
    <row r="334" spans="2:31">
      <c r="B334" s="90"/>
      <c r="C334" s="44" t="s">
        <v>34</v>
      </c>
      <c r="D334" s="47">
        <v>29.68</v>
      </c>
      <c r="E334" s="47">
        <v>29.68</v>
      </c>
      <c r="F334" s="47">
        <v>29.68</v>
      </c>
      <c r="G334" s="47">
        <v>29.68</v>
      </c>
      <c r="H334" s="47">
        <v>29.68</v>
      </c>
      <c r="I334" s="47">
        <v>29.68</v>
      </c>
      <c r="J334" s="47">
        <v>29.68</v>
      </c>
      <c r="K334" s="47">
        <v>29.68</v>
      </c>
      <c r="L334" s="47">
        <v>29.68</v>
      </c>
      <c r="M334" s="47">
        <v>29.68</v>
      </c>
      <c r="N334" s="47">
        <v>29.68</v>
      </c>
      <c r="O334" s="47">
        <v>29.68</v>
      </c>
      <c r="P334" s="47">
        <v>29.68</v>
      </c>
      <c r="Q334" s="47">
        <v>29.68</v>
      </c>
      <c r="R334" s="47">
        <v>29.68</v>
      </c>
      <c r="S334" s="47">
        <v>29.68</v>
      </c>
      <c r="T334" s="47">
        <v>29.68</v>
      </c>
      <c r="U334" s="47">
        <v>29.68</v>
      </c>
      <c r="V334" s="47">
        <v>29.68</v>
      </c>
      <c r="W334" s="47">
        <v>29.68</v>
      </c>
      <c r="X334" s="47">
        <v>29.68</v>
      </c>
      <c r="Y334" s="47">
        <v>29.68</v>
      </c>
      <c r="Z334" s="47">
        <v>29.68</v>
      </c>
      <c r="AA334" s="47">
        <v>29.68</v>
      </c>
      <c r="AB334" s="45">
        <f t="shared" si="8"/>
        <v>712.32</v>
      </c>
      <c r="AC334" s="37">
        <v>7</v>
      </c>
      <c r="AD334" s="92"/>
    </row>
    <row r="335" spans="2:31">
      <c r="B335" s="90">
        <v>49400</v>
      </c>
      <c r="C335" s="44" t="s">
        <v>32</v>
      </c>
      <c r="D335" s="47">
        <v>29.68</v>
      </c>
      <c r="E335" s="47">
        <v>29.68</v>
      </c>
      <c r="F335" s="47">
        <v>29.68</v>
      </c>
      <c r="G335" s="47">
        <v>29.68</v>
      </c>
      <c r="H335" s="47">
        <v>29.68</v>
      </c>
      <c r="I335" s="47">
        <v>29.68</v>
      </c>
      <c r="J335" s="47">
        <v>29.68</v>
      </c>
      <c r="K335" s="47">
        <v>29.68</v>
      </c>
      <c r="L335" s="47">
        <v>29.68</v>
      </c>
      <c r="M335" s="47">
        <v>29.68</v>
      </c>
      <c r="N335" s="47">
        <v>29.68</v>
      </c>
      <c r="O335" s="47">
        <v>29.68</v>
      </c>
      <c r="P335" s="47">
        <v>29.68</v>
      </c>
      <c r="Q335" s="47">
        <v>29.68</v>
      </c>
      <c r="R335" s="47">
        <v>29.68</v>
      </c>
      <c r="S335" s="47">
        <v>29.68</v>
      </c>
      <c r="T335" s="47">
        <v>29.68</v>
      </c>
      <c r="U335" s="47">
        <v>29.68</v>
      </c>
      <c r="V335" s="47">
        <v>29.68</v>
      </c>
      <c r="W335" s="47">
        <v>29.68</v>
      </c>
      <c r="X335" s="47">
        <v>29.68</v>
      </c>
      <c r="Y335" s="47">
        <v>29.68</v>
      </c>
      <c r="Z335" s="47">
        <v>29.68</v>
      </c>
      <c r="AA335" s="47">
        <v>29.68</v>
      </c>
      <c r="AB335" s="45">
        <f t="shared" si="8"/>
        <v>712.32</v>
      </c>
      <c r="AC335" s="37">
        <v>21</v>
      </c>
      <c r="AD335" s="92">
        <f>+AB335*AC335+AB336*AC336+AB337*AC337</f>
        <v>21369.599999999999</v>
      </c>
    </row>
    <row r="336" spans="2:31">
      <c r="B336" s="90"/>
      <c r="C336" s="44" t="s">
        <v>33</v>
      </c>
      <c r="D336" s="47">
        <v>29.68</v>
      </c>
      <c r="E336" s="47">
        <v>29.68</v>
      </c>
      <c r="F336" s="47">
        <v>29.68</v>
      </c>
      <c r="G336" s="47">
        <v>29.68</v>
      </c>
      <c r="H336" s="47">
        <v>29.68</v>
      </c>
      <c r="I336" s="47">
        <v>29.68</v>
      </c>
      <c r="J336" s="47">
        <v>29.68</v>
      </c>
      <c r="K336" s="47">
        <v>29.68</v>
      </c>
      <c r="L336" s="47">
        <v>29.68</v>
      </c>
      <c r="M336" s="47">
        <v>29.68</v>
      </c>
      <c r="N336" s="47">
        <v>29.68</v>
      </c>
      <c r="O336" s="47">
        <v>29.68</v>
      </c>
      <c r="P336" s="47">
        <v>29.68</v>
      </c>
      <c r="Q336" s="47">
        <v>29.68</v>
      </c>
      <c r="R336" s="47">
        <v>29.68</v>
      </c>
      <c r="S336" s="47">
        <v>29.68</v>
      </c>
      <c r="T336" s="47">
        <v>29.68</v>
      </c>
      <c r="U336" s="47">
        <v>29.68</v>
      </c>
      <c r="V336" s="47">
        <v>29.68</v>
      </c>
      <c r="W336" s="47">
        <v>29.68</v>
      </c>
      <c r="X336" s="47">
        <v>29.68</v>
      </c>
      <c r="Y336" s="47">
        <v>29.68</v>
      </c>
      <c r="Z336" s="47">
        <v>29.68</v>
      </c>
      <c r="AA336" s="47">
        <v>29.68</v>
      </c>
      <c r="AB336" s="45">
        <f t="shared" si="8"/>
        <v>712.32</v>
      </c>
      <c r="AC336" s="37">
        <v>4</v>
      </c>
      <c r="AD336" s="92"/>
    </row>
    <row r="337" spans="2:30">
      <c r="B337" s="90"/>
      <c r="C337" s="44" t="s">
        <v>34</v>
      </c>
      <c r="D337" s="47">
        <v>29.68</v>
      </c>
      <c r="E337" s="47">
        <v>29.68</v>
      </c>
      <c r="F337" s="47">
        <v>29.68</v>
      </c>
      <c r="G337" s="47">
        <v>29.68</v>
      </c>
      <c r="H337" s="47">
        <v>29.68</v>
      </c>
      <c r="I337" s="47">
        <v>29.68</v>
      </c>
      <c r="J337" s="47">
        <v>29.68</v>
      </c>
      <c r="K337" s="47">
        <v>29.68</v>
      </c>
      <c r="L337" s="47">
        <v>29.68</v>
      </c>
      <c r="M337" s="47">
        <v>29.68</v>
      </c>
      <c r="N337" s="47">
        <v>29.68</v>
      </c>
      <c r="O337" s="47">
        <v>29.68</v>
      </c>
      <c r="P337" s="47">
        <v>29.68</v>
      </c>
      <c r="Q337" s="47">
        <v>29.68</v>
      </c>
      <c r="R337" s="47">
        <v>29.68</v>
      </c>
      <c r="S337" s="47">
        <v>29.68</v>
      </c>
      <c r="T337" s="47">
        <v>29.68</v>
      </c>
      <c r="U337" s="47">
        <v>29.68</v>
      </c>
      <c r="V337" s="47">
        <v>29.68</v>
      </c>
      <c r="W337" s="47">
        <v>29.68</v>
      </c>
      <c r="X337" s="47">
        <v>29.68</v>
      </c>
      <c r="Y337" s="47">
        <v>29.68</v>
      </c>
      <c r="Z337" s="47">
        <v>29.68</v>
      </c>
      <c r="AA337" s="47">
        <v>29.68</v>
      </c>
      <c r="AB337" s="45">
        <f t="shared" si="8"/>
        <v>712.32</v>
      </c>
      <c r="AC337" s="37">
        <v>5</v>
      </c>
      <c r="AD337" s="92"/>
    </row>
    <row r="338" spans="2:30">
      <c r="B338" s="90">
        <v>49430</v>
      </c>
      <c r="C338" s="44" t="s">
        <v>32</v>
      </c>
      <c r="D338" s="47">
        <v>29.68</v>
      </c>
      <c r="E338" s="47">
        <v>29.68</v>
      </c>
      <c r="F338" s="47">
        <v>29.68</v>
      </c>
      <c r="G338" s="47">
        <v>29.68</v>
      </c>
      <c r="H338" s="47">
        <v>29.68</v>
      </c>
      <c r="I338" s="47">
        <v>29.68</v>
      </c>
      <c r="J338" s="47">
        <v>29.68</v>
      </c>
      <c r="K338" s="47">
        <v>29.68</v>
      </c>
      <c r="L338" s="47">
        <v>29.68</v>
      </c>
      <c r="M338" s="47">
        <v>29.68</v>
      </c>
      <c r="N338" s="47">
        <v>29.68</v>
      </c>
      <c r="O338" s="47">
        <v>29.68</v>
      </c>
      <c r="P338" s="47">
        <v>29.68</v>
      </c>
      <c r="Q338" s="47">
        <v>29.68</v>
      </c>
      <c r="R338" s="47">
        <v>29.68</v>
      </c>
      <c r="S338" s="47">
        <v>29.68</v>
      </c>
      <c r="T338" s="47">
        <v>29.68</v>
      </c>
      <c r="U338" s="47">
        <v>29.68</v>
      </c>
      <c r="V338" s="47">
        <v>29.68</v>
      </c>
      <c r="W338" s="47">
        <v>29.68</v>
      </c>
      <c r="X338" s="47">
        <v>29.68</v>
      </c>
      <c r="Y338" s="47">
        <v>29.68</v>
      </c>
      <c r="Z338" s="47">
        <v>29.68</v>
      </c>
      <c r="AA338" s="47">
        <v>29.68</v>
      </c>
      <c r="AB338" s="45">
        <f t="shared" si="8"/>
        <v>712.32</v>
      </c>
      <c r="AC338" s="37">
        <v>20</v>
      </c>
      <c r="AD338" s="92">
        <f>+AB338*AC338+AB339*AC339+AB340*AC340</f>
        <v>22081.919999999998</v>
      </c>
    </row>
    <row r="339" spans="2:30">
      <c r="B339" s="90"/>
      <c r="C339" s="44" t="s">
        <v>33</v>
      </c>
      <c r="D339" s="47">
        <v>29.68</v>
      </c>
      <c r="E339" s="47">
        <v>29.68</v>
      </c>
      <c r="F339" s="47">
        <v>29.68</v>
      </c>
      <c r="G339" s="47">
        <v>29.68</v>
      </c>
      <c r="H339" s="47">
        <v>29.68</v>
      </c>
      <c r="I339" s="47">
        <v>29.68</v>
      </c>
      <c r="J339" s="47">
        <v>29.68</v>
      </c>
      <c r="K339" s="47">
        <v>29.68</v>
      </c>
      <c r="L339" s="47">
        <v>29.68</v>
      </c>
      <c r="M339" s="47">
        <v>29.68</v>
      </c>
      <c r="N339" s="47">
        <v>29.68</v>
      </c>
      <c r="O339" s="47">
        <v>29.68</v>
      </c>
      <c r="P339" s="47">
        <v>29.68</v>
      </c>
      <c r="Q339" s="47">
        <v>29.68</v>
      </c>
      <c r="R339" s="47">
        <v>29.68</v>
      </c>
      <c r="S339" s="47">
        <v>29.68</v>
      </c>
      <c r="T339" s="47">
        <v>29.68</v>
      </c>
      <c r="U339" s="47">
        <v>29.68</v>
      </c>
      <c r="V339" s="47">
        <v>29.68</v>
      </c>
      <c r="W339" s="47">
        <v>29.68</v>
      </c>
      <c r="X339" s="47">
        <v>29.68</v>
      </c>
      <c r="Y339" s="47">
        <v>29.68</v>
      </c>
      <c r="Z339" s="47">
        <v>29.68</v>
      </c>
      <c r="AA339" s="47">
        <v>29.68</v>
      </c>
      <c r="AB339" s="45">
        <f t="shared" si="8"/>
        <v>712.32</v>
      </c>
      <c r="AC339" s="37">
        <v>4</v>
      </c>
      <c r="AD339" s="92"/>
    </row>
    <row r="340" spans="2:30">
      <c r="B340" s="90"/>
      <c r="C340" s="44" t="s">
        <v>34</v>
      </c>
      <c r="D340" s="47">
        <v>29.68</v>
      </c>
      <c r="E340" s="47">
        <v>29.68</v>
      </c>
      <c r="F340" s="47">
        <v>29.68</v>
      </c>
      <c r="G340" s="47">
        <v>29.68</v>
      </c>
      <c r="H340" s="47">
        <v>29.68</v>
      </c>
      <c r="I340" s="47">
        <v>29.68</v>
      </c>
      <c r="J340" s="47">
        <v>29.68</v>
      </c>
      <c r="K340" s="47">
        <v>29.68</v>
      </c>
      <c r="L340" s="47">
        <v>29.68</v>
      </c>
      <c r="M340" s="47">
        <v>29.68</v>
      </c>
      <c r="N340" s="47">
        <v>29.68</v>
      </c>
      <c r="O340" s="47">
        <v>29.68</v>
      </c>
      <c r="P340" s="47">
        <v>29.68</v>
      </c>
      <c r="Q340" s="47">
        <v>29.68</v>
      </c>
      <c r="R340" s="47">
        <v>29.68</v>
      </c>
      <c r="S340" s="47">
        <v>29.68</v>
      </c>
      <c r="T340" s="47">
        <v>29.68</v>
      </c>
      <c r="U340" s="47">
        <v>29.68</v>
      </c>
      <c r="V340" s="47">
        <v>29.68</v>
      </c>
      <c r="W340" s="47">
        <v>29.68</v>
      </c>
      <c r="X340" s="47">
        <v>29.68</v>
      </c>
      <c r="Y340" s="47">
        <v>29.68</v>
      </c>
      <c r="Z340" s="47">
        <v>29.68</v>
      </c>
      <c r="AA340" s="47">
        <v>29.68</v>
      </c>
      <c r="AB340" s="45">
        <f t="shared" si="8"/>
        <v>712.32</v>
      </c>
      <c r="AC340" s="37">
        <v>7</v>
      </c>
      <c r="AD340" s="92"/>
    </row>
    <row r="341" spans="2:30">
      <c r="B341" s="90">
        <v>49461</v>
      </c>
      <c r="C341" s="44" t="s">
        <v>32</v>
      </c>
      <c r="D341" s="47">
        <v>29.68</v>
      </c>
      <c r="E341" s="47">
        <v>29.68</v>
      </c>
      <c r="F341" s="47">
        <v>29.68</v>
      </c>
      <c r="G341" s="47">
        <v>29.68</v>
      </c>
      <c r="H341" s="47">
        <v>29.68</v>
      </c>
      <c r="I341" s="47">
        <v>29.68</v>
      </c>
      <c r="J341" s="47">
        <v>29.68</v>
      </c>
      <c r="K341" s="47">
        <v>29.68</v>
      </c>
      <c r="L341" s="47">
        <v>29.68</v>
      </c>
      <c r="M341" s="47">
        <v>29.68</v>
      </c>
      <c r="N341" s="47">
        <v>29.68</v>
      </c>
      <c r="O341" s="47">
        <v>29.68</v>
      </c>
      <c r="P341" s="47">
        <v>29.68</v>
      </c>
      <c r="Q341" s="47">
        <v>29.68</v>
      </c>
      <c r="R341" s="47">
        <v>29.68</v>
      </c>
      <c r="S341" s="47">
        <v>29.68</v>
      </c>
      <c r="T341" s="47">
        <v>29.68</v>
      </c>
      <c r="U341" s="47">
        <v>29.68</v>
      </c>
      <c r="V341" s="47">
        <v>29.68</v>
      </c>
      <c r="W341" s="47">
        <v>29.68</v>
      </c>
      <c r="X341" s="47">
        <v>29.68</v>
      </c>
      <c r="Y341" s="47">
        <v>29.68</v>
      </c>
      <c r="Z341" s="47">
        <v>29.68</v>
      </c>
      <c r="AA341" s="47">
        <v>29.68</v>
      </c>
      <c r="AB341" s="45">
        <f t="shared" si="8"/>
        <v>712.32</v>
      </c>
      <c r="AC341" s="37">
        <v>21</v>
      </c>
      <c r="AD341" s="92">
        <f>+AB341*AC341+AB342*AC342+AB343*AC343</f>
        <v>21369.599999999999</v>
      </c>
    </row>
    <row r="342" spans="2:30">
      <c r="B342" s="90"/>
      <c r="C342" s="44" t="s">
        <v>33</v>
      </c>
      <c r="D342" s="47">
        <v>29.68</v>
      </c>
      <c r="E342" s="47">
        <v>29.68</v>
      </c>
      <c r="F342" s="47">
        <v>29.68</v>
      </c>
      <c r="G342" s="47">
        <v>29.68</v>
      </c>
      <c r="H342" s="47">
        <v>29.68</v>
      </c>
      <c r="I342" s="47">
        <v>29.68</v>
      </c>
      <c r="J342" s="47">
        <v>29.68</v>
      </c>
      <c r="K342" s="47">
        <v>29.68</v>
      </c>
      <c r="L342" s="47">
        <v>29.68</v>
      </c>
      <c r="M342" s="47">
        <v>29.68</v>
      </c>
      <c r="N342" s="47">
        <v>29.68</v>
      </c>
      <c r="O342" s="47">
        <v>29.68</v>
      </c>
      <c r="P342" s="47">
        <v>29.68</v>
      </c>
      <c r="Q342" s="47">
        <v>29.68</v>
      </c>
      <c r="R342" s="47">
        <v>29.68</v>
      </c>
      <c r="S342" s="47">
        <v>29.68</v>
      </c>
      <c r="T342" s="47">
        <v>29.68</v>
      </c>
      <c r="U342" s="47">
        <v>29.68</v>
      </c>
      <c r="V342" s="47">
        <v>29.68</v>
      </c>
      <c r="W342" s="47">
        <v>29.68</v>
      </c>
      <c r="X342" s="47">
        <v>29.68</v>
      </c>
      <c r="Y342" s="47">
        <v>29.68</v>
      </c>
      <c r="Z342" s="47">
        <v>29.68</v>
      </c>
      <c r="AA342" s="47">
        <v>29.68</v>
      </c>
      <c r="AB342" s="45">
        <f t="shared" si="8"/>
        <v>712.32</v>
      </c>
      <c r="AC342" s="37">
        <v>5</v>
      </c>
      <c r="AD342" s="92"/>
    </row>
    <row r="343" spans="2:30">
      <c r="B343" s="90"/>
      <c r="C343" s="44" t="s">
        <v>34</v>
      </c>
      <c r="D343" s="47">
        <v>29.68</v>
      </c>
      <c r="E343" s="47">
        <v>29.68</v>
      </c>
      <c r="F343" s="47">
        <v>29.68</v>
      </c>
      <c r="G343" s="47">
        <v>29.68</v>
      </c>
      <c r="H343" s="47">
        <v>29.68</v>
      </c>
      <c r="I343" s="47">
        <v>29.68</v>
      </c>
      <c r="J343" s="47">
        <v>29.68</v>
      </c>
      <c r="K343" s="47">
        <v>29.68</v>
      </c>
      <c r="L343" s="47">
        <v>29.68</v>
      </c>
      <c r="M343" s="47">
        <v>29.68</v>
      </c>
      <c r="N343" s="47">
        <v>29.68</v>
      </c>
      <c r="O343" s="47">
        <v>29.68</v>
      </c>
      <c r="P343" s="47">
        <v>29.68</v>
      </c>
      <c r="Q343" s="47">
        <v>29.68</v>
      </c>
      <c r="R343" s="47">
        <v>29.68</v>
      </c>
      <c r="S343" s="47">
        <v>29.68</v>
      </c>
      <c r="T343" s="47">
        <v>29.68</v>
      </c>
      <c r="U343" s="47">
        <v>29.68</v>
      </c>
      <c r="V343" s="47">
        <v>29.68</v>
      </c>
      <c r="W343" s="47">
        <v>29.68</v>
      </c>
      <c r="X343" s="47">
        <v>29.68</v>
      </c>
      <c r="Y343" s="47">
        <v>29.68</v>
      </c>
      <c r="Z343" s="47">
        <v>29.68</v>
      </c>
      <c r="AA343" s="47">
        <v>29.68</v>
      </c>
      <c r="AB343" s="45">
        <f t="shared" si="8"/>
        <v>712.32</v>
      </c>
      <c r="AC343" s="37">
        <v>4</v>
      </c>
      <c r="AD343" s="92"/>
    </row>
    <row r="344" spans="2:30">
      <c r="B344" s="90">
        <v>49491</v>
      </c>
      <c r="C344" s="44" t="s">
        <v>32</v>
      </c>
      <c r="D344" s="47">
        <v>29.68</v>
      </c>
      <c r="E344" s="47">
        <v>29.68</v>
      </c>
      <c r="F344" s="47">
        <v>29.68</v>
      </c>
      <c r="G344" s="47">
        <v>29.68</v>
      </c>
      <c r="H344" s="47">
        <v>29.68</v>
      </c>
      <c r="I344" s="47">
        <v>29.68</v>
      </c>
      <c r="J344" s="47">
        <v>29.68</v>
      </c>
      <c r="K344" s="47">
        <v>29.68</v>
      </c>
      <c r="L344" s="47">
        <v>29.68</v>
      </c>
      <c r="M344" s="47">
        <v>29.68</v>
      </c>
      <c r="N344" s="47">
        <v>29.68</v>
      </c>
      <c r="O344" s="47">
        <v>29.68</v>
      </c>
      <c r="P344" s="47">
        <v>29.68</v>
      </c>
      <c r="Q344" s="47">
        <v>29.68</v>
      </c>
      <c r="R344" s="47">
        <v>29.68</v>
      </c>
      <c r="S344" s="47">
        <v>29.68</v>
      </c>
      <c r="T344" s="47">
        <v>29.68</v>
      </c>
      <c r="U344" s="47">
        <v>29.68</v>
      </c>
      <c r="V344" s="47">
        <v>29.68</v>
      </c>
      <c r="W344" s="47">
        <v>29.68</v>
      </c>
      <c r="X344" s="47">
        <v>29.68</v>
      </c>
      <c r="Y344" s="47">
        <v>29.68</v>
      </c>
      <c r="Z344" s="47">
        <v>29.68</v>
      </c>
      <c r="AA344" s="47">
        <v>29.68</v>
      </c>
      <c r="AB344" s="45">
        <f t="shared" si="8"/>
        <v>712.32</v>
      </c>
      <c r="AC344" s="37">
        <v>20</v>
      </c>
      <c r="AD344" s="92">
        <f>+AB344*AC344+AB345*AC345+AB346*AC346</f>
        <v>22081.919999999998</v>
      </c>
    </row>
    <row r="345" spans="2:30">
      <c r="B345" s="90"/>
      <c r="C345" s="44" t="s">
        <v>33</v>
      </c>
      <c r="D345" s="47">
        <v>29.68</v>
      </c>
      <c r="E345" s="47">
        <v>29.68</v>
      </c>
      <c r="F345" s="47">
        <v>29.68</v>
      </c>
      <c r="G345" s="47">
        <v>29.68</v>
      </c>
      <c r="H345" s="47">
        <v>29.68</v>
      </c>
      <c r="I345" s="47">
        <v>29.68</v>
      </c>
      <c r="J345" s="47">
        <v>29.68</v>
      </c>
      <c r="K345" s="47">
        <v>29.68</v>
      </c>
      <c r="L345" s="47">
        <v>29.68</v>
      </c>
      <c r="M345" s="47">
        <v>29.68</v>
      </c>
      <c r="N345" s="47">
        <v>29.68</v>
      </c>
      <c r="O345" s="47">
        <v>29.68</v>
      </c>
      <c r="P345" s="47">
        <v>29.68</v>
      </c>
      <c r="Q345" s="47">
        <v>29.68</v>
      </c>
      <c r="R345" s="47">
        <v>29.68</v>
      </c>
      <c r="S345" s="47">
        <v>29.68</v>
      </c>
      <c r="T345" s="47">
        <v>29.68</v>
      </c>
      <c r="U345" s="47">
        <v>29.68</v>
      </c>
      <c r="V345" s="47">
        <v>29.68</v>
      </c>
      <c r="W345" s="47">
        <v>29.68</v>
      </c>
      <c r="X345" s="47">
        <v>29.68</v>
      </c>
      <c r="Y345" s="47">
        <v>29.68</v>
      </c>
      <c r="Z345" s="47">
        <v>29.68</v>
      </c>
      <c r="AA345" s="47">
        <v>29.68</v>
      </c>
      <c r="AB345" s="45">
        <f t="shared" si="8"/>
        <v>712.32</v>
      </c>
      <c r="AC345" s="37">
        <v>4</v>
      </c>
      <c r="AD345" s="92"/>
    </row>
    <row r="346" spans="2:30">
      <c r="B346" s="90"/>
      <c r="C346" s="44" t="s">
        <v>34</v>
      </c>
      <c r="D346" s="47">
        <v>29.68</v>
      </c>
      <c r="E346" s="47">
        <v>29.68</v>
      </c>
      <c r="F346" s="47">
        <v>29.68</v>
      </c>
      <c r="G346" s="47">
        <v>29.68</v>
      </c>
      <c r="H346" s="47">
        <v>29.68</v>
      </c>
      <c r="I346" s="47">
        <v>29.68</v>
      </c>
      <c r="J346" s="47">
        <v>29.68</v>
      </c>
      <c r="K346" s="47">
        <v>29.68</v>
      </c>
      <c r="L346" s="47">
        <v>29.68</v>
      </c>
      <c r="M346" s="47">
        <v>29.68</v>
      </c>
      <c r="N346" s="47">
        <v>29.68</v>
      </c>
      <c r="O346" s="47">
        <v>29.68</v>
      </c>
      <c r="P346" s="47">
        <v>29.68</v>
      </c>
      <c r="Q346" s="47">
        <v>29.68</v>
      </c>
      <c r="R346" s="47">
        <v>29.68</v>
      </c>
      <c r="S346" s="47">
        <v>29.68</v>
      </c>
      <c r="T346" s="47">
        <v>29.68</v>
      </c>
      <c r="U346" s="47">
        <v>29.68</v>
      </c>
      <c r="V346" s="47">
        <v>29.68</v>
      </c>
      <c r="W346" s="47">
        <v>29.68</v>
      </c>
      <c r="X346" s="47">
        <v>29.68</v>
      </c>
      <c r="Y346" s="47">
        <v>29.68</v>
      </c>
      <c r="Z346" s="47">
        <v>29.68</v>
      </c>
      <c r="AA346" s="47">
        <v>29.68</v>
      </c>
      <c r="AB346" s="45">
        <f t="shared" si="8"/>
        <v>712.32</v>
      </c>
      <c r="AC346" s="37">
        <v>7</v>
      </c>
      <c r="AD346" s="92"/>
    </row>
    <row r="347" spans="2:30">
      <c r="B347" s="90">
        <v>49522</v>
      </c>
      <c r="C347" s="44" t="s">
        <v>32</v>
      </c>
      <c r="D347" s="47">
        <v>29.68</v>
      </c>
      <c r="E347" s="47">
        <v>29.68</v>
      </c>
      <c r="F347" s="47">
        <v>29.68</v>
      </c>
      <c r="G347" s="47">
        <v>29.68</v>
      </c>
      <c r="H347" s="47">
        <v>29.68</v>
      </c>
      <c r="I347" s="47">
        <v>29.68</v>
      </c>
      <c r="J347" s="47">
        <v>29.68</v>
      </c>
      <c r="K347" s="47">
        <v>29.68</v>
      </c>
      <c r="L347" s="47">
        <v>29.68</v>
      </c>
      <c r="M347" s="47">
        <v>29.68</v>
      </c>
      <c r="N347" s="47">
        <v>29.68</v>
      </c>
      <c r="O347" s="47">
        <v>29.68</v>
      </c>
      <c r="P347" s="47">
        <v>29.68</v>
      </c>
      <c r="Q347" s="47">
        <v>29.68</v>
      </c>
      <c r="R347" s="47">
        <v>29.68</v>
      </c>
      <c r="S347" s="47">
        <v>29.68</v>
      </c>
      <c r="T347" s="47">
        <v>29.68</v>
      </c>
      <c r="U347" s="47">
        <v>29.68</v>
      </c>
      <c r="V347" s="47">
        <v>29.68</v>
      </c>
      <c r="W347" s="47">
        <v>29.68</v>
      </c>
      <c r="X347" s="47">
        <v>29.68</v>
      </c>
      <c r="Y347" s="47">
        <v>29.68</v>
      </c>
      <c r="Z347" s="47">
        <v>29.68</v>
      </c>
      <c r="AA347" s="47">
        <v>29.68</v>
      </c>
      <c r="AB347" s="45">
        <f t="shared" si="8"/>
        <v>712.32</v>
      </c>
      <c r="AC347" s="37">
        <v>21</v>
      </c>
      <c r="AD347" s="92">
        <f>+AB347*AC347+AB348*AC348+AB349*AC349</f>
        <v>22081.919999999998</v>
      </c>
    </row>
    <row r="348" spans="2:30">
      <c r="B348" s="90"/>
      <c r="C348" s="44" t="s">
        <v>33</v>
      </c>
      <c r="D348" s="47">
        <v>29.68</v>
      </c>
      <c r="E348" s="47">
        <v>29.68</v>
      </c>
      <c r="F348" s="47">
        <v>29.68</v>
      </c>
      <c r="G348" s="47">
        <v>29.68</v>
      </c>
      <c r="H348" s="47">
        <v>29.68</v>
      </c>
      <c r="I348" s="47">
        <v>29.68</v>
      </c>
      <c r="J348" s="47">
        <v>29.68</v>
      </c>
      <c r="K348" s="47">
        <v>29.68</v>
      </c>
      <c r="L348" s="47">
        <v>29.68</v>
      </c>
      <c r="M348" s="47">
        <v>29.68</v>
      </c>
      <c r="N348" s="47">
        <v>29.68</v>
      </c>
      <c r="O348" s="47">
        <v>29.68</v>
      </c>
      <c r="P348" s="47">
        <v>29.68</v>
      </c>
      <c r="Q348" s="47">
        <v>29.68</v>
      </c>
      <c r="R348" s="47">
        <v>29.68</v>
      </c>
      <c r="S348" s="47">
        <v>29.68</v>
      </c>
      <c r="T348" s="47">
        <v>29.68</v>
      </c>
      <c r="U348" s="47">
        <v>29.68</v>
      </c>
      <c r="V348" s="47">
        <v>29.68</v>
      </c>
      <c r="W348" s="47">
        <v>29.68</v>
      </c>
      <c r="X348" s="47">
        <v>29.68</v>
      </c>
      <c r="Y348" s="47">
        <v>29.68</v>
      </c>
      <c r="Z348" s="47">
        <v>29.68</v>
      </c>
      <c r="AA348" s="47">
        <v>29.68</v>
      </c>
      <c r="AB348" s="45">
        <f t="shared" si="8"/>
        <v>712.32</v>
      </c>
      <c r="AC348" s="37">
        <v>4</v>
      </c>
      <c r="AD348" s="92"/>
    </row>
    <row r="349" spans="2:30">
      <c r="B349" s="90"/>
      <c r="C349" s="44" t="s">
        <v>34</v>
      </c>
      <c r="D349" s="47">
        <v>29.68</v>
      </c>
      <c r="E349" s="47">
        <v>29.68</v>
      </c>
      <c r="F349" s="47">
        <v>29.68</v>
      </c>
      <c r="G349" s="47">
        <v>29.68</v>
      </c>
      <c r="H349" s="47">
        <v>29.68</v>
      </c>
      <c r="I349" s="47">
        <v>29.68</v>
      </c>
      <c r="J349" s="47">
        <v>29.68</v>
      </c>
      <c r="K349" s="47">
        <v>29.68</v>
      </c>
      <c r="L349" s="47">
        <v>29.68</v>
      </c>
      <c r="M349" s="47">
        <v>29.68</v>
      </c>
      <c r="N349" s="47">
        <v>29.68</v>
      </c>
      <c r="O349" s="47">
        <v>29.68</v>
      </c>
      <c r="P349" s="47">
        <v>29.68</v>
      </c>
      <c r="Q349" s="47">
        <v>29.68</v>
      </c>
      <c r="R349" s="47">
        <v>29.68</v>
      </c>
      <c r="S349" s="47">
        <v>29.68</v>
      </c>
      <c r="T349" s="47">
        <v>29.68</v>
      </c>
      <c r="U349" s="47">
        <v>29.68</v>
      </c>
      <c r="V349" s="47">
        <v>29.68</v>
      </c>
      <c r="W349" s="47">
        <v>29.68</v>
      </c>
      <c r="X349" s="47">
        <v>29.68</v>
      </c>
      <c r="Y349" s="47">
        <v>29.68</v>
      </c>
      <c r="Z349" s="47">
        <v>29.68</v>
      </c>
      <c r="AA349" s="47">
        <v>29.68</v>
      </c>
      <c r="AB349" s="45">
        <f t="shared" si="8"/>
        <v>712.32</v>
      </c>
      <c r="AC349" s="37">
        <v>6</v>
      </c>
      <c r="AD349" s="92"/>
    </row>
    <row r="350" spans="2:30">
      <c r="B350" s="90">
        <v>49553</v>
      </c>
      <c r="C350" s="44" t="s">
        <v>32</v>
      </c>
      <c r="D350" s="47">
        <v>29.68</v>
      </c>
      <c r="E350" s="47">
        <v>29.68</v>
      </c>
      <c r="F350" s="47">
        <v>29.68</v>
      </c>
      <c r="G350" s="47">
        <v>29.68</v>
      </c>
      <c r="H350" s="47">
        <v>29.68</v>
      </c>
      <c r="I350" s="47">
        <v>29.68</v>
      </c>
      <c r="J350" s="47">
        <v>29.68</v>
      </c>
      <c r="K350" s="47">
        <v>29.68</v>
      </c>
      <c r="L350" s="47">
        <v>29.68</v>
      </c>
      <c r="M350" s="47">
        <v>29.68</v>
      </c>
      <c r="N350" s="47">
        <v>29.68</v>
      </c>
      <c r="O350" s="47">
        <v>29.68</v>
      </c>
      <c r="P350" s="47">
        <v>29.68</v>
      </c>
      <c r="Q350" s="47">
        <v>29.68</v>
      </c>
      <c r="R350" s="47">
        <v>29.68</v>
      </c>
      <c r="S350" s="47">
        <v>29.68</v>
      </c>
      <c r="T350" s="47">
        <v>29.68</v>
      </c>
      <c r="U350" s="47">
        <v>29.68</v>
      </c>
      <c r="V350" s="47">
        <v>29.68</v>
      </c>
      <c r="W350" s="47">
        <v>29.68</v>
      </c>
      <c r="X350" s="47">
        <v>29.68</v>
      </c>
      <c r="Y350" s="47">
        <v>29.68</v>
      </c>
      <c r="Z350" s="47">
        <v>29.68</v>
      </c>
      <c r="AA350" s="47">
        <v>29.68</v>
      </c>
      <c r="AB350" s="45">
        <f t="shared" si="8"/>
        <v>712.32</v>
      </c>
      <c r="AC350" s="37">
        <v>20</v>
      </c>
      <c r="AD350" s="92">
        <f>+AB350*AC350+AB351*AC351+AB352*AC352</f>
        <v>21369.599999999999</v>
      </c>
    </row>
    <row r="351" spans="2:30">
      <c r="B351" s="90"/>
      <c r="C351" s="44" t="s">
        <v>33</v>
      </c>
      <c r="D351" s="47">
        <v>29.68</v>
      </c>
      <c r="E351" s="47">
        <v>29.68</v>
      </c>
      <c r="F351" s="47">
        <v>29.68</v>
      </c>
      <c r="G351" s="47">
        <v>29.68</v>
      </c>
      <c r="H351" s="47">
        <v>29.68</v>
      </c>
      <c r="I351" s="47">
        <v>29.68</v>
      </c>
      <c r="J351" s="47">
        <v>29.68</v>
      </c>
      <c r="K351" s="47">
        <v>29.68</v>
      </c>
      <c r="L351" s="47">
        <v>29.68</v>
      </c>
      <c r="M351" s="47">
        <v>29.68</v>
      </c>
      <c r="N351" s="47">
        <v>29.68</v>
      </c>
      <c r="O351" s="47">
        <v>29.68</v>
      </c>
      <c r="P351" s="47">
        <v>29.68</v>
      </c>
      <c r="Q351" s="47">
        <v>29.68</v>
      </c>
      <c r="R351" s="47">
        <v>29.68</v>
      </c>
      <c r="S351" s="47">
        <v>29.68</v>
      </c>
      <c r="T351" s="47">
        <v>29.68</v>
      </c>
      <c r="U351" s="47">
        <v>29.68</v>
      </c>
      <c r="V351" s="47">
        <v>29.68</v>
      </c>
      <c r="W351" s="47">
        <v>29.68</v>
      </c>
      <c r="X351" s="47">
        <v>29.68</v>
      </c>
      <c r="Y351" s="47">
        <v>29.68</v>
      </c>
      <c r="Z351" s="47">
        <v>29.68</v>
      </c>
      <c r="AA351" s="47">
        <v>29.68</v>
      </c>
      <c r="AB351" s="45">
        <f t="shared" si="8"/>
        <v>712.32</v>
      </c>
      <c r="AC351" s="37">
        <v>5</v>
      </c>
      <c r="AD351" s="92"/>
    </row>
    <row r="352" spans="2:30">
      <c r="B352" s="90"/>
      <c r="C352" s="44" t="s">
        <v>34</v>
      </c>
      <c r="D352" s="47">
        <v>29.68</v>
      </c>
      <c r="E352" s="47">
        <v>29.68</v>
      </c>
      <c r="F352" s="47">
        <v>29.68</v>
      </c>
      <c r="G352" s="47">
        <v>29.68</v>
      </c>
      <c r="H352" s="47">
        <v>29.68</v>
      </c>
      <c r="I352" s="47">
        <v>29.68</v>
      </c>
      <c r="J352" s="47">
        <v>29.68</v>
      </c>
      <c r="K352" s="47">
        <v>29.68</v>
      </c>
      <c r="L352" s="47">
        <v>29.68</v>
      </c>
      <c r="M352" s="47">
        <v>29.68</v>
      </c>
      <c r="N352" s="47">
        <v>29.68</v>
      </c>
      <c r="O352" s="47">
        <v>29.68</v>
      </c>
      <c r="P352" s="47">
        <v>29.68</v>
      </c>
      <c r="Q352" s="47">
        <v>29.68</v>
      </c>
      <c r="R352" s="47">
        <v>29.68</v>
      </c>
      <c r="S352" s="47">
        <v>29.68</v>
      </c>
      <c r="T352" s="47">
        <v>29.68</v>
      </c>
      <c r="U352" s="47">
        <v>29.68</v>
      </c>
      <c r="V352" s="47">
        <v>29.68</v>
      </c>
      <c r="W352" s="47">
        <v>29.68</v>
      </c>
      <c r="X352" s="47">
        <v>29.68</v>
      </c>
      <c r="Y352" s="47">
        <v>29.68</v>
      </c>
      <c r="Z352" s="47">
        <v>29.68</v>
      </c>
      <c r="AA352" s="47">
        <v>29.68</v>
      </c>
      <c r="AB352" s="45">
        <f t="shared" si="8"/>
        <v>712.32</v>
      </c>
      <c r="AC352" s="37">
        <v>5</v>
      </c>
      <c r="AD352" s="92"/>
    </row>
    <row r="353" spans="2:31">
      <c r="B353" s="90">
        <v>49583</v>
      </c>
      <c r="C353" s="44" t="s">
        <v>32</v>
      </c>
      <c r="D353" s="47">
        <v>29.68</v>
      </c>
      <c r="E353" s="47">
        <v>29.68</v>
      </c>
      <c r="F353" s="47">
        <v>29.68</v>
      </c>
      <c r="G353" s="47">
        <v>29.68</v>
      </c>
      <c r="H353" s="47">
        <v>29.68</v>
      </c>
      <c r="I353" s="47">
        <v>29.68</v>
      </c>
      <c r="J353" s="47">
        <v>29.68</v>
      </c>
      <c r="K353" s="47">
        <v>29.68</v>
      </c>
      <c r="L353" s="47">
        <v>29.68</v>
      </c>
      <c r="M353" s="47">
        <v>29.68</v>
      </c>
      <c r="N353" s="47">
        <v>29.68</v>
      </c>
      <c r="O353" s="47">
        <v>29.68</v>
      </c>
      <c r="P353" s="47">
        <v>29.68</v>
      </c>
      <c r="Q353" s="47">
        <v>29.68</v>
      </c>
      <c r="R353" s="47">
        <v>29.68</v>
      </c>
      <c r="S353" s="47">
        <v>29.68</v>
      </c>
      <c r="T353" s="47">
        <v>29.68</v>
      </c>
      <c r="U353" s="47">
        <v>29.68</v>
      </c>
      <c r="V353" s="47">
        <v>29.68</v>
      </c>
      <c r="W353" s="47">
        <v>29.68</v>
      </c>
      <c r="X353" s="47">
        <v>29.68</v>
      </c>
      <c r="Y353" s="47">
        <v>29.68</v>
      </c>
      <c r="Z353" s="47">
        <v>29.68</v>
      </c>
      <c r="AA353" s="47">
        <v>29.68</v>
      </c>
      <c r="AB353" s="45">
        <f t="shared" si="8"/>
        <v>712.32</v>
      </c>
      <c r="AC353" s="37">
        <v>22</v>
      </c>
      <c r="AD353" s="92">
        <f>+AB353*AC353+AB354*AC354+AB355*AC355</f>
        <v>22081.919999999998</v>
      </c>
    </row>
    <row r="354" spans="2:31">
      <c r="B354" s="90"/>
      <c r="C354" s="44" t="s">
        <v>33</v>
      </c>
      <c r="D354" s="47">
        <v>29.68</v>
      </c>
      <c r="E354" s="47">
        <v>29.68</v>
      </c>
      <c r="F354" s="47">
        <v>29.68</v>
      </c>
      <c r="G354" s="47">
        <v>29.68</v>
      </c>
      <c r="H354" s="47">
        <v>29.68</v>
      </c>
      <c r="I354" s="47">
        <v>29.68</v>
      </c>
      <c r="J354" s="47">
        <v>29.68</v>
      </c>
      <c r="K354" s="47">
        <v>29.68</v>
      </c>
      <c r="L354" s="47">
        <v>29.68</v>
      </c>
      <c r="M354" s="47">
        <v>29.68</v>
      </c>
      <c r="N354" s="47">
        <v>29.68</v>
      </c>
      <c r="O354" s="47">
        <v>29.68</v>
      </c>
      <c r="P354" s="47">
        <v>29.68</v>
      </c>
      <c r="Q354" s="47">
        <v>29.68</v>
      </c>
      <c r="R354" s="47">
        <v>29.68</v>
      </c>
      <c r="S354" s="47">
        <v>29.68</v>
      </c>
      <c r="T354" s="47">
        <v>29.68</v>
      </c>
      <c r="U354" s="47">
        <v>29.68</v>
      </c>
      <c r="V354" s="47">
        <v>29.68</v>
      </c>
      <c r="W354" s="47">
        <v>29.68</v>
      </c>
      <c r="X354" s="47">
        <v>29.68</v>
      </c>
      <c r="Y354" s="47">
        <v>29.68</v>
      </c>
      <c r="Z354" s="47">
        <v>29.68</v>
      </c>
      <c r="AA354" s="47">
        <v>29.68</v>
      </c>
      <c r="AB354" s="45">
        <f t="shared" si="8"/>
        <v>712.32</v>
      </c>
      <c r="AC354" s="37">
        <v>4</v>
      </c>
      <c r="AD354" s="92"/>
    </row>
    <row r="355" spans="2:31">
      <c r="B355" s="90"/>
      <c r="C355" s="44" t="s">
        <v>34</v>
      </c>
      <c r="D355" s="47">
        <v>29.68</v>
      </c>
      <c r="E355" s="47">
        <v>29.68</v>
      </c>
      <c r="F355" s="47">
        <v>29.68</v>
      </c>
      <c r="G355" s="47">
        <v>29.68</v>
      </c>
      <c r="H355" s="47">
        <v>29.68</v>
      </c>
      <c r="I355" s="47">
        <v>29.68</v>
      </c>
      <c r="J355" s="47">
        <v>29.68</v>
      </c>
      <c r="K355" s="47">
        <v>29.68</v>
      </c>
      <c r="L355" s="47">
        <v>29.68</v>
      </c>
      <c r="M355" s="47">
        <v>29.68</v>
      </c>
      <c r="N355" s="47">
        <v>29.68</v>
      </c>
      <c r="O355" s="47">
        <v>29.68</v>
      </c>
      <c r="P355" s="47">
        <v>29.68</v>
      </c>
      <c r="Q355" s="47">
        <v>29.68</v>
      </c>
      <c r="R355" s="47">
        <v>29.68</v>
      </c>
      <c r="S355" s="47">
        <v>29.68</v>
      </c>
      <c r="T355" s="47">
        <v>29.68</v>
      </c>
      <c r="U355" s="47">
        <v>29.68</v>
      </c>
      <c r="V355" s="47">
        <v>29.68</v>
      </c>
      <c r="W355" s="47">
        <v>29.68</v>
      </c>
      <c r="X355" s="47">
        <v>29.68</v>
      </c>
      <c r="Y355" s="47">
        <v>29.68</v>
      </c>
      <c r="Z355" s="47">
        <v>29.68</v>
      </c>
      <c r="AA355" s="47">
        <v>29.68</v>
      </c>
      <c r="AB355" s="45">
        <f t="shared" si="8"/>
        <v>712.32</v>
      </c>
      <c r="AC355" s="37">
        <v>5</v>
      </c>
      <c r="AD355" s="92"/>
    </row>
    <row r="356" spans="2:31">
      <c r="B356" s="90">
        <v>49614</v>
      </c>
      <c r="C356" s="44" t="s">
        <v>32</v>
      </c>
      <c r="D356" s="47">
        <v>29.68</v>
      </c>
      <c r="E356" s="47">
        <v>29.68</v>
      </c>
      <c r="F356" s="47">
        <v>29.68</v>
      </c>
      <c r="G356" s="47">
        <v>29.68</v>
      </c>
      <c r="H356" s="47">
        <v>29.68</v>
      </c>
      <c r="I356" s="47">
        <v>29.68</v>
      </c>
      <c r="J356" s="47">
        <v>29.68</v>
      </c>
      <c r="K356" s="47">
        <v>29.68</v>
      </c>
      <c r="L356" s="47">
        <v>29.68</v>
      </c>
      <c r="M356" s="47">
        <v>29.68</v>
      </c>
      <c r="N356" s="47">
        <v>29.68</v>
      </c>
      <c r="O356" s="47">
        <v>29.68</v>
      </c>
      <c r="P356" s="47">
        <v>29.68</v>
      </c>
      <c r="Q356" s="47">
        <v>29.68</v>
      </c>
      <c r="R356" s="47">
        <v>29.68</v>
      </c>
      <c r="S356" s="47">
        <v>29.68</v>
      </c>
      <c r="T356" s="47">
        <v>29.68</v>
      </c>
      <c r="U356" s="47">
        <v>29.68</v>
      </c>
      <c r="V356" s="47">
        <v>29.68</v>
      </c>
      <c r="W356" s="47">
        <v>29.68</v>
      </c>
      <c r="X356" s="47">
        <v>29.68</v>
      </c>
      <c r="Y356" s="47">
        <v>29.68</v>
      </c>
      <c r="Z356" s="47">
        <v>29.68</v>
      </c>
      <c r="AA356" s="47">
        <v>29.68</v>
      </c>
      <c r="AB356" s="45">
        <f t="shared" si="8"/>
        <v>712.32</v>
      </c>
      <c r="AC356" s="37">
        <v>20</v>
      </c>
      <c r="AD356" s="92">
        <f>+AB356*AC356+AB357*AC357+AB358*AC358</f>
        <v>21369.599999999999</v>
      </c>
    </row>
    <row r="357" spans="2:31">
      <c r="B357" s="90"/>
      <c r="C357" s="44" t="s">
        <v>33</v>
      </c>
      <c r="D357" s="47">
        <v>29.68</v>
      </c>
      <c r="E357" s="47">
        <v>29.68</v>
      </c>
      <c r="F357" s="47">
        <v>29.68</v>
      </c>
      <c r="G357" s="47">
        <v>29.68</v>
      </c>
      <c r="H357" s="47">
        <v>29.68</v>
      </c>
      <c r="I357" s="47">
        <v>29.68</v>
      </c>
      <c r="J357" s="47">
        <v>29.68</v>
      </c>
      <c r="K357" s="47">
        <v>29.68</v>
      </c>
      <c r="L357" s="47">
        <v>29.68</v>
      </c>
      <c r="M357" s="47">
        <v>29.68</v>
      </c>
      <c r="N357" s="47">
        <v>29.68</v>
      </c>
      <c r="O357" s="47">
        <v>29.68</v>
      </c>
      <c r="P357" s="47">
        <v>29.68</v>
      </c>
      <c r="Q357" s="47">
        <v>29.68</v>
      </c>
      <c r="R357" s="47">
        <v>29.68</v>
      </c>
      <c r="S357" s="47">
        <v>29.68</v>
      </c>
      <c r="T357" s="47">
        <v>29.68</v>
      </c>
      <c r="U357" s="47">
        <v>29.68</v>
      </c>
      <c r="V357" s="47">
        <v>29.68</v>
      </c>
      <c r="W357" s="47">
        <v>29.68</v>
      </c>
      <c r="X357" s="47">
        <v>29.68</v>
      </c>
      <c r="Y357" s="47">
        <v>29.68</v>
      </c>
      <c r="Z357" s="47">
        <v>29.68</v>
      </c>
      <c r="AA357" s="47">
        <v>29.68</v>
      </c>
      <c r="AB357" s="45">
        <f t="shared" si="8"/>
        <v>712.32</v>
      </c>
      <c r="AC357" s="37">
        <v>4</v>
      </c>
      <c r="AD357" s="92"/>
    </row>
    <row r="358" spans="2:31">
      <c r="B358" s="90"/>
      <c r="C358" s="44" t="s">
        <v>34</v>
      </c>
      <c r="D358" s="47">
        <v>29.68</v>
      </c>
      <c r="E358" s="47">
        <v>29.68</v>
      </c>
      <c r="F358" s="47">
        <v>29.68</v>
      </c>
      <c r="G358" s="47">
        <v>29.68</v>
      </c>
      <c r="H358" s="47">
        <v>29.68</v>
      </c>
      <c r="I358" s="47">
        <v>29.68</v>
      </c>
      <c r="J358" s="47">
        <v>29.68</v>
      </c>
      <c r="K358" s="47">
        <v>29.68</v>
      </c>
      <c r="L358" s="47">
        <v>29.68</v>
      </c>
      <c r="M358" s="47">
        <v>29.68</v>
      </c>
      <c r="N358" s="47">
        <v>29.68</v>
      </c>
      <c r="O358" s="47">
        <v>29.68</v>
      </c>
      <c r="P358" s="47">
        <v>29.68</v>
      </c>
      <c r="Q358" s="47">
        <v>29.68</v>
      </c>
      <c r="R358" s="47">
        <v>29.68</v>
      </c>
      <c r="S358" s="47">
        <v>29.68</v>
      </c>
      <c r="T358" s="47">
        <v>29.68</v>
      </c>
      <c r="U358" s="47">
        <v>29.68</v>
      </c>
      <c r="V358" s="47">
        <v>29.68</v>
      </c>
      <c r="W358" s="47">
        <v>29.68</v>
      </c>
      <c r="X358" s="47">
        <v>29.68</v>
      </c>
      <c r="Y358" s="47">
        <v>29.68</v>
      </c>
      <c r="Z358" s="47">
        <v>29.68</v>
      </c>
      <c r="AA358" s="47">
        <v>29.68</v>
      </c>
      <c r="AB358" s="45">
        <f t="shared" si="8"/>
        <v>712.32</v>
      </c>
      <c r="AC358" s="37">
        <v>6</v>
      </c>
      <c r="AD358" s="92"/>
    </row>
    <row r="359" spans="2:31">
      <c r="B359" s="90">
        <v>49644</v>
      </c>
      <c r="C359" s="44" t="s">
        <v>32</v>
      </c>
      <c r="D359" s="47">
        <v>29.68</v>
      </c>
      <c r="E359" s="47">
        <v>29.68</v>
      </c>
      <c r="F359" s="47">
        <v>29.68</v>
      </c>
      <c r="G359" s="47">
        <v>29.68</v>
      </c>
      <c r="H359" s="47">
        <v>29.68</v>
      </c>
      <c r="I359" s="47">
        <v>29.68</v>
      </c>
      <c r="J359" s="47">
        <v>29.68</v>
      </c>
      <c r="K359" s="47">
        <v>29.68</v>
      </c>
      <c r="L359" s="47">
        <v>29.68</v>
      </c>
      <c r="M359" s="47">
        <v>29.68</v>
      </c>
      <c r="N359" s="47">
        <v>29.68</v>
      </c>
      <c r="O359" s="47">
        <v>29.68</v>
      </c>
      <c r="P359" s="47">
        <v>29.68</v>
      </c>
      <c r="Q359" s="47">
        <v>29.68</v>
      </c>
      <c r="R359" s="47">
        <v>29.68</v>
      </c>
      <c r="S359" s="47">
        <v>29.68</v>
      </c>
      <c r="T359" s="47">
        <v>29.68</v>
      </c>
      <c r="U359" s="47">
        <v>29.68</v>
      </c>
      <c r="V359" s="47">
        <v>29.68</v>
      </c>
      <c r="W359" s="47">
        <v>29.68</v>
      </c>
      <c r="X359" s="47">
        <v>29.68</v>
      </c>
      <c r="Y359" s="47">
        <v>29.68</v>
      </c>
      <c r="Z359" s="47">
        <v>29.68</v>
      </c>
      <c r="AA359" s="47">
        <v>29.68</v>
      </c>
      <c r="AB359" s="45">
        <f t="shared" si="8"/>
        <v>712.32</v>
      </c>
      <c r="AC359" s="37">
        <v>20</v>
      </c>
      <c r="AD359" s="92">
        <f>+AB359*AC359+AB360*AC360+AB361*AC361</f>
        <v>22081.919999999998</v>
      </c>
    </row>
    <row r="360" spans="2:31">
      <c r="B360" s="90"/>
      <c r="C360" s="44" t="s">
        <v>33</v>
      </c>
      <c r="D360" s="47">
        <v>29.68</v>
      </c>
      <c r="E360" s="47">
        <v>29.68</v>
      </c>
      <c r="F360" s="47">
        <v>29.68</v>
      </c>
      <c r="G360" s="47">
        <v>29.68</v>
      </c>
      <c r="H360" s="47">
        <v>29.68</v>
      </c>
      <c r="I360" s="47">
        <v>29.68</v>
      </c>
      <c r="J360" s="47">
        <v>29.68</v>
      </c>
      <c r="K360" s="47">
        <v>29.68</v>
      </c>
      <c r="L360" s="47">
        <v>29.68</v>
      </c>
      <c r="M360" s="47">
        <v>29.68</v>
      </c>
      <c r="N360" s="47">
        <v>29.68</v>
      </c>
      <c r="O360" s="47">
        <v>29.68</v>
      </c>
      <c r="P360" s="47">
        <v>29.68</v>
      </c>
      <c r="Q360" s="47">
        <v>29.68</v>
      </c>
      <c r="R360" s="47">
        <v>29.68</v>
      </c>
      <c r="S360" s="47">
        <v>29.68</v>
      </c>
      <c r="T360" s="47">
        <v>29.68</v>
      </c>
      <c r="U360" s="47">
        <v>29.68</v>
      </c>
      <c r="V360" s="47">
        <v>29.68</v>
      </c>
      <c r="W360" s="47">
        <v>29.68</v>
      </c>
      <c r="X360" s="47">
        <v>29.68</v>
      </c>
      <c r="Y360" s="47">
        <v>29.68</v>
      </c>
      <c r="Z360" s="47">
        <v>29.68</v>
      </c>
      <c r="AA360" s="47">
        <v>29.68</v>
      </c>
      <c r="AB360" s="45">
        <f t="shared" si="8"/>
        <v>712.32</v>
      </c>
      <c r="AC360" s="37">
        <v>4</v>
      </c>
      <c r="AD360" s="92"/>
    </row>
    <row r="361" spans="2:31">
      <c r="B361" s="90"/>
      <c r="C361" s="44" t="s">
        <v>34</v>
      </c>
      <c r="D361" s="47">
        <v>29.68</v>
      </c>
      <c r="E361" s="47">
        <v>29.68</v>
      </c>
      <c r="F361" s="47">
        <v>29.68</v>
      </c>
      <c r="G361" s="47">
        <v>29.68</v>
      </c>
      <c r="H361" s="47">
        <v>29.68</v>
      </c>
      <c r="I361" s="47">
        <v>29.68</v>
      </c>
      <c r="J361" s="47">
        <v>29.68</v>
      </c>
      <c r="K361" s="47">
        <v>29.68</v>
      </c>
      <c r="L361" s="47">
        <v>29.68</v>
      </c>
      <c r="M361" s="47">
        <v>29.68</v>
      </c>
      <c r="N361" s="47">
        <v>29.68</v>
      </c>
      <c r="O361" s="47">
        <v>29.68</v>
      </c>
      <c r="P361" s="47">
        <v>29.68</v>
      </c>
      <c r="Q361" s="47">
        <v>29.68</v>
      </c>
      <c r="R361" s="47">
        <v>29.68</v>
      </c>
      <c r="S361" s="47">
        <v>29.68</v>
      </c>
      <c r="T361" s="47">
        <v>29.68</v>
      </c>
      <c r="U361" s="47">
        <v>29.68</v>
      </c>
      <c r="V361" s="47">
        <v>29.68</v>
      </c>
      <c r="W361" s="47">
        <v>29.68</v>
      </c>
      <c r="X361" s="47">
        <v>29.68</v>
      </c>
      <c r="Y361" s="47">
        <v>29.68</v>
      </c>
      <c r="Z361" s="47">
        <v>29.68</v>
      </c>
      <c r="AA361" s="47">
        <v>29.68</v>
      </c>
      <c r="AB361" s="45">
        <f t="shared" si="8"/>
        <v>712.32</v>
      </c>
      <c r="AC361" s="37">
        <v>7</v>
      </c>
      <c r="AD361" s="92"/>
    </row>
    <row r="362" spans="2:31"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86" t="s">
        <v>35</v>
      </c>
      <c r="AB362" s="87"/>
      <c r="AC362" s="88"/>
      <c r="AD362" s="39">
        <f>SUM(AD326:AD361)</f>
        <v>259996.79999999999</v>
      </c>
    </row>
    <row r="363" spans="2:31"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 spans="2:31" ht="23.25">
      <c r="B364" s="41" t="s">
        <v>44</v>
      </c>
    </row>
    <row r="365" spans="2:31">
      <c r="B365" s="42" t="s">
        <v>3</v>
      </c>
      <c r="C365" s="42" t="s">
        <v>4</v>
      </c>
      <c r="D365" s="42" t="s">
        <v>5</v>
      </c>
      <c r="E365" s="42" t="s">
        <v>6</v>
      </c>
      <c r="F365" s="42" t="s">
        <v>7</v>
      </c>
      <c r="G365" s="42" t="s">
        <v>8</v>
      </c>
      <c r="H365" s="42" t="s">
        <v>9</v>
      </c>
      <c r="I365" s="42" t="s">
        <v>10</v>
      </c>
      <c r="J365" s="42" t="s">
        <v>11</v>
      </c>
      <c r="K365" s="42" t="s">
        <v>12</v>
      </c>
      <c r="L365" s="42" t="s">
        <v>13</v>
      </c>
      <c r="M365" s="42" t="s">
        <v>14</v>
      </c>
      <c r="N365" s="42" t="s">
        <v>15</v>
      </c>
      <c r="O365" s="42" t="s">
        <v>16</v>
      </c>
      <c r="P365" s="42" t="s">
        <v>17</v>
      </c>
      <c r="Q365" s="42" t="s">
        <v>18</v>
      </c>
      <c r="R365" s="42" t="s">
        <v>19</v>
      </c>
      <c r="S365" s="42" t="s">
        <v>20</v>
      </c>
      <c r="T365" s="42" t="s">
        <v>21</v>
      </c>
      <c r="U365" s="42" t="s">
        <v>22</v>
      </c>
      <c r="V365" s="42" t="s">
        <v>23</v>
      </c>
      <c r="W365" s="42" t="s">
        <v>24</v>
      </c>
      <c r="X365" s="42" t="s">
        <v>25</v>
      </c>
      <c r="Y365" s="42" t="s">
        <v>26</v>
      </c>
      <c r="Z365" s="42" t="s">
        <v>27</v>
      </c>
      <c r="AA365" s="42" t="s">
        <v>28</v>
      </c>
      <c r="AB365" s="36" t="s">
        <v>29</v>
      </c>
      <c r="AC365" s="43" t="s">
        <v>30</v>
      </c>
      <c r="AD365" s="42" t="s">
        <v>31</v>
      </c>
    </row>
    <row r="366" spans="2:31">
      <c r="B366" s="90">
        <v>49675</v>
      </c>
      <c r="C366" s="44" t="s">
        <v>32</v>
      </c>
      <c r="D366" s="47">
        <v>29.68</v>
      </c>
      <c r="E366" s="47">
        <v>29.68</v>
      </c>
      <c r="F366" s="47">
        <v>29.68</v>
      </c>
      <c r="G366" s="47">
        <v>29.68</v>
      </c>
      <c r="H366" s="47">
        <v>29.68</v>
      </c>
      <c r="I366" s="47">
        <v>29.68</v>
      </c>
      <c r="J366" s="47">
        <v>29.68</v>
      </c>
      <c r="K366" s="47">
        <v>29.68</v>
      </c>
      <c r="L366" s="47">
        <v>29.68</v>
      </c>
      <c r="M366" s="47">
        <v>29.68</v>
      </c>
      <c r="N366" s="47">
        <v>29.68</v>
      </c>
      <c r="O366" s="47">
        <v>29.68</v>
      </c>
      <c r="P366" s="47">
        <v>29.68</v>
      </c>
      <c r="Q366" s="47">
        <v>29.68</v>
      </c>
      <c r="R366" s="47">
        <v>29.68</v>
      </c>
      <c r="S366" s="47">
        <v>29.68</v>
      </c>
      <c r="T366" s="47">
        <v>29.68</v>
      </c>
      <c r="U366" s="47">
        <v>29.68</v>
      </c>
      <c r="V366" s="47">
        <v>29.68</v>
      </c>
      <c r="W366" s="47">
        <v>29.68</v>
      </c>
      <c r="X366" s="47">
        <v>29.68</v>
      </c>
      <c r="Y366" s="47">
        <v>29.68</v>
      </c>
      <c r="Z366" s="47">
        <v>29.68</v>
      </c>
      <c r="AA366" s="47">
        <v>29.68</v>
      </c>
      <c r="AB366" s="45">
        <f>SUM(D366:AA366)</f>
        <v>712.32</v>
      </c>
      <c r="AC366" s="37">
        <v>21</v>
      </c>
      <c r="AD366" s="92">
        <f>+AB366*AC366+AB367*AC367+AB368*AC368</f>
        <v>22081.919999999998</v>
      </c>
    </row>
    <row r="367" spans="2:31">
      <c r="B367" s="90"/>
      <c r="C367" s="44" t="s">
        <v>33</v>
      </c>
      <c r="D367" s="47">
        <v>29.68</v>
      </c>
      <c r="E367" s="47">
        <v>29.68</v>
      </c>
      <c r="F367" s="47">
        <v>29.68</v>
      </c>
      <c r="G367" s="47">
        <v>29.68</v>
      </c>
      <c r="H367" s="47">
        <v>29.68</v>
      </c>
      <c r="I367" s="47">
        <v>29.68</v>
      </c>
      <c r="J367" s="47">
        <v>29.68</v>
      </c>
      <c r="K367" s="47">
        <v>29.68</v>
      </c>
      <c r="L367" s="47">
        <v>29.68</v>
      </c>
      <c r="M367" s="47">
        <v>29.68</v>
      </c>
      <c r="N367" s="47">
        <v>29.68</v>
      </c>
      <c r="O367" s="47">
        <v>29.68</v>
      </c>
      <c r="P367" s="47">
        <v>29.68</v>
      </c>
      <c r="Q367" s="47">
        <v>29.68</v>
      </c>
      <c r="R367" s="47">
        <v>29.68</v>
      </c>
      <c r="S367" s="47">
        <v>29.68</v>
      </c>
      <c r="T367" s="47">
        <v>29.68</v>
      </c>
      <c r="U367" s="47">
        <v>29.68</v>
      </c>
      <c r="V367" s="47">
        <v>29.68</v>
      </c>
      <c r="W367" s="47">
        <v>29.68</v>
      </c>
      <c r="X367" s="47">
        <v>29.68</v>
      </c>
      <c r="Y367" s="47">
        <v>29.68</v>
      </c>
      <c r="Z367" s="47">
        <v>29.68</v>
      </c>
      <c r="AA367" s="47">
        <v>29.68</v>
      </c>
      <c r="AB367" s="45">
        <f t="shared" ref="AB367:AB401" si="9">SUM(D367:AA367)</f>
        <v>712.32</v>
      </c>
      <c r="AC367" s="37">
        <v>4</v>
      </c>
      <c r="AD367" s="92"/>
    </row>
    <row r="368" spans="2:31">
      <c r="B368" s="90"/>
      <c r="C368" s="44" t="s">
        <v>34</v>
      </c>
      <c r="D368" s="47">
        <v>29.68</v>
      </c>
      <c r="E368" s="47">
        <v>29.68</v>
      </c>
      <c r="F368" s="47">
        <v>29.68</v>
      </c>
      <c r="G368" s="47">
        <v>29.68</v>
      </c>
      <c r="H368" s="47">
        <v>29.68</v>
      </c>
      <c r="I368" s="47">
        <v>29.68</v>
      </c>
      <c r="J368" s="47">
        <v>29.68</v>
      </c>
      <c r="K368" s="47">
        <v>29.68</v>
      </c>
      <c r="L368" s="47">
        <v>29.68</v>
      </c>
      <c r="M368" s="47">
        <v>29.68</v>
      </c>
      <c r="N368" s="47">
        <v>29.68</v>
      </c>
      <c r="O368" s="47">
        <v>29.68</v>
      </c>
      <c r="P368" s="47">
        <v>29.68</v>
      </c>
      <c r="Q368" s="47">
        <v>29.68</v>
      </c>
      <c r="R368" s="47">
        <v>29.68</v>
      </c>
      <c r="S368" s="47">
        <v>29.68</v>
      </c>
      <c r="T368" s="47">
        <v>29.68</v>
      </c>
      <c r="U368" s="47">
        <v>29.68</v>
      </c>
      <c r="V368" s="47">
        <v>29.68</v>
      </c>
      <c r="W368" s="47">
        <v>29.68</v>
      </c>
      <c r="X368" s="47">
        <v>29.68</v>
      </c>
      <c r="Y368" s="47">
        <v>29.68</v>
      </c>
      <c r="Z368" s="47">
        <v>29.68</v>
      </c>
      <c r="AA368" s="47">
        <v>29.68</v>
      </c>
      <c r="AB368" s="45">
        <f t="shared" si="9"/>
        <v>712.32</v>
      </c>
      <c r="AC368" s="37">
        <v>6</v>
      </c>
      <c r="AD368" s="92"/>
    </row>
    <row r="369" spans="2:30">
      <c r="B369" s="90">
        <v>49706</v>
      </c>
      <c r="C369" s="44" t="s">
        <v>32</v>
      </c>
      <c r="D369" s="47">
        <v>29.68</v>
      </c>
      <c r="E369" s="47">
        <v>29.68</v>
      </c>
      <c r="F369" s="47">
        <v>29.68</v>
      </c>
      <c r="G369" s="47">
        <v>29.68</v>
      </c>
      <c r="H369" s="47">
        <v>29.68</v>
      </c>
      <c r="I369" s="47">
        <v>29.68</v>
      </c>
      <c r="J369" s="47">
        <v>29.68</v>
      </c>
      <c r="K369" s="47">
        <v>29.68</v>
      </c>
      <c r="L369" s="47">
        <v>29.68</v>
      </c>
      <c r="M369" s="47">
        <v>29.68</v>
      </c>
      <c r="N369" s="47">
        <v>29.68</v>
      </c>
      <c r="O369" s="47">
        <v>29.68</v>
      </c>
      <c r="P369" s="47">
        <v>29.68</v>
      </c>
      <c r="Q369" s="47">
        <v>29.68</v>
      </c>
      <c r="R369" s="47">
        <v>29.68</v>
      </c>
      <c r="S369" s="47">
        <v>29.68</v>
      </c>
      <c r="T369" s="47">
        <v>29.68</v>
      </c>
      <c r="U369" s="47">
        <v>29.68</v>
      </c>
      <c r="V369" s="47">
        <v>29.68</v>
      </c>
      <c r="W369" s="47">
        <v>29.68</v>
      </c>
      <c r="X369" s="47">
        <v>29.68</v>
      </c>
      <c r="Y369" s="47">
        <v>29.68</v>
      </c>
      <c r="Z369" s="47">
        <v>29.68</v>
      </c>
      <c r="AA369" s="47">
        <v>29.68</v>
      </c>
      <c r="AB369" s="45">
        <f t="shared" si="9"/>
        <v>712.32</v>
      </c>
      <c r="AC369" s="37">
        <v>21</v>
      </c>
      <c r="AD369" s="92">
        <f>+AB369*AC369+AB370*AC370+AB371*AC371</f>
        <v>20657.28</v>
      </c>
    </row>
    <row r="370" spans="2:30">
      <c r="B370" s="90"/>
      <c r="C370" s="44" t="s">
        <v>33</v>
      </c>
      <c r="D370" s="47">
        <v>29.68</v>
      </c>
      <c r="E370" s="47">
        <v>29.68</v>
      </c>
      <c r="F370" s="47">
        <v>29.68</v>
      </c>
      <c r="G370" s="47">
        <v>29.68</v>
      </c>
      <c r="H370" s="47">
        <v>29.68</v>
      </c>
      <c r="I370" s="47">
        <v>29.68</v>
      </c>
      <c r="J370" s="47">
        <v>29.68</v>
      </c>
      <c r="K370" s="47">
        <v>29.68</v>
      </c>
      <c r="L370" s="47">
        <v>29.68</v>
      </c>
      <c r="M370" s="47">
        <v>29.68</v>
      </c>
      <c r="N370" s="47">
        <v>29.68</v>
      </c>
      <c r="O370" s="47">
        <v>29.68</v>
      </c>
      <c r="P370" s="47">
        <v>29.68</v>
      </c>
      <c r="Q370" s="47">
        <v>29.68</v>
      </c>
      <c r="R370" s="47">
        <v>29.68</v>
      </c>
      <c r="S370" s="47">
        <v>29.68</v>
      </c>
      <c r="T370" s="47">
        <v>29.68</v>
      </c>
      <c r="U370" s="47">
        <v>29.68</v>
      </c>
      <c r="V370" s="47">
        <v>29.68</v>
      </c>
      <c r="W370" s="47">
        <v>29.68</v>
      </c>
      <c r="X370" s="47">
        <v>29.68</v>
      </c>
      <c r="Y370" s="47">
        <v>29.68</v>
      </c>
      <c r="Z370" s="47">
        <v>29.68</v>
      </c>
      <c r="AA370" s="47">
        <v>29.68</v>
      </c>
      <c r="AB370" s="45">
        <f t="shared" si="9"/>
        <v>712.32</v>
      </c>
      <c r="AC370" s="37">
        <v>4</v>
      </c>
      <c r="AD370" s="92"/>
    </row>
    <row r="371" spans="2:30">
      <c r="B371" s="90"/>
      <c r="C371" s="44" t="s">
        <v>34</v>
      </c>
      <c r="D371" s="47">
        <v>29.68</v>
      </c>
      <c r="E371" s="47">
        <v>29.68</v>
      </c>
      <c r="F371" s="47">
        <v>29.68</v>
      </c>
      <c r="G371" s="47">
        <v>29.68</v>
      </c>
      <c r="H371" s="47">
        <v>29.68</v>
      </c>
      <c r="I371" s="47">
        <v>29.68</v>
      </c>
      <c r="J371" s="47">
        <v>29.68</v>
      </c>
      <c r="K371" s="47">
        <v>29.68</v>
      </c>
      <c r="L371" s="47">
        <v>29.68</v>
      </c>
      <c r="M371" s="47">
        <v>29.68</v>
      </c>
      <c r="N371" s="47">
        <v>29.68</v>
      </c>
      <c r="O371" s="47">
        <v>29.68</v>
      </c>
      <c r="P371" s="47">
        <v>29.68</v>
      </c>
      <c r="Q371" s="47">
        <v>29.68</v>
      </c>
      <c r="R371" s="47">
        <v>29.68</v>
      </c>
      <c r="S371" s="47">
        <v>29.68</v>
      </c>
      <c r="T371" s="47">
        <v>29.68</v>
      </c>
      <c r="U371" s="47">
        <v>29.68</v>
      </c>
      <c r="V371" s="47">
        <v>29.68</v>
      </c>
      <c r="W371" s="47">
        <v>29.68</v>
      </c>
      <c r="X371" s="47">
        <v>29.68</v>
      </c>
      <c r="Y371" s="47">
        <v>29.68</v>
      </c>
      <c r="Z371" s="47">
        <v>29.68</v>
      </c>
      <c r="AA371" s="47">
        <v>29.68</v>
      </c>
      <c r="AB371" s="45">
        <f t="shared" si="9"/>
        <v>712.32</v>
      </c>
      <c r="AC371" s="37">
        <v>4</v>
      </c>
      <c r="AD371" s="92"/>
    </row>
    <row r="372" spans="2:30">
      <c r="B372" s="90">
        <v>49735</v>
      </c>
      <c r="C372" s="44" t="s">
        <v>32</v>
      </c>
      <c r="D372" s="47">
        <v>29.68</v>
      </c>
      <c r="E372" s="47">
        <v>29.68</v>
      </c>
      <c r="F372" s="47">
        <v>29.68</v>
      </c>
      <c r="G372" s="47">
        <v>29.68</v>
      </c>
      <c r="H372" s="47">
        <v>29.68</v>
      </c>
      <c r="I372" s="47">
        <v>29.68</v>
      </c>
      <c r="J372" s="47">
        <v>29.68</v>
      </c>
      <c r="K372" s="47">
        <v>29.68</v>
      </c>
      <c r="L372" s="47">
        <v>29.68</v>
      </c>
      <c r="M372" s="47">
        <v>29.68</v>
      </c>
      <c r="N372" s="47">
        <v>29.68</v>
      </c>
      <c r="O372" s="47">
        <v>29.68</v>
      </c>
      <c r="P372" s="47">
        <v>29.68</v>
      </c>
      <c r="Q372" s="47">
        <v>29.68</v>
      </c>
      <c r="R372" s="47">
        <v>29.68</v>
      </c>
      <c r="S372" s="47">
        <v>29.68</v>
      </c>
      <c r="T372" s="47">
        <v>29.68</v>
      </c>
      <c r="U372" s="47">
        <v>29.68</v>
      </c>
      <c r="V372" s="47">
        <v>29.68</v>
      </c>
      <c r="W372" s="47">
        <v>29.68</v>
      </c>
      <c r="X372" s="47">
        <v>29.68</v>
      </c>
      <c r="Y372" s="47">
        <v>29.68</v>
      </c>
      <c r="Z372" s="47">
        <v>29.68</v>
      </c>
      <c r="AA372" s="47">
        <v>29.68</v>
      </c>
      <c r="AB372" s="45">
        <f t="shared" si="9"/>
        <v>712.32</v>
      </c>
      <c r="AC372" s="37">
        <v>20</v>
      </c>
      <c r="AD372" s="92">
        <f>+AB372*AC372+AB373*AC373+AB374*AC374</f>
        <v>22081.919999999998</v>
      </c>
    </row>
    <row r="373" spans="2:30">
      <c r="B373" s="90"/>
      <c r="C373" s="44" t="s">
        <v>33</v>
      </c>
      <c r="D373" s="47">
        <v>29.68</v>
      </c>
      <c r="E373" s="47">
        <v>29.68</v>
      </c>
      <c r="F373" s="47">
        <v>29.68</v>
      </c>
      <c r="G373" s="47">
        <v>29.68</v>
      </c>
      <c r="H373" s="47">
        <v>29.68</v>
      </c>
      <c r="I373" s="47">
        <v>29.68</v>
      </c>
      <c r="J373" s="47">
        <v>29.68</v>
      </c>
      <c r="K373" s="47">
        <v>29.68</v>
      </c>
      <c r="L373" s="47">
        <v>29.68</v>
      </c>
      <c r="M373" s="47">
        <v>29.68</v>
      </c>
      <c r="N373" s="47">
        <v>29.68</v>
      </c>
      <c r="O373" s="47">
        <v>29.68</v>
      </c>
      <c r="P373" s="47">
        <v>29.68</v>
      </c>
      <c r="Q373" s="47">
        <v>29.68</v>
      </c>
      <c r="R373" s="47">
        <v>29.68</v>
      </c>
      <c r="S373" s="47">
        <v>29.68</v>
      </c>
      <c r="T373" s="47">
        <v>29.68</v>
      </c>
      <c r="U373" s="47">
        <v>29.68</v>
      </c>
      <c r="V373" s="47">
        <v>29.68</v>
      </c>
      <c r="W373" s="47">
        <v>29.68</v>
      </c>
      <c r="X373" s="47">
        <v>29.68</v>
      </c>
      <c r="Y373" s="47">
        <v>29.68</v>
      </c>
      <c r="Z373" s="47">
        <v>29.68</v>
      </c>
      <c r="AA373" s="47">
        <v>29.68</v>
      </c>
      <c r="AB373" s="45">
        <f t="shared" si="9"/>
        <v>712.32</v>
      </c>
      <c r="AC373" s="37">
        <v>5</v>
      </c>
      <c r="AD373" s="92"/>
    </row>
    <row r="374" spans="2:30">
      <c r="B374" s="90"/>
      <c r="C374" s="44" t="s">
        <v>34</v>
      </c>
      <c r="D374" s="47">
        <v>29.68</v>
      </c>
      <c r="E374" s="47">
        <v>29.68</v>
      </c>
      <c r="F374" s="47">
        <v>29.68</v>
      </c>
      <c r="G374" s="47">
        <v>29.68</v>
      </c>
      <c r="H374" s="47">
        <v>29.68</v>
      </c>
      <c r="I374" s="47">
        <v>29.68</v>
      </c>
      <c r="J374" s="47">
        <v>29.68</v>
      </c>
      <c r="K374" s="47">
        <v>29.68</v>
      </c>
      <c r="L374" s="47">
        <v>29.68</v>
      </c>
      <c r="M374" s="47">
        <v>29.68</v>
      </c>
      <c r="N374" s="47">
        <v>29.68</v>
      </c>
      <c r="O374" s="47">
        <v>29.68</v>
      </c>
      <c r="P374" s="47">
        <v>29.68</v>
      </c>
      <c r="Q374" s="47">
        <v>29.68</v>
      </c>
      <c r="R374" s="47">
        <v>29.68</v>
      </c>
      <c r="S374" s="47">
        <v>29.68</v>
      </c>
      <c r="T374" s="47">
        <v>29.68</v>
      </c>
      <c r="U374" s="47">
        <v>29.68</v>
      </c>
      <c r="V374" s="47">
        <v>29.68</v>
      </c>
      <c r="W374" s="47">
        <v>29.68</v>
      </c>
      <c r="X374" s="47">
        <v>29.68</v>
      </c>
      <c r="Y374" s="47">
        <v>29.68</v>
      </c>
      <c r="Z374" s="47">
        <v>29.68</v>
      </c>
      <c r="AA374" s="47">
        <v>29.68</v>
      </c>
      <c r="AB374" s="45">
        <f t="shared" si="9"/>
        <v>712.32</v>
      </c>
      <c r="AC374" s="37">
        <v>6</v>
      </c>
      <c r="AD374" s="92"/>
    </row>
    <row r="375" spans="2:30">
      <c r="B375" s="90">
        <v>49766</v>
      </c>
      <c r="C375" s="44" t="s">
        <v>32</v>
      </c>
      <c r="D375" s="47">
        <v>29.68</v>
      </c>
      <c r="E375" s="47">
        <v>29.68</v>
      </c>
      <c r="F375" s="47">
        <v>29.68</v>
      </c>
      <c r="G375" s="47">
        <v>29.68</v>
      </c>
      <c r="H375" s="47">
        <v>29.68</v>
      </c>
      <c r="I375" s="47">
        <v>29.68</v>
      </c>
      <c r="J375" s="47">
        <v>29.68</v>
      </c>
      <c r="K375" s="47">
        <v>29.68</v>
      </c>
      <c r="L375" s="47">
        <v>29.68</v>
      </c>
      <c r="M375" s="47">
        <v>29.68</v>
      </c>
      <c r="N375" s="47">
        <v>29.68</v>
      </c>
      <c r="O375" s="47">
        <v>29.68</v>
      </c>
      <c r="P375" s="47">
        <v>29.68</v>
      </c>
      <c r="Q375" s="47">
        <v>29.68</v>
      </c>
      <c r="R375" s="47">
        <v>29.68</v>
      </c>
      <c r="S375" s="47">
        <v>29.68</v>
      </c>
      <c r="T375" s="47">
        <v>29.68</v>
      </c>
      <c r="U375" s="47">
        <v>29.68</v>
      </c>
      <c r="V375" s="47">
        <v>29.68</v>
      </c>
      <c r="W375" s="47">
        <v>29.68</v>
      </c>
      <c r="X375" s="47">
        <v>29.68</v>
      </c>
      <c r="Y375" s="47">
        <v>29.68</v>
      </c>
      <c r="Z375" s="47">
        <v>29.68</v>
      </c>
      <c r="AA375" s="47">
        <v>29.68</v>
      </c>
      <c r="AB375" s="45">
        <f t="shared" si="9"/>
        <v>712.32</v>
      </c>
      <c r="AC375" s="37">
        <v>20</v>
      </c>
      <c r="AD375" s="92">
        <f>+AB375*AC375+AB376*AC376+AB377*AC377</f>
        <v>21369.599999999999</v>
      </c>
    </row>
    <row r="376" spans="2:30">
      <c r="B376" s="90"/>
      <c r="C376" s="44" t="s">
        <v>33</v>
      </c>
      <c r="D376" s="47">
        <v>29.68</v>
      </c>
      <c r="E376" s="47">
        <v>29.68</v>
      </c>
      <c r="F376" s="47">
        <v>29.68</v>
      </c>
      <c r="G376" s="47">
        <v>29.68</v>
      </c>
      <c r="H376" s="47">
        <v>29.68</v>
      </c>
      <c r="I376" s="47">
        <v>29.68</v>
      </c>
      <c r="J376" s="47">
        <v>29.68</v>
      </c>
      <c r="K376" s="47">
        <v>29.68</v>
      </c>
      <c r="L376" s="47">
        <v>29.68</v>
      </c>
      <c r="M376" s="47">
        <v>29.68</v>
      </c>
      <c r="N376" s="47">
        <v>29.68</v>
      </c>
      <c r="O376" s="47">
        <v>29.68</v>
      </c>
      <c r="P376" s="47">
        <v>29.68</v>
      </c>
      <c r="Q376" s="47">
        <v>29.68</v>
      </c>
      <c r="R376" s="47">
        <v>29.68</v>
      </c>
      <c r="S376" s="47">
        <v>29.68</v>
      </c>
      <c r="T376" s="47">
        <v>29.68</v>
      </c>
      <c r="U376" s="47">
        <v>29.68</v>
      </c>
      <c r="V376" s="47">
        <v>29.68</v>
      </c>
      <c r="W376" s="47">
        <v>29.68</v>
      </c>
      <c r="X376" s="47">
        <v>29.68</v>
      </c>
      <c r="Y376" s="47">
        <v>29.68</v>
      </c>
      <c r="Z376" s="47">
        <v>29.68</v>
      </c>
      <c r="AA376" s="47">
        <v>29.68</v>
      </c>
      <c r="AB376" s="45">
        <f t="shared" si="9"/>
        <v>712.32</v>
      </c>
      <c r="AC376" s="37">
        <v>4</v>
      </c>
      <c r="AD376" s="92"/>
    </row>
    <row r="377" spans="2:30">
      <c r="B377" s="90"/>
      <c r="C377" s="44" t="s">
        <v>34</v>
      </c>
      <c r="D377" s="47">
        <v>29.68</v>
      </c>
      <c r="E377" s="47">
        <v>29.68</v>
      </c>
      <c r="F377" s="47">
        <v>29.68</v>
      </c>
      <c r="G377" s="47">
        <v>29.68</v>
      </c>
      <c r="H377" s="47">
        <v>29.68</v>
      </c>
      <c r="I377" s="47">
        <v>29.68</v>
      </c>
      <c r="J377" s="47">
        <v>29.68</v>
      </c>
      <c r="K377" s="47">
        <v>29.68</v>
      </c>
      <c r="L377" s="47">
        <v>29.68</v>
      </c>
      <c r="M377" s="47">
        <v>29.68</v>
      </c>
      <c r="N377" s="47">
        <v>29.68</v>
      </c>
      <c r="O377" s="47">
        <v>29.68</v>
      </c>
      <c r="P377" s="47">
        <v>29.68</v>
      </c>
      <c r="Q377" s="47">
        <v>29.68</v>
      </c>
      <c r="R377" s="47">
        <v>29.68</v>
      </c>
      <c r="S377" s="47">
        <v>29.68</v>
      </c>
      <c r="T377" s="47">
        <v>29.68</v>
      </c>
      <c r="U377" s="47">
        <v>29.68</v>
      </c>
      <c r="V377" s="47">
        <v>29.68</v>
      </c>
      <c r="W377" s="47">
        <v>29.68</v>
      </c>
      <c r="X377" s="47">
        <v>29.68</v>
      </c>
      <c r="Y377" s="47">
        <v>29.68</v>
      </c>
      <c r="Z377" s="47">
        <v>29.68</v>
      </c>
      <c r="AA377" s="47">
        <v>29.68</v>
      </c>
      <c r="AB377" s="45">
        <f t="shared" si="9"/>
        <v>712.32</v>
      </c>
      <c r="AC377" s="37">
        <v>6</v>
      </c>
      <c r="AD377" s="92"/>
    </row>
    <row r="378" spans="2:30">
      <c r="B378" s="90">
        <v>49796</v>
      </c>
      <c r="C378" s="44" t="s">
        <v>32</v>
      </c>
      <c r="D378" s="47">
        <v>29.68</v>
      </c>
      <c r="E378" s="47">
        <v>29.68</v>
      </c>
      <c r="F378" s="47">
        <v>29.68</v>
      </c>
      <c r="G378" s="47">
        <v>29.68</v>
      </c>
      <c r="H378" s="47">
        <v>29.68</v>
      </c>
      <c r="I378" s="47">
        <v>29.68</v>
      </c>
      <c r="J378" s="47">
        <v>29.68</v>
      </c>
      <c r="K378" s="47">
        <v>29.68</v>
      </c>
      <c r="L378" s="47">
        <v>29.68</v>
      </c>
      <c r="M378" s="47">
        <v>29.68</v>
      </c>
      <c r="N378" s="47">
        <v>29.68</v>
      </c>
      <c r="O378" s="47">
        <v>29.68</v>
      </c>
      <c r="P378" s="47">
        <v>29.68</v>
      </c>
      <c r="Q378" s="47">
        <v>29.68</v>
      </c>
      <c r="R378" s="47">
        <v>29.68</v>
      </c>
      <c r="S378" s="47">
        <v>29.68</v>
      </c>
      <c r="T378" s="47">
        <v>29.68</v>
      </c>
      <c r="U378" s="47">
        <v>29.68</v>
      </c>
      <c r="V378" s="47">
        <v>29.68</v>
      </c>
      <c r="W378" s="47">
        <v>29.68</v>
      </c>
      <c r="X378" s="47">
        <v>29.68</v>
      </c>
      <c r="Y378" s="47">
        <v>29.68</v>
      </c>
      <c r="Z378" s="47">
        <v>29.68</v>
      </c>
      <c r="AA378" s="47">
        <v>29.68</v>
      </c>
      <c r="AB378" s="45">
        <f t="shared" si="9"/>
        <v>712.32</v>
      </c>
      <c r="AC378" s="37">
        <v>20</v>
      </c>
      <c r="AD378" s="92">
        <f>+AB378*AC378+AB379*AC379+AB380*AC380</f>
        <v>22081.919999999998</v>
      </c>
    </row>
    <row r="379" spans="2:30">
      <c r="B379" s="90"/>
      <c r="C379" s="44" t="s">
        <v>33</v>
      </c>
      <c r="D379" s="47">
        <v>29.68</v>
      </c>
      <c r="E379" s="47">
        <v>29.68</v>
      </c>
      <c r="F379" s="47">
        <v>29.68</v>
      </c>
      <c r="G379" s="47">
        <v>29.68</v>
      </c>
      <c r="H379" s="47">
        <v>29.68</v>
      </c>
      <c r="I379" s="47">
        <v>29.68</v>
      </c>
      <c r="J379" s="47">
        <v>29.68</v>
      </c>
      <c r="K379" s="47">
        <v>29.68</v>
      </c>
      <c r="L379" s="47">
        <v>29.68</v>
      </c>
      <c r="M379" s="47">
        <v>29.68</v>
      </c>
      <c r="N379" s="47">
        <v>29.68</v>
      </c>
      <c r="O379" s="47">
        <v>29.68</v>
      </c>
      <c r="P379" s="47">
        <v>29.68</v>
      </c>
      <c r="Q379" s="47">
        <v>29.68</v>
      </c>
      <c r="R379" s="47">
        <v>29.68</v>
      </c>
      <c r="S379" s="47">
        <v>29.68</v>
      </c>
      <c r="T379" s="47">
        <v>29.68</v>
      </c>
      <c r="U379" s="47">
        <v>29.68</v>
      </c>
      <c r="V379" s="47">
        <v>29.68</v>
      </c>
      <c r="W379" s="47">
        <v>29.68</v>
      </c>
      <c r="X379" s="47">
        <v>29.68</v>
      </c>
      <c r="Y379" s="47">
        <v>29.68</v>
      </c>
      <c r="Z379" s="47">
        <v>29.68</v>
      </c>
      <c r="AA379" s="47">
        <v>29.68</v>
      </c>
      <c r="AB379" s="45">
        <f t="shared" si="9"/>
        <v>712.32</v>
      </c>
      <c r="AC379" s="37">
        <v>5</v>
      </c>
      <c r="AD379" s="92"/>
    </row>
    <row r="380" spans="2:30">
      <c r="B380" s="90"/>
      <c r="C380" s="44" t="s">
        <v>34</v>
      </c>
      <c r="D380" s="47">
        <v>29.68</v>
      </c>
      <c r="E380" s="47">
        <v>29.68</v>
      </c>
      <c r="F380" s="47">
        <v>29.68</v>
      </c>
      <c r="G380" s="47">
        <v>29.68</v>
      </c>
      <c r="H380" s="47">
        <v>29.68</v>
      </c>
      <c r="I380" s="47">
        <v>29.68</v>
      </c>
      <c r="J380" s="47">
        <v>29.68</v>
      </c>
      <c r="K380" s="47">
        <v>29.68</v>
      </c>
      <c r="L380" s="47">
        <v>29.68</v>
      </c>
      <c r="M380" s="47">
        <v>29.68</v>
      </c>
      <c r="N380" s="47">
        <v>29.68</v>
      </c>
      <c r="O380" s="47">
        <v>29.68</v>
      </c>
      <c r="P380" s="47">
        <v>29.68</v>
      </c>
      <c r="Q380" s="47">
        <v>29.68</v>
      </c>
      <c r="R380" s="47">
        <v>29.68</v>
      </c>
      <c r="S380" s="47">
        <v>29.68</v>
      </c>
      <c r="T380" s="47">
        <v>29.68</v>
      </c>
      <c r="U380" s="47">
        <v>29.68</v>
      </c>
      <c r="V380" s="47">
        <v>29.68</v>
      </c>
      <c r="W380" s="47">
        <v>29.68</v>
      </c>
      <c r="X380" s="47">
        <v>29.68</v>
      </c>
      <c r="Y380" s="47">
        <v>29.68</v>
      </c>
      <c r="Z380" s="47">
        <v>29.68</v>
      </c>
      <c r="AA380" s="47">
        <v>29.68</v>
      </c>
      <c r="AB380" s="45">
        <f t="shared" si="9"/>
        <v>712.32</v>
      </c>
      <c r="AC380" s="37">
        <v>6</v>
      </c>
      <c r="AD380" s="92"/>
    </row>
    <row r="381" spans="2:30">
      <c r="B381" s="90">
        <v>49827</v>
      </c>
      <c r="C381" s="44" t="s">
        <v>32</v>
      </c>
      <c r="D381" s="47">
        <v>29.68</v>
      </c>
      <c r="E381" s="47">
        <v>29.68</v>
      </c>
      <c r="F381" s="47">
        <v>29.68</v>
      </c>
      <c r="G381" s="47">
        <v>29.68</v>
      </c>
      <c r="H381" s="47">
        <v>29.68</v>
      </c>
      <c r="I381" s="47">
        <v>29.68</v>
      </c>
      <c r="J381" s="47">
        <v>29.68</v>
      </c>
      <c r="K381" s="47">
        <v>29.68</v>
      </c>
      <c r="L381" s="47">
        <v>29.68</v>
      </c>
      <c r="M381" s="47">
        <v>29.68</v>
      </c>
      <c r="N381" s="47">
        <v>29.68</v>
      </c>
      <c r="O381" s="47">
        <v>29.68</v>
      </c>
      <c r="P381" s="47">
        <v>29.68</v>
      </c>
      <c r="Q381" s="47">
        <v>29.68</v>
      </c>
      <c r="R381" s="47">
        <v>29.68</v>
      </c>
      <c r="S381" s="47">
        <v>29.68</v>
      </c>
      <c r="T381" s="47">
        <v>29.68</v>
      </c>
      <c r="U381" s="47">
        <v>29.68</v>
      </c>
      <c r="V381" s="47">
        <v>29.68</v>
      </c>
      <c r="W381" s="47">
        <v>29.68</v>
      </c>
      <c r="X381" s="47">
        <v>29.68</v>
      </c>
      <c r="Y381" s="47">
        <v>29.68</v>
      </c>
      <c r="Z381" s="47">
        <v>29.68</v>
      </c>
      <c r="AA381" s="47">
        <v>29.68</v>
      </c>
      <c r="AB381" s="45">
        <f t="shared" si="9"/>
        <v>712.32</v>
      </c>
      <c r="AC381" s="37">
        <v>19</v>
      </c>
      <c r="AD381" s="92">
        <f>+AB381*AC381+AB382*AC382+AB383*AC383</f>
        <v>21369.599999999999</v>
      </c>
    </row>
    <row r="382" spans="2:30">
      <c r="B382" s="90"/>
      <c r="C382" s="44" t="s">
        <v>33</v>
      </c>
      <c r="D382" s="47">
        <v>29.68</v>
      </c>
      <c r="E382" s="47">
        <v>29.68</v>
      </c>
      <c r="F382" s="47">
        <v>29.68</v>
      </c>
      <c r="G382" s="47">
        <v>29.68</v>
      </c>
      <c r="H382" s="47">
        <v>29.68</v>
      </c>
      <c r="I382" s="47">
        <v>29.68</v>
      </c>
      <c r="J382" s="47">
        <v>29.68</v>
      </c>
      <c r="K382" s="47">
        <v>29.68</v>
      </c>
      <c r="L382" s="47">
        <v>29.68</v>
      </c>
      <c r="M382" s="47">
        <v>29.68</v>
      </c>
      <c r="N382" s="47">
        <v>29.68</v>
      </c>
      <c r="O382" s="47">
        <v>29.68</v>
      </c>
      <c r="P382" s="47">
        <v>29.68</v>
      </c>
      <c r="Q382" s="47">
        <v>29.68</v>
      </c>
      <c r="R382" s="47">
        <v>29.68</v>
      </c>
      <c r="S382" s="47">
        <v>29.68</v>
      </c>
      <c r="T382" s="47">
        <v>29.68</v>
      </c>
      <c r="U382" s="47">
        <v>29.68</v>
      </c>
      <c r="V382" s="47">
        <v>29.68</v>
      </c>
      <c r="W382" s="47">
        <v>29.68</v>
      </c>
      <c r="X382" s="47">
        <v>29.68</v>
      </c>
      <c r="Y382" s="47">
        <v>29.68</v>
      </c>
      <c r="Z382" s="47">
        <v>29.68</v>
      </c>
      <c r="AA382" s="47">
        <v>29.68</v>
      </c>
      <c r="AB382" s="45">
        <f t="shared" si="9"/>
        <v>712.32</v>
      </c>
      <c r="AC382" s="37">
        <v>4</v>
      </c>
      <c r="AD382" s="92"/>
    </row>
    <row r="383" spans="2:30">
      <c r="B383" s="90"/>
      <c r="C383" s="44" t="s">
        <v>34</v>
      </c>
      <c r="D383" s="47">
        <v>29.68</v>
      </c>
      <c r="E383" s="47">
        <v>29.68</v>
      </c>
      <c r="F383" s="47">
        <v>29.68</v>
      </c>
      <c r="G383" s="47">
        <v>29.68</v>
      </c>
      <c r="H383" s="47">
        <v>29.68</v>
      </c>
      <c r="I383" s="47">
        <v>29.68</v>
      </c>
      <c r="J383" s="47">
        <v>29.68</v>
      </c>
      <c r="K383" s="47">
        <v>29.68</v>
      </c>
      <c r="L383" s="47">
        <v>29.68</v>
      </c>
      <c r="M383" s="47">
        <v>29.68</v>
      </c>
      <c r="N383" s="47">
        <v>29.68</v>
      </c>
      <c r="O383" s="47">
        <v>29.68</v>
      </c>
      <c r="P383" s="47">
        <v>29.68</v>
      </c>
      <c r="Q383" s="47">
        <v>29.68</v>
      </c>
      <c r="R383" s="47">
        <v>29.68</v>
      </c>
      <c r="S383" s="47">
        <v>29.68</v>
      </c>
      <c r="T383" s="47">
        <v>29.68</v>
      </c>
      <c r="U383" s="47">
        <v>29.68</v>
      </c>
      <c r="V383" s="47">
        <v>29.68</v>
      </c>
      <c r="W383" s="47">
        <v>29.68</v>
      </c>
      <c r="X383" s="47">
        <v>29.68</v>
      </c>
      <c r="Y383" s="47">
        <v>29.68</v>
      </c>
      <c r="Z383" s="47">
        <v>29.68</v>
      </c>
      <c r="AA383" s="47">
        <v>29.68</v>
      </c>
      <c r="AB383" s="45">
        <f t="shared" si="9"/>
        <v>712.32</v>
      </c>
      <c r="AC383" s="37">
        <v>7</v>
      </c>
      <c r="AD383" s="92"/>
    </row>
    <row r="384" spans="2:30">
      <c r="B384" s="90">
        <v>49857</v>
      </c>
      <c r="C384" s="44" t="s">
        <v>32</v>
      </c>
      <c r="D384" s="47">
        <v>29.68</v>
      </c>
      <c r="E384" s="47">
        <v>29.68</v>
      </c>
      <c r="F384" s="47">
        <v>29.68</v>
      </c>
      <c r="G384" s="47">
        <v>29.68</v>
      </c>
      <c r="H384" s="47">
        <v>29.68</v>
      </c>
      <c r="I384" s="47">
        <v>29.68</v>
      </c>
      <c r="J384" s="47">
        <v>29.68</v>
      </c>
      <c r="K384" s="47">
        <v>29.68</v>
      </c>
      <c r="L384" s="47">
        <v>29.68</v>
      </c>
      <c r="M384" s="47">
        <v>29.68</v>
      </c>
      <c r="N384" s="47">
        <v>29.68</v>
      </c>
      <c r="O384" s="47">
        <v>29.68</v>
      </c>
      <c r="P384" s="47">
        <v>29.68</v>
      </c>
      <c r="Q384" s="47">
        <v>29.68</v>
      </c>
      <c r="R384" s="47">
        <v>29.68</v>
      </c>
      <c r="S384" s="47">
        <v>29.68</v>
      </c>
      <c r="T384" s="47">
        <v>29.68</v>
      </c>
      <c r="U384" s="47">
        <v>29.68</v>
      </c>
      <c r="V384" s="47">
        <v>29.68</v>
      </c>
      <c r="W384" s="47">
        <v>29.68</v>
      </c>
      <c r="X384" s="47">
        <v>29.68</v>
      </c>
      <c r="Y384" s="47">
        <v>29.68</v>
      </c>
      <c r="Z384" s="47">
        <v>29.68</v>
      </c>
      <c r="AA384" s="47">
        <v>29.68</v>
      </c>
      <c r="AB384" s="45">
        <f t="shared" si="9"/>
        <v>712.32</v>
      </c>
      <c r="AC384" s="37">
        <v>23</v>
      </c>
      <c r="AD384" s="92">
        <f>+AB384*AC384+AB385*AC385+AB386*AC386</f>
        <v>22081.919999999998</v>
      </c>
    </row>
    <row r="385" spans="2:30">
      <c r="B385" s="90"/>
      <c r="C385" s="44" t="s">
        <v>33</v>
      </c>
      <c r="D385" s="47">
        <v>29.68</v>
      </c>
      <c r="E385" s="47">
        <v>29.68</v>
      </c>
      <c r="F385" s="47">
        <v>29.68</v>
      </c>
      <c r="G385" s="47">
        <v>29.68</v>
      </c>
      <c r="H385" s="47">
        <v>29.68</v>
      </c>
      <c r="I385" s="47">
        <v>29.68</v>
      </c>
      <c r="J385" s="47">
        <v>29.68</v>
      </c>
      <c r="K385" s="47">
        <v>29.68</v>
      </c>
      <c r="L385" s="47">
        <v>29.68</v>
      </c>
      <c r="M385" s="47">
        <v>29.68</v>
      </c>
      <c r="N385" s="47">
        <v>29.68</v>
      </c>
      <c r="O385" s="47">
        <v>29.68</v>
      </c>
      <c r="P385" s="47">
        <v>29.68</v>
      </c>
      <c r="Q385" s="47">
        <v>29.68</v>
      </c>
      <c r="R385" s="47">
        <v>29.68</v>
      </c>
      <c r="S385" s="47">
        <v>29.68</v>
      </c>
      <c r="T385" s="47">
        <v>29.68</v>
      </c>
      <c r="U385" s="47">
        <v>29.68</v>
      </c>
      <c r="V385" s="47">
        <v>29.68</v>
      </c>
      <c r="W385" s="47">
        <v>29.68</v>
      </c>
      <c r="X385" s="47">
        <v>29.68</v>
      </c>
      <c r="Y385" s="47">
        <v>29.68</v>
      </c>
      <c r="Z385" s="47">
        <v>29.68</v>
      </c>
      <c r="AA385" s="47">
        <v>29.68</v>
      </c>
      <c r="AB385" s="45">
        <f t="shared" si="9"/>
        <v>712.32</v>
      </c>
      <c r="AC385" s="37">
        <v>4</v>
      </c>
      <c r="AD385" s="92"/>
    </row>
    <row r="386" spans="2:30">
      <c r="B386" s="90"/>
      <c r="C386" s="44" t="s">
        <v>34</v>
      </c>
      <c r="D386" s="47">
        <v>29.68</v>
      </c>
      <c r="E386" s="47">
        <v>29.68</v>
      </c>
      <c r="F386" s="47">
        <v>29.68</v>
      </c>
      <c r="G386" s="47">
        <v>29.68</v>
      </c>
      <c r="H386" s="47">
        <v>29.68</v>
      </c>
      <c r="I386" s="47">
        <v>29.68</v>
      </c>
      <c r="J386" s="47">
        <v>29.68</v>
      </c>
      <c r="K386" s="47">
        <v>29.68</v>
      </c>
      <c r="L386" s="47">
        <v>29.68</v>
      </c>
      <c r="M386" s="47">
        <v>29.68</v>
      </c>
      <c r="N386" s="47">
        <v>29.68</v>
      </c>
      <c r="O386" s="47">
        <v>29.68</v>
      </c>
      <c r="P386" s="47">
        <v>29.68</v>
      </c>
      <c r="Q386" s="47">
        <v>29.68</v>
      </c>
      <c r="R386" s="47">
        <v>29.68</v>
      </c>
      <c r="S386" s="47">
        <v>29.68</v>
      </c>
      <c r="T386" s="47">
        <v>29.68</v>
      </c>
      <c r="U386" s="47">
        <v>29.68</v>
      </c>
      <c r="V386" s="47">
        <v>29.68</v>
      </c>
      <c r="W386" s="47">
        <v>29.68</v>
      </c>
      <c r="X386" s="47">
        <v>29.68</v>
      </c>
      <c r="Y386" s="47">
        <v>29.68</v>
      </c>
      <c r="Z386" s="47">
        <v>29.68</v>
      </c>
      <c r="AA386" s="47">
        <v>29.68</v>
      </c>
      <c r="AB386" s="45">
        <f t="shared" si="9"/>
        <v>712.32</v>
      </c>
      <c r="AC386" s="37">
        <v>4</v>
      </c>
      <c r="AD386" s="92"/>
    </row>
    <row r="387" spans="2:30">
      <c r="B387" s="90">
        <v>49888</v>
      </c>
      <c r="C387" s="44" t="s">
        <v>32</v>
      </c>
      <c r="D387" s="47">
        <v>29.68</v>
      </c>
      <c r="E387" s="47">
        <v>29.68</v>
      </c>
      <c r="F387" s="47">
        <v>29.68</v>
      </c>
      <c r="G387" s="47">
        <v>29.68</v>
      </c>
      <c r="H387" s="47">
        <v>29.68</v>
      </c>
      <c r="I387" s="47">
        <v>29.68</v>
      </c>
      <c r="J387" s="47">
        <v>29.68</v>
      </c>
      <c r="K387" s="47">
        <v>29.68</v>
      </c>
      <c r="L387" s="47">
        <v>29.68</v>
      </c>
      <c r="M387" s="47">
        <v>29.68</v>
      </c>
      <c r="N387" s="47">
        <v>29.68</v>
      </c>
      <c r="O387" s="47">
        <v>29.68</v>
      </c>
      <c r="P387" s="47">
        <v>29.68</v>
      </c>
      <c r="Q387" s="47">
        <v>29.68</v>
      </c>
      <c r="R387" s="47">
        <v>29.68</v>
      </c>
      <c r="S387" s="47">
        <v>29.68</v>
      </c>
      <c r="T387" s="47">
        <v>29.68</v>
      </c>
      <c r="U387" s="47">
        <v>29.68</v>
      </c>
      <c r="V387" s="47">
        <v>29.68</v>
      </c>
      <c r="W387" s="47">
        <v>29.68</v>
      </c>
      <c r="X387" s="47">
        <v>29.68</v>
      </c>
      <c r="Y387" s="47">
        <v>29.68</v>
      </c>
      <c r="Z387" s="47">
        <v>29.68</v>
      </c>
      <c r="AA387" s="47">
        <v>29.68</v>
      </c>
      <c r="AB387" s="45">
        <f t="shared" si="9"/>
        <v>712.32</v>
      </c>
      <c r="AC387" s="37">
        <v>19</v>
      </c>
      <c r="AD387" s="92">
        <f>+AB387*AC387+AB388*AC388+AB389*AC389</f>
        <v>22081.919999999998</v>
      </c>
    </row>
    <row r="388" spans="2:30">
      <c r="B388" s="90"/>
      <c r="C388" s="44" t="s">
        <v>33</v>
      </c>
      <c r="D388" s="47">
        <v>29.68</v>
      </c>
      <c r="E388" s="47">
        <v>29.68</v>
      </c>
      <c r="F388" s="47">
        <v>29.68</v>
      </c>
      <c r="G388" s="47">
        <v>29.68</v>
      </c>
      <c r="H388" s="47">
        <v>29.68</v>
      </c>
      <c r="I388" s="47">
        <v>29.68</v>
      </c>
      <c r="J388" s="47">
        <v>29.68</v>
      </c>
      <c r="K388" s="47">
        <v>29.68</v>
      </c>
      <c r="L388" s="47">
        <v>29.68</v>
      </c>
      <c r="M388" s="47">
        <v>29.68</v>
      </c>
      <c r="N388" s="47">
        <v>29.68</v>
      </c>
      <c r="O388" s="47">
        <v>29.68</v>
      </c>
      <c r="P388" s="47">
        <v>29.68</v>
      </c>
      <c r="Q388" s="47">
        <v>29.68</v>
      </c>
      <c r="R388" s="47">
        <v>29.68</v>
      </c>
      <c r="S388" s="47">
        <v>29.68</v>
      </c>
      <c r="T388" s="47">
        <v>29.68</v>
      </c>
      <c r="U388" s="47">
        <v>29.68</v>
      </c>
      <c r="V388" s="47">
        <v>29.68</v>
      </c>
      <c r="W388" s="47">
        <v>29.68</v>
      </c>
      <c r="X388" s="47">
        <v>29.68</v>
      </c>
      <c r="Y388" s="47">
        <v>29.68</v>
      </c>
      <c r="Z388" s="47">
        <v>29.68</v>
      </c>
      <c r="AA388" s="47">
        <v>29.68</v>
      </c>
      <c r="AB388" s="45">
        <f t="shared" si="9"/>
        <v>712.32</v>
      </c>
      <c r="AC388" s="37">
        <v>5</v>
      </c>
      <c r="AD388" s="92"/>
    </row>
    <row r="389" spans="2:30">
      <c r="B389" s="90"/>
      <c r="C389" s="44" t="s">
        <v>34</v>
      </c>
      <c r="D389" s="47">
        <v>29.68</v>
      </c>
      <c r="E389" s="47">
        <v>29.68</v>
      </c>
      <c r="F389" s="47">
        <v>29.68</v>
      </c>
      <c r="G389" s="47">
        <v>29.68</v>
      </c>
      <c r="H389" s="47">
        <v>29.68</v>
      </c>
      <c r="I389" s="47">
        <v>29.68</v>
      </c>
      <c r="J389" s="47">
        <v>29.68</v>
      </c>
      <c r="K389" s="47">
        <v>29.68</v>
      </c>
      <c r="L389" s="47">
        <v>29.68</v>
      </c>
      <c r="M389" s="47">
        <v>29.68</v>
      </c>
      <c r="N389" s="47">
        <v>29.68</v>
      </c>
      <c r="O389" s="47">
        <v>29.68</v>
      </c>
      <c r="P389" s="47">
        <v>29.68</v>
      </c>
      <c r="Q389" s="47">
        <v>29.68</v>
      </c>
      <c r="R389" s="47">
        <v>29.68</v>
      </c>
      <c r="S389" s="47">
        <v>29.68</v>
      </c>
      <c r="T389" s="47">
        <v>29.68</v>
      </c>
      <c r="U389" s="47">
        <v>29.68</v>
      </c>
      <c r="V389" s="47">
        <v>29.68</v>
      </c>
      <c r="W389" s="47">
        <v>29.68</v>
      </c>
      <c r="X389" s="47">
        <v>29.68</v>
      </c>
      <c r="Y389" s="47">
        <v>29.68</v>
      </c>
      <c r="Z389" s="47">
        <v>29.68</v>
      </c>
      <c r="AA389" s="47">
        <v>29.68</v>
      </c>
      <c r="AB389" s="45">
        <f t="shared" si="9"/>
        <v>712.32</v>
      </c>
      <c r="AC389" s="37">
        <v>7</v>
      </c>
      <c r="AD389" s="92"/>
    </row>
    <row r="390" spans="2:30">
      <c r="B390" s="90">
        <v>49919</v>
      </c>
      <c r="C390" s="44" t="s">
        <v>32</v>
      </c>
      <c r="D390" s="47">
        <v>29.68</v>
      </c>
      <c r="E390" s="47">
        <v>29.68</v>
      </c>
      <c r="F390" s="47">
        <v>29.68</v>
      </c>
      <c r="G390" s="47">
        <v>29.68</v>
      </c>
      <c r="H390" s="47">
        <v>29.68</v>
      </c>
      <c r="I390" s="47">
        <v>29.68</v>
      </c>
      <c r="J390" s="47">
        <v>29.68</v>
      </c>
      <c r="K390" s="47">
        <v>29.68</v>
      </c>
      <c r="L390" s="47">
        <v>29.68</v>
      </c>
      <c r="M390" s="47">
        <v>29.68</v>
      </c>
      <c r="N390" s="47">
        <v>29.68</v>
      </c>
      <c r="O390" s="47">
        <v>29.68</v>
      </c>
      <c r="P390" s="47">
        <v>29.68</v>
      </c>
      <c r="Q390" s="47">
        <v>29.68</v>
      </c>
      <c r="R390" s="47">
        <v>29.68</v>
      </c>
      <c r="S390" s="47">
        <v>29.68</v>
      </c>
      <c r="T390" s="47">
        <v>29.68</v>
      </c>
      <c r="U390" s="47">
        <v>29.68</v>
      </c>
      <c r="V390" s="47">
        <v>29.68</v>
      </c>
      <c r="W390" s="47">
        <v>29.68</v>
      </c>
      <c r="X390" s="47">
        <v>29.68</v>
      </c>
      <c r="Y390" s="47">
        <v>29.68</v>
      </c>
      <c r="Z390" s="47">
        <v>29.68</v>
      </c>
      <c r="AA390" s="47">
        <v>29.68</v>
      </c>
      <c r="AB390" s="45">
        <f t="shared" si="9"/>
        <v>712.32</v>
      </c>
      <c r="AC390" s="37">
        <v>22</v>
      </c>
      <c r="AD390" s="92">
        <f>+AB390*AC390+AB391*AC391+AB392*AC392</f>
        <v>21369.599999999999</v>
      </c>
    </row>
    <row r="391" spans="2:30">
      <c r="B391" s="90"/>
      <c r="C391" s="44" t="s">
        <v>33</v>
      </c>
      <c r="D391" s="47">
        <v>29.68</v>
      </c>
      <c r="E391" s="47">
        <v>29.68</v>
      </c>
      <c r="F391" s="47">
        <v>29.68</v>
      </c>
      <c r="G391" s="47">
        <v>29.68</v>
      </c>
      <c r="H391" s="47">
        <v>29.68</v>
      </c>
      <c r="I391" s="47">
        <v>29.68</v>
      </c>
      <c r="J391" s="47">
        <v>29.68</v>
      </c>
      <c r="K391" s="47">
        <v>29.68</v>
      </c>
      <c r="L391" s="47">
        <v>29.68</v>
      </c>
      <c r="M391" s="47">
        <v>29.68</v>
      </c>
      <c r="N391" s="47">
        <v>29.68</v>
      </c>
      <c r="O391" s="47">
        <v>29.68</v>
      </c>
      <c r="P391" s="47">
        <v>29.68</v>
      </c>
      <c r="Q391" s="47">
        <v>29.68</v>
      </c>
      <c r="R391" s="47">
        <v>29.68</v>
      </c>
      <c r="S391" s="47">
        <v>29.68</v>
      </c>
      <c r="T391" s="47">
        <v>29.68</v>
      </c>
      <c r="U391" s="47">
        <v>29.68</v>
      </c>
      <c r="V391" s="47">
        <v>29.68</v>
      </c>
      <c r="W391" s="47">
        <v>29.68</v>
      </c>
      <c r="X391" s="47">
        <v>29.68</v>
      </c>
      <c r="Y391" s="47">
        <v>29.68</v>
      </c>
      <c r="Z391" s="47">
        <v>29.68</v>
      </c>
      <c r="AA391" s="47">
        <v>29.68</v>
      </c>
      <c r="AB391" s="45">
        <f t="shared" si="9"/>
        <v>712.32</v>
      </c>
      <c r="AC391" s="37">
        <v>4</v>
      </c>
      <c r="AD391" s="92"/>
    </row>
    <row r="392" spans="2:30">
      <c r="B392" s="90"/>
      <c r="C392" s="44" t="s">
        <v>34</v>
      </c>
      <c r="D392" s="47">
        <v>29.68</v>
      </c>
      <c r="E392" s="47">
        <v>29.68</v>
      </c>
      <c r="F392" s="47">
        <v>29.68</v>
      </c>
      <c r="G392" s="47">
        <v>29.68</v>
      </c>
      <c r="H392" s="47">
        <v>29.68</v>
      </c>
      <c r="I392" s="47">
        <v>29.68</v>
      </c>
      <c r="J392" s="47">
        <v>29.68</v>
      </c>
      <c r="K392" s="47">
        <v>29.68</v>
      </c>
      <c r="L392" s="47">
        <v>29.68</v>
      </c>
      <c r="M392" s="47">
        <v>29.68</v>
      </c>
      <c r="N392" s="47">
        <v>29.68</v>
      </c>
      <c r="O392" s="47">
        <v>29.68</v>
      </c>
      <c r="P392" s="47">
        <v>29.68</v>
      </c>
      <c r="Q392" s="47">
        <v>29.68</v>
      </c>
      <c r="R392" s="47">
        <v>29.68</v>
      </c>
      <c r="S392" s="47">
        <v>29.68</v>
      </c>
      <c r="T392" s="47">
        <v>29.68</v>
      </c>
      <c r="U392" s="47">
        <v>29.68</v>
      </c>
      <c r="V392" s="47">
        <v>29.68</v>
      </c>
      <c r="W392" s="47">
        <v>29.68</v>
      </c>
      <c r="X392" s="47">
        <v>29.68</v>
      </c>
      <c r="Y392" s="47">
        <v>29.68</v>
      </c>
      <c r="Z392" s="47">
        <v>29.68</v>
      </c>
      <c r="AA392" s="47">
        <v>29.68</v>
      </c>
      <c r="AB392" s="45">
        <f t="shared" si="9"/>
        <v>712.32</v>
      </c>
      <c r="AC392" s="37">
        <v>4</v>
      </c>
      <c r="AD392" s="92"/>
    </row>
    <row r="393" spans="2:30">
      <c r="B393" s="90">
        <v>49949</v>
      </c>
      <c r="C393" s="44" t="s">
        <v>32</v>
      </c>
      <c r="D393" s="47">
        <v>29.68</v>
      </c>
      <c r="E393" s="47">
        <v>29.68</v>
      </c>
      <c r="F393" s="47">
        <v>29.68</v>
      </c>
      <c r="G393" s="47">
        <v>29.68</v>
      </c>
      <c r="H393" s="47">
        <v>29.68</v>
      </c>
      <c r="I393" s="47">
        <v>29.68</v>
      </c>
      <c r="J393" s="47">
        <v>29.68</v>
      </c>
      <c r="K393" s="47">
        <v>29.68</v>
      </c>
      <c r="L393" s="47">
        <v>29.68</v>
      </c>
      <c r="M393" s="47">
        <v>29.68</v>
      </c>
      <c r="N393" s="47">
        <v>29.68</v>
      </c>
      <c r="O393" s="47">
        <v>29.68</v>
      </c>
      <c r="P393" s="47">
        <v>29.68</v>
      </c>
      <c r="Q393" s="47">
        <v>29.68</v>
      </c>
      <c r="R393" s="47">
        <v>29.68</v>
      </c>
      <c r="S393" s="47">
        <v>29.68</v>
      </c>
      <c r="T393" s="47">
        <v>29.68</v>
      </c>
      <c r="U393" s="47">
        <v>29.68</v>
      </c>
      <c r="V393" s="47">
        <v>29.68</v>
      </c>
      <c r="W393" s="47">
        <v>29.68</v>
      </c>
      <c r="X393" s="47">
        <v>29.68</v>
      </c>
      <c r="Y393" s="47">
        <v>29.68</v>
      </c>
      <c r="Z393" s="47">
        <v>29.68</v>
      </c>
      <c r="AA393" s="47">
        <v>29.68</v>
      </c>
      <c r="AB393" s="45">
        <f t="shared" si="9"/>
        <v>712.32</v>
      </c>
      <c r="AC393" s="37">
        <v>22</v>
      </c>
      <c r="AD393" s="92">
        <f>+AB393*AC393+AB394*AC394+AB395*AC395</f>
        <v>22081.919999999998</v>
      </c>
    </row>
    <row r="394" spans="2:30">
      <c r="B394" s="90"/>
      <c r="C394" s="44" t="s">
        <v>33</v>
      </c>
      <c r="D394" s="47">
        <v>29.68</v>
      </c>
      <c r="E394" s="47">
        <v>29.68</v>
      </c>
      <c r="F394" s="47">
        <v>29.68</v>
      </c>
      <c r="G394" s="47">
        <v>29.68</v>
      </c>
      <c r="H394" s="47">
        <v>29.68</v>
      </c>
      <c r="I394" s="47">
        <v>29.68</v>
      </c>
      <c r="J394" s="47">
        <v>29.68</v>
      </c>
      <c r="K394" s="47">
        <v>29.68</v>
      </c>
      <c r="L394" s="47">
        <v>29.68</v>
      </c>
      <c r="M394" s="47">
        <v>29.68</v>
      </c>
      <c r="N394" s="47">
        <v>29.68</v>
      </c>
      <c r="O394" s="47">
        <v>29.68</v>
      </c>
      <c r="P394" s="47">
        <v>29.68</v>
      </c>
      <c r="Q394" s="47">
        <v>29.68</v>
      </c>
      <c r="R394" s="47">
        <v>29.68</v>
      </c>
      <c r="S394" s="47">
        <v>29.68</v>
      </c>
      <c r="T394" s="47">
        <v>29.68</v>
      </c>
      <c r="U394" s="47">
        <v>29.68</v>
      </c>
      <c r="V394" s="47">
        <v>29.68</v>
      </c>
      <c r="W394" s="47">
        <v>29.68</v>
      </c>
      <c r="X394" s="47">
        <v>29.68</v>
      </c>
      <c r="Y394" s="47">
        <v>29.68</v>
      </c>
      <c r="Z394" s="47">
        <v>29.68</v>
      </c>
      <c r="AA394" s="47">
        <v>29.68</v>
      </c>
      <c r="AB394" s="45">
        <f t="shared" si="9"/>
        <v>712.32</v>
      </c>
      <c r="AC394" s="37">
        <v>4</v>
      </c>
      <c r="AD394" s="92"/>
    </row>
    <row r="395" spans="2:30">
      <c r="B395" s="90"/>
      <c r="C395" s="44" t="s">
        <v>34</v>
      </c>
      <c r="D395" s="47">
        <v>29.68</v>
      </c>
      <c r="E395" s="47">
        <v>29.68</v>
      </c>
      <c r="F395" s="47">
        <v>29.68</v>
      </c>
      <c r="G395" s="47">
        <v>29.68</v>
      </c>
      <c r="H395" s="47">
        <v>29.68</v>
      </c>
      <c r="I395" s="47">
        <v>29.68</v>
      </c>
      <c r="J395" s="47">
        <v>29.68</v>
      </c>
      <c r="K395" s="47">
        <v>29.68</v>
      </c>
      <c r="L395" s="47">
        <v>29.68</v>
      </c>
      <c r="M395" s="47">
        <v>29.68</v>
      </c>
      <c r="N395" s="47">
        <v>29.68</v>
      </c>
      <c r="O395" s="47">
        <v>29.68</v>
      </c>
      <c r="P395" s="47">
        <v>29.68</v>
      </c>
      <c r="Q395" s="47">
        <v>29.68</v>
      </c>
      <c r="R395" s="47">
        <v>29.68</v>
      </c>
      <c r="S395" s="47">
        <v>29.68</v>
      </c>
      <c r="T395" s="47">
        <v>29.68</v>
      </c>
      <c r="U395" s="47">
        <v>29.68</v>
      </c>
      <c r="V395" s="47">
        <v>29.68</v>
      </c>
      <c r="W395" s="47">
        <v>29.68</v>
      </c>
      <c r="X395" s="47">
        <v>29.68</v>
      </c>
      <c r="Y395" s="47">
        <v>29.68</v>
      </c>
      <c r="Z395" s="47">
        <v>29.68</v>
      </c>
      <c r="AA395" s="47">
        <v>29.68</v>
      </c>
      <c r="AB395" s="45">
        <f t="shared" si="9"/>
        <v>712.32</v>
      </c>
      <c r="AC395" s="37">
        <v>5</v>
      </c>
      <c r="AD395" s="92"/>
    </row>
    <row r="396" spans="2:30">
      <c r="B396" s="90">
        <v>49980</v>
      </c>
      <c r="C396" s="44" t="s">
        <v>32</v>
      </c>
      <c r="D396" s="47">
        <v>29.68</v>
      </c>
      <c r="E396" s="47">
        <v>29.68</v>
      </c>
      <c r="F396" s="47">
        <v>29.68</v>
      </c>
      <c r="G396" s="47">
        <v>29.68</v>
      </c>
      <c r="H396" s="47">
        <v>29.68</v>
      </c>
      <c r="I396" s="47">
        <v>29.68</v>
      </c>
      <c r="J396" s="47">
        <v>29.68</v>
      </c>
      <c r="K396" s="47">
        <v>29.68</v>
      </c>
      <c r="L396" s="47">
        <v>29.68</v>
      </c>
      <c r="M396" s="47">
        <v>29.68</v>
      </c>
      <c r="N396" s="47">
        <v>29.68</v>
      </c>
      <c r="O396" s="47">
        <v>29.68</v>
      </c>
      <c r="P396" s="47">
        <v>29.68</v>
      </c>
      <c r="Q396" s="47">
        <v>29.68</v>
      </c>
      <c r="R396" s="47">
        <v>29.68</v>
      </c>
      <c r="S396" s="47">
        <v>29.68</v>
      </c>
      <c r="T396" s="47">
        <v>29.68</v>
      </c>
      <c r="U396" s="47">
        <v>29.68</v>
      </c>
      <c r="V396" s="47">
        <v>29.68</v>
      </c>
      <c r="W396" s="47">
        <v>29.68</v>
      </c>
      <c r="X396" s="47">
        <v>29.68</v>
      </c>
      <c r="Y396" s="47">
        <v>29.68</v>
      </c>
      <c r="Z396" s="47">
        <v>29.68</v>
      </c>
      <c r="AA396" s="47">
        <v>29.68</v>
      </c>
      <c r="AB396" s="45">
        <f t="shared" si="9"/>
        <v>712.32</v>
      </c>
      <c r="AC396" s="37">
        <v>18</v>
      </c>
      <c r="AD396" s="92">
        <f>+AB396*AC396+AB397*AC397+AB398*AC398</f>
        <v>21369.599999999999</v>
      </c>
    </row>
    <row r="397" spans="2:30">
      <c r="B397" s="90"/>
      <c r="C397" s="44" t="s">
        <v>33</v>
      </c>
      <c r="D397" s="47">
        <v>29.68</v>
      </c>
      <c r="E397" s="47">
        <v>29.68</v>
      </c>
      <c r="F397" s="47">
        <v>29.68</v>
      </c>
      <c r="G397" s="47">
        <v>29.68</v>
      </c>
      <c r="H397" s="47">
        <v>29.68</v>
      </c>
      <c r="I397" s="47">
        <v>29.68</v>
      </c>
      <c r="J397" s="47">
        <v>29.68</v>
      </c>
      <c r="K397" s="47">
        <v>29.68</v>
      </c>
      <c r="L397" s="47">
        <v>29.68</v>
      </c>
      <c r="M397" s="47">
        <v>29.68</v>
      </c>
      <c r="N397" s="47">
        <v>29.68</v>
      </c>
      <c r="O397" s="47">
        <v>29.68</v>
      </c>
      <c r="P397" s="47">
        <v>29.68</v>
      </c>
      <c r="Q397" s="47">
        <v>29.68</v>
      </c>
      <c r="R397" s="47">
        <v>29.68</v>
      </c>
      <c r="S397" s="47">
        <v>29.68</v>
      </c>
      <c r="T397" s="47">
        <v>29.68</v>
      </c>
      <c r="U397" s="47">
        <v>29.68</v>
      </c>
      <c r="V397" s="47">
        <v>29.68</v>
      </c>
      <c r="W397" s="47">
        <v>29.68</v>
      </c>
      <c r="X397" s="47">
        <v>29.68</v>
      </c>
      <c r="Y397" s="47">
        <v>29.68</v>
      </c>
      <c r="Z397" s="47">
        <v>29.68</v>
      </c>
      <c r="AA397" s="47">
        <v>29.68</v>
      </c>
      <c r="AB397" s="45">
        <f t="shared" si="9"/>
        <v>712.32</v>
      </c>
      <c r="AC397" s="37">
        <v>5</v>
      </c>
      <c r="AD397" s="92"/>
    </row>
    <row r="398" spans="2:30">
      <c r="B398" s="90"/>
      <c r="C398" s="44" t="s">
        <v>34</v>
      </c>
      <c r="D398" s="47">
        <v>29.68</v>
      </c>
      <c r="E398" s="47">
        <v>29.68</v>
      </c>
      <c r="F398" s="47">
        <v>29.68</v>
      </c>
      <c r="G398" s="47">
        <v>29.68</v>
      </c>
      <c r="H398" s="47">
        <v>29.68</v>
      </c>
      <c r="I398" s="47">
        <v>29.68</v>
      </c>
      <c r="J398" s="47">
        <v>29.68</v>
      </c>
      <c r="K398" s="47">
        <v>29.68</v>
      </c>
      <c r="L398" s="47">
        <v>29.68</v>
      </c>
      <c r="M398" s="47">
        <v>29.68</v>
      </c>
      <c r="N398" s="47">
        <v>29.68</v>
      </c>
      <c r="O398" s="47">
        <v>29.68</v>
      </c>
      <c r="P398" s="47">
        <v>29.68</v>
      </c>
      <c r="Q398" s="47">
        <v>29.68</v>
      </c>
      <c r="R398" s="47">
        <v>29.68</v>
      </c>
      <c r="S398" s="47">
        <v>29.68</v>
      </c>
      <c r="T398" s="47">
        <v>29.68</v>
      </c>
      <c r="U398" s="47">
        <v>29.68</v>
      </c>
      <c r="V398" s="47">
        <v>29.68</v>
      </c>
      <c r="W398" s="47">
        <v>29.68</v>
      </c>
      <c r="X398" s="47">
        <v>29.68</v>
      </c>
      <c r="Y398" s="47">
        <v>29.68</v>
      </c>
      <c r="Z398" s="47">
        <v>29.68</v>
      </c>
      <c r="AA398" s="47">
        <v>29.68</v>
      </c>
      <c r="AB398" s="45">
        <f t="shared" si="9"/>
        <v>712.32</v>
      </c>
      <c r="AC398" s="37">
        <v>7</v>
      </c>
      <c r="AD398" s="92"/>
    </row>
    <row r="399" spans="2:30">
      <c r="B399" s="90">
        <v>50010</v>
      </c>
      <c r="C399" s="44" t="s">
        <v>32</v>
      </c>
      <c r="D399" s="47">
        <v>29.68</v>
      </c>
      <c r="E399" s="47">
        <v>29.68</v>
      </c>
      <c r="F399" s="47">
        <v>29.68</v>
      </c>
      <c r="G399" s="47">
        <v>29.68</v>
      </c>
      <c r="H399" s="47">
        <v>29.68</v>
      </c>
      <c r="I399" s="47">
        <v>29.68</v>
      </c>
      <c r="J399" s="47">
        <v>29.68</v>
      </c>
      <c r="K399" s="47">
        <v>29.68</v>
      </c>
      <c r="L399" s="47">
        <v>29.68</v>
      </c>
      <c r="M399" s="47">
        <v>29.68</v>
      </c>
      <c r="N399" s="47">
        <v>29.68</v>
      </c>
      <c r="O399" s="47">
        <v>29.68</v>
      </c>
      <c r="P399" s="47">
        <v>29.68</v>
      </c>
      <c r="Q399" s="47">
        <v>29.68</v>
      </c>
      <c r="R399" s="47">
        <v>29.68</v>
      </c>
      <c r="S399" s="47">
        <v>29.68</v>
      </c>
      <c r="T399" s="47">
        <v>29.68</v>
      </c>
      <c r="U399" s="47">
        <v>29.68</v>
      </c>
      <c r="V399" s="47">
        <v>29.68</v>
      </c>
      <c r="W399" s="47">
        <v>29.68</v>
      </c>
      <c r="X399" s="47">
        <v>29.68</v>
      </c>
      <c r="Y399" s="47">
        <v>29.68</v>
      </c>
      <c r="Z399" s="47">
        <v>29.68</v>
      </c>
      <c r="AA399" s="47">
        <v>29.68</v>
      </c>
      <c r="AB399" s="45">
        <f t="shared" si="9"/>
        <v>712.32</v>
      </c>
      <c r="AC399" s="37">
        <v>21</v>
      </c>
      <c r="AD399" s="92">
        <f>+AB399*AC399+AB400*AC400+AB401*AC401</f>
        <v>22081.919999999998</v>
      </c>
    </row>
    <row r="400" spans="2:30">
      <c r="B400" s="90"/>
      <c r="C400" s="44" t="s">
        <v>33</v>
      </c>
      <c r="D400" s="47">
        <v>29.68</v>
      </c>
      <c r="E400" s="47">
        <v>29.68</v>
      </c>
      <c r="F400" s="47">
        <v>29.68</v>
      </c>
      <c r="G400" s="47">
        <v>29.68</v>
      </c>
      <c r="H400" s="47">
        <v>29.68</v>
      </c>
      <c r="I400" s="47">
        <v>29.68</v>
      </c>
      <c r="J400" s="47">
        <v>29.68</v>
      </c>
      <c r="K400" s="47">
        <v>29.68</v>
      </c>
      <c r="L400" s="47">
        <v>29.68</v>
      </c>
      <c r="M400" s="47">
        <v>29.68</v>
      </c>
      <c r="N400" s="47">
        <v>29.68</v>
      </c>
      <c r="O400" s="47">
        <v>29.68</v>
      </c>
      <c r="P400" s="47">
        <v>29.68</v>
      </c>
      <c r="Q400" s="47">
        <v>29.68</v>
      </c>
      <c r="R400" s="47">
        <v>29.68</v>
      </c>
      <c r="S400" s="47">
        <v>29.68</v>
      </c>
      <c r="T400" s="47">
        <v>29.68</v>
      </c>
      <c r="U400" s="47">
        <v>29.68</v>
      </c>
      <c r="V400" s="47">
        <v>29.68</v>
      </c>
      <c r="W400" s="47">
        <v>29.68</v>
      </c>
      <c r="X400" s="47">
        <v>29.68</v>
      </c>
      <c r="Y400" s="47">
        <v>29.68</v>
      </c>
      <c r="Z400" s="47">
        <v>29.68</v>
      </c>
      <c r="AA400" s="47">
        <v>29.68</v>
      </c>
      <c r="AB400" s="45">
        <f t="shared" si="9"/>
        <v>712.32</v>
      </c>
      <c r="AC400" s="37">
        <v>4</v>
      </c>
      <c r="AD400" s="92"/>
    </row>
    <row r="401" spans="2:32">
      <c r="B401" s="90"/>
      <c r="C401" s="44" t="s">
        <v>34</v>
      </c>
      <c r="D401" s="47">
        <v>29.68</v>
      </c>
      <c r="E401" s="47">
        <v>29.68</v>
      </c>
      <c r="F401" s="47">
        <v>29.68</v>
      </c>
      <c r="G401" s="47">
        <v>29.68</v>
      </c>
      <c r="H401" s="47">
        <v>29.68</v>
      </c>
      <c r="I401" s="47">
        <v>29.68</v>
      </c>
      <c r="J401" s="47">
        <v>29.68</v>
      </c>
      <c r="K401" s="47">
        <v>29.68</v>
      </c>
      <c r="L401" s="47">
        <v>29.68</v>
      </c>
      <c r="M401" s="47">
        <v>29.68</v>
      </c>
      <c r="N401" s="47">
        <v>29.68</v>
      </c>
      <c r="O401" s="47">
        <v>29.68</v>
      </c>
      <c r="P401" s="47">
        <v>29.68</v>
      </c>
      <c r="Q401" s="47">
        <v>29.68</v>
      </c>
      <c r="R401" s="47">
        <v>29.68</v>
      </c>
      <c r="S401" s="47">
        <v>29.68</v>
      </c>
      <c r="T401" s="47">
        <v>29.68</v>
      </c>
      <c r="U401" s="47">
        <v>29.68</v>
      </c>
      <c r="V401" s="47">
        <v>29.68</v>
      </c>
      <c r="W401" s="47">
        <v>29.68</v>
      </c>
      <c r="X401" s="47">
        <v>29.68</v>
      </c>
      <c r="Y401" s="47">
        <v>29.68</v>
      </c>
      <c r="Z401" s="47">
        <v>29.68</v>
      </c>
      <c r="AA401" s="47">
        <v>29.68</v>
      </c>
      <c r="AB401" s="45">
        <f t="shared" si="9"/>
        <v>712.32</v>
      </c>
      <c r="AC401" s="37">
        <v>6</v>
      </c>
      <c r="AD401" s="92"/>
    </row>
    <row r="402" spans="2:32"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86" t="s">
        <v>35</v>
      </c>
      <c r="AB402" s="87"/>
      <c r="AC402" s="88"/>
      <c r="AD402" s="39">
        <f>SUM(AD366:AD401)</f>
        <v>260709.12</v>
      </c>
    </row>
    <row r="403" spans="2:32"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 spans="2:32" ht="23.25">
      <c r="B404" s="41" t="s">
        <v>45</v>
      </c>
    </row>
    <row r="405" spans="2:32">
      <c r="B405" s="42" t="s">
        <v>3</v>
      </c>
      <c r="C405" s="42" t="s">
        <v>4</v>
      </c>
      <c r="D405" s="42" t="s">
        <v>5</v>
      </c>
      <c r="E405" s="42" t="s">
        <v>6</v>
      </c>
      <c r="F405" s="42" t="s">
        <v>7</v>
      </c>
      <c r="G405" s="42" t="s">
        <v>8</v>
      </c>
      <c r="H405" s="42" t="s">
        <v>9</v>
      </c>
      <c r="I405" s="42" t="s">
        <v>10</v>
      </c>
      <c r="J405" s="42" t="s">
        <v>11</v>
      </c>
      <c r="K405" s="42" t="s">
        <v>12</v>
      </c>
      <c r="L405" s="42" t="s">
        <v>13</v>
      </c>
      <c r="M405" s="42" t="s">
        <v>14</v>
      </c>
      <c r="N405" s="42" t="s">
        <v>15</v>
      </c>
      <c r="O405" s="42" t="s">
        <v>16</v>
      </c>
      <c r="P405" s="42" t="s">
        <v>17</v>
      </c>
      <c r="Q405" s="42" t="s">
        <v>18</v>
      </c>
      <c r="R405" s="42" t="s">
        <v>19</v>
      </c>
      <c r="S405" s="42" t="s">
        <v>20</v>
      </c>
      <c r="T405" s="42" t="s">
        <v>21</v>
      </c>
      <c r="U405" s="42" t="s">
        <v>22</v>
      </c>
      <c r="V405" s="42" t="s">
        <v>23</v>
      </c>
      <c r="W405" s="42" t="s">
        <v>24</v>
      </c>
      <c r="X405" s="42" t="s">
        <v>25</v>
      </c>
      <c r="Y405" s="42" t="s">
        <v>26</v>
      </c>
      <c r="Z405" s="42" t="s">
        <v>27</v>
      </c>
      <c r="AA405" s="42" t="s">
        <v>28</v>
      </c>
      <c r="AB405" s="36" t="s">
        <v>29</v>
      </c>
      <c r="AC405" s="43" t="s">
        <v>30</v>
      </c>
      <c r="AD405" s="42" t="s">
        <v>31</v>
      </c>
    </row>
    <row r="406" spans="2:32">
      <c r="B406" s="90">
        <v>50041</v>
      </c>
      <c r="C406" s="44" t="s">
        <v>32</v>
      </c>
      <c r="D406" s="47">
        <v>29.68</v>
      </c>
      <c r="E406" s="47">
        <v>29.68</v>
      </c>
      <c r="F406" s="47">
        <v>29.68</v>
      </c>
      <c r="G406" s="47">
        <v>29.68</v>
      </c>
      <c r="H406" s="47">
        <v>29.68</v>
      </c>
      <c r="I406" s="47">
        <v>29.68</v>
      </c>
      <c r="J406" s="47">
        <v>29.68</v>
      </c>
      <c r="K406" s="47">
        <v>29.68</v>
      </c>
      <c r="L406" s="47">
        <v>29.68</v>
      </c>
      <c r="M406" s="47">
        <v>29.68</v>
      </c>
      <c r="N406" s="47">
        <v>29.68</v>
      </c>
      <c r="O406" s="47">
        <v>29.68</v>
      </c>
      <c r="P406" s="47">
        <v>29.68</v>
      </c>
      <c r="Q406" s="47">
        <v>29.68</v>
      </c>
      <c r="R406" s="47">
        <v>29.68</v>
      </c>
      <c r="S406" s="47">
        <v>29.68</v>
      </c>
      <c r="T406" s="47">
        <v>29.68</v>
      </c>
      <c r="U406" s="47">
        <v>29.68</v>
      </c>
      <c r="V406" s="47">
        <v>29.68</v>
      </c>
      <c r="W406" s="47">
        <v>29.68</v>
      </c>
      <c r="X406" s="47">
        <v>29.68</v>
      </c>
      <c r="Y406" s="47">
        <v>29.68</v>
      </c>
      <c r="Z406" s="47">
        <v>29.68</v>
      </c>
      <c r="AA406" s="47">
        <v>29.68</v>
      </c>
      <c r="AB406" s="45">
        <f>SUM(D406:AA406)</f>
        <v>712.32</v>
      </c>
      <c r="AC406" s="37">
        <v>20</v>
      </c>
      <c r="AD406" s="92">
        <f>+AB406*AC406+AB407*AC407+AB408*AC408</f>
        <v>22081.919999999998</v>
      </c>
    </row>
    <row r="407" spans="2:32">
      <c r="B407" s="90"/>
      <c r="C407" s="44" t="s">
        <v>33</v>
      </c>
      <c r="D407" s="47">
        <v>29.68</v>
      </c>
      <c r="E407" s="47">
        <v>29.68</v>
      </c>
      <c r="F407" s="47">
        <v>29.68</v>
      </c>
      <c r="G407" s="47">
        <v>29.68</v>
      </c>
      <c r="H407" s="47">
        <v>29.68</v>
      </c>
      <c r="I407" s="47">
        <v>29.68</v>
      </c>
      <c r="J407" s="47">
        <v>29.68</v>
      </c>
      <c r="K407" s="47">
        <v>29.68</v>
      </c>
      <c r="L407" s="47">
        <v>29.68</v>
      </c>
      <c r="M407" s="47">
        <v>29.68</v>
      </c>
      <c r="N407" s="47">
        <v>29.68</v>
      </c>
      <c r="O407" s="47">
        <v>29.68</v>
      </c>
      <c r="P407" s="47">
        <v>29.68</v>
      </c>
      <c r="Q407" s="47">
        <v>29.68</v>
      </c>
      <c r="R407" s="47">
        <v>29.68</v>
      </c>
      <c r="S407" s="47">
        <v>29.68</v>
      </c>
      <c r="T407" s="47">
        <v>29.68</v>
      </c>
      <c r="U407" s="47">
        <v>29.68</v>
      </c>
      <c r="V407" s="47">
        <v>29.68</v>
      </c>
      <c r="W407" s="47">
        <v>29.68</v>
      </c>
      <c r="X407" s="47">
        <v>29.68</v>
      </c>
      <c r="Y407" s="47">
        <v>29.68</v>
      </c>
      <c r="Z407" s="47">
        <v>29.68</v>
      </c>
      <c r="AA407" s="47">
        <v>29.68</v>
      </c>
      <c r="AB407" s="45">
        <f t="shared" ref="AB407:AB441" si="10">SUM(D407:AA407)</f>
        <v>712.32</v>
      </c>
      <c r="AC407" s="37">
        <v>5</v>
      </c>
      <c r="AD407" s="92"/>
    </row>
    <row r="408" spans="2:32">
      <c r="B408" s="90"/>
      <c r="C408" s="44" t="s">
        <v>34</v>
      </c>
      <c r="D408" s="47">
        <v>29.68</v>
      </c>
      <c r="E408" s="47">
        <v>29.68</v>
      </c>
      <c r="F408" s="47">
        <v>29.68</v>
      </c>
      <c r="G408" s="47">
        <v>29.68</v>
      </c>
      <c r="H408" s="47">
        <v>29.68</v>
      </c>
      <c r="I408" s="47">
        <v>29.68</v>
      </c>
      <c r="J408" s="47">
        <v>29.68</v>
      </c>
      <c r="K408" s="47">
        <v>29.68</v>
      </c>
      <c r="L408" s="47">
        <v>29.68</v>
      </c>
      <c r="M408" s="47">
        <v>29.68</v>
      </c>
      <c r="N408" s="47">
        <v>29.68</v>
      </c>
      <c r="O408" s="47">
        <v>29.68</v>
      </c>
      <c r="P408" s="47">
        <v>29.68</v>
      </c>
      <c r="Q408" s="47">
        <v>29.68</v>
      </c>
      <c r="R408" s="47">
        <v>29.68</v>
      </c>
      <c r="S408" s="47">
        <v>29.68</v>
      </c>
      <c r="T408" s="47">
        <v>29.68</v>
      </c>
      <c r="U408" s="47">
        <v>29.68</v>
      </c>
      <c r="V408" s="47">
        <v>29.68</v>
      </c>
      <c r="W408" s="47">
        <v>29.68</v>
      </c>
      <c r="X408" s="47">
        <v>29.68</v>
      </c>
      <c r="Y408" s="47">
        <v>29.68</v>
      </c>
      <c r="Z408" s="47">
        <v>29.68</v>
      </c>
      <c r="AA408" s="47">
        <v>29.68</v>
      </c>
      <c r="AB408" s="45">
        <f t="shared" si="10"/>
        <v>712.32</v>
      </c>
      <c r="AC408" s="37">
        <v>6</v>
      </c>
      <c r="AD408" s="92"/>
    </row>
    <row r="409" spans="2:32">
      <c r="B409" s="90">
        <v>50072</v>
      </c>
      <c r="C409" s="44" t="s">
        <v>32</v>
      </c>
      <c r="D409" s="47">
        <v>29.68</v>
      </c>
      <c r="E409" s="47">
        <v>29.68</v>
      </c>
      <c r="F409" s="47">
        <v>29.68</v>
      </c>
      <c r="G409" s="47">
        <v>29.68</v>
      </c>
      <c r="H409" s="47">
        <v>29.68</v>
      </c>
      <c r="I409" s="47">
        <v>29.68</v>
      </c>
      <c r="J409" s="47">
        <v>29.68</v>
      </c>
      <c r="K409" s="47">
        <v>29.68</v>
      </c>
      <c r="L409" s="47">
        <v>29.68</v>
      </c>
      <c r="M409" s="47">
        <v>29.68</v>
      </c>
      <c r="N409" s="47">
        <v>29.68</v>
      </c>
      <c r="O409" s="47">
        <v>29.68</v>
      </c>
      <c r="P409" s="47">
        <v>29.68</v>
      </c>
      <c r="Q409" s="47">
        <v>29.68</v>
      </c>
      <c r="R409" s="47">
        <v>29.68</v>
      </c>
      <c r="S409" s="47">
        <v>29.68</v>
      </c>
      <c r="T409" s="47">
        <v>29.68</v>
      </c>
      <c r="U409" s="47">
        <v>29.68</v>
      </c>
      <c r="V409" s="47">
        <v>29.68</v>
      </c>
      <c r="W409" s="47">
        <v>29.68</v>
      </c>
      <c r="X409" s="47">
        <v>29.68</v>
      </c>
      <c r="Y409" s="47">
        <v>29.68</v>
      </c>
      <c r="Z409" s="47">
        <v>29.68</v>
      </c>
      <c r="AA409" s="47">
        <v>29.68</v>
      </c>
      <c r="AB409" s="45">
        <f t="shared" si="10"/>
        <v>712.32</v>
      </c>
      <c r="AC409" s="37">
        <v>20</v>
      </c>
      <c r="AD409" s="92">
        <f>+AB409*AC409+AB410*AC410+AB411*AC411</f>
        <v>19944.96</v>
      </c>
    </row>
    <row r="410" spans="2:32">
      <c r="B410" s="90"/>
      <c r="C410" s="44" t="s">
        <v>33</v>
      </c>
      <c r="D410" s="47">
        <v>29.68</v>
      </c>
      <c r="E410" s="47">
        <v>29.68</v>
      </c>
      <c r="F410" s="47">
        <v>29.68</v>
      </c>
      <c r="G410" s="47">
        <v>29.68</v>
      </c>
      <c r="H410" s="47">
        <v>29.68</v>
      </c>
      <c r="I410" s="47">
        <v>29.68</v>
      </c>
      <c r="J410" s="47">
        <v>29.68</v>
      </c>
      <c r="K410" s="47">
        <v>29.68</v>
      </c>
      <c r="L410" s="47">
        <v>29.68</v>
      </c>
      <c r="M410" s="47">
        <v>29.68</v>
      </c>
      <c r="N410" s="47">
        <v>29.68</v>
      </c>
      <c r="O410" s="47">
        <v>29.68</v>
      </c>
      <c r="P410" s="47">
        <v>29.68</v>
      </c>
      <c r="Q410" s="47">
        <v>29.68</v>
      </c>
      <c r="R410" s="47">
        <v>29.68</v>
      </c>
      <c r="S410" s="47">
        <v>29.68</v>
      </c>
      <c r="T410" s="47">
        <v>29.68</v>
      </c>
      <c r="U410" s="47">
        <v>29.68</v>
      </c>
      <c r="V410" s="47">
        <v>29.68</v>
      </c>
      <c r="W410" s="47">
        <v>29.68</v>
      </c>
      <c r="X410" s="47">
        <v>29.68</v>
      </c>
      <c r="Y410" s="47">
        <v>29.68</v>
      </c>
      <c r="Z410" s="47">
        <v>29.68</v>
      </c>
      <c r="AA410" s="47">
        <v>29.68</v>
      </c>
      <c r="AB410" s="45">
        <f t="shared" si="10"/>
        <v>712.32</v>
      </c>
      <c r="AC410" s="37">
        <v>4</v>
      </c>
      <c r="AD410" s="92"/>
    </row>
    <row r="411" spans="2:32">
      <c r="B411" s="90"/>
      <c r="C411" s="44" t="s">
        <v>34</v>
      </c>
      <c r="D411" s="47">
        <v>29.68</v>
      </c>
      <c r="E411" s="47">
        <v>29.68</v>
      </c>
      <c r="F411" s="47">
        <v>29.68</v>
      </c>
      <c r="G411" s="47">
        <v>29.68</v>
      </c>
      <c r="H411" s="47">
        <v>29.68</v>
      </c>
      <c r="I411" s="47">
        <v>29.68</v>
      </c>
      <c r="J411" s="47">
        <v>29.68</v>
      </c>
      <c r="K411" s="47">
        <v>29.68</v>
      </c>
      <c r="L411" s="47">
        <v>29.68</v>
      </c>
      <c r="M411" s="47">
        <v>29.68</v>
      </c>
      <c r="N411" s="47">
        <v>29.68</v>
      </c>
      <c r="O411" s="47">
        <v>29.68</v>
      </c>
      <c r="P411" s="47">
        <v>29.68</v>
      </c>
      <c r="Q411" s="47">
        <v>29.68</v>
      </c>
      <c r="R411" s="47">
        <v>29.68</v>
      </c>
      <c r="S411" s="47">
        <v>29.68</v>
      </c>
      <c r="T411" s="47">
        <v>29.68</v>
      </c>
      <c r="U411" s="47">
        <v>29.68</v>
      </c>
      <c r="V411" s="47">
        <v>29.68</v>
      </c>
      <c r="W411" s="47">
        <v>29.68</v>
      </c>
      <c r="X411" s="47">
        <v>29.68</v>
      </c>
      <c r="Y411" s="47">
        <v>29.68</v>
      </c>
      <c r="Z411" s="47">
        <v>29.68</v>
      </c>
      <c r="AA411" s="47">
        <v>29.68</v>
      </c>
      <c r="AB411" s="45">
        <f t="shared" si="10"/>
        <v>712.32</v>
      </c>
      <c r="AC411" s="37">
        <v>4</v>
      </c>
      <c r="AD411" s="92"/>
    </row>
    <row r="412" spans="2:32">
      <c r="B412" s="90">
        <v>50100</v>
      </c>
      <c r="C412" s="44" t="s">
        <v>32</v>
      </c>
      <c r="D412" s="47">
        <v>29.68</v>
      </c>
      <c r="E412" s="47">
        <v>29.68</v>
      </c>
      <c r="F412" s="47">
        <v>29.68</v>
      </c>
      <c r="G412" s="47">
        <v>29.68</v>
      </c>
      <c r="H412" s="47">
        <v>29.68</v>
      </c>
      <c r="I412" s="47">
        <v>29.68</v>
      </c>
      <c r="J412" s="47">
        <v>29.68</v>
      </c>
      <c r="K412" s="47">
        <v>29.68</v>
      </c>
      <c r="L412" s="47">
        <v>29.68</v>
      </c>
      <c r="M412" s="47">
        <v>29.68</v>
      </c>
      <c r="N412" s="47">
        <v>29.68</v>
      </c>
      <c r="O412" s="47">
        <v>29.68</v>
      </c>
      <c r="P412" s="47">
        <v>29.68</v>
      </c>
      <c r="Q412" s="47">
        <v>29.68</v>
      </c>
      <c r="R412" s="47">
        <v>29.68</v>
      </c>
      <c r="S412" s="47">
        <v>29.68</v>
      </c>
      <c r="T412" s="47">
        <v>29.68</v>
      </c>
      <c r="U412" s="47">
        <v>29.68</v>
      </c>
      <c r="V412" s="47">
        <v>29.68</v>
      </c>
      <c r="W412" s="47">
        <v>29.68</v>
      </c>
      <c r="X412" s="47">
        <v>29.68</v>
      </c>
      <c r="Y412" s="47">
        <v>29.68</v>
      </c>
      <c r="Z412" s="47">
        <v>29.68</v>
      </c>
      <c r="AA412" s="47">
        <v>29.68</v>
      </c>
      <c r="AB412" s="45">
        <f t="shared" si="10"/>
        <v>712.32</v>
      </c>
      <c r="AC412" s="37">
        <v>21</v>
      </c>
      <c r="AD412" s="92">
        <f>+AB412*AC412+AB413*AC413+AB414*AC414</f>
        <v>22081.919999999998</v>
      </c>
    </row>
    <row r="413" spans="2:32">
      <c r="B413" s="90"/>
      <c r="C413" s="44" t="s">
        <v>33</v>
      </c>
      <c r="D413" s="47">
        <v>29.68</v>
      </c>
      <c r="E413" s="47">
        <v>29.68</v>
      </c>
      <c r="F413" s="47">
        <v>29.68</v>
      </c>
      <c r="G413" s="47">
        <v>29.68</v>
      </c>
      <c r="H413" s="47">
        <v>29.68</v>
      </c>
      <c r="I413" s="47">
        <v>29.68</v>
      </c>
      <c r="J413" s="47">
        <v>29.68</v>
      </c>
      <c r="K413" s="47">
        <v>29.68</v>
      </c>
      <c r="L413" s="47">
        <v>29.68</v>
      </c>
      <c r="M413" s="47">
        <v>29.68</v>
      </c>
      <c r="N413" s="47">
        <v>29.68</v>
      </c>
      <c r="O413" s="47">
        <v>29.68</v>
      </c>
      <c r="P413" s="47">
        <v>29.68</v>
      </c>
      <c r="Q413" s="47">
        <v>29.68</v>
      </c>
      <c r="R413" s="47">
        <v>29.68</v>
      </c>
      <c r="S413" s="47">
        <v>29.68</v>
      </c>
      <c r="T413" s="47">
        <v>29.68</v>
      </c>
      <c r="U413" s="47">
        <v>29.68</v>
      </c>
      <c r="V413" s="47">
        <v>29.68</v>
      </c>
      <c r="W413" s="47">
        <v>29.68</v>
      </c>
      <c r="X413" s="47">
        <v>29.68</v>
      </c>
      <c r="Y413" s="47">
        <v>29.68</v>
      </c>
      <c r="Z413" s="47">
        <v>29.68</v>
      </c>
      <c r="AA413" s="47">
        <v>29.68</v>
      </c>
      <c r="AB413" s="45">
        <f t="shared" si="10"/>
        <v>712.32</v>
      </c>
      <c r="AC413" s="37">
        <v>4</v>
      </c>
      <c r="AD413" s="92"/>
    </row>
    <row r="414" spans="2:32">
      <c r="B414" s="90"/>
      <c r="C414" s="44" t="s">
        <v>34</v>
      </c>
      <c r="D414" s="47">
        <v>29.68</v>
      </c>
      <c r="E414" s="47">
        <v>29.68</v>
      </c>
      <c r="F414" s="47">
        <v>29.68</v>
      </c>
      <c r="G414" s="47">
        <v>29.68</v>
      </c>
      <c r="H414" s="47">
        <v>29.68</v>
      </c>
      <c r="I414" s="47">
        <v>29.68</v>
      </c>
      <c r="J414" s="47">
        <v>29.68</v>
      </c>
      <c r="K414" s="47">
        <v>29.68</v>
      </c>
      <c r="L414" s="47">
        <v>29.68</v>
      </c>
      <c r="M414" s="47">
        <v>29.68</v>
      </c>
      <c r="N414" s="47">
        <v>29.68</v>
      </c>
      <c r="O414" s="47">
        <v>29.68</v>
      </c>
      <c r="P414" s="47">
        <v>29.68</v>
      </c>
      <c r="Q414" s="47">
        <v>29.68</v>
      </c>
      <c r="R414" s="47">
        <v>29.68</v>
      </c>
      <c r="S414" s="47">
        <v>29.68</v>
      </c>
      <c r="T414" s="47">
        <v>29.68</v>
      </c>
      <c r="U414" s="47">
        <v>29.68</v>
      </c>
      <c r="V414" s="47">
        <v>29.68</v>
      </c>
      <c r="W414" s="47">
        <v>29.68</v>
      </c>
      <c r="X414" s="47">
        <v>29.68</v>
      </c>
      <c r="Y414" s="47">
        <v>29.68</v>
      </c>
      <c r="Z414" s="47">
        <v>29.68</v>
      </c>
      <c r="AA414" s="47">
        <v>29.68</v>
      </c>
      <c r="AB414" s="45">
        <f t="shared" si="10"/>
        <v>712.32</v>
      </c>
      <c r="AC414" s="37">
        <v>6</v>
      </c>
      <c r="AD414" s="92"/>
    </row>
    <row r="415" spans="2:32">
      <c r="B415" s="90">
        <v>50131</v>
      </c>
      <c r="C415" s="44" t="s">
        <v>32</v>
      </c>
      <c r="D415" s="47">
        <v>29.68</v>
      </c>
      <c r="E415" s="47">
        <v>29.68</v>
      </c>
      <c r="F415" s="47">
        <v>29.68</v>
      </c>
      <c r="G415" s="47">
        <v>29.68</v>
      </c>
      <c r="H415" s="47">
        <v>29.68</v>
      </c>
      <c r="I415" s="47">
        <v>29.68</v>
      </c>
      <c r="J415" s="47">
        <v>29.68</v>
      </c>
      <c r="K415" s="47">
        <v>29.68</v>
      </c>
      <c r="L415" s="47">
        <v>29.68</v>
      </c>
      <c r="M415" s="47">
        <v>29.68</v>
      </c>
      <c r="N415" s="47">
        <v>29.68</v>
      </c>
      <c r="O415" s="47">
        <v>29.68</v>
      </c>
      <c r="P415" s="47">
        <v>29.68</v>
      </c>
      <c r="Q415" s="47">
        <v>29.68</v>
      </c>
      <c r="R415" s="47">
        <v>29.68</v>
      </c>
      <c r="S415" s="47">
        <v>29.68</v>
      </c>
      <c r="T415" s="47">
        <v>29.68</v>
      </c>
      <c r="U415" s="47">
        <v>29.68</v>
      </c>
      <c r="V415" s="47">
        <v>29.68</v>
      </c>
      <c r="W415" s="47">
        <v>29.68</v>
      </c>
      <c r="X415" s="47">
        <v>29.68</v>
      </c>
      <c r="Y415" s="47">
        <v>29.68</v>
      </c>
      <c r="Z415" s="47">
        <v>29.68</v>
      </c>
      <c r="AA415" s="47">
        <v>29.68</v>
      </c>
      <c r="AB415" s="45">
        <f t="shared" si="10"/>
        <v>712.32</v>
      </c>
      <c r="AC415" s="37">
        <v>20</v>
      </c>
      <c r="AD415" s="92">
        <f>+AB415*AC415+AB416*AC416+AB417*AC417</f>
        <v>21369.599999999999</v>
      </c>
    </row>
    <row r="416" spans="2:32">
      <c r="B416" s="90"/>
      <c r="C416" s="44" t="s">
        <v>33</v>
      </c>
      <c r="D416" s="47">
        <v>29.68</v>
      </c>
      <c r="E416" s="47">
        <v>29.68</v>
      </c>
      <c r="F416" s="47">
        <v>29.68</v>
      </c>
      <c r="G416" s="47">
        <v>29.68</v>
      </c>
      <c r="H416" s="47">
        <v>29.68</v>
      </c>
      <c r="I416" s="47">
        <v>29.68</v>
      </c>
      <c r="J416" s="47">
        <v>29.68</v>
      </c>
      <c r="K416" s="47">
        <v>29.68</v>
      </c>
      <c r="L416" s="47">
        <v>29.68</v>
      </c>
      <c r="M416" s="47">
        <v>29.68</v>
      </c>
      <c r="N416" s="47">
        <v>29.68</v>
      </c>
      <c r="O416" s="47">
        <v>29.68</v>
      </c>
      <c r="P416" s="47">
        <v>29.68</v>
      </c>
      <c r="Q416" s="47">
        <v>29.68</v>
      </c>
      <c r="R416" s="47">
        <v>29.68</v>
      </c>
      <c r="S416" s="47">
        <v>29.68</v>
      </c>
      <c r="T416" s="47">
        <v>29.68</v>
      </c>
      <c r="U416" s="47">
        <v>29.68</v>
      </c>
      <c r="V416" s="47">
        <v>29.68</v>
      </c>
      <c r="W416" s="47">
        <v>29.68</v>
      </c>
      <c r="X416" s="47">
        <v>29.68</v>
      </c>
      <c r="Y416" s="47">
        <v>29.68</v>
      </c>
      <c r="Z416" s="47">
        <v>29.68</v>
      </c>
      <c r="AA416" s="47">
        <v>29.68</v>
      </c>
      <c r="AB416" s="45">
        <f t="shared" si="10"/>
        <v>712.32</v>
      </c>
      <c r="AC416" s="37">
        <v>4</v>
      </c>
      <c r="AD416" s="92"/>
    </row>
    <row r="417" spans="2:30">
      <c r="B417" s="90"/>
      <c r="C417" s="44" t="s">
        <v>34</v>
      </c>
      <c r="D417" s="47">
        <v>29.68</v>
      </c>
      <c r="E417" s="47">
        <v>29.68</v>
      </c>
      <c r="F417" s="47">
        <v>29.68</v>
      </c>
      <c r="G417" s="47">
        <v>29.68</v>
      </c>
      <c r="H417" s="47">
        <v>29.68</v>
      </c>
      <c r="I417" s="47">
        <v>29.68</v>
      </c>
      <c r="J417" s="47">
        <v>29.68</v>
      </c>
      <c r="K417" s="47">
        <v>29.68</v>
      </c>
      <c r="L417" s="47">
        <v>29.68</v>
      </c>
      <c r="M417" s="47">
        <v>29.68</v>
      </c>
      <c r="N417" s="47">
        <v>29.68</v>
      </c>
      <c r="O417" s="47">
        <v>29.68</v>
      </c>
      <c r="P417" s="47">
        <v>29.68</v>
      </c>
      <c r="Q417" s="47">
        <v>29.68</v>
      </c>
      <c r="R417" s="47">
        <v>29.68</v>
      </c>
      <c r="S417" s="47">
        <v>29.68</v>
      </c>
      <c r="T417" s="47">
        <v>29.68</v>
      </c>
      <c r="U417" s="47">
        <v>29.68</v>
      </c>
      <c r="V417" s="47">
        <v>29.68</v>
      </c>
      <c r="W417" s="47">
        <v>29.68</v>
      </c>
      <c r="X417" s="47">
        <v>29.68</v>
      </c>
      <c r="Y417" s="47">
        <v>29.68</v>
      </c>
      <c r="Z417" s="47">
        <v>29.68</v>
      </c>
      <c r="AA417" s="47">
        <v>29.68</v>
      </c>
      <c r="AB417" s="45">
        <f t="shared" si="10"/>
        <v>712.32</v>
      </c>
      <c r="AC417" s="37">
        <v>6</v>
      </c>
      <c r="AD417" s="92"/>
    </row>
    <row r="418" spans="2:30">
      <c r="B418" s="90">
        <v>50161</v>
      </c>
      <c r="C418" s="44" t="s">
        <v>32</v>
      </c>
      <c r="D418" s="47">
        <v>29.68</v>
      </c>
      <c r="E418" s="47">
        <v>29.68</v>
      </c>
      <c r="F418" s="47">
        <v>29.68</v>
      </c>
      <c r="G418" s="47">
        <v>29.68</v>
      </c>
      <c r="H418" s="47">
        <v>29.68</v>
      </c>
      <c r="I418" s="47">
        <v>29.68</v>
      </c>
      <c r="J418" s="47">
        <v>29.68</v>
      </c>
      <c r="K418" s="47">
        <v>29.68</v>
      </c>
      <c r="L418" s="47">
        <v>29.68</v>
      </c>
      <c r="M418" s="47">
        <v>29.68</v>
      </c>
      <c r="N418" s="47">
        <v>29.68</v>
      </c>
      <c r="O418" s="47">
        <v>29.68</v>
      </c>
      <c r="P418" s="47">
        <v>29.68</v>
      </c>
      <c r="Q418" s="47">
        <v>29.68</v>
      </c>
      <c r="R418" s="47">
        <v>29.68</v>
      </c>
      <c r="S418" s="47">
        <v>29.68</v>
      </c>
      <c r="T418" s="47">
        <v>29.68</v>
      </c>
      <c r="U418" s="47">
        <v>29.68</v>
      </c>
      <c r="V418" s="47">
        <v>29.68</v>
      </c>
      <c r="W418" s="47">
        <v>29.68</v>
      </c>
      <c r="X418" s="47">
        <v>29.68</v>
      </c>
      <c r="Y418" s="47">
        <v>29.68</v>
      </c>
      <c r="Z418" s="47">
        <v>29.68</v>
      </c>
      <c r="AA418" s="47">
        <v>29.68</v>
      </c>
      <c r="AB418" s="45">
        <f t="shared" si="10"/>
        <v>712.32</v>
      </c>
      <c r="AC418" s="37">
        <v>19</v>
      </c>
      <c r="AD418" s="92">
        <f>+AB418*AC418+AB419*AC419+AB420*AC420</f>
        <v>22081.919999999998</v>
      </c>
    </row>
    <row r="419" spans="2:30">
      <c r="B419" s="90"/>
      <c r="C419" s="44" t="s">
        <v>33</v>
      </c>
      <c r="D419" s="47">
        <v>29.68</v>
      </c>
      <c r="E419" s="47">
        <v>29.68</v>
      </c>
      <c r="F419" s="47">
        <v>29.68</v>
      </c>
      <c r="G419" s="47">
        <v>29.68</v>
      </c>
      <c r="H419" s="47">
        <v>29.68</v>
      </c>
      <c r="I419" s="47">
        <v>29.68</v>
      </c>
      <c r="J419" s="47">
        <v>29.68</v>
      </c>
      <c r="K419" s="47">
        <v>29.68</v>
      </c>
      <c r="L419" s="47">
        <v>29.68</v>
      </c>
      <c r="M419" s="47">
        <v>29.68</v>
      </c>
      <c r="N419" s="47">
        <v>29.68</v>
      </c>
      <c r="O419" s="47">
        <v>29.68</v>
      </c>
      <c r="P419" s="47">
        <v>29.68</v>
      </c>
      <c r="Q419" s="47">
        <v>29.68</v>
      </c>
      <c r="R419" s="47">
        <v>29.68</v>
      </c>
      <c r="S419" s="47">
        <v>29.68</v>
      </c>
      <c r="T419" s="47">
        <v>29.68</v>
      </c>
      <c r="U419" s="47">
        <v>29.68</v>
      </c>
      <c r="V419" s="47">
        <v>29.68</v>
      </c>
      <c r="W419" s="47">
        <v>29.68</v>
      </c>
      <c r="X419" s="47">
        <v>29.68</v>
      </c>
      <c r="Y419" s="47">
        <v>29.68</v>
      </c>
      <c r="Z419" s="47">
        <v>29.68</v>
      </c>
      <c r="AA419" s="47">
        <v>29.68</v>
      </c>
      <c r="AB419" s="45">
        <f t="shared" si="10"/>
        <v>712.32</v>
      </c>
      <c r="AC419" s="37">
        <v>5</v>
      </c>
      <c r="AD419" s="92"/>
    </row>
    <row r="420" spans="2:30">
      <c r="B420" s="90"/>
      <c r="C420" s="44" t="s">
        <v>34</v>
      </c>
      <c r="D420" s="47">
        <v>29.68</v>
      </c>
      <c r="E420" s="47">
        <v>29.68</v>
      </c>
      <c r="F420" s="47">
        <v>29.68</v>
      </c>
      <c r="G420" s="47">
        <v>29.68</v>
      </c>
      <c r="H420" s="47">
        <v>29.68</v>
      </c>
      <c r="I420" s="47">
        <v>29.68</v>
      </c>
      <c r="J420" s="47">
        <v>29.68</v>
      </c>
      <c r="K420" s="47">
        <v>29.68</v>
      </c>
      <c r="L420" s="47">
        <v>29.68</v>
      </c>
      <c r="M420" s="47">
        <v>29.68</v>
      </c>
      <c r="N420" s="47">
        <v>29.68</v>
      </c>
      <c r="O420" s="47">
        <v>29.68</v>
      </c>
      <c r="P420" s="47">
        <v>29.68</v>
      </c>
      <c r="Q420" s="47">
        <v>29.68</v>
      </c>
      <c r="R420" s="47">
        <v>29.68</v>
      </c>
      <c r="S420" s="47">
        <v>29.68</v>
      </c>
      <c r="T420" s="47">
        <v>29.68</v>
      </c>
      <c r="U420" s="47">
        <v>29.68</v>
      </c>
      <c r="V420" s="47">
        <v>29.68</v>
      </c>
      <c r="W420" s="47">
        <v>29.68</v>
      </c>
      <c r="X420" s="47">
        <v>29.68</v>
      </c>
      <c r="Y420" s="47">
        <v>29.68</v>
      </c>
      <c r="Z420" s="47">
        <v>29.68</v>
      </c>
      <c r="AA420" s="47">
        <v>29.68</v>
      </c>
      <c r="AB420" s="45">
        <f t="shared" si="10"/>
        <v>712.32</v>
      </c>
      <c r="AC420" s="37">
        <v>7</v>
      </c>
      <c r="AD420" s="92"/>
    </row>
    <row r="421" spans="2:30">
      <c r="B421" s="90">
        <v>50192</v>
      </c>
      <c r="C421" s="44" t="s">
        <v>32</v>
      </c>
      <c r="D421" s="47">
        <v>29.68</v>
      </c>
      <c r="E421" s="47">
        <v>29.68</v>
      </c>
      <c r="F421" s="47">
        <v>29.68</v>
      </c>
      <c r="G421" s="47">
        <v>29.68</v>
      </c>
      <c r="H421" s="47">
        <v>29.68</v>
      </c>
      <c r="I421" s="47">
        <v>29.68</v>
      </c>
      <c r="J421" s="47">
        <v>29.68</v>
      </c>
      <c r="K421" s="47">
        <v>29.68</v>
      </c>
      <c r="L421" s="47">
        <v>29.68</v>
      </c>
      <c r="M421" s="47">
        <v>29.68</v>
      </c>
      <c r="N421" s="47">
        <v>29.68</v>
      </c>
      <c r="O421" s="47">
        <v>29.68</v>
      </c>
      <c r="P421" s="47">
        <v>29.68</v>
      </c>
      <c r="Q421" s="47">
        <v>29.68</v>
      </c>
      <c r="R421" s="47">
        <v>29.68</v>
      </c>
      <c r="S421" s="47">
        <v>29.68</v>
      </c>
      <c r="T421" s="47">
        <v>29.68</v>
      </c>
      <c r="U421" s="47">
        <v>29.68</v>
      </c>
      <c r="V421" s="47">
        <v>29.68</v>
      </c>
      <c r="W421" s="47">
        <v>29.68</v>
      </c>
      <c r="X421" s="47">
        <v>29.68</v>
      </c>
      <c r="Y421" s="47">
        <v>29.68</v>
      </c>
      <c r="Z421" s="47">
        <v>29.68</v>
      </c>
      <c r="AA421" s="47">
        <v>29.68</v>
      </c>
      <c r="AB421" s="45">
        <f t="shared" si="10"/>
        <v>712.32</v>
      </c>
      <c r="AC421" s="37">
        <v>20</v>
      </c>
      <c r="AD421" s="92">
        <f>+AB421*AC421+AB422*AC422+AB423*AC423</f>
        <v>21369.599999999999</v>
      </c>
    </row>
    <row r="422" spans="2:30">
      <c r="B422" s="90"/>
      <c r="C422" s="44" t="s">
        <v>33</v>
      </c>
      <c r="D422" s="47">
        <v>29.68</v>
      </c>
      <c r="E422" s="47">
        <v>29.68</v>
      </c>
      <c r="F422" s="47">
        <v>29.68</v>
      </c>
      <c r="G422" s="47">
        <v>29.68</v>
      </c>
      <c r="H422" s="47">
        <v>29.68</v>
      </c>
      <c r="I422" s="47">
        <v>29.68</v>
      </c>
      <c r="J422" s="47">
        <v>29.68</v>
      </c>
      <c r="K422" s="47">
        <v>29.68</v>
      </c>
      <c r="L422" s="47">
        <v>29.68</v>
      </c>
      <c r="M422" s="47">
        <v>29.68</v>
      </c>
      <c r="N422" s="47">
        <v>29.68</v>
      </c>
      <c r="O422" s="47">
        <v>29.68</v>
      </c>
      <c r="P422" s="47">
        <v>29.68</v>
      </c>
      <c r="Q422" s="47">
        <v>29.68</v>
      </c>
      <c r="R422" s="47">
        <v>29.68</v>
      </c>
      <c r="S422" s="47">
        <v>29.68</v>
      </c>
      <c r="T422" s="47">
        <v>29.68</v>
      </c>
      <c r="U422" s="47">
        <v>29.68</v>
      </c>
      <c r="V422" s="47">
        <v>29.68</v>
      </c>
      <c r="W422" s="47">
        <v>29.68</v>
      </c>
      <c r="X422" s="47">
        <v>29.68</v>
      </c>
      <c r="Y422" s="47">
        <v>29.68</v>
      </c>
      <c r="Z422" s="47">
        <v>29.68</v>
      </c>
      <c r="AA422" s="47">
        <v>29.68</v>
      </c>
      <c r="AB422" s="45">
        <f t="shared" si="10"/>
        <v>712.32</v>
      </c>
      <c r="AC422" s="37">
        <v>4</v>
      </c>
      <c r="AD422" s="92"/>
    </row>
    <row r="423" spans="2:30">
      <c r="B423" s="90"/>
      <c r="C423" s="44" t="s">
        <v>34</v>
      </c>
      <c r="D423" s="47">
        <v>29.68</v>
      </c>
      <c r="E423" s="47">
        <v>29.68</v>
      </c>
      <c r="F423" s="47">
        <v>29.68</v>
      </c>
      <c r="G423" s="47">
        <v>29.68</v>
      </c>
      <c r="H423" s="47">
        <v>29.68</v>
      </c>
      <c r="I423" s="47">
        <v>29.68</v>
      </c>
      <c r="J423" s="47">
        <v>29.68</v>
      </c>
      <c r="K423" s="47">
        <v>29.68</v>
      </c>
      <c r="L423" s="47">
        <v>29.68</v>
      </c>
      <c r="M423" s="47">
        <v>29.68</v>
      </c>
      <c r="N423" s="47">
        <v>29.68</v>
      </c>
      <c r="O423" s="47">
        <v>29.68</v>
      </c>
      <c r="P423" s="47">
        <v>29.68</v>
      </c>
      <c r="Q423" s="47">
        <v>29.68</v>
      </c>
      <c r="R423" s="47">
        <v>29.68</v>
      </c>
      <c r="S423" s="47">
        <v>29.68</v>
      </c>
      <c r="T423" s="47">
        <v>29.68</v>
      </c>
      <c r="U423" s="47">
        <v>29.68</v>
      </c>
      <c r="V423" s="47">
        <v>29.68</v>
      </c>
      <c r="W423" s="47">
        <v>29.68</v>
      </c>
      <c r="X423" s="47">
        <v>29.68</v>
      </c>
      <c r="Y423" s="47">
        <v>29.68</v>
      </c>
      <c r="Z423" s="47">
        <v>29.68</v>
      </c>
      <c r="AA423" s="47">
        <v>29.68</v>
      </c>
      <c r="AB423" s="45">
        <f t="shared" si="10"/>
        <v>712.32</v>
      </c>
      <c r="AC423" s="37">
        <v>6</v>
      </c>
      <c r="AD423" s="92"/>
    </row>
    <row r="424" spans="2:30">
      <c r="B424" s="90">
        <v>50222</v>
      </c>
      <c r="C424" s="44" t="s">
        <v>32</v>
      </c>
      <c r="D424" s="47">
        <v>29.68</v>
      </c>
      <c r="E424" s="47">
        <v>29.68</v>
      </c>
      <c r="F424" s="47">
        <v>29.68</v>
      </c>
      <c r="G424" s="47">
        <v>29.68</v>
      </c>
      <c r="H424" s="47">
        <v>29.68</v>
      </c>
      <c r="I424" s="47">
        <v>29.68</v>
      </c>
      <c r="J424" s="47">
        <v>29.68</v>
      </c>
      <c r="K424" s="47">
        <v>29.68</v>
      </c>
      <c r="L424" s="47">
        <v>29.68</v>
      </c>
      <c r="M424" s="47">
        <v>29.68</v>
      </c>
      <c r="N424" s="47">
        <v>29.68</v>
      </c>
      <c r="O424" s="47">
        <v>29.68</v>
      </c>
      <c r="P424" s="47">
        <v>29.68</v>
      </c>
      <c r="Q424" s="47">
        <v>29.68</v>
      </c>
      <c r="R424" s="47">
        <v>29.68</v>
      </c>
      <c r="S424" s="47">
        <v>29.68</v>
      </c>
      <c r="T424" s="47">
        <v>29.68</v>
      </c>
      <c r="U424" s="47">
        <v>29.68</v>
      </c>
      <c r="V424" s="47">
        <v>29.68</v>
      </c>
      <c r="W424" s="47">
        <v>29.68</v>
      </c>
      <c r="X424" s="47">
        <v>29.68</v>
      </c>
      <c r="Y424" s="47">
        <v>29.68</v>
      </c>
      <c r="Z424" s="47">
        <v>29.68</v>
      </c>
      <c r="AA424" s="47">
        <v>29.68</v>
      </c>
      <c r="AB424" s="45">
        <f t="shared" si="10"/>
        <v>712.32</v>
      </c>
      <c r="AC424" s="37">
        <v>22</v>
      </c>
      <c r="AD424" s="92">
        <f>+AB424*AC424+AB425*AC425+AB426*AC426</f>
        <v>22081.919999999998</v>
      </c>
    </row>
    <row r="425" spans="2:30">
      <c r="B425" s="90"/>
      <c r="C425" s="44" t="s">
        <v>33</v>
      </c>
      <c r="D425" s="47">
        <v>29.68</v>
      </c>
      <c r="E425" s="47">
        <v>29.68</v>
      </c>
      <c r="F425" s="47">
        <v>29.68</v>
      </c>
      <c r="G425" s="47">
        <v>29.68</v>
      </c>
      <c r="H425" s="47">
        <v>29.68</v>
      </c>
      <c r="I425" s="47">
        <v>29.68</v>
      </c>
      <c r="J425" s="47">
        <v>29.68</v>
      </c>
      <c r="K425" s="47">
        <v>29.68</v>
      </c>
      <c r="L425" s="47">
        <v>29.68</v>
      </c>
      <c r="M425" s="47">
        <v>29.68</v>
      </c>
      <c r="N425" s="47">
        <v>29.68</v>
      </c>
      <c r="O425" s="47">
        <v>29.68</v>
      </c>
      <c r="P425" s="47">
        <v>29.68</v>
      </c>
      <c r="Q425" s="47">
        <v>29.68</v>
      </c>
      <c r="R425" s="47">
        <v>29.68</v>
      </c>
      <c r="S425" s="47">
        <v>29.68</v>
      </c>
      <c r="T425" s="47">
        <v>29.68</v>
      </c>
      <c r="U425" s="47">
        <v>29.68</v>
      </c>
      <c r="V425" s="47">
        <v>29.68</v>
      </c>
      <c r="W425" s="47">
        <v>29.68</v>
      </c>
      <c r="X425" s="47">
        <v>29.68</v>
      </c>
      <c r="Y425" s="47">
        <v>29.68</v>
      </c>
      <c r="Z425" s="47">
        <v>29.68</v>
      </c>
      <c r="AA425" s="47">
        <v>29.68</v>
      </c>
      <c r="AB425" s="45">
        <f t="shared" si="10"/>
        <v>712.32</v>
      </c>
      <c r="AC425" s="37">
        <v>4</v>
      </c>
      <c r="AD425" s="92"/>
    </row>
    <row r="426" spans="2:30">
      <c r="B426" s="90"/>
      <c r="C426" s="44" t="s">
        <v>34</v>
      </c>
      <c r="D426" s="47">
        <v>29.68</v>
      </c>
      <c r="E426" s="47">
        <v>29.68</v>
      </c>
      <c r="F426" s="47">
        <v>29.68</v>
      </c>
      <c r="G426" s="47">
        <v>29.68</v>
      </c>
      <c r="H426" s="47">
        <v>29.68</v>
      </c>
      <c r="I426" s="47">
        <v>29.68</v>
      </c>
      <c r="J426" s="47">
        <v>29.68</v>
      </c>
      <c r="K426" s="47">
        <v>29.68</v>
      </c>
      <c r="L426" s="47">
        <v>29.68</v>
      </c>
      <c r="M426" s="47">
        <v>29.68</v>
      </c>
      <c r="N426" s="47">
        <v>29.68</v>
      </c>
      <c r="O426" s="47">
        <v>29.68</v>
      </c>
      <c r="P426" s="47">
        <v>29.68</v>
      </c>
      <c r="Q426" s="47">
        <v>29.68</v>
      </c>
      <c r="R426" s="47">
        <v>29.68</v>
      </c>
      <c r="S426" s="47">
        <v>29.68</v>
      </c>
      <c r="T426" s="47">
        <v>29.68</v>
      </c>
      <c r="U426" s="47">
        <v>29.68</v>
      </c>
      <c r="V426" s="47">
        <v>29.68</v>
      </c>
      <c r="W426" s="47">
        <v>29.68</v>
      </c>
      <c r="X426" s="47">
        <v>29.68</v>
      </c>
      <c r="Y426" s="47">
        <v>29.68</v>
      </c>
      <c r="Z426" s="47">
        <v>29.68</v>
      </c>
      <c r="AA426" s="47">
        <v>29.68</v>
      </c>
      <c r="AB426" s="45">
        <f t="shared" si="10"/>
        <v>712.32</v>
      </c>
      <c r="AC426" s="37">
        <v>5</v>
      </c>
      <c r="AD426" s="92"/>
    </row>
    <row r="427" spans="2:30">
      <c r="B427" s="90">
        <v>50253</v>
      </c>
      <c r="C427" s="44" t="s">
        <v>32</v>
      </c>
      <c r="D427" s="47">
        <v>29.68</v>
      </c>
      <c r="E427" s="47">
        <v>29.68</v>
      </c>
      <c r="F427" s="47">
        <v>29.68</v>
      </c>
      <c r="G427" s="47">
        <v>29.68</v>
      </c>
      <c r="H427" s="47">
        <v>29.68</v>
      </c>
      <c r="I427" s="47">
        <v>29.68</v>
      </c>
      <c r="J427" s="47">
        <v>29.68</v>
      </c>
      <c r="K427" s="47">
        <v>29.68</v>
      </c>
      <c r="L427" s="47">
        <v>29.68</v>
      </c>
      <c r="M427" s="47">
        <v>29.68</v>
      </c>
      <c r="N427" s="47">
        <v>29.68</v>
      </c>
      <c r="O427" s="47">
        <v>29.68</v>
      </c>
      <c r="P427" s="47">
        <v>29.68</v>
      </c>
      <c r="Q427" s="47">
        <v>29.68</v>
      </c>
      <c r="R427" s="47">
        <v>29.68</v>
      </c>
      <c r="S427" s="47">
        <v>29.68</v>
      </c>
      <c r="T427" s="47">
        <v>29.68</v>
      </c>
      <c r="U427" s="47">
        <v>29.68</v>
      </c>
      <c r="V427" s="47">
        <v>29.68</v>
      </c>
      <c r="W427" s="47">
        <v>29.68</v>
      </c>
      <c r="X427" s="47">
        <v>29.68</v>
      </c>
      <c r="Y427" s="47">
        <v>29.68</v>
      </c>
      <c r="Z427" s="47">
        <v>29.68</v>
      </c>
      <c r="AA427" s="47">
        <v>29.68</v>
      </c>
      <c r="AB427" s="45">
        <f t="shared" si="10"/>
        <v>712.32</v>
      </c>
      <c r="AC427" s="37">
        <v>19</v>
      </c>
      <c r="AD427" s="92">
        <f>+AB427*AC427+AB428*AC428+AB429*AC429</f>
        <v>22081.919999999998</v>
      </c>
    </row>
    <row r="428" spans="2:30">
      <c r="B428" s="90"/>
      <c r="C428" s="44" t="s">
        <v>33</v>
      </c>
      <c r="D428" s="47">
        <v>29.68</v>
      </c>
      <c r="E428" s="47">
        <v>29.68</v>
      </c>
      <c r="F428" s="47">
        <v>29.68</v>
      </c>
      <c r="G428" s="47">
        <v>29.68</v>
      </c>
      <c r="H428" s="47">
        <v>29.68</v>
      </c>
      <c r="I428" s="47">
        <v>29.68</v>
      </c>
      <c r="J428" s="47">
        <v>29.68</v>
      </c>
      <c r="K428" s="47">
        <v>29.68</v>
      </c>
      <c r="L428" s="47">
        <v>29.68</v>
      </c>
      <c r="M428" s="47">
        <v>29.68</v>
      </c>
      <c r="N428" s="47">
        <v>29.68</v>
      </c>
      <c r="O428" s="47">
        <v>29.68</v>
      </c>
      <c r="P428" s="47">
        <v>29.68</v>
      </c>
      <c r="Q428" s="47">
        <v>29.68</v>
      </c>
      <c r="R428" s="47">
        <v>29.68</v>
      </c>
      <c r="S428" s="47">
        <v>29.68</v>
      </c>
      <c r="T428" s="47">
        <v>29.68</v>
      </c>
      <c r="U428" s="47">
        <v>29.68</v>
      </c>
      <c r="V428" s="47">
        <v>29.68</v>
      </c>
      <c r="W428" s="47">
        <v>29.68</v>
      </c>
      <c r="X428" s="47">
        <v>29.68</v>
      </c>
      <c r="Y428" s="47">
        <v>29.68</v>
      </c>
      <c r="Z428" s="47">
        <v>29.68</v>
      </c>
      <c r="AA428" s="47">
        <v>29.68</v>
      </c>
      <c r="AB428" s="45">
        <f t="shared" si="10"/>
        <v>712.32</v>
      </c>
      <c r="AC428" s="37">
        <v>5</v>
      </c>
      <c r="AD428" s="92"/>
    </row>
    <row r="429" spans="2:30">
      <c r="B429" s="90"/>
      <c r="C429" s="44" t="s">
        <v>34</v>
      </c>
      <c r="D429" s="47">
        <v>29.68</v>
      </c>
      <c r="E429" s="47">
        <v>29.68</v>
      </c>
      <c r="F429" s="47">
        <v>29.68</v>
      </c>
      <c r="G429" s="47">
        <v>29.68</v>
      </c>
      <c r="H429" s="47">
        <v>29.68</v>
      </c>
      <c r="I429" s="47">
        <v>29.68</v>
      </c>
      <c r="J429" s="47">
        <v>29.68</v>
      </c>
      <c r="K429" s="47">
        <v>29.68</v>
      </c>
      <c r="L429" s="47">
        <v>29.68</v>
      </c>
      <c r="M429" s="47">
        <v>29.68</v>
      </c>
      <c r="N429" s="47">
        <v>29.68</v>
      </c>
      <c r="O429" s="47">
        <v>29.68</v>
      </c>
      <c r="P429" s="47">
        <v>29.68</v>
      </c>
      <c r="Q429" s="47">
        <v>29.68</v>
      </c>
      <c r="R429" s="47">
        <v>29.68</v>
      </c>
      <c r="S429" s="47">
        <v>29.68</v>
      </c>
      <c r="T429" s="47">
        <v>29.68</v>
      </c>
      <c r="U429" s="47">
        <v>29.68</v>
      </c>
      <c r="V429" s="47">
        <v>29.68</v>
      </c>
      <c r="W429" s="47">
        <v>29.68</v>
      </c>
      <c r="X429" s="47">
        <v>29.68</v>
      </c>
      <c r="Y429" s="47">
        <v>29.68</v>
      </c>
      <c r="Z429" s="47">
        <v>29.68</v>
      </c>
      <c r="AA429" s="47">
        <v>29.68</v>
      </c>
      <c r="AB429" s="45">
        <f t="shared" si="10"/>
        <v>712.32</v>
      </c>
      <c r="AC429" s="37">
        <v>7</v>
      </c>
      <c r="AD429" s="92"/>
    </row>
    <row r="430" spans="2:30">
      <c r="B430" s="90">
        <v>50284</v>
      </c>
      <c r="C430" s="44" t="s">
        <v>32</v>
      </c>
      <c r="D430" s="47">
        <v>29.68</v>
      </c>
      <c r="E430" s="47">
        <v>29.68</v>
      </c>
      <c r="F430" s="47">
        <v>29.68</v>
      </c>
      <c r="G430" s="47">
        <v>29.68</v>
      </c>
      <c r="H430" s="47">
        <v>29.68</v>
      </c>
      <c r="I430" s="47">
        <v>29.68</v>
      </c>
      <c r="J430" s="47">
        <v>29.68</v>
      </c>
      <c r="K430" s="47">
        <v>29.68</v>
      </c>
      <c r="L430" s="47">
        <v>29.68</v>
      </c>
      <c r="M430" s="47">
        <v>29.68</v>
      </c>
      <c r="N430" s="47">
        <v>29.68</v>
      </c>
      <c r="O430" s="47">
        <v>29.68</v>
      </c>
      <c r="P430" s="47">
        <v>29.68</v>
      </c>
      <c r="Q430" s="47">
        <v>29.68</v>
      </c>
      <c r="R430" s="47">
        <v>29.68</v>
      </c>
      <c r="S430" s="47">
        <v>29.68</v>
      </c>
      <c r="T430" s="47">
        <v>29.68</v>
      </c>
      <c r="U430" s="47">
        <v>29.68</v>
      </c>
      <c r="V430" s="47">
        <v>29.68</v>
      </c>
      <c r="W430" s="47">
        <v>29.68</v>
      </c>
      <c r="X430" s="47">
        <v>29.68</v>
      </c>
      <c r="Y430" s="47">
        <v>29.68</v>
      </c>
      <c r="Z430" s="47">
        <v>29.68</v>
      </c>
      <c r="AA430" s="47">
        <v>29.68</v>
      </c>
      <c r="AB430" s="45">
        <f t="shared" si="10"/>
        <v>712.32</v>
      </c>
      <c r="AC430" s="37">
        <v>22</v>
      </c>
      <c r="AD430" s="92">
        <f>+AB430*AC430+AB431*AC431+AB432*AC432</f>
        <v>21369.599999999999</v>
      </c>
    </row>
    <row r="431" spans="2:30">
      <c r="B431" s="90"/>
      <c r="C431" s="44" t="s">
        <v>33</v>
      </c>
      <c r="D431" s="47">
        <v>29.68</v>
      </c>
      <c r="E431" s="47">
        <v>29.68</v>
      </c>
      <c r="F431" s="47">
        <v>29.68</v>
      </c>
      <c r="G431" s="47">
        <v>29.68</v>
      </c>
      <c r="H431" s="47">
        <v>29.68</v>
      </c>
      <c r="I431" s="47">
        <v>29.68</v>
      </c>
      <c r="J431" s="47">
        <v>29.68</v>
      </c>
      <c r="K431" s="47">
        <v>29.68</v>
      </c>
      <c r="L431" s="47">
        <v>29.68</v>
      </c>
      <c r="M431" s="47">
        <v>29.68</v>
      </c>
      <c r="N431" s="47">
        <v>29.68</v>
      </c>
      <c r="O431" s="47">
        <v>29.68</v>
      </c>
      <c r="P431" s="47">
        <v>29.68</v>
      </c>
      <c r="Q431" s="47">
        <v>29.68</v>
      </c>
      <c r="R431" s="47">
        <v>29.68</v>
      </c>
      <c r="S431" s="47">
        <v>29.68</v>
      </c>
      <c r="T431" s="47">
        <v>29.68</v>
      </c>
      <c r="U431" s="47">
        <v>29.68</v>
      </c>
      <c r="V431" s="47">
        <v>29.68</v>
      </c>
      <c r="W431" s="47">
        <v>29.68</v>
      </c>
      <c r="X431" s="47">
        <v>29.68</v>
      </c>
      <c r="Y431" s="47">
        <v>29.68</v>
      </c>
      <c r="Z431" s="47">
        <v>29.68</v>
      </c>
      <c r="AA431" s="47">
        <v>29.68</v>
      </c>
      <c r="AB431" s="45">
        <f t="shared" si="10"/>
        <v>712.32</v>
      </c>
      <c r="AC431" s="37">
        <v>4</v>
      </c>
      <c r="AD431" s="92"/>
    </row>
    <row r="432" spans="2:30">
      <c r="B432" s="90"/>
      <c r="C432" s="44" t="s">
        <v>34</v>
      </c>
      <c r="D432" s="47">
        <v>29.68</v>
      </c>
      <c r="E432" s="47">
        <v>29.68</v>
      </c>
      <c r="F432" s="47">
        <v>29.68</v>
      </c>
      <c r="G432" s="47">
        <v>29.68</v>
      </c>
      <c r="H432" s="47">
        <v>29.68</v>
      </c>
      <c r="I432" s="47">
        <v>29.68</v>
      </c>
      <c r="J432" s="47">
        <v>29.68</v>
      </c>
      <c r="K432" s="47">
        <v>29.68</v>
      </c>
      <c r="L432" s="47">
        <v>29.68</v>
      </c>
      <c r="M432" s="47">
        <v>29.68</v>
      </c>
      <c r="N432" s="47">
        <v>29.68</v>
      </c>
      <c r="O432" s="47">
        <v>29.68</v>
      </c>
      <c r="P432" s="47">
        <v>29.68</v>
      </c>
      <c r="Q432" s="47">
        <v>29.68</v>
      </c>
      <c r="R432" s="47">
        <v>29.68</v>
      </c>
      <c r="S432" s="47">
        <v>29.68</v>
      </c>
      <c r="T432" s="47">
        <v>29.68</v>
      </c>
      <c r="U432" s="47">
        <v>29.68</v>
      </c>
      <c r="V432" s="47">
        <v>29.68</v>
      </c>
      <c r="W432" s="47">
        <v>29.68</v>
      </c>
      <c r="X432" s="47">
        <v>29.68</v>
      </c>
      <c r="Y432" s="47">
        <v>29.68</v>
      </c>
      <c r="Z432" s="47">
        <v>29.68</v>
      </c>
      <c r="AA432" s="47">
        <v>29.68</v>
      </c>
      <c r="AB432" s="45">
        <f t="shared" si="10"/>
        <v>712.32</v>
      </c>
      <c r="AC432" s="37">
        <v>4</v>
      </c>
      <c r="AD432" s="92"/>
    </row>
    <row r="433" spans="2:30">
      <c r="B433" s="90">
        <v>50314</v>
      </c>
      <c r="C433" s="44" t="s">
        <v>32</v>
      </c>
      <c r="D433" s="47">
        <v>29.68</v>
      </c>
      <c r="E433" s="47">
        <v>29.68</v>
      </c>
      <c r="F433" s="47">
        <v>29.68</v>
      </c>
      <c r="G433" s="47">
        <v>29.68</v>
      </c>
      <c r="H433" s="47">
        <v>29.68</v>
      </c>
      <c r="I433" s="47">
        <v>29.68</v>
      </c>
      <c r="J433" s="47">
        <v>29.68</v>
      </c>
      <c r="K433" s="47">
        <v>29.68</v>
      </c>
      <c r="L433" s="47">
        <v>29.68</v>
      </c>
      <c r="M433" s="47">
        <v>29.68</v>
      </c>
      <c r="N433" s="47">
        <v>29.68</v>
      </c>
      <c r="O433" s="47">
        <v>29.68</v>
      </c>
      <c r="P433" s="47">
        <v>29.68</v>
      </c>
      <c r="Q433" s="47">
        <v>29.68</v>
      </c>
      <c r="R433" s="47">
        <v>29.68</v>
      </c>
      <c r="S433" s="47">
        <v>29.68</v>
      </c>
      <c r="T433" s="47">
        <v>29.68</v>
      </c>
      <c r="U433" s="47">
        <v>29.68</v>
      </c>
      <c r="V433" s="47">
        <v>29.68</v>
      </c>
      <c r="W433" s="47">
        <v>29.68</v>
      </c>
      <c r="X433" s="47">
        <v>29.68</v>
      </c>
      <c r="Y433" s="47">
        <v>29.68</v>
      </c>
      <c r="Z433" s="47">
        <v>29.68</v>
      </c>
      <c r="AA433" s="47">
        <v>29.68</v>
      </c>
      <c r="AB433" s="45">
        <f t="shared" si="10"/>
        <v>712.32</v>
      </c>
      <c r="AC433" s="37">
        <v>21</v>
      </c>
      <c r="AD433" s="92">
        <f>+AB433*AC433+AB434*AC434+AB435*AC435</f>
        <v>22081.919999999998</v>
      </c>
    </row>
    <row r="434" spans="2:30">
      <c r="B434" s="90"/>
      <c r="C434" s="44" t="s">
        <v>33</v>
      </c>
      <c r="D434" s="47">
        <v>29.68</v>
      </c>
      <c r="E434" s="47">
        <v>29.68</v>
      </c>
      <c r="F434" s="47">
        <v>29.68</v>
      </c>
      <c r="G434" s="47">
        <v>29.68</v>
      </c>
      <c r="H434" s="47">
        <v>29.68</v>
      </c>
      <c r="I434" s="47">
        <v>29.68</v>
      </c>
      <c r="J434" s="47">
        <v>29.68</v>
      </c>
      <c r="K434" s="47">
        <v>29.68</v>
      </c>
      <c r="L434" s="47">
        <v>29.68</v>
      </c>
      <c r="M434" s="47">
        <v>29.68</v>
      </c>
      <c r="N434" s="47">
        <v>29.68</v>
      </c>
      <c r="O434" s="47">
        <v>29.68</v>
      </c>
      <c r="P434" s="47">
        <v>29.68</v>
      </c>
      <c r="Q434" s="47">
        <v>29.68</v>
      </c>
      <c r="R434" s="47">
        <v>29.68</v>
      </c>
      <c r="S434" s="47">
        <v>29.68</v>
      </c>
      <c r="T434" s="47">
        <v>29.68</v>
      </c>
      <c r="U434" s="47">
        <v>29.68</v>
      </c>
      <c r="V434" s="47">
        <v>29.68</v>
      </c>
      <c r="W434" s="47">
        <v>29.68</v>
      </c>
      <c r="X434" s="47">
        <v>29.68</v>
      </c>
      <c r="Y434" s="47">
        <v>29.68</v>
      </c>
      <c r="Z434" s="47">
        <v>29.68</v>
      </c>
      <c r="AA434" s="47">
        <v>29.68</v>
      </c>
      <c r="AB434" s="45">
        <f t="shared" si="10"/>
        <v>712.32</v>
      </c>
      <c r="AC434" s="37">
        <v>5</v>
      </c>
      <c r="AD434" s="92"/>
    </row>
    <row r="435" spans="2:30">
      <c r="B435" s="90"/>
      <c r="C435" s="44" t="s">
        <v>34</v>
      </c>
      <c r="D435" s="47">
        <v>29.68</v>
      </c>
      <c r="E435" s="47">
        <v>29.68</v>
      </c>
      <c r="F435" s="47">
        <v>29.68</v>
      </c>
      <c r="G435" s="47">
        <v>29.68</v>
      </c>
      <c r="H435" s="47">
        <v>29.68</v>
      </c>
      <c r="I435" s="47">
        <v>29.68</v>
      </c>
      <c r="J435" s="47">
        <v>29.68</v>
      </c>
      <c r="K435" s="47">
        <v>29.68</v>
      </c>
      <c r="L435" s="47">
        <v>29.68</v>
      </c>
      <c r="M435" s="47">
        <v>29.68</v>
      </c>
      <c r="N435" s="47">
        <v>29.68</v>
      </c>
      <c r="O435" s="47">
        <v>29.68</v>
      </c>
      <c r="P435" s="47">
        <v>29.68</v>
      </c>
      <c r="Q435" s="47">
        <v>29.68</v>
      </c>
      <c r="R435" s="47">
        <v>29.68</v>
      </c>
      <c r="S435" s="47">
        <v>29.68</v>
      </c>
      <c r="T435" s="47">
        <v>29.68</v>
      </c>
      <c r="U435" s="47">
        <v>29.68</v>
      </c>
      <c r="V435" s="47">
        <v>29.68</v>
      </c>
      <c r="W435" s="47">
        <v>29.68</v>
      </c>
      <c r="X435" s="47">
        <v>29.68</v>
      </c>
      <c r="Y435" s="47">
        <v>29.68</v>
      </c>
      <c r="Z435" s="47">
        <v>29.68</v>
      </c>
      <c r="AA435" s="47">
        <v>29.68</v>
      </c>
      <c r="AB435" s="45">
        <f t="shared" si="10"/>
        <v>712.32</v>
      </c>
      <c r="AC435" s="37">
        <v>5</v>
      </c>
      <c r="AD435" s="92"/>
    </row>
    <row r="436" spans="2:30">
      <c r="B436" s="90">
        <v>50345</v>
      </c>
      <c r="C436" s="44" t="s">
        <v>32</v>
      </c>
      <c r="D436" s="47">
        <v>29.68</v>
      </c>
      <c r="E436" s="47">
        <v>29.68</v>
      </c>
      <c r="F436" s="47">
        <v>29.68</v>
      </c>
      <c r="G436" s="47">
        <v>29.68</v>
      </c>
      <c r="H436" s="47">
        <v>29.68</v>
      </c>
      <c r="I436" s="47">
        <v>29.68</v>
      </c>
      <c r="J436" s="47">
        <v>29.68</v>
      </c>
      <c r="K436" s="47">
        <v>29.68</v>
      </c>
      <c r="L436" s="47">
        <v>29.68</v>
      </c>
      <c r="M436" s="47">
        <v>29.68</v>
      </c>
      <c r="N436" s="47">
        <v>29.68</v>
      </c>
      <c r="O436" s="47">
        <v>29.68</v>
      </c>
      <c r="P436" s="47">
        <v>29.68</v>
      </c>
      <c r="Q436" s="47">
        <v>29.68</v>
      </c>
      <c r="R436" s="47">
        <v>29.68</v>
      </c>
      <c r="S436" s="47">
        <v>29.68</v>
      </c>
      <c r="T436" s="47">
        <v>29.68</v>
      </c>
      <c r="U436" s="47">
        <v>29.68</v>
      </c>
      <c r="V436" s="47">
        <v>29.68</v>
      </c>
      <c r="W436" s="47">
        <v>29.68</v>
      </c>
      <c r="X436" s="47">
        <v>29.68</v>
      </c>
      <c r="Y436" s="47">
        <v>29.68</v>
      </c>
      <c r="Z436" s="47">
        <v>29.68</v>
      </c>
      <c r="AA436" s="47">
        <v>29.68</v>
      </c>
      <c r="AB436" s="45">
        <f t="shared" si="10"/>
        <v>712.32</v>
      </c>
      <c r="AC436" s="37">
        <v>19</v>
      </c>
      <c r="AD436" s="92">
        <f>+AB436*AC436+AB437*AC437+AB438*AC438</f>
        <v>21369.599999999999</v>
      </c>
    </row>
    <row r="437" spans="2:30">
      <c r="B437" s="90"/>
      <c r="C437" s="44" t="s">
        <v>33</v>
      </c>
      <c r="D437" s="47">
        <v>29.68</v>
      </c>
      <c r="E437" s="47">
        <v>29.68</v>
      </c>
      <c r="F437" s="47">
        <v>29.68</v>
      </c>
      <c r="G437" s="47">
        <v>29.68</v>
      </c>
      <c r="H437" s="47">
        <v>29.68</v>
      </c>
      <c r="I437" s="47">
        <v>29.68</v>
      </c>
      <c r="J437" s="47">
        <v>29.68</v>
      </c>
      <c r="K437" s="47">
        <v>29.68</v>
      </c>
      <c r="L437" s="47">
        <v>29.68</v>
      </c>
      <c r="M437" s="47">
        <v>29.68</v>
      </c>
      <c r="N437" s="47">
        <v>29.68</v>
      </c>
      <c r="O437" s="47">
        <v>29.68</v>
      </c>
      <c r="P437" s="47">
        <v>29.68</v>
      </c>
      <c r="Q437" s="47">
        <v>29.68</v>
      </c>
      <c r="R437" s="47">
        <v>29.68</v>
      </c>
      <c r="S437" s="47">
        <v>29.68</v>
      </c>
      <c r="T437" s="47">
        <v>29.68</v>
      </c>
      <c r="U437" s="47">
        <v>29.68</v>
      </c>
      <c r="V437" s="47">
        <v>29.68</v>
      </c>
      <c r="W437" s="47">
        <v>29.68</v>
      </c>
      <c r="X437" s="47">
        <v>29.68</v>
      </c>
      <c r="Y437" s="47">
        <v>29.68</v>
      </c>
      <c r="Z437" s="47">
        <v>29.68</v>
      </c>
      <c r="AA437" s="47">
        <v>29.68</v>
      </c>
      <c r="AB437" s="45">
        <f t="shared" si="10"/>
        <v>712.32</v>
      </c>
      <c r="AC437" s="37">
        <v>4</v>
      </c>
      <c r="AD437" s="92"/>
    </row>
    <row r="438" spans="2:30">
      <c r="B438" s="90"/>
      <c r="C438" s="44" t="s">
        <v>34</v>
      </c>
      <c r="D438" s="47">
        <v>29.68</v>
      </c>
      <c r="E438" s="47">
        <v>29.68</v>
      </c>
      <c r="F438" s="47">
        <v>29.68</v>
      </c>
      <c r="G438" s="47">
        <v>29.68</v>
      </c>
      <c r="H438" s="47">
        <v>29.68</v>
      </c>
      <c r="I438" s="47">
        <v>29.68</v>
      </c>
      <c r="J438" s="47">
        <v>29.68</v>
      </c>
      <c r="K438" s="47">
        <v>29.68</v>
      </c>
      <c r="L438" s="47">
        <v>29.68</v>
      </c>
      <c r="M438" s="47">
        <v>29.68</v>
      </c>
      <c r="N438" s="47">
        <v>29.68</v>
      </c>
      <c r="O438" s="47">
        <v>29.68</v>
      </c>
      <c r="P438" s="47">
        <v>29.68</v>
      </c>
      <c r="Q438" s="47">
        <v>29.68</v>
      </c>
      <c r="R438" s="47">
        <v>29.68</v>
      </c>
      <c r="S438" s="47">
        <v>29.68</v>
      </c>
      <c r="T438" s="47">
        <v>29.68</v>
      </c>
      <c r="U438" s="47">
        <v>29.68</v>
      </c>
      <c r="V438" s="47">
        <v>29.68</v>
      </c>
      <c r="W438" s="47">
        <v>29.68</v>
      </c>
      <c r="X438" s="47">
        <v>29.68</v>
      </c>
      <c r="Y438" s="47">
        <v>29.68</v>
      </c>
      <c r="Z438" s="47">
        <v>29.68</v>
      </c>
      <c r="AA438" s="47">
        <v>29.68</v>
      </c>
      <c r="AB438" s="45">
        <f t="shared" si="10"/>
        <v>712.32</v>
      </c>
      <c r="AC438" s="37">
        <v>7</v>
      </c>
      <c r="AD438" s="92"/>
    </row>
    <row r="439" spans="2:30">
      <c r="B439" s="90">
        <v>50375</v>
      </c>
      <c r="C439" s="44" t="s">
        <v>32</v>
      </c>
      <c r="D439" s="47">
        <v>29.68</v>
      </c>
      <c r="E439" s="47">
        <v>29.68</v>
      </c>
      <c r="F439" s="47">
        <v>29.68</v>
      </c>
      <c r="G439" s="47">
        <v>29.68</v>
      </c>
      <c r="H439" s="47">
        <v>29.68</v>
      </c>
      <c r="I439" s="47">
        <v>29.68</v>
      </c>
      <c r="J439" s="47">
        <v>29.68</v>
      </c>
      <c r="K439" s="47">
        <v>29.68</v>
      </c>
      <c r="L439" s="47">
        <v>29.68</v>
      </c>
      <c r="M439" s="47">
        <v>29.68</v>
      </c>
      <c r="N439" s="47">
        <v>29.68</v>
      </c>
      <c r="O439" s="47">
        <v>29.68</v>
      </c>
      <c r="P439" s="47">
        <v>29.68</v>
      </c>
      <c r="Q439" s="47">
        <v>29.68</v>
      </c>
      <c r="R439" s="47">
        <v>29.68</v>
      </c>
      <c r="S439" s="47">
        <v>29.68</v>
      </c>
      <c r="T439" s="47">
        <v>29.68</v>
      </c>
      <c r="U439" s="47">
        <v>29.68</v>
      </c>
      <c r="V439" s="47">
        <v>29.68</v>
      </c>
      <c r="W439" s="47">
        <v>29.68</v>
      </c>
      <c r="X439" s="47">
        <v>29.68</v>
      </c>
      <c r="Y439" s="47">
        <v>29.68</v>
      </c>
      <c r="Z439" s="47">
        <v>29.68</v>
      </c>
      <c r="AA439" s="47">
        <v>29.68</v>
      </c>
      <c r="AB439" s="45">
        <f t="shared" si="10"/>
        <v>712.32</v>
      </c>
      <c r="AC439" s="37">
        <v>21</v>
      </c>
      <c r="AD439" s="92">
        <f>+AB439*AC439+AB440*AC440+AB441*AC441</f>
        <v>22081.919999999998</v>
      </c>
    </row>
    <row r="440" spans="2:30">
      <c r="B440" s="90"/>
      <c r="C440" s="44" t="s">
        <v>33</v>
      </c>
      <c r="D440" s="47">
        <v>29.68</v>
      </c>
      <c r="E440" s="47">
        <v>29.68</v>
      </c>
      <c r="F440" s="47">
        <v>29.68</v>
      </c>
      <c r="G440" s="47">
        <v>29.68</v>
      </c>
      <c r="H440" s="47">
        <v>29.68</v>
      </c>
      <c r="I440" s="47">
        <v>29.68</v>
      </c>
      <c r="J440" s="47">
        <v>29.68</v>
      </c>
      <c r="K440" s="47">
        <v>29.68</v>
      </c>
      <c r="L440" s="47">
        <v>29.68</v>
      </c>
      <c r="M440" s="47">
        <v>29.68</v>
      </c>
      <c r="N440" s="47">
        <v>29.68</v>
      </c>
      <c r="O440" s="47">
        <v>29.68</v>
      </c>
      <c r="P440" s="47">
        <v>29.68</v>
      </c>
      <c r="Q440" s="47">
        <v>29.68</v>
      </c>
      <c r="R440" s="47">
        <v>29.68</v>
      </c>
      <c r="S440" s="47">
        <v>29.68</v>
      </c>
      <c r="T440" s="47">
        <v>29.68</v>
      </c>
      <c r="U440" s="47">
        <v>29.68</v>
      </c>
      <c r="V440" s="47">
        <v>29.68</v>
      </c>
      <c r="W440" s="47">
        <v>29.68</v>
      </c>
      <c r="X440" s="47">
        <v>29.68</v>
      </c>
      <c r="Y440" s="47">
        <v>29.68</v>
      </c>
      <c r="Z440" s="47">
        <v>29.68</v>
      </c>
      <c r="AA440" s="47">
        <v>29.68</v>
      </c>
      <c r="AB440" s="45">
        <f t="shared" si="10"/>
        <v>712.32</v>
      </c>
      <c r="AC440" s="37">
        <v>4</v>
      </c>
      <c r="AD440" s="92"/>
    </row>
    <row r="441" spans="2:30">
      <c r="B441" s="90"/>
      <c r="C441" s="44" t="s">
        <v>34</v>
      </c>
      <c r="D441" s="47">
        <v>29.68</v>
      </c>
      <c r="E441" s="47">
        <v>29.68</v>
      </c>
      <c r="F441" s="47">
        <v>29.68</v>
      </c>
      <c r="G441" s="47">
        <v>29.68</v>
      </c>
      <c r="H441" s="47">
        <v>29.68</v>
      </c>
      <c r="I441" s="47">
        <v>29.68</v>
      </c>
      <c r="J441" s="47">
        <v>29.68</v>
      </c>
      <c r="K441" s="47">
        <v>29.68</v>
      </c>
      <c r="L441" s="47">
        <v>29.68</v>
      </c>
      <c r="M441" s="47">
        <v>29.68</v>
      </c>
      <c r="N441" s="47">
        <v>29.68</v>
      </c>
      <c r="O441" s="47">
        <v>29.68</v>
      </c>
      <c r="P441" s="47">
        <v>29.68</v>
      </c>
      <c r="Q441" s="47">
        <v>29.68</v>
      </c>
      <c r="R441" s="47">
        <v>29.68</v>
      </c>
      <c r="S441" s="47">
        <v>29.68</v>
      </c>
      <c r="T441" s="47">
        <v>29.68</v>
      </c>
      <c r="U441" s="47">
        <v>29.68</v>
      </c>
      <c r="V441" s="47">
        <v>29.68</v>
      </c>
      <c r="W441" s="47">
        <v>29.68</v>
      </c>
      <c r="X441" s="47">
        <v>29.68</v>
      </c>
      <c r="Y441" s="47">
        <v>29.68</v>
      </c>
      <c r="Z441" s="47">
        <v>29.68</v>
      </c>
      <c r="AA441" s="47">
        <v>29.68</v>
      </c>
      <c r="AB441" s="45">
        <f t="shared" si="10"/>
        <v>712.32</v>
      </c>
      <c r="AC441" s="37">
        <v>6</v>
      </c>
      <c r="AD441" s="92"/>
    </row>
    <row r="442" spans="2:30"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86" t="s">
        <v>35</v>
      </c>
      <c r="AB442" s="87"/>
      <c r="AC442" s="88"/>
      <c r="AD442" s="39">
        <f>SUM(AD406:AD441)</f>
        <v>259996.79999999999</v>
      </c>
    </row>
  </sheetData>
  <mergeCells count="275">
    <mergeCell ref="AD436:AD438"/>
    <mergeCell ref="AD439:AD441"/>
    <mergeCell ref="AD409:AD411"/>
    <mergeCell ref="AD412:AD414"/>
    <mergeCell ref="AD415:AD417"/>
    <mergeCell ref="AD418:AD420"/>
    <mergeCell ref="AD421:AD423"/>
    <mergeCell ref="AD424:AD426"/>
    <mergeCell ref="AD427:AD429"/>
    <mergeCell ref="AD430:AD432"/>
    <mergeCell ref="AD433:AD435"/>
    <mergeCell ref="AD378:AD380"/>
    <mergeCell ref="AD381:AD383"/>
    <mergeCell ref="AD384:AD386"/>
    <mergeCell ref="AD387:AD389"/>
    <mergeCell ref="AD390:AD392"/>
    <mergeCell ref="AD393:AD395"/>
    <mergeCell ref="AD396:AD398"/>
    <mergeCell ref="AD399:AD401"/>
    <mergeCell ref="AD406:AD408"/>
    <mergeCell ref="AD347:AD349"/>
    <mergeCell ref="AD350:AD352"/>
    <mergeCell ref="AD353:AD355"/>
    <mergeCell ref="AD356:AD358"/>
    <mergeCell ref="AD359:AD361"/>
    <mergeCell ref="AD366:AD368"/>
    <mergeCell ref="AD369:AD371"/>
    <mergeCell ref="AD372:AD374"/>
    <mergeCell ref="AD375:AD377"/>
    <mergeCell ref="AD316:AD318"/>
    <mergeCell ref="AD319:AD321"/>
    <mergeCell ref="AD326:AD328"/>
    <mergeCell ref="AD329:AD331"/>
    <mergeCell ref="AD332:AD334"/>
    <mergeCell ref="AD335:AD337"/>
    <mergeCell ref="AD338:AD340"/>
    <mergeCell ref="AD341:AD343"/>
    <mergeCell ref="AD344:AD346"/>
    <mergeCell ref="AD289:AD291"/>
    <mergeCell ref="AD292:AD294"/>
    <mergeCell ref="AD295:AD297"/>
    <mergeCell ref="AD298:AD300"/>
    <mergeCell ref="AD301:AD303"/>
    <mergeCell ref="AD304:AD306"/>
    <mergeCell ref="AD307:AD309"/>
    <mergeCell ref="AD310:AD312"/>
    <mergeCell ref="AD313:AD315"/>
    <mergeCell ref="AD258:AD260"/>
    <mergeCell ref="AD261:AD263"/>
    <mergeCell ref="AD264:AD266"/>
    <mergeCell ref="AD267:AD269"/>
    <mergeCell ref="AD270:AD272"/>
    <mergeCell ref="AD273:AD275"/>
    <mergeCell ref="AD276:AD278"/>
    <mergeCell ref="AD279:AD281"/>
    <mergeCell ref="AD286:AD288"/>
    <mergeCell ref="AD227:AD229"/>
    <mergeCell ref="AD230:AD232"/>
    <mergeCell ref="AD233:AD235"/>
    <mergeCell ref="AD236:AD238"/>
    <mergeCell ref="AD239:AD241"/>
    <mergeCell ref="AD246:AD248"/>
    <mergeCell ref="AD249:AD251"/>
    <mergeCell ref="AD252:AD254"/>
    <mergeCell ref="AD255:AD257"/>
    <mergeCell ref="AD196:AD198"/>
    <mergeCell ref="AD199:AD201"/>
    <mergeCell ref="AD206:AD208"/>
    <mergeCell ref="AD209:AD211"/>
    <mergeCell ref="AD212:AD214"/>
    <mergeCell ref="AD215:AD217"/>
    <mergeCell ref="AD218:AD220"/>
    <mergeCell ref="AD221:AD223"/>
    <mergeCell ref="AD224:AD226"/>
    <mergeCell ref="AD169:AD171"/>
    <mergeCell ref="AD172:AD174"/>
    <mergeCell ref="AD175:AD177"/>
    <mergeCell ref="AD178:AD180"/>
    <mergeCell ref="AD181:AD183"/>
    <mergeCell ref="AD184:AD186"/>
    <mergeCell ref="AD187:AD189"/>
    <mergeCell ref="AD190:AD192"/>
    <mergeCell ref="AD193:AD195"/>
    <mergeCell ref="AD138:AD140"/>
    <mergeCell ref="AD141:AD143"/>
    <mergeCell ref="AD144:AD146"/>
    <mergeCell ref="AD147:AD149"/>
    <mergeCell ref="AD150:AD152"/>
    <mergeCell ref="AD153:AD155"/>
    <mergeCell ref="AD156:AD158"/>
    <mergeCell ref="AD159:AD161"/>
    <mergeCell ref="AD166:AD168"/>
    <mergeCell ref="AD107:AD109"/>
    <mergeCell ref="AD110:AD112"/>
    <mergeCell ref="AD113:AD115"/>
    <mergeCell ref="AD116:AD118"/>
    <mergeCell ref="AD119:AD121"/>
    <mergeCell ref="AD126:AD128"/>
    <mergeCell ref="AD129:AD131"/>
    <mergeCell ref="AD132:AD134"/>
    <mergeCell ref="AD135:AD137"/>
    <mergeCell ref="AD76:AD78"/>
    <mergeCell ref="AD79:AD81"/>
    <mergeCell ref="AD86:AD88"/>
    <mergeCell ref="AD89:AD91"/>
    <mergeCell ref="AD92:AD94"/>
    <mergeCell ref="AD95:AD97"/>
    <mergeCell ref="AD98:AD100"/>
    <mergeCell ref="AD101:AD103"/>
    <mergeCell ref="AD104:AD106"/>
    <mergeCell ref="B436:B438"/>
    <mergeCell ref="B439:B441"/>
    <mergeCell ref="AD6:AD8"/>
    <mergeCell ref="AD9:AD11"/>
    <mergeCell ref="AD12:AD14"/>
    <mergeCell ref="AD15:AD17"/>
    <mergeCell ref="AD18:AD20"/>
    <mergeCell ref="AD21:AD23"/>
    <mergeCell ref="AD24:AD26"/>
    <mergeCell ref="AD27:AD29"/>
    <mergeCell ref="AD30:AD32"/>
    <mergeCell ref="AD33:AD35"/>
    <mergeCell ref="AD36:AD38"/>
    <mergeCell ref="AD39:AD41"/>
    <mergeCell ref="AD46:AD48"/>
    <mergeCell ref="AD49:AD51"/>
    <mergeCell ref="AD52:AD54"/>
    <mergeCell ref="AD55:AD57"/>
    <mergeCell ref="AD58:AD60"/>
    <mergeCell ref="AD61:AD63"/>
    <mergeCell ref="AD64:AD66"/>
    <mergeCell ref="AD67:AD69"/>
    <mergeCell ref="AD70:AD72"/>
    <mergeCell ref="AD73:AD75"/>
    <mergeCell ref="B409:B411"/>
    <mergeCell ref="B412:B414"/>
    <mergeCell ref="B415:B417"/>
    <mergeCell ref="B418:B420"/>
    <mergeCell ref="B421:B423"/>
    <mergeCell ref="B424:B426"/>
    <mergeCell ref="B427:B429"/>
    <mergeCell ref="B430:B432"/>
    <mergeCell ref="B433:B435"/>
    <mergeCell ref="B378:B380"/>
    <mergeCell ref="B381:B383"/>
    <mergeCell ref="B384:B386"/>
    <mergeCell ref="B387:B389"/>
    <mergeCell ref="B390:B392"/>
    <mergeCell ref="B393:B395"/>
    <mergeCell ref="B396:B398"/>
    <mergeCell ref="B399:B401"/>
    <mergeCell ref="B406:B408"/>
    <mergeCell ref="B347:B349"/>
    <mergeCell ref="B350:B352"/>
    <mergeCell ref="B353:B355"/>
    <mergeCell ref="B356:B358"/>
    <mergeCell ref="B359:B361"/>
    <mergeCell ref="B366:B368"/>
    <mergeCell ref="B369:B371"/>
    <mergeCell ref="B372:B374"/>
    <mergeCell ref="B375:B377"/>
    <mergeCell ref="B316:B318"/>
    <mergeCell ref="B319:B321"/>
    <mergeCell ref="B326:B328"/>
    <mergeCell ref="B329:B331"/>
    <mergeCell ref="B332:B334"/>
    <mergeCell ref="B335:B337"/>
    <mergeCell ref="B338:B340"/>
    <mergeCell ref="B341:B343"/>
    <mergeCell ref="B344:B346"/>
    <mergeCell ref="B289:B291"/>
    <mergeCell ref="B292:B294"/>
    <mergeCell ref="B295:B297"/>
    <mergeCell ref="B298:B300"/>
    <mergeCell ref="B301:B303"/>
    <mergeCell ref="B304:B306"/>
    <mergeCell ref="B307:B309"/>
    <mergeCell ref="B310:B312"/>
    <mergeCell ref="B313:B315"/>
    <mergeCell ref="B258:B260"/>
    <mergeCell ref="B261:B263"/>
    <mergeCell ref="B264:B266"/>
    <mergeCell ref="B267:B269"/>
    <mergeCell ref="B270:B272"/>
    <mergeCell ref="B273:B275"/>
    <mergeCell ref="B276:B278"/>
    <mergeCell ref="B279:B281"/>
    <mergeCell ref="B286:B288"/>
    <mergeCell ref="B227:B229"/>
    <mergeCell ref="B230:B232"/>
    <mergeCell ref="B233:B235"/>
    <mergeCell ref="B236:B238"/>
    <mergeCell ref="B239:B241"/>
    <mergeCell ref="B246:B248"/>
    <mergeCell ref="B249:B251"/>
    <mergeCell ref="B252:B254"/>
    <mergeCell ref="B255:B257"/>
    <mergeCell ref="B196:B198"/>
    <mergeCell ref="B199:B201"/>
    <mergeCell ref="B206:B208"/>
    <mergeCell ref="B209:B211"/>
    <mergeCell ref="B212:B214"/>
    <mergeCell ref="B215:B217"/>
    <mergeCell ref="B218:B220"/>
    <mergeCell ref="B221:B223"/>
    <mergeCell ref="B224:B226"/>
    <mergeCell ref="B169:B171"/>
    <mergeCell ref="B172:B174"/>
    <mergeCell ref="B175:B177"/>
    <mergeCell ref="B178:B180"/>
    <mergeCell ref="B181:B183"/>
    <mergeCell ref="B184:B186"/>
    <mergeCell ref="B187:B189"/>
    <mergeCell ref="B190:B192"/>
    <mergeCell ref="B193:B195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6:B168"/>
    <mergeCell ref="B107:B109"/>
    <mergeCell ref="B110:B112"/>
    <mergeCell ref="B113:B115"/>
    <mergeCell ref="B116:B118"/>
    <mergeCell ref="B119:B121"/>
    <mergeCell ref="B126:B128"/>
    <mergeCell ref="B129:B131"/>
    <mergeCell ref="B132:B134"/>
    <mergeCell ref="B135:B137"/>
    <mergeCell ref="B76:B78"/>
    <mergeCell ref="B79:B81"/>
    <mergeCell ref="B86:B88"/>
    <mergeCell ref="B89:B91"/>
    <mergeCell ref="B92:B94"/>
    <mergeCell ref="B95:B97"/>
    <mergeCell ref="B98:B100"/>
    <mergeCell ref="B101:B103"/>
    <mergeCell ref="B104:B106"/>
    <mergeCell ref="AA402:AC402"/>
    <mergeCell ref="AA442:AC442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AA42:AC42"/>
    <mergeCell ref="AA82:AC82"/>
    <mergeCell ref="AA122:AC122"/>
    <mergeCell ref="AA162:AC162"/>
    <mergeCell ref="AA202:AC202"/>
    <mergeCell ref="AA242:AC242"/>
    <mergeCell ref="AA282:AC282"/>
    <mergeCell ref="AA322:AC322"/>
    <mergeCell ref="AA362:AC362"/>
  </mergeCells>
  <conditionalFormatting sqref="D6:AA41">
    <cfRule type="cellIs" dxfId="56" priority="18" operator="lessThan">
      <formula>0</formula>
    </cfRule>
    <cfRule type="cellIs" dxfId="55" priority="19" operator="equal">
      <formula>"&gt;0"</formula>
    </cfRule>
  </conditionalFormatting>
  <conditionalFormatting sqref="D46:AA81">
    <cfRule type="cellIs" dxfId="54" priority="14" operator="lessThan">
      <formula>0</formula>
    </cfRule>
    <cfRule type="cellIs" dxfId="53" priority="15" operator="equal">
      <formula>"&gt;0"</formula>
    </cfRule>
  </conditionalFormatting>
  <conditionalFormatting sqref="D86:AA121">
    <cfRule type="cellIs" dxfId="52" priority="12" operator="lessThan">
      <formula>0</formula>
    </cfRule>
    <cfRule type="cellIs" dxfId="51" priority="13" operator="equal">
      <formula>"&gt;0"</formula>
    </cfRule>
  </conditionalFormatting>
  <conditionalFormatting sqref="D126:AA161">
    <cfRule type="cellIs" dxfId="50" priority="10" operator="lessThan">
      <formula>0</formula>
    </cfRule>
    <cfRule type="cellIs" dxfId="49" priority="11" operator="equal">
      <formula>"&gt;0"</formula>
    </cfRule>
  </conditionalFormatting>
  <conditionalFormatting sqref="D166:AA201">
    <cfRule type="cellIs" dxfId="48" priority="8" operator="lessThan">
      <formula>0</formula>
    </cfRule>
    <cfRule type="cellIs" dxfId="47" priority="9" operator="equal">
      <formula>"&gt;0"</formula>
    </cfRule>
  </conditionalFormatting>
  <conditionalFormatting sqref="D206:AA241">
    <cfRule type="cellIs" dxfId="46" priority="6" operator="lessThan">
      <formula>0</formula>
    </cfRule>
    <cfRule type="cellIs" dxfId="45" priority="7" operator="equal">
      <formula>"&gt;0"</formula>
    </cfRule>
  </conditionalFormatting>
  <conditionalFormatting sqref="D246:AA281">
    <cfRule type="cellIs" dxfId="44" priority="5" operator="lessThan">
      <formula>0</formula>
    </cfRule>
  </conditionalFormatting>
  <conditionalFormatting sqref="D286:AA321">
    <cfRule type="cellIs" dxfId="43" priority="4" operator="lessThan">
      <formula>0</formula>
    </cfRule>
  </conditionalFormatting>
  <conditionalFormatting sqref="D326:AA361">
    <cfRule type="cellIs" dxfId="42" priority="3" operator="lessThan">
      <formula>0</formula>
    </cfRule>
  </conditionalFormatting>
  <conditionalFormatting sqref="D366:AA401">
    <cfRule type="cellIs" dxfId="41" priority="2" operator="lessThan">
      <formula>0</formula>
    </cfRule>
  </conditionalFormatting>
  <conditionalFormatting sqref="D406:AA441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5117038483843"/>
  </sheetPr>
  <dimension ref="B2:N34"/>
  <sheetViews>
    <sheetView showGridLines="0" tabSelected="1" topLeftCell="A6" zoomScale="80" zoomScaleNormal="80" workbookViewId="0">
      <selection activeCell="G12" sqref="G12"/>
    </sheetView>
  </sheetViews>
  <sheetFormatPr baseColWidth="10" defaultColWidth="11" defaultRowHeight="15"/>
  <cols>
    <col min="1" max="1" width="2.88671875" customWidth="1"/>
    <col min="3" max="3" width="2.44140625" customWidth="1"/>
    <col min="4" max="5" width="12.21875" customWidth="1"/>
    <col min="6" max="6" width="13.21875" customWidth="1"/>
    <col min="7" max="7" width="12.5546875" customWidth="1"/>
    <col min="8" max="8" width="8.21875" customWidth="1"/>
    <col min="10" max="10" width="12.6640625" bestFit="1" customWidth="1"/>
  </cols>
  <sheetData>
    <row r="2" spans="2:14" ht="18">
      <c r="B2" s="48"/>
      <c r="C2" s="49"/>
      <c r="D2" s="50" t="s">
        <v>46</v>
      </c>
      <c r="E2" s="49"/>
      <c r="F2" s="49"/>
      <c r="G2" s="49"/>
      <c r="H2" s="49"/>
      <c r="I2" s="49"/>
      <c r="J2" s="49"/>
      <c r="K2" s="49"/>
      <c r="L2" s="49"/>
      <c r="M2" s="49"/>
      <c r="N2" s="51"/>
    </row>
    <row r="3" spans="2:14" ht="18">
      <c r="B3" s="12"/>
      <c r="D3" s="9" t="s">
        <v>47</v>
      </c>
      <c r="N3" s="52"/>
    </row>
    <row r="4" spans="2:14" ht="18">
      <c r="B4" s="12"/>
      <c r="D4" s="9" t="s">
        <v>48</v>
      </c>
      <c r="N4" s="52"/>
    </row>
    <row r="5" spans="2:14" ht="18">
      <c r="B5" s="12"/>
      <c r="D5" s="9"/>
      <c r="N5" s="52"/>
    </row>
    <row r="6" spans="2:14" ht="18">
      <c r="B6" s="12"/>
      <c r="D6" s="9" t="s">
        <v>49</v>
      </c>
      <c r="N6" s="52"/>
    </row>
    <row r="7" spans="2:14">
      <c r="B7" s="12"/>
      <c r="N7" s="52"/>
    </row>
    <row r="8" spans="2:14" ht="18">
      <c r="B8" s="12"/>
      <c r="D8" s="9" t="s">
        <v>1</v>
      </c>
      <c r="N8" s="52"/>
    </row>
    <row r="9" spans="2:14">
      <c r="B9" s="12"/>
      <c r="N9" s="52"/>
    </row>
    <row r="10" spans="2:14" ht="15.75">
      <c r="B10" s="12"/>
      <c r="D10" s="53"/>
      <c r="I10" s="53"/>
      <c r="N10" s="52"/>
    </row>
    <row r="11" spans="2:14" ht="45">
      <c r="B11" s="12"/>
      <c r="D11" s="14" t="s">
        <v>50</v>
      </c>
      <c r="E11" s="14" t="s">
        <v>51</v>
      </c>
      <c r="F11" s="66" t="s">
        <v>52</v>
      </c>
      <c r="G11" s="14" t="s">
        <v>53</v>
      </c>
      <c r="H11" s="55"/>
      <c r="I11" s="53"/>
      <c r="J11" s="72" t="s">
        <v>103</v>
      </c>
      <c r="K11" s="14" t="s">
        <v>51</v>
      </c>
      <c r="L11" s="66" t="s">
        <v>52</v>
      </c>
      <c r="M11" s="14" t="s">
        <v>53</v>
      </c>
      <c r="N11" s="52"/>
    </row>
    <row r="12" spans="2:14" ht="15.75">
      <c r="B12" s="12"/>
      <c r="D12" s="16">
        <v>2027</v>
      </c>
      <c r="E12" s="57">
        <f>'P1_ANEXO 1 -2027 a 2037'!AD42</f>
        <v>262999.728</v>
      </c>
      <c r="F12" s="101">
        <f>+SUMPRODUCT(K12:K23,L12:L23)/E12</f>
        <v>0</v>
      </c>
      <c r="G12" s="102">
        <f>+M12</f>
        <v>0</v>
      </c>
      <c r="H12" s="59"/>
      <c r="I12" s="53"/>
      <c r="J12" s="73" t="s">
        <v>91</v>
      </c>
      <c r="K12" s="76">
        <f>+'P1_ANEXO 1 -2027 a 2037'!$AD$6</f>
        <v>22336.963199999998</v>
      </c>
      <c r="L12" s="78"/>
      <c r="M12" s="93"/>
      <c r="N12" s="81"/>
    </row>
    <row r="13" spans="2:14" ht="15.75">
      <c r="B13" s="12"/>
      <c r="D13" s="56">
        <v>2028</v>
      </c>
      <c r="E13" s="57">
        <f>'P1_ANEXO 1 -2027 a 2037'!AD82</f>
        <v>200275.20000000001</v>
      </c>
      <c r="F13" s="97"/>
      <c r="G13" s="35"/>
      <c r="H13" s="67"/>
      <c r="I13" s="53"/>
      <c r="J13" s="73" t="s">
        <v>92</v>
      </c>
      <c r="K13" s="76">
        <f>+'P1_ANEXO 1 -2027 a 2037'!$AD$9</f>
        <v>20175.321599999999</v>
      </c>
      <c r="L13" s="78"/>
      <c r="M13" s="94"/>
      <c r="N13" s="81"/>
    </row>
    <row r="14" spans="2:14" ht="15.75">
      <c r="B14" s="12"/>
      <c r="D14" s="56">
        <v>2029</v>
      </c>
      <c r="E14" s="57">
        <f>'P1_ANEXO 1 -2027 a 2037'!AD122</f>
        <v>297840</v>
      </c>
      <c r="F14" s="98"/>
      <c r="G14" s="35"/>
      <c r="H14" s="67"/>
      <c r="I14" s="53"/>
      <c r="J14" s="73" t="s">
        <v>93</v>
      </c>
      <c r="K14" s="76">
        <f>+'P1_ANEXO 1 -2027 a 2037'!$AD$12</f>
        <v>22336.963199999998</v>
      </c>
      <c r="L14" s="78"/>
      <c r="M14" s="94"/>
      <c r="N14" s="81"/>
    </row>
    <row r="15" spans="2:14" ht="15.75">
      <c r="B15" s="12"/>
      <c r="D15" s="56">
        <v>2030</v>
      </c>
      <c r="E15" s="57">
        <f>'P1_ANEXO 1 -2027 a 2037'!AD162</f>
        <v>113880</v>
      </c>
      <c r="F15" s="98"/>
      <c r="G15" s="35"/>
      <c r="H15" s="67"/>
      <c r="I15" s="53"/>
      <c r="J15" s="73" t="s">
        <v>94</v>
      </c>
      <c r="K15" s="76">
        <f>+'P1_ANEXO 1 -2027 a 2037'!$AD$15</f>
        <v>21616.416000000001</v>
      </c>
      <c r="L15" s="78"/>
      <c r="M15" s="94"/>
      <c r="N15" s="81"/>
    </row>
    <row r="16" spans="2:14" ht="15.75">
      <c r="B16" s="12"/>
      <c r="D16" s="56">
        <v>2031</v>
      </c>
      <c r="E16" s="57">
        <f>'P1_ANEXO 1 -2027 a 2037'!AD202</f>
        <v>192720</v>
      </c>
      <c r="F16" s="98"/>
      <c r="G16" s="35"/>
      <c r="H16" s="67"/>
      <c r="I16" s="53"/>
      <c r="J16" s="73" t="s">
        <v>95</v>
      </c>
      <c r="K16" s="76">
        <f>+'P1_ANEXO 1 -2027 a 2037'!$AD$18</f>
        <v>22336.963199999998</v>
      </c>
      <c r="L16" s="78"/>
      <c r="M16" s="94"/>
      <c r="N16" s="81"/>
    </row>
    <row r="17" spans="2:14" ht="15.75">
      <c r="B17" s="12"/>
      <c r="D17" s="56">
        <v>2032</v>
      </c>
      <c r="E17" s="57">
        <f>'P1_ANEXO 1 -2027 a 2037'!AD242</f>
        <v>281088</v>
      </c>
      <c r="F17" s="98"/>
      <c r="G17" s="35"/>
      <c r="H17" s="67"/>
      <c r="I17" s="53"/>
      <c r="J17" s="73" t="s">
        <v>96</v>
      </c>
      <c r="K17" s="76">
        <f>+'P1_ANEXO 1 -2027 a 2037'!$AD$21</f>
        <v>21616.416000000001</v>
      </c>
      <c r="L17" s="78"/>
      <c r="M17" s="94"/>
      <c r="N17" s="81"/>
    </row>
    <row r="18" spans="2:14" ht="15.75">
      <c r="B18" s="12"/>
      <c r="D18" s="56">
        <v>2033</v>
      </c>
      <c r="E18" s="57">
        <f>'P1_ANEXO 1 -2027 a 2037'!AD282</f>
        <v>259996.79999999999</v>
      </c>
      <c r="F18" s="98"/>
      <c r="G18" s="35"/>
      <c r="H18" s="67"/>
      <c r="I18" s="53"/>
      <c r="J18" s="73" t="s">
        <v>97</v>
      </c>
      <c r="K18" s="76">
        <f>+'P1_ANEXO 1 -2027 a 2037'!$AD$24</f>
        <v>22336.963199999998</v>
      </c>
      <c r="L18" s="78"/>
      <c r="M18" s="94"/>
      <c r="N18" s="81"/>
    </row>
    <row r="19" spans="2:14" ht="15.75">
      <c r="B19" s="12"/>
      <c r="D19" s="56">
        <v>2034</v>
      </c>
      <c r="E19" s="57">
        <f>'P1_ANEXO 1 -2027 a 2037'!AD322</f>
        <v>259996.79999999999</v>
      </c>
      <c r="F19" s="98"/>
      <c r="G19" s="35"/>
      <c r="H19" s="67"/>
      <c r="I19" s="53"/>
      <c r="J19" s="73" t="s">
        <v>98</v>
      </c>
      <c r="K19" s="76">
        <f>+'P1_ANEXO 1 -2027 a 2037'!$AD$27</f>
        <v>22336.963199999998</v>
      </c>
      <c r="L19" s="78"/>
      <c r="M19" s="94"/>
      <c r="N19" s="81"/>
    </row>
    <row r="20" spans="2:14" ht="15.75">
      <c r="B20" s="12"/>
      <c r="D20" s="56">
        <v>2035</v>
      </c>
      <c r="E20" s="57">
        <f>'P1_ANEXO 1 -2027 a 2037'!AD362</f>
        <v>259996.79999999999</v>
      </c>
      <c r="F20" s="98"/>
      <c r="G20" s="35"/>
      <c r="H20" s="67"/>
      <c r="I20" s="53"/>
      <c r="J20" s="73" t="s">
        <v>99</v>
      </c>
      <c r="K20" s="76">
        <f>+'P1_ANEXO 1 -2027 a 2037'!$AD$30</f>
        <v>21616.416000000001</v>
      </c>
      <c r="L20" s="74"/>
      <c r="M20" s="94"/>
      <c r="N20" s="81"/>
    </row>
    <row r="21" spans="2:14" ht="15.75">
      <c r="B21" s="12"/>
      <c r="D21" s="56">
        <v>2036</v>
      </c>
      <c r="E21" s="57">
        <f>'P1_ANEXO 1 -2027 a 2037'!AD402</f>
        <v>260709.12</v>
      </c>
      <c r="F21" s="98"/>
      <c r="G21" s="35"/>
      <c r="H21" s="67"/>
      <c r="I21" s="53"/>
      <c r="J21" s="73" t="s">
        <v>100</v>
      </c>
      <c r="K21" s="76">
        <f>+'P1_ANEXO 1 -2027 a 2037'!$AD$33</f>
        <v>22336.963199999998</v>
      </c>
      <c r="L21" s="74"/>
      <c r="M21" s="94"/>
      <c r="N21" s="81"/>
    </row>
    <row r="22" spans="2:14" ht="15.75">
      <c r="B22" s="12"/>
      <c r="D22" s="56">
        <v>2037</v>
      </c>
      <c r="E22" s="57">
        <f>'P1_ANEXO 1 -2027 a 2037'!AD442</f>
        <v>259996.79999999999</v>
      </c>
      <c r="F22" s="99"/>
      <c r="G22" s="35"/>
      <c r="H22" s="67"/>
      <c r="I22" s="53"/>
      <c r="J22" s="73" t="s">
        <v>101</v>
      </c>
      <c r="K22" s="76">
        <f>+'P1_ANEXO 1 -2027 a 2037'!$AD$36</f>
        <v>21616.416000000001</v>
      </c>
      <c r="L22" s="74"/>
      <c r="M22" s="94"/>
      <c r="N22" s="81"/>
    </row>
    <row r="23" spans="2:14" ht="15.75">
      <c r="B23" s="12"/>
      <c r="D23" s="60" t="s">
        <v>54</v>
      </c>
      <c r="E23" s="61">
        <f>SUM(E12:E22)</f>
        <v>2649499.2480000001</v>
      </c>
      <c r="I23" s="53"/>
      <c r="J23" s="73" t="s">
        <v>102</v>
      </c>
      <c r="K23" s="76">
        <f>+'P1_ANEXO 1 -2027 a 2037'!$AD$39</f>
        <v>22336.963199999998</v>
      </c>
      <c r="L23" s="75"/>
      <c r="M23" s="95"/>
      <c r="N23" s="81"/>
    </row>
    <row r="24" spans="2:14" ht="15.75">
      <c r="B24" s="12"/>
      <c r="I24" s="53"/>
      <c r="K24" s="79"/>
      <c r="N24" s="77"/>
    </row>
    <row r="25" spans="2:14">
      <c r="B25" s="6"/>
      <c r="C25" s="1"/>
      <c r="D25" s="1"/>
      <c r="E25" s="1"/>
      <c r="F25" s="1"/>
      <c r="G25" s="1"/>
      <c r="H25" s="1"/>
      <c r="I25" s="1"/>
      <c r="N25" s="80"/>
    </row>
    <row r="26" spans="2:14" ht="15.75">
      <c r="B26" s="6"/>
      <c r="C26" s="23" t="s">
        <v>55</v>
      </c>
      <c r="E26" s="1"/>
      <c r="F26" s="1"/>
      <c r="G26" s="1"/>
      <c r="H26" s="1"/>
      <c r="I26" s="1"/>
      <c r="N26" s="77"/>
    </row>
    <row r="27" spans="2:14" ht="51.95" customHeight="1">
      <c r="B27" s="6"/>
      <c r="C27" s="26">
        <v>1</v>
      </c>
      <c r="D27" s="96" t="s">
        <v>104</v>
      </c>
      <c r="E27" s="84"/>
      <c r="F27" s="84"/>
      <c r="G27" s="84"/>
      <c r="H27" s="84"/>
      <c r="I27" s="1"/>
      <c r="N27" s="77"/>
    </row>
    <row r="28" spans="2:14" ht="34.5" customHeight="1">
      <c r="B28" s="6"/>
      <c r="C28" s="26">
        <v>2</v>
      </c>
      <c r="D28" s="84" t="s">
        <v>56</v>
      </c>
      <c r="E28" s="84"/>
      <c r="F28" s="84"/>
      <c r="G28" s="84"/>
      <c r="H28" s="84"/>
      <c r="I28" s="1"/>
      <c r="N28" s="77"/>
    </row>
    <row r="29" spans="2:14" ht="33.6" customHeight="1">
      <c r="B29" s="6"/>
      <c r="C29" s="26">
        <v>3</v>
      </c>
      <c r="D29" s="96" t="s">
        <v>57</v>
      </c>
      <c r="E29" s="84"/>
      <c r="F29" s="84"/>
      <c r="G29" s="84"/>
      <c r="H29" s="84"/>
      <c r="I29" s="1"/>
      <c r="N29" s="52"/>
    </row>
    <row r="30" spans="2:14" ht="33.6" customHeight="1">
      <c r="B30" s="6"/>
      <c r="C30" s="26">
        <v>4</v>
      </c>
      <c r="D30" s="96" t="s">
        <v>106</v>
      </c>
      <c r="E30" s="84"/>
      <c r="F30" s="84"/>
      <c r="G30" s="84"/>
      <c r="H30" s="84"/>
      <c r="I30" s="1"/>
      <c r="N30" s="52"/>
    </row>
    <row r="31" spans="2:14" ht="32.450000000000003" customHeight="1">
      <c r="B31" s="6"/>
      <c r="C31" s="26">
        <v>5</v>
      </c>
      <c r="D31" s="84" t="s">
        <v>58</v>
      </c>
      <c r="E31" s="84"/>
      <c r="F31" s="84"/>
      <c r="G31" s="84"/>
      <c r="H31" s="84"/>
      <c r="I31" s="1"/>
      <c r="N31" s="52"/>
    </row>
    <row r="32" spans="2:14">
      <c r="B32" s="6"/>
      <c r="C32" s="26">
        <v>6</v>
      </c>
      <c r="D32" s="84" t="s">
        <v>59</v>
      </c>
      <c r="E32" s="84"/>
      <c r="F32" s="84"/>
      <c r="G32" s="84"/>
      <c r="H32" s="84"/>
      <c r="I32" s="1"/>
      <c r="N32" s="52"/>
    </row>
    <row r="33" spans="2:14">
      <c r="B33" s="6"/>
      <c r="C33" s="1"/>
      <c r="D33" s="24"/>
      <c r="E33" s="1"/>
      <c r="F33" s="1"/>
      <c r="G33" s="1"/>
      <c r="H33" s="1"/>
      <c r="I33" s="1"/>
      <c r="N33" s="52"/>
    </row>
    <row r="34" spans="2:14">
      <c r="B34" s="27"/>
      <c r="C34" s="28"/>
      <c r="D34" s="28"/>
      <c r="E34" s="28"/>
      <c r="F34" s="28"/>
      <c r="G34" s="28"/>
      <c r="H34" s="28"/>
      <c r="I34" s="28"/>
      <c r="J34" s="64"/>
      <c r="K34" s="64"/>
      <c r="L34" s="64"/>
      <c r="M34" s="64"/>
      <c r="N34" s="65"/>
    </row>
  </sheetData>
  <mergeCells count="8">
    <mergeCell ref="D32:H32"/>
    <mergeCell ref="M12:M23"/>
    <mergeCell ref="D30:H30"/>
    <mergeCell ref="F13:F22"/>
    <mergeCell ref="D27:H27"/>
    <mergeCell ref="D28:H28"/>
    <mergeCell ref="D29:H29"/>
    <mergeCell ref="D31:H31"/>
  </mergeCells>
  <phoneticPr fontId="14" type="noConversion"/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5117038483843"/>
  </sheetPr>
  <dimension ref="B1:AD202"/>
  <sheetViews>
    <sheetView showGridLines="0" zoomScale="60" zoomScaleNormal="60" workbookViewId="0">
      <pane xSplit="3" ySplit="2" topLeftCell="E3" activePane="bottomRight" state="frozen"/>
      <selection pane="topRight"/>
      <selection pane="bottomLeft"/>
      <selection pane="bottomRight" activeCell="AG7" sqref="AG7"/>
    </sheetView>
  </sheetViews>
  <sheetFormatPr baseColWidth="10" defaultColWidth="11.109375" defaultRowHeight="15"/>
  <cols>
    <col min="1" max="1" width="2.33203125" style="38" customWidth="1"/>
    <col min="2" max="3" width="11.109375" style="38"/>
    <col min="4" max="9" width="2.6640625" style="38" bestFit="1" customWidth="1"/>
    <col min="10" max="21" width="7.33203125" style="38" bestFit="1" customWidth="1"/>
    <col min="22" max="27" width="3.44140625" style="38" bestFit="1" customWidth="1"/>
    <col min="28" max="28" width="7.109375" style="40" customWidth="1"/>
    <col min="29" max="29" width="8.6640625" style="40" customWidth="1"/>
    <col min="30" max="30" width="11.5546875" style="38" customWidth="1"/>
    <col min="31" max="16384" width="11.109375" style="38"/>
  </cols>
  <sheetData>
    <row r="1" spans="2:30" ht="23.25">
      <c r="B1" s="41" t="s">
        <v>0</v>
      </c>
    </row>
    <row r="2" spans="2:30" ht="23.25">
      <c r="B2" s="41" t="s">
        <v>60</v>
      </c>
    </row>
    <row r="3" spans="2:30" ht="23.25">
      <c r="B3" s="41"/>
    </row>
    <row r="4" spans="2:30" ht="23.25">
      <c r="B4" s="41" t="s">
        <v>61</v>
      </c>
    </row>
    <row r="5" spans="2:30">
      <c r="B5" s="32" t="s">
        <v>3</v>
      </c>
      <c r="C5" s="32" t="s">
        <v>4</v>
      </c>
      <c r="D5" s="32" t="s">
        <v>5</v>
      </c>
      <c r="E5" s="32" t="s">
        <v>6</v>
      </c>
      <c r="F5" s="32" t="s">
        <v>7</v>
      </c>
      <c r="G5" s="32" t="s">
        <v>8</v>
      </c>
      <c r="H5" s="32" t="s">
        <v>9</v>
      </c>
      <c r="I5" s="32" t="s">
        <v>10</v>
      </c>
      <c r="J5" s="32" t="s">
        <v>11</v>
      </c>
      <c r="K5" s="32" t="s">
        <v>12</v>
      </c>
      <c r="L5" s="32" t="s">
        <v>13</v>
      </c>
      <c r="M5" s="32" t="s">
        <v>14</v>
      </c>
      <c r="N5" s="32" t="s">
        <v>15</v>
      </c>
      <c r="O5" s="32" t="s">
        <v>16</v>
      </c>
      <c r="P5" s="32" t="s">
        <v>17</v>
      </c>
      <c r="Q5" s="32" t="s">
        <v>18</v>
      </c>
      <c r="R5" s="32" t="s">
        <v>19</v>
      </c>
      <c r="S5" s="32" t="s">
        <v>20</v>
      </c>
      <c r="T5" s="32" t="s">
        <v>21</v>
      </c>
      <c r="U5" s="32" t="s">
        <v>22</v>
      </c>
      <c r="V5" s="32" t="s">
        <v>23</v>
      </c>
      <c r="W5" s="32" t="s">
        <v>24</v>
      </c>
      <c r="X5" s="32" t="s">
        <v>25</v>
      </c>
      <c r="Y5" s="32" t="s">
        <v>26</v>
      </c>
      <c r="Z5" s="32" t="s">
        <v>27</v>
      </c>
      <c r="AA5" s="32" t="s">
        <v>28</v>
      </c>
      <c r="AB5" s="33" t="s">
        <v>29</v>
      </c>
      <c r="AC5" s="33" t="s">
        <v>30</v>
      </c>
      <c r="AD5" s="32" t="s">
        <v>31</v>
      </c>
    </row>
    <row r="6" spans="2:30">
      <c r="B6" s="89">
        <v>46753</v>
      </c>
      <c r="C6" s="34" t="s">
        <v>32</v>
      </c>
      <c r="D6" s="35"/>
      <c r="E6" s="35"/>
      <c r="F6" s="35"/>
      <c r="G6" s="35"/>
      <c r="H6" s="35"/>
      <c r="I6" s="35"/>
      <c r="J6" s="35">
        <v>21</v>
      </c>
      <c r="K6" s="35">
        <v>21</v>
      </c>
      <c r="L6" s="35">
        <v>21</v>
      </c>
      <c r="M6" s="35">
        <v>21</v>
      </c>
      <c r="N6" s="35">
        <v>21</v>
      </c>
      <c r="O6" s="35">
        <v>21</v>
      </c>
      <c r="P6" s="35">
        <v>21</v>
      </c>
      <c r="Q6" s="35">
        <v>21</v>
      </c>
      <c r="R6" s="35">
        <v>21</v>
      </c>
      <c r="S6" s="35">
        <v>21</v>
      </c>
      <c r="T6" s="35">
        <v>21</v>
      </c>
      <c r="U6" s="35">
        <v>21</v>
      </c>
      <c r="V6" s="35"/>
      <c r="W6" s="35"/>
      <c r="X6" s="35"/>
      <c r="Y6" s="35"/>
      <c r="Z6" s="35"/>
      <c r="AA6" s="35"/>
      <c r="AB6" s="36">
        <f>SUM(D6:AA6)</f>
        <v>252</v>
      </c>
      <c r="AC6" s="37">
        <v>20</v>
      </c>
      <c r="AD6" s="91">
        <f>+AB6*AC6+AB7*AC7+AB8*AC8</f>
        <v>7812</v>
      </c>
    </row>
    <row r="7" spans="2:30">
      <c r="B7" s="89"/>
      <c r="C7" s="34" t="s">
        <v>33</v>
      </c>
      <c r="D7" s="35"/>
      <c r="E7" s="35"/>
      <c r="F7" s="35"/>
      <c r="G7" s="35"/>
      <c r="H7" s="35"/>
      <c r="I7" s="35"/>
      <c r="J7" s="35">
        <v>21</v>
      </c>
      <c r="K7" s="35">
        <v>21</v>
      </c>
      <c r="L7" s="35">
        <v>21</v>
      </c>
      <c r="M7" s="35">
        <v>21</v>
      </c>
      <c r="N7" s="35">
        <v>21</v>
      </c>
      <c r="O7" s="35">
        <v>21</v>
      </c>
      <c r="P7" s="35">
        <v>21</v>
      </c>
      <c r="Q7" s="35">
        <v>21</v>
      </c>
      <c r="R7" s="35">
        <v>21</v>
      </c>
      <c r="S7" s="35">
        <v>21</v>
      </c>
      <c r="T7" s="35">
        <v>21</v>
      </c>
      <c r="U7" s="35">
        <v>21</v>
      </c>
      <c r="V7" s="35"/>
      <c r="W7" s="35"/>
      <c r="X7" s="35"/>
      <c r="Y7" s="35"/>
      <c r="Z7" s="35"/>
      <c r="AA7" s="35"/>
      <c r="AB7" s="36">
        <f t="shared" ref="AB7:AB41" si="0">SUM(D7:AA7)</f>
        <v>252</v>
      </c>
      <c r="AC7" s="37">
        <v>4</v>
      </c>
      <c r="AD7" s="91"/>
    </row>
    <row r="8" spans="2:30">
      <c r="B8" s="89"/>
      <c r="C8" s="34" t="s">
        <v>34</v>
      </c>
      <c r="D8" s="35"/>
      <c r="E8" s="35"/>
      <c r="F8" s="35"/>
      <c r="G8" s="35"/>
      <c r="H8" s="35"/>
      <c r="I8" s="35"/>
      <c r="J8" s="35">
        <v>21</v>
      </c>
      <c r="K8" s="35">
        <v>21</v>
      </c>
      <c r="L8" s="35">
        <v>21</v>
      </c>
      <c r="M8" s="35">
        <v>21</v>
      </c>
      <c r="N8" s="35">
        <v>21</v>
      </c>
      <c r="O8" s="35">
        <v>21</v>
      </c>
      <c r="P8" s="35">
        <v>21</v>
      </c>
      <c r="Q8" s="35">
        <v>21</v>
      </c>
      <c r="R8" s="35">
        <v>21</v>
      </c>
      <c r="S8" s="35">
        <v>21</v>
      </c>
      <c r="T8" s="35">
        <v>21</v>
      </c>
      <c r="U8" s="35">
        <v>21</v>
      </c>
      <c r="V8" s="35"/>
      <c r="W8" s="35"/>
      <c r="X8" s="35"/>
      <c r="Y8" s="35"/>
      <c r="Z8" s="35"/>
      <c r="AA8" s="35"/>
      <c r="AB8" s="36">
        <f t="shared" si="0"/>
        <v>252</v>
      </c>
      <c r="AC8" s="37">
        <v>7</v>
      </c>
      <c r="AD8" s="91"/>
    </row>
    <row r="9" spans="2:30">
      <c r="B9" s="89">
        <v>46784</v>
      </c>
      <c r="C9" s="34" t="s">
        <v>32</v>
      </c>
      <c r="D9" s="35"/>
      <c r="E9" s="35"/>
      <c r="F9" s="35"/>
      <c r="G9" s="35"/>
      <c r="H9" s="35"/>
      <c r="I9" s="35"/>
      <c r="J9" s="35">
        <v>21</v>
      </c>
      <c r="K9" s="35">
        <v>21</v>
      </c>
      <c r="L9" s="35">
        <v>21</v>
      </c>
      <c r="M9" s="35">
        <v>21</v>
      </c>
      <c r="N9" s="35">
        <v>21</v>
      </c>
      <c r="O9" s="35">
        <v>21</v>
      </c>
      <c r="P9" s="35">
        <v>21</v>
      </c>
      <c r="Q9" s="35">
        <v>21</v>
      </c>
      <c r="R9" s="35">
        <v>21</v>
      </c>
      <c r="S9" s="35">
        <v>21</v>
      </c>
      <c r="T9" s="35">
        <v>21</v>
      </c>
      <c r="U9" s="35">
        <v>21</v>
      </c>
      <c r="V9" s="35"/>
      <c r="W9" s="35"/>
      <c r="X9" s="35"/>
      <c r="Y9" s="35"/>
      <c r="Z9" s="35"/>
      <c r="AA9" s="35"/>
      <c r="AB9" s="36">
        <f t="shared" si="0"/>
        <v>252</v>
      </c>
      <c r="AC9" s="37">
        <v>21</v>
      </c>
      <c r="AD9" s="91">
        <f>+AB9*AC9+AB10*AC10+AB11*AC11</f>
        <v>7308</v>
      </c>
    </row>
    <row r="10" spans="2:30">
      <c r="B10" s="89"/>
      <c r="C10" s="34" t="s">
        <v>33</v>
      </c>
      <c r="D10" s="35"/>
      <c r="E10" s="35"/>
      <c r="F10" s="35"/>
      <c r="G10" s="35"/>
      <c r="H10" s="35"/>
      <c r="I10" s="35"/>
      <c r="J10" s="35">
        <v>21</v>
      </c>
      <c r="K10" s="35">
        <v>21</v>
      </c>
      <c r="L10" s="35">
        <v>21</v>
      </c>
      <c r="M10" s="35">
        <v>21</v>
      </c>
      <c r="N10" s="35">
        <v>21</v>
      </c>
      <c r="O10" s="35">
        <v>21</v>
      </c>
      <c r="P10" s="35">
        <v>21</v>
      </c>
      <c r="Q10" s="35">
        <v>21</v>
      </c>
      <c r="R10" s="35">
        <v>21</v>
      </c>
      <c r="S10" s="35">
        <v>21</v>
      </c>
      <c r="T10" s="35">
        <v>21</v>
      </c>
      <c r="U10" s="35">
        <v>21</v>
      </c>
      <c r="V10" s="35"/>
      <c r="W10" s="35"/>
      <c r="X10" s="35"/>
      <c r="Y10" s="35"/>
      <c r="Z10" s="35"/>
      <c r="AA10" s="35"/>
      <c r="AB10" s="36">
        <f t="shared" si="0"/>
        <v>252</v>
      </c>
      <c r="AC10" s="37">
        <v>4</v>
      </c>
      <c r="AD10" s="91"/>
    </row>
    <row r="11" spans="2:30">
      <c r="B11" s="89"/>
      <c r="C11" s="34" t="s">
        <v>34</v>
      </c>
      <c r="D11" s="35"/>
      <c r="E11" s="35"/>
      <c r="F11" s="35"/>
      <c r="G11" s="35"/>
      <c r="H11" s="35"/>
      <c r="I11" s="35"/>
      <c r="J11" s="35">
        <v>21</v>
      </c>
      <c r="K11" s="35">
        <v>21</v>
      </c>
      <c r="L11" s="35">
        <v>21</v>
      </c>
      <c r="M11" s="35">
        <v>21</v>
      </c>
      <c r="N11" s="35">
        <v>21</v>
      </c>
      <c r="O11" s="35">
        <v>21</v>
      </c>
      <c r="P11" s="35">
        <v>21</v>
      </c>
      <c r="Q11" s="35">
        <v>21</v>
      </c>
      <c r="R11" s="35">
        <v>21</v>
      </c>
      <c r="S11" s="35">
        <v>21</v>
      </c>
      <c r="T11" s="35">
        <v>21</v>
      </c>
      <c r="U11" s="35">
        <v>21</v>
      </c>
      <c r="V11" s="35"/>
      <c r="W11" s="35"/>
      <c r="X11" s="35"/>
      <c r="Y11" s="35"/>
      <c r="Z11" s="35"/>
      <c r="AA11" s="35"/>
      <c r="AB11" s="36">
        <f t="shared" si="0"/>
        <v>252</v>
      </c>
      <c r="AC11" s="37">
        <v>4</v>
      </c>
      <c r="AD11" s="91"/>
    </row>
    <row r="12" spans="2:30">
      <c r="B12" s="89">
        <v>46813</v>
      </c>
      <c r="C12" s="34" t="s">
        <v>32</v>
      </c>
      <c r="D12" s="35"/>
      <c r="E12" s="35"/>
      <c r="F12" s="35"/>
      <c r="G12" s="35"/>
      <c r="H12" s="35"/>
      <c r="I12" s="35"/>
      <c r="J12" s="35">
        <v>21</v>
      </c>
      <c r="K12" s="35">
        <v>21</v>
      </c>
      <c r="L12" s="35">
        <v>21</v>
      </c>
      <c r="M12" s="35">
        <v>21</v>
      </c>
      <c r="N12" s="35">
        <v>21</v>
      </c>
      <c r="O12" s="35">
        <v>21</v>
      </c>
      <c r="P12" s="35">
        <v>21</v>
      </c>
      <c r="Q12" s="35">
        <v>21</v>
      </c>
      <c r="R12" s="35">
        <v>21</v>
      </c>
      <c r="S12" s="35">
        <v>21</v>
      </c>
      <c r="T12" s="35">
        <v>21</v>
      </c>
      <c r="U12" s="35">
        <v>21</v>
      </c>
      <c r="V12" s="35"/>
      <c r="W12" s="35"/>
      <c r="X12" s="35"/>
      <c r="Y12" s="35"/>
      <c r="Z12" s="35"/>
      <c r="AA12" s="35"/>
      <c r="AB12" s="36">
        <f t="shared" si="0"/>
        <v>252</v>
      </c>
      <c r="AC12" s="37">
        <v>22</v>
      </c>
      <c r="AD12" s="91">
        <f>+AB12*AC12+AB13*AC13+AB14*AC14</f>
        <v>7812</v>
      </c>
    </row>
    <row r="13" spans="2:30">
      <c r="B13" s="89"/>
      <c r="C13" s="34" t="s">
        <v>33</v>
      </c>
      <c r="D13" s="35"/>
      <c r="E13" s="35"/>
      <c r="F13" s="35"/>
      <c r="G13" s="35"/>
      <c r="H13" s="35"/>
      <c r="I13" s="35"/>
      <c r="J13" s="35">
        <v>21</v>
      </c>
      <c r="K13" s="35">
        <v>21</v>
      </c>
      <c r="L13" s="35">
        <v>21</v>
      </c>
      <c r="M13" s="35">
        <v>21</v>
      </c>
      <c r="N13" s="35">
        <v>21</v>
      </c>
      <c r="O13" s="35">
        <v>21</v>
      </c>
      <c r="P13" s="35">
        <v>21</v>
      </c>
      <c r="Q13" s="35">
        <v>21</v>
      </c>
      <c r="R13" s="35">
        <v>21</v>
      </c>
      <c r="S13" s="35">
        <v>21</v>
      </c>
      <c r="T13" s="35">
        <v>21</v>
      </c>
      <c r="U13" s="35">
        <v>21</v>
      </c>
      <c r="V13" s="35"/>
      <c r="W13" s="35"/>
      <c r="X13" s="35"/>
      <c r="Y13" s="35"/>
      <c r="Z13" s="35"/>
      <c r="AA13" s="35"/>
      <c r="AB13" s="36">
        <f t="shared" si="0"/>
        <v>252</v>
      </c>
      <c r="AC13" s="37">
        <v>4</v>
      </c>
      <c r="AD13" s="91"/>
    </row>
    <row r="14" spans="2:30">
      <c r="B14" s="89"/>
      <c r="C14" s="34" t="s">
        <v>34</v>
      </c>
      <c r="D14" s="35"/>
      <c r="E14" s="35"/>
      <c r="F14" s="35"/>
      <c r="G14" s="35"/>
      <c r="H14" s="35"/>
      <c r="I14" s="35"/>
      <c r="J14" s="35">
        <v>21</v>
      </c>
      <c r="K14" s="35">
        <v>21</v>
      </c>
      <c r="L14" s="35">
        <v>21</v>
      </c>
      <c r="M14" s="35">
        <v>21</v>
      </c>
      <c r="N14" s="35">
        <v>21</v>
      </c>
      <c r="O14" s="35">
        <v>21</v>
      </c>
      <c r="P14" s="35">
        <v>21</v>
      </c>
      <c r="Q14" s="35">
        <v>21</v>
      </c>
      <c r="R14" s="35">
        <v>21</v>
      </c>
      <c r="S14" s="35">
        <v>21</v>
      </c>
      <c r="T14" s="35">
        <v>21</v>
      </c>
      <c r="U14" s="35">
        <v>21</v>
      </c>
      <c r="V14" s="35"/>
      <c r="W14" s="35"/>
      <c r="X14" s="35"/>
      <c r="Y14" s="35"/>
      <c r="Z14" s="35"/>
      <c r="AA14" s="35"/>
      <c r="AB14" s="36">
        <f t="shared" si="0"/>
        <v>252</v>
      </c>
      <c r="AC14" s="37">
        <v>5</v>
      </c>
      <c r="AD14" s="91"/>
    </row>
    <row r="15" spans="2:30">
      <c r="B15" s="89">
        <v>46844</v>
      </c>
      <c r="C15" s="34" t="s">
        <v>32</v>
      </c>
      <c r="D15" s="35"/>
      <c r="E15" s="35"/>
      <c r="F15" s="35"/>
      <c r="G15" s="35"/>
      <c r="H15" s="35"/>
      <c r="I15" s="35"/>
      <c r="J15" s="35">
        <v>21</v>
      </c>
      <c r="K15" s="35">
        <v>21</v>
      </c>
      <c r="L15" s="35">
        <v>21</v>
      </c>
      <c r="M15" s="35">
        <v>21</v>
      </c>
      <c r="N15" s="35">
        <v>21</v>
      </c>
      <c r="O15" s="35">
        <v>21</v>
      </c>
      <c r="P15" s="35">
        <v>21</v>
      </c>
      <c r="Q15" s="35">
        <v>21</v>
      </c>
      <c r="R15" s="35">
        <v>21</v>
      </c>
      <c r="S15" s="35">
        <v>21</v>
      </c>
      <c r="T15" s="35">
        <v>21</v>
      </c>
      <c r="U15" s="35">
        <v>21</v>
      </c>
      <c r="V15" s="35"/>
      <c r="W15" s="35"/>
      <c r="X15" s="35"/>
      <c r="Y15" s="35"/>
      <c r="Z15" s="35"/>
      <c r="AA15" s="35"/>
      <c r="AB15" s="36">
        <f t="shared" si="0"/>
        <v>252</v>
      </c>
      <c r="AC15" s="37">
        <v>18</v>
      </c>
      <c r="AD15" s="91">
        <f>+AB15*AC15+AB16*AC16+AB17*AC17</f>
        <v>7560</v>
      </c>
    </row>
    <row r="16" spans="2:30">
      <c r="B16" s="89"/>
      <c r="C16" s="34" t="s">
        <v>33</v>
      </c>
      <c r="D16" s="35"/>
      <c r="E16" s="35"/>
      <c r="F16" s="35"/>
      <c r="G16" s="35"/>
      <c r="H16" s="35"/>
      <c r="I16" s="35"/>
      <c r="J16" s="35">
        <v>21</v>
      </c>
      <c r="K16" s="35">
        <v>21</v>
      </c>
      <c r="L16" s="35">
        <v>21</v>
      </c>
      <c r="M16" s="35">
        <v>21</v>
      </c>
      <c r="N16" s="35">
        <v>21</v>
      </c>
      <c r="O16" s="35">
        <v>21</v>
      </c>
      <c r="P16" s="35">
        <v>21</v>
      </c>
      <c r="Q16" s="35">
        <v>21</v>
      </c>
      <c r="R16" s="35">
        <v>21</v>
      </c>
      <c r="S16" s="35">
        <v>21</v>
      </c>
      <c r="T16" s="35">
        <v>21</v>
      </c>
      <c r="U16" s="35">
        <v>21</v>
      </c>
      <c r="V16" s="35"/>
      <c r="W16" s="35"/>
      <c r="X16" s="35"/>
      <c r="Y16" s="35"/>
      <c r="Z16" s="35"/>
      <c r="AA16" s="35"/>
      <c r="AB16" s="36">
        <f t="shared" si="0"/>
        <v>252</v>
      </c>
      <c r="AC16" s="37">
        <v>5</v>
      </c>
      <c r="AD16" s="91"/>
    </row>
    <row r="17" spans="2:30">
      <c r="B17" s="89"/>
      <c r="C17" s="34" t="s">
        <v>34</v>
      </c>
      <c r="D17" s="35"/>
      <c r="E17" s="35"/>
      <c r="F17" s="35"/>
      <c r="G17" s="35"/>
      <c r="H17" s="35"/>
      <c r="I17" s="35"/>
      <c r="J17" s="35">
        <v>21</v>
      </c>
      <c r="K17" s="35">
        <v>21</v>
      </c>
      <c r="L17" s="35">
        <v>21</v>
      </c>
      <c r="M17" s="35">
        <v>21</v>
      </c>
      <c r="N17" s="35">
        <v>21</v>
      </c>
      <c r="O17" s="35">
        <v>21</v>
      </c>
      <c r="P17" s="35">
        <v>21</v>
      </c>
      <c r="Q17" s="35">
        <v>21</v>
      </c>
      <c r="R17" s="35">
        <v>21</v>
      </c>
      <c r="S17" s="35">
        <v>21</v>
      </c>
      <c r="T17" s="35">
        <v>21</v>
      </c>
      <c r="U17" s="35">
        <v>21</v>
      </c>
      <c r="V17" s="35"/>
      <c r="W17" s="35"/>
      <c r="X17" s="35"/>
      <c r="Y17" s="35"/>
      <c r="Z17" s="35"/>
      <c r="AA17" s="35"/>
      <c r="AB17" s="36">
        <f t="shared" si="0"/>
        <v>252</v>
      </c>
      <c r="AC17" s="37">
        <v>7</v>
      </c>
      <c r="AD17" s="91"/>
    </row>
    <row r="18" spans="2:30">
      <c r="B18" s="89">
        <v>46874</v>
      </c>
      <c r="C18" s="34" t="s">
        <v>32</v>
      </c>
      <c r="D18" s="35"/>
      <c r="E18" s="35"/>
      <c r="F18" s="35"/>
      <c r="G18" s="35"/>
      <c r="H18" s="35"/>
      <c r="I18" s="35"/>
      <c r="J18" s="35">
        <v>21</v>
      </c>
      <c r="K18" s="35">
        <v>21</v>
      </c>
      <c r="L18" s="35">
        <v>21</v>
      </c>
      <c r="M18" s="35">
        <v>21</v>
      </c>
      <c r="N18" s="35">
        <v>21</v>
      </c>
      <c r="O18" s="35">
        <v>21</v>
      </c>
      <c r="P18" s="35">
        <v>21</v>
      </c>
      <c r="Q18" s="35">
        <v>21</v>
      </c>
      <c r="R18" s="35">
        <v>21</v>
      </c>
      <c r="S18" s="35">
        <v>21</v>
      </c>
      <c r="T18" s="35">
        <v>21</v>
      </c>
      <c r="U18" s="35">
        <v>21</v>
      </c>
      <c r="V18" s="35"/>
      <c r="W18" s="35"/>
      <c r="X18" s="35"/>
      <c r="Y18" s="35"/>
      <c r="Z18" s="35"/>
      <c r="AA18" s="35"/>
      <c r="AB18" s="36">
        <f t="shared" si="0"/>
        <v>252</v>
      </c>
      <c r="AC18" s="37">
        <v>21</v>
      </c>
      <c r="AD18" s="91">
        <f>+AB18*AC18+AB19*AC19+AB20*AC20</f>
        <v>7812</v>
      </c>
    </row>
    <row r="19" spans="2:30">
      <c r="B19" s="89"/>
      <c r="C19" s="34" t="s">
        <v>33</v>
      </c>
      <c r="D19" s="35"/>
      <c r="E19" s="35"/>
      <c r="F19" s="35"/>
      <c r="G19" s="35"/>
      <c r="H19" s="35"/>
      <c r="I19" s="35"/>
      <c r="J19" s="35">
        <v>21</v>
      </c>
      <c r="K19" s="35">
        <v>21</v>
      </c>
      <c r="L19" s="35">
        <v>21</v>
      </c>
      <c r="M19" s="35">
        <v>21</v>
      </c>
      <c r="N19" s="35">
        <v>21</v>
      </c>
      <c r="O19" s="35">
        <v>21</v>
      </c>
      <c r="P19" s="35">
        <v>21</v>
      </c>
      <c r="Q19" s="35">
        <v>21</v>
      </c>
      <c r="R19" s="35">
        <v>21</v>
      </c>
      <c r="S19" s="35">
        <v>21</v>
      </c>
      <c r="T19" s="35">
        <v>21</v>
      </c>
      <c r="U19" s="35">
        <v>21</v>
      </c>
      <c r="V19" s="35"/>
      <c r="W19" s="35"/>
      <c r="X19" s="35"/>
      <c r="Y19" s="35"/>
      <c r="Z19" s="35"/>
      <c r="AA19" s="35"/>
      <c r="AB19" s="36">
        <f t="shared" si="0"/>
        <v>252</v>
      </c>
      <c r="AC19" s="37">
        <v>4</v>
      </c>
      <c r="AD19" s="91"/>
    </row>
    <row r="20" spans="2:30">
      <c r="B20" s="89"/>
      <c r="C20" s="34" t="s">
        <v>34</v>
      </c>
      <c r="D20" s="35"/>
      <c r="E20" s="35"/>
      <c r="F20" s="35"/>
      <c r="G20" s="35"/>
      <c r="H20" s="35"/>
      <c r="I20" s="35"/>
      <c r="J20" s="35">
        <v>21</v>
      </c>
      <c r="K20" s="35">
        <v>21</v>
      </c>
      <c r="L20" s="35">
        <v>21</v>
      </c>
      <c r="M20" s="35">
        <v>21</v>
      </c>
      <c r="N20" s="35">
        <v>21</v>
      </c>
      <c r="O20" s="35">
        <v>21</v>
      </c>
      <c r="P20" s="35">
        <v>21</v>
      </c>
      <c r="Q20" s="35">
        <v>21</v>
      </c>
      <c r="R20" s="35">
        <v>21</v>
      </c>
      <c r="S20" s="35">
        <v>21</v>
      </c>
      <c r="T20" s="35">
        <v>21</v>
      </c>
      <c r="U20" s="35">
        <v>21</v>
      </c>
      <c r="V20" s="35"/>
      <c r="W20" s="35"/>
      <c r="X20" s="35"/>
      <c r="Y20" s="35"/>
      <c r="Z20" s="35"/>
      <c r="AA20" s="35"/>
      <c r="AB20" s="36">
        <f t="shared" si="0"/>
        <v>252</v>
      </c>
      <c r="AC20" s="37">
        <v>6</v>
      </c>
      <c r="AD20" s="91"/>
    </row>
    <row r="21" spans="2:30">
      <c r="B21" s="89">
        <v>46905</v>
      </c>
      <c r="C21" s="34" t="s">
        <v>32</v>
      </c>
      <c r="D21" s="35"/>
      <c r="E21" s="35"/>
      <c r="F21" s="35"/>
      <c r="G21" s="35"/>
      <c r="H21" s="35"/>
      <c r="I21" s="35"/>
      <c r="J21" s="35">
        <v>21</v>
      </c>
      <c r="K21" s="35">
        <v>21</v>
      </c>
      <c r="L21" s="35">
        <v>21</v>
      </c>
      <c r="M21" s="35">
        <v>21</v>
      </c>
      <c r="N21" s="35">
        <v>21</v>
      </c>
      <c r="O21" s="35">
        <v>21</v>
      </c>
      <c r="P21" s="35">
        <v>21</v>
      </c>
      <c r="Q21" s="35">
        <v>21</v>
      </c>
      <c r="R21" s="35">
        <v>21</v>
      </c>
      <c r="S21" s="35">
        <v>21</v>
      </c>
      <c r="T21" s="35">
        <v>21</v>
      </c>
      <c r="U21" s="35">
        <v>21</v>
      </c>
      <c r="V21" s="35"/>
      <c r="W21" s="35"/>
      <c r="X21" s="35"/>
      <c r="Y21" s="35"/>
      <c r="Z21" s="35"/>
      <c r="AA21" s="35"/>
      <c r="AB21" s="36">
        <f t="shared" si="0"/>
        <v>252</v>
      </c>
      <c r="AC21" s="37">
        <v>20</v>
      </c>
      <c r="AD21" s="91">
        <f>+AB21*AC21+AB22*AC22+AB23*AC23</f>
        <v>7560</v>
      </c>
    </row>
    <row r="22" spans="2:30">
      <c r="B22" s="89"/>
      <c r="C22" s="34" t="s">
        <v>33</v>
      </c>
      <c r="D22" s="35"/>
      <c r="E22" s="35"/>
      <c r="F22" s="35"/>
      <c r="G22" s="35"/>
      <c r="H22" s="35"/>
      <c r="I22" s="35"/>
      <c r="J22" s="35">
        <v>21</v>
      </c>
      <c r="K22" s="35">
        <v>21</v>
      </c>
      <c r="L22" s="35">
        <v>21</v>
      </c>
      <c r="M22" s="35">
        <v>21</v>
      </c>
      <c r="N22" s="35">
        <v>21</v>
      </c>
      <c r="O22" s="35">
        <v>21</v>
      </c>
      <c r="P22" s="35">
        <v>21</v>
      </c>
      <c r="Q22" s="35">
        <v>21</v>
      </c>
      <c r="R22" s="35">
        <v>21</v>
      </c>
      <c r="S22" s="35">
        <v>21</v>
      </c>
      <c r="T22" s="35">
        <v>21</v>
      </c>
      <c r="U22" s="35">
        <v>21</v>
      </c>
      <c r="V22" s="35"/>
      <c r="W22" s="35"/>
      <c r="X22" s="35"/>
      <c r="Y22" s="35"/>
      <c r="Z22" s="35"/>
      <c r="AA22" s="35"/>
      <c r="AB22" s="36">
        <f t="shared" si="0"/>
        <v>252</v>
      </c>
      <c r="AC22" s="37">
        <v>4</v>
      </c>
      <c r="AD22" s="91"/>
    </row>
    <row r="23" spans="2:30">
      <c r="B23" s="89"/>
      <c r="C23" s="34" t="s">
        <v>34</v>
      </c>
      <c r="D23" s="35"/>
      <c r="E23" s="35"/>
      <c r="F23" s="35"/>
      <c r="G23" s="35"/>
      <c r="H23" s="35"/>
      <c r="I23" s="35"/>
      <c r="J23" s="35">
        <v>21</v>
      </c>
      <c r="K23" s="35">
        <v>21</v>
      </c>
      <c r="L23" s="35">
        <v>21</v>
      </c>
      <c r="M23" s="35">
        <v>21</v>
      </c>
      <c r="N23" s="35">
        <v>21</v>
      </c>
      <c r="O23" s="35">
        <v>21</v>
      </c>
      <c r="P23" s="35">
        <v>21</v>
      </c>
      <c r="Q23" s="35">
        <v>21</v>
      </c>
      <c r="R23" s="35">
        <v>21</v>
      </c>
      <c r="S23" s="35">
        <v>21</v>
      </c>
      <c r="T23" s="35">
        <v>21</v>
      </c>
      <c r="U23" s="35">
        <v>21</v>
      </c>
      <c r="V23" s="35"/>
      <c r="W23" s="35"/>
      <c r="X23" s="35"/>
      <c r="Y23" s="35"/>
      <c r="Z23" s="35"/>
      <c r="AA23" s="35"/>
      <c r="AB23" s="36">
        <f t="shared" si="0"/>
        <v>252</v>
      </c>
      <c r="AC23" s="37">
        <v>6</v>
      </c>
      <c r="AD23" s="91"/>
    </row>
    <row r="24" spans="2:30">
      <c r="B24" s="89">
        <v>46935</v>
      </c>
      <c r="C24" s="34" t="s">
        <v>32</v>
      </c>
      <c r="D24" s="35"/>
      <c r="E24" s="35"/>
      <c r="F24" s="35"/>
      <c r="G24" s="35"/>
      <c r="H24" s="35"/>
      <c r="I24" s="35"/>
      <c r="J24" s="35">
        <v>21</v>
      </c>
      <c r="K24" s="35">
        <v>21</v>
      </c>
      <c r="L24" s="35">
        <v>21</v>
      </c>
      <c r="M24" s="35">
        <v>21</v>
      </c>
      <c r="N24" s="35">
        <v>21</v>
      </c>
      <c r="O24" s="35">
        <v>21</v>
      </c>
      <c r="P24" s="35">
        <v>21</v>
      </c>
      <c r="Q24" s="35">
        <v>21</v>
      </c>
      <c r="R24" s="35">
        <v>21</v>
      </c>
      <c r="S24" s="35">
        <v>21</v>
      </c>
      <c r="T24" s="35">
        <v>21</v>
      </c>
      <c r="U24" s="35">
        <v>21</v>
      </c>
      <c r="V24" s="35"/>
      <c r="W24" s="35"/>
      <c r="X24" s="35"/>
      <c r="Y24" s="35"/>
      <c r="Z24" s="35"/>
      <c r="AA24" s="35"/>
      <c r="AB24" s="36">
        <f t="shared" si="0"/>
        <v>252</v>
      </c>
      <c r="AC24" s="37">
        <v>19</v>
      </c>
      <c r="AD24" s="91">
        <f>+AB24*AC24+AB25*AC25+AB26*AC26</f>
        <v>7812</v>
      </c>
    </row>
    <row r="25" spans="2:30">
      <c r="B25" s="89"/>
      <c r="C25" s="34" t="s">
        <v>33</v>
      </c>
      <c r="D25" s="35"/>
      <c r="E25" s="35"/>
      <c r="F25" s="35"/>
      <c r="G25" s="35"/>
      <c r="H25" s="35"/>
      <c r="I25" s="35"/>
      <c r="J25" s="35">
        <v>21</v>
      </c>
      <c r="K25" s="35">
        <v>21</v>
      </c>
      <c r="L25" s="35">
        <v>21</v>
      </c>
      <c r="M25" s="35">
        <v>21</v>
      </c>
      <c r="N25" s="35">
        <v>21</v>
      </c>
      <c r="O25" s="35">
        <v>21</v>
      </c>
      <c r="P25" s="35">
        <v>21</v>
      </c>
      <c r="Q25" s="35">
        <v>21</v>
      </c>
      <c r="R25" s="35">
        <v>21</v>
      </c>
      <c r="S25" s="35">
        <v>21</v>
      </c>
      <c r="T25" s="35">
        <v>21</v>
      </c>
      <c r="U25" s="35">
        <v>21</v>
      </c>
      <c r="V25" s="35"/>
      <c r="W25" s="35"/>
      <c r="X25" s="35"/>
      <c r="Y25" s="35"/>
      <c r="Z25" s="35"/>
      <c r="AA25" s="35"/>
      <c r="AB25" s="36">
        <f t="shared" si="0"/>
        <v>252</v>
      </c>
      <c r="AC25" s="37">
        <v>5</v>
      </c>
      <c r="AD25" s="91"/>
    </row>
    <row r="26" spans="2:30">
      <c r="B26" s="89"/>
      <c r="C26" s="34" t="s">
        <v>34</v>
      </c>
      <c r="D26" s="35"/>
      <c r="E26" s="35"/>
      <c r="F26" s="35"/>
      <c r="G26" s="35"/>
      <c r="H26" s="35"/>
      <c r="I26" s="35"/>
      <c r="J26" s="35">
        <v>21</v>
      </c>
      <c r="K26" s="35">
        <v>21</v>
      </c>
      <c r="L26" s="35">
        <v>21</v>
      </c>
      <c r="M26" s="35">
        <v>21</v>
      </c>
      <c r="N26" s="35">
        <v>21</v>
      </c>
      <c r="O26" s="35">
        <v>21</v>
      </c>
      <c r="P26" s="35">
        <v>21</v>
      </c>
      <c r="Q26" s="35">
        <v>21</v>
      </c>
      <c r="R26" s="35">
        <v>21</v>
      </c>
      <c r="S26" s="35">
        <v>21</v>
      </c>
      <c r="T26" s="35">
        <v>21</v>
      </c>
      <c r="U26" s="35">
        <v>21</v>
      </c>
      <c r="V26" s="35"/>
      <c r="W26" s="35"/>
      <c r="X26" s="35"/>
      <c r="Y26" s="35"/>
      <c r="Z26" s="35"/>
      <c r="AA26" s="35"/>
      <c r="AB26" s="36">
        <f t="shared" si="0"/>
        <v>252</v>
      </c>
      <c r="AC26" s="37">
        <v>7</v>
      </c>
      <c r="AD26" s="91"/>
    </row>
    <row r="27" spans="2:30">
      <c r="B27" s="89">
        <v>46966</v>
      </c>
      <c r="C27" s="34" t="s">
        <v>32</v>
      </c>
      <c r="D27" s="35"/>
      <c r="E27" s="35"/>
      <c r="F27" s="35"/>
      <c r="G27" s="35"/>
      <c r="H27" s="35"/>
      <c r="I27" s="35"/>
      <c r="J27" s="35">
        <v>21</v>
      </c>
      <c r="K27" s="35">
        <v>21</v>
      </c>
      <c r="L27" s="35">
        <v>21</v>
      </c>
      <c r="M27" s="35">
        <v>21</v>
      </c>
      <c r="N27" s="35">
        <v>21</v>
      </c>
      <c r="O27" s="35">
        <v>21</v>
      </c>
      <c r="P27" s="35">
        <v>21</v>
      </c>
      <c r="Q27" s="35">
        <v>21</v>
      </c>
      <c r="R27" s="35">
        <v>21</v>
      </c>
      <c r="S27" s="35">
        <v>21</v>
      </c>
      <c r="T27" s="35">
        <v>21</v>
      </c>
      <c r="U27" s="35">
        <v>21</v>
      </c>
      <c r="V27" s="35"/>
      <c r="W27" s="35"/>
      <c r="X27" s="35"/>
      <c r="Y27" s="35"/>
      <c r="Z27" s="35"/>
      <c r="AA27" s="35"/>
      <c r="AB27" s="36">
        <f t="shared" si="0"/>
        <v>252</v>
      </c>
      <c r="AC27" s="37">
        <v>21</v>
      </c>
      <c r="AD27" s="91">
        <f>+AB27*AC27+AB28*AC28+AB29*AC29</f>
        <v>7812</v>
      </c>
    </row>
    <row r="28" spans="2:30">
      <c r="B28" s="89"/>
      <c r="C28" s="34" t="s">
        <v>33</v>
      </c>
      <c r="D28" s="35"/>
      <c r="E28" s="35"/>
      <c r="F28" s="35"/>
      <c r="G28" s="35"/>
      <c r="H28" s="35"/>
      <c r="I28" s="35"/>
      <c r="J28" s="35">
        <v>21</v>
      </c>
      <c r="K28" s="35">
        <v>21</v>
      </c>
      <c r="L28" s="35">
        <v>21</v>
      </c>
      <c r="M28" s="35">
        <v>21</v>
      </c>
      <c r="N28" s="35">
        <v>21</v>
      </c>
      <c r="O28" s="35">
        <v>21</v>
      </c>
      <c r="P28" s="35">
        <v>21</v>
      </c>
      <c r="Q28" s="35">
        <v>21</v>
      </c>
      <c r="R28" s="35">
        <v>21</v>
      </c>
      <c r="S28" s="35">
        <v>21</v>
      </c>
      <c r="T28" s="35">
        <v>21</v>
      </c>
      <c r="U28" s="35">
        <v>21</v>
      </c>
      <c r="V28" s="35"/>
      <c r="W28" s="35"/>
      <c r="X28" s="35"/>
      <c r="Y28" s="35"/>
      <c r="Z28" s="35"/>
      <c r="AA28" s="35"/>
      <c r="AB28" s="36">
        <f t="shared" si="0"/>
        <v>252</v>
      </c>
      <c r="AC28" s="37">
        <v>4</v>
      </c>
      <c r="AD28" s="91"/>
    </row>
    <row r="29" spans="2:30">
      <c r="B29" s="89"/>
      <c r="C29" s="34" t="s">
        <v>34</v>
      </c>
      <c r="D29" s="35"/>
      <c r="E29" s="35"/>
      <c r="F29" s="35"/>
      <c r="G29" s="35"/>
      <c r="H29" s="35"/>
      <c r="I29" s="35"/>
      <c r="J29" s="35">
        <v>21</v>
      </c>
      <c r="K29" s="35">
        <v>21</v>
      </c>
      <c r="L29" s="35">
        <v>21</v>
      </c>
      <c r="M29" s="35">
        <v>21</v>
      </c>
      <c r="N29" s="35">
        <v>21</v>
      </c>
      <c r="O29" s="35">
        <v>21</v>
      </c>
      <c r="P29" s="35">
        <v>21</v>
      </c>
      <c r="Q29" s="35">
        <v>21</v>
      </c>
      <c r="R29" s="35">
        <v>21</v>
      </c>
      <c r="S29" s="35">
        <v>21</v>
      </c>
      <c r="T29" s="35">
        <v>21</v>
      </c>
      <c r="U29" s="35">
        <v>21</v>
      </c>
      <c r="V29" s="35"/>
      <c r="W29" s="35"/>
      <c r="X29" s="35"/>
      <c r="Y29" s="35"/>
      <c r="Z29" s="35"/>
      <c r="AA29" s="35"/>
      <c r="AB29" s="36">
        <f t="shared" si="0"/>
        <v>252</v>
      </c>
      <c r="AC29" s="37">
        <v>6</v>
      </c>
      <c r="AD29" s="91"/>
    </row>
    <row r="30" spans="2:30">
      <c r="B30" s="89">
        <v>46997</v>
      </c>
      <c r="C30" s="34" t="s">
        <v>32</v>
      </c>
      <c r="D30" s="35"/>
      <c r="E30" s="35"/>
      <c r="F30" s="35"/>
      <c r="G30" s="35"/>
      <c r="H30" s="35"/>
      <c r="I30" s="35"/>
      <c r="J30" s="35">
        <v>21</v>
      </c>
      <c r="K30" s="35">
        <v>21</v>
      </c>
      <c r="L30" s="35">
        <v>21</v>
      </c>
      <c r="M30" s="35">
        <v>21</v>
      </c>
      <c r="N30" s="35">
        <v>21</v>
      </c>
      <c r="O30" s="35">
        <v>21</v>
      </c>
      <c r="P30" s="35">
        <v>21</v>
      </c>
      <c r="Q30" s="35">
        <v>21</v>
      </c>
      <c r="R30" s="35">
        <v>21</v>
      </c>
      <c r="S30" s="35">
        <v>21</v>
      </c>
      <c r="T30" s="35">
        <v>21</v>
      </c>
      <c r="U30" s="35">
        <v>21</v>
      </c>
      <c r="V30" s="35"/>
      <c r="W30" s="35"/>
      <c r="X30" s="35"/>
      <c r="Y30" s="35"/>
      <c r="Z30" s="35"/>
      <c r="AA30" s="35"/>
      <c r="AB30" s="36">
        <f t="shared" si="0"/>
        <v>252</v>
      </c>
      <c r="AC30" s="37">
        <v>21</v>
      </c>
      <c r="AD30" s="91">
        <f>+AB30*AC30+AB31*AC31+AB32*AC32</f>
        <v>7560</v>
      </c>
    </row>
    <row r="31" spans="2:30">
      <c r="B31" s="89"/>
      <c r="C31" s="34" t="s">
        <v>33</v>
      </c>
      <c r="D31" s="35"/>
      <c r="E31" s="35"/>
      <c r="F31" s="35"/>
      <c r="G31" s="35"/>
      <c r="H31" s="35"/>
      <c r="I31" s="35"/>
      <c r="J31" s="35">
        <v>21</v>
      </c>
      <c r="K31" s="35">
        <v>21</v>
      </c>
      <c r="L31" s="35">
        <v>21</v>
      </c>
      <c r="M31" s="35">
        <v>21</v>
      </c>
      <c r="N31" s="35">
        <v>21</v>
      </c>
      <c r="O31" s="35">
        <v>21</v>
      </c>
      <c r="P31" s="35">
        <v>21</v>
      </c>
      <c r="Q31" s="35">
        <v>21</v>
      </c>
      <c r="R31" s="35">
        <v>21</v>
      </c>
      <c r="S31" s="35">
        <v>21</v>
      </c>
      <c r="T31" s="35">
        <v>21</v>
      </c>
      <c r="U31" s="35">
        <v>21</v>
      </c>
      <c r="V31" s="35"/>
      <c r="W31" s="35"/>
      <c r="X31" s="35"/>
      <c r="Y31" s="35"/>
      <c r="Z31" s="35"/>
      <c r="AA31" s="35"/>
      <c r="AB31" s="36">
        <f t="shared" si="0"/>
        <v>252</v>
      </c>
      <c r="AC31" s="37">
        <v>5</v>
      </c>
      <c r="AD31" s="91"/>
    </row>
    <row r="32" spans="2:30">
      <c r="B32" s="89"/>
      <c r="C32" s="34" t="s">
        <v>34</v>
      </c>
      <c r="D32" s="35"/>
      <c r="E32" s="35"/>
      <c r="F32" s="35"/>
      <c r="G32" s="35"/>
      <c r="H32" s="35"/>
      <c r="I32" s="35"/>
      <c r="J32" s="35">
        <v>21</v>
      </c>
      <c r="K32" s="35">
        <v>21</v>
      </c>
      <c r="L32" s="35">
        <v>21</v>
      </c>
      <c r="M32" s="35">
        <v>21</v>
      </c>
      <c r="N32" s="35">
        <v>21</v>
      </c>
      <c r="O32" s="35">
        <v>21</v>
      </c>
      <c r="P32" s="35">
        <v>21</v>
      </c>
      <c r="Q32" s="35">
        <v>21</v>
      </c>
      <c r="R32" s="35">
        <v>21</v>
      </c>
      <c r="S32" s="35">
        <v>21</v>
      </c>
      <c r="T32" s="35">
        <v>21</v>
      </c>
      <c r="U32" s="35">
        <v>21</v>
      </c>
      <c r="V32" s="35"/>
      <c r="W32" s="35"/>
      <c r="X32" s="35"/>
      <c r="Y32" s="35"/>
      <c r="Z32" s="35"/>
      <c r="AA32" s="35"/>
      <c r="AB32" s="36">
        <f t="shared" si="0"/>
        <v>252</v>
      </c>
      <c r="AC32" s="37">
        <v>4</v>
      </c>
      <c r="AD32" s="91"/>
    </row>
    <row r="33" spans="2:30">
      <c r="B33" s="89">
        <v>47027</v>
      </c>
      <c r="C33" s="34" t="s">
        <v>32</v>
      </c>
      <c r="D33" s="35"/>
      <c r="E33" s="35"/>
      <c r="F33" s="35"/>
      <c r="G33" s="35"/>
      <c r="H33" s="35"/>
      <c r="I33" s="35"/>
      <c r="J33" s="35">
        <v>21</v>
      </c>
      <c r="K33" s="35">
        <v>21</v>
      </c>
      <c r="L33" s="35">
        <v>21</v>
      </c>
      <c r="M33" s="35">
        <v>21</v>
      </c>
      <c r="N33" s="35">
        <v>21</v>
      </c>
      <c r="O33" s="35">
        <v>21</v>
      </c>
      <c r="P33" s="35">
        <v>21</v>
      </c>
      <c r="Q33" s="35">
        <v>21</v>
      </c>
      <c r="R33" s="35">
        <v>21</v>
      </c>
      <c r="S33" s="35">
        <v>21</v>
      </c>
      <c r="T33" s="35">
        <v>21</v>
      </c>
      <c r="U33" s="35">
        <v>21</v>
      </c>
      <c r="V33" s="35"/>
      <c r="W33" s="35"/>
      <c r="X33" s="35"/>
      <c r="Y33" s="35"/>
      <c r="Z33" s="35"/>
      <c r="AA33" s="35"/>
      <c r="AB33" s="36">
        <f t="shared" si="0"/>
        <v>252</v>
      </c>
      <c r="AC33" s="37">
        <v>21</v>
      </c>
      <c r="AD33" s="91">
        <f>+AB33*AC33+AB34*AC34+AB35*AC35</f>
        <v>7812</v>
      </c>
    </row>
    <row r="34" spans="2:30">
      <c r="B34" s="89"/>
      <c r="C34" s="34" t="s">
        <v>33</v>
      </c>
      <c r="D34" s="35"/>
      <c r="E34" s="35"/>
      <c r="F34" s="35"/>
      <c r="G34" s="35"/>
      <c r="H34" s="35"/>
      <c r="I34" s="35"/>
      <c r="J34" s="35">
        <v>21</v>
      </c>
      <c r="K34" s="35">
        <v>21</v>
      </c>
      <c r="L34" s="35">
        <v>21</v>
      </c>
      <c r="M34" s="35">
        <v>21</v>
      </c>
      <c r="N34" s="35">
        <v>21</v>
      </c>
      <c r="O34" s="35">
        <v>21</v>
      </c>
      <c r="P34" s="35">
        <v>21</v>
      </c>
      <c r="Q34" s="35">
        <v>21</v>
      </c>
      <c r="R34" s="35">
        <v>21</v>
      </c>
      <c r="S34" s="35">
        <v>21</v>
      </c>
      <c r="T34" s="35">
        <v>21</v>
      </c>
      <c r="U34" s="35">
        <v>21</v>
      </c>
      <c r="V34" s="35"/>
      <c r="W34" s="35"/>
      <c r="X34" s="35"/>
      <c r="Y34" s="35"/>
      <c r="Z34" s="35"/>
      <c r="AA34" s="35"/>
      <c r="AB34" s="36">
        <f t="shared" si="0"/>
        <v>252</v>
      </c>
      <c r="AC34" s="37">
        <v>4</v>
      </c>
      <c r="AD34" s="91"/>
    </row>
    <row r="35" spans="2:30">
      <c r="B35" s="89"/>
      <c r="C35" s="34" t="s">
        <v>34</v>
      </c>
      <c r="D35" s="35"/>
      <c r="E35" s="35"/>
      <c r="F35" s="35"/>
      <c r="G35" s="35"/>
      <c r="H35" s="35"/>
      <c r="I35" s="35"/>
      <c r="J35" s="35">
        <v>21</v>
      </c>
      <c r="K35" s="35">
        <v>21</v>
      </c>
      <c r="L35" s="35">
        <v>21</v>
      </c>
      <c r="M35" s="35">
        <v>21</v>
      </c>
      <c r="N35" s="35">
        <v>21</v>
      </c>
      <c r="O35" s="35">
        <v>21</v>
      </c>
      <c r="P35" s="35">
        <v>21</v>
      </c>
      <c r="Q35" s="35">
        <v>21</v>
      </c>
      <c r="R35" s="35">
        <v>21</v>
      </c>
      <c r="S35" s="35">
        <v>21</v>
      </c>
      <c r="T35" s="35">
        <v>21</v>
      </c>
      <c r="U35" s="35">
        <v>21</v>
      </c>
      <c r="V35" s="35"/>
      <c r="W35" s="35"/>
      <c r="X35" s="35"/>
      <c r="Y35" s="35"/>
      <c r="Z35" s="35"/>
      <c r="AA35" s="35"/>
      <c r="AB35" s="36">
        <f t="shared" si="0"/>
        <v>252</v>
      </c>
      <c r="AC35" s="37">
        <v>6</v>
      </c>
      <c r="AD35" s="91"/>
    </row>
    <row r="36" spans="2:30">
      <c r="B36" s="89">
        <v>47058</v>
      </c>
      <c r="C36" s="34" t="s">
        <v>32</v>
      </c>
      <c r="D36" s="35"/>
      <c r="E36" s="35"/>
      <c r="F36" s="35"/>
      <c r="G36" s="35"/>
      <c r="H36" s="35"/>
      <c r="I36" s="35"/>
      <c r="J36" s="35">
        <v>21</v>
      </c>
      <c r="K36" s="35">
        <v>21</v>
      </c>
      <c r="L36" s="35">
        <v>21</v>
      </c>
      <c r="M36" s="35">
        <v>21</v>
      </c>
      <c r="N36" s="35">
        <v>21</v>
      </c>
      <c r="O36" s="35">
        <v>21</v>
      </c>
      <c r="P36" s="35">
        <v>21</v>
      </c>
      <c r="Q36" s="35">
        <v>21</v>
      </c>
      <c r="R36" s="35">
        <v>21</v>
      </c>
      <c r="S36" s="35">
        <v>21</v>
      </c>
      <c r="T36" s="35">
        <v>21</v>
      </c>
      <c r="U36" s="35">
        <v>21</v>
      </c>
      <c r="V36" s="35"/>
      <c r="W36" s="35"/>
      <c r="X36" s="35"/>
      <c r="Y36" s="35"/>
      <c r="Z36" s="35"/>
      <c r="AA36" s="35"/>
      <c r="AB36" s="36">
        <f t="shared" si="0"/>
        <v>252</v>
      </c>
      <c r="AC36" s="37">
        <v>20</v>
      </c>
      <c r="AD36" s="91">
        <f>+AB36*AC36+AB37*AC37+AB38*AC38</f>
        <v>7560</v>
      </c>
    </row>
    <row r="37" spans="2:30">
      <c r="B37" s="89"/>
      <c r="C37" s="34" t="s">
        <v>33</v>
      </c>
      <c r="D37" s="35"/>
      <c r="E37" s="35"/>
      <c r="F37" s="35"/>
      <c r="G37" s="35"/>
      <c r="H37" s="35"/>
      <c r="I37" s="35"/>
      <c r="J37" s="35">
        <v>21</v>
      </c>
      <c r="K37" s="35">
        <v>21</v>
      </c>
      <c r="L37" s="35">
        <v>21</v>
      </c>
      <c r="M37" s="35">
        <v>21</v>
      </c>
      <c r="N37" s="35">
        <v>21</v>
      </c>
      <c r="O37" s="35">
        <v>21</v>
      </c>
      <c r="P37" s="35">
        <v>21</v>
      </c>
      <c r="Q37" s="35">
        <v>21</v>
      </c>
      <c r="R37" s="35">
        <v>21</v>
      </c>
      <c r="S37" s="35">
        <v>21</v>
      </c>
      <c r="T37" s="35">
        <v>21</v>
      </c>
      <c r="U37" s="35">
        <v>21</v>
      </c>
      <c r="V37" s="35"/>
      <c r="W37" s="35"/>
      <c r="X37" s="35"/>
      <c r="Y37" s="35"/>
      <c r="Z37" s="35"/>
      <c r="AA37" s="35"/>
      <c r="AB37" s="36">
        <f t="shared" si="0"/>
        <v>252</v>
      </c>
      <c r="AC37" s="37">
        <v>4</v>
      </c>
      <c r="AD37" s="91"/>
    </row>
    <row r="38" spans="2:30">
      <c r="B38" s="89"/>
      <c r="C38" s="34" t="s">
        <v>34</v>
      </c>
      <c r="D38" s="35"/>
      <c r="E38" s="35"/>
      <c r="F38" s="35"/>
      <c r="G38" s="35"/>
      <c r="H38" s="35"/>
      <c r="I38" s="35"/>
      <c r="J38" s="35">
        <v>21</v>
      </c>
      <c r="K38" s="35">
        <v>21</v>
      </c>
      <c r="L38" s="35">
        <v>21</v>
      </c>
      <c r="M38" s="35">
        <v>21</v>
      </c>
      <c r="N38" s="35">
        <v>21</v>
      </c>
      <c r="O38" s="35">
        <v>21</v>
      </c>
      <c r="P38" s="35">
        <v>21</v>
      </c>
      <c r="Q38" s="35">
        <v>21</v>
      </c>
      <c r="R38" s="35">
        <v>21</v>
      </c>
      <c r="S38" s="35">
        <v>21</v>
      </c>
      <c r="T38" s="35">
        <v>21</v>
      </c>
      <c r="U38" s="35">
        <v>21</v>
      </c>
      <c r="V38" s="35"/>
      <c r="W38" s="35"/>
      <c r="X38" s="35"/>
      <c r="Y38" s="35"/>
      <c r="Z38" s="35"/>
      <c r="AA38" s="35"/>
      <c r="AB38" s="36">
        <f t="shared" si="0"/>
        <v>252</v>
      </c>
      <c r="AC38" s="37">
        <v>6</v>
      </c>
      <c r="AD38" s="91"/>
    </row>
    <row r="39" spans="2:30">
      <c r="B39" s="89">
        <v>47088</v>
      </c>
      <c r="C39" s="34" t="s">
        <v>32</v>
      </c>
      <c r="D39" s="35"/>
      <c r="E39" s="35"/>
      <c r="F39" s="35"/>
      <c r="G39" s="35"/>
      <c r="H39" s="35"/>
      <c r="I39" s="35"/>
      <c r="J39" s="35">
        <v>21</v>
      </c>
      <c r="K39" s="35">
        <v>21</v>
      </c>
      <c r="L39" s="35">
        <v>21</v>
      </c>
      <c r="M39" s="35">
        <v>21</v>
      </c>
      <c r="N39" s="35">
        <v>21</v>
      </c>
      <c r="O39" s="35">
        <v>21</v>
      </c>
      <c r="P39" s="35">
        <v>21</v>
      </c>
      <c r="Q39" s="35">
        <v>21</v>
      </c>
      <c r="R39" s="35">
        <v>21</v>
      </c>
      <c r="S39" s="35">
        <v>21</v>
      </c>
      <c r="T39" s="35">
        <v>21</v>
      </c>
      <c r="U39" s="35">
        <v>21</v>
      </c>
      <c r="V39" s="35"/>
      <c r="W39" s="35"/>
      <c r="X39" s="35"/>
      <c r="Y39" s="35"/>
      <c r="Z39" s="35"/>
      <c r="AA39" s="35"/>
      <c r="AB39" s="36">
        <f t="shared" si="0"/>
        <v>252</v>
      </c>
      <c r="AC39" s="37">
        <v>19</v>
      </c>
      <c r="AD39" s="91">
        <f>+AB39*AC39+AB40*AC40+AB41*AC41</f>
        <v>7812</v>
      </c>
    </row>
    <row r="40" spans="2:30">
      <c r="B40" s="89"/>
      <c r="C40" s="34" t="s">
        <v>33</v>
      </c>
      <c r="D40" s="35"/>
      <c r="E40" s="35"/>
      <c r="F40" s="35"/>
      <c r="G40" s="35"/>
      <c r="H40" s="35"/>
      <c r="I40" s="35"/>
      <c r="J40" s="35">
        <v>21</v>
      </c>
      <c r="K40" s="35">
        <v>21</v>
      </c>
      <c r="L40" s="35">
        <v>21</v>
      </c>
      <c r="M40" s="35">
        <v>21</v>
      </c>
      <c r="N40" s="35">
        <v>21</v>
      </c>
      <c r="O40" s="35">
        <v>21</v>
      </c>
      <c r="P40" s="35">
        <v>21</v>
      </c>
      <c r="Q40" s="35">
        <v>21</v>
      </c>
      <c r="R40" s="35">
        <v>21</v>
      </c>
      <c r="S40" s="35">
        <v>21</v>
      </c>
      <c r="T40" s="35">
        <v>21</v>
      </c>
      <c r="U40" s="35">
        <v>21</v>
      </c>
      <c r="V40" s="35"/>
      <c r="W40" s="35"/>
      <c r="X40" s="35"/>
      <c r="Y40" s="35"/>
      <c r="Z40" s="35"/>
      <c r="AA40" s="35"/>
      <c r="AB40" s="36">
        <f t="shared" si="0"/>
        <v>252</v>
      </c>
      <c r="AC40" s="37">
        <v>5</v>
      </c>
      <c r="AD40" s="91"/>
    </row>
    <row r="41" spans="2:30">
      <c r="B41" s="89"/>
      <c r="C41" s="34" t="s">
        <v>34</v>
      </c>
      <c r="D41" s="35"/>
      <c r="E41" s="35"/>
      <c r="F41" s="35"/>
      <c r="G41" s="35"/>
      <c r="H41" s="35"/>
      <c r="I41" s="35"/>
      <c r="J41" s="35">
        <v>21</v>
      </c>
      <c r="K41" s="35">
        <v>21</v>
      </c>
      <c r="L41" s="35">
        <v>21</v>
      </c>
      <c r="M41" s="35">
        <v>21</v>
      </c>
      <c r="N41" s="35">
        <v>21</v>
      </c>
      <c r="O41" s="35">
        <v>21</v>
      </c>
      <c r="P41" s="35">
        <v>21</v>
      </c>
      <c r="Q41" s="35">
        <v>21</v>
      </c>
      <c r="R41" s="35">
        <v>21</v>
      </c>
      <c r="S41" s="35">
        <v>21</v>
      </c>
      <c r="T41" s="35">
        <v>21</v>
      </c>
      <c r="U41" s="35">
        <v>21</v>
      </c>
      <c r="V41" s="35"/>
      <c r="W41" s="35"/>
      <c r="X41" s="35"/>
      <c r="Y41" s="35"/>
      <c r="Z41" s="35"/>
      <c r="AA41" s="35"/>
      <c r="AB41" s="36">
        <f t="shared" si="0"/>
        <v>252</v>
      </c>
      <c r="AC41" s="37">
        <v>7</v>
      </c>
      <c r="AD41" s="91"/>
    </row>
    <row r="42" spans="2:30">
      <c r="AA42" s="86" t="s">
        <v>35</v>
      </c>
      <c r="AB42" s="87"/>
      <c r="AC42" s="88"/>
      <c r="AD42" s="39">
        <f>SUM(AD6:AD41)</f>
        <v>92232</v>
      </c>
    </row>
    <row r="43" spans="2:30">
      <c r="AB43" s="38"/>
      <c r="AC43" s="38"/>
    </row>
    <row r="44" spans="2:30" ht="23.25">
      <c r="B44" s="41" t="s">
        <v>62</v>
      </c>
    </row>
    <row r="45" spans="2:30">
      <c r="B45" s="32" t="s">
        <v>3</v>
      </c>
      <c r="C45" s="32" t="s">
        <v>4</v>
      </c>
      <c r="D45" s="32" t="s">
        <v>5</v>
      </c>
      <c r="E45" s="32" t="s">
        <v>6</v>
      </c>
      <c r="F45" s="32" t="s">
        <v>7</v>
      </c>
      <c r="G45" s="32" t="s">
        <v>8</v>
      </c>
      <c r="H45" s="32" t="s">
        <v>9</v>
      </c>
      <c r="I45" s="32" t="s">
        <v>10</v>
      </c>
      <c r="J45" s="32" t="s">
        <v>11</v>
      </c>
      <c r="K45" s="32" t="s">
        <v>12</v>
      </c>
      <c r="L45" s="32" t="s">
        <v>13</v>
      </c>
      <c r="M45" s="32" t="s">
        <v>14</v>
      </c>
      <c r="N45" s="32" t="s">
        <v>15</v>
      </c>
      <c r="O45" s="32" t="s">
        <v>16</v>
      </c>
      <c r="P45" s="32" t="s">
        <v>17</v>
      </c>
      <c r="Q45" s="32" t="s">
        <v>18</v>
      </c>
      <c r="R45" s="32" t="s">
        <v>19</v>
      </c>
      <c r="S45" s="32" t="s">
        <v>20</v>
      </c>
      <c r="T45" s="32" t="s">
        <v>21</v>
      </c>
      <c r="U45" s="32" t="s">
        <v>22</v>
      </c>
      <c r="V45" s="32" t="s">
        <v>23</v>
      </c>
      <c r="W45" s="32" t="s">
        <v>24</v>
      </c>
      <c r="X45" s="32" t="s">
        <v>25</v>
      </c>
      <c r="Y45" s="32" t="s">
        <v>26</v>
      </c>
      <c r="Z45" s="32" t="s">
        <v>27</v>
      </c>
      <c r="AA45" s="32" t="s">
        <v>28</v>
      </c>
      <c r="AB45" s="33" t="s">
        <v>29</v>
      </c>
      <c r="AC45" s="33" t="s">
        <v>30</v>
      </c>
      <c r="AD45" s="32" t="s">
        <v>31</v>
      </c>
    </row>
    <row r="46" spans="2:30">
      <c r="B46" s="89">
        <v>47119</v>
      </c>
      <c r="C46" s="34" t="s">
        <v>32</v>
      </c>
      <c r="D46" s="35"/>
      <c r="E46" s="35"/>
      <c r="F46" s="35"/>
      <c r="G46" s="35"/>
      <c r="H46" s="35"/>
      <c r="I46" s="35"/>
      <c r="J46" s="35">
        <v>20</v>
      </c>
      <c r="K46" s="35">
        <v>20</v>
      </c>
      <c r="L46" s="35">
        <v>20</v>
      </c>
      <c r="M46" s="35">
        <v>20</v>
      </c>
      <c r="N46" s="35">
        <v>20</v>
      </c>
      <c r="O46" s="35">
        <v>20</v>
      </c>
      <c r="P46" s="35">
        <v>20</v>
      </c>
      <c r="Q46" s="35">
        <v>20</v>
      </c>
      <c r="R46" s="35">
        <v>20</v>
      </c>
      <c r="S46" s="35">
        <v>20</v>
      </c>
      <c r="T46" s="35">
        <v>20</v>
      </c>
      <c r="U46" s="35">
        <v>20</v>
      </c>
      <c r="V46" s="35"/>
      <c r="W46" s="35"/>
      <c r="X46" s="35"/>
      <c r="Y46" s="35"/>
      <c r="Z46" s="35"/>
      <c r="AA46" s="35"/>
      <c r="AB46" s="36">
        <f>SUM(D46:AA46)</f>
        <v>240</v>
      </c>
      <c r="AC46" s="37">
        <v>21</v>
      </c>
      <c r="AD46" s="91">
        <f>+AB46*AC46+AB47*AC47+AB48*AC48</f>
        <v>7440</v>
      </c>
    </row>
    <row r="47" spans="2:30">
      <c r="B47" s="89"/>
      <c r="C47" s="34" t="s">
        <v>33</v>
      </c>
      <c r="D47" s="35"/>
      <c r="E47" s="35"/>
      <c r="F47" s="35"/>
      <c r="G47" s="35"/>
      <c r="H47" s="35"/>
      <c r="I47" s="35"/>
      <c r="J47" s="35">
        <v>20</v>
      </c>
      <c r="K47" s="35">
        <v>20</v>
      </c>
      <c r="L47" s="35">
        <v>20</v>
      </c>
      <c r="M47" s="35">
        <v>20</v>
      </c>
      <c r="N47" s="35">
        <v>20</v>
      </c>
      <c r="O47" s="35">
        <v>20</v>
      </c>
      <c r="P47" s="35">
        <v>20</v>
      </c>
      <c r="Q47" s="35">
        <v>20</v>
      </c>
      <c r="R47" s="35">
        <v>20</v>
      </c>
      <c r="S47" s="35">
        <v>20</v>
      </c>
      <c r="T47" s="35">
        <v>20</v>
      </c>
      <c r="U47" s="35">
        <v>20</v>
      </c>
      <c r="V47" s="35"/>
      <c r="W47" s="35"/>
      <c r="X47" s="35"/>
      <c r="Y47" s="35"/>
      <c r="Z47" s="35"/>
      <c r="AA47" s="35"/>
      <c r="AB47" s="36">
        <f t="shared" ref="AB47:AB81" si="1">SUM(D47:AA47)</f>
        <v>240</v>
      </c>
      <c r="AC47" s="37">
        <v>4</v>
      </c>
      <c r="AD47" s="91"/>
    </row>
    <row r="48" spans="2:30">
      <c r="B48" s="89"/>
      <c r="C48" s="34" t="s">
        <v>34</v>
      </c>
      <c r="D48" s="35"/>
      <c r="E48" s="35"/>
      <c r="F48" s="35"/>
      <c r="G48" s="35"/>
      <c r="H48" s="35"/>
      <c r="I48" s="35"/>
      <c r="J48" s="35">
        <v>20</v>
      </c>
      <c r="K48" s="35">
        <v>20</v>
      </c>
      <c r="L48" s="35">
        <v>20</v>
      </c>
      <c r="M48" s="35">
        <v>20</v>
      </c>
      <c r="N48" s="35">
        <v>20</v>
      </c>
      <c r="O48" s="35">
        <v>20</v>
      </c>
      <c r="P48" s="35">
        <v>20</v>
      </c>
      <c r="Q48" s="35">
        <v>20</v>
      </c>
      <c r="R48" s="35">
        <v>20</v>
      </c>
      <c r="S48" s="35">
        <v>20</v>
      </c>
      <c r="T48" s="35">
        <v>20</v>
      </c>
      <c r="U48" s="35">
        <v>20</v>
      </c>
      <c r="V48" s="35"/>
      <c r="W48" s="35"/>
      <c r="X48" s="35"/>
      <c r="Y48" s="35"/>
      <c r="Z48" s="35"/>
      <c r="AA48" s="35"/>
      <c r="AB48" s="36">
        <f t="shared" si="1"/>
        <v>240</v>
      </c>
      <c r="AC48" s="37">
        <v>6</v>
      </c>
      <c r="AD48" s="91"/>
    </row>
    <row r="49" spans="2:30">
      <c r="B49" s="89">
        <v>47150</v>
      </c>
      <c r="C49" s="34" t="s">
        <v>32</v>
      </c>
      <c r="D49" s="35"/>
      <c r="E49" s="35"/>
      <c r="F49" s="35"/>
      <c r="G49" s="35"/>
      <c r="H49" s="35"/>
      <c r="I49" s="35"/>
      <c r="J49" s="35">
        <v>20</v>
      </c>
      <c r="K49" s="35">
        <v>20</v>
      </c>
      <c r="L49" s="35">
        <v>20</v>
      </c>
      <c r="M49" s="35">
        <v>20</v>
      </c>
      <c r="N49" s="35">
        <v>20</v>
      </c>
      <c r="O49" s="35">
        <v>20</v>
      </c>
      <c r="P49" s="35">
        <v>20</v>
      </c>
      <c r="Q49" s="35">
        <v>20</v>
      </c>
      <c r="R49" s="35">
        <v>20</v>
      </c>
      <c r="S49" s="35">
        <v>20</v>
      </c>
      <c r="T49" s="35">
        <v>20</v>
      </c>
      <c r="U49" s="35">
        <v>20</v>
      </c>
      <c r="V49" s="35"/>
      <c r="W49" s="35"/>
      <c r="X49" s="35"/>
      <c r="Y49" s="35"/>
      <c r="Z49" s="35"/>
      <c r="AA49" s="35"/>
      <c r="AB49" s="36">
        <f t="shared" si="1"/>
        <v>240</v>
      </c>
      <c r="AC49" s="37">
        <v>20</v>
      </c>
      <c r="AD49" s="91">
        <f>+AB49*AC49+AB50*AC50+AB51*AC51</f>
        <v>6720</v>
      </c>
    </row>
    <row r="50" spans="2:30">
      <c r="B50" s="89"/>
      <c r="C50" s="34" t="s">
        <v>33</v>
      </c>
      <c r="D50" s="35"/>
      <c r="E50" s="35"/>
      <c r="F50" s="35"/>
      <c r="G50" s="35"/>
      <c r="H50" s="35"/>
      <c r="I50" s="35"/>
      <c r="J50" s="35">
        <v>20</v>
      </c>
      <c r="K50" s="35">
        <v>20</v>
      </c>
      <c r="L50" s="35">
        <v>20</v>
      </c>
      <c r="M50" s="35">
        <v>20</v>
      </c>
      <c r="N50" s="35">
        <v>20</v>
      </c>
      <c r="O50" s="35">
        <v>20</v>
      </c>
      <c r="P50" s="35">
        <v>20</v>
      </c>
      <c r="Q50" s="35">
        <v>20</v>
      </c>
      <c r="R50" s="35">
        <v>20</v>
      </c>
      <c r="S50" s="35">
        <v>20</v>
      </c>
      <c r="T50" s="35">
        <v>20</v>
      </c>
      <c r="U50" s="35">
        <v>20</v>
      </c>
      <c r="V50" s="35"/>
      <c r="W50" s="35"/>
      <c r="X50" s="35"/>
      <c r="Y50" s="35"/>
      <c r="Z50" s="35"/>
      <c r="AA50" s="35"/>
      <c r="AB50" s="36">
        <f t="shared" si="1"/>
        <v>240</v>
      </c>
      <c r="AC50" s="37">
        <v>4</v>
      </c>
      <c r="AD50" s="91"/>
    </row>
    <row r="51" spans="2:30">
      <c r="B51" s="89"/>
      <c r="C51" s="34" t="s">
        <v>34</v>
      </c>
      <c r="D51" s="35"/>
      <c r="E51" s="35"/>
      <c r="F51" s="35"/>
      <c r="G51" s="35"/>
      <c r="H51" s="35"/>
      <c r="I51" s="35"/>
      <c r="J51" s="35">
        <v>20</v>
      </c>
      <c r="K51" s="35">
        <v>20</v>
      </c>
      <c r="L51" s="35">
        <v>20</v>
      </c>
      <c r="M51" s="35">
        <v>20</v>
      </c>
      <c r="N51" s="35">
        <v>20</v>
      </c>
      <c r="O51" s="35">
        <v>20</v>
      </c>
      <c r="P51" s="35">
        <v>20</v>
      </c>
      <c r="Q51" s="35">
        <v>20</v>
      </c>
      <c r="R51" s="35">
        <v>20</v>
      </c>
      <c r="S51" s="35">
        <v>20</v>
      </c>
      <c r="T51" s="35">
        <v>20</v>
      </c>
      <c r="U51" s="35">
        <v>20</v>
      </c>
      <c r="V51" s="35"/>
      <c r="W51" s="35"/>
      <c r="X51" s="35"/>
      <c r="Y51" s="35"/>
      <c r="Z51" s="35"/>
      <c r="AA51" s="35"/>
      <c r="AB51" s="36">
        <f t="shared" si="1"/>
        <v>240</v>
      </c>
      <c r="AC51" s="37">
        <v>4</v>
      </c>
      <c r="AD51" s="91"/>
    </row>
    <row r="52" spans="2:30">
      <c r="B52" s="89">
        <v>47178</v>
      </c>
      <c r="C52" s="34" t="s">
        <v>32</v>
      </c>
      <c r="D52" s="35"/>
      <c r="E52" s="35"/>
      <c r="F52" s="35"/>
      <c r="G52" s="35"/>
      <c r="H52" s="35"/>
      <c r="I52" s="35"/>
      <c r="J52" s="35">
        <v>20</v>
      </c>
      <c r="K52" s="35">
        <v>20</v>
      </c>
      <c r="L52" s="35">
        <v>20</v>
      </c>
      <c r="M52" s="35">
        <v>20</v>
      </c>
      <c r="N52" s="35">
        <v>20</v>
      </c>
      <c r="O52" s="35">
        <v>20</v>
      </c>
      <c r="P52" s="35">
        <v>20</v>
      </c>
      <c r="Q52" s="35">
        <v>20</v>
      </c>
      <c r="R52" s="35">
        <v>20</v>
      </c>
      <c r="S52" s="35">
        <v>20</v>
      </c>
      <c r="T52" s="35">
        <v>20</v>
      </c>
      <c r="U52" s="35">
        <v>20</v>
      </c>
      <c r="V52" s="35"/>
      <c r="W52" s="35"/>
      <c r="X52" s="35"/>
      <c r="Y52" s="35"/>
      <c r="Z52" s="35"/>
      <c r="AA52" s="35"/>
      <c r="AB52" s="36">
        <f t="shared" si="1"/>
        <v>240</v>
      </c>
      <c r="AC52" s="37">
        <v>19</v>
      </c>
      <c r="AD52" s="91">
        <f>+AB52*AC52+AB53*AC53+AB54*AC54</f>
        <v>7440</v>
      </c>
    </row>
    <row r="53" spans="2:30">
      <c r="B53" s="89"/>
      <c r="C53" s="34" t="s">
        <v>33</v>
      </c>
      <c r="D53" s="35"/>
      <c r="E53" s="35"/>
      <c r="F53" s="35"/>
      <c r="G53" s="35"/>
      <c r="H53" s="35"/>
      <c r="I53" s="35"/>
      <c r="J53" s="35">
        <v>20</v>
      </c>
      <c r="K53" s="35">
        <v>20</v>
      </c>
      <c r="L53" s="35">
        <v>20</v>
      </c>
      <c r="M53" s="35">
        <v>20</v>
      </c>
      <c r="N53" s="35">
        <v>20</v>
      </c>
      <c r="O53" s="35">
        <v>20</v>
      </c>
      <c r="P53" s="35">
        <v>20</v>
      </c>
      <c r="Q53" s="35">
        <v>20</v>
      </c>
      <c r="R53" s="35">
        <v>20</v>
      </c>
      <c r="S53" s="35">
        <v>20</v>
      </c>
      <c r="T53" s="35">
        <v>20</v>
      </c>
      <c r="U53" s="35">
        <v>20</v>
      </c>
      <c r="V53" s="35"/>
      <c r="W53" s="35"/>
      <c r="X53" s="35"/>
      <c r="Y53" s="35"/>
      <c r="Z53" s="35"/>
      <c r="AA53" s="35"/>
      <c r="AB53" s="36">
        <f t="shared" si="1"/>
        <v>240</v>
      </c>
      <c r="AC53" s="37">
        <v>5</v>
      </c>
      <c r="AD53" s="91"/>
    </row>
    <row r="54" spans="2:30">
      <c r="B54" s="89"/>
      <c r="C54" s="34" t="s">
        <v>34</v>
      </c>
      <c r="D54" s="35"/>
      <c r="E54" s="35"/>
      <c r="F54" s="35"/>
      <c r="G54" s="35"/>
      <c r="H54" s="35"/>
      <c r="I54" s="35"/>
      <c r="J54" s="35">
        <v>20</v>
      </c>
      <c r="K54" s="35">
        <v>20</v>
      </c>
      <c r="L54" s="35">
        <v>20</v>
      </c>
      <c r="M54" s="35">
        <v>20</v>
      </c>
      <c r="N54" s="35">
        <v>20</v>
      </c>
      <c r="O54" s="35">
        <v>20</v>
      </c>
      <c r="P54" s="35">
        <v>20</v>
      </c>
      <c r="Q54" s="35">
        <v>20</v>
      </c>
      <c r="R54" s="35">
        <v>20</v>
      </c>
      <c r="S54" s="35">
        <v>20</v>
      </c>
      <c r="T54" s="35">
        <v>20</v>
      </c>
      <c r="U54" s="35">
        <v>20</v>
      </c>
      <c r="V54" s="35"/>
      <c r="W54" s="35"/>
      <c r="X54" s="35"/>
      <c r="Y54" s="35"/>
      <c r="Z54" s="35"/>
      <c r="AA54" s="35"/>
      <c r="AB54" s="36">
        <f t="shared" si="1"/>
        <v>240</v>
      </c>
      <c r="AC54" s="37">
        <v>7</v>
      </c>
      <c r="AD54" s="91"/>
    </row>
    <row r="55" spans="2:30">
      <c r="B55" s="89">
        <v>47209</v>
      </c>
      <c r="C55" s="34" t="s">
        <v>32</v>
      </c>
      <c r="D55" s="35"/>
      <c r="E55" s="35"/>
      <c r="F55" s="35"/>
      <c r="G55" s="35"/>
      <c r="H55" s="35"/>
      <c r="I55" s="35"/>
      <c r="J55" s="35">
        <v>20</v>
      </c>
      <c r="K55" s="35">
        <v>20</v>
      </c>
      <c r="L55" s="35">
        <v>20</v>
      </c>
      <c r="M55" s="35">
        <v>20</v>
      </c>
      <c r="N55" s="35">
        <v>20</v>
      </c>
      <c r="O55" s="35">
        <v>20</v>
      </c>
      <c r="P55" s="35">
        <v>20</v>
      </c>
      <c r="Q55" s="35">
        <v>20</v>
      </c>
      <c r="R55" s="35">
        <v>20</v>
      </c>
      <c r="S55" s="35">
        <v>20</v>
      </c>
      <c r="T55" s="35">
        <v>20</v>
      </c>
      <c r="U55" s="35">
        <v>20</v>
      </c>
      <c r="V55" s="35"/>
      <c r="W55" s="35"/>
      <c r="X55" s="35"/>
      <c r="Y55" s="35"/>
      <c r="Z55" s="35"/>
      <c r="AA55" s="35"/>
      <c r="AB55" s="36">
        <f t="shared" si="1"/>
        <v>240</v>
      </c>
      <c r="AC55" s="37">
        <v>21</v>
      </c>
      <c r="AD55" s="91">
        <f>+AB55*AC55+AB56*AC56+AB57*AC57</f>
        <v>7200</v>
      </c>
    </row>
    <row r="56" spans="2:30">
      <c r="B56" s="89"/>
      <c r="C56" s="34" t="s">
        <v>33</v>
      </c>
      <c r="D56" s="35"/>
      <c r="E56" s="35"/>
      <c r="F56" s="35"/>
      <c r="G56" s="35"/>
      <c r="H56" s="35"/>
      <c r="I56" s="35"/>
      <c r="J56" s="35">
        <v>20</v>
      </c>
      <c r="K56" s="35">
        <v>20</v>
      </c>
      <c r="L56" s="35">
        <v>20</v>
      </c>
      <c r="M56" s="35">
        <v>20</v>
      </c>
      <c r="N56" s="35">
        <v>20</v>
      </c>
      <c r="O56" s="35">
        <v>20</v>
      </c>
      <c r="P56" s="35">
        <v>20</v>
      </c>
      <c r="Q56" s="35">
        <v>20</v>
      </c>
      <c r="R56" s="35">
        <v>20</v>
      </c>
      <c r="S56" s="35">
        <v>20</v>
      </c>
      <c r="T56" s="35">
        <v>20</v>
      </c>
      <c r="U56" s="35">
        <v>20</v>
      </c>
      <c r="V56" s="35"/>
      <c r="W56" s="35"/>
      <c r="X56" s="35"/>
      <c r="Y56" s="35"/>
      <c r="Z56" s="35"/>
      <c r="AA56" s="35"/>
      <c r="AB56" s="36">
        <f t="shared" si="1"/>
        <v>240</v>
      </c>
      <c r="AC56" s="37">
        <v>4</v>
      </c>
      <c r="AD56" s="91"/>
    </row>
    <row r="57" spans="2:30">
      <c r="B57" s="89"/>
      <c r="C57" s="34" t="s">
        <v>34</v>
      </c>
      <c r="D57" s="35"/>
      <c r="E57" s="35"/>
      <c r="F57" s="35"/>
      <c r="G57" s="35"/>
      <c r="H57" s="35"/>
      <c r="I57" s="35"/>
      <c r="J57" s="35">
        <v>20</v>
      </c>
      <c r="K57" s="35">
        <v>20</v>
      </c>
      <c r="L57" s="35">
        <v>20</v>
      </c>
      <c r="M57" s="35">
        <v>20</v>
      </c>
      <c r="N57" s="35">
        <v>20</v>
      </c>
      <c r="O57" s="35">
        <v>20</v>
      </c>
      <c r="P57" s="35">
        <v>20</v>
      </c>
      <c r="Q57" s="35">
        <v>20</v>
      </c>
      <c r="R57" s="35">
        <v>20</v>
      </c>
      <c r="S57" s="35">
        <v>20</v>
      </c>
      <c r="T57" s="35">
        <v>20</v>
      </c>
      <c r="U57" s="35">
        <v>20</v>
      </c>
      <c r="V57" s="35"/>
      <c r="W57" s="35"/>
      <c r="X57" s="35"/>
      <c r="Y57" s="35"/>
      <c r="Z57" s="35"/>
      <c r="AA57" s="35"/>
      <c r="AB57" s="36">
        <f t="shared" si="1"/>
        <v>240</v>
      </c>
      <c r="AC57" s="37">
        <v>5</v>
      </c>
      <c r="AD57" s="91"/>
    </row>
    <row r="58" spans="2:30">
      <c r="B58" s="89">
        <v>47239</v>
      </c>
      <c r="C58" s="34" t="s">
        <v>32</v>
      </c>
      <c r="D58" s="35"/>
      <c r="E58" s="35"/>
      <c r="F58" s="35"/>
      <c r="G58" s="35"/>
      <c r="H58" s="35"/>
      <c r="I58" s="35"/>
      <c r="J58" s="35">
        <v>20</v>
      </c>
      <c r="K58" s="35">
        <v>20</v>
      </c>
      <c r="L58" s="35">
        <v>20</v>
      </c>
      <c r="M58" s="35">
        <v>20</v>
      </c>
      <c r="N58" s="35">
        <v>20</v>
      </c>
      <c r="O58" s="35">
        <v>20</v>
      </c>
      <c r="P58" s="35">
        <v>20</v>
      </c>
      <c r="Q58" s="35">
        <v>20</v>
      </c>
      <c r="R58" s="35">
        <v>20</v>
      </c>
      <c r="S58" s="35">
        <v>20</v>
      </c>
      <c r="T58" s="35">
        <v>20</v>
      </c>
      <c r="U58" s="35">
        <v>20</v>
      </c>
      <c r="V58" s="35"/>
      <c r="W58" s="35"/>
      <c r="X58" s="35"/>
      <c r="Y58" s="35"/>
      <c r="Z58" s="35"/>
      <c r="AA58" s="35"/>
      <c r="AB58" s="36">
        <f t="shared" si="1"/>
        <v>240</v>
      </c>
      <c r="AC58" s="37">
        <v>21</v>
      </c>
      <c r="AD58" s="91">
        <f>+AB58*AC58+AB59*AC59+AB60*AC60</f>
        <v>7440</v>
      </c>
    </row>
    <row r="59" spans="2:30">
      <c r="B59" s="89"/>
      <c r="C59" s="34" t="s">
        <v>33</v>
      </c>
      <c r="D59" s="35"/>
      <c r="E59" s="35"/>
      <c r="F59" s="35"/>
      <c r="G59" s="35"/>
      <c r="H59" s="35"/>
      <c r="I59" s="35"/>
      <c r="J59" s="35">
        <v>20</v>
      </c>
      <c r="K59" s="35">
        <v>20</v>
      </c>
      <c r="L59" s="35">
        <v>20</v>
      </c>
      <c r="M59" s="35">
        <v>20</v>
      </c>
      <c r="N59" s="35">
        <v>20</v>
      </c>
      <c r="O59" s="35">
        <v>20</v>
      </c>
      <c r="P59" s="35">
        <v>20</v>
      </c>
      <c r="Q59" s="35">
        <v>20</v>
      </c>
      <c r="R59" s="35">
        <v>20</v>
      </c>
      <c r="S59" s="35">
        <v>20</v>
      </c>
      <c r="T59" s="35">
        <v>20</v>
      </c>
      <c r="U59" s="35">
        <v>20</v>
      </c>
      <c r="V59" s="35"/>
      <c r="W59" s="35"/>
      <c r="X59" s="35"/>
      <c r="Y59" s="35"/>
      <c r="Z59" s="35"/>
      <c r="AA59" s="35"/>
      <c r="AB59" s="36">
        <f t="shared" si="1"/>
        <v>240</v>
      </c>
      <c r="AC59" s="37">
        <v>4</v>
      </c>
      <c r="AD59" s="91"/>
    </row>
    <row r="60" spans="2:30">
      <c r="B60" s="89"/>
      <c r="C60" s="34" t="s">
        <v>34</v>
      </c>
      <c r="D60" s="35"/>
      <c r="E60" s="35"/>
      <c r="F60" s="35"/>
      <c r="G60" s="35"/>
      <c r="H60" s="35"/>
      <c r="I60" s="35"/>
      <c r="J60" s="35">
        <v>20</v>
      </c>
      <c r="K60" s="35">
        <v>20</v>
      </c>
      <c r="L60" s="35">
        <v>20</v>
      </c>
      <c r="M60" s="35">
        <v>20</v>
      </c>
      <c r="N60" s="35">
        <v>20</v>
      </c>
      <c r="O60" s="35">
        <v>20</v>
      </c>
      <c r="P60" s="35">
        <v>20</v>
      </c>
      <c r="Q60" s="35">
        <v>20</v>
      </c>
      <c r="R60" s="35">
        <v>20</v>
      </c>
      <c r="S60" s="35">
        <v>20</v>
      </c>
      <c r="T60" s="35">
        <v>20</v>
      </c>
      <c r="U60" s="35">
        <v>20</v>
      </c>
      <c r="V60" s="35"/>
      <c r="W60" s="35"/>
      <c r="X60" s="35"/>
      <c r="Y60" s="35"/>
      <c r="Z60" s="35"/>
      <c r="AA60" s="35"/>
      <c r="AB60" s="36">
        <f t="shared" si="1"/>
        <v>240</v>
      </c>
      <c r="AC60" s="37">
        <v>6</v>
      </c>
      <c r="AD60" s="91"/>
    </row>
    <row r="61" spans="2:30">
      <c r="B61" s="89">
        <v>47270</v>
      </c>
      <c r="C61" s="34" t="s">
        <v>32</v>
      </c>
      <c r="D61" s="35"/>
      <c r="E61" s="35"/>
      <c r="F61" s="35"/>
      <c r="G61" s="35"/>
      <c r="H61" s="35"/>
      <c r="I61" s="35"/>
      <c r="J61" s="35">
        <v>20</v>
      </c>
      <c r="K61" s="35">
        <v>20</v>
      </c>
      <c r="L61" s="35">
        <v>20</v>
      </c>
      <c r="M61" s="35">
        <v>20</v>
      </c>
      <c r="N61" s="35">
        <v>20</v>
      </c>
      <c r="O61" s="35">
        <v>20</v>
      </c>
      <c r="P61" s="35">
        <v>20</v>
      </c>
      <c r="Q61" s="35">
        <v>20</v>
      </c>
      <c r="R61" s="35">
        <v>20</v>
      </c>
      <c r="S61" s="35">
        <v>20</v>
      </c>
      <c r="T61" s="35">
        <v>20</v>
      </c>
      <c r="U61" s="35">
        <v>20</v>
      </c>
      <c r="V61" s="35"/>
      <c r="W61" s="35"/>
      <c r="X61" s="35"/>
      <c r="Y61" s="35"/>
      <c r="Z61" s="35"/>
      <c r="AA61" s="35"/>
      <c r="AB61" s="36">
        <f t="shared" si="1"/>
        <v>240</v>
      </c>
      <c r="AC61" s="37">
        <v>19</v>
      </c>
      <c r="AD61" s="91">
        <f>+AB61*AC61+AB62*AC62+AB63*AC63</f>
        <v>7200</v>
      </c>
    </row>
    <row r="62" spans="2:30">
      <c r="B62" s="89"/>
      <c r="C62" s="34" t="s">
        <v>33</v>
      </c>
      <c r="D62" s="35"/>
      <c r="E62" s="35"/>
      <c r="F62" s="35"/>
      <c r="G62" s="35"/>
      <c r="H62" s="35"/>
      <c r="I62" s="35"/>
      <c r="J62" s="35">
        <v>20</v>
      </c>
      <c r="K62" s="35">
        <v>20</v>
      </c>
      <c r="L62" s="35">
        <v>20</v>
      </c>
      <c r="M62" s="35">
        <v>20</v>
      </c>
      <c r="N62" s="35">
        <v>20</v>
      </c>
      <c r="O62" s="35">
        <v>20</v>
      </c>
      <c r="P62" s="35">
        <v>20</v>
      </c>
      <c r="Q62" s="35">
        <v>20</v>
      </c>
      <c r="R62" s="35">
        <v>20</v>
      </c>
      <c r="S62" s="35">
        <v>20</v>
      </c>
      <c r="T62" s="35">
        <v>20</v>
      </c>
      <c r="U62" s="35">
        <v>20</v>
      </c>
      <c r="V62" s="35"/>
      <c r="W62" s="35"/>
      <c r="X62" s="35"/>
      <c r="Y62" s="35"/>
      <c r="Z62" s="35"/>
      <c r="AA62" s="35"/>
      <c r="AB62" s="36">
        <f t="shared" si="1"/>
        <v>240</v>
      </c>
      <c r="AC62" s="37">
        <v>5</v>
      </c>
      <c r="AD62" s="91"/>
    </row>
    <row r="63" spans="2:30">
      <c r="B63" s="89"/>
      <c r="C63" s="34" t="s">
        <v>34</v>
      </c>
      <c r="D63" s="35"/>
      <c r="E63" s="35"/>
      <c r="F63" s="35"/>
      <c r="G63" s="35"/>
      <c r="H63" s="35"/>
      <c r="I63" s="35"/>
      <c r="J63" s="35">
        <v>20</v>
      </c>
      <c r="K63" s="35">
        <v>20</v>
      </c>
      <c r="L63" s="35">
        <v>20</v>
      </c>
      <c r="M63" s="35">
        <v>20</v>
      </c>
      <c r="N63" s="35">
        <v>20</v>
      </c>
      <c r="O63" s="35">
        <v>20</v>
      </c>
      <c r="P63" s="35">
        <v>20</v>
      </c>
      <c r="Q63" s="35">
        <v>20</v>
      </c>
      <c r="R63" s="35">
        <v>20</v>
      </c>
      <c r="S63" s="35">
        <v>20</v>
      </c>
      <c r="T63" s="35">
        <v>20</v>
      </c>
      <c r="U63" s="35">
        <v>20</v>
      </c>
      <c r="V63" s="35"/>
      <c r="W63" s="35"/>
      <c r="X63" s="35"/>
      <c r="Y63" s="35"/>
      <c r="Z63" s="35"/>
      <c r="AA63" s="35"/>
      <c r="AB63" s="36">
        <f t="shared" si="1"/>
        <v>240</v>
      </c>
      <c r="AC63" s="37">
        <v>6</v>
      </c>
      <c r="AD63" s="91"/>
    </row>
    <row r="64" spans="2:30">
      <c r="B64" s="89">
        <v>47300</v>
      </c>
      <c r="C64" s="34" t="s">
        <v>32</v>
      </c>
      <c r="D64" s="35"/>
      <c r="E64" s="35"/>
      <c r="F64" s="35"/>
      <c r="G64" s="35"/>
      <c r="H64" s="35"/>
      <c r="I64" s="35"/>
      <c r="J64" s="35">
        <v>20</v>
      </c>
      <c r="K64" s="35">
        <v>20</v>
      </c>
      <c r="L64" s="35">
        <v>20</v>
      </c>
      <c r="M64" s="35">
        <v>20</v>
      </c>
      <c r="N64" s="35">
        <v>20</v>
      </c>
      <c r="O64" s="35">
        <v>20</v>
      </c>
      <c r="P64" s="35">
        <v>20</v>
      </c>
      <c r="Q64" s="35">
        <v>20</v>
      </c>
      <c r="R64" s="35">
        <v>20</v>
      </c>
      <c r="S64" s="35">
        <v>20</v>
      </c>
      <c r="T64" s="35">
        <v>20</v>
      </c>
      <c r="U64" s="35">
        <v>20</v>
      </c>
      <c r="V64" s="35"/>
      <c r="W64" s="35"/>
      <c r="X64" s="35"/>
      <c r="Y64" s="35"/>
      <c r="Z64" s="35"/>
      <c r="AA64" s="35"/>
      <c r="AB64" s="36">
        <f t="shared" si="1"/>
        <v>240</v>
      </c>
      <c r="AC64" s="37">
        <v>20</v>
      </c>
      <c r="AD64" s="91">
        <f>+AB64*AC64+AB65*AC65+AB66*AC66</f>
        <v>7440</v>
      </c>
    </row>
    <row r="65" spans="2:30">
      <c r="B65" s="89"/>
      <c r="C65" s="34" t="s">
        <v>33</v>
      </c>
      <c r="D65" s="35"/>
      <c r="E65" s="35"/>
      <c r="F65" s="35"/>
      <c r="G65" s="35"/>
      <c r="H65" s="35"/>
      <c r="I65" s="35"/>
      <c r="J65" s="35">
        <v>20</v>
      </c>
      <c r="K65" s="35">
        <v>20</v>
      </c>
      <c r="L65" s="35">
        <v>20</v>
      </c>
      <c r="M65" s="35">
        <v>20</v>
      </c>
      <c r="N65" s="35">
        <v>20</v>
      </c>
      <c r="O65" s="35">
        <v>20</v>
      </c>
      <c r="P65" s="35">
        <v>20</v>
      </c>
      <c r="Q65" s="35">
        <v>20</v>
      </c>
      <c r="R65" s="35">
        <v>20</v>
      </c>
      <c r="S65" s="35">
        <v>20</v>
      </c>
      <c r="T65" s="35">
        <v>20</v>
      </c>
      <c r="U65" s="35">
        <v>20</v>
      </c>
      <c r="V65" s="35"/>
      <c r="W65" s="35"/>
      <c r="X65" s="35"/>
      <c r="Y65" s="35"/>
      <c r="Z65" s="35"/>
      <c r="AA65" s="35"/>
      <c r="AB65" s="36">
        <f t="shared" si="1"/>
        <v>240</v>
      </c>
      <c r="AC65" s="37">
        <v>4</v>
      </c>
      <c r="AD65" s="91"/>
    </row>
    <row r="66" spans="2:30">
      <c r="B66" s="89"/>
      <c r="C66" s="34" t="s">
        <v>34</v>
      </c>
      <c r="D66" s="35"/>
      <c r="E66" s="35"/>
      <c r="F66" s="35"/>
      <c r="G66" s="35"/>
      <c r="H66" s="35"/>
      <c r="I66" s="35"/>
      <c r="J66" s="35">
        <v>20</v>
      </c>
      <c r="K66" s="35">
        <v>20</v>
      </c>
      <c r="L66" s="35">
        <v>20</v>
      </c>
      <c r="M66" s="35">
        <v>20</v>
      </c>
      <c r="N66" s="35">
        <v>20</v>
      </c>
      <c r="O66" s="35">
        <v>20</v>
      </c>
      <c r="P66" s="35">
        <v>20</v>
      </c>
      <c r="Q66" s="35">
        <v>20</v>
      </c>
      <c r="R66" s="35">
        <v>20</v>
      </c>
      <c r="S66" s="35">
        <v>20</v>
      </c>
      <c r="T66" s="35">
        <v>20</v>
      </c>
      <c r="U66" s="35">
        <v>20</v>
      </c>
      <c r="V66" s="35"/>
      <c r="W66" s="35"/>
      <c r="X66" s="35"/>
      <c r="Y66" s="35"/>
      <c r="Z66" s="35"/>
      <c r="AA66" s="35"/>
      <c r="AB66" s="36">
        <f t="shared" si="1"/>
        <v>240</v>
      </c>
      <c r="AC66" s="37">
        <v>7</v>
      </c>
      <c r="AD66" s="91"/>
    </row>
    <row r="67" spans="2:30">
      <c r="B67" s="89">
        <v>47331</v>
      </c>
      <c r="C67" s="34" t="s">
        <v>32</v>
      </c>
      <c r="D67" s="35"/>
      <c r="E67" s="35"/>
      <c r="F67" s="35"/>
      <c r="G67" s="35"/>
      <c r="H67" s="35"/>
      <c r="I67" s="35"/>
      <c r="J67" s="35">
        <v>20</v>
      </c>
      <c r="K67" s="35">
        <v>20</v>
      </c>
      <c r="L67" s="35">
        <v>20</v>
      </c>
      <c r="M67" s="35">
        <v>20</v>
      </c>
      <c r="N67" s="35">
        <v>20</v>
      </c>
      <c r="O67" s="35">
        <v>20</v>
      </c>
      <c r="P67" s="35">
        <v>20</v>
      </c>
      <c r="Q67" s="35">
        <v>20</v>
      </c>
      <c r="R67" s="35">
        <v>20</v>
      </c>
      <c r="S67" s="35">
        <v>20</v>
      </c>
      <c r="T67" s="35">
        <v>20</v>
      </c>
      <c r="U67" s="35">
        <v>20</v>
      </c>
      <c r="V67" s="35"/>
      <c r="W67" s="35"/>
      <c r="X67" s="35"/>
      <c r="Y67" s="35"/>
      <c r="Z67" s="35"/>
      <c r="AA67" s="35"/>
      <c r="AB67" s="36">
        <f t="shared" si="1"/>
        <v>240</v>
      </c>
      <c r="AC67" s="37">
        <v>21</v>
      </c>
      <c r="AD67" s="91">
        <f>+AB67*AC67+AB68*AC68+AB69*AC69</f>
        <v>7440</v>
      </c>
    </row>
    <row r="68" spans="2:30">
      <c r="B68" s="89"/>
      <c r="C68" s="34" t="s">
        <v>33</v>
      </c>
      <c r="D68" s="35"/>
      <c r="E68" s="35"/>
      <c r="F68" s="35"/>
      <c r="G68" s="35"/>
      <c r="H68" s="35"/>
      <c r="I68" s="35"/>
      <c r="J68" s="35">
        <v>20</v>
      </c>
      <c r="K68" s="35">
        <v>20</v>
      </c>
      <c r="L68" s="35">
        <v>20</v>
      </c>
      <c r="M68" s="35">
        <v>20</v>
      </c>
      <c r="N68" s="35">
        <v>20</v>
      </c>
      <c r="O68" s="35">
        <v>20</v>
      </c>
      <c r="P68" s="35">
        <v>20</v>
      </c>
      <c r="Q68" s="35">
        <v>20</v>
      </c>
      <c r="R68" s="35">
        <v>20</v>
      </c>
      <c r="S68" s="35">
        <v>20</v>
      </c>
      <c r="T68" s="35">
        <v>20</v>
      </c>
      <c r="U68" s="35">
        <v>20</v>
      </c>
      <c r="V68" s="35"/>
      <c r="W68" s="35"/>
      <c r="X68" s="35"/>
      <c r="Y68" s="35"/>
      <c r="Z68" s="35"/>
      <c r="AA68" s="35"/>
      <c r="AB68" s="36">
        <f t="shared" si="1"/>
        <v>240</v>
      </c>
      <c r="AC68" s="37">
        <v>4</v>
      </c>
      <c r="AD68" s="91"/>
    </row>
    <row r="69" spans="2:30">
      <c r="B69" s="89"/>
      <c r="C69" s="34" t="s">
        <v>34</v>
      </c>
      <c r="D69" s="35"/>
      <c r="E69" s="35"/>
      <c r="F69" s="35"/>
      <c r="G69" s="35"/>
      <c r="H69" s="35"/>
      <c r="I69" s="35"/>
      <c r="J69" s="35">
        <v>20</v>
      </c>
      <c r="K69" s="35">
        <v>20</v>
      </c>
      <c r="L69" s="35">
        <v>20</v>
      </c>
      <c r="M69" s="35">
        <v>20</v>
      </c>
      <c r="N69" s="35">
        <v>20</v>
      </c>
      <c r="O69" s="35">
        <v>20</v>
      </c>
      <c r="P69" s="35">
        <v>20</v>
      </c>
      <c r="Q69" s="35">
        <v>20</v>
      </c>
      <c r="R69" s="35">
        <v>20</v>
      </c>
      <c r="S69" s="35">
        <v>20</v>
      </c>
      <c r="T69" s="35">
        <v>20</v>
      </c>
      <c r="U69" s="35">
        <v>20</v>
      </c>
      <c r="V69" s="35"/>
      <c r="W69" s="35"/>
      <c r="X69" s="35"/>
      <c r="Y69" s="35"/>
      <c r="Z69" s="35"/>
      <c r="AA69" s="35"/>
      <c r="AB69" s="36">
        <f t="shared" si="1"/>
        <v>240</v>
      </c>
      <c r="AC69" s="37">
        <v>6</v>
      </c>
      <c r="AD69" s="91"/>
    </row>
    <row r="70" spans="2:30">
      <c r="B70" s="89">
        <v>47362</v>
      </c>
      <c r="C70" s="34" t="s">
        <v>32</v>
      </c>
      <c r="D70" s="35"/>
      <c r="E70" s="35"/>
      <c r="F70" s="35"/>
      <c r="G70" s="35"/>
      <c r="H70" s="35"/>
      <c r="I70" s="35"/>
      <c r="J70" s="35">
        <v>20</v>
      </c>
      <c r="K70" s="35">
        <v>20</v>
      </c>
      <c r="L70" s="35">
        <v>20</v>
      </c>
      <c r="M70" s="35">
        <v>20</v>
      </c>
      <c r="N70" s="35">
        <v>20</v>
      </c>
      <c r="O70" s="35">
        <v>20</v>
      </c>
      <c r="P70" s="35">
        <v>20</v>
      </c>
      <c r="Q70" s="35">
        <v>20</v>
      </c>
      <c r="R70" s="35">
        <v>20</v>
      </c>
      <c r="S70" s="35">
        <v>20</v>
      </c>
      <c r="T70" s="35">
        <v>20</v>
      </c>
      <c r="U70" s="35">
        <v>20</v>
      </c>
      <c r="V70" s="35"/>
      <c r="W70" s="35"/>
      <c r="X70" s="35"/>
      <c r="Y70" s="35"/>
      <c r="Z70" s="35"/>
      <c r="AA70" s="35"/>
      <c r="AB70" s="36">
        <f t="shared" si="1"/>
        <v>240</v>
      </c>
      <c r="AC70" s="37">
        <v>20</v>
      </c>
      <c r="AD70" s="91">
        <f>+AB70*AC70+AB71*AC71+AB72*AC72</f>
        <v>7200</v>
      </c>
    </row>
    <row r="71" spans="2:30">
      <c r="B71" s="89"/>
      <c r="C71" s="34" t="s">
        <v>33</v>
      </c>
      <c r="D71" s="35"/>
      <c r="E71" s="35"/>
      <c r="F71" s="35"/>
      <c r="G71" s="35"/>
      <c r="H71" s="35"/>
      <c r="I71" s="35"/>
      <c r="J71" s="35">
        <v>20</v>
      </c>
      <c r="K71" s="35">
        <v>20</v>
      </c>
      <c r="L71" s="35">
        <v>20</v>
      </c>
      <c r="M71" s="35">
        <v>20</v>
      </c>
      <c r="N71" s="35">
        <v>20</v>
      </c>
      <c r="O71" s="35">
        <v>20</v>
      </c>
      <c r="P71" s="35">
        <v>20</v>
      </c>
      <c r="Q71" s="35">
        <v>20</v>
      </c>
      <c r="R71" s="35">
        <v>20</v>
      </c>
      <c r="S71" s="35">
        <v>20</v>
      </c>
      <c r="T71" s="35">
        <v>20</v>
      </c>
      <c r="U71" s="35">
        <v>20</v>
      </c>
      <c r="V71" s="35"/>
      <c r="W71" s="35"/>
      <c r="X71" s="35"/>
      <c r="Y71" s="35"/>
      <c r="Z71" s="35"/>
      <c r="AA71" s="35"/>
      <c r="AB71" s="36">
        <f t="shared" si="1"/>
        <v>240</v>
      </c>
      <c r="AC71" s="37">
        <v>5</v>
      </c>
      <c r="AD71" s="91"/>
    </row>
    <row r="72" spans="2:30">
      <c r="B72" s="89"/>
      <c r="C72" s="34" t="s">
        <v>34</v>
      </c>
      <c r="D72" s="35"/>
      <c r="E72" s="35"/>
      <c r="F72" s="35"/>
      <c r="G72" s="35"/>
      <c r="H72" s="35"/>
      <c r="I72" s="35"/>
      <c r="J72" s="35">
        <v>20</v>
      </c>
      <c r="K72" s="35">
        <v>20</v>
      </c>
      <c r="L72" s="35">
        <v>20</v>
      </c>
      <c r="M72" s="35">
        <v>20</v>
      </c>
      <c r="N72" s="35">
        <v>20</v>
      </c>
      <c r="O72" s="35">
        <v>20</v>
      </c>
      <c r="P72" s="35">
        <v>20</v>
      </c>
      <c r="Q72" s="35">
        <v>20</v>
      </c>
      <c r="R72" s="35">
        <v>20</v>
      </c>
      <c r="S72" s="35">
        <v>20</v>
      </c>
      <c r="T72" s="35">
        <v>20</v>
      </c>
      <c r="U72" s="35">
        <v>20</v>
      </c>
      <c r="V72" s="35"/>
      <c r="W72" s="35"/>
      <c r="X72" s="35"/>
      <c r="Y72" s="35"/>
      <c r="Z72" s="35"/>
      <c r="AA72" s="35"/>
      <c r="AB72" s="36">
        <f t="shared" si="1"/>
        <v>240</v>
      </c>
      <c r="AC72" s="37">
        <v>5</v>
      </c>
      <c r="AD72" s="91"/>
    </row>
    <row r="73" spans="2:30">
      <c r="B73" s="89">
        <v>47392</v>
      </c>
      <c r="C73" s="34" t="s">
        <v>32</v>
      </c>
      <c r="D73" s="35"/>
      <c r="E73" s="35"/>
      <c r="F73" s="35"/>
      <c r="G73" s="35"/>
      <c r="H73" s="35"/>
      <c r="I73" s="35"/>
      <c r="J73" s="35">
        <v>20</v>
      </c>
      <c r="K73" s="35">
        <v>20</v>
      </c>
      <c r="L73" s="35">
        <v>20</v>
      </c>
      <c r="M73" s="35">
        <v>20</v>
      </c>
      <c r="N73" s="35">
        <v>20</v>
      </c>
      <c r="O73" s="35">
        <v>20</v>
      </c>
      <c r="P73" s="35">
        <v>20</v>
      </c>
      <c r="Q73" s="35">
        <v>20</v>
      </c>
      <c r="R73" s="35">
        <v>20</v>
      </c>
      <c r="S73" s="35">
        <v>20</v>
      </c>
      <c r="T73" s="35">
        <v>20</v>
      </c>
      <c r="U73" s="35">
        <v>20</v>
      </c>
      <c r="V73" s="35"/>
      <c r="W73" s="35"/>
      <c r="X73" s="35"/>
      <c r="Y73" s="35"/>
      <c r="Z73" s="35"/>
      <c r="AA73" s="35"/>
      <c r="AB73" s="36">
        <f t="shared" si="1"/>
        <v>240</v>
      </c>
      <c r="AC73" s="37">
        <v>22</v>
      </c>
      <c r="AD73" s="91">
        <f>+AB73*AC73+AB74*AC74+AB75*AC75</f>
        <v>7440</v>
      </c>
    </row>
    <row r="74" spans="2:30">
      <c r="B74" s="89"/>
      <c r="C74" s="34" t="s">
        <v>33</v>
      </c>
      <c r="D74" s="35"/>
      <c r="E74" s="35"/>
      <c r="F74" s="35"/>
      <c r="G74" s="35"/>
      <c r="H74" s="35"/>
      <c r="I74" s="35"/>
      <c r="J74" s="35">
        <v>20</v>
      </c>
      <c r="K74" s="35">
        <v>20</v>
      </c>
      <c r="L74" s="35">
        <v>20</v>
      </c>
      <c r="M74" s="35">
        <v>20</v>
      </c>
      <c r="N74" s="35">
        <v>20</v>
      </c>
      <c r="O74" s="35">
        <v>20</v>
      </c>
      <c r="P74" s="35">
        <v>20</v>
      </c>
      <c r="Q74" s="35">
        <v>20</v>
      </c>
      <c r="R74" s="35">
        <v>20</v>
      </c>
      <c r="S74" s="35">
        <v>20</v>
      </c>
      <c r="T74" s="35">
        <v>20</v>
      </c>
      <c r="U74" s="35">
        <v>20</v>
      </c>
      <c r="V74" s="35"/>
      <c r="W74" s="35"/>
      <c r="X74" s="35"/>
      <c r="Y74" s="35"/>
      <c r="Z74" s="35"/>
      <c r="AA74" s="35"/>
      <c r="AB74" s="36">
        <f t="shared" si="1"/>
        <v>240</v>
      </c>
      <c r="AC74" s="37">
        <v>4</v>
      </c>
      <c r="AD74" s="91"/>
    </row>
    <row r="75" spans="2:30">
      <c r="B75" s="89"/>
      <c r="C75" s="34" t="s">
        <v>34</v>
      </c>
      <c r="D75" s="35"/>
      <c r="E75" s="35"/>
      <c r="F75" s="35"/>
      <c r="G75" s="35"/>
      <c r="H75" s="35"/>
      <c r="I75" s="35"/>
      <c r="J75" s="35">
        <v>20</v>
      </c>
      <c r="K75" s="35">
        <v>20</v>
      </c>
      <c r="L75" s="35">
        <v>20</v>
      </c>
      <c r="M75" s="35">
        <v>20</v>
      </c>
      <c r="N75" s="35">
        <v>20</v>
      </c>
      <c r="O75" s="35">
        <v>20</v>
      </c>
      <c r="P75" s="35">
        <v>20</v>
      </c>
      <c r="Q75" s="35">
        <v>20</v>
      </c>
      <c r="R75" s="35">
        <v>20</v>
      </c>
      <c r="S75" s="35">
        <v>20</v>
      </c>
      <c r="T75" s="35">
        <v>20</v>
      </c>
      <c r="U75" s="35">
        <v>20</v>
      </c>
      <c r="V75" s="35"/>
      <c r="W75" s="35"/>
      <c r="X75" s="35"/>
      <c r="Y75" s="35"/>
      <c r="Z75" s="35"/>
      <c r="AA75" s="35"/>
      <c r="AB75" s="36">
        <f t="shared" si="1"/>
        <v>240</v>
      </c>
      <c r="AC75" s="37">
        <v>5</v>
      </c>
      <c r="AD75" s="91"/>
    </row>
    <row r="76" spans="2:30">
      <c r="B76" s="89">
        <v>47423</v>
      </c>
      <c r="C76" s="34" t="s">
        <v>32</v>
      </c>
      <c r="D76" s="35"/>
      <c r="E76" s="35"/>
      <c r="F76" s="35"/>
      <c r="G76" s="35"/>
      <c r="H76" s="35"/>
      <c r="I76" s="35"/>
      <c r="J76" s="35">
        <v>20</v>
      </c>
      <c r="K76" s="35">
        <v>20</v>
      </c>
      <c r="L76" s="35">
        <v>20</v>
      </c>
      <c r="M76" s="35">
        <v>20</v>
      </c>
      <c r="N76" s="35">
        <v>20</v>
      </c>
      <c r="O76" s="35">
        <v>20</v>
      </c>
      <c r="P76" s="35">
        <v>20</v>
      </c>
      <c r="Q76" s="35">
        <v>20</v>
      </c>
      <c r="R76" s="35">
        <v>20</v>
      </c>
      <c r="S76" s="35">
        <v>20</v>
      </c>
      <c r="T76" s="35">
        <v>20</v>
      </c>
      <c r="U76" s="35">
        <v>20</v>
      </c>
      <c r="V76" s="35"/>
      <c r="W76" s="35"/>
      <c r="X76" s="35"/>
      <c r="Y76" s="35"/>
      <c r="Z76" s="35"/>
      <c r="AA76" s="35"/>
      <c r="AB76" s="36">
        <f t="shared" si="1"/>
        <v>240</v>
      </c>
      <c r="AC76" s="37">
        <v>20</v>
      </c>
      <c r="AD76" s="91">
        <f>+AB76*AC76+AB77*AC77+AB78*AC78</f>
        <v>7200</v>
      </c>
    </row>
    <row r="77" spans="2:30">
      <c r="B77" s="89"/>
      <c r="C77" s="34" t="s">
        <v>33</v>
      </c>
      <c r="D77" s="35"/>
      <c r="E77" s="35"/>
      <c r="F77" s="35"/>
      <c r="G77" s="35"/>
      <c r="H77" s="35"/>
      <c r="I77" s="35"/>
      <c r="J77" s="35">
        <v>20</v>
      </c>
      <c r="K77" s="35">
        <v>20</v>
      </c>
      <c r="L77" s="35">
        <v>20</v>
      </c>
      <c r="M77" s="35">
        <v>20</v>
      </c>
      <c r="N77" s="35">
        <v>20</v>
      </c>
      <c r="O77" s="35">
        <v>20</v>
      </c>
      <c r="P77" s="35">
        <v>20</v>
      </c>
      <c r="Q77" s="35">
        <v>20</v>
      </c>
      <c r="R77" s="35">
        <v>20</v>
      </c>
      <c r="S77" s="35">
        <v>20</v>
      </c>
      <c r="T77" s="35">
        <v>20</v>
      </c>
      <c r="U77" s="35">
        <v>20</v>
      </c>
      <c r="V77" s="35"/>
      <c r="W77" s="35"/>
      <c r="X77" s="35"/>
      <c r="Y77" s="35"/>
      <c r="Z77" s="35"/>
      <c r="AA77" s="35"/>
      <c r="AB77" s="36">
        <f t="shared" si="1"/>
        <v>240</v>
      </c>
      <c r="AC77" s="37">
        <v>4</v>
      </c>
      <c r="AD77" s="91"/>
    </row>
    <row r="78" spans="2:30">
      <c r="B78" s="89"/>
      <c r="C78" s="34" t="s">
        <v>34</v>
      </c>
      <c r="D78" s="35"/>
      <c r="E78" s="35"/>
      <c r="F78" s="35"/>
      <c r="G78" s="35"/>
      <c r="H78" s="35"/>
      <c r="I78" s="35"/>
      <c r="J78" s="35">
        <v>20</v>
      </c>
      <c r="K78" s="35">
        <v>20</v>
      </c>
      <c r="L78" s="35">
        <v>20</v>
      </c>
      <c r="M78" s="35">
        <v>20</v>
      </c>
      <c r="N78" s="35">
        <v>20</v>
      </c>
      <c r="O78" s="35">
        <v>20</v>
      </c>
      <c r="P78" s="35">
        <v>20</v>
      </c>
      <c r="Q78" s="35">
        <v>20</v>
      </c>
      <c r="R78" s="35">
        <v>20</v>
      </c>
      <c r="S78" s="35">
        <v>20</v>
      </c>
      <c r="T78" s="35">
        <v>20</v>
      </c>
      <c r="U78" s="35">
        <v>20</v>
      </c>
      <c r="V78" s="35"/>
      <c r="W78" s="35"/>
      <c r="X78" s="35"/>
      <c r="Y78" s="35"/>
      <c r="Z78" s="35"/>
      <c r="AA78" s="35"/>
      <c r="AB78" s="36">
        <f t="shared" si="1"/>
        <v>240</v>
      </c>
      <c r="AC78" s="37">
        <v>6</v>
      </c>
      <c r="AD78" s="91"/>
    </row>
    <row r="79" spans="2:30">
      <c r="B79" s="89">
        <v>47453</v>
      </c>
      <c r="C79" s="34" t="s">
        <v>32</v>
      </c>
      <c r="D79" s="35"/>
      <c r="E79" s="35"/>
      <c r="F79" s="35"/>
      <c r="G79" s="35"/>
      <c r="H79" s="35"/>
      <c r="I79" s="35"/>
      <c r="J79" s="35">
        <v>20</v>
      </c>
      <c r="K79" s="35">
        <v>20</v>
      </c>
      <c r="L79" s="35">
        <v>20</v>
      </c>
      <c r="M79" s="35">
        <v>20</v>
      </c>
      <c r="N79" s="35">
        <v>20</v>
      </c>
      <c r="O79" s="35">
        <v>20</v>
      </c>
      <c r="P79" s="35">
        <v>20</v>
      </c>
      <c r="Q79" s="35">
        <v>20</v>
      </c>
      <c r="R79" s="35">
        <v>20</v>
      </c>
      <c r="S79" s="35">
        <v>20</v>
      </c>
      <c r="T79" s="35">
        <v>20</v>
      </c>
      <c r="U79" s="35">
        <v>20</v>
      </c>
      <c r="V79" s="35"/>
      <c r="W79" s="35"/>
      <c r="X79" s="35"/>
      <c r="Y79" s="35"/>
      <c r="Z79" s="35"/>
      <c r="AA79" s="35"/>
      <c r="AB79" s="36">
        <f t="shared" si="1"/>
        <v>240</v>
      </c>
      <c r="AC79" s="37">
        <v>20</v>
      </c>
      <c r="AD79" s="91">
        <f>+AB79*AC79+AB80*AC80+AB81*AC81</f>
        <v>7440</v>
      </c>
    </row>
    <row r="80" spans="2:30">
      <c r="B80" s="89"/>
      <c r="C80" s="34" t="s">
        <v>33</v>
      </c>
      <c r="D80" s="35"/>
      <c r="E80" s="35"/>
      <c r="F80" s="35"/>
      <c r="G80" s="35"/>
      <c r="H80" s="35"/>
      <c r="I80" s="35"/>
      <c r="J80" s="35">
        <v>20</v>
      </c>
      <c r="K80" s="35">
        <v>20</v>
      </c>
      <c r="L80" s="35">
        <v>20</v>
      </c>
      <c r="M80" s="35">
        <v>20</v>
      </c>
      <c r="N80" s="35">
        <v>20</v>
      </c>
      <c r="O80" s="35">
        <v>20</v>
      </c>
      <c r="P80" s="35">
        <v>20</v>
      </c>
      <c r="Q80" s="35">
        <v>20</v>
      </c>
      <c r="R80" s="35">
        <v>20</v>
      </c>
      <c r="S80" s="35">
        <v>20</v>
      </c>
      <c r="T80" s="35">
        <v>20</v>
      </c>
      <c r="U80" s="35">
        <v>20</v>
      </c>
      <c r="V80" s="35"/>
      <c r="W80" s="35"/>
      <c r="X80" s="35"/>
      <c r="Y80" s="35"/>
      <c r="Z80" s="35"/>
      <c r="AA80" s="35"/>
      <c r="AB80" s="36">
        <f t="shared" si="1"/>
        <v>240</v>
      </c>
      <c r="AC80" s="37">
        <v>4</v>
      </c>
      <c r="AD80" s="91"/>
    </row>
    <row r="81" spans="2:30">
      <c r="B81" s="89"/>
      <c r="C81" s="34" t="s">
        <v>34</v>
      </c>
      <c r="D81" s="35"/>
      <c r="E81" s="35"/>
      <c r="F81" s="35"/>
      <c r="G81" s="35"/>
      <c r="H81" s="35"/>
      <c r="I81" s="35"/>
      <c r="J81" s="35">
        <v>20</v>
      </c>
      <c r="K81" s="35">
        <v>20</v>
      </c>
      <c r="L81" s="35">
        <v>20</v>
      </c>
      <c r="M81" s="35">
        <v>20</v>
      </c>
      <c r="N81" s="35">
        <v>20</v>
      </c>
      <c r="O81" s="35">
        <v>20</v>
      </c>
      <c r="P81" s="35">
        <v>20</v>
      </c>
      <c r="Q81" s="35">
        <v>20</v>
      </c>
      <c r="R81" s="35">
        <v>20</v>
      </c>
      <c r="S81" s="35">
        <v>20</v>
      </c>
      <c r="T81" s="35">
        <v>20</v>
      </c>
      <c r="U81" s="35">
        <v>20</v>
      </c>
      <c r="V81" s="35"/>
      <c r="W81" s="35"/>
      <c r="X81" s="35"/>
      <c r="Y81" s="35"/>
      <c r="Z81" s="35"/>
      <c r="AA81" s="35"/>
      <c r="AB81" s="36">
        <f t="shared" si="1"/>
        <v>240</v>
      </c>
      <c r="AC81" s="37">
        <v>7</v>
      </c>
      <c r="AD81" s="91"/>
    </row>
    <row r="82" spans="2:30">
      <c r="AA82" s="86" t="s">
        <v>35</v>
      </c>
      <c r="AB82" s="87"/>
      <c r="AC82" s="88"/>
      <c r="AD82" s="39">
        <f>SUM(AD46:AD81)</f>
        <v>87600</v>
      </c>
    </row>
    <row r="83" spans="2:30">
      <c r="AB83" s="38"/>
      <c r="AC83" s="38"/>
    </row>
    <row r="84" spans="2:30" ht="23.25">
      <c r="B84" s="41" t="s">
        <v>63</v>
      </c>
    </row>
    <row r="85" spans="2:30">
      <c r="B85" s="32" t="s">
        <v>3</v>
      </c>
      <c r="C85" s="32" t="s">
        <v>4</v>
      </c>
      <c r="D85" s="32" t="s">
        <v>5</v>
      </c>
      <c r="E85" s="32" t="s">
        <v>6</v>
      </c>
      <c r="F85" s="32" t="s">
        <v>7</v>
      </c>
      <c r="G85" s="32" t="s">
        <v>8</v>
      </c>
      <c r="H85" s="32" t="s">
        <v>9</v>
      </c>
      <c r="I85" s="32" t="s">
        <v>10</v>
      </c>
      <c r="J85" s="32" t="s">
        <v>11</v>
      </c>
      <c r="K85" s="32" t="s">
        <v>12</v>
      </c>
      <c r="L85" s="32" t="s">
        <v>13</v>
      </c>
      <c r="M85" s="32" t="s">
        <v>14</v>
      </c>
      <c r="N85" s="32" t="s">
        <v>15</v>
      </c>
      <c r="O85" s="32" t="s">
        <v>16</v>
      </c>
      <c r="P85" s="32" t="s">
        <v>17</v>
      </c>
      <c r="Q85" s="32" t="s">
        <v>18</v>
      </c>
      <c r="R85" s="32" t="s">
        <v>19</v>
      </c>
      <c r="S85" s="32" t="s">
        <v>20</v>
      </c>
      <c r="T85" s="32" t="s">
        <v>21</v>
      </c>
      <c r="U85" s="32" t="s">
        <v>22</v>
      </c>
      <c r="V85" s="32" t="s">
        <v>23</v>
      </c>
      <c r="W85" s="32" t="s">
        <v>24</v>
      </c>
      <c r="X85" s="32" t="s">
        <v>25</v>
      </c>
      <c r="Y85" s="32" t="s">
        <v>26</v>
      </c>
      <c r="Z85" s="32" t="s">
        <v>27</v>
      </c>
      <c r="AA85" s="32" t="s">
        <v>28</v>
      </c>
      <c r="AB85" s="33" t="s">
        <v>29</v>
      </c>
      <c r="AC85" s="33" t="s">
        <v>30</v>
      </c>
      <c r="AD85" s="32" t="s">
        <v>31</v>
      </c>
    </row>
    <row r="86" spans="2:30">
      <c r="B86" s="89">
        <v>47484</v>
      </c>
      <c r="C86" s="34" t="s">
        <v>32</v>
      </c>
      <c r="D86" s="35"/>
      <c r="E86" s="35"/>
      <c r="F86" s="35"/>
      <c r="G86" s="35"/>
      <c r="H86" s="35"/>
      <c r="I86" s="35"/>
      <c r="J86" s="35">
        <v>20</v>
      </c>
      <c r="K86" s="35">
        <v>20</v>
      </c>
      <c r="L86" s="35">
        <v>20</v>
      </c>
      <c r="M86" s="35">
        <v>20</v>
      </c>
      <c r="N86" s="35">
        <v>20</v>
      </c>
      <c r="O86" s="35">
        <v>20</v>
      </c>
      <c r="P86" s="35">
        <v>20</v>
      </c>
      <c r="Q86" s="35">
        <v>20</v>
      </c>
      <c r="R86" s="35">
        <v>20</v>
      </c>
      <c r="S86" s="35">
        <v>20</v>
      </c>
      <c r="T86" s="35">
        <v>20</v>
      </c>
      <c r="U86" s="35">
        <v>20</v>
      </c>
      <c r="V86" s="35"/>
      <c r="W86" s="35"/>
      <c r="X86" s="35"/>
      <c r="Y86" s="35"/>
      <c r="Z86" s="35"/>
      <c r="AA86" s="35"/>
      <c r="AB86" s="36">
        <f>SUM(D86:AA86)</f>
        <v>240</v>
      </c>
      <c r="AC86" s="37">
        <v>21</v>
      </c>
      <c r="AD86" s="91">
        <f>+AB86*AC86+AB87*AC87+AB88*AC88</f>
        <v>7440</v>
      </c>
    </row>
    <row r="87" spans="2:30">
      <c r="B87" s="89"/>
      <c r="C87" s="34" t="s">
        <v>33</v>
      </c>
      <c r="D87" s="35"/>
      <c r="E87" s="35"/>
      <c r="F87" s="35"/>
      <c r="G87" s="35"/>
      <c r="H87" s="35"/>
      <c r="I87" s="35"/>
      <c r="J87" s="35">
        <v>20</v>
      </c>
      <c r="K87" s="35">
        <v>20</v>
      </c>
      <c r="L87" s="35">
        <v>20</v>
      </c>
      <c r="M87" s="35">
        <v>20</v>
      </c>
      <c r="N87" s="35">
        <v>20</v>
      </c>
      <c r="O87" s="35">
        <v>20</v>
      </c>
      <c r="P87" s="35">
        <v>20</v>
      </c>
      <c r="Q87" s="35">
        <v>20</v>
      </c>
      <c r="R87" s="35">
        <v>20</v>
      </c>
      <c r="S87" s="35">
        <v>20</v>
      </c>
      <c r="T87" s="35">
        <v>20</v>
      </c>
      <c r="U87" s="35">
        <v>20</v>
      </c>
      <c r="V87" s="35"/>
      <c r="W87" s="35"/>
      <c r="X87" s="35"/>
      <c r="Y87" s="35"/>
      <c r="Z87" s="35"/>
      <c r="AA87" s="35"/>
      <c r="AB87" s="36">
        <f t="shared" ref="AB87:AB121" si="2">SUM(D87:AA87)</f>
        <v>240</v>
      </c>
      <c r="AC87" s="37">
        <v>4</v>
      </c>
      <c r="AD87" s="91"/>
    </row>
    <row r="88" spans="2:30">
      <c r="B88" s="89"/>
      <c r="C88" s="34" t="s">
        <v>34</v>
      </c>
      <c r="D88" s="35"/>
      <c r="E88" s="35"/>
      <c r="F88" s="35"/>
      <c r="G88" s="35"/>
      <c r="H88" s="35"/>
      <c r="I88" s="35"/>
      <c r="J88" s="35">
        <v>20</v>
      </c>
      <c r="K88" s="35">
        <v>20</v>
      </c>
      <c r="L88" s="35">
        <v>20</v>
      </c>
      <c r="M88" s="35">
        <v>20</v>
      </c>
      <c r="N88" s="35">
        <v>20</v>
      </c>
      <c r="O88" s="35">
        <v>20</v>
      </c>
      <c r="P88" s="35">
        <v>20</v>
      </c>
      <c r="Q88" s="35">
        <v>20</v>
      </c>
      <c r="R88" s="35">
        <v>20</v>
      </c>
      <c r="S88" s="35">
        <v>20</v>
      </c>
      <c r="T88" s="35">
        <v>20</v>
      </c>
      <c r="U88" s="35">
        <v>20</v>
      </c>
      <c r="V88" s="35"/>
      <c r="W88" s="35"/>
      <c r="X88" s="35"/>
      <c r="Y88" s="35"/>
      <c r="Z88" s="35"/>
      <c r="AA88" s="35"/>
      <c r="AB88" s="36">
        <f t="shared" si="2"/>
        <v>240</v>
      </c>
      <c r="AC88" s="37">
        <v>6</v>
      </c>
      <c r="AD88" s="91"/>
    </row>
    <row r="89" spans="2:30">
      <c r="B89" s="89">
        <v>47515</v>
      </c>
      <c r="C89" s="34" t="s">
        <v>32</v>
      </c>
      <c r="D89" s="35"/>
      <c r="E89" s="35"/>
      <c r="F89" s="35"/>
      <c r="G89" s="35"/>
      <c r="H89" s="35"/>
      <c r="I89" s="35"/>
      <c r="J89" s="35">
        <v>20</v>
      </c>
      <c r="K89" s="35">
        <v>20</v>
      </c>
      <c r="L89" s="35">
        <v>20</v>
      </c>
      <c r="M89" s="35">
        <v>20</v>
      </c>
      <c r="N89" s="35">
        <v>20</v>
      </c>
      <c r="O89" s="35">
        <v>20</v>
      </c>
      <c r="P89" s="35">
        <v>20</v>
      </c>
      <c r="Q89" s="35">
        <v>20</v>
      </c>
      <c r="R89" s="35">
        <v>20</v>
      </c>
      <c r="S89" s="35">
        <v>20</v>
      </c>
      <c r="T89" s="35">
        <v>20</v>
      </c>
      <c r="U89" s="35">
        <v>20</v>
      </c>
      <c r="V89" s="35"/>
      <c r="W89" s="35"/>
      <c r="X89" s="35"/>
      <c r="Y89" s="35"/>
      <c r="Z89" s="35"/>
      <c r="AA89" s="35"/>
      <c r="AB89" s="36">
        <f t="shared" si="2"/>
        <v>240</v>
      </c>
      <c r="AC89" s="37">
        <v>20</v>
      </c>
      <c r="AD89" s="91">
        <f>+AB89*AC89+AB90*AC90+AB91*AC91</f>
        <v>6720</v>
      </c>
    </row>
    <row r="90" spans="2:30">
      <c r="B90" s="89"/>
      <c r="C90" s="34" t="s">
        <v>33</v>
      </c>
      <c r="D90" s="35"/>
      <c r="E90" s="35"/>
      <c r="F90" s="35"/>
      <c r="G90" s="35"/>
      <c r="H90" s="35"/>
      <c r="I90" s="35"/>
      <c r="J90" s="35">
        <v>20</v>
      </c>
      <c r="K90" s="35">
        <v>20</v>
      </c>
      <c r="L90" s="35">
        <v>20</v>
      </c>
      <c r="M90" s="35">
        <v>20</v>
      </c>
      <c r="N90" s="35">
        <v>20</v>
      </c>
      <c r="O90" s="35">
        <v>20</v>
      </c>
      <c r="P90" s="35">
        <v>20</v>
      </c>
      <c r="Q90" s="35">
        <v>20</v>
      </c>
      <c r="R90" s="35">
        <v>20</v>
      </c>
      <c r="S90" s="35">
        <v>20</v>
      </c>
      <c r="T90" s="35">
        <v>20</v>
      </c>
      <c r="U90" s="35">
        <v>20</v>
      </c>
      <c r="V90" s="35"/>
      <c r="W90" s="35"/>
      <c r="X90" s="35"/>
      <c r="Y90" s="35"/>
      <c r="Z90" s="35"/>
      <c r="AA90" s="35"/>
      <c r="AB90" s="36">
        <f t="shared" si="2"/>
        <v>240</v>
      </c>
      <c r="AC90" s="37">
        <v>4</v>
      </c>
      <c r="AD90" s="91"/>
    </row>
    <row r="91" spans="2:30">
      <c r="B91" s="89"/>
      <c r="C91" s="34" t="s">
        <v>34</v>
      </c>
      <c r="D91" s="35"/>
      <c r="E91" s="35"/>
      <c r="F91" s="35"/>
      <c r="G91" s="35"/>
      <c r="H91" s="35"/>
      <c r="I91" s="35"/>
      <c r="J91" s="35">
        <v>20</v>
      </c>
      <c r="K91" s="35">
        <v>20</v>
      </c>
      <c r="L91" s="35">
        <v>20</v>
      </c>
      <c r="M91" s="35">
        <v>20</v>
      </c>
      <c r="N91" s="35">
        <v>20</v>
      </c>
      <c r="O91" s="35">
        <v>20</v>
      </c>
      <c r="P91" s="35">
        <v>20</v>
      </c>
      <c r="Q91" s="35">
        <v>20</v>
      </c>
      <c r="R91" s="35">
        <v>20</v>
      </c>
      <c r="S91" s="35">
        <v>20</v>
      </c>
      <c r="T91" s="35">
        <v>20</v>
      </c>
      <c r="U91" s="35">
        <v>20</v>
      </c>
      <c r="V91" s="35"/>
      <c r="W91" s="35"/>
      <c r="X91" s="35"/>
      <c r="Y91" s="35"/>
      <c r="Z91" s="35"/>
      <c r="AA91" s="35"/>
      <c r="AB91" s="36">
        <f t="shared" si="2"/>
        <v>240</v>
      </c>
      <c r="AC91" s="37">
        <v>4</v>
      </c>
      <c r="AD91" s="91"/>
    </row>
    <row r="92" spans="2:30">
      <c r="B92" s="89">
        <v>47543</v>
      </c>
      <c r="C92" s="34" t="s">
        <v>32</v>
      </c>
      <c r="D92" s="35"/>
      <c r="E92" s="35"/>
      <c r="F92" s="35"/>
      <c r="G92" s="35"/>
      <c r="H92" s="35"/>
      <c r="I92" s="35"/>
      <c r="J92" s="35">
        <v>20</v>
      </c>
      <c r="K92" s="35">
        <v>20</v>
      </c>
      <c r="L92" s="35">
        <v>20</v>
      </c>
      <c r="M92" s="35">
        <v>20</v>
      </c>
      <c r="N92" s="35">
        <v>20</v>
      </c>
      <c r="O92" s="35">
        <v>20</v>
      </c>
      <c r="P92" s="35">
        <v>20</v>
      </c>
      <c r="Q92" s="35">
        <v>20</v>
      </c>
      <c r="R92" s="35">
        <v>20</v>
      </c>
      <c r="S92" s="35">
        <v>20</v>
      </c>
      <c r="T92" s="35">
        <v>20</v>
      </c>
      <c r="U92" s="35">
        <v>20</v>
      </c>
      <c r="V92" s="35"/>
      <c r="W92" s="35"/>
      <c r="X92" s="35"/>
      <c r="Y92" s="35"/>
      <c r="Z92" s="35"/>
      <c r="AA92" s="35"/>
      <c r="AB92" s="36">
        <f t="shared" si="2"/>
        <v>240</v>
      </c>
      <c r="AC92" s="37">
        <v>20</v>
      </c>
      <c r="AD92" s="91">
        <f>+AB92*AC92+AB93*AC93+AB94*AC94</f>
        <v>7440</v>
      </c>
    </row>
    <row r="93" spans="2:30">
      <c r="B93" s="89"/>
      <c r="C93" s="34" t="s">
        <v>33</v>
      </c>
      <c r="D93" s="35"/>
      <c r="E93" s="35"/>
      <c r="F93" s="35"/>
      <c r="G93" s="35"/>
      <c r="H93" s="35"/>
      <c r="I93" s="35"/>
      <c r="J93" s="35">
        <v>20</v>
      </c>
      <c r="K93" s="35">
        <v>20</v>
      </c>
      <c r="L93" s="35">
        <v>20</v>
      </c>
      <c r="M93" s="35">
        <v>20</v>
      </c>
      <c r="N93" s="35">
        <v>20</v>
      </c>
      <c r="O93" s="35">
        <v>20</v>
      </c>
      <c r="P93" s="35">
        <v>20</v>
      </c>
      <c r="Q93" s="35">
        <v>20</v>
      </c>
      <c r="R93" s="35">
        <v>20</v>
      </c>
      <c r="S93" s="35">
        <v>20</v>
      </c>
      <c r="T93" s="35">
        <v>20</v>
      </c>
      <c r="U93" s="35">
        <v>20</v>
      </c>
      <c r="V93" s="35"/>
      <c r="W93" s="35"/>
      <c r="X93" s="35"/>
      <c r="Y93" s="35"/>
      <c r="Z93" s="35"/>
      <c r="AA93" s="35"/>
      <c r="AB93" s="36">
        <f t="shared" si="2"/>
        <v>240</v>
      </c>
      <c r="AC93" s="37">
        <v>5</v>
      </c>
      <c r="AD93" s="91"/>
    </row>
    <row r="94" spans="2:30">
      <c r="B94" s="89"/>
      <c r="C94" s="34" t="s">
        <v>34</v>
      </c>
      <c r="D94" s="35"/>
      <c r="E94" s="35"/>
      <c r="F94" s="35"/>
      <c r="G94" s="35"/>
      <c r="H94" s="35"/>
      <c r="I94" s="35"/>
      <c r="J94" s="35">
        <v>20</v>
      </c>
      <c r="K94" s="35">
        <v>20</v>
      </c>
      <c r="L94" s="35">
        <v>20</v>
      </c>
      <c r="M94" s="35">
        <v>20</v>
      </c>
      <c r="N94" s="35">
        <v>20</v>
      </c>
      <c r="O94" s="35">
        <v>20</v>
      </c>
      <c r="P94" s="35">
        <v>20</v>
      </c>
      <c r="Q94" s="35">
        <v>20</v>
      </c>
      <c r="R94" s="35">
        <v>20</v>
      </c>
      <c r="S94" s="35">
        <v>20</v>
      </c>
      <c r="T94" s="35">
        <v>20</v>
      </c>
      <c r="U94" s="35">
        <v>20</v>
      </c>
      <c r="V94" s="35"/>
      <c r="W94" s="35"/>
      <c r="X94" s="35"/>
      <c r="Y94" s="35"/>
      <c r="Z94" s="35"/>
      <c r="AA94" s="35"/>
      <c r="AB94" s="36">
        <f t="shared" si="2"/>
        <v>240</v>
      </c>
      <c r="AC94" s="37">
        <v>6</v>
      </c>
      <c r="AD94" s="91"/>
    </row>
    <row r="95" spans="2:30">
      <c r="B95" s="89">
        <v>47574</v>
      </c>
      <c r="C95" s="34" t="s">
        <v>32</v>
      </c>
      <c r="D95" s="35"/>
      <c r="E95" s="35"/>
      <c r="F95" s="35"/>
      <c r="G95" s="35"/>
      <c r="H95" s="35"/>
      <c r="I95" s="35"/>
      <c r="J95" s="35">
        <v>20</v>
      </c>
      <c r="K95" s="35">
        <v>20</v>
      </c>
      <c r="L95" s="35">
        <v>20</v>
      </c>
      <c r="M95" s="35">
        <v>20</v>
      </c>
      <c r="N95" s="35">
        <v>20</v>
      </c>
      <c r="O95" s="35">
        <v>20</v>
      </c>
      <c r="P95" s="35">
        <v>20</v>
      </c>
      <c r="Q95" s="35">
        <v>20</v>
      </c>
      <c r="R95" s="35">
        <v>20</v>
      </c>
      <c r="S95" s="35">
        <v>20</v>
      </c>
      <c r="T95" s="35">
        <v>20</v>
      </c>
      <c r="U95" s="35">
        <v>20</v>
      </c>
      <c r="V95" s="35"/>
      <c r="W95" s="35"/>
      <c r="X95" s="35"/>
      <c r="Y95" s="35"/>
      <c r="Z95" s="35"/>
      <c r="AA95" s="35"/>
      <c r="AB95" s="36">
        <f t="shared" si="2"/>
        <v>240</v>
      </c>
      <c r="AC95" s="37">
        <v>20</v>
      </c>
      <c r="AD95" s="91">
        <f>+AB95*AC95+AB96*AC96+AB97*AC97</f>
        <v>7200</v>
      </c>
    </row>
    <row r="96" spans="2:30">
      <c r="B96" s="89"/>
      <c r="C96" s="34" t="s">
        <v>33</v>
      </c>
      <c r="D96" s="35"/>
      <c r="E96" s="35"/>
      <c r="F96" s="35"/>
      <c r="G96" s="35"/>
      <c r="H96" s="35"/>
      <c r="I96" s="35"/>
      <c r="J96" s="35">
        <v>20</v>
      </c>
      <c r="K96" s="35">
        <v>20</v>
      </c>
      <c r="L96" s="35">
        <v>20</v>
      </c>
      <c r="M96" s="35">
        <v>20</v>
      </c>
      <c r="N96" s="35">
        <v>20</v>
      </c>
      <c r="O96" s="35">
        <v>20</v>
      </c>
      <c r="P96" s="35">
        <v>20</v>
      </c>
      <c r="Q96" s="35">
        <v>20</v>
      </c>
      <c r="R96" s="35">
        <v>20</v>
      </c>
      <c r="S96" s="35">
        <v>20</v>
      </c>
      <c r="T96" s="35">
        <v>20</v>
      </c>
      <c r="U96" s="35">
        <v>20</v>
      </c>
      <c r="V96" s="35"/>
      <c r="W96" s="35"/>
      <c r="X96" s="35"/>
      <c r="Y96" s="35"/>
      <c r="Z96" s="35"/>
      <c r="AA96" s="35"/>
      <c r="AB96" s="36">
        <f t="shared" si="2"/>
        <v>240</v>
      </c>
      <c r="AC96" s="37">
        <v>4</v>
      </c>
      <c r="AD96" s="91"/>
    </row>
    <row r="97" spans="2:30">
      <c r="B97" s="89"/>
      <c r="C97" s="34" t="s">
        <v>34</v>
      </c>
      <c r="D97" s="35"/>
      <c r="E97" s="35"/>
      <c r="F97" s="35"/>
      <c r="G97" s="35"/>
      <c r="H97" s="35"/>
      <c r="I97" s="35"/>
      <c r="J97" s="35">
        <v>20</v>
      </c>
      <c r="K97" s="35">
        <v>20</v>
      </c>
      <c r="L97" s="35">
        <v>20</v>
      </c>
      <c r="M97" s="35">
        <v>20</v>
      </c>
      <c r="N97" s="35">
        <v>20</v>
      </c>
      <c r="O97" s="35">
        <v>20</v>
      </c>
      <c r="P97" s="35">
        <v>20</v>
      </c>
      <c r="Q97" s="35">
        <v>20</v>
      </c>
      <c r="R97" s="35">
        <v>20</v>
      </c>
      <c r="S97" s="35">
        <v>20</v>
      </c>
      <c r="T97" s="35">
        <v>20</v>
      </c>
      <c r="U97" s="35">
        <v>20</v>
      </c>
      <c r="V97" s="35"/>
      <c r="W97" s="35"/>
      <c r="X97" s="35"/>
      <c r="Y97" s="35"/>
      <c r="Z97" s="35"/>
      <c r="AA97" s="35"/>
      <c r="AB97" s="36">
        <f t="shared" si="2"/>
        <v>240</v>
      </c>
      <c r="AC97" s="37">
        <v>6</v>
      </c>
      <c r="AD97" s="91"/>
    </row>
    <row r="98" spans="2:30">
      <c r="B98" s="89">
        <v>47604</v>
      </c>
      <c r="C98" s="34" t="s">
        <v>32</v>
      </c>
      <c r="D98" s="35"/>
      <c r="E98" s="35"/>
      <c r="F98" s="35"/>
      <c r="G98" s="35"/>
      <c r="H98" s="35"/>
      <c r="I98" s="35"/>
      <c r="J98" s="35">
        <v>20</v>
      </c>
      <c r="K98" s="35">
        <v>20</v>
      </c>
      <c r="L98" s="35">
        <v>20</v>
      </c>
      <c r="M98" s="35">
        <v>20</v>
      </c>
      <c r="N98" s="35">
        <v>20</v>
      </c>
      <c r="O98" s="35">
        <v>20</v>
      </c>
      <c r="P98" s="35">
        <v>20</v>
      </c>
      <c r="Q98" s="35">
        <v>20</v>
      </c>
      <c r="R98" s="35">
        <v>20</v>
      </c>
      <c r="S98" s="35">
        <v>20</v>
      </c>
      <c r="T98" s="35">
        <v>20</v>
      </c>
      <c r="U98" s="35">
        <v>20</v>
      </c>
      <c r="V98" s="35"/>
      <c r="W98" s="35"/>
      <c r="X98" s="35"/>
      <c r="Y98" s="35"/>
      <c r="Z98" s="35"/>
      <c r="AA98" s="35"/>
      <c r="AB98" s="36">
        <f t="shared" si="2"/>
        <v>240</v>
      </c>
      <c r="AC98" s="37">
        <v>22</v>
      </c>
      <c r="AD98" s="91">
        <f>+AB98*AC98+AB99*AC99+AB100*AC100</f>
        <v>7440</v>
      </c>
    </row>
    <row r="99" spans="2:30">
      <c r="B99" s="89"/>
      <c r="C99" s="34" t="s">
        <v>33</v>
      </c>
      <c r="D99" s="35"/>
      <c r="E99" s="35"/>
      <c r="F99" s="35"/>
      <c r="G99" s="35"/>
      <c r="H99" s="35"/>
      <c r="I99" s="35"/>
      <c r="J99" s="35">
        <v>20</v>
      </c>
      <c r="K99" s="35">
        <v>20</v>
      </c>
      <c r="L99" s="35">
        <v>20</v>
      </c>
      <c r="M99" s="35">
        <v>20</v>
      </c>
      <c r="N99" s="35">
        <v>20</v>
      </c>
      <c r="O99" s="35">
        <v>20</v>
      </c>
      <c r="P99" s="35">
        <v>20</v>
      </c>
      <c r="Q99" s="35">
        <v>20</v>
      </c>
      <c r="R99" s="35">
        <v>20</v>
      </c>
      <c r="S99" s="35">
        <v>20</v>
      </c>
      <c r="T99" s="35">
        <v>20</v>
      </c>
      <c r="U99" s="35">
        <v>20</v>
      </c>
      <c r="V99" s="35"/>
      <c r="W99" s="35"/>
      <c r="X99" s="35"/>
      <c r="Y99" s="35"/>
      <c r="Z99" s="35"/>
      <c r="AA99" s="35"/>
      <c r="AB99" s="36">
        <f t="shared" si="2"/>
        <v>240</v>
      </c>
      <c r="AC99" s="37">
        <v>4</v>
      </c>
      <c r="AD99" s="91"/>
    </row>
    <row r="100" spans="2:30">
      <c r="B100" s="89"/>
      <c r="C100" s="34" t="s">
        <v>34</v>
      </c>
      <c r="D100" s="35"/>
      <c r="E100" s="35"/>
      <c r="F100" s="35"/>
      <c r="G100" s="35"/>
      <c r="H100" s="35"/>
      <c r="I100" s="35"/>
      <c r="J100" s="35">
        <v>20</v>
      </c>
      <c r="K100" s="35">
        <v>20</v>
      </c>
      <c r="L100" s="35">
        <v>20</v>
      </c>
      <c r="M100" s="35">
        <v>20</v>
      </c>
      <c r="N100" s="35">
        <v>20</v>
      </c>
      <c r="O100" s="35">
        <v>20</v>
      </c>
      <c r="P100" s="35">
        <v>20</v>
      </c>
      <c r="Q100" s="35">
        <v>20</v>
      </c>
      <c r="R100" s="35">
        <v>20</v>
      </c>
      <c r="S100" s="35">
        <v>20</v>
      </c>
      <c r="T100" s="35">
        <v>20</v>
      </c>
      <c r="U100" s="35">
        <v>20</v>
      </c>
      <c r="V100" s="35"/>
      <c r="W100" s="35"/>
      <c r="X100" s="35"/>
      <c r="Y100" s="35"/>
      <c r="Z100" s="35"/>
      <c r="AA100" s="35"/>
      <c r="AB100" s="36">
        <f t="shared" si="2"/>
        <v>240</v>
      </c>
      <c r="AC100" s="37">
        <v>5</v>
      </c>
      <c r="AD100" s="91"/>
    </row>
    <row r="101" spans="2:30">
      <c r="B101" s="89">
        <v>47635</v>
      </c>
      <c r="C101" s="34" t="s">
        <v>32</v>
      </c>
      <c r="D101" s="35"/>
      <c r="E101" s="35"/>
      <c r="F101" s="35"/>
      <c r="G101" s="35"/>
      <c r="H101" s="35"/>
      <c r="I101" s="35"/>
      <c r="J101" s="35">
        <v>20</v>
      </c>
      <c r="K101" s="35">
        <v>20</v>
      </c>
      <c r="L101" s="35">
        <v>20</v>
      </c>
      <c r="M101" s="35">
        <v>20</v>
      </c>
      <c r="N101" s="35">
        <v>20</v>
      </c>
      <c r="O101" s="35">
        <v>20</v>
      </c>
      <c r="P101" s="35">
        <v>20</v>
      </c>
      <c r="Q101" s="35">
        <v>20</v>
      </c>
      <c r="R101" s="35">
        <v>20</v>
      </c>
      <c r="S101" s="35">
        <v>20</v>
      </c>
      <c r="T101" s="35">
        <v>20</v>
      </c>
      <c r="U101" s="35">
        <v>20</v>
      </c>
      <c r="V101" s="35"/>
      <c r="W101" s="35"/>
      <c r="X101" s="35"/>
      <c r="Y101" s="35"/>
      <c r="Z101" s="35"/>
      <c r="AA101" s="35"/>
      <c r="AB101" s="36">
        <f t="shared" si="2"/>
        <v>240</v>
      </c>
      <c r="AC101" s="37">
        <v>18</v>
      </c>
      <c r="AD101" s="91">
        <f>+AB101*AC101+AB102*AC102+AB103*AC103</f>
        <v>7200</v>
      </c>
    </row>
    <row r="102" spans="2:30">
      <c r="B102" s="89"/>
      <c r="C102" s="34" t="s">
        <v>33</v>
      </c>
      <c r="D102" s="35"/>
      <c r="E102" s="35"/>
      <c r="F102" s="35"/>
      <c r="G102" s="35"/>
      <c r="H102" s="35"/>
      <c r="I102" s="35"/>
      <c r="J102" s="35">
        <v>20</v>
      </c>
      <c r="K102" s="35">
        <v>20</v>
      </c>
      <c r="L102" s="35">
        <v>20</v>
      </c>
      <c r="M102" s="35">
        <v>20</v>
      </c>
      <c r="N102" s="35">
        <v>20</v>
      </c>
      <c r="O102" s="35">
        <v>20</v>
      </c>
      <c r="P102" s="35">
        <v>20</v>
      </c>
      <c r="Q102" s="35">
        <v>20</v>
      </c>
      <c r="R102" s="35">
        <v>20</v>
      </c>
      <c r="S102" s="35">
        <v>20</v>
      </c>
      <c r="T102" s="35">
        <v>20</v>
      </c>
      <c r="U102" s="35">
        <v>20</v>
      </c>
      <c r="V102" s="35"/>
      <c r="W102" s="35"/>
      <c r="X102" s="35"/>
      <c r="Y102" s="35"/>
      <c r="Z102" s="35"/>
      <c r="AA102" s="35"/>
      <c r="AB102" s="36">
        <f t="shared" si="2"/>
        <v>240</v>
      </c>
      <c r="AC102" s="37">
        <v>5</v>
      </c>
      <c r="AD102" s="91"/>
    </row>
    <row r="103" spans="2:30">
      <c r="B103" s="89"/>
      <c r="C103" s="34" t="s">
        <v>34</v>
      </c>
      <c r="D103" s="35"/>
      <c r="E103" s="35"/>
      <c r="F103" s="35"/>
      <c r="G103" s="35"/>
      <c r="H103" s="35"/>
      <c r="I103" s="35"/>
      <c r="J103" s="35">
        <v>20</v>
      </c>
      <c r="K103" s="35">
        <v>20</v>
      </c>
      <c r="L103" s="35">
        <v>20</v>
      </c>
      <c r="M103" s="35">
        <v>20</v>
      </c>
      <c r="N103" s="35">
        <v>20</v>
      </c>
      <c r="O103" s="35">
        <v>20</v>
      </c>
      <c r="P103" s="35">
        <v>20</v>
      </c>
      <c r="Q103" s="35">
        <v>20</v>
      </c>
      <c r="R103" s="35">
        <v>20</v>
      </c>
      <c r="S103" s="35">
        <v>20</v>
      </c>
      <c r="T103" s="35">
        <v>20</v>
      </c>
      <c r="U103" s="35">
        <v>20</v>
      </c>
      <c r="V103" s="35"/>
      <c r="W103" s="35"/>
      <c r="X103" s="35"/>
      <c r="Y103" s="35"/>
      <c r="Z103" s="35"/>
      <c r="AA103" s="35"/>
      <c r="AB103" s="36">
        <f t="shared" si="2"/>
        <v>240</v>
      </c>
      <c r="AC103" s="37">
        <v>7</v>
      </c>
      <c r="AD103" s="91"/>
    </row>
    <row r="104" spans="2:30">
      <c r="B104" s="89">
        <v>47665</v>
      </c>
      <c r="C104" s="34" t="s">
        <v>32</v>
      </c>
      <c r="D104" s="35"/>
      <c r="E104" s="35"/>
      <c r="F104" s="35"/>
      <c r="G104" s="35"/>
      <c r="H104" s="35"/>
      <c r="I104" s="35"/>
      <c r="J104" s="35">
        <v>20</v>
      </c>
      <c r="K104" s="35">
        <v>20</v>
      </c>
      <c r="L104" s="35">
        <v>20</v>
      </c>
      <c r="M104" s="35">
        <v>20</v>
      </c>
      <c r="N104" s="35">
        <v>20</v>
      </c>
      <c r="O104" s="35">
        <v>20</v>
      </c>
      <c r="P104" s="35">
        <v>20</v>
      </c>
      <c r="Q104" s="35">
        <v>20</v>
      </c>
      <c r="R104" s="35">
        <v>20</v>
      </c>
      <c r="S104" s="35">
        <v>20</v>
      </c>
      <c r="T104" s="35">
        <v>20</v>
      </c>
      <c r="U104" s="35">
        <v>20</v>
      </c>
      <c r="V104" s="35"/>
      <c r="W104" s="35"/>
      <c r="X104" s="35"/>
      <c r="Y104" s="35"/>
      <c r="Z104" s="35"/>
      <c r="AA104" s="35"/>
      <c r="AB104" s="36">
        <f t="shared" si="2"/>
        <v>240</v>
      </c>
      <c r="AC104" s="37">
        <v>22</v>
      </c>
      <c r="AD104" s="91">
        <f>+AB104*AC104+AB105*AC105+AB106*AC106</f>
        <v>7440</v>
      </c>
    </row>
    <row r="105" spans="2:30">
      <c r="B105" s="89"/>
      <c r="C105" s="34" t="s">
        <v>33</v>
      </c>
      <c r="D105" s="35"/>
      <c r="E105" s="35"/>
      <c r="F105" s="35"/>
      <c r="G105" s="35"/>
      <c r="H105" s="35"/>
      <c r="I105" s="35"/>
      <c r="J105" s="35">
        <v>20</v>
      </c>
      <c r="K105" s="35">
        <v>20</v>
      </c>
      <c r="L105" s="35">
        <v>20</v>
      </c>
      <c r="M105" s="35">
        <v>20</v>
      </c>
      <c r="N105" s="35">
        <v>20</v>
      </c>
      <c r="O105" s="35">
        <v>20</v>
      </c>
      <c r="P105" s="35">
        <v>20</v>
      </c>
      <c r="Q105" s="35">
        <v>20</v>
      </c>
      <c r="R105" s="35">
        <v>20</v>
      </c>
      <c r="S105" s="35">
        <v>20</v>
      </c>
      <c r="T105" s="35">
        <v>20</v>
      </c>
      <c r="U105" s="35">
        <v>20</v>
      </c>
      <c r="V105" s="35"/>
      <c r="W105" s="35"/>
      <c r="X105" s="35"/>
      <c r="Y105" s="35"/>
      <c r="Z105" s="35"/>
      <c r="AA105" s="35"/>
      <c r="AB105" s="36">
        <f t="shared" si="2"/>
        <v>240</v>
      </c>
      <c r="AC105" s="37">
        <v>3</v>
      </c>
      <c r="AD105" s="91"/>
    </row>
    <row r="106" spans="2:30">
      <c r="B106" s="89"/>
      <c r="C106" s="34" t="s">
        <v>34</v>
      </c>
      <c r="D106" s="35"/>
      <c r="E106" s="35"/>
      <c r="F106" s="35"/>
      <c r="G106" s="35"/>
      <c r="H106" s="35"/>
      <c r="I106" s="35"/>
      <c r="J106" s="35">
        <v>20</v>
      </c>
      <c r="K106" s="35">
        <v>20</v>
      </c>
      <c r="L106" s="35">
        <v>20</v>
      </c>
      <c r="M106" s="35">
        <v>20</v>
      </c>
      <c r="N106" s="35">
        <v>20</v>
      </c>
      <c r="O106" s="35">
        <v>20</v>
      </c>
      <c r="P106" s="35">
        <v>20</v>
      </c>
      <c r="Q106" s="35">
        <v>20</v>
      </c>
      <c r="R106" s="35">
        <v>20</v>
      </c>
      <c r="S106" s="35">
        <v>20</v>
      </c>
      <c r="T106" s="35">
        <v>20</v>
      </c>
      <c r="U106" s="35">
        <v>20</v>
      </c>
      <c r="V106" s="35"/>
      <c r="W106" s="35"/>
      <c r="X106" s="35"/>
      <c r="Y106" s="35"/>
      <c r="Z106" s="35"/>
      <c r="AA106" s="35"/>
      <c r="AB106" s="36">
        <f t="shared" si="2"/>
        <v>240</v>
      </c>
      <c r="AC106" s="37">
        <v>6</v>
      </c>
      <c r="AD106" s="91"/>
    </row>
    <row r="107" spans="2:30">
      <c r="B107" s="89">
        <v>47696</v>
      </c>
      <c r="C107" s="34" t="s">
        <v>32</v>
      </c>
      <c r="D107" s="35"/>
      <c r="E107" s="35"/>
      <c r="F107" s="35"/>
      <c r="G107" s="35"/>
      <c r="H107" s="35"/>
      <c r="I107" s="35"/>
      <c r="J107" s="35">
        <v>20</v>
      </c>
      <c r="K107" s="35">
        <v>20</v>
      </c>
      <c r="L107" s="35">
        <v>20</v>
      </c>
      <c r="M107" s="35">
        <v>20</v>
      </c>
      <c r="N107" s="35">
        <v>20</v>
      </c>
      <c r="O107" s="35">
        <v>20</v>
      </c>
      <c r="P107" s="35">
        <v>20</v>
      </c>
      <c r="Q107" s="35">
        <v>20</v>
      </c>
      <c r="R107" s="35">
        <v>20</v>
      </c>
      <c r="S107" s="35">
        <v>20</v>
      </c>
      <c r="T107" s="35">
        <v>20</v>
      </c>
      <c r="U107" s="35">
        <v>20</v>
      </c>
      <c r="V107" s="35"/>
      <c r="W107" s="35"/>
      <c r="X107" s="35"/>
      <c r="Y107" s="35"/>
      <c r="Z107" s="35"/>
      <c r="AA107" s="35"/>
      <c r="AB107" s="36">
        <f t="shared" si="2"/>
        <v>240</v>
      </c>
      <c r="AC107" s="37">
        <v>20</v>
      </c>
      <c r="AD107" s="91">
        <f>+AB107*AC107+AB108*AC108+AB109*AC109</f>
        <v>7440</v>
      </c>
    </row>
    <row r="108" spans="2:30">
      <c r="B108" s="89"/>
      <c r="C108" s="34" t="s">
        <v>33</v>
      </c>
      <c r="D108" s="35"/>
      <c r="E108" s="35"/>
      <c r="F108" s="35"/>
      <c r="G108" s="35"/>
      <c r="H108" s="35"/>
      <c r="I108" s="35"/>
      <c r="J108" s="35">
        <v>20</v>
      </c>
      <c r="K108" s="35">
        <v>20</v>
      </c>
      <c r="L108" s="35">
        <v>20</v>
      </c>
      <c r="M108" s="35">
        <v>20</v>
      </c>
      <c r="N108" s="35">
        <v>20</v>
      </c>
      <c r="O108" s="35">
        <v>20</v>
      </c>
      <c r="P108" s="35">
        <v>20</v>
      </c>
      <c r="Q108" s="35">
        <v>20</v>
      </c>
      <c r="R108" s="35">
        <v>20</v>
      </c>
      <c r="S108" s="35">
        <v>20</v>
      </c>
      <c r="T108" s="35">
        <v>20</v>
      </c>
      <c r="U108" s="35">
        <v>20</v>
      </c>
      <c r="V108" s="35"/>
      <c r="W108" s="35"/>
      <c r="X108" s="35"/>
      <c r="Y108" s="35"/>
      <c r="Z108" s="35"/>
      <c r="AA108" s="35"/>
      <c r="AB108" s="36">
        <f t="shared" si="2"/>
        <v>240</v>
      </c>
      <c r="AC108" s="37">
        <v>5</v>
      </c>
      <c r="AD108" s="91"/>
    </row>
    <row r="109" spans="2:30">
      <c r="B109" s="89"/>
      <c r="C109" s="34" t="s">
        <v>34</v>
      </c>
      <c r="D109" s="35"/>
      <c r="E109" s="35"/>
      <c r="F109" s="35"/>
      <c r="G109" s="35"/>
      <c r="H109" s="35"/>
      <c r="I109" s="35"/>
      <c r="J109" s="35">
        <v>20</v>
      </c>
      <c r="K109" s="35">
        <v>20</v>
      </c>
      <c r="L109" s="35">
        <v>20</v>
      </c>
      <c r="M109" s="35">
        <v>20</v>
      </c>
      <c r="N109" s="35">
        <v>20</v>
      </c>
      <c r="O109" s="35">
        <v>20</v>
      </c>
      <c r="P109" s="35">
        <v>20</v>
      </c>
      <c r="Q109" s="35">
        <v>20</v>
      </c>
      <c r="R109" s="35">
        <v>20</v>
      </c>
      <c r="S109" s="35">
        <v>20</v>
      </c>
      <c r="T109" s="35">
        <v>20</v>
      </c>
      <c r="U109" s="35">
        <v>20</v>
      </c>
      <c r="V109" s="35"/>
      <c r="W109" s="35"/>
      <c r="X109" s="35"/>
      <c r="Y109" s="35"/>
      <c r="Z109" s="35"/>
      <c r="AA109" s="35"/>
      <c r="AB109" s="36">
        <f t="shared" si="2"/>
        <v>240</v>
      </c>
      <c r="AC109" s="37">
        <v>6</v>
      </c>
      <c r="AD109" s="91"/>
    </row>
    <row r="110" spans="2:30">
      <c r="B110" s="89">
        <v>47727</v>
      </c>
      <c r="C110" s="34" t="s">
        <v>32</v>
      </c>
      <c r="D110" s="35"/>
      <c r="E110" s="35"/>
      <c r="F110" s="35"/>
      <c r="G110" s="35"/>
      <c r="H110" s="35"/>
      <c r="I110" s="35"/>
      <c r="J110" s="35">
        <v>20</v>
      </c>
      <c r="K110" s="35">
        <v>20</v>
      </c>
      <c r="L110" s="35">
        <v>20</v>
      </c>
      <c r="M110" s="35">
        <v>20</v>
      </c>
      <c r="N110" s="35">
        <v>20</v>
      </c>
      <c r="O110" s="35">
        <v>20</v>
      </c>
      <c r="P110" s="35">
        <v>20</v>
      </c>
      <c r="Q110" s="35">
        <v>20</v>
      </c>
      <c r="R110" s="35">
        <v>20</v>
      </c>
      <c r="S110" s="35">
        <v>20</v>
      </c>
      <c r="T110" s="35">
        <v>20</v>
      </c>
      <c r="U110" s="35">
        <v>20</v>
      </c>
      <c r="V110" s="35"/>
      <c r="W110" s="35"/>
      <c r="X110" s="35"/>
      <c r="Y110" s="35"/>
      <c r="Z110" s="35"/>
      <c r="AA110" s="35"/>
      <c r="AB110" s="36">
        <f t="shared" si="2"/>
        <v>240</v>
      </c>
      <c r="AC110" s="37">
        <v>21</v>
      </c>
      <c r="AD110" s="91">
        <f>+AB110*AC110+AB111*AC111+AB112*AC112</f>
        <v>7200</v>
      </c>
    </row>
    <row r="111" spans="2:30">
      <c r="B111" s="89"/>
      <c r="C111" s="34" t="s">
        <v>33</v>
      </c>
      <c r="D111" s="35"/>
      <c r="E111" s="35"/>
      <c r="F111" s="35"/>
      <c r="G111" s="35"/>
      <c r="H111" s="35"/>
      <c r="I111" s="35"/>
      <c r="J111" s="35">
        <v>20</v>
      </c>
      <c r="K111" s="35">
        <v>20</v>
      </c>
      <c r="L111" s="35">
        <v>20</v>
      </c>
      <c r="M111" s="35">
        <v>20</v>
      </c>
      <c r="N111" s="35">
        <v>20</v>
      </c>
      <c r="O111" s="35">
        <v>20</v>
      </c>
      <c r="P111" s="35">
        <v>20</v>
      </c>
      <c r="Q111" s="35">
        <v>20</v>
      </c>
      <c r="R111" s="35">
        <v>20</v>
      </c>
      <c r="S111" s="35">
        <v>20</v>
      </c>
      <c r="T111" s="35">
        <v>20</v>
      </c>
      <c r="U111" s="35">
        <v>20</v>
      </c>
      <c r="V111" s="35"/>
      <c r="W111" s="35"/>
      <c r="X111" s="35"/>
      <c r="Y111" s="35"/>
      <c r="Z111" s="35"/>
      <c r="AA111" s="35"/>
      <c r="AB111" s="36">
        <f t="shared" si="2"/>
        <v>240</v>
      </c>
      <c r="AC111" s="37">
        <v>4</v>
      </c>
      <c r="AD111" s="91"/>
    </row>
    <row r="112" spans="2:30">
      <c r="B112" s="89"/>
      <c r="C112" s="34" t="s">
        <v>34</v>
      </c>
      <c r="D112" s="35"/>
      <c r="E112" s="35"/>
      <c r="F112" s="35"/>
      <c r="G112" s="35"/>
      <c r="H112" s="35"/>
      <c r="I112" s="35"/>
      <c r="J112" s="35">
        <v>20</v>
      </c>
      <c r="K112" s="35">
        <v>20</v>
      </c>
      <c r="L112" s="35">
        <v>20</v>
      </c>
      <c r="M112" s="35">
        <v>20</v>
      </c>
      <c r="N112" s="35">
        <v>20</v>
      </c>
      <c r="O112" s="35">
        <v>20</v>
      </c>
      <c r="P112" s="35">
        <v>20</v>
      </c>
      <c r="Q112" s="35">
        <v>20</v>
      </c>
      <c r="R112" s="35">
        <v>20</v>
      </c>
      <c r="S112" s="35">
        <v>20</v>
      </c>
      <c r="T112" s="35">
        <v>20</v>
      </c>
      <c r="U112" s="35">
        <v>20</v>
      </c>
      <c r="V112" s="35"/>
      <c r="W112" s="35"/>
      <c r="X112" s="35"/>
      <c r="Y112" s="35"/>
      <c r="Z112" s="35"/>
      <c r="AA112" s="35"/>
      <c r="AB112" s="36">
        <f t="shared" si="2"/>
        <v>240</v>
      </c>
      <c r="AC112" s="37">
        <v>5</v>
      </c>
      <c r="AD112" s="91"/>
    </row>
    <row r="113" spans="2:30">
      <c r="B113" s="89">
        <v>47757</v>
      </c>
      <c r="C113" s="34" t="s">
        <v>32</v>
      </c>
      <c r="D113" s="35"/>
      <c r="E113" s="35"/>
      <c r="F113" s="35"/>
      <c r="G113" s="35"/>
      <c r="H113" s="35"/>
      <c r="I113" s="35"/>
      <c r="J113" s="35">
        <v>20</v>
      </c>
      <c r="K113" s="35">
        <v>20</v>
      </c>
      <c r="L113" s="35">
        <v>20</v>
      </c>
      <c r="M113" s="35">
        <v>20</v>
      </c>
      <c r="N113" s="35">
        <v>20</v>
      </c>
      <c r="O113" s="35">
        <v>20</v>
      </c>
      <c r="P113" s="35">
        <v>20</v>
      </c>
      <c r="Q113" s="35">
        <v>20</v>
      </c>
      <c r="R113" s="35">
        <v>20</v>
      </c>
      <c r="S113" s="35">
        <v>20</v>
      </c>
      <c r="T113" s="35">
        <v>20</v>
      </c>
      <c r="U113" s="35">
        <v>20</v>
      </c>
      <c r="V113" s="35"/>
      <c r="W113" s="35"/>
      <c r="X113" s="35"/>
      <c r="Y113" s="35"/>
      <c r="Z113" s="35"/>
      <c r="AA113" s="35"/>
      <c r="AB113" s="36">
        <f t="shared" si="2"/>
        <v>240</v>
      </c>
      <c r="AC113" s="37">
        <v>22</v>
      </c>
      <c r="AD113" s="91">
        <f>+AB113*AC113+AB114*AC114+AB115*AC115</f>
        <v>7440</v>
      </c>
    </row>
    <row r="114" spans="2:30">
      <c r="B114" s="89"/>
      <c r="C114" s="34" t="s">
        <v>33</v>
      </c>
      <c r="D114" s="35"/>
      <c r="E114" s="35"/>
      <c r="F114" s="35"/>
      <c r="G114" s="35"/>
      <c r="H114" s="35"/>
      <c r="I114" s="35"/>
      <c r="J114" s="35">
        <v>20</v>
      </c>
      <c r="K114" s="35">
        <v>20</v>
      </c>
      <c r="L114" s="35">
        <v>20</v>
      </c>
      <c r="M114" s="35">
        <v>20</v>
      </c>
      <c r="N114" s="35">
        <v>20</v>
      </c>
      <c r="O114" s="35">
        <v>20</v>
      </c>
      <c r="P114" s="35">
        <v>20</v>
      </c>
      <c r="Q114" s="35">
        <v>20</v>
      </c>
      <c r="R114" s="35">
        <v>20</v>
      </c>
      <c r="S114" s="35">
        <v>20</v>
      </c>
      <c r="T114" s="35">
        <v>20</v>
      </c>
      <c r="U114" s="35">
        <v>20</v>
      </c>
      <c r="V114" s="35"/>
      <c r="W114" s="35"/>
      <c r="X114" s="35"/>
      <c r="Y114" s="35"/>
      <c r="Z114" s="35"/>
      <c r="AA114" s="35"/>
      <c r="AB114" s="36">
        <f t="shared" si="2"/>
        <v>240</v>
      </c>
      <c r="AC114" s="37">
        <v>4</v>
      </c>
      <c r="AD114" s="91"/>
    </row>
    <row r="115" spans="2:30">
      <c r="B115" s="89"/>
      <c r="C115" s="34" t="s">
        <v>34</v>
      </c>
      <c r="D115" s="35"/>
      <c r="E115" s="35"/>
      <c r="F115" s="35"/>
      <c r="G115" s="35"/>
      <c r="H115" s="35"/>
      <c r="I115" s="35"/>
      <c r="J115" s="35">
        <v>20</v>
      </c>
      <c r="K115" s="35">
        <v>20</v>
      </c>
      <c r="L115" s="35">
        <v>20</v>
      </c>
      <c r="M115" s="35">
        <v>20</v>
      </c>
      <c r="N115" s="35">
        <v>20</v>
      </c>
      <c r="O115" s="35">
        <v>20</v>
      </c>
      <c r="P115" s="35">
        <v>20</v>
      </c>
      <c r="Q115" s="35">
        <v>20</v>
      </c>
      <c r="R115" s="35">
        <v>20</v>
      </c>
      <c r="S115" s="35">
        <v>20</v>
      </c>
      <c r="T115" s="35">
        <v>20</v>
      </c>
      <c r="U115" s="35">
        <v>20</v>
      </c>
      <c r="V115" s="35"/>
      <c r="W115" s="35"/>
      <c r="X115" s="35"/>
      <c r="Y115" s="35"/>
      <c r="Z115" s="35"/>
      <c r="AA115" s="35"/>
      <c r="AB115" s="36">
        <f t="shared" si="2"/>
        <v>240</v>
      </c>
      <c r="AC115" s="37">
        <v>5</v>
      </c>
      <c r="AD115" s="91"/>
    </row>
    <row r="116" spans="2:30">
      <c r="B116" s="89">
        <v>47788</v>
      </c>
      <c r="C116" s="34" t="s">
        <v>32</v>
      </c>
      <c r="D116" s="35"/>
      <c r="E116" s="35"/>
      <c r="F116" s="35"/>
      <c r="G116" s="35"/>
      <c r="H116" s="35"/>
      <c r="I116" s="35"/>
      <c r="J116" s="35">
        <v>20</v>
      </c>
      <c r="K116" s="35">
        <v>20</v>
      </c>
      <c r="L116" s="35">
        <v>20</v>
      </c>
      <c r="M116" s="35">
        <v>20</v>
      </c>
      <c r="N116" s="35">
        <v>20</v>
      </c>
      <c r="O116" s="35">
        <v>20</v>
      </c>
      <c r="P116" s="35">
        <v>20</v>
      </c>
      <c r="Q116" s="35">
        <v>20</v>
      </c>
      <c r="R116" s="35">
        <v>20</v>
      </c>
      <c r="S116" s="35">
        <v>20</v>
      </c>
      <c r="T116" s="35">
        <v>20</v>
      </c>
      <c r="U116" s="35">
        <v>20</v>
      </c>
      <c r="V116" s="35"/>
      <c r="W116" s="35"/>
      <c r="X116" s="35"/>
      <c r="Y116" s="35"/>
      <c r="Z116" s="35"/>
      <c r="AA116" s="35"/>
      <c r="AB116" s="36">
        <f t="shared" si="2"/>
        <v>240</v>
      </c>
      <c r="AC116" s="37">
        <v>19</v>
      </c>
      <c r="AD116" s="91">
        <f>+AB116*AC116+AB117*AC117+AB118*AC118</f>
        <v>7200</v>
      </c>
    </row>
    <row r="117" spans="2:30">
      <c r="B117" s="89"/>
      <c r="C117" s="34" t="s">
        <v>33</v>
      </c>
      <c r="D117" s="35"/>
      <c r="E117" s="35"/>
      <c r="F117" s="35"/>
      <c r="G117" s="35"/>
      <c r="H117" s="35"/>
      <c r="I117" s="35"/>
      <c r="J117" s="35">
        <v>20</v>
      </c>
      <c r="K117" s="35">
        <v>20</v>
      </c>
      <c r="L117" s="35">
        <v>20</v>
      </c>
      <c r="M117" s="35">
        <v>20</v>
      </c>
      <c r="N117" s="35">
        <v>20</v>
      </c>
      <c r="O117" s="35">
        <v>20</v>
      </c>
      <c r="P117" s="35">
        <v>20</v>
      </c>
      <c r="Q117" s="35">
        <v>20</v>
      </c>
      <c r="R117" s="35">
        <v>20</v>
      </c>
      <c r="S117" s="35">
        <v>20</v>
      </c>
      <c r="T117" s="35">
        <v>20</v>
      </c>
      <c r="U117" s="35">
        <v>20</v>
      </c>
      <c r="V117" s="35"/>
      <c r="W117" s="35"/>
      <c r="X117" s="35"/>
      <c r="Y117" s="35"/>
      <c r="Z117" s="35"/>
      <c r="AA117" s="35"/>
      <c r="AB117" s="36">
        <f t="shared" si="2"/>
        <v>240</v>
      </c>
      <c r="AC117" s="37">
        <v>5</v>
      </c>
      <c r="AD117" s="91"/>
    </row>
    <row r="118" spans="2:30">
      <c r="B118" s="89"/>
      <c r="C118" s="34" t="s">
        <v>34</v>
      </c>
      <c r="D118" s="35"/>
      <c r="E118" s="35"/>
      <c r="F118" s="35"/>
      <c r="G118" s="35"/>
      <c r="H118" s="35"/>
      <c r="I118" s="35"/>
      <c r="J118" s="35">
        <v>20</v>
      </c>
      <c r="K118" s="35">
        <v>20</v>
      </c>
      <c r="L118" s="35">
        <v>20</v>
      </c>
      <c r="M118" s="35">
        <v>20</v>
      </c>
      <c r="N118" s="35">
        <v>20</v>
      </c>
      <c r="O118" s="35">
        <v>20</v>
      </c>
      <c r="P118" s="35">
        <v>20</v>
      </c>
      <c r="Q118" s="35">
        <v>20</v>
      </c>
      <c r="R118" s="35">
        <v>20</v>
      </c>
      <c r="S118" s="35">
        <v>20</v>
      </c>
      <c r="T118" s="35">
        <v>20</v>
      </c>
      <c r="U118" s="35">
        <v>20</v>
      </c>
      <c r="V118" s="35"/>
      <c r="W118" s="35"/>
      <c r="X118" s="35"/>
      <c r="Y118" s="35"/>
      <c r="Z118" s="35"/>
      <c r="AA118" s="35"/>
      <c r="AB118" s="36">
        <f t="shared" si="2"/>
        <v>240</v>
      </c>
      <c r="AC118" s="37">
        <v>6</v>
      </c>
      <c r="AD118" s="91"/>
    </row>
    <row r="119" spans="2:30">
      <c r="B119" s="89">
        <v>47818</v>
      </c>
      <c r="C119" s="34" t="s">
        <v>32</v>
      </c>
      <c r="D119" s="35"/>
      <c r="E119" s="35"/>
      <c r="F119" s="35"/>
      <c r="G119" s="35"/>
      <c r="H119" s="35"/>
      <c r="I119" s="35"/>
      <c r="J119" s="35">
        <v>20</v>
      </c>
      <c r="K119" s="35">
        <v>20</v>
      </c>
      <c r="L119" s="35">
        <v>20</v>
      </c>
      <c r="M119" s="35">
        <v>20</v>
      </c>
      <c r="N119" s="35">
        <v>20</v>
      </c>
      <c r="O119" s="35">
        <v>20</v>
      </c>
      <c r="P119" s="35">
        <v>20</v>
      </c>
      <c r="Q119" s="35">
        <v>20</v>
      </c>
      <c r="R119" s="35">
        <v>20</v>
      </c>
      <c r="S119" s="35">
        <v>20</v>
      </c>
      <c r="T119" s="35">
        <v>20</v>
      </c>
      <c r="U119" s="35">
        <v>20</v>
      </c>
      <c r="V119" s="35"/>
      <c r="W119" s="35"/>
      <c r="X119" s="35"/>
      <c r="Y119" s="35"/>
      <c r="Z119" s="35"/>
      <c r="AA119" s="35"/>
      <c r="AB119" s="36">
        <f t="shared" si="2"/>
        <v>240</v>
      </c>
      <c r="AC119" s="37">
        <v>21</v>
      </c>
      <c r="AD119" s="91">
        <f>+AB119*AC119+AB120*AC120+AB121*AC121</f>
        <v>7440</v>
      </c>
    </row>
    <row r="120" spans="2:30">
      <c r="B120" s="89"/>
      <c r="C120" s="34" t="s">
        <v>33</v>
      </c>
      <c r="D120" s="35"/>
      <c r="E120" s="35"/>
      <c r="F120" s="35"/>
      <c r="G120" s="35"/>
      <c r="H120" s="35"/>
      <c r="I120" s="35"/>
      <c r="J120" s="35">
        <v>20</v>
      </c>
      <c r="K120" s="35">
        <v>20</v>
      </c>
      <c r="L120" s="35">
        <v>20</v>
      </c>
      <c r="M120" s="35">
        <v>20</v>
      </c>
      <c r="N120" s="35">
        <v>20</v>
      </c>
      <c r="O120" s="35">
        <v>20</v>
      </c>
      <c r="P120" s="35">
        <v>20</v>
      </c>
      <c r="Q120" s="35">
        <v>20</v>
      </c>
      <c r="R120" s="35">
        <v>20</v>
      </c>
      <c r="S120" s="35">
        <v>20</v>
      </c>
      <c r="T120" s="35">
        <v>20</v>
      </c>
      <c r="U120" s="35">
        <v>20</v>
      </c>
      <c r="V120" s="35"/>
      <c r="W120" s="35"/>
      <c r="X120" s="35"/>
      <c r="Y120" s="35"/>
      <c r="Z120" s="35"/>
      <c r="AA120" s="35"/>
      <c r="AB120" s="36">
        <f t="shared" si="2"/>
        <v>240</v>
      </c>
      <c r="AC120" s="37">
        <v>4</v>
      </c>
      <c r="AD120" s="91"/>
    </row>
    <row r="121" spans="2:30">
      <c r="B121" s="89"/>
      <c r="C121" s="34" t="s">
        <v>34</v>
      </c>
      <c r="D121" s="35"/>
      <c r="E121" s="35"/>
      <c r="F121" s="35"/>
      <c r="G121" s="35"/>
      <c r="H121" s="35"/>
      <c r="I121" s="35"/>
      <c r="J121" s="35">
        <v>20</v>
      </c>
      <c r="K121" s="35">
        <v>20</v>
      </c>
      <c r="L121" s="35">
        <v>20</v>
      </c>
      <c r="M121" s="35">
        <v>20</v>
      </c>
      <c r="N121" s="35">
        <v>20</v>
      </c>
      <c r="O121" s="35">
        <v>20</v>
      </c>
      <c r="P121" s="35">
        <v>20</v>
      </c>
      <c r="Q121" s="35">
        <v>20</v>
      </c>
      <c r="R121" s="35">
        <v>20</v>
      </c>
      <c r="S121" s="35">
        <v>20</v>
      </c>
      <c r="T121" s="35">
        <v>20</v>
      </c>
      <c r="U121" s="35">
        <v>20</v>
      </c>
      <c r="V121" s="35"/>
      <c r="W121" s="35"/>
      <c r="X121" s="35"/>
      <c r="Y121" s="35"/>
      <c r="Z121" s="35"/>
      <c r="AA121" s="35"/>
      <c r="AB121" s="36">
        <f t="shared" si="2"/>
        <v>240</v>
      </c>
      <c r="AC121" s="37">
        <v>6</v>
      </c>
      <c r="AD121" s="91"/>
    </row>
    <row r="122" spans="2:30">
      <c r="AA122" s="86" t="s">
        <v>35</v>
      </c>
      <c r="AB122" s="87"/>
      <c r="AC122" s="88"/>
      <c r="AD122" s="39">
        <f>SUM(AD86:AD121)</f>
        <v>87600</v>
      </c>
    </row>
    <row r="123" spans="2:30">
      <c r="AB123" s="38"/>
      <c r="AC123" s="38"/>
    </row>
    <row r="124" spans="2:30" ht="23.25">
      <c r="B124" s="41" t="s">
        <v>64</v>
      </c>
    </row>
    <row r="125" spans="2:30">
      <c r="B125" s="32" t="s">
        <v>3</v>
      </c>
      <c r="C125" s="32" t="s">
        <v>4</v>
      </c>
      <c r="D125" s="32" t="s">
        <v>5</v>
      </c>
      <c r="E125" s="32" t="s">
        <v>6</v>
      </c>
      <c r="F125" s="32" t="s">
        <v>7</v>
      </c>
      <c r="G125" s="32" t="s">
        <v>8</v>
      </c>
      <c r="H125" s="32" t="s">
        <v>9</v>
      </c>
      <c r="I125" s="32" t="s">
        <v>10</v>
      </c>
      <c r="J125" s="32" t="s">
        <v>11</v>
      </c>
      <c r="K125" s="32" t="s">
        <v>12</v>
      </c>
      <c r="L125" s="32" t="s">
        <v>13</v>
      </c>
      <c r="M125" s="32" t="s">
        <v>14</v>
      </c>
      <c r="N125" s="32" t="s">
        <v>15</v>
      </c>
      <c r="O125" s="32" t="s">
        <v>16</v>
      </c>
      <c r="P125" s="32" t="s">
        <v>17</v>
      </c>
      <c r="Q125" s="32" t="s">
        <v>18</v>
      </c>
      <c r="R125" s="32" t="s">
        <v>19</v>
      </c>
      <c r="S125" s="32" t="s">
        <v>20</v>
      </c>
      <c r="T125" s="32" t="s">
        <v>21</v>
      </c>
      <c r="U125" s="32" t="s">
        <v>22</v>
      </c>
      <c r="V125" s="32" t="s">
        <v>23</v>
      </c>
      <c r="W125" s="32" t="s">
        <v>24</v>
      </c>
      <c r="X125" s="32" t="s">
        <v>25</v>
      </c>
      <c r="Y125" s="32" t="s">
        <v>26</v>
      </c>
      <c r="Z125" s="32" t="s">
        <v>27</v>
      </c>
      <c r="AA125" s="32" t="s">
        <v>28</v>
      </c>
      <c r="AB125" s="33" t="s">
        <v>29</v>
      </c>
      <c r="AC125" s="33" t="s">
        <v>30</v>
      </c>
      <c r="AD125" s="32" t="s">
        <v>31</v>
      </c>
    </row>
    <row r="126" spans="2:30">
      <c r="B126" s="89">
        <v>47849</v>
      </c>
      <c r="C126" s="34" t="s">
        <v>32</v>
      </c>
      <c r="D126" s="35"/>
      <c r="E126" s="35"/>
      <c r="F126" s="35"/>
      <c r="G126" s="35"/>
      <c r="H126" s="35"/>
      <c r="I126" s="35"/>
      <c r="J126" s="35">
        <v>20.8</v>
      </c>
      <c r="K126" s="35">
        <v>20.8</v>
      </c>
      <c r="L126" s="35">
        <v>20.8</v>
      </c>
      <c r="M126" s="35">
        <v>20.8</v>
      </c>
      <c r="N126" s="35">
        <v>20.8</v>
      </c>
      <c r="O126" s="35">
        <v>20.8</v>
      </c>
      <c r="P126" s="35">
        <v>20.8</v>
      </c>
      <c r="Q126" s="35">
        <v>20.8</v>
      </c>
      <c r="R126" s="35">
        <v>20.8</v>
      </c>
      <c r="S126" s="35">
        <v>20.8</v>
      </c>
      <c r="T126" s="35">
        <v>20.8</v>
      </c>
      <c r="U126" s="35">
        <v>20.8</v>
      </c>
      <c r="V126" s="35"/>
      <c r="W126" s="35"/>
      <c r="X126" s="35"/>
      <c r="Y126" s="35"/>
      <c r="Z126" s="35"/>
      <c r="AA126" s="35"/>
      <c r="AB126" s="36">
        <f>SUM(D126:AA126)</f>
        <v>249.6</v>
      </c>
      <c r="AC126" s="37">
        <v>21</v>
      </c>
      <c r="AD126" s="91">
        <f>+AB126*AC126+AB127*AC127+AB128*AC128</f>
        <v>7737.6</v>
      </c>
    </row>
    <row r="127" spans="2:30">
      <c r="B127" s="89"/>
      <c r="C127" s="34" t="s">
        <v>33</v>
      </c>
      <c r="D127" s="35"/>
      <c r="E127" s="35"/>
      <c r="F127" s="35"/>
      <c r="G127" s="35"/>
      <c r="H127" s="35"/>
      <c r="I127" s="35"/>
      <c r="J127" s="35">
        <v>20.8</v>
      </c>
      <c r="K127" s="35">
        <v>20.8</v>
      </c>
      <c r="L127" s="35">
        <v>20.8</v>
      </c>
      <c r="M127" s="35">
        <v>20.8</v>
      </c>
      <c r="N127" s="35">
        <v>20.8</v>
      </c>
      <c r="O127" s="35">
        <v>20.8</v>
      </c>
      <c r="P127" s="35">
        <v>20.8</v>
      </c>
      <c r="Q127" s="35">
        <v>20.8</v>
      </c>
      <c r="R127" s="35">
        <v>20.8</v>
      </c>
      <c r="S127" s="35">
        <v>20.8</v>
      </c>
      <c r="T127" s="35">
        <v>20.8</v>
      </c>
      <c r="U127" s="35">
        <v>20.8</v>
      </c>
      <c r="V127" s="35"/>
      <c r="W127" s="35"/>
      <c r="X127" s="35"/>
      <c r="Y127" s="35"/>
      <c r="Z127" s="35"/>
      <c r="AA127" s="35"/>
      <c r="AB127" s="36">
        <f t="shared" ref="AB127:AB161" si="3">SUM(D127:AA127)</f>
        <v>249.6</v>
      </c>
      <c r="AC127" s="37">
        <v>4</v>
      </c>
      <c r="AD127" s="91"/>
    </row>
    <row r="128" spans="2:30">
      <c r="B128" s="89"/>
      <c r="C128" s="34" t="s">
        <v>34</v>
      </c>
      <c r="D128" s="35"/>
      <c r="E128" s="35"/>
      <c r="F128" s="35"/>
      <c r="G128" s="35"/>
      <c r="H128" s="35"/>
      <c r="I128" s="35"/>
      <c r="J128" s="35">
        <v>20.8</v>
      </c>
      <c r="K128" s="35">
        <v>20.8</v>
      </c>
      <c r="L128" s="35">
        <v>20.8</v>
      </c>
      <c r="M128" s="35">
        <v>20.8</v>
      </c>
      <c r="N128" s="35">
        <v>20.8</v>
      </c>
      <c r="O128" s="35">
        <v>20.8</v>
      </c>
      <c r="P128" s="35">
        <v>20.8</v>
      </c>
      <c r="Q128" s="35">
        <v>20.8</v>
      </c>
      <c r="R128" s="35">
        <v>20.8</v>
      </c>
      <c r="S128" s="35">
        <v>20.8</v>
      </c>
      <c r="T128" s="35">
        <v>20.8</v>
      </c>
      <c r="U128" s="35">
        <v>20.8</v>
      </c>
      <c r="V128" s="35"/>
      <c r="W128" s="35"/>
      <c r="X128" s="35"/>
      <c r="Y128" s="35"/>
      <c r="Z128" s="35"/>
      <c r="AA128" s="35"/>
      <c r="AB128" s="36">
        <f t="shared" si="3"/>
        <v>249.6</v>
      </c>
      <c r="AC128" s="37">
        <v>6</v>
      </c>
      <c r="AD128" s="91"/>
    </row>
    <row r="129" spans="2:30">
      <c r="B129" s="89">
        <v>47880</v>
      </c>
      <c r="C129" s="34" t="s">
        <v>32</v>
      </c>
      <c r="D129" s="35"/>
      <c r="E129" s="35"/>
      <c r="F129" s="35"/>
      <c r="G129" s="35"/>
      <c r="H129" s="35"/>
      <c r="I129" s="35"/>
      <c r="J129" s="35">
        <v>20.8</v>
      </c>
      <c r="K129" s="35">
        <v>20.8</v>
      </c>
      <c r="L129" s="35">
        <v>20.8</v>
      </c>
      <c r="M129" s="35">
        <v>20.8</v>
      </c>
      <c r="N129" s="35">
        <v>20.8</v>
      </c>
      <c r="O129" s="35">
        <v>20.8</v>
      </c>
      <c r="P129" s="35">
        <v>20.8</v>
      </c>
      <c r="Q129" s="35">
        <v>20.8</v>
      </c>
      <c r="R129" s="35">
        <v>20.8</v>
      </c>
      <c r="S129" s="35">
        <v>20.8</v>
      </c>
      <c r="T129" s="35">
        <v>20.8</v>
      </c>
      <c r="U129" s="35">
        <v>20.8</v>
      </c>
      <c r="V129" s="35"/>
      <c r="W129" s="35"/>
      <c r="X129" s="35"/>
      <c r="Y129" s="35"/>
      <c r="Z129" s="35"/>
      <c r="AA129" s="35"/>
      <c r="AB129" s="36">
        <f t="shared" si="3"/>
        <v>249.6</v>
      </c>
      <c r="AC129" s="37">
        <v>20</v>
      </c>
      <c r="AD129" s="91">
        <f>+AB129*AC129+AB130*AC130+AB131*AC131</f>
        <v>6988.8</v>
      </c>
    </row>
    <row r="130" spans="2:30">
      <c r="B130" s="89"/>
      <c r="C130" s="34" t="s">
        <v>33</v>
      </c>
      <c r="D130" s="35"/>
      <c r="E130" s="35"/>
      <c r="F130" s="35"/>
      <c r="G130" s="35"/>
      <c r="H130" s="35"/>
      <c r="I130" s="35"/>
      <c r="J130" s="35">
        <v>20.8</v>
      </c>
      <c r="K130" s="35">
        <v>20.8</v>
      </c>
      <c r="L130" s="35">
        <v>20.8</v>
      </c>
      <c r="M130" s="35">
        <v>20.8</v>
      </c>
      <c r="N130" s="35">
        <v>20.8</v>
      </c>
      <c r="O130" s="35">
        <v>20.8</v>
      </c>
      <c r="P130" s="35">
        <v>20.8</v>
      </c>
      <c r="Q130" s="35">
        <v>20.8</v>
      </c>
      <c r="R130" s="35">
        <v>20.8</v>
      </c>
      <c r="S130" s="35">
        <v>20.8</v>
      </c>
      <c r="T130" s="35">
        <v>20.8</v>
      </c>
      <c r="U130" s="35">
        <v>20.8</v>
      </c>
      <c r="V130" s="35"/>
      <c r="W130" s="35"/>
      <c r="X130" s="35"/>
      <c r="Y130" s="35"/>
      <c r="Z130" s="35"/>
      <c r="AA130" s="35"/>
      <c r="AB130" s="36">
        <f t="shared" si="3"/>
        <v>249.6</v>
      </c>
      <c r="AC130" s="37">
        <v>4</v>
      </c>
      <c r="AD130" s="91"/>
    </row>
    <row r="131" spans="2:30">
      <c r="B131" s="89"/>
      <c r="C131" s="34" t="s">
        <v>34</v>
      </c>
      <c r="D131" s="35"/>
      <c r="E131" s="35"/>
      <c r="F131" s="35"/>
      <c r="G131" s="35"/>
      <c r="H131" s="35"/>
      <c r="I131" s="35"/>
      <c r="J131" s="35">
        <v>20.8</v>
      </c>
      <c r="K131" s="35">
        <v>20.8</v>
      </c>
      <c r="L131" s="35">
        <v>20.8</v>
      </c>
      <c r="M131" s="35">
        <v>20.8</v>
      </c>
      <c r="N131" s="35">
        <v>20.8</v>
      </c>
      <c r="O131" s="35">
        <v>20.8</v>
      </c>
      <c r="P131" s="35">
        <v>20.8</v>
      </c>
      <c r="Q131" s="35">
        <v>20.8</v>
      </c>
      <c r="R131" s="35">
        <v>20.8</v>
      </c>
      <c r="S131" s="35">
        <v>20.8</v>
      </c>
      <c r="T131" s="35">
        <v>20.8</v>
      </c>
      <c r="U131" s="35">
        <v>20.8</v>
      </c>
      <c r="V131" s="35"/>
      <c r="W131" s="35"/>
      <c r="X131" s="35"/>
      <c r="Y131" s="35"/>
      <c r="Z131" s="35"/>
      <c r="AA131" s="35"/>
      <c r="AB131" s="36">
        <f t="shared" si="3"/>
        <v>249.6</v>
      </c>
      <c r="AC131" s="37">
        <v>4</v>
      </c>
      <c r="AD131" s="91"/>
    </row>
    <row r="132" spans="2:30">
      <c r="B132" s="89">
        <v>47908</v>
      </c>
      <c r="C132" s="34" t="s">
        <v>32</v>
      </c>
      <c r="D132" s="35"/>
      <c r="E132" s="35"/>
      <c r="F132" s="35"/>
      <c r="G132" s="35"/>
      <c r="H132" s="35"/>
      <c r="I132" s="35"/>
      <c r="J132" s="35">
        <v>20.8</v>
      </c>
      <c r="K132" s="35">
        <v>20.8</v>
      </c>
      <c r="L132" s="35">
        <v>20.8</v>
      </c>
      <c r="M132" s="35">
        <v>20.8</v>
      </c>
      <c r="N132" s="35">
        <v>20.8</v>
      </c>
      <c r="O132" s="35">
        <v>20.8</v>
      </c>
      <c r="P132" s="35">
        <v>20.8</v>
      </c>
      <c r="Q132" s="35">
        <v>20.8</v>
      </c>
      <c r="R132" s="35">
        <v>20.8</v>
      </c>
      <c r="S132" s="35">
        <v>20.8</v>
      </c>
      <c r="T132" s="35">
        <v>20.8</v>
      </c>
      <c r="U132" s="35">
        <v>20.8</v>
      </c>
      <c r="V132" s="35"/>
      <c r="W132" s="35"/>
      <c r="X132" s="35"/>
      <c r="Y132" s="35"/>
      <c r="Z132" s="35"/>
      <c r="AA132" s="35"/>
      <c r="AB132" s="36">
        <f t="shared" si="3"/>
        <v>249.6</v>
      </c>
      <c r="AC132" s="37">
        <v>20</v>
      </c>
      <c r="AD132" s="91">
        <f>+AB132*AC132+AB133*AC133+AB134*AC134</f>
        <v>7737.6</v>
      </c>
    </row>
    <row r="133" spans="2:30">
      <c r="B133" s="89"/>
      <c r="C133" s="34" t="s">
        <v>33</v>
      </c>
      <c r="D133" s="35"/>
      <c r="E133" s="35"/>
      <c r="F133" s="35"/>
      <c r="G133" s="35"/>
      <c r="H133" s="35"/>
      <c r="I133" s="35"/>
      <c r="J133" s="35">
        <v>20.8</v>
      </c>
      <c r="K133" s="35">
        <v>20.8</v>
      </c>
      <c r="L133" s="35">
        <v>20.8</v>
      </c>
      <c r="M133" s="35">
        <v>20.8</v>
      </c>
      <c r="N133" s="35">
        <v>20.8</v>
      </c>
      <c r="O133" s="35">
        <v>20.8</v>
      </c>
      <c r="P133" s="35">
        <v>20.8</v>
      </c>
      <c r="Q133" s="35">
        <v>20.8</v>
      </c>
      <c r="R133" s="35">
        <v>20.8</v>
      </c>
      <c r="S133" s="35">
        <v>20.8</v>
      </c>
      <c r="T133" s="35">
        <v>20.8</v>
      </c>
      <c r="U133" s="35">
        <v>20.8</v>
      </c>
      <c r="V133" s="35"/>
      <c r="W133" s="35"/>
      <c r="X133" s="35"/>
      <c r="Y133" s="35"/>
      <c r="Z133" s="35"/>
      <c r="AA133" s="35"/>
      <c r="AB133" s="36">
        <f t="shared" si="3"/>
        <v>249.6</v>
      </c>
      <c r="AC133" s="37">
        <v>5</v>
      </c>
      <c r="AD133" s="91"/>
    </row>
    <row r="134" spans="2:30">
      <c r="B134" s="89"/>
      <c r="C134" s="34" t="s">
        <v>34</v>
      </c>
      <c r="D134" s="35"/>
      <c r="E134" s="35"/>
      <c r="F134" s="35"/>
      <c r="G134" s="35"/>
      <c r="H134" s="35"/>
      <c r="I134" s="35"/>
      <c r="J134" s="35">
        <v>20.8</v>
      </c>
      <c r="K134" s="35">
        <v>20.8</v>
      </c>
      <c r="L134" s="35">
        <v>20.8</v>
      </c>
      <c r="M134" s="35">
        <v>20.8</v>
      </c>
      <c r="N134" s="35">
        <v>20.8</v>
      </c>
      <c r="O134" s="35">
        <v>20.8</v>
      </c>
      <c r="P134" s="35">
        <v>20.8</v>
      </c>
      <c r="Q134" s="35">
        <v>20.8</v>
      </c>
      <c r="R134" s="35">
        <v>20.8</v>
      </c>
      <c r="S134" s="35">
        <v>20.8</v>
      </c>
      <c r="T134" s="35">
        <v>20.8</v>
      </c>
      <c r="U134" s="35">
        <v>20.8</v>
      </c>
      <c r="V134" s="35"/>
      <c r="W134" s="35"/>
      <c r="X134" s="35"/>
      <c r="Y134" s="35"/>
      <c r="Z134" s="35"/>
      <c r="AA134" s="35"/>
      <c r="AB134" s="36">
        <f t="shared" si="3"/>
        <v>249.6</v>
      </c>
      <c r="AC134" s="37">
        <v>6</v>
      </c>
      <c r="AD134" s="91"/>
    </row>
    <row r="135" spans="2:30">
      <c r="B135" s="89">
        <v>47939</v>
      </c>
      <c r="C135" s="34" t="s">
        <v>32</v>
      </c>
      <c r="D135" s="35"/>
      <c r="E135" s="35"/>
      <c r="F135" s="35"/>
      <c r="G135" s="35"/>
      <c r="H135" s="35"/>
      <c r="I135" s="35"/>
      <c r="J135" s="35">
        <v>20.8</v>
      </c>
      <c r="K135" s="35">
        <v>20.8</v>
      </c>
      <c r="L135" s="35">
        <v>20.8</v>
      </c>
      <c r="M135" s="35">
        <v>20.8</v>
      </c>
      <c r="N135" s="35">
        <v>20.8</v>
      </c>
      <c r="O135" s="35">
        <v>20.8</v>
      </c>
      <c r="P135" s="35">
        <v>20.8</v>
      </c>
      <c r="Q135" s="35">
        <v>20.8</v>
      </c>
      <c r="R135" s="35">
        <v>20.8</v>
      </c>
      <c r="S135" s="35">
        <v>20.8</v>
      </c>
      <c r="T135" s="35">
        <v>20.8</v>
      </c>
      <c r="U135" s="35">
        <v>20.8</v>
      </c>
      <c r="V135" s="35"/>
      <c r="W135" s="35"/>
      <c r="X135" s="35"/>
      <c r="Y135" s="35"/>
      <c r="Z135" s="35"/>
      <c r="AA135" s="35"/>
      <c r="AB135" s="36">
        <f t="shared" si="3"/>
        <v>249.6</v>
      </c>
      <c r="AC135" s="37">
        <v>20</v>
      </c>
      <c r="AD135" s="91">
        <f>+AB135*AC135+AB136*AC136+AB137*AC137</f>
        <v>7488</v>
      </c>
    </row>
    <row r="136" spans="2:30">
      <c r="B136" s="89"/>
      <c r="C136" s="34" t="s">
        <v>33</v>
      </c>
      <c r="D136" s="35"/>
      <c r="E136" s="35"/>
      <c r="F136" s="35"/>
      <c r="G136" s="35"/>
      <c r="H136" s="35"/>
      <c r="I136" s="35"/>
      <c r="J136" s="35">
        <v>20.8</v>
      </c>
      <c r="K136" s="35">
        <v>20.8</v>
      </c>
      <c r="L136" s="35">
        <v>20.8</v>
      </c>
      <c r="M136" s="35">
        <v>20.8</v>
      </c>
      <c r="N136" s="35">
        <v>20.8</v>
      </c>
      <c r="O136" s="35">
        <v>20.8</v>
      </c>
      <c r="P136" s="35">
        <v>20.8</v>
      </c>
      <c r="Q136" s="35">
        <v>20.8</v>
      </c>
      <c r="R136" s="35">
        <v>20.8</v>
      </c>
      <c r="S136" s="35">
        <v>20.8</v>
      </c>
      <c r="T136" s="35">
        <v>20.8</v>
      </c>
      <c r="U136" s="35">
        <v>20.8</v>
      </c>
      <c r="V136" s="35"/>
      <c r="W136" s="35"/>
      <c r="X136" s="35"/>
      <c r="Y136" s="35"/>
      <c r="Z136" s="35"/>
      <c r="AA136" s="35"/>
      <c r="AB136" s="36">
        <f t="shared" si="3"/>
        <v>249.6</v>
      </c>
      <c r="AC136" s="37">
        <v>4</v>
      </c>
      <c r="AD136" s="91"/>
    </row>
    <row r="137" spans="2:30">
      <c r="B137" s="89"/>
      <c r="C137" s="34" t="s">
        <v>34</v>
      </c>
      <c r="D137" s="35"/>
      <c r="E137" s="35"/>
      <c r="F137" s="35"/>
      <c r="G137" s="35"/>
      <c r="H137" s="35"/>
      <c r="I137" s="35"/>
      <c r="J137" s="35">
        <v>20.8</v>
      </c>
      <c r="K137" s="35">
        <v>20.8</v>
      </c>
      <c r="L137" s="35">
        <v>20.8</v>
      </c>
      <c r="M137" s="35">
        <v>20.8</v>
      </c>
      <c r="N137" s="35">
        <v>20.8</v>
      </c>
      <c r="O137" s="35">
        <v>20.8</v>
      </c>
      <c r="P137" s="35">
        <v>20.8</v>
      </c>
      <c r="Q137" s="35">
        <v>20.8</v>
      </c>
      <c r="R137" s="35">
        <v>20.8</v>
      </c>
      <c r="S137" s="35">
        <v>20.8</v>
      </c>
      <c r="T137" s="35">
        <v>20.8</v>
      </c>
      <c r="U137" s="35">
        <v>20.8</v>
      </c>
      <c r="V137" s="35"/>
      <c r="W137" s="35"/>
      <c r="X137" s="35"/>
      <c r="Y137" s="35"/>
      <c r="Z137" s="35"/>
      <c r="AA137" s="35"/>
      <c r="AB137" s="36">
        <f t="shared" si="3"/>
        <v>249.6</v>
      </c>
      <c r="AC137" s="37">
        <v>6</v>
      </c>
      <c r="AD137" s="91"/>
    </row>
    <row r="138" spans="2:30">
      <c r="B138" s="89">
        <v>47969</v>
      </c>
      <c r="C138" s="34" t="s">
        <v>32</v>
      </c>
      <c r="D138" s="35"/>
      <c r="E138" s="35"/>
      <c r="F138" s="35"/>
      <c r="G138" s="35"/>
      <c r="H138" s="35"/>
      <c r="I138" s="35"/>
      <c r="J138" s="35">
        <v>20.8</v>
      </c>
      <c r="K138" s="35">
        <v>20.8</v>
      </c>
      <c r="L138" s="35">
        <v>20.8</v>
      </c>
      <c r="M138" s="35">
        <v>20.8</v>
      </c>
      <c r="N138" s="35">
        <v>20.8</v>
      </c>
      <c r="O138" s="35">
        <v>20.8</v>
      </c>
      <c r="P138" s="35">
        <v>20.8</v>
      </c>
      <c r="Q138" s="35">
        <v>20.8</v>
      </c>
      <c r="R138" s="35">
        <v>20.8</v>
      </c>
      <c r="S138" s="35">
        <v>20.8</v>
      </c>
      <c r="T138" s="35">
        <v>20.8</v>
      </c>
      <c r="U138" s="35">
        <v>20.8</v>
      </c>
      <c r="V138" s="35"/>
      <c r="W138" s="35"/>
      <c r="X138" s="35"/>
      <c r="Y138" s="35"/>
      <c r="Z138" s="35"/>
      <c r="AA138" s="35"/>
      <c r="AB138" s="36">
        <f t="shared" si="3"/>
        <v>249.6</v>
      </c>
      <c r="AC138" s="37">
        <v>20</v>
      </c>
      <c r="AD138" s="91">
        <f>+AB138*AC138+AB139*AC139+AB140*AC140</f>
        <v>7737.6</v>
      </c>
    </row>
    <row r="139" spans="2:30">
      <c r="B139" s="89"/>
      <c r="C139" s="34" t="s">
        <v>33</v>
      </c>
      <c r="D139" s="35"/>
      <c r="E139" s="35"/>
      <c r="F139" s="35"/>
      <c r="G139" s="35"/>
      <c r="H139" s="35"/>
      <c r="I139" s="35"/>
      <c r="J139" s="35">
        <v>20.8</v>
      </c>
      <c r="K139" s="35">
        <v>20.8</v>
      </c>
      <c r="L139" s="35">
        <v>20.8</v>
      </c>
      <c r="M139" s="35">
        <v>20.8</v>
      </c>
      <c r="N139" s="35">
        <v>20.8</v>
      </c>
      <c r="O139" s="35">
        <v>20.8</v>
      </c>
      <c r="P139" s="35">
        <v>20.8</v>
      </c>
      <c r="Q139" s="35">
        <v>20.8</v>
      </c>
      <c r="R139" s="35">
        <v>20.8</v>
      </c>
      <c r="S139" s="35">
        <v>20.8</v>
      </c>
      <c r="T139" s="35">
        <v>20.8</v>
      </c>
      <c r="U139" s="35">
        <v>20.8</v>
      </c>
      <c r="V139" s="35"/>
      <c r="W139" s="35"/>
      <c r="X139" s="35"/>
      <c r="Y139" s="35"/>
      <c r="Z139" s="35"/>
      <c r="AA139" s="35"/>
      <c r="AB139" s="36">
        <f t="shared" si="3"/>
        <v>249.6</v>
      </c>
      <c r="AC139" s="37">
        <v>5</v>
      </c>
      <c r="AD139" s="91"/>
    </row>
    <row r="140" spans="2:30">
      <c r="B140" s="89"/>
      <c r="C140" s="34" t="s">
        <v>34</v>
      </c>
      <c r="D140" s="35"/>
      <c r="E140" s="35"/>
      <c r="F140" s="35"/>
      <c r="G140" s="35"/>
      <c r="H140" s="35"/>
      <c r="I140" s="35"/>
      <c r="J140" s="35">
        <v>20.8</v>
      </c>
      <c r="K140" s="35">
        <v>20.8</v>
      </c>
      <c r="L140" s="35">
        <v>20.8</v>
      </c>
      <c r="M140" s="35">
        <v>20.8</v>
      </c>
      <c r="N140" s="35">
        <v>20.8</v>
      </c>
      <c r="O140" s="35">
        <v>20.8</v>
      </c>
      <c r="P140" s="35">
        <v>20.8</v>
      </c>
      <c r="Q140" s="35">
        <v>20.8</v>
      </c>
      <c r="R140" s="35">
        <v>20.8</v>
      </c>
      <c r="S140" s="35">
        <v>20.8</v>
      </c>
      <c r="T140" s="35">
        <v>20.8</v>
      </c>
      <c r="U140" s="35">
        <v>20.8</v>
      </c>
      <c r="V140" s="35"/>
      <c r="W140" s="35"/>
      <c r="X140" s="35"/>
      <c r="Y140" s="35"/>
      <c r="Z140" s="35"/>
      <c r="AA140" s="35"/>
      <c r="AB140" s="36">
        <f t="shared" si="3"/>
        <v>249.6</v>
      </c>
      <c r="AC140" s="37">
        <v>6</v>
      </c>
      <c r="AD140" s="91"/>
    </row>
    <row r="141" spans="2:30">
      <c r="B141" s="89">
        <v>48000</v>
      </c>
      <c r="C141" s="34" t="s">
        <v>32</v>
      </c>
      <c r="D141" s="35"/>
      <c r="E141" s="35"/>
      <c r="F141" s="35"/>
      <c r="G141" s="35"/>
      <c r="H141" s="35"/>
      <c r="I141" s="35"/>
      <c r="J141" s="35">
        <v>20.8</v>
      </c>
      <c r="K141" s="35">
        <v>20.8</v>
      </c>
      <c r="L141" s="35">
        <v>20.8</v>
      </c>
      <c r="M141" s="35">
        <v>20.8</v>
      </c>
      <c r="N141" s="35">
        <v>20.8</v>
      </c>
      <c r="O141" s="35">
        <v>20.8</v>
      </c>
      <c r="P141" s="35">
        <v>20.8</v>
      </c>
      <c r="Q141" s="35">
        <v>20.8</v>
      </c>
      <c r="R141" s="35">
        <v>20.8</v>
      </c>
      <c r="S141" s="35">
        <v>20.8</v>
      </c>
      <c r="T141" s="35">
        <v>20.8</v>
      </c>
      <c r="U141" s="35">
        <v>20.8</v>
      </c>
      <c r="V141" s="35"/>
      <c r="W141" s="35"/>
      <c r="X141" s="35"/>
      <c r="Y141" s="35"/>
      <c r="Z141" s="35"/>
      <c r="AA141" s="35"/>
      <c r="AB141" s="36">
        <f t="shared" si="3"/>
        <v>249.6</v>
      </c>
      <c r="AC141" s="37">
        <v>18</v>
      </c>
      <c r="AD141" s="91">
        <f>+AB141*AC141+AB142*AC142+AB143*AC143</f>
        <v>7488</v>
      </c>
    </row>
    <row r="142" spans="2:30">
      <c r="B142" s="89"/>
      <c r="C142" s="34" t="s">
        <v>33</v>
      </c>
      <c r="D142" s="35"/>
      <c r="E142" s="35"/>
      <c r="F142" s="35"/>
      <c r="G142" s="35"/>
      <c r="H142" s="35"/>
      <c r="I142" s="35"/>
      <c r="J142" s="35">
        <v>20.8</v>
      </c>
      <c r="K142" s="35">
        <v>20.8</v>
      </c>
      <c r="L142" s="35">
        <v>20.8</v>
      </c>
      <c r="M142" s="35">
        <v>20.8</v>
      </c>
      <c r="N142" s="35">
        <v>20.8</v>
      </c>
      <c r="O142" s="35">
        <v>20.8</v>
      </c>
      <c r="P142" s="35">
        <v>20.8</v>
      </c>
      <c r="Q142" s="35">
        <v>20.8</v>
      </c>
      <c r="R142" s="35">
        <v>20.8</v>
      </c>
      <c r="S142" s="35">
        <v>20.8</v>
      </c>
      <c r="T142" s="35">
        <v>20.8</v>
      </c>
      <c r="U142" s="35">
        <v>20.8</v>
      </c>
      <c r="V142" s="35"/>
      <c r="W142" s="35"/>
      <c r="X142" s="35"/>
      <c r="Y142" s="35"/>
      <c r="Z142" s="35"/>
      <c r="AA142" s="35"/>
      <c r="AB142" s="36">
        <f t="shared" si="3"/>
        <v>249.6</v>
      </c>
      <c r="AC142" s="37">
        <v>4</v>
      </c>
      <c r="AD142" s="91"/>
    </row>
    <row r="143" spans="2:30">
      <c r="B143" s="89"/>
      <c r="C143" s="34" t="s">
        <v>34</v>
      </c>
      <c r="D143" s="35"/>
      <c r="E143" s="35"/>
      <c r="F143" s="35"/>
      <c r="G143" s="35"/>
      <c r="H143" s="35"/>
      <c r="I143" s="35"/>
      <c r="J143" s="35">
        <v>20.8</v>
      </c>
      <c r="K143" s="35">
        <v>20.8</v>
      </c>
      <c r="L143" s="35">
        <v>20.8</v>
      </c>
      <c r="M143" s="35">
        <v>20.8</v>
      </c>
      <c r="N143" s="35">
        <v>20.8</v>
      </c>
      <c r="O143" s="35">
        <v>20.8</v>
      </c>
      <c r="P143" s="35">
        <v>20.8</v>
      </c>
      <c r="Q143" s="35">
        <v>20.8</v>
      </c>
      <c r="R143" s="35">
        <v>20.8</v>
      </c>
      <c r="S143" s="35">
        <v>20.8</v>
      </c>
      <c r="T143" s="35">
        <v>20.8</v>
      </c>
      <c r="U143" s="35">
        <v>20.8</v>
      </c>
      <c r="V143" s="35"/>
      <c r="W143" s="35"/>
      <c r="X143" s="35"/>
      <c r="Y143" s="35"/>
      <c r="Z143" s="35"/>
      <c r="AA143" s="35"/>
      <c r="AB143" s="36">
        <f t="shared" si="3"/>
        <v>249.6</v>
      </c>
      <c r="AC143" s="37">
        <v>8</v>
      </c>
      <c r="AD143" s="91"/>
    </row>
    <row r="144" spans="2:30">
      <c r="B144" s="89">
        <v>48030</v>
      </c>
      <c r="C144" s="34" t="s">
        <v>32</v>
      </c>
      <c r="D144" s="35"/>
      <c r="E144" s="35"/>
      <c r="F144" s="35"/>
      <c r="G144" s="35"/>
      <c r="H144" s="35"/>
      <c r="I144" s="35"/>
      <c r="J144" s="35">
        <v>20.8</v>
      </c>
      <c r="K144" s="35">
        <v>20.8</v>
      </c>
      <c r="L144" s="35">
        <v>20.8</v>
      </c>
      <c r="M144" s="35">
        <v>20.8</v>
      </c>
      <c r="N144" s="35">
        <v>20.8</v>
      </c>
      <c r="O144" s="35">
        <v>20.8</v>
      </c>
      <c r="P144" s="35">
        <v>20.8</v>
      </c>
      <c r="Q144" s="35">
        <v>20.8</v>
      </c>
      <c r="R144" s="35">
        <v>20.8</v>
      </c>
      <c r="S144" s="35">
        <v>20.8</v>
      </c>
      <c r="T144" s="35">
        <v>20.8</v>
      </c>
      <c r="U144" s="35">
        <v>20.8</v>
      </c>
      <c r="V144" s="35"/>
      <c r="W144" s="35"/>
      <c r="X144" s="35"/>
      <c r="Y144" s="35"/>
      <c r="Z144" s="35"/>
      <c r="AA144" s="35"/>
      <c r="AB144" s="36">
        <f t="shared" si="3"/>
        <v>249.6</v>
      </c>
      <c r="AC144" s="37">
        <v>23</v>
      </c>
      <c r="AD144" s="91">
        <f>+AB144*AC144+AB145*AC145+AB146*AC146</f>
        <v>7737.6</v>
      </c>
    </row>
    <row r="145" spans="2:30">
      <c r="B145" s="89"/>
      <c r="C145" s="34" t="s">
        <v>33</v>
      </c>
      <c r="D145" s="35"/>
      <c r="E145" s="35"/>
      <c r="F145" s="35"/>
      <c r="G145" s="35"/>
      <c r="H145" s="35"/>
      <c r="I145" s="35"/>
      <c r="J145" s="35">
        <v>20.8</v>
      </c>
      <c r="K145" s="35">
        <v>20.8</v>
      </c>
      <c r="L145" s="35">
        <v>20.8</v>
      </c>
      <c r="M145" s="35">
        <v>20.8</v>
      </c>
      <c r="N145" s="35">
        <v>20.8</v>
      </c>
      <c r="O145" s="35">
        <v>20.8</v>
      </c>
      <c r="P145" s="35">
        <v>20.8</v>
      </c>
      <c r="Q145" s="35">
        <v>20.8</v>
      </c>
      <c r="R145" s="35">
        <v>20.8</v>
      </c>
      <c r="S145" s="35">
        <v>20.8</v>
      </c>
      <c r="T145" s="35">
        <v>20.8</v>
      </c>
      <c r="U145" s="35">
        <v>20.8</v>
      </c>
      <c r="V145" s="35"/>
      <c r="W145" s="35"/>
      <c r="X145" s="35"/>
      <c r="Y145" s="35"/>
      <c r="Z145" s="35"/>
      <c r="AA145" s="35"/>
      <c r="AB145" s="36">
        <f t="shared" si="3"/>
        <v>249.6</v>
      </c>
      <c r="AC145" s="37">
        <v>4</v>
      </c>
      <c r="AD145" s="91"/>
    </row>
    <row r="146" spans="2:30">
      <c r="B146" s="89"/>
      <c r="C146" s="34" t="s">
        <v>34</v>
      </c>
      <c r="D146" s="35"/>
      <c r="E146" s="35"/>
      <c r="F146" s="35"/>
      <c r="G146" s="35"/>
      <c r="H146" s="35"/>
      <c r="I146" s="35"/>
      <c r="J146" s="35">
        <v>20.8</v>
      </c>
      <c r="K146" s="35">
        <v>20.8</v>
      </c>
      <c r="L146" s="35">
        <v>20.8</v>
      </c>
      <c r="M146" s="35">
        <v>20.8</v>
      </c>
      <c r="N146" s="35">
        <v>20.8</v>
      </c>
      <c r="O146" s="35">
        <v>20.8</v>
      </c>
      <c r="P146" s="35">
        <v>20.8</v>
      </c>
      <c r="Q146" s="35">
        <v>20.8</v>
      </c>
      <c r="R146" s="35">
        <v>20.8</v>
      </c>
      <c r="S146" s="35">
        <v>20.8</v>
      </c>
      <c r="T146" s="35">
        <v>20.8</v>
      </c>
      <c r="U146" s="35">
        <v>20.8</v>
      </c>
      <c r="V146" s="35"/>
      <c r="W146" s="35"/>
      <c r="X146" s="35"/>
      <c r="Y146" s="35"/>
      <c r="Z146" s="35"/>
      <c r="AA146" s="35"/>
      <c r="AB146" s="36">
        <f t="shared" si="3"/>
        <v>249.6</v>
      </c>
      <c r="AC146" s="37">
        <v>4</v>
      </c>
      <c r="AD146" s="91"/>
    </row>
    <row r="147" spans="2:30">
      <c r="B147" s="89">
        <v>48061</v>
      </c>
      <c r="C147" s="34" t="s">
        <v>32</v>
      </c>
      <c r="D147" s="35"/>
      <c r="E147" s="35"/>
      <c r="F147" s="35"/>
      <c r="G147" s="35"/>
      <c r="H147" s="35"/>
      <c r="I147" s="35"/>
      <c r="J147" s="35">
        <v>20.8</v>
      </c>
      <c r="K147" s="35">
        <v>20.8</v>
      </c>
      <c r="L147" s="35">
        <v>20.8</v>
      </c>
      <c r="M147" s="35">
        <v>20.8</v>
      </c>
      <c r="N147" s="35">
        <v>20.8</v>
      </c>
      <c r="O147" s="35">
        <v>20.8</v>
      </c>
      <c r="P147" s="35">
        <v>20.8</v>
      </c>
      <c r="Q147" s="35">
        <v>20.8</v>
      </c>
      <c r="R147" s="35">
        <v>20.8</v>
      </c>
      <c r="S147" s="35">
        <v>20.8</v>
      </c>
      <c r="T147" s="35">
        <v>20.8</v>
      </c>
      <c r="U147" s="35">
        <v>20.8</v>
      </c>
      <c r="V147" s="35"/>
      <c r="W147" s="35"/>
      <c r="X147" s="35"/>
      <c r="Y147" s="35"/>
      <c r="Z147" s="35"/>
      <c r="AA147" s="35"/>
      <c r="AB147" s="36">
        <f t="shared" si="3"/>
        <v>249.6</v>
      </c>
      <c r="AC147" s="37">
        <v>19</v>
      </c>
      <c r="AD147" s="91">
        <f>+AB147*AC147+AB148*AC148+AB149*AC149</f>
        <v>7737.6</v>
      </c>
    </row>
    <row r="148" spans="2:30">
      <c r="B148" s="89"/>
      <c r="C148" s="34" t="s">
        <v>33</v>
      </c>
      <c r="D148" s="35"/>
      <c r="E148" s="35"/>
      <c r="F148" s="35"/>
      <c r="G148" s="35"/>
      <c r="H148" s="35"/>
      <c r="I148" s="35"/>
      <c r="J148" s="35">
        <v>20.8</v>
      </c>
      <c r="K148" s="35">
        <v>20.8</v>
      </c>
      <c r="L148" s="35">
        <v>20.8</v>
      </c>
      <c r="M148" s="35">
        <v>20.8</v>
      </c>
      <c r="N148" s="35">
        <v>20.8</v>
      </c>
      <c r="O148" s="35">
        <v>20.8</v>
      </c>
      <c r="P148" s="35">
        <v>20.8</v>
      </c>
      <c r="Q148" s="35">
        <v>20.8</v>
      </c>
      <c r="R148" s="35">
        <v>20.8</v>
      </c>
      <c r="S148" s="35">
        <v>20.8</v>
      </c>
      <c r="T148" s="35">
        <v>20.8</v>
      </c>
      <c r="U148" s="35">
        <v>20.8</v>
      </c>
      <c r="V148" s="35"/>
      <c r="W148" s="35"/>
      <c r="X148" s="35"/>
      <c r="Y148" s="35"/>
      <c r="Z148" s="35"/>
      <c r="AA148" s="35"/>
      <c r="AB148" s="36">
        <f t="shared" si="3"/>
        <v>249.6</v>
      </c>
      <c r="AC148" s="37">
        <v>5</v>
      </c>
      <c r="AD148" s="91"/>
    </row>
    <row r="149" spans="2:30">
      <c r="B149" s="89"/>
      <c r="C149" s="34" t="s">
        <v>34</v>
      </c>
      <c r="D149" s="35"/>
      <c r="E149" s="35"/>
      <c r="F149" s="35"/>
      <c r="G149" s="35"/>
      <c r="H149" s="35"/>
      <c r="I149" s="35"/>
      <c r="J149" s="35">
        <v>20.8</v>
      </c>
      <c r="K149" s="35">
        <v>20.8</v>
      </c>
      <c r="L149" s="35">
        <v>20.8</v>
      </c>
      <c r="M149" s="35">
        <v>20.8</v>
      </c>
      <c r="N149" s="35">
        <v>20.8</v>
      </c>
      <c r="O149" s="35">
        <v>20.8</v>
      </c>
      <c r="P149" s="35">
        <v>20.8</v>
      </c>
      <c r="Q149" s="35">
        <v>20.8</v>
      </c>
      <c r="R149" s="35">
        <v>20.8</v>
      </c>
      <c r="S149" s="35">
        <v>20.8</v>
      </c>
      <c r="T149" s="35">
        <v>20.8</v>
      </c>
      <c r="U149" s="35">
        <v>20.8</v>
      </c>
      <c r="V149" s="35"/>
      <c r="W149" s="35"/>
      <c r="X149" s="35"/>
      <c r="Y149" s="35"/>
      <c r="Z149" s="35"/>
      <c r="AA149" s="35"/>
      <c r="AB149" s="36">
        <f t="shared" si="3"/>
        <v>249.6</v>
      </c>
      <c r="AC149" s="37">
        <v>7</v>
      </c>
      <c r="AD149" s="91"/>
    </row>
    <row r="150" spans="2:30">
      <c r="B150" s="89">
        <v>48092</v>
      </c>
      <c r="C150" s="34" t="s">
        <v>32</v>
      </c>
      <c r="D150" s="35"/>
      <c r="E150" s="35"/>
      <c r="F150" s="35"/>
      <c r="G150" s="35"/>
      <c r="H150" s="35"/>
      <c r="I150" s="35"/>
      <c r="J150" s="35">
        <v>20.8</v>
      </c>
      <c r="K150" s="35">
        <v>20.8</v>
      </c>
      <c r="L150" s="35">
        <v>20.8</v>
      </c>
      <c r="M150" s="35">
        <v>20.8</v>
      </c>
      <c r="N150" s="35">
        <v>20.8</v>
      </c>
      <c r="O150" s="35">
        <v>20.8</v>
      </c>
      <c r="P150" s="35">
        <v>20.8</v>
      </c>
      <c r="Q150" s="35">
        <v>20.8</v>
      </c>
      <c r="R150" s="35">
        <v>20.8</v>
      </c>
      <c r="S150" s="35">
        <v>20.8</v>
      </c>
      <c r="T150" s="35">
        <v>20.8</v>
      </c>
      <c r="U150" s="35">
        <v>20.8</v>
      </c>
      <c r="V150" s="35"/>
      <c r="W150" s="35"/>
      <c r="X150" s="35"/>
      <c r="Y150" s="35"/>
      <c r="Z150" s="35"/>
      <c r="AA150" s="35"/>
      <c r="AB150" s="36">
        <f t="shared" si="3"/>
        <v>249.6</v>
      </c>
      <c r="AC150" s="37">
        <v>22</v>
      </c>
      <c r="AD150" s="91">
        <f>+AB150*AC150+AB151*AC151+AB152*AC152</f>
        <v>7488</v>
      </c>
    </row>
    <row r="151" spans="2:30">
      <c r="B151" s="89"/>
      <c r="C151" s="34" t="s">
        <v>33</v>
      </c>
      <c r="D151" s="35"/>
      <c r="E151" s="35"/>
      <c r="F151" s="35"/>
      <c r="G151" s="35"/>
      <c r="H151" s="35"/>
      <c r="I151" s="35"/>
      <c r="J151" s="35">
        <v>20.8</v>
      </c>
      <c r="K151" s="35">
        <v>20.8</v>
      </c>
      <c r="L151" s="35">
        <v>20.8</v>
      </c>
      <c r="M151" s="35">
        <v>20.8</v>
      </c>
      <c r="N151" s="35">
        <v>20.8</v>
      </c>
      <c r="O151" s="35">
        <v>20.8</v>
      </c>
      <c r="P151" s="35">
        <v>20.8</v>
      </c>
      <c r="Q151" s="35">
        <v>20.8</v>
      </c>
      <c r="R151" s="35">
        <v>20.8</v>
      </c>
      <c r="S151" s="35">
        <v>20.8</v>
      </c>
      <c r="T151" s="35">
        <v>20.8</v>
      </c>
      <c r="U151" s="35">
        <v>20.8</v>
      </c>
      <c r="V151" s="35"/>
      <c r="W151" s="35"/>
      <c r="X151" s="35"/>
      <c r="Y151" s="35"/>
      <c r="Z151" s="35"/>
      <c r="AA151" s="35"/>
      <c r="AB151" s="36">
        <f t="shared" si="3"/>
        <v>249.6</v>
      </c>
      <c r="AC151" s="37">
        <v>4</v>
      </c>
      <c r="AD151" s="91"/>
    </row>
    <row r="152" spans="2:30">
      <c r="B152" s="89"/>
      <c r="C152" s="34" t="s">
        <v>34</v>
      </c>
      <c r="D152" s="35"/>
      <c r="E152" s="35"/>
      <c r="F152" s="35"/>
      <c r="G152" s="35"/>
      <c r="H152" s="35"/>
      <c r="I152" s="35"/>
      <c r="J152" s="35">
        <v>20.8</v>
      </c>
      <c r="K152" s="35">
        <v>20.8</v>
      </c>
      <c r="L152" s="35">
        <v>20.8</v>
      </c>
      <c r="M152" s="35">
        <v>20.8</v>
      </c>
      <c r="N152" s="35">
        <v>20.8</v>
      </c>
      <c r="O152" s="35">
        <v>20.8</v>
      </c>
      <c r="P152" s="35">
        <v>20.8</v>
      </c>
      <c r="Q152" s="35">
        <v>20.8</v>
      </c>
      <c r="R152" s="35">
        <v>20.8</v>
      </c>
      <c r="S152" s="35">
        <v>20.8</v>
      </c>
      <c r="T152" s="35">
        <v>20.8</v>
      </c>
      <c r="U152" s="35">
        <v>20.8</v>
      </c>
      <c r="V152" s="35"/>
      <c r="W152" s="35"/>
      <c r="X152" s="35"/>
      <c r="Y152" s="35"/>
      <c r="Z152" s="35"/>
      <c r="AA152" s="35"/>
      <c r="AB152" s="36">
        <f t="shared" si="3"/>
        <v>249.6</v>
      </c>
      <c r="AC152" s="37">
        <v>4</v>
      </c>
      <c r="AD152" s="91"/>
    </row>
    <row r="153" spans="2:30">
      <c r="B153" s="89">
        <v>48122</v>
      </c>
      <c r="C153" s="34" t="s">
        <v>32</v>
      </c>
      <c r="D153" s="35"/>
      <c r="E153" s="35"/>
      <c r="F153" s="35"/>
      <c r="G153" s="35"/>
      <c r="H153" s="35"/>
      <c r="I153" s="35"/>
      <c r="J153" s="35">
        <v>20.8</v>
      </c>
      <c r="K153" s="35">
        <v>20.8</v>
      </c>
      <c r="L153" s="35">
        <v>20.8</v>
      </c>
      <c r="M153" s="35">
        <v>20.8</v>
      </c>
      <c r="N153" s="35">
        <v>20.8</v>
      </c>
      <c r="O153" s="35">
        <v>20.8</v>
      </c>
      <c r="P153" s="35">
        <v>20.8</v>
      </c>
      <c r="Q153" s="35">
        <v>20.8</v>
      </c>
      <c r="R153" s="35">
        <v>20.8</v>
      </c>
      <c r="S153" s="35">
        <v>20.8</v>
      </c>
      <c r="T153" s="35">
        <v>20.8</v>
      </c>
      <c r="U153" s="35">
        <v>20.8</v>
      </c>
      <c r="V153" s="35"/>
      <c r="W153" s="35"/>
      <c r="X153" s="35"/>
      <c r="Y153" s="35"/>
      <c r="Z153" s="35"/>
      <c r="AA153" s="35"/>
      <c r="AB153" s="36">
        <f t="shared" si="3"/>
        <v>249.6</v>
      </c>
      <c r="AC153" s="37">
        <v>22</v>
      </c>
      <c r="AD153" s="91">
        <f>+AB153*AC153+AB154*AC154+AB155*AC155</f>
        <v>7737.6</v>
      </c>
    </row>
    <row r="154" spans="2:30">
      <c r="B154" s="89"/>
      <c r="C154" s="34" t="s">
        <v>33</v>
      </c>
      <c r="D154" s="35"/>
      <c r="E154" s="35"/>
      <c r="F154" s="35"/>
      <c r="G154" s="35"/>
      <c r="H154" s="35"/>
      <c r="I154" s="35"/>
      <c r="J154" s="35">
        <v>20.8</v>
      </c>
      <c r="K154" s="35">
        <v>20.8</v>
      </c>
      <c r="L154" s="35">
        <v>20.8</v>
      </c>
      <c r="M154" s="35">
        <v>20.8</v>
      </c>
      <c r="N154" s="35">
        <v>20.8</v>
      </c>
      <c r="O154" s="35">
        <v>20.8</v>
      </c>
      <c r="P154" s="35">
        <v>20.8</v>
      </c>
      <c r="Q154" s="35">
        <v>20.8</v>
      </c>
      <c r="R154" s="35">
        <v>20.8</v>
      </c>
      <c r="S154" s="35">
        <v>20.8</v>
      </c>
      <c r="T154" s="35">
        <v>20.8</v>
      </c>
      <c r="U154" s="35">
        <v>20.8</v>
      </c>
      <c r="V154" s="35"/>
      <c r="W154" s="35"/>
      <c r="X154" s="35"/>
      <c r="Y154" s="35"/>
      <c r="Z154" s="35"/>
      <c r="AA154" s="35"/>
      <c r="AB154" s="36">
        <f t="shared" si="3"/>
        <v>249.6</v>
      </c>
      <c r="AC154" s="37">
        <v>4</v>
      </c>
      <c r="AD154" s="91"/>
    </row>
    <row r="155" spans="2:30">
      <c r="B155" s="89"/>
      <c r="C155" s="34" t="s">
        <v>34</v>
      </c>
      <c r="D155" s="35"/>
      <c r="E155" s="35"/>
      <c r="F155" s="35"/>
      <c r="G155" s="35"/>
      <c r="H155" s="35"/>
      <c r="I155" s="35"/>
      <c r="J155" s="35">
        <v>20.8</v>
      </c>
      <c r="K155" s="35">
        <v>20.8</v>
      </c>
      <c r="L155" s="35">
        <v>20.8</v>
      </c>
      <c r="M155" s="35">
        <v>20.8</v>
      </c>
      <c r="N155" s="35">
        <v>20.8</v>
      </c>
      <c r="O155" s="35">
        <v>20.8</v>
      </c>
      <c r="P155" s="35">
        <v>20.8</v>
      </c>
      <c r="Q155" s="35">
        <v>20.8</v>
      </c>
      <c r="R155" s="35">
        <v>20.8</v>
      </c>
      <c r="S155" s="35">
        <v>20.8</v>
      </c>
      <c r="T155" s="35">
        <v>20.8</v>
      </c>
      <c r="U155" s="35">
        <v>20.8</v>
      </c>
      <c r="V155" s="35"/>
      <c r="W155" s="35"/>
      <c r="X155" s="35"/>
      <c r="Y155" s="35"/>
      <c r="Z155" s="35"/>
      <c r="AA155" s="35"/>
      <c r="AB155" s="36">
        <f t="shared" si="3"/>
        <v>249.6</v>
      </c>
      <c r="AC155" s="37">
        <v>5</v>
      </c>
      <c r="AD155" s="91"/>
    </row>
    <row r="156" spans="2:30">
      <c r="B156" s="89">
        <v>48153</v>
      </c>
      <c r="C156" s="34" t="s">
        <v>32</v>
      </c>
      <c r="D156" s="35"/>
      <c r="E156" s="35"/>
      <c r="F156" s="35"/>
      <c r="G156" s="35"/>
      <c r="H156" s="35"/>
      <c r="I156" s="35"/>
      <c r="J156" s="35">
        <v>20.8</v>
      </c>
      <c r="K156" s="35">
        <v>20.8</v>
      </c>
      <c r="L156" s="35">
        <v>20.8</v>
      </c>
      <c r="M156" s="35">
        <v>20.8</v>
      </c>
      <c r="N156" s="35">
        <v>20.8</v>
      </c>
      <c r="O156" s="35">
        <v>20.8</v>
      </c>
      <c r="P156" s="35">
        <v>20.8</v>
      </c>
      <c r="Q156" s="35">
        <v>20.8</v>
      </c>
      <c r="R156" s="35">
        <v>20.8</v>
      </c>
      <c r="S156" s="35">
        <v>20.8</v>
      </c>
      <c r="T156" s="35">
        <v>20.8</v>
      </c>
      <c r="U156" s="35">
        <v>20.8</v>
      </c>
      <c r="V156" s="35"/>
      <c r="W156" s="35"/>
      <c r="X156" s="35"/>
      <c r="Y156" s="35"/>
      <c r="Z156" s="35"/>
      <c r="AA156" s="35"/>
      <c r="AB156" s="36">
        <f t="shared" si="3"/>
        <v>249.6</v>
      </c>
      <c r="AC156" s="37">
        <v>18</v>
      </c>
      <c r="AD156" s="91">
        <f>+AB156*AC156+AB157*AC157+AB158*AC158</f>
        <v>7488</v>
      </c>
    </row>
    <row r="157" spans="2:30">
      <c r="B157" s="89"/>
      <c r="C157" s="34" t="s">
        <v>33</v>
      </c>
      <c r="D157" s="35"/>
      <c r="E157" s="35"/>
      <c r="F157" s="35"/>
      <c r="G157" s="35"/>
      <c r="H157" s="35"/>
      <c r="I157" s="35"/>
      <c r="J157" s="35">
        <v>20.8</v>
      </c>
      <c r="K157" s="35">
        <v>20.8</v>
      </c>
      <c r="L157" s="35">
        <v>20.8</v>
      </c>
      <c r="M157" s="35">
        <v>20.8</v>
      </c>
      <c r="N157" s="35">
        <v>20.8</v>
      </c>
      <c r="O157" s="35">
        <v>20.8</v>
      </c>
      <c r="P157" s="35">
        <v>20.8</v>
      </c>
      <c r="Q157" s="35">
        <v>20.8</v>
      </c>
      <c r="R157" s="35">
        <v>20.8</v>
      </c>
      <c r="S157" s="35">
        <v>20.8</v>
      </c>
      <c r="T157" s="35">
        <v>20.8</v>
      </c>
      <c r="U157" s="35">
        <v>20.8</v>
      </c>
      <c r="V157" s="35"/>
      <c r="W157" s="35"/>
      <c r="X157" s="35"/>
      <c r="Y157" s="35"/>
      <c r="Z157" s="35"/>
      <c r="AA157" s="35"/>
      <c r="AB157" s="36">
        <f t="shared" si="3"/>
        <v>249.6</v>
      </c>
      <c r="AC157" s="37">
        <v>5</v>
      </c>
      <c r="AD157" s="91"/>
    </row>
    <row r="158" spans="2:30">
      <c r="B158" s="89"/>
      <c r="C158" s="34" t="s">
        <v>34</v>
      </c>
      <c r="D158" s="35"/>
      <c r="E158" s="35"/>
      <c r="F158" s="35"/>
      <c r="G158" s="35"/>
      <c r="H158" s="35"/>
      <c r="I158" s="35"/>
      <c r="J158" s="35">
        <v>20.8</v>
      </c>
      <c r="K158" s="35">
        <v>20.8</v>
      </c>
      <c r="L158" s="35">
        <v>20.8</v>
      </c>
      <c r="M158" s="35">
        <v>20.8</v>
      </c>
      <c r="N158" s="35">
        <v>20.8</v>
      </c>
      <c r="O158" s="35">
        <v>20.8</v>
      </c>
      <c r="P158" s="35">
        <v>20.8</v>
      </c>
      <c r="Q158" s="35">
        <v>20.8</v>
      </c>
      <c r="R158" s="35">
        <v>20.8</v>
      </c>
      <c r="S158" s="35">
        <v>20.8</v>
      </c>
      <c r="T158" s="35">
        <v>20.8</v>
      </c>
      <c r="U158" s="35">
        <v>20.8</v>
      </c>
      <c r="V158" s="35"/>
      <c r="W158" s="35"/>
      <c r="X158" s="35"/>
      <c r="Y158" s="35"/>
      <c r="Z158" s="35"/>
      <c r="AA158" s="35"/>
      <c r="AB158" s="36">
        <f t="shared" si="3"/>
        <v>249.6</v>
      </c>
      <c r="AC158" s="37">
        <v>7</v>
      </c>
      <c r="AD158" s="91"/>
    </row>
    <row r="159" spans="2:30">
      <c r="B159" s="89">
        <v>48183</v>
      </c>
      <c r="C159" s="34" t="s">
        <v>32</v>
      </c>
      <c r="D159" s="35"/>
      <c r="E159" s="35"/>
      <c r="F159" s="35"/>
      <c r="G159" s="35"/>
      <c r="H159" s="35"/>
      <c r="I159" s="35"/>
      <c r="J159" s="35">
        <v>20.8</v>
      </c>
      <c r="K159" s="35">
        <v>20.8</v>
      </c>
      <c r="L159" s="35">
        <v>20.8</v>
      </c>
      <c r="M159" s="35">
        <v>20.8</v>
      </c>
      <c r="N159" s="35">
        <v>20.8</v>
      </c>
      <c r="O159" s="35">
        <v>20.8</v>
      </c>
      <c r="P159" s="35">
        <v>20.8</v>
      </c>
      <c r="Q159" s="35">
        <v>20.8</v>
      </c>
      <c r="R159" s="35">
        <v>20.8</v>
      </c>
      <c r="S159" s="35">
        <v>20.8</v>
      </c>
      <c r="T159" s="35">
        <v>20.8</v>
      </c>
      <c r="U159" s="35">
        <v>20.8</v>
      </c>
      <c r="V159" s="35"/>
      <c r="W159" s="35"/>
      <c r="X159" s="35"/>
      <c r="Y159" s="35"/>
      <c r="Z159" s="35"/>
      <c r="AA159" s="35"/>
      <c r="AB159" s="36">
        <f t="shared" si="3"/>
        <v>249.6</v>
      </c>
      <c r="AC159" s="37">
        <v>21</v>
      </c>
      <c r="AD159" s="91">
        <f>+AB159*AC159+AB160*AC160+AB161*AC161</f>
        <v>7737.6</v>
      </c>
    </row>
    <row r="160" spans="2:30">
      <c r="B160" s="89"/>
      <c r="C160" s="34" t="s">
        <v>33</v>
      </c>
      <c r="D160" s="35"/>
      <c r="E160" s="35"/>
      <c r="F160" s="35"/>
      <c r="G160" s="35"/>
      <c r="H160" s="35"/>
      <c r="I160" s="35"/>
      <c r="J160" s="35">
        <v>20.8</v>
      </c>
      <c r="K160" s="35">
        <v>20.8</v>
      </c>
      <c r="L160" s="35">
        <v>20.8</v>
      </c>
      <c r="M160" s="35">
        <v>20.8</v>
      </c>
      <c r="N160" s="35">
        <v>20.8</v>
      </c>
      <c r="O160" s="35">
        <v>20.8</v>
      </c>
      <c r="P160" s="35">
        <v>20.8</v>
      </c>
      <c r="Q160" s="35">
        <v>20.8</v>
      </c>
      <c r="R160" s="35">
        <v>20.8</v>
      </c>
      <c r="S160" s="35">
        <v>20.8</v>
      </c>
      <c r="T160" s="35">
        <v>20.8</v>
      </c>
      <c r="U160" s="35">
        <v>20.8</v>
      </c>
      <c r="V160" s="35"/>
      <c r="W160" s="35"/>
      <c r="X160" s="35"/>
      <c r="Y160" s="35"/>
      <c r="Z160" s="35"/>
      <c r="AA160" s="35"/>
      <c r="AB160" s="36">
        <f t="shared" si="3"/>
        <v>249.6</v>
      </c>
      <c r="AC160" s="37">
        <v>4</v>
      </c>
      <c r="AD160" s="91"/>
    </row>
    <row r="161" spans="2:30">
      <c r="B161" s="89"/>
      <c r="C161" s="34" t="s">
        <v>34</v>
      </c>
      <c r="D161" s="35"/>
      <c r="E161" s="35"/>
      <c r="F161" s="35"/>
      <c r="G161" s="35"/>
      <c r="H161" s="35"/>
      <c r="I161" s="35"/>
      <c r="J161" s="35">
        <v>20.8</v>
      </c>
      <c r="K161" s="35">
        <v>20.8</v>
      </c>
      <c r="L161" s="35">
        <v>20.8</v>
      </c>
      <c r="M161" s="35">
        <v>20.8</v>
      </c>
      <c r="N161" s="35">
        <v>20.8</v>
      </c>
      <c r="O161" s="35">
        <v>20.8</v>
      </c>
      <c r="P161" s="35">
        <v>20.8</v>
      </c>
      <c r="Q161" s="35">
        <v>20.8</v>
      </c>
      <c r="R161" s="35">
        <v>20.8</v>
      </c>
      <c r="S161" s="35">
        <v>20.8</v>
      </c>
      <c r="T161" s="35">
        <v>20.8</v>
      </c>
      <c r="U161" s="35">
        <v>20.8</v>
      </c>
      <c r="V161" s="35"/>
      <c r="W161" s="35"/>
      <c r="X161" s="35"/>
      <c r="Y161" s="35"/>
      <c r="Z161" s="35"/>
      <c r="AA161" s="35"/>
      <c r="AB161" s="36">
        <f t="shared" si="3"/>
        <v>249.6</v>
      </c>
      <c r="AC161" s="37">
        <v>6</v>
      </c>
      <c r="AD161" s="91"/>
    </row>
    <row r="162" spans="2:30">
      <c r="AA162" s="86" t="s">
        <v>35</v>
      </c>
      <c r="AB162" s="87"/>
      <c r="AC162" s="88"/>
      <c r="AD162" s="39">
        <f>SUM(AD126:AD161)</f>
        <v>91104</v>
      </c>
    </row>
    <row r="163" spans="2:30">
      <c r="AB163" s="38"/>
      <c r="AC163" s="38"/>
    </row>
    <row r="164" spans="2:30" ht="23.25">
      <c r="B164" s="41" t="s">
        <v>65</v>
      </c>
    </row>
    <row r="165" spans="2:30">
      <c r="B165" s="32" t="s">
        <v>3</v>
      </c>
      <c r="C165" s="32" t="s">
        <v>4</v>
      </c>
      <c r="D165" s="32" t="s">
        <v>5</v>
      </c>
      <c r="E165" s="32" t="s">
        <v>6</v>
      </c>
      <c r="F165" s="32" t="s">
        <v>7</v>
      </c>
      <c r="G165" s="32" t="s">
        <v>8</v>
      </c>
      <c r="H165" s="32" t="s">
        <v>9</v>
      </c>
      <c r="I165" s="32" t="s">
        <v>10</v>
      </c>
      <c r="J165" s="32" t="s">
        <v>11</v>
      </c>
      <c r="K165" s="32" t="s">
        <v>12</v>
      </c>
      <c r="L165" s="32" t="s">
        <v>13</v>
      </c>
      <c r="M165" s="32" t="s">
        <v>14</v>
      </c>
      <c r="N165" s="32" t="s">
        <v>15</v>
      </c>
      <c r="O165" s="32" t="s">
        <v>16</v>
      </c>
      <c r="P165" s="32" t="s">
        <v>17</v>
      </c>
      <c r="Q165" s="32" t="s">
        <v>18</v>
      </c>
      <c r="R165" s="32" t="s">
        <v>19</v>
      </c>
      <c r="S165" s="32" t="s">
        <v>20</v>
      </c>
      <c r="T165" s="32" t="s">
        <v>21</v>
      </c>
      <c r="U165" s="32" t="s">
        <v>22</v>
      </c>
      <c r="V165" s="32" t="s">
        <v>23</v>
      </c>
      <c r="W165" s="32" t="s">
        <v>24</v>
      </c>
      <c r="X165" s="32" t="s">
        <v>25</v>
      </c>
      <c r="Y165" s="32" t="s">
        <v>26</v>
      </c>
      <c r="Z165" s="32" t="s">
        <v>27</v>
      </c>
      <c r="AA165" s="32" t="s">
        <v>28</v>
      </c>
      <c r="AB165" s="33" t="s">
        <v>29</v>
      </c>
      <c r="AC165" s="33" t="s">
        <v>30</v>
      </c>
      <c r="AD165" s="32" t="s">
        <v>31</v>
      </c>
    </row>
    <row r="166" spans="2:30">
      <c r="B166" s="89">
        <v>48214</v>
      </c>
      <c r="C166" s="34" t="s">
        <v>32</v>
      </c>
      <c r="D166" s="35"/>
      <c r="E166" s="35"/>
      <c r="F166" s="35"/>
      <c r="G166" s="35"/>
      <c r="H166" s="35"/>
      <c r="I166" s="35"/>
      <c r="J166" s="35">
        <v>20</v>
      </c>
      <c r="K166" s="35">
        <v>20</v>
      </c>
      <c r="L166" s="35">
        <v>20</v>
      </c>
      <c r="M166" s="35">
        <v>20</v>
      </c>
      <c r="N166" s="35">
        <v>20</v>
      </c>
      <c r="O166" s="35">
        <v>20</v>
      </c>
      <c r="P166" s="35">
        <v>20</v>
      </c>
      <c r="Q166" s="35">
        <v>20</v>
      </c>
      <c r="R166" s="35">
        <v>20</v>
      </c>
      <c r="S166" s="35">
        <v>20</v>
      </c>
      <c r="T166" s="35">
        <v>20</v>
      </c>
      <c r="U166" s="35">
        <v>20</v>
      </c>
      <c r="V166" s="35"/>
      <c r="W166" s="35"/>
      <c r="X166" s="35"/>
      <c r="Y166" s="35"/>
      <c r="Z166" s="35"/>
      <c r="AA166" s="35"/>
      <c r="AB166" s="36">
        <f>SUM(D166:AA166)</f>
        <v>240</v>
      </c>
      <c r="AC166" s="37">
        <v>20</v>
      </c>
      <c r="AD166" s="91">
        <f>+AB166*AC166+AB167*AC167+AB168*AC168</f>
        <v>7440</v>
      </c>
    </row>
    <row r="167" spans="2:30">
      <c r="B167" s="89"/>
      <c r="C167" s="34" t="s">
        <v>33</v>
      </c>
      <c r="D167" s="35"/>
      <c r="E167" s="35"/>
      <c r="F167" s="35"/>
      <c r="G167" s="35"/>
      <c r="H167" s="35"/>
      <c r="I167" s="35"/>
      <c r="J167" s="35">
        <v>20</v>
      </c>
      <c r="K167" s="35">
        <v>20</v>
      </c>
      <c r="L167" s="35">
        <v>20</v>
      </c>
      <c r="M167" s="35">
        <v>20</v>
      </c>
      <c r="N167" s="35">
        <v>20</v>
      </c>
      <c r="O167" s="35">
        <v>20</v>
      </c>
      <c r="P167" s="35">
        <v>20</v>
      </c>
      <c r="Q167" s="35">
        <v>20</v>
      </c>
      <c r="R167" s="35">
        <v>20</v>
      </c>
      <c r="S167" s="35">
        <v>20</v>
      </c>
      <c r="T167" s="35">
        <v>20</v>
      </c>
      <c r="U167" s="35">
        <v>20</v>
      </c>
      <c r="V167" s="35"/>
      <c r="W167" s="35"/>
      <c r="X167" s="35"/>
      <c r="Y167" s="35"/>
      <c r="Z167" s="35"/>
      <c r="AA167" s="35"/>
      <c r="AB167" s="36">
        <f t="shared" ref="AB167:AB201" si="4">SUM(D167:AA167)</f>
        <v>240</v>
      </c>
      <c r="AC167" s="37">
        <v>5</v>
      </c>
      <c r="AD167" s="91"/>
    </row>
    <row r="168" spans="2:30">
      <c r="B168" s="89"/>
      <c r="C168" s="34" t="s">
        <v>34</v>
      </c>
      <c r="D168" s="35"/>
      <c r="E168" s="35"/>
      <c r="F168" s="35"/>
      <c r="G168" s="35"/>
      <c r="H168" s="35"/>
      <c r="I168" s="35"/>
      <c r="J168" s="35">
        <v>20</v>
      </c>
      <c r="K168" s="35">
        <v>20</v>
      </c>
      <c r="L168" s="35">
        <v>20</v>
      </c>
      <c r="M168" s="35">
        <v>20</v>
      </c>
      <c r="N168" s="35">
        <v>20</v>
      </c>
      <c r="O168" s="35">
        <v>20</v>
      </c>
      <c r="P168" s="35">
        <v>20</v>
      </c>
      <c r="Q168" s="35">
        <v>20</v>
      </c>
      <c r="R168" s="35">
        <v>20</v>
      </c>
      <c r="S168" s="35">
        <v>20</v>
      </c>
      <c r="T168" s="35">
        <v>20</v>
      </c>
      <c r="U168" s="35">
        <v>20</v>
      </c>
      <c r="V168" s="35"/>
      <c r="W168" s="35"/>
      <c r="X168" s="35"/>
      <c r="Y168" s="35"/>
      <c r="Z168" s="35"/>
      <c r="AA168" s="35"/>
      <c r="AB168" s="36">
        <f t="shared" si="4"/>
        <v>240</v>
      </c>
      <c r="AC168" s="37">
        <v>6</v>
      </c>
      <c r="AD168" s="91"/>
    </row>
    <row r="169" spans="2:30">
      <c r="B169" s="89">
        <v>48245</v>
      </c>
      <c r="C169" s="34" t="s">
        <v>32</v>
      </c>
      <c r="D169" s="35"/>
      <c r="E169" s="35"/>
      <c r="F169" s="35"/>
      <c r="G169" s="35"/>
      <c r="H169" s="35"/>
      <c r="I169" s="35"/>
      <c r="J169" s="35">
        <v>20</v>
      </c>
      <c r="K169" s="35">
        <v>20</v>
      </c>
      <c r="L169" s="35">
        <v>20</v>
      </c>
      <c r="M169" s="35">
        <v>20</v>
      </c>
      <c r="N169" s="35">
        <v>20</v>
      </c>
      <c r="O169" s="35">
        <v>20</v>
      </c>
      <c r="P169" s="35">
        <v>20</v>
      </c>
      <c r="Q169" s="35">
        <v>20</v>
      </c>
      <c r="R169" s="35">
        <v>20</v>
      </c>
      <c r="S169" s="35">
        <v>20</v>
      </c>
      <c r="T169" s="35">
        <v>20</v>
      </c>
      <c r="U169" s="35">
        <v>20</v>
      </c>
      <c r="V169" s="35"/>
      <c r="W169" s="35"/>
      <c r="X169" s="35"/>
      <c r="Y169" s="35"/>
      <c r="Z169" s="35"/>
      <c r="AA169" s="35"/>
      <c r="AB169" s="36">
        <f t="shared" si="4"/>
        <v>240</v>
      </c>
      <c r="AC169" s="37">
        <v>20</v>
      </c>
      <c r="AD169" s="91">
        <f>+AB169*AC169+AB170*AC170+AB171*AC171</f>
        <v>6960</v>
      </c>
    </row>
    <row r="170" spans="2:30">
      <c r="B170" s="89"/>
      <c r="C170" s="34" t="s">
        <v>33</v>
      </c>
      <c r="D170" s="35"/>
      <c r="E170" s="35"/>
      <c r="F170" s="35"/>
      <c r="G170" s="35"/>
      <c r="H170" s="35"/>
      <c r="I170" s="35"/>
      <c r="J170" s="35">
        <v>20</v>
      </c>
      <c r="K170" s="35">
        <v>20</v>
      </c>
      <c r="L170" s="35">
        <v>20</v>
      </c>
      <c r="M170" s="35">
        <v>20</v>
      </c>
      <c r="N170" s="35">
        <v>20</v>
      </c>
      <c r="O170" s="35">
        <v>20</v>
      </c>
      <c r="P170" s="35">
        <v>20</v>
      </c>
      <c r="Q170" s="35">
        <v>20</v>
      </c>
      <c r="R170" s="35">
        <v>20</v>
      </c>
      <c r="S170" s="35">
        <v>20</v>
      </c>
      <c r="T170" s="35">
        <v>20</v>
      </c>
      <c r="U170" s="35">
        <v>20</v>
      </c>
      <c r="V170" s="35"/>
      <c r="W170" s="35"/>
      <c r="X170" s="35"/>
      <c r="Y170" s="35"/>
      <c r="Z170" s="35"/>
      <c r="AA170" s="35"/>
      <c r="AB170" s="36">
        <f t="shared" si="4"/>
        <v>240</v>
      </c>
      <c r="AC170" s="37">
        <v>4</v>
      </c>
      <c r="AD170" s="91"/>
    </row>
    <row r="171" spans="2:30">
      <c r="B171" s="89"/>
      <c r="C171" s="34" t="s">
        <v>34</v>
      </c>
      <c r="D171" s="35"/>
      <c r="E171" s="35"/>
      <c r="F171" s="35"/>
      <c r="G171" s="35"/>
      <c r="H171" s="35"/>
      <c r="I171" s="35"/>
      <c r="J171" s="35">
        <v>20</v>
      </c>
      <c r="K171" s="35">
        <v>20</v>
      </c>
      <c r="L171" s="35">
        <v>20</v>
      </c>
      <c r="M171" s="35">
        <v>20</v>
      </c>
      <c r="N171" s="35">
        <v>20</v>
      </c>
      <c r="O171" s="35">
        <v>20</v>
      </c>
      <c r="P171" s="35">
        <v>20</v>
      </c>
      <c r="Q171" s="35">
        <v>20</v>
      </c>
      <c r="R171" s="35">
        <v>20</v>
      </c>
      <c r="S171" s="35">
        <v>20</v>
      </c>
      <c r="T171" s="35">
        <v>20</v>
      </c>
      <c r="U171" s="35">
        <v>20</v>
      </c>
      <c r="V171" s="35"/>
      <c r="W171" s="35"/>
      <c r="X171" s="35"/>
      <c r="Y171" s="35"/>
      <c r="Z171" s="35"/>
      <c r="AA171" s="35"/>
      <c r="AB171" s="36">
        <f t="shared" si="4"/>
        <v>240</v>
      </c>
      <c r="AC171" s="37">
        <v>5</v>
      </c>
      <c r="AD171" s="91"/>
    </row>
    <row r="172" spans="2:30">
      <c r="B172" s="89">
        <v>48274</v>
      </c>
      <c r="C172" s="34" t="s">
        <v>32</v>
      </c>
      <c r="D172" s="35"/>
      <c r="E172" s="35"/>
      <c r="F172" s="35"/>
      <c r="G172" s="35"/>
      <c r="H172" s="35"/>
      <c r="I172" s="35"/>
      <c r="J172" s="35">
        <v>20</v>
      </c>
      <c r="K172" s="35">
        <v>20</v>
      </c>
      <c r="L172" s="35">
        <v>20</v>
      </c>
      <c r="M172" s="35">
        <v>20</v>
      </c>
      <c r="N172" s="35">
        <v>20</v>
      </c>
      <c r="O172" s="35">
        <v>20</v>
      </c>
      <c r="P172" s="35">
        <v>20</v>
      </c>
      <c r="Q172" s="35">
        <v>20</v>
      </c>
      <c r="R172" s="35">
        <v>20</v>
      </c>
      <c r="S172" s="35">
        <v>20</v>
      </c>
      <c r="T172" s="35">
        <v>20</v>
      </c>
      <c r="U172" s="35">
        <v>20</v>
      </c>
      <c r="V172" s="35"/>
      <c r="W172" s="35"/>
      <c r="X172" s="35"/>
      <c r="Y172" s="35"/>
      <c r="Z172" s="35"/>
      <c r="AA172" s="35"/>
      <c r="AB172" s="36">
        <f t="shared" si="4"/>
        <v>240</v>
      </c>
      <c r="AC172" s="37">
        <v>20</v>
      </c>
      <c r="AD172" s="91">
        <f>+AB172*AC172+AB173*AC173+AB174*AC174</f>
        <v>7440</v>
      </c>
    </row>
    <row r="173" spans="2:30">
      <c r="B173" s="89"/>
      <c r="C173" s="34" t="s">
        <v>33</v>
      </c>
      <c r="D173" s="35"/>
      <c r="E173" s="35"/>
      <c r="F173" s="35"/>
      <c r="G173" s="35"/>
      <c r="H173" s="35"/>
      <c r="I173" s="35"/>
      <c r="J173" s="35">
        <v>20</v>
      </c>
      <c r="K173" s="35">
        <v>20</v>
      </c>
      <c r="L173" s="35">
        <v>20</v>
      </c>
      <c r="M173" s="35">
        <v>20</v>
      </c>
      <c r="N173" s="35">
        <v>20</v>
      </c>
      <c r="O173" s="35">
        <v>20</v>
      </c>
      <c r="P173" s="35">
        <v>20</v>
      </c>
      <c r="Q173" s="35">
        <v>20</v>
      </c>
      <c r="R173" s="35">
        <v>20</v>
      </c>
      <c r="S173" s="35">
        <v>20</v>
      </c>
      <c r="T173" s="35">
        <v>20</v>
      </c>
      <c r="U173" s="35">
        <v>20</v>
      </c>
      <c r="V173" s="35"/>
      <c r="W173" s="35"/>
      <c r="X173" s="35"/>
      <c r="Y173" s="35"/>
      <c r="Z173" s="35"/>
      <c r="AA173" s="35"/>
      <c r="AB173" s="36">
        <f t="shared" si="4"/>
        <v>240</v>
      </c>
      <c r="AC173" s="37">
        <v>4</v>
      </c>
      <c r="AD173" s="91"/>
    </row>
    <row r="174" spans="2:30">
      <c r="B174" s="89"/>
      <c r="C174" s="34" t="s">
        <v>34</v>
      </c>
      <c r="D174" s="35"/>
      <c r="E174" s="35"/>
      <c r="F174" s="35"/>
      <c r="G174" s="35"/>
      <c r="H174" s="35"/>
      <c r="I174" s="35"/>
      <c r="J174" s="35">
        <v>20</v>
      </c>
      <c r="K174" s="35">
        <v>20</v>
      </c>
      <c r="L174" s="35">
        <v>20</v>
      </c>
      <c r="M174" s="35">
        <v>20</v>
      </c>
      <c r="N174" s="35">
        <v>20</v>
      </c>
      <c r="O174" s="35">
        <v>20</v>
      </c>
      <c r="P174" s="35">
        <v>20</v>
      </c>
      <c r="Q174" s="35">
        <v>20</v>
      </c>
      <c r="R174" s="35">
        <v>20</v>
      </c>
      <c r="S174" s="35">
        <v>20</v>
      </c>
      <c r="T174" s="35">
        <v>20</v>
      </c>
      <c r="U174" s="35">
        <v>20</v>
      </c>
      <c r="V174" s="35"/>
      <c r="W174" s="35"/>
      <c r="X174" s="35"/>
      <c r="Y174" s="35"/>
      <c r="Z174" s="35"/>
      <c r="AA174" s="35"/>
      <c r="AB174" s="36">
        <f t="shared" si="4"/>
        <v>240</v>
      </c>
      <c r="AC174" s="37">
        <v>7</v>
      </c>
      <c r="AD174" s="91"/>
    </row>
    <row r="175" spans="2:30">
      <c r="B175" s="89">
        <v>48305</v>
      </c>
      <c r="C175" s="34" t="s">
        <v>32</v>
      </c>
      <c r="D175" s="35"/>
      <c r="E175" s="35"/>
      <c r="F175" s="35"/>
      <c r="G175" s="35"/>
      <c r="H175" s="35"/>
      <c r="I175" s="35"/>
      <c r="J175" s="35">
        <v>20</v>
      </c>
      <c r="K175" s="35">
        <v>20</v>
      </c>
      <c r="L175" s="35">
        <v>20</v>
      </c>
      <c r="M175" s="35">
        <v>20</v>
      </c>
      <c r="N175" s="35">
        <v>20</v>
      </c>
      <c r="O175" s="35">
        <v>20</v>
      </c>
      <c r="P175" s="35">
        <v>20</v>
      </c>
      <c r="Q175" s="35">
        <v>20</v>
      </c>
      <c r="R175" s="35">
        <v>20</v>
      </c>
      <c r="S175" s="35">
        <v>20</v>
      </c>
      <c r="T175" s="35">
        <v>20</v>
      </c>
      <c r="U175" s="35">
        <v>20</v>
      </c>
      <c r="V175" s="35"/>
      <c r="W175" s="35"/>
      <c r="X175" s="35"/>
      <c r="Y175" s="35"/>
      <c r="Z175" s="35"/>
      <c r="AA175" s="35"/>
      <c r="AB175" s="36">
        <f t="shared" si="4"/>
        <v>240</v>
      </c>
      <c r="AC175" s="37">
        <v>22</v>
      </c>
      <c r="AD175" s="91">
        <f>+AB175*AC175+AB176*AC176+AB177*AC177</f>
        <v>7200</v>
      </c>
    </row>
    <row r="176" spans="2:30">
      <c r="B176" s="89"/>
      <c r="C176" s="34" t="s">
        <v>33</v>
      </c>
      <c r="D176" s="35"/>
      <c r="E176" s="35"/>
      <c r="F176" s="35"/>
      <c r="G176" s="35"/>
      <c r="H176" s="35"/>
      <c r="I176" s="35"/>
      <c r="J176" s="35">
        <v>20</v>
      </c>
      <c r="K176" s="35">
        <v>20</v>
      </c>
      <c r="L176" s="35">
        <v>20</v>
      </c>
      <c r="M176" s="35">
        <v>20</v>
      </c>
      <c r="N176" s="35">
        <v>20</v>
      </c>
      <c r="O176" s="35">
        <v>20</v>
      </c>
      <c r="P176" s="35">
        <v>20</v>
      </c>
      <c r="Q176" s="35">
        <v>20</v>
      </c>
      <c r="R176" s="35">
        <v>20</v>
      </c>
      <c r="S176" s="35">
        <v>20</v>
      </c>
      <c r="T176" s="35">
        <v>20</v>
      </c>
      <c r="U176" s="35">
        <v>20</v>
      </c>
      <c r="V176" s="35"/>
      <c r="W176" s="35"/>
      <c r="X176" s="35"/>
      <c r="Y176" s="35"/>
      <c r="Z176" s="35"/>
      <c r="AA176" s="35"/>
      <c r="AB176" s="36">
        <f t="shared" si="4"/>
        <v>240</v>
      </c>
      <c r="AC176" s="37">
        <v>4</v>
      </c>
      <c r="AD176" s="91"/>
    </row>
    <row r="177" spans="2:30">
      <c r="B177" s="89"/>
      <c r="C177" s="34" t="s">
        <v>34</v>
      </c>
      <c r="D177" s="35"/>
      <c r="E177" s="35"/>
      <c r="F177" s="35"/>
      <c r="G177" s="35"/>
      <c r="H177" s="35"/>
      <c r="I177" s="35"/>
      <c r="J177" s="35">
        <v>20</v>
      </c>
      <c r="K177" s="35">
        <v>20</v>
      </c>
      <c r="L177" s="35">
        <v>20</v>
      </c>
      <c r="M177" s="35">
        <v>20</v>
      </c>
      <c r="N177" s="35">
        <v>20</v>
      </c>
      <c r="O177" s="35">
        <v>20</v>
      </c>
      <c r="P177" s="35">
        <v>20</v>
      </c>
      <c r="Q177" s="35">
        <v>20</v>
      </c>
      <c r="R177" s="35">
        <v>20</v>
      </c>
      <c r="S177" s="35">
        <v>20</v>
      </c>
      <c r="T177" s="35">
        <v>20</v>
      </c>
      <c r="U177" s="35">
        <v>20</v>
      </c>
      <c r="V177" s="35"/>
      <c r="W177" s="35"/>
      <c r="X177" s="35"/>
      <c r="Y177" s="35"/>
      <c r="Z177" s="35"/>
      <c r="AA177" s="35"/>
      <c r="AB177" s="36">
        <f t="shared" si="4"/>
        <v>240</v>
      </c>
      <c r="AC177" s="37">
        <v>4</v>
      </c>
      <c r="AD177" s="91"/>
    </row>
    <row r="178" spans="2:30">
      <c r="B178" s="89">
        <v>48335</v>
      </c>
      <c r="C178" s="34" t="s">
        <v>32</v>
      </c>
      <c r="D178" s="35"/>
      <c r="E178" s="35"/>
      <c r="F178" s="35"/>
      <c r="G178" s="35"/>
      <c r="H178" s="35"/>
      <c r="I178" s="35"/>
      <c r="J178" s="35">
        <v>20</v>
      </c>
      <c r="K178" s="35">
        <v>20</v>
      </c>
      <c r="L178" s="35">
        <v>20</v>
      </c>
      <c r="M178" s="35">
        <v>20</v>
      </c>
      <c r="N178" s="35">
        <v>20</v>
      </c>
      <c r="O178" s="35">
        <v>20</v>
      </c>
      <c r="P178" s="35">
        <v>20</v>
      </c>
      <c r="Q178" s="35">
        <v>20</v>
      </c>
      <c r="R178" s="35">
        <v>20</v>
      </c>
      <c r="S178" s="35">
        <v>20</v>
      </c>
      <c r="T178" s="35">
        <v>20</v>
      </c>
      <c r="U178" s="35">
        <v>20</v>
      </c>
      <c r="V178" s="35"/>
      <c r="W178" s="35"/>
      <c r="X178" s="35"/>
      <c r="Y178" s="35"/>
      <c r="Z178" s="35"/>
      <c r="AA178" s="35"/>
      <c r="AB178" s="36">
        <f t="shared" si="4"/>
        <v>240</v>
      </c>
      <c r="AC178" s="37">
        <v>19</v>
      </c>
      <c r="AD178" s="91">
        <f>+AB178*AC178+AB179*AC179+AB180*AC180</f>
        <v>7440</v>
      </c>
    </row>
    <row r="179" spans="2:30">
      <c r="B179" s="89"/>
      <c r="C179" s="34" t="s">
        <v>33</v>
      </c>
      <c r="D179" s="35"/>
      <c r="E179" s="35"/>
      <c r="F179" s="35"/>
      <c r="G179" s="35"/>
      <c r="H179" s="35"/>
      <c r="I179" s="35"/>
      <c r="J179" s="35">
        <v>20</v>
      </c>
      <c r="K179" s="35">
        <v>20</v>
      </c>
      <c r="L179" s="35">
        <v>20</v>
      </c>
      <c r="M179" s="35">
        <v>20</v>
      </c>
      <c r="N179" s="35">
        <v>20</v>
      </c>
      <c r="O179" s="35">
        <v>20</v>
      </c>
      <c r="P179" s="35">
        <v>20</v>
      </c>
      <c r="Q179" s="35">
        <v>20</v>
      </c>
      <c r="R179" s="35">
        <v>20</v>
      </c>
      <c r="S179" s="35">
        <v>20</v>
      </c>
      <c r="T179" s="35">
        <v>20</v>
      </c>
      <c r="U179" s="35">
        <v>20</v>
      </c>
      <c r="V179" s="35"/>
      <c r="W179" s="35"/>
      <c r="X179" s="35"/>
      <c r="Y179" s="35"/>
      <c r="Z179" s="35"/>
      <c r="AA179" s="35"/>
      <c r="AB179" s="36">
        <f t="shared" si="4"/>
        <v>240</v>
      </c>
      <c r="AC179" s="37">
        <v>4</v>
      </c>
      <c r="AD179" s="91"/>
    </row>
    <row r="180" spans="2:30">
      <c r="B180" s="89"/>
      <c r="C180" s="34" t="s">
        <v>34</v>
      </c>
      <c r="D180" s="35"/>
      <c r="E180" s="35"/>
      <c r="F180" s="35"/>
      <c r="G180" s="35"/>
      <c r="H180" s="35"/>
      <c r="I180" s="35"/>
      <c r="J180" s="35">
        <v>20</v>
      </c>
      <c r="K180" s="35">
        <v>20</v>
      </c>
      <c r="L180" s="35">
        <v>20</v>
      </c>
      <c r="M180" s="35">
        <v>20</v>
      </c>
      <c r="N180" s="35">
        <v>20</v>
      </c>
      <c r="O180" s="35">
        <v>20</v>
      </c>
      <c r="P180" s="35">
        <v>20</v>
      </c>
      <c r="Q180" s="35">
        <v>20</v>
      </c>
      <c r="R180" s="35">
        <v>20</v>
      </c>
      <c r="S180" s="35">
        <v>20</v>
      </c>
      <c r="T180" s="35">
        <v>20</v>
      </c>
      <c r="U180" s="35">
        <v>20</v>
      </c>
      <c r="V180" s="35"/>
      <c r="W180" s="35"/>
      <c r="X180" s="35"/>
      <c r="Y180" s="35"/>
      <c r="Z180" s="35"/>
      <c r="AA180" s="35"/>
      <c r="AB180" s="36">
        <f t="shared" si="4"/>
        <v>240</v>
      </c>
      <c r="AC180" s="37">
        <v>8</v>
      </c>
      <c r="AD180" s="91"/>
    </row>
    <row r="181" spans="2:30">
      <c r="B181" s="89">
        <v>48366</v>
      </c>
      <c r="C181" s="34" t="s">
        <v>32</v>
      </c>
      <c r="D181" s="35"/>
      <c r="E181" s="35"/>
      <c r="F181" s="35"/>
      <c r="G181" s="35"/>
      <c r="H181" s="35"/>
      <c r="I181" s="35"/>
      <c r="J181" s="35">
        <v>20</v>
      </c>
      <c r="K181" s="35">
        <v>20</v>
      </c>
      <c r="L181" s="35">
        <v>20</v>
      </c>
      <c r="M181" s="35">
        <v>20</v>
      </c>
      <c r="N181" s="35">
        <v>20</v>
      </c>
      <c r="O181" s="35">
        <v>20</v>
      </c>
      <c r="P181" s="35">
        <v>20</v>
      </c>
      <c r="Q181" s="35">
        <v>20</v>
      </c>
      <c r="R181" s="35">
        <v>20</v>
      </c>
      <c r="S181" s="35">
        <v>20</v>
      </c>
      <c r="T181" s="35">
        <v>20</v>
      </c>
      <c r="U181" s="35">
        <v>20</v>
      </c>
      <c r="V181" s="35"/>
      <c r="W181" s="35"/>
      <c r="X181" s="35"/>
      <c r="Y181" s="35"/>
      <c r="Z181" s="35"/>
      <c r="AA181" s="35"/>
      <c r="AB181" s="36">
        <f t="shared" si="4"/>
        <v>240</v>
      </c>
      <c r="AC181" s="37">
        <v>21</v>
      </c>
      <c r="AD181" s="91">
        <f>+AB181*AC181+AB182*AC182+AB183*AC183</f>
        <v>7200</v>
      </c>
    </row>
    <row r="182" spans="2:30">
      <c r="B182" s="89"/>
      <c r="C182" s="34" t="s">
        <v>33</v>
      </c>
      <c r="D182" s="35"/>
      <c r="E182" s="35"/>
      <c r="F182" s="35"/>
      <c r="G182" s="35"/>
      <c r="H182" s="35"/>
      <c r="I182" s="35"/>
      <c r="J182" s="35">
        <v>20</v>
      </c>
      <c r="K182" s="35">
        <v>20</v>
      </c>
      <c r="L182" s="35">
        <v>20</v>
      </c>
      <c r="M182" s="35">
        <v>20</v>
      </c>
      <c r="N182" s="35">
        <v>20</v>
      </c>
      <c r="O182" s="35">
        <v>20</v>
      </c>
      <c r="P182" s="35">
        <v>20</v>
      </c>
      <c r="Q182" s="35">
        <v>20</v>
      </c>
      <c r="R182" s="35">
        <v>20</v>
      </c>
      <c r="S182" s="35">
        <v>20</v>
      </c>
      <c r="T182" s="35">
        <v>20</v>
      </c>
      <c r="U182" s="35">
        <v>20</v>
      </c>
      <c r="V182" s="35"/>
      <c r="W182" s="35"/>
      <c r="X182" s="35"/>
      <c r="Y182" s="35"/>
      <c r="Z182" s="35"/>
      <c r="AA182" s="35"/>
      <c r="AB182" s="36">
        <f t="shared" si="4"/>
        <v>240</v>
      </c>
      <c r="AC182" s="37">
        <v>4</v>
      </c>
      <c r="AD182" s="91"/>
    </row>
    <row r="183" spans="2:30">
      <c r="B183" s="89"/>
      <c r="C183" s="34" t="s">
        <v>34</v>
      </c>
      <c r="D183" s="35"/>
      <c r="E183" s="35"/>
      <c r="F183" s="35"/>
      <c r="G183" s="35"/>
      <c r="H183" s="35"/>
      <c r="I183" s="35"/>
      <c r="J183" s="35">
        <v>20</v>
      </c>
      <c r="K183" s="35">
        <v>20</v>
      </c>
      <c r="L183" s="35">
        <v>20</v>
      </c>
      <c r="M183" s="35">
        <v>20</v>
      </c>
      <c r="N183" s="35">
        <v>20</v>
      </c>
      <c r="O183" s="35">
        <v>20</v>
      </c>
      <c r="P183" s="35">
        <v>20</v>
      </c>
      <c r="Q183" s="35">
        <v>20</v>
      </c>
      <c r="R183" s="35">
        <v>20</v>
      </c>
      <c r="S183" s="35">
        <v>20</v>
      </c>
      <c r="T183" s="35">
        <v>20</v>
      </c>
      <c r="U183" s="35">
        <v>20</v>
      </c>
      <c r="V183" s="35"/>
      <c r="W183" s="35"/>
      <c r="X183" s="35"/>
      <c r="Y183" s="35"/>
      <c r="Z183" s="35"/>
      <c r="AA183" s="35"/>
      <c r="AB183" s="36">
        <f t="shared" si="4"/>
        <v>240</v>
      </c>
      <c r="AC183" s="37">
        <v>5</v>
      </c>
      <c r="AD183" s="91"/>
    </row>
    <row r="184" spans="2:30">
      <c r="B184" s="89">
        <v>48396</v>
      </c>
      <c r="C184" s="34" t="s">
        <v>32</v>
      </c>
      <c r="D184" s="35"/>
      <c r="E184" s="35"/>
      <c r="F184" s="35"/>
      <c r="G184" s="35"/>
      <c r="H184" s="35"/>
      <c r="I184" s="35"/>
      <c r="J184" s="35">
        <v>20</v>
      </c>
      <c r="K184" s="35">
        <v>20</v>
      </c>
      <c r="L184" s="35">
        <v>20</v>
      </c>
      <c r="M184" s="35">
        <v>20</v>
      </c>
      <c r="N184" s="35">
        <v>20</v>
      </c>
      <c r="O184" s="35">
        <v>20</v>
      </c>
      <c r="P184" s="35">
        <v>20</v>
      </c>
      <c r="Q184" s="35">
        <v>20</v>
      </c>
      <c r="R184" s="35">
        <v>20</v>
      </c>
      <c r="S184" s="35">
        <v>20</v>
      </c>
      <c r="T184" s="35">
        <v>20</v>
      </c>
      <c r="U184" s="35">
        <v>20</v>
      </c>
      <c r="V184" s="35"/>
      <c r="W184" s="35"/>
      <c r="X184" s="35"/>
      <c r="Y184" s="35"/>
      <c r="Z184" s="35"/>
      <c r="AA184" s="35"/>
      <c r="AB184" s="36">
        <f t="shared" si="4"/>
        <v>240</v>
      </c>
      <c r="AC184" s="37">
        <v>20</v>
      </c>
      <c r="AD184" s="91">
        <f>+AB184*AC184+AB185*AC185+AB186*AC186</f>
        <v>7440</v>
      </c>
    </row>
    <row r="185" spans="2:30">
      <c r="B185" s="89"/>
      <c r="C185" s="34" t="s">
        <v>33</v>
      </c>
      <c r="D185" s="35"/>
      <c r="E185" s="35"/>
      <c r="F185" s="35"/>
      <c r="G185" s="35"/>
      <c r="H185" s="35"/>
      <c r="I185" s="35"/>
      <c r="J185" s="35">
        <v>20</v>
      </c>
      <c r="K185" s="35">
        <v>20</v>
      </c>
      <c r="L185" s="35">
        <v>20</v>
      </c>
      <c r="M185" s="35">
        <v>20</v>
      </c>
      <c r="N185" s="35">
        <v>20</v>
      </c>
      <c r="O185" s="35">
        <v>20</v>
      </c>
      <c r="P185" s="35">
        <v>20</v>
      </c>
      <c r="Q185" s="35">
        <v>20</v>
      </c>
      <c r="R185" s="35">
        <v>20</v>
      </c>
      <c r="S185" s="35">
        <v>20</v>
      </c>
      <c r="T185" s="35">
        <v>20</v>
      </c>
      <c r="U185" s="35">
        <v>20</v>
      </c>
      <c r="V185" s="35"/>
      <c r="W185" s="35"/>
      <c r="X185" s="35"/>
      <c r="Y185" s="35"/>
      <c r="Z185" s="35"/>
      <c r="AA185" s="35"/>
      <c r="AB185" s="36">
        <f t="shared" si="4"/>
        <v>240</v>
      </c>
      <c r="AC185" s="37">
        <v>5</v>
      </c>
      <c r="AD185" s="91"/>
    </row>
    <row r="186" spans="2:30">
      <c r="B186" s="89"/>
      <c r="C186" s="34" t="s">
        <v>34</v>
      </c>
      <c r="D186" s="35"/>
      <c r="E186" s="35"/>
      <c r="F186" s="35"/>
      <c r="G186" s="35"/>
      <c r="H186" s="35"/>
      <c r="I186" s="35"/>
      <c r="J186" s="35">
        <v>20</v>
      </c>
      <c r="K186" s="35">
        <v>20</v>
      </c>
      <c r="L186" s="35">
        <v>20</v>
      </c>
      <c r="M186" s="35">
        <v>20</v>
      </c>
      <c r="N186" s="35">
        <v>20</v>
      </c>
      <c r="O186" s="35">
        <v>20</v>
      </c>
      <c r="P186" s="35">
        <v>20</v>
      </c>
      <c r="Q186" s="35">
        <v>20</v>
      </c>
      <c r="R186" s="35">
        <v>20</v>
      </c>
      <c r="S186" s="35">
        <v>20</v>
      </c>
      <c r="T186" s="35">
        <v>20</v>
      </c>
      <c r="U186" s="35">
        <v>20</v>
      </c>
      <c r="V186" s="35"/>
      <c r="W186" s="35"/>
      <c r="X186" s="35"/>
      <c r="Y186" s="35"/>
      <c r="Z186" s="35"/>
      <c r="AA186" s="35"/>
      <c r="AB186" s="36">
        <f t="shared" si="4"/>
        <v>240</v>
      </c>
      <c r="AC186" s="37">
        <v>6</v>
      </c>
      <c r="AD186" s="91"/>
    </row>
    <row r="187" spans="2:30">
      <c r="B187" s="89">
        <v>48427</v>
      </c>
      <c r="C187" s="34" t="s">
        <v>32</v>
      </c>
      <c r="D187" s="35"/>
      <c r="E187" s="35"/>
      <c r="F187" s="35"/>
      <c r="G187" s="35"/>
      <c r="H187" s="35"/>
      <c r="I187" s="35"/>
      <c r="J187" s="35">
        <v>20</v>
      </c>
      <c r="K187" s="35">
        <v>20</v>
      </c>
      <c r="L187" s="35">
        <v>20</v>
      </c>
      <c r="M187" s="35">
        <v>20</v>
      </c>
      <c r="N187" s="35">
        <v>20</v>
      </c>
      <c r="O187" s="35">
        <v>20</v>
      </c>
      <c r="P187" s="35">
        <v>20</v>
      </c>
      <c r="Q187" s="35">
        <v>20</v>
      </c>
      <c r="R187" s="35">
        <v>20</v>
      </c>
      <c r="S187" s="35">
        <v>20</v>
      </c>
      <c r="T187" s="35">
        <v>20</v>
      </c>
      <c r="U187" s="35">
        <v>20</v>
      </c>
      <c r="V187" s="35"/>
      <c r="W187" s="35"/>
      <c r="X187" s="35"/>
      <c r="Y187" s="35"/>
      <c r="Z187" s="35"/>
      <c r="AA187" s="35"/>
      <c r="AB187" s="36">
        <f t="shared" si="4"/>
        <v>240</v>
      </c>
      <c r="AC187" s="37">
        <v>21</v>
      </c>
      <c r="AD187" s="91">
        <f>+AB187*AC187+AB188*AC188+AB189*AC189</f>
        <v>7440</v>
      </c>
    </row>
    <row r="188" spans="2:30">
      <c r="B188" s="89"/>
      <c r="C188" s="34" t="s">
        <v>33</v>
      </c>
      <c r="D188" s="35"/>
      <c r="E188" s="35"/>
      <c r="F188" s="35"/>
      <c r="G188" s="35"/>
      <c r="H188" s="35"/>
      <c r="I188" s="35"/>
      <c r="J188" s="35">
        <v>20</v>
      </c>
      <c r="K188" s="35">
        <v>20</v>
      </c>
      <c r="L188" s="35">
        <v>20</v>
      </c>
      <c r="M188" s="35">
        <v>20</v>
      </c>
      <c r="N188" s="35">
        <v>20</v>
      </c>
      <c r="O188" s="35">
        <v>20</v>
      </c>
      <c r="P188" s="35">
        <v>20</v>
      </c>
      <c r="Q188" s="35">
        <v>20</v>
      </c>
      <c r="R188" s="35">
        <v>20</v>
      </c>
      <c r="S188" s="35">
        <v>20</v>
      </c>
      <c r="T188" s="35">
        <v>20</v>
      </c>
      <c r="U188" s="35">
        <v>20</v>
      </c>
      <c r="V188" s="35"/>
      <c r="W188" s="35"/>
      <c r="X188" s="35"/>
      <c r="Y188" s="35"/>
      <c r="Z188" s="35"/>
      <c r="AA188" s="35"/>
      <c r="AB188" s="36">
        <f t="shared" si="4"/>
        <v>240</v>
      </c>
      <c r="AC188" s="37">
        <v>3</v>
      </c>
      <c r="AD188" s="91"/>
    </row>
    <row r="189" spans="2:30">
      <c r="B189" s="89"/>
      <c r="C189" s="34" t="s">
        <v>34</v>
      </c>
      <c r="D189" s="35"/>
      <c r="E189" s="35"/>
      <c r="F189" s="35"/>
      <c r="G189" s="35"/>
      <c r="H189" s="35"/>
      <c r="I189" s="35"/>
      <c r="J189" s="35">
        <v>20</v>
      </c>
      <c r="K189" s="35">
        <v>20</v>
      </c>
      <c r="L189" s="35">
        <v>20</v>
      </c>
      <c r="M189" s="35">
        <v>20</v>
      </c>
      <c r="N189" s="35">
        <v>20</v>
      </c>
      <c r="O189" s="35">
        <v>20</v>
      </c>
      <c r="P189" s="35">
        <v>20</v>
      </c>
      <c r="Q189" s="35">
        <v>20</v>
      </c>
      <c r="R189" s="35">
        <v>20</v>
      </c>
      <c r="S189" s="35">
        <v>20</v>
      </c>
      <c r="T189" s="35">
        <v>20</v>
      </c>
      <c r="U189" s="35">
        <v>20</v>
      </c>
      <c r="V189" s="35"/>
      <c r="W189" s="35"/>
      <c r="X189" s="35"/>
      <c r="Y189" s="35"/>
      <c r="Z189" s="35"/>
      <c r="AA189" s="35"/>
      <c r="AB189" s="36">
        <f t="shared" si="4"/>
        <v>240</v>
      </c>
      <c r="AC189" s="37">
        <v>7</v>
      </c>
      <c r="AD189" s="91"/>
    </row>
    <row r="190" spans="2:30">
      <c r="B190" s="89">
        <v>48458</v>
      </c>
      <c r="C190" s="34" t="s">
        <v>32</v>
      </c>
      <c r="D190" s="35"/>
      <c r="E190" s="35"/>
      <c r="F190" s="35"/>
      <c r="G190" s="35"/>
      <c r="H190" s="35"/>
      <c r="I190" s="35"/>
      <c r="J190" s="35">
        <v>20</v>
      </c>
      <c r="K190" s="35">
        <v>20</v>
      </c>
      <c r="L190" s="35">
        <v>20</v>
      </c>
      <c r="M190" s="35">
        <v>20</v>
      </c>
      <c r="N190" s="35">
        <v>20</v>
      </c>
      <c r="O190" s="35">
        <v>20</v>
      </c>
      <c r="P190" s="35">
        <v>20</v>
      </c>
      <c r="Q190" s="35">
        <v>20</v>
      </c>
      <c r="R190" s="35">
        <v>20</v>
      </c>
      <c r="S190" s="35">
        <v>20</v>
      </c>
      <c r="T190" s="35">
        <v>20</v>
      </c>
      <c r="U190" s="35">
        <v>20</v>
      </c>
      <c r="V190" s="35"/>
      <c r="W190" s="35"/>
      <c r="X190" s="35"/>
      <c r="Y190" s="35"/>
      <c r="Z190" s="35"/>
      <c r="AA190" s="35"/>
      <c r="AB190" s="36">
        <f t="shared" si="4"/>
        <v>240</v>
      </c>
      <c r="AC190" s="37">
        <v>22</v>
      </c>
      <c r="AD190" s="91">
        <f>+AB190*AC190+AB191*AC191+AB192*AC192</f>
        <v>7200</v>
      </c>
    </row>
    <row r="191" spans="2:30">
      <c r="B191" s="89"/>
      <c r="C191" s="34" t="s">
        <v>33</v>
      </c>
      <c r="D191" s="35"/>
      <c r="E191" s="35"/>
      <c r="F191" s="35"/>
      <c r="G191" s="35"/>
      <c r="H191" s="35"/>
      <c r="I191" s="35"/>
      <c r="J191" s="35">
        <v>20</v>
      </c>
      <c r="K191" s="35">
        <v>20</v>
      </c>
      <c r="L191" s="35">
        <v>20</v>
      </c>
      <c r="M191" s="35">
        <v>20</v>
      </c>
      <c r="N191" s="35">
        <v>20</v>
      </c>
      <c r="O191" s="35">
        <v>20</v>
      </c>
      <c r="P191" s="35">
        <v>20</v>
      </c>
      <c r="Q191" s="35">
        <v>20</v>
      </c>
      <c r="R191" s="35">
        <v>20</v>
      </c>
      <c r="S191" s="35">
        <v>20</v>
      </c>
      <c r="T191" s="35">
        <v>20</v>
      </c>
      <c r="U191" s="35">
        <v>20</v>
      </c>
      <c r="V191" s="35"/>
      <c r="W191" s="35"/>
      <c r="X191" s="35"/>
      <c r="Y191" s="35"/>
      <c r="Z191" s="35"/>
      <c r="AA191" s="35"/>
      <c r="AB191" s="36">
        <f t="shared" si="4"/>
        <v>240</v>
      </c>
      <c r="AC191" s="37">
        <v>4</v>
      </c>
      <c r="AD191" s="91"/>
    </row>
    <row r="192" spans="2:30">
      <c r="B192" s="89"/>
      <c r="C192" s="34" t="s">
        <v>34</v>
      </c>
      <c r="D192" s="35"/>
      <c r="E192" s="35"/>
      <c r="F192" s="35"/>
      <c r="G192" s="35"/>
      <c r="H192" s="35"/>
      <c r="I192" s="35"/>
      <c r="J192" s="35">
        <v>20</v>
      </c>
      <c r="K192" s="35">
        <v>20</v>
      </c>
      <c r="L192" s="35">
        <v>20</v>
      </c>
      <c r="M192" s="35">
        <v>20</v>
      </c>
      <c r="N192" s="35">
        <v>20</v>
      </c>
      <c r="O192" s="35">
        <v>20</v>
      </c>
      <c r="P192" s="35">
        <v>20</v>
      </c>
      <c r="Q192" s="35">
        <v>20</v>
      </c>
      <c r="R192" s="35">
        <v>20</v>
      </c>
      <c r="S192" s="35">
        <v>20</v>
      </c>
      <c r="T192" s="35">
        <v>20</v>
      </c>
      <c r="U192" s="35">
        <v>20</v>
      </c>
      <c r="V192" s="35"/>
      <c r="W192" s="35"/>
      <c r="X192" s="35"/>
      <c r="Y192" s="35"/>
      <c r="Z192" s="35"/>
      <c r="AA192" s="35"/>
      <c r="AB192" s="36">
        <f t="shared" si="4"/>
        <v>240</v>
      </c>
      <c r="AC192" s="37">
        <v>4</v>
      </c>
      <c r="AD192" s="91"/>
    </row>
    <row r="193" spans="2:30">
      <c r="B193" s="89">
        <v>48488</v>
      </c>
      <c r="C193" s="34" t="s">
        <v>32</v>
      </c>
      <c r="D193" s="35"/>
      <c r="E193" s="35"/>
      <c r="F193" s="35"/>
      <c r="G193" s="35"/>
      <c r="H193" s="35"/>
      <c r="I193" s="35"/>
      <c r="J193" s="35">
        <v>20</v>
      </c>
      <c r="K193" s="35">
        <v>20</v>
      </c>
      <c r="L193" s="35">
        <v>20</v>
      </c>
      <c r="M193" s="35">
        <v>20</v>
      </c>
      <c r="N193" s="35">
        <v>20</v>
      </c>
      <c r="O193" s="35">
        <v>20</v>
      </c>
      <c r="P193" s="35">
        <v>20</v>
      </c>
      <c r="Q193" s="35">
        <v>20</v>
      </c>
      <c r="R193" s="35">
        <v>20</v>
      </c>
      <c r="S193" s="35">
        <v>20</v>
      </c>
      <c r="T193" s="35">
        <v>20</v>
      </c>
      <c r="U193" s="35">
        <v>20</v>
      </c>
      <c r="V193" s="35"/>
      <c r="W193" s="35"/>
      <c r="X193" s="35"/>
      <c r="Y193" s="35"/>
      <c r="Z193" s="35"/>
      <c r="AA193" s="35"/>
      <c r="AB193" s="36">
        <f t="shared" si="4"/>
        <v>240</v>
      </c>
      <c r="AC193" s="37">
        <v>20</v>
      </c>
      <c r="AD193" s="91">
        <f>+AB193*AC193+AB194*AC194+AB195*AC195</f>
        <v>7440</v>
      </c>
    </row>
    <row r="194" spans="2:30">
      <c r="B194" s="89"/>
      <c r="C194" s="34" t="s">
        <v>33</v>
      </c>
      <c r="D194" s="35"/>
      <c r="E194" s="35"/>
      <c r="F194" s="35"/>
      <c r="G194" s="35"/>
      <c r="H194" s="35"/>
      <c r="I194" s="35"/>
      <c r="J194" s="35">
        <v>20</v>
      </c>
      <c r="K194" s="35">
        <v>20</v>
      </c>
      <c r="L194" s="35">
        <v>20</v>
      </c>
      <c r="M194" s="35">
        <v>20</v>
      </c>
      <c r="N194" s="35">
        <v>20</v>
      </c>
      <c r="O194" s="35">
        <v>20</v>
      </c>
      <c r="P194" s="35">
        <v>20</v>
      </c>
      <c r="Q194" s="35">
        <v>20</v>
      </c>
      <c r="R194" s="35">
        <v>20</v>
      </c>
      <c r="S194" s="35">
        <v>20</v>
      </c>
      <c r="T194" s="35">
        <v>20</v>
      </c>
      <c r="U194" s="35">
        <v>20</v>
      </c>
      <c r="V194" s="35"/>
      <c r="W194" s="35"/>
      <c r="X194" s="35"/>
      <c r="Y194" s="35"/>
      <c r="Z194" s="35"/>
      <c r="AA194" s="35"/>
      <c r="AB194" s="36">
        <f t="shared" si="4"/>
        <v>240</v>
      </c>
      <c r="AC194" s="37">
        <v>5</v>
      </c>
      <c r="AD194" s="91"/>
    </row>
    <row r="195" spans="2:30">
      <c r="B195" s="89"/>
      <c r="C195" s="34" t="s">
        <v>34</v>
      </c>
      <c r="D195" s="35"/>
      <c r="E195" s="35"/>
      <c r="F195" s="35"/>
      <c r="G195" s="35"/>
      <c r="H195" s="35"/>
      <c r="I195" s="35"/>
      <c r="J195" s="35">
        <v>20</v>
      </c>
      <c r="K195" s="35">
        <v>20</v>
      </c>
      <c r="L195" s="35">
        <v>20</v>
      </c>
      <c r="M195" s="35">
        <v>20</v>
      </c>
      <c r="N195" s="35">
        <v>20</v>
      </c>
      <c r="O195" s="35">
        <v>20</v>
      </c>
      <c r="P195" s="35">
        <v>20</v>
      </c>
      <c r="Q195" s="35">
        <v>20</v>
      </c>
      <c r="R195" s="35">
        <v>20</v>
      </c>
      <c r="S195" s="35">
        <v>20</v>
      </c>
      <c r="T195" s="35">
        <v>20</v>
      </c>
      <c r="U195" s="35">
        <v>20</v>
      </c>
      <c r="V195" s="35"/>
      <c r="W195" s="35"/>
      <c r="X195" s="35"/>
      <c r="Y195" s="35"/>
      <c r="Z195" s="35"/>
      <c r="AA195" s="35"/>
      <c r="AB195" s="36">
        <f t="shared" si="4"/>
        <v>240</v>
      </c>
      <c r="AC195" s="37">
        <v>6</v>
      </c>
      <c r="AD195" s="91"/>
    </row>
    <row r="196" spans="2:30">
      <c r="B196" s="89">
        <v>48519</v>
      </c>
      <c r="C196" s="34" t="s">
        <v>32</v>
      </c>
      <c r="D196" s="35"/>
      <c r="E196" s="35"/>
      <c r="F196" s="35"/>
      <c r="G196" s="35"/>
      <c r="H196" s="35"/>
      <c r="I196" s="35"/>
      <c r="J196" s="35">
        <v>20</v>
      </c>
      <c r="K196" s="35">
        <v>20</v>
      </c>
      <c r="L196" s="35">
        <v>20</v>
      </c>
      <c r="M196" s="35">
        <v>20</v>
      </c>
      <c r="N196" s="35">
        <v>20</v>
      </c>
      <c r="O196" s="35">
        <v>20</v>
      </c>
      <c r="P196" s="35">
        <v>20</v>
      </c>
      <c r="Q196" s="35">
        <v>20</v>
      </c>
      <c r="R196" s="35">
        <v>20</v>
      </c>
      <c r="S196" s="35">
        <v>20</v>
      </c>
      <c r="T196" s="35">
        <v>20</v>
      </c>
      <c r="U196" s="35">
        <v>20</v>
      </c>
      <c r="V196" s="35"/>
      <c r="W196" s="35"/>
      <c r="X196" s="35"/>
      <c r="Y196" s="35"/>
      <c r="Z196" s="35"/>
      <c r="AA196" s="35"/>
      <c r="AB196" s="36">
        <f t="shared" si="4"/>
        <v>240</v>
      </c>
      <c r="AC196" s="37">
        <v>20</v>
      </c>
      <c r="AD196" s="91">
        <f>+AB196*AC196+AB197*AC197+AB198*AC198</f>
        <v>7200</v>
      </c>
    </row>
    <row r="197" spans="2:30">
      <c r="B197" s="89"/>
      <c r="C197" s="34" t="s">
        <v>33</v>
      </c>
      <c r="D197" s="35"/>
      <c r="E197" s="35"/>
      <c r="F197" s="35"/>
      <c r="G197" s="35"/>
      <c r="H197" s="35"/>
      <c r="I197" s="35"/>
      <c r="J197" s="35">
        <v>20</v>
      </c>
      <c r="K197" s="35">
        <v>20</v>
      </c>
      <c r="L197" s="35">
        <v>20</v>
      </c>
      <c r="M197" s="35">
        <v>20</v>
      </c>
      <c r="N197" s="35">
        <v>20</v>
      </c>
      <c r="O197" s="35">
        <v>20</v>
      </c>
      <c r="P197" s="35">
        <v>20</v>
      </c>
      <c r="Q197" s="35">
        <v>20</v>
      </c>
      <c r="R197" s="35">
        <v>20</v>
      </c>
      <c r="S197" s="35">
        <v>20</v>
      </c>
      <c r="T197" s="35">
        <v>20</v>
      </c>
      <c r="U197" s="35">
        <v>20</v>
      </c>
      <c r="V197" s="35"/>
      <c r="W197" s="35"/>
      <c r="X197" s="35"/>
      <c r="Y197" s="35"/>
      <c r="Z197" s="35"/>
      <c r="AA197" s="35"/>
      <c r="AB197" s="36">
        <f t="shared" si="4"/>
        <v>240</v>
      </c>
      <c r="AC197" s="37">
        <v>4</v>
      </c>
      <c r="AD197" s="91"/>
    </row>
    <row r="198" spans="2:30">
      <c r="B198" s="89"/>
      <c r="C198" s="34" t="s">
        <v>34</v>
      </c>
      <c r="D198" s="35"/>
      <c r="E198" s="35"/>
      <c r="F198" s="35"/>
      <c r="G198" s="35"/>
      <c r="H198" s="35"/>
      <c r="I198" s="35"/>
      <c r="J198" s="35">
        <v>20</v>
      </c>
      <c r="K198" s="35">
        <v>20</v>
      </c>
      <c r="L198" s="35">
        <v>20</v>
      </c>
      <c r="M198" s="35">
        <v>20</v>
      </c>
      <c r="N198" s="35">
        <v>20</v>
      </c>
      <c r="O198" s="35">
        <v>20</v>
      </c>
      <c r="P198" s="35">
        <v>20</v>
      </c>
      <c r="Q198" s="35">
        <v>20</v>
      </c>
      <c r="R198" s="35">
        <v>20</v>
      </c>
      <c r="S198" s="35">
        <v>20</v>
      </c>
      <c r="T198" s="35">
        <v>20</v>
      </c>
      <c r="U198" s="35">
        <v>20</v>
      </c>
      <c r="V198" s="35"/>
      <c r="W198" s="35"/>
      <c r="X198" s="35"/>
      <c r="Y198" s="35"/>
      <c r="Z198" s="35"/>
      <c r="AA198" s="35"/>
      <c r="AB198" s="36">
        <f t="shared" si="4"/>
        <v>240</v>
      </c>
      <c r="AC198" s="37">
        <v>6</v>
      </c>
      <c r="AD198" s="91"/>
    </row>
    <row r="199" spans="2:30">
      <c r="B199" s="89">
        <v>48549</v>
      </c>
      <c r="C199" s="34" t="s">
        <v>32</v>
      </c>
      <c r="D199" s="35"/>
      <c r="E199" s="35"/>
      <c r="F199" s="35"/>
      <c r="G199" s="35"/>
      <c r="H199" s="35"/>
      <c r="I199" s="35"/>
      <c r="J199" s="35">
        <v>20</v>
      </c>
      <c r="K199" s="35">
        <v>20</v>
      </c>
      <c r="L199" s="35">
        <v>20</v>
      </c>
      <c r="M199" s="35">
        <v>20</v>
      </c>
      <c r="N199" s="35">
        <v>20</v>
      </c>
      <c r="O199" s="35">
        <v>20</v>
      </c>
      <c r="P199" s="35">
        <v>20</v>
      </c>
      <c r="Q199" s="35">
        <v>20</v>
      </c>
      <c r="R199" s="35">
        <v>20</v>
      </c>
      <c r="S199" s="35">
        <v>20</v>
      </c>
      <c r="T199" s="35">
        <v>20</v>
      </c>
      <c r="U199" s="35">
        <v>20</v>
      </c>
      <c r="V199" s="35"/>
      <c r="W199" s="35"/>
      <c r="X199" s="35"/>
      <c r="Y199" s="35"/>
      <c r="Z199" s="35"/>
      <c r="AA199" s="35"/>
      <c r="AB199" s="36">
        <f t="shared" si="4"/>
        <v>240</v>
      </c>
      <c r="AC199" s="37">
        <v>22</v>
      </c>
      <c r="AD199" s="91">
        <f>+AB199*AC199+AB200*AC200+AB201*AC201</f>
        <v>7440</v>
      </c>
    </row>
    <row r="200" spans="2:30">
      <c r="B200" s="89"/>
      <c r="C200" s="34" t="s">
        <v>33</v>
      </c>
      <c r="D200" s="35"/>
      <c r="E200" s="35"/>
      <c r="F200" s="35"/>
      <c r="G200" s="35"/>
      <c r="H200" s="35"/>
      <c r="I200" s="35"/>
      <c r="J200" s="35">
        <v>20</v>
      </c>
      <c r="K200" s="35">
        <v>20</v>
      </c>
      <c r="L200" s="35">
        <v>20</v>
      </c>
      <c r="M200" s="35">
        <v>20</v>
      </c>
      <c r="N200" s="35">
        <v>20</v>
      </c>
      <c r="O200" s="35">
        <v>20</v>
      </c>
      <c r="P200" s="35">
        <v>20</v>
      </c>
      <c r="Q200" s="35">
        <v>20</v>
      </c>
      <c r="R200" s="35">
        <v>20</v>
      </c>
      <c r="S200" s="35">
        <v>20</v>
      </c>
      <c r="T200" s="35">
        <v>20</v>
      </c>
      <c r="U200" s="35">
        <v>20</v>
      </c>
      <c r="V200" s="35"/>
      <c r="W200" s="35"/>
      <c r="X200" s="35"/>
      <c r="Y200" s="35"/>
      <c r="Z200" s="35"/>
      <c r="AA200" s="35"/>
      <c r="AB200" s="36">
        <f t="shared" si="4"/>
        <v>240</v>
      </c>
      <c r="AC200" s="37">
        <v>3</v>
      </c>
      <c r="AD200" s="91"/>
    </row>
    <row r="201" spans="2:30">
      <c r="B201" s="89"/>
      <c r="C201" s="34" t="s">
        <v>34</v>
      </c>
      <c r="D201" s="35"/>
      <c r="E201" s="35"/>
      <c r="F201" s="35"/>
      <c r="G201" s="35"/>
      <c r="H201" s="35"/>
      <c r="I201" s="35"/>
      <c r="J201" s="35">
        <v>20</v>
      </c>
      <c r="K201" s="35">
        <v>20</v>
      </c>
      <c r="L201" s="35">
        <v>20</v>
      </c>
      <c r="M201" s="35">
        <v>20</v>
      </c>
      <c r="N201" s="35">
        <v>20</v>
      </c>
      <c r="O201" s="35">
        <v>20</v>
      </c>
      <c r="P201" s="35">
        <v>20</v>
      </c>
      <c r="Q201" s="35">
        <v>20</v>
      </c>
      <c r="R201" s="35">
        <v>20</v>
      </c>
      <c r="S201" s="35">
        <v>20</v>
      </c>
      <c r="T201" s="35">
        <v>20</v>
      </c>
      <c r="U201" s="35">
        <v>20</v>
      </c>
      <c r="V201" s="35"/>
      <c r="W201" s="35"/>
      <c r="X201" s="35"/>
      <c r="Y201" s="35"/>
      <c r="Z201" s="35"/>
      <c r="AA201" s="35"/>
      <c r="AB201" s="36">
        <f t="shared" si="4"/>
        <v>240</v>
      </c>
      <c r="AC201" s="37">
        <v>6</v>
      </c>
      <c r="AD201" s="91"/>
    </row>
    <row r="202" spans="2:30">
      <c r="AA202" s="86" t="s">
        <v>35</v>
      </c>
      <c r="AB202" s="87"/>
      <c r="AC202" s="88"/>
      <c r="AD202" s="39">
        <f>SUM(AD166:AD201)</f>
        <v>87840</v>
      </c>
    </row>
  </sheetData>
  <mergeCells count="125">
    <mergeCell ref="AD187:AD189"/>
    <mergeCell ref="AD190:AD192"/>
    <mergeCell ref="AD193:AD195"/>
    <mergeCell ref="AD196:AD198"/>
    <mergeCell ref="AD199:AD201"/>
    <mergeCell ref="AD156:AD158"/>
    <mergeCell ref="AD159:AD161"/>
    <mergeCell ref="AD166:AD168"/>
    <mergeCell ref="AD169:AD171"/>
    <mergeCell ref="AD172:AD174"/>
    <mergeCell ref="AD175:AD177"/>
    <mergeCell ref="AD178:AD180"/>
    <mergeCell ref="AD181:AD183"/>
    <mergeCell ref="AD184:AD186"/>
    <mergeCell ref="AD129:AD131"/>
    <mergeCell ref="AD132:AD134"/>
    <mergeCell ref="AD135:AD137"/>
    <mergeCell ref="AD138:AD140"/>
    <mergeCell ref="AD141:AD143"/>
    <mergeCell ref="AD144:AD146"/>
    <mergeCell ref="AD147:AD149"/>
    <mergeCell ref="AD150:AD152"/>
    <mergeCell ref="AD153:AD155"/>
    <mergeCell ref="AD98:AD100"/>
    <mergeCell ref="AD101:AD103"/>
    <mergeCell ref="AD104:AD106"/>
    <mergeCell ref="AD107:AD109"/>
    <mergeCell ref="AD110:AD112"/>
    <mergeCell ref="AD113:AD115"/>
    <mergeCell ref="AD116:AD118"/>
    <mergeCell ref="AD119:AD121"/>
    <mergeCell ref="AD126:AD128"/>
    <mergeCell ref="AD67:AD69"/>
    <mergeCell ref="AD70:AD72"/>
    <mergeCell ref="AD73:AD75"/>
    <mergeCell ref="AD76:AD78"/>
    <mergeCell ref="AD79:AD81"/>
    <mergeCell ref="AD86:AD88"/>
    <mergeCell ref="AD89:AD91"/>
    <mergeCell ref="AD92:AD94"/>
    <mergeCell ref="AD95:AD97"/>
    <mergeCell ref="B187:B189"/>
    <mergeCell ref="B190:B192"/>
    <mergeCell ref="B193:B195"/>
    <mergeCell ref="B196:B198"/>
    <mergeCell ref="B199:B201"/>
    <mergeCell ref="AD6:AD8"/>
    <mergeCell ref="AD9:AD11"/>
    <mergeCell ref="AD12:AD14"/>
    <mergeCell ref="AD15:AD17"/>
    <mergeCell ref="AD18:AD20"/>
    <mergeCell ref="AD21:AD23"/>
    <mergeCell ref="AD24:AD26"/>
    <mergeCell ref="AD27:AD29"/>
    <mergeCell ref="AD30:AD32"/>
    <mergeCell ref="AD33:AD35"/>
    <mergeCell ref="AD36:AD38"/>
    <mergeCell ref="AD39:AD41"/>
    <mergeCell ref="AD46:AD48"/>
    <mergeCell ref="AD49:AD51"/>
    <mergeCell ref="AD52:AD54"/>
    <mergeCell ref="AD55:AD57"/>
    <mergeCell ref="AD58:AD60"/>
    <mergeCell ref="AD61:AD63"/>
    <mergeCell ref="AD64:AD66"/>
    <mergeCell ref="B156:B158"/>
    <mergeCell ref="B159:B161"/>
    <mergeCell ref="B166:B168"/>
    <mergeCell ref="B169:B171"/>
    <mergeCell ref="B172:B174"/>
    <mergeCell ref="B175:B177"/>
    <mergeCell ref="B178:B180"/>
    <mergeCell ref="B181:B183"/>
    <mergeCell ref="B184:B186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6:B128"/>
    <mergeCell ref="B67:B69"/>
    <mergeCell ref="B70:B72"/>
    <mergeCell ref="B73:B75"/>
    <mergeCell ref="B76:B78"/>
    <mergeCell ref="B79:B81"/>
    <mergeCell ref="B86:B88"/>
    <mergeCell ref="B89:B91"/>
    <mergeCell ref="B92:B94"/>
    <mergeCell ref="B95:B97"/>
    <mergeCell ref="AA42:AC42"/>
    <mergeCell ref="AA82:AC82"/>
    <mergeCell ref="AA122:AC122"/>
    <mergeCell ref="AA162:AC162"/>
    <mergeCell ref="AA202:AC202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6:B48"/>
    <mergeCell ref="B49:B51"/>
    <mergeCell ref="B52:B54"/>
    <mergeCell ref="B55:B57"/>
    <mergeCell ref="B58:B60"/>
    <mergeCell ref="B61:B63"/>
    <mergeCell ref="B64:B66"/>
  </mergeCells>
  <conditionalFormatting sqref="D6:AA41">
    <cfRule type="cellIs" dxfId="39" priority="14" operator="lessThan">
      <formula>0</formula>
    </cfRule>
    <cfRule type="cellIs" dxfId="38" priority="15" operator="equal">
      <formula>"&gt;0"</formula>
    </cfRule>
  </conditionalFormatting>
  <conditionalFormatting sqref="D46:AA81">
    <cfRule type="cellIs" dxfId="37" priority="12" operator="lessThan">
      <formula>0</formula>
    </cfRule>
    <cfRule type="cellIs" dxfId="36" priority="13" operator="equal">
      <formula>"&gt;0"</formula>
    </cfRule>
  </conditionalFormatting>
  <conditionalFormatting sqref="D86:AA121">
    <cfRule type="cellIs" dxfId="35" priority="10" operator="lessThan">
      <formula>0</formula>
    </cfRule>
    <cfRule type="cellIs" dxfId="34" priority="11" operator="equal">
      <formula>"&gt;0"</formula>
    </cfRule>
  </conditionalFormatting>
  <conditionalFormatting sqref="D126:AA161">
    <cfRule type="cellIs" dxfId="33" priority="8" operator="lessThan">
      <formula>0</formula>
    </cfRule>
    <cfRule type="cellIs" dxfId="32" priority="9" operator="equal">
      <formula>"&gt;0"</formula>
    </cfRule>
  </conditionalFormatting>
  <conditionalFormatting sqref="D166:AA201">
    <cfRule type="cellIs" dxfId="31" priority="6" operator="lessThan">
      <formula>0</formula>
    </cfRule>
    <cfRule type="cellIs" dxfId="30" priority="7" operator="equal">
      <formula>"&gt;0"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5117038483843"/>
  </sheetPr>
  <dimension ref="B2:N27"/>
  <sheetViews>
    <sheetView showGridLines="0" zoomScale="80" zoomScaleNormal="80" workbookViewId="0">
      <selection activeCell="D22" sqref="D22:H22"/>
    </sheetView>
  </sheetViews>
  <sheetFormatPr baseColWidth="10" defaultColWidth="11" defaultRowHeight="15"/>
  <cols>
    <col min="1" max="1" width="3.88671875" customWidth="1"/>
    <col min="3" max="3" width="1.88671875" customWidth="1"/>
    <col min="4" max="5" width="12.21875" customWidth="1"/>
    <col min="6" max="6" width="13.21875" customWidth="1"/>
    <col min="7" max="7" width="12.5546875" customWidth="1"/>
    <col min="8" max="8" width="8.21875" customWidth="1"/>
    <col min="9" max="9" width="7.6640625" customWidth="1"/>
  </cols>
  <sheetData>
    <row r="2" spans="2:9" ht="18">
      <c r="B2" s="48"/>
      <c r="C2" s="49"/>
      <c r="D2" s="50" t="s">
        <v>46</v>
      </c>
      <c r="E2" s="49"/>
      <c r="F2" s="49"/>
      <c r="G2" s="49"/>
      <c r="H2" s="49"/>
      <c r="I2" s="51"/>
    </row>
    <row r="3" spans="2:9" ht="18">
      <c r="B3" s="12"/>
      <c r="D3" s="9" t="s">
        <v>47</v>
      </c>
      <c r="I3" s="52"/>
    </row>
    <row r="4" spans="2:9" ht="18">
      <c r="B4" s="12"/>
      <c r="D4" s="9" t="s">
        <v>48</v>
      </c>
      <c r="I4" s="52"/>
    </row>
    <row r="5" spans="2:9" ht="18">
      <c r="B5" s="12"/>
      <c r="D5" s="9"/>
      <c r="I5" s="52"/>
    </row>
    <row r="6" spans="2:9" ht="18">
      <c r="B6" s="12"/>
      <c r="D6" s="9" t="s">
        <v>49</v>
      </c>
      <c r="I6" s="52"/>
    </row>
    <row r="7" spans="2:9">
      <c r="B7" s="12"/>
      <c r="I7" s="52"/>
    </row>
    <row r="8" spans="2:9" ht="18">
      <c r="B8" s="12"/>
      <c r="D8" s="9" t="s">
        <v>60</v>
      </c>
      <c r="I8" s="52"/>
    </row>
    <row r="9" spans="2:9">
      <c r="B9" s="12"/>
      <c r="I9" s="52"/>
    </row>
    <row r="10" spans="2:9" ht="15.75">
      <c r="B10" s="12"/>
      <c r="D10" s="53"/>
      <c r="I10" s="54"/>
    </row>
    <row r="11" spans="2:9" ht="45">
      <c r="B11" s="12"/>
      <c r="D11" s="14" t="s">
        <v>50</v>
      </c>
      <c r="E11" s="14" t="s">
        <v>51</v>
      </c>
      <c r="F11" s="14" t="s">
        <v>52</v>
      </c>
      <c r="G11" s="14" t="s">
        <v>53</v>
      </c>
      <c r="H11" s="55"/>
      <c r="I11" s="54"/>
    </row>
    <row r="12" spans="2:9" ht="15.75">
      <c r="B12" s="12"/>
      <c r="D12" s="56">
        <v>2028</v>
      </c>
      <c r="E12" s="57">
        <f>'P2_ANEXO 1 -2028 a 2032'!AD42</f>
        <v>92232</v>
      </c>
      <c r="F12" s="100"/>
      <c r="G12" s="58"/>
      <c r="H12" s="59"/>
      <c r="I12" s="54"/>
    </row>
    <row r="13" spans="2:9" ht="15.75">
      <c r="B13" s="12"/>
      <c r="D13" s="56">
        <v>2029</v>
      </c>
      <c r="E13" s="57">
        <f>'P2_ANEXO 1 -2028 a 2032'!AD82</f>
        <v>87600</v>
      </c>
      <c r="F13" s="100"/>
      <c r="G13" s="58"/>
      <c r="H13" s="59"/>
      <c r="I13" s="54"/>
    </row>
    <row r="14" spans="2:9" ht="15.75">
      <c r="B14" s="12"/>
      <c r="D14" s="56">
        <v>2030</v>
      </c>
      <c r="E14" s="57">
        <f>'P2_ANEXO 1 -2028 a 2032'!AD122</f>
        <v>87600</v>
      </c>
      <c r="F14" s="100"/>
      <c r="G14" s="58"/>
      <c r="H14" s="59"/>
      <c r="I14" s="54"/>
    </row>
    <row r="15" spans="2:9" ht="15.75">
      <c r="B15" s="12"/>
      <c r="D15" s="56">
        <v>2031</v>
      </c>
      <c r="E15" s="57">
        <f>'P2_ANEXO 1 -2028 a 2032'!AD162</f>
        <v>91104</v>
      </c>
      <c r="F15" s="100"/>
      <c r="G15" s="58"/>
      <c r="H15" s="59"/>
      <c r="I15" s="54"/>
    </row>
    <row r="16" spans="2:9" ht="15.75">
      <c r="B16" s="12"/>
      <c r="D16" s="56">
        <v>2032</v>
      </c>
      <c r="E16" s="57">
        <f>'P2_ANEXO 1 -2028 a 2032'!AD202</f>
        <v>87840</v>
      </c>
      <c r="F16" s="100"/>
      <c r="G16" s="58"/>
      <c r="H16" s="59"/>
      <c r="I16" s="54"/>
    </row>
    <row r="17" spans="2:14" ht="15.75">
      <c r="B17" s="12"/>
      <c r="D17" s="60" t="s">
        <v>54</v>
      </c>
      <c r="E17" s="61">
        <f>SUM(E12:E16)</f>
        <v>446376</v>
      </c>
      <c r="I17" s="54"/>
    </row>
    <row r="18" spans="2:14" ht="15.75">
      <c r="B18" s="12"/>
      <c r="I18" s="54"/>
    </row>
    <row r="19" spans="2:14">
      <c r="B19" s="12"/>
      <c r="I19" s="52"/>
    </row>
    <row r="20" spans="2:14" ht="15.75">
      <c r="B20" s="6"/>
      <c r="C20" s="23" t="s">
        <v>55</v>
      </c>
      <c r="E20" s="1"/>
      <c r="F20" s="1"/>
      <c r="G20" s="1"/>
      <c r="H20" s="1"/>
      <c r="I20" s="8"/>
      <c r="N20" s="62"/>
    </row>
    <row r="21" spans="2:14" ht="30.95" customHeight="1">
      <c r="B21" s="6"/>
      <c r="C21" s="26">
        <v>1</v>
      </c>
      <c r="D21" s="96" t="s">
        <v>105</v>
      </c>
      <c r="E21" s="84"/>
      <c r="F21" s="84"/>
      <c r="G21" s="84"/>
      <c r="H21" s="84"/>
      <c r="I21" s="8"/>
    </row>
    <row r="22" spans="2:14">
      <c r="B22" s="6"/>
      <c r="C22" s="26">
        <v>2</v>
      </c>
      <c r="D22" s="84" t="s">
        <v>67</v>
      </c>
      <c r="E22" s="84"/>
      <c r="F22" s="84"/>
      <c r="G22" s="84"/>
      <c r="H22" s="84"/>
      <c r="I22" s="8"/>
    </row>
    <row r="23" spans="2:14" ht="30.95" customHeight="1">
      <c r="B23" s="6"/>
      <c r="C23" s="26">
        <v>3</v>
      </c>
      <c r="D23" s="84" t="s">
        <v>58</v>
      </c>
      <c r="E23" s="84"/>
      <c r="F23" s="84"/>
      <c r="G23" s="84"/>
      <c r="H23" s="84"/>
      <c r="I23" s="8"/>
    </row>
    <row r="24" spans="2:14">
      <c r="B24" s="6"/>
      <c r="C24" s="26">
        <v>4</v>
      </c>
      <c r="D24" s="84" t="s">
        <v>59</v>
      </c>
      <c r="E24" s="84"/>
      <c r="F24" s="84"/>
      <c r="G24" s="84"/>
      <c r="H24" s="84"/>
      <c r="I24" s="8"/>
    </row>
    <row r="25" spans="2:14">
      <c r="B25" s="6"/>
      <c r="C25" s="1"/>
      <c r="D25" s="24"/>
      <c r="E25" s="1"/>
      <c r="F25" s="1"/>
      <c r="G25" s="1"/>
      <c r="H25" s="1"/>
      <c r="I25" s="8"/>
    </row>
    <row r="26" spans="2:14">
      <c r="B26" s="6"/>
      <c r="C26" s="1"/>
      <c r="D26" s="24"/>
      <c r="E26" s="1"/>
      <c r="F26" s="1"/>
      <c r="G26" s="1"/>
      <c r="H26" s="1"/>
      <c r="I26" s="8"/>
    </row>
    <row r="27" spans="2:14">
      <c r="B27" s="63"/>
      <c r="C27" s="64"/>
      <c r="D27" s="64"/>
      <c r="E27" s="64"/>
      <c r="F27" s="64"/>
      <c r="G27" s="64"/>
      <c r="H27" s="64"/>
      <c r="I27" s="65"/>
    </row>
  </sheetData>
  <mergeCells count="5">
    <mergeCell ref="D21:H21"/>
    <mergeCell ref="D22:H22"/>
    <mergeCell ref="D23:H23"/>
    <mergeCell ref="D24:H24"/>
    <mergeCell ref="F12:F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5117038483843"/>
  </sheetPr>
  <dimension ref="B1:AF202"/>
  <sheetViews>
    <sheetView showGridLines="0" zoomScale="60" zoomScaleNormal="60" workbookViewId="0">
      <pane xSplit="3" ySplit="2" topLeftCell="D3" activePane="bottomRight" state="frozen"/>
      <selection pane="topRight"/>
      <selection pane="bottomLeft"/>
      <selection pane="bottomRight" activeCell="AG7" sqref="AG7"/>
    </sheetView>
  </sheetViews>
  <sheetFormatPr baseColWidth="10" defaultColWidth="11" defaultRowHeight="15"/>
  <cols>
    <col min="1" max="1" width="2.44140625" customWidth="1"/>
    <col min="4" max="9" width="2.6640625" bestFit="1" customWidth="1"/>
    <col min="10" max="21" width="7.33203125" bestFit="1" customWidth="1"/>
    <col min="22" max="27" width="3.44140625" bestFit="1" customWidth="1"/>
    <col min="28" max="28" width="7.109375" customWidth="1"/>
    <col min="29" max="29" width="8.6640625" customWidth="1"/>
    <col min="30" max="30" width="11.5546875" customWidth="1"/>
  </cols>
  <sheetData>
    <row r="1" spans="2:30" ht="23.25">
      <c r="B1" s="30" t="s">
        <v>0</v>
      </c>
    </row>
    <row r="2" spans="2:30" ht="23.25">
      <c r="B2" s="30" t="s">
        <v>68</v>
      </c>
    </row>
    <row r="3" spans="2:30" ht="23.25">
      <c r="B3" s="30"/>
    </row>
    <row r="4" spans="2:30" ht="23.25">
      <c r="B4" s="30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2:30">
      <c r="B5" s="42" t="s">
        <v>3</v>
      </c>
      <c r="C5" s="42" t="s">
        <v>4</v>
      </c>
      <c r="D5" s="42" t="s">
        <v>5</v>
      </c>
      <c r="E5" s="42" t="s">
        <v>6</v>
      </c>
      <c r="F5" s="42" t="s">
        <v>7</v>
      </c>
      <c r="G5" s="42" t="s">
        <v>8</v>
      </c>
      <c r="H5" s="42" t="s">
        <v>9</v>
      </c>
      <c r="I5" s="42" t="s">
        <v>10</v>
      </c>
      <c r="J5" s="42" t="s">
        <v>11</v>
      </c>
      <c r="K5" s="42" t="s">
        <v>12</v>
      </c>
      <c r="L5" s="42" t="s">
        <v>13</v>
      </c>
      <c r="M5" s="42" t="s">
        <v>14</v>
      </c>
      <c r="N5" s="42" t="s">
        <v>15</v>
      </c>
      <c r="O5" s="42" t="s">
        <v>16</v>
      </c>
      <c r="P5" s="42" t="s">
        <v>17</v>
      </c>
      <c r="Q5" s="42" t="s">
        <v>18</v>
      </c>
      <c r="R5" s="42" t="s">
        <v>19</v>
      </c>
      <c r="S5" s="42" t="s">
        <v>20</v>
      </c>
      <c r="T5" s="42" t="s">
        <v>21</v>
      </c>
      <c r="U5" s="42" t="s">
        <v>22</v>
      </c>
      <c r="V5" s="42" t="s">
        <v>23</v>
      </c>
      <c r="W5" s="42" t="s">
        <v>24</v>
      </c>
      <c r="X5" s="42" t="s">
        <v>25</v>
      </c>
      <c r="Y5" s="42" t="s">
        <v>26</v>
      </c>
      <c r="Z5" s="42" t="s">
        <v>27</v>
      </c>
      <c r="AA5" s="42" t="s">
        <v>28</v>
      </c>
      <c r="AB5" s="36" t="s">
        <v>29</v>
      </c>
      <c r="AC5" s="43" t="s">
        <v>30</v>
      </c>
      <c r="AD5" s="42" t="s">
        <v>31</v>
      </c>
    </row>
    <row r="6" spans="2:30">
      <c r="B6" s="90">
        <v>48580</v>
      </c>
      <c r="C6" s="44" t="s">
        <v>32</v>
      </c>
      <c r="D6" s="47"/>
      <c r="E6" s="47"/>
      <c r="F6" s="47"/>
      <c r="G6" s="47"/>
      <c r="H6" s="47"/>
      <c r="I6" s="47"/>
      <c r="J6" s="47">
        <v>9.86</v>
      </c>
      <c r="K6" s="47">
        <v>9.86</v>
      </c>
      <c r="L6" s="47">
        <v>9.86</v>
      </c>
      <c r="M6" s="47">
        <v>9.86</v>
      </c>
      <c r="N6" s="47">
        <v>9.86</v>
      </c>
      <c r="O6" s="47">
        <v>9.86</v>
      </c>
      <c r="P6" s="47">
        <v>9.86</v>
      </c>
      <c r="Q6" s="47">
        <v>9.86</v>
      </c>
      <c r="R6" s="47">
        <v>9.86</v>
      </c>
      <c r="S6" s="47">
        <v>9.86</v>
      </c>
      <c r="T6" s="47">
        <v>9.86</v>
      </c>
      <c r="U6" s="47">
        <v>9.86</v>
      </c>
      <c r="V6" s="47"/>
      <c r="W6" s="47"/>
      <c r="X6" s="47"/>
      <c r="Y6" s="47"/>
      <c r="Z6" s="47"/>
      <c r="AA6" s="47"/>
      <c r="AB6" s="45">
        <f>SUM(D6:AA6)</f>
        <v>118.32</v>
      </c>
      <c r="AC6" s="37">
        <v>19</v>
      </c>
      <c r="AD6" s="92">
        <f>+AB6*AC6+AB7*AC7+AB8*AC8</f>
        <v>3667.92</v>
      </c>
    </row>
    <row r="7" spans="2:30">
      <c r="B7" s="90"/>
      <c r="C7" s="44" t="s">
        <v>33</v>
      </c>
      <c r="D7" s="47"/>
      <c r="E7" s="47"/>
      <c r="F7" s="47"/>
      <c r="G7" s="47"/>
      <c r="H7" s="47"/>
      <c r="I7" s="47"/>
      <c r="J7" s="47">
        <v>9.86</v>
      </c>
      <c r="K7" s="47">
        <v>9.86</v>
      </c>
      <c r="L7" s="47">
        <v>9.86</v>
      </c>
      <c r="M7" s="47">
        <v>9.86</v>
      </c>
      <c r="N7" s="47">
        <v>9.86</v>
      </c>
      <c r="O7" s="47">
        <v>9.86</v>
      </c>
      <c r="P7" s="47">
        <v>9.86</v>
      </c>
      <c r="Q7" s="47">
        <v>9.86</v>
      </c>
      <c r="R7" s="47">
        <v>9.86</v>
      </c>
      <c r="S7" s="47">
        <v>9.86</v>
      </c>
      <c r="T7" s="47">
        <v>9.86</v>
      </c>
      <c r="U7" s="47">
        <v>9.86</v>
      </c>
      <c r="V7" s="47"/>
      <c r="W7" s="47"/>
      <c r="X7" s="47"/>
      <c r="Y7" s="47"/>
      <c r="Z7" s="47"/>
      <c r="AA7" s="47"/>
      <c r="AB7" s="45">
        <f t="shared" ref="AB7:AB41" si="0">SUM(D7:AA7)</f>
        <v>118.32</v>
      </c>
      <c r="AC7" s="37">
        <v>4</v>
      </c>
      <c r="AD7" s="92"/>
    </row>
    <row r="8" spans="2:30">
      <c r="B8" s="90"/>
      <c r="C8" s="44" t="s">
        <v>34</v>
      </c>
      <c r="D8" s="47"/>
      <c r="E8" s="47"/>
      <c r="F8" s="47"/>
      <c r="G8" s="47"/>
      <c r="H8" s="47"/>
      <c r="I8" s="47"/>
      <c r="J8" s="47">
        <v>9.86</v>
      </c>
      <c r="K8" s="47">
        <v>9.86</v>
      </c>
      <c r="L8" s="47">
        <v>9.86</v>
      </c>
      <c r="M8" s="47">
        <v>9.86</v>
      </c>
      <c r="N8" s="47">
        <v>9.86</v>
      </c>
      <c r="O8" s="47">
        <v>9.86</v>
      </c>
      <c r="P8" s="47">
        <v>9.86</v>
      </c>
      <c r="Q8" s="47">
        <v>9.86</v>
      </c>
      <c r="R8" s="47">
        <v>9.86</v>
      </c>
      <c r="S8" s="47">
        <v>9.86</v>
      </c>
      <c r="T8" s="47">
        <v>9.86</v>
      </c>
      <c r="U8" s="47">
        <v>9.86</v>
      </c>
      <c r="V8" s="47"/>
      <c r="W8" s="47"/>
      <c r="X8" s="47"/>
      <c r="Y8" s="47"/>
      <c r="Z8" s="47"/>
      <c r="AA8" s="47"/>
      <c r="AB8" s="45">
        <f t="shared" si="0"/>
        <v>118.32</v>
      </c>
      <c r="AC8" s="37">
        <v>8</v>
      </c>
      <c r="AD8" s="92"/>
    </row>
    <row r="9" spans="2:30">
      <c r="B9" s="90">
        <v>48611</v>
      </c>
      <c r="C9" s="44" t="s">
        <v>32</v>
      </c>
      <c r="D9" s="47"/>
      <c r="E9" s="47"/>
      <c r="F9" s="47"/>
      <c r="G9" s="47"/>
      <c r="H9" s="47"/>
      <c r="I9" s="47"/>
      <c r="J9" s="47">
        <v>9.86</v>
      </c>
      <c r="K9" s="47">
        <v>9.86</v>
      </c>
      <c r="L9" s="47">
        <v>9.86</v>
      </c>
      <c r="M9" s="47">
        <v>9.86</v>
      </c>
      <c r="N9" s="47">
        <v>9.86</v>
      </c>
      <c r="O9" s="47">
        <v>9.86</v>
      </c>
      <c r="P9" s="47">
        <v>9.86</v>
      </c>
      <c r="Q9" s="47">
        <v>9.86</v>
      </c>
      <c r="R9" s="47">
        <v>9.86</v>
      </c>
      <c r="S9" s="47">
        <v>9.86</v>
      </c>
      <c r="T9" s="47">
        <v>9.86</v>
      </c>
      <c r="U9" s="47">
        <v>9.86</v>
      </c>
      <c r="V9" s="47"/>
      <c r="W9" s="47"/>
      <c r="X9" s="47"/>
      <c r="Y9" s="47"/>
      <c r="Z9" s="47"/>
      <c r="AA9" s="47"/>
      <c r="AB9" s="45">
        <f t="shared" si="0"/>
        <v>118.32</v>
      </c>
      <c r="AC9" s="37">
        <v>20</v>
      </c>
      <c r="AD9" s="92">
        <f>+AB9*AC9+AB10*AC10+AB11*AC11</f>
        <v>3312.96</v>
      </c>
    </row>
    <row r="10" spans="2:30">
      <c r="B10" s="90"/>
      <c r="C10" s="44" t="s">
        <v>33</v>
      </c>
      <c r="D10" s="47"/>
      <c r="E10" s="47"/>
      <c r="F10" s="47"/>
      <c r="G10" s="47"/>
      <c r="H10" s="47"/>
      <c r="I10" s="47"/>
      <c r="J10" s="47">
        <v>9.86</v>
      </c>
      <c r="K10" s="47">
        <v>9.86</v>
      </c>
      <c r="L10" s="47">
        <v>9.86</v>
      </c>
      <c r="M10" s="47">
        <v>9.86</v>
      </c>
      <c r="N10" s="47">
        <v>9.86</v>
      </c>
      <c r="O10" s="47">
        <v>9.86</v>
      </c>
      <c r="P10" s="47">
        <v>9.86</v>
      </c>
      <c r="Q10" s="47">
        <v>9.86</v>
      </c>
      <c r="R10" s="47">
        <v>9.86</v>
      </c>
      <c r="S10" s="47">
        <v>9.86</v>
      </c>
      <c r="T10" s="47">
        <v>9.86</v>
      </c>
      <c r="U10" s="47">
        <v>9.86</v>
      </c>
      <c r="V10" s="47"/>
      <c r="W10" s="47"/>
      <c r="X10" s="47"/>
      <c r="Y10" s="47"/>
      <c r="Z10" s="47"/>
      <c r="AA10" s="47"/>
      <c r="AB10" s="45">
        <f t="shared" si="0"/>
        <v>118.32</v>
      </c>
      <c r="AC10" s="37">
        <v>4</v>
      </c>
      <c r="AD10" s="92"/>
    </row>
    <row r="11" spans="2:30">
      <c r="B11" s="90"/>
      <c r="C11" s="44" t="s">
        <v>34</v>
      </c>
      <c r="D11" s="47"/>
      <c r="E11" s="47"/>
      <c r="F11" s="47"/>
      <c r="G11" s="47"/>
      <c r="H11" s="47"/>
      <c r="I11" s="47"/>
      <c r="J11" s="47">
        <v>9.86</v>
      </c>
      <c r="K11" s="47">
        <v>9.86</v>
      </c>
      <c r="L11" s="47">
        <v>9.86</v>
      </c>
      <c r="M11" s="47">
        <v>9.86</v>
      </c>
      <c r="N11" s="47">
        <v>9.86</v>
      </c>
      <c r="O11" s="47">
        <v>9.86</v>
      </c>
      <c r="P11" s="47">
        <v>9.86</v>
      </c>
      <c r="Q11" s="47">
        <v>9.86</v>
      </c>
      <c r="R11" s="47">
        <v>9.86</v>
      </c>
      <c r="S11" s="47">
        <v>9.86</v>
      </c>
      <c r="T11" s="47">
        <v>9.86</v>
      </c>
      <c r="U11" s="47">
        <v>9.86</v>
      </c>
      <c r="V11" s="47"/>
      <c r="W11" s="47"/>
      <c r="X11" s="47"/>
      <c r="Y11" s="47"/>
      <c r="Z11" s="47"/>
      <c r="AA11" s="47"/>
      <c r="AB11" s="45">
        <f t="shared" si="0"/>
        <v>118.32</v>
      </c>
      <c r="AC11" s="37">
        <v>4</v>
      </c>
      <c r="AD11" s="92"/>
    </row>
    <row r="12" spans="2:30">
      <c r="B12" s="90">
        <v>48639</v>
      </c>
      <c r="C12" s="44" t="s">
        <v>32</v>
      </c>
      <c r="D12" s="47"/>
      <c r="E12" s="47"/>
      <c r="F12" s="47"/>
      <c r="G12" s="47"/>
      <c r="H12" s="47"/>
      <c r="I12" s="47"/>
      <c r="J12" s="47">
        <v>9.86</v>
      </c>
      <c r="K12" s="47">
        <v>9.86</v>
      </c>
      <c r="L12" s="47">
        <v>9.86</v>
      </c>
      <c r="M12" s="47">
        <v>9.86</v>
      </c>
      <c r="N12" s="47">
        <v>9.86</v>
      </c>
      <c r="O12" s="47">
        <v>9.86</v>
      </c>
      <c r="P12" s="47">
        <v>9.86</v>
      </c>
      <c r="Q12" s="47">
        <v>9.86</v>
      </c>
      <c r="R12" s="47">
        <v>9.86</v>
      </c>
      <c r="S12" s="47">
        <v>9.86</v>
      </c>
      <c r="T12" s="47">
        <v>9.86</v>
      </c>
      <c r="U12" s="47">
        <v>9.86</v>
      </c>
      <c r="V12" s="47"/>
      <c r="W12" s="47"/>
      <c r="X12" s="47"/>
      <c r="Y12" s="47"/>
      <c r="Z12" s="47"/>
      <c r="AA12" s="47"/>
      <c r="AB12" s="45">
        <f t="shared" si="0"/>
        <v>118.32</v>
      </c>
      <c r="AC12" s="37">
        <v>22</v>
      </c>
      <c r="AD12" s="92">
        <f>+AB12*AC12+AB13*AC13+AB14*AC14</f>
        <v>3667.92</v>
      </c>
    </row>
    <row r="13" spans="2:30">
      <c r="B13" s="90"/>
      <c r="C13" s="44" t="s">
        <v>33</v>
      </c>
      <c r="D13" s="47"/>
      <c r="E13" s="47"/>
      <c r="F13" s="47"/>
      <c r="G13" s="47"/>
      <c r="H13" s="47"/>
      <c r="I13" s="47"/>
      <c r="J13" s="47">
        <v>9.86</v>
      </c>
      <c r="K13" s="47">
        <v>9.86</v>
      </c>
      <c r="L13" s="47">
        <v>9.86</v>
      </c>
      <c r="M13" s="47">
        <v>9.86</v>
      </c>
      <c r="N13" s="47">
        <v>9.86</v>
      </c>
      <c r="O13" s="47">
        <v>9.86</v>
      </c>
      <c r="P13" s="47">
        <v>9.86</v>
      </c>
      <c r="Q13" s="47">
        <v>9.86</v>
      </c>
      <c r="R13" s="47">
        <v>9.86</v>
      </c>
      <c r="S13" s="47">
        <v>9.86</v>
      </c>
      <c r="T13" s="47">
        <v>9.86</v>
      </c>
      <c r="U13" s="47">
        <v>9.86</v>
      </c>
      <c r="V13" s="47"/>
      <c r="W13" s="47"/>
      <c r="X13" s="47"/>
      <c r="Y13" s="47"/>
      <c r="Z13" s="47"/>
      <c r="AA13" s="47"/>
      <c r="AB13" s="45">
        <f t="shared" si="0"/>
        <v>118.32</v>
      </c>
      <c r="AC13" s="37">
        <v>3</v>
      </c>
      <c r="AD13" s="92"/>
    </row>
    <row r="14" spans="2:30">
      <c r="B14" s="90"/>
      <c r="C14" s="44" t="s">
        <v>34</v>
      </c>
      <c r="D14" s="47"/>
      <c r="E14" s="47"/>
      <c r="F14" s="47"/>
      <c r="G14" s="47"/>
      <c r="H14" s="47"/>
      <c r="I14" s="47"/>
      <c r="J14" s="47">
        <v>9.86</v>
      </c>
      <c r="K14" s="47">
        <v>9.86</v>
      </c>
      <c r="L14" s="47">
        <v>9.86</v>
      </c>
      <c r="M14" s="47">
        <v>9.86</v>
      </c>
      <c r="N14" s="47">
        <v>9.86</v>
      </c>
      <c r="O14" s="47">
        <v>9.86</v>
      </c>
      <c r="P14" s="47">
        <v>9.86</v>
      </c>
      <c r="Q14" s="47">
        <v>9.86</v>
      </c>
      <c r="R14" s="47">
        <v>9.86</v>
      </c>
      <c r="S14" s="47">
        <v>9.86</v>
      </c>
      <c r="T14" s="47">
        <v>9.86</v>
      </c>
      <c r="U14" s="47">
        <v>9.86</v>
      </c>
      <c r="V14" s="47"/>
      <c r="W14" s="47"/>
      <c r="X14" s="47"/>
      <c r="Y14" s="47"/>
      <c r="Z14" s="47"/>
      <c r="AA14" s="47"/>
      <c r="AB14" s="45">
        <f t="shared" si="0"/>
        <v>118.32</v>
      </c>
      <c r="AC14" s="37">
        <v>6</v>
      </c>
      <c r="AD14" s="92"/>
    </row>
    <row r="15" spans="2:30">
      <c r="B15" s="90">
        <v>48670</v>
      </c>
      <c r="C15" s="44" t="s">
        <v>32</v>
      </c>
      <c r="D15" s="47"/>
      <c r="E15" s="47"/>
      <c r="F15" s="47"/>
      <c r="G15" s="47"/>
      <c r="H15" s="47"/>
      <c r="I15" s="47"/>
      <c r="J15" s="47">
        <v>9.86</v>
      </c>
      <c r="K15" s="47">
        <v>9.86</v>
      </c>
      <c r="L15" s="47">
        <v>9.86</v>
      </c>
      <c r="M15" s="47">
        <v>9.86</v>
      </c>
      <c r="N15" s="47">
        <v>9.86</v>
      </c>
      <c r="O15" s="47">
        <v>9.86</v>
      </c>
      <c r="P15" s="47">
        <v>9.86</v>
      </c>
      <c r="Q15" s="47">
        <v>9.86</v>
      </c>
      <c r="R15" s="47">
        <v>9.86</v>
      </c>
      <c r="S15" s="47">
        <v>9.86</v>
      </c>
      <c r="T15" s="47">
        <v>9.86</v>
      </c>
      <c r="U15" s="47">
        <v>9.86</v>
      </c>
      <c r="V15" s="47"/>
      <c r="W15" s="47"/>
      <c r="X15" s="47"/>
      <c r="Y15" s="47"/>
      <c r="Z15" s="47"/>
      <c r="AA15" s="47"/>
      <c r="AB15" s="45">
        <f t="shared" si="0"/>
        <v>118.32</v>
      </c>
      <c r="AC15" s="37">
        <v>19</v>
      </c>
      <c r="AD15" s="92">
        <f>+AB15*AC15+AB16*AC16+AB17*AC17</f>
        <v>3549.6</v>
      </c>
    </row>
    <row r="16" spans="2:30">
      <c r="B16" s="90"/>
      <c r="C16" s="44" t="s">
        <v>33</v>
      </c>
      <c r="D16" s="47"/>
      <c r="E16" s="47"/>
      <c r="F16" s="47"/>
      <c r="G16" s="47"/>
      <c r="H16" s="47"/>
      <c r="I16" s="47"/>
      <c r="J16" s="47">
        <v>9.86</v>
      </c>
      <c r="K16" s="47">
        <v>9.86</v>
      </c>
      <c r="L16" s="47">
        <v>9.86</v>
      </c>
      <c r="M16" s="47">
        <v>9.86</v>
      </c>
      <c r="N16" s="47">
        <v>9.86</v>
      </c>
      <c r="O16" s="47">
        <v>9.86</v>
      </c>
      <c r="P16" s="47">
        <v>9.86</v>
      </c>
      <c r="Q16" s="47">
        <v>9.86</v>
      </c>
      <c r="R16" s="47">
        <v>9.86</v>
      </c>
      <c r="S16" s="47">
        <v>9.86</v>
      </c>
      <c r="T16" s="47">
        <v>9.86</v>
      </c>
      <c r="U16" s="47">
        <v>9.86</v>
      </c>
      <c r="V16" s="47"/>
      <c r="W16" s="47"/>
      <c r="X16" s="47"/>
      <c r="Y16" s="47"/>
      <c r="Z16" s="47"/>
      <c r="AA16" s="47"/>
      <c r="AB16" s="45">
        <f t="shared" si="0"/>
        <v>118.32</v>
      </c>
      <c r="AC16" s="37">
        <v>5</v>
      </c>
      <c r="AD16" s="92"/>
    </row>
    <row r="17" spans="2:30">
      <c r="B17" s="90"/>
      <c r="C17" s="44" t="s">
        <v>34</v>
      </c>
      <c r="D17" s="47"/>
      <c r="E17" s="47"/>
      <c r="F17" s="47"/>
      <c r="G17" s="47"/>
      <c r="H17" s="47"/>
      <c r="I17" s="47"/>
      <c r="J17" s="47">
        <v>9.86</v>
      </c>
      <c r="K17" s="47">
        <v>9.86</v>
      </c>
      <c r="L17" s="47">
        <v>9.86</v>
      </c>
      <c r="M17" s="47">
        <v>9.86</v>
      </c>
      <c r="N17" s="47">
        <v>9.86</v>
      </c>
      <c r="O17" s="47">
        <v>9.86</v>
      </c>
      <c r="P17" s="47">
        <v>9.86</v>
      </c>
      <c r="Q17" s="47">
        <v>9.86</v>
      </c>
      <c r="R17" s="47">
        <v>9.86</v>
      </c>
      <c r="S17" s="47">
        <v>9.86</v>
      </c>
      <c r="T17" s="47">
        <v>9.86</v>
      </c>
      <c r="U17" s="47">
        <v>9.86</v>
      </c>
      <c r="V17" s="47"/>
      <c r="W17" s="47"/>
      <c r="X17" s="47"/>
      <c r="Y17" s="47"/>
      <c r="Z17" s="47"/>
      <c r="AA17" s="47"/>
      <c r="AB17" s="45">
        <f t="shared" si="0"/>
        <v>118.32</v>
      </c>
      <c r="AC17" s="37">
        <v>6</v>
      </c>
      <c r="AD17" s="92"/>
    </row>
    <row r="18" spans="2:30">
      <c r="B18" s="90">
        <v>48700</v>
      </c>
      <c r="C18" s="44" t="s">
        <v>32</v>
      </c>
      <c r="D18" s="47"/>
      <c r="E18" s="47"/>
      <c r="F18" s="47"/>
      <c r="G18" s="47"/>
      <c r="H18" s="47"/>
      <c r="I18" s="47"/>
      <c r="J18" s="47">
        <v>9.86</v>
      </c>
      <c r="K18" s="47">
        <v>9.86</v>
      </c>
      <c r="L18" s="47">
        <v>9.86</v>
      </c>
      <c r="M18" s="47">
        <v>9.86</v>
      </c>
      <c r="N18" s="47">
        <v>9.86</v>
      </c>
      <c r="O18" s="47">
        <v>9.86</v>
      </c>
      <c r="P18" s="47">
        <v>9.86</v>
      </c>
      <c r="Q18" s="47">
        <v>9.86</v>
      </c>
      <c r="R18" s="47">
        <v>9.86</v>
      </c>
      <c r="S18" s="47">
        <v>9.86</v>
      </c>
      <c r="T18" s="47">
        <v>9.86</v>
      </c>
      <c r="U18" s="47">
        <v>9.86</v>
      </c>
      <c r="V18" s="47"/>
      <c r="W18" s="47"/>
      <c r="X18" s="47"/>
      <c r="Y18" s="47"/>
      <c r="Z18" s="47"/>
      <c r="AA18" s="47"/>
      <c r="AB18" s="45">
        <f t="shared" si="0"/>
        <v>118.32</v>
      </c>
      <c r="AC18" s="37">
        <v>20</v>
      </c>
      <c r="AD18" s="92">
        <f>+AB18*AC18+AB19*AC19+AB20*AC20</f>
        <v>3667.92</v>
      </c>
    </row>
    <row r="19" spans="2:30">
      <c r="B19" s="90"/>
      <c r="C19" s="44" t="s">
        <v>33</v>
      </c>
      <c r="D19" s="47"/>
      <c r="E19" s="47"/>
      <c r="F19" s="47"/>
      <c r="G19" s="47"/>
      <c r="H19" s="47"/>
      <c r="I19" s="47"/>
      <c r="J19" s="47">
        <v>9.86</v>
      </c>
      <c r="K19" s="47">
        <v>9.86</v>
      </c>
      <c r="L19" s="47">
        <v>9.86</v>
      </c>
      <c r="M19" s="47">
        <v>9.86</v>
      </c>
      <c r="N19" s="47">
        <v>9.86</v>
      </c>
      <c r="O19" s="47">
        <v>9.86</v>
      </c>
      <c r="P19" s="47">
        <v>9.86</v>
      </c>
      <c r="Q19" s="47">
        <v>9.86</v>
      </c>
      <c r="R19" s="47">
        <v>9.86</v>
      </c>
      <c r="S19" s="47">
        <v>9.86</v>
      </c>
      <c r="T19" s="47">
        <v>9.86</v>
      </c>
      <c r="U19" s="47">
        <v>9.86</v>
      </c>
      <c r="V19" s="47"/>
      <c r="W19" s="47"/>
      <c r="X19" s="47"/>
      <c r="Y19" s="47"/>
      <c r="Z19" s="47"/>
      <c r="AA19" s="47"/>
      <c r="AB19" s="45">
        <f t="shared" si="0"/>
        <v>118.32</v>
      </c>
      <c r="AC19" s="37">
        <v>4</v>
      </c>
      <c r="AD19" s="92"/>
    </row>
    <row r="20" spans="2:30">
      <c r="B20" s="90"/>
      <c r="C20" s="44" t="s">
        <v>34</v>
      </c>
      <c r="D20" s="47"/>
      <c r="E20" s="47"/>
      <c r="F20" s="47"/>
      <c r="G20" s="47"/>
      <c r="H20" s="47"/>
      <c r="I20" s="47"/>
      <c r="J20" s="47">
        <v>9.86</v>
      </c>
      <c r="K20" s="47">
        <v>9.86</v>
      </c>
      <c r="L20" s="47">
        <v>9.86</v>
      </c>
      <c r="M20" s="47">
        <v>9.86</v>
      </c>
      <c r="N20" s="47">
        <v>9.86</v>
      </c>
      <c r="O20" s="47">
        <v>9.86</v>
      </c>
      <c r="P20" s="47">
        <v>9.86</v>
      </c>
      <c r="Q20" s="47">
        <v>9.86</v>
      </c>
      <c r="R20" s="47">
        <v>9.86</v>
      </c>
      <c r="S20" s="47">
        <v>9.86</v>
      </c>
      <c r="T20" s="47">
        <v>9.86</v>
      </c>
      <c r="U20" s="47">
        <v>9.86</v>
      </c>
      <c r="V20" s="47"/>
      <c r="W20" s="47"/>
      <c r="X20" s="47"/>
      <c r="Y20" s="47"/>
      <c r="Z20" s="47"/>
      <c r="AA20" s="47"/>
      <c r="AB20" s="45">
        <f t="shared" si="0"/>
        <v>118.32</v>
      </c>
      <c r="AC20" s="37">
        <v>7</v>
      </c>
      <c r="AD20" s="92"/>
    </row>
    <row r="21" spans="2:30">
      <c r="B21" s="90">
        <v>48731</v>
      </c>
      <c r="C21" s="44" t="s">
        <v>32</v>
      </c>
      <c r="D21" s="47"/>
      <c r="E21" s="47"/>
      <c r="F21" s="47"/>
      <c r="G21" s="47"/>
      <c r="H21" s="47"/>
      <c r="I21" s="47"/>
      <c r="J21" s="47">
        <v>9.86</v>
      </c>
      <c r="K21" s="47">
        <v>9.86</v>
      </c>
      <c r="L21" s="47">
        <v>9.86</v>
      </c>
      <c r="M21" s="47">
        <v>9.86</v>
      </c>
      <c r="N21" s="47">
        <v>9.86</v>
      </c>
      <c r="O21" s="47">
        <v>9.86</v>
      </c>
      <c r="P21" s="47">
        <v>9.86</v>
      </c>
      <c r="Q21" s="47">
        <v>9.86</v>
      </c>
      <c r="R21" s="47">
        <v>9.86</v>
      </c>
      <c r="S21" s="47">
        <v>9.86</v>
      </c>
      <c r="T21" s="47">
        <v>9.86</v>
      </c>
      <c r="U21" s="47">
        <v>9.86</v>
      </c>
      <c r="V21" s="47"/>
      <c r="W21" s="47"/>
      <c r="X21" s="47"/>
      <c r="Y21" s="47"/>
      <c r="Z21" s="47"/>
      <c r="AA21" s="47"/>
      <c r="AB21" s="45">
        <f t="shared" si="0"/>
        <v>118.32</v>
      </c>
      <c r="AC21" s="37">
        <v>19</v>
      </c>
      <c r="AD21" s="92">
        <f>+AB21*AC21+AB22*AC22+AB23*AC23</f>
        <v>3549.6</v>
      </c>
    </row>
    <row r="22" spans="2:30">
      <c r="B22" s="90"/>
      <c r="C22" s="44" t="s">
        <v>33</v>
      </c>
      <c r="D22" s="47"/>
      <c r="E22" s="47"/>
      <c r="F22" s="47"/>
      <c r="G22" s="47"/>
      <c r="H22" s="47"/>
      <c r="I22" s="47"/>
      <c r="J22" s="47">
        <v>9.86</v>
      </c>
      <c r="K22" s="47">
        <v>9.86</v>
      </c>
      <c r="L22" s="47">
        <v>9.86</v>
      </c>
      <c r="M22" s="47">
        <v>9.86</v>
      </c>
      <c r="N22" s="47">
        <v>9.86</v>
      </c>
      <c r="O22" s="47">
        <v>9.86</v>
      </c>
      <c r="P22" s="47">
        <v>9.86</v>
      </c>
      <c r="Q22" s="47">
        <v>9.86</v>
      </c>
      <c r="R22" s="47">
        <v>9.86</v>
      </c>
      <c r="S22" s="47">
        <v>9.86</v>
      </c>
      <c r="T22" s="47">
        <v>9.86</v>
      </c>
      <c r="U22" s="47">
        <v>9.86</v>
      </c>
      <c r="V22" s="47"/>
      <c r="W22" s="47"/>
      <c r="X22" s="47"/>
      <c r="Y22" s="47"/>
      <c r="Z22" s="47"/>
      <c r="AA22" s="47"/>
      <c r="AB22" s="45">
        <f t="shared" si="0"/>
        <v>118.32</v>
      </c>
      <c r="AC22" s="37">
        <v>4</v>
      </c>
      <c r="AD22" s="92"/>
    </row>
    <row r="23" spans="2:30">
      <c r="B23" s="90"/>
      <c r="C23" s="44" t="s">
        <v>34</v>
      </c>
      <c r="D23" s="47"/>
      <c r="E23" s="47"/>
      <c r="F23" s="47"/>
      <c r="G23" s="47"/>
      <c r="H23" s="47"/>
      <c r="I23" s="47"/>
      <c r="J23" s="47">
        <v>9.86</v>
      </c>
      <c r="K23" s="47">
        <v>9.86</v>
      </c>
      <c r="L23" s="47">
        <v>9.86</v>
      </c>
      <c r="M23" s="47">
        <v>9.86</v>
      </c>
      <c r="N23" s="47">
        <v>9.86</v>
      </c>
      <c r="O23" s="47">
        <v>9.86</v>
      </c>
      <c r="P23" s="47">
        <v>9.86</v>
      </c>
      <c r="Q23" s="47">
        <v>9.86</v>
      </c>
      <c r="R23" s="47">
        <v>9.86</v>
      </c>
      <c r="S23" s="47">
        <v>9.86</v>
      </c>
      <c r="T23" s="47">
        <v>9.86</v>
      </c>
      <c r="U23" s="47">
        <v>9.86</v>
      </c>
      <c r="V23" s="47"/>
      <c r="W23" s="47"/>
      <c r="X23" s="47"/>
      <c r="Y23" s="47"/>
      <c r="Z23" s="47"/>
      <c r="AA23" s="47"/>
      <c r="AB23" s="45">
        <f t="shared" si="0"/>
        <v>118.32</v>
      </c>
      <c r="AC23" s="37">
        <v>7</v>
      </c>
      <c r="AD23" s="92"/>
    </row>
    <row r="24" spans="2:30">
      <c r="B24" s="90">
        <v>48761</v>
      </c>
      <c r="C24" s="44" t="s">
        <v>32</v>
      </c>
      <c r="D24" s="47"/>
      <c r="E24" s="47"/>
      <c r="F24" s="47"/>
      <c r="G24" s="47"/>
      <c r="H24" s="47"/>
      <c r="I24" s="47"/>
      <c r="J24" s="47">
        <v>9.86</v>
      </c>
      <c r="K24" s="47">
        <v>9.86</v>
      </c>
      <c r="L24" s="47">
        <v>9.86</v>
      </c>
      <c r="M24" s="47">
        <v>9.86</v>
      </c>
      <c r="N24" s="47">
        <v>9.86</v>
      </c>
      <c r="O24" s="47">
        <v>9.86</v>
      </c>
      <c r="P24" s="47">
        <v>9.86</v>
      </c>
      <c r="Q24" s="47">
        <v>9.86</v>
      </c>
      <c r="R24" s="47">
        <v>9.86</v>
      </c>
      <c r="S24" s="47">
        <v>9.86</v>
      </c>
      <c r="T24" s="47">
        <v>9.86</v>
      </c>
      <c r="U24" s="47">
        <v>9.86</v>
      </c>
      <c r="V24" s="47"/>
      <c r="W24" s="47"/>
      <c r="X24" s="47"/>
      <c r="Y24" s="47"/>
      <c r="Z24" s="47"/>
      <c r="AA24" s="47"/>
      <c r="AB24" s="45">
        <f t="shared" si="0"/>
        <v>118.32</v>
      </c>
      <c r="AC24" s="37">
        <v>19</v>
      </c>
      <c r="AD24" s="92">
        <f>+AB24*AC24+AB25*AC25+AB26*AC26</f>
        <v>3667.92</v>
      </c>
    </row>
    <row r="25" spans="2:30">
      <c r="B25" s="90"/>
      <c r="C25" s="44" t="s">
        <v>33</v>
      </c>
      <c r="D25" s="47"/>
      <c r="E25" s="47"/>
      <c r="F25" s="47"/>
      <c r="G25" s="47"/>
      <c r="H25" s="47"/>
      <c r="I25" s="47"/>
      <c r="J25" s="47">
        <v>9.86</v>
      </c>
      <c r="K25" s="47">
        <v>9.86</v>
      </c>
      <c r="L25" s="47">
        <v>9.86</v>
      </c>
      <c r="M25" s="47">
        <v>9.86</v>
      </c>
      <c r="N25" s="47">
        <v>9.86</v>
      </c>
      <c r="O25" s="47">
        <v>9.86</v>
      </c>
      <c r="P25" s="47">
        <v>9.86</v>
      </c>
      <c r="Q25" s="47">
        <v>9.86</v>
      </c>
      <c r="R25" s="47">
        <v>9.86</v>
      </c>
      <c r="S25" s="47">
        <v>9.86</v>
      </c>
      <c r="T25" s="47">
        <v>9.86</v>
      </c>
      <c r="U25" s="47">
        <v>9.86</v>
      </c>
      <c r="V25" s="47"/>
      <c r="W25" s="47"/>
      <c r="X25" s="47"/>
      <c r="Y25" s="47"/>
      <c r="Z25" s="47"/>
      <c r="AA25" s="47"/>
      <c r="AB25" s="45">
        <f t="shared" si="0"/>
        <v>118.32</v>
      </c>
      <c r="AC25" s="37">
        <v>5</v>
      </c>
      <c r="AD25" s="92"/>
    </row>
    <row r="26" spans="2:30">
      <c r="B26" s="90"/>
      <c r="C26" s="44" t="s">
        <v>34</v>
      </c>
      <c r="D26" s="47"/>
      <c r="E26" s="47"/>
      <c r="F26" s="47"/>
      <c r="G26" s="47"/>
      <c r="H26" s="47"/>
      <c r="I26" s="47"/>
      <c r="J26" s="47">
        <v>9.86</v>
      </c>
      <c r="K26" s="47">
        <v>9.86</v>
      </c>
      <c r="L26" s="47">
        <v>9.86</v>
      </c>
      <c r="M26" s="47">
        <v>9.86</v>
      </c>
      <c r="N26" s="47">
        <v>9.86</v>
      </c>
      <c r="O26" s="47">
        <v>9.86</v>
      </c>
      <c r="P26" s="47">
        <v>9.86</v>
      </c>
      <c r="Q26" s="47">
        <v>9.86</v>
      </c>
      <c r="R26" s="47">
        <v>9.86</v>
      </c>
      <c r="S26" s="47">
        <v>9.86</v>
      </c>
      <c r="T26" s="47">
        <v>9.86</v>
      </c>
      <c r="U26" s="47">
        <v>9.86</v>
      </c>
      <c r="V26" s="47"/>
      <c r="W26" s="47"/>
      <c r="X26" s="47"/>
      <c r="Y26" s="47"/>
      <c r="Z26" s="47"/>
      <c r="AA26" s="47"/>
      <c r="AB26" s="45">
        <f t="shared" si="0"/>
        <v>118.32</v>
      </c>
      <c r="AC26" s="37">
        <v>7</v>
      </c>
      <c r="AD26" s="92"/>
    </row>
    <row r="27" spans="2:30">
      <c r="B27" s="90">
        <v>48792</v>
      </c>
      <c r="C27" s="44" t="s">
        <v>32</v>
      </c>
      <c r="D27" s="47"/>
      <c r="E27" s="47"/>
      <c r="F27" s="47"/>
      <c r="G27" s="47"/>
      <c r="H27" s="47"/>
      <c r="I27" s="47"/>
      <c r="J27" s="47">
        <v>9.86</v>
      </c>
      <c r="K27" s="47">
        <v>9.86</v>
      </c>
      <c r="L27" s="47">
        <v>9.86</v>
      </c>
      <c r="M27" s="47">
        <v>9.86</v>
      </c>
      <c r="N27" s="47">
        <v>9.86</v>
      </c>
      <c r="O27" s="47">
        <v>9.86</v>
      </c>
      <c r="P27" s="47">
        <v>9.86</v>
      </c>
      <c r="Q27" s="47">
        <v>9.86</v>
      </c>
      <c r="R27" s="47">
        <v>9.86</v>
      </c>
      <c r="S27" s="47">
        <v>9.86</v>
      </c>
      <c r="T27" s="47">
        <v>9.86</v>
      </c>
      <c r="U27" s="47">
        <v>9.86</v>
      </c>
      <c r="V27" s="47"/>
      <c r="W27" s="47"/>
      <c r="X27" s="47"/>
      <c r="Y27" s="47"/>
      <c r="Z27" s="47"/>
      <c r="AA27" s="47"/>
      <c r="AB27" s="45">
        <f t="shared" si="0"/>
        <v>118.32</v>
      </c>
      <c r="AC27" s="37">
        <v>22</v>
      </c>
      <c r="AD27" s="92">
        <f>+AB27*AC27+AB28*AC28+AB29*AC29</f>
        <v>3667.92</v>
      </c>
    </row>
    <row r="28" spans="2:30">
      <c r="B28" s="90"/>
      <c r="C28" s="44" t="s">
        <v>33</v>
      </c>
      <c r="D28" s="47"/>
      <c r="E28" s="47"/>
      <c r="F28" s="47"/>
      <c r="G28" s="47"/>
      <c r="H28" s="47"/>
      <c r="I28" s="47"/>
      <c r="J28" s="47">
        <v>9.86</v>
      </c>
      <c r="K28" s="47">
        <v>9.86</v>
      </c>
      <c r="L28" s="47">
        <v>9.86</v>
      </c>
      <c r="M28" s="47">
        <v>9.86</v>
      </c>
      <c r="N28" s="47">
        <v>9.86</v>
      </c>
      <c r="O28" s="47">
        <v>9.86</v>
      </c>
      <c r="P28" s="47">
        <v>9.86</v>
      </c>
      <c r="Q28" s="47">
        <v>9.86</v>
      </c>
      <c r="R28" s="47">
        <v>9.86</v>
      </c>
      <c r="S28" s="47">
        <v>9.86</v>
      </c>
      <c r="T28" s="47">
        <v>9.86</v>
      </c>
      <c r="U28" s="47">
        <v>9.86</v>
      </c>
      <c r="V28" s="47"/>
      <c r="W28" s="47"/>
      <c r="X28" s="47"/>
      <c r="Y28" s="47"/>
      <c r="Z28" s="47"/>
      <c r="AA28" s="47"/>
      <c r="AB28" s="45">
        <f t="shared" si="0"/>
        <v>118.32</v>
      </c>
      <c r="AC28" s="37">
        <v>4</v>
      </c>
      <c r="AD28" s="92"/>
    </row>
    <row r="29" spans="2:30">
      <c r="B29" s="90"/>
      <c r="C29" s="44" t="s">
        <v>34</v>
      </c>
      <c r="D29" s="47"/>
      <c r="E29" s="47"/>
      <c r="F29" s="47"/>
      <c r="G29" s="47"/>
      <c r="H29" s="47"/>
      <c r="I29" s="47"/>
      <c r="J29" s="47">
        <v>9.86</v>
      </c>
      <c r="K29" s="47">
        <v>9.86</v>
      </c>
      <c r="L29" s="47">
        <v>9.86</v>
      </c>
      <c r="M29" s="47">
        <v>9.86</v>
      </c>
      <c r="N29" s="47">
        <v>9.86</v>
      </c>
      <c r="O29" s="47">
        <v>9.86</v>
      </c>
      <c r="P29" s="47">
        <v>9.86</v>
      </c>
      <c r="Q29" s="47">
        <v>9.86</v>
      </c>
      <c r="R29" s="47">
        <v>9.86</v>
      </c>
      <c r="S29" s="47">
        <v>9.86</v>
      </c>
      <c r="T29" s="47">
        <v>9.86</v>
      </c>
      <c r="U29" s="47">
        <v>9.86</v>
      </c>
      <c r="V29" s="47"/>
      <c r="W29" s="47"/>
      <c r="X29" s="47"/>
      <c r="Y29" s="47"/>
      <c r="Z29" s="47"/>
      <c r="AA29" s="47"/>
      <c r="AB29" s="45">
        <f t="shared" si="0"/>
        <v>118.32</v>
      </c>
      <c r="AC29" s="37">
        <v>5</v>
      </c>
      <c r="AD29" s="92"/>
    </row>
    <row r="30" spans="2:30">
      <c r="B30" s="90">
        <v>48823</v>
      </c>
      <c r="C30" s="44" t="s">
        <v>32</v>
      </c>
      <c r="D30" s="47"/>
      <c r="E30" s="47"/>
      <c r="F30" s="47"/>
      <c r="G30" s="47"/>
      <c r="H30" s="47"/>
      <c r="I30" s="47"/>
      <c r="J30" s="47">
        <v>9.86</v>
      </c>
      <c r="K30" s="47">
        <v>9.86</v>
      </c>
      <c r="L30" s="47">
        <v>9.86</v>
      </c>
      <c r="M30" s="47">
        <v>9.86</v>
      </c>
      <c r="N30" s="47">
        <v>9.86</v>
      </c>
      <c r="O30" s="47">
        <v>9.86</v>
      </c>
      <c r="P30" s="47">
        <v>9.86</v>
      </c>
      <c r="Q30" s="47">
        <v>9.86</v>
      </c>
      <c r="R30" s="47">
        <v>9.86</v>
      </c>
      <c r="S30" s="47">
        <v>9.86</v>
      </c>
      <c r="T30" s="47">
        <v>9.86</v>
      </c>
      <c r="U30" s="47">
        <v>9.86</v>
      </c>
      <c r="V30" s="47"/>
      <c r="W30" s="47"/>
      <c r="X30" s="47"/>
      <c r="Y30" s="47"/>
      <c r="Z30" s="47"/>
      <c r="AA30" s="47"/>
      <c r="AB30" s="45">
        <f t="shared" si="0"/>
        <v>118.32</v>
      </c>
      <c r="AC30" s="37">
        <v>22</v>
      </c>
      <c r="AD30" s="92">
        <f>+AB30*AC30+AB31*AC31+AB32*AC32</f>
        <v>3549.6</v>
      </c>
    </row>
    <row r="31" spans="2:30">
      <c r="B31" s="90"/>
      <c r="C31" s="44" t="s">
        <v>33</v>
      </c>
      <c r="D31" s="47"/>
      <c r="E31" s="47"/>
      <c r="F31" s="47"/>
      <c r="G31" s="47"/>
      <c r="H31" s="47"/>
      <c r="I31" s="47"/>
      <c r="J31" s="47">
        <v>9.86</v>
      </c>
      <c r="K31" s="47">
        <v>9.86</v>
      </c>
      <c r="L31" s="47">
        <v>9.86</v>
      </c>
      <c r="M31" s="47">
        <v>9.86</v>
      </c>
      <c r="N31" s="47">
        <v>9.86</v>
      </c>
      <c r="O31" s="47">
        <v>9.86</v>
      </c>
      <c r="P31" s="47">
        <v>9.86</v>
      </c>
      <c r="Q31" s="47">
        <v>9.86</v>
      </c>
      <c r="R31" s="47">
        <v>9.86</v>
      </c>
      <c r="S31" s="47">
        <v>9.86</v>
      </c>
      <c r="T31" s="47">
        <v>9.86</v>
      </c>
      <c r="U31" s="47">
        <v>9.86</v>
      </c>
      <c r="V31" s="47"/>
      <c r="W31" s="47"/>
      <c r="X31" s="47"/>
      <c r="Y31" s="47"/>
      <c r="Z31" s="47"/>
      <c r="AA31" s="47"/>
      <c r="AB31" s="45">
        <f t="shared" si="0"/>
        <v>118.32</v>
      </c>
      <c r="AC31" s="37">
        <v>4</v>
      </c>
      <c r="AD31" s="92"/>
    </row>
    <row r="32" spans="2:30">
      <c r="B32" s="90"/>
      <c r="C32" s="44" t="s">
        <v>34</v>
      </c>
      <c r="D32" s="47"/>
      <c r="E32" s="47"/>
      <c r="F32" s="47"/>
      <c r="G32" s="47"/>
      <c r="H32" s="47"/>
      <c r="I32" s="47"/>
      <c r="J32" s="47">
        <v>9.86</v>
      </c>
      <c r="K32" s="47">
        <v>9.86</v>
      </c>
      <c r="L32" s="47">
        <v>9.86</v>
      </c>
      <c r="M32" s="47">
        <v>9.86</v>
      </c>
      <c r="N32" s="47">
        <v>9.86</v>
      </c>
      <c r="O32" s="47">
        <v>9.86</v>
      </c>
      <c r="P32" s="47">
        <v>9.86</v>
      </c>
      <c r="Q32" s="47">
        <v>9.86</v>
      </c>
      <c r="R32" s="47">
        <v>9.86</v>
      </c>
      <c r="S32" s="47">
        <v>9.86</v>
      </c>
      <c r="T32" s="47">
        <v>9.86</v>
      </c>
      <c r="U32" s="47">
        <v>9.86</v>
      </c>
      <c r="V32" s="47"/>
      <c r="W32" s="47"/>
      <c r="X32" s="47"/>
      <c r="Y32" s="47"/>
      <c r="Z32" s="47"/>
      <c r="AA32" s="47"/>
      <c r="AB32" s="45">
        <f t="shared" si="0"/>
        <v>118.32</v>
      </c>
      <c r="AC32" s="37">
        <v>4</v>
      </c>
      <c r="AD32" s="92"/>
    </row>
    <row r="33" spans="2:32">
      <c r="B33" s="90">
        <v>48853</v>
      </c>
      <c r="C33" s="44" t="s">
        <v>32</v>
      </c>
      <c r="D33" s="47"/>
      <c r="E33" s="47"/>
      <c r="F33" s="47"/>
      <c r="G33" s="47"/>
      <c r="H33" s="47"/>
      <c r="I33" s="47"/>
      <c r="J33" s="47">
        <v>9.86</v>
      </c>
      <c r="K33" s="47">
        <v>9.86</v>
      </c>
      <c r="L33" s="47">
        <v>9.86</v>
      </c>
      <c r="M33" s="47">
        <v>9.86</v>
      </c>
      <c r="N33" s="47">
        <v>9.86</v>
      </c>
      <c r="O33" s="47">
        <v>9.86</v>
      </c>
      <c r="P33" s="47">
        <v>9.86</v>
      </c>
      <c r="Q33" s="47">
        <v>9.86</v>
      </c>
      <c r="R33" s="47">
        <v>9.86</v>
      </c>
      <c r="S33" s="47">
        <v>9.86</v>
      </c>
      <c r="T33" s="47">
        <v>9.86</v>
      </c>
      <c r="U33" s="47">
        <v>9.86</v>
      </c>
      <c r="V33" s="47"/>
      <c r="W33" s="47"/>
      <c r="X33" s="47"/>
      <c r="Y33" s="47"/>
      <c r="Z33" s="47"/>
      <c r="AA33" s="47"/>
      <c r="AB33" s="45">
        <f t="shared" si="0"/>
        <v>118.32</v>
      </c>
      <c r="AC33" s="37">
        <v>19</v>
      </c>
      <c r="AD33" s="92">
        <f>+AB33*AC33+AB34*AC34+AB35*AC35</f>
        <v>3667.92</v>
      </c>
    </row>
    <row r="34" spans="2:32">
      <c r="B34" s="90"/>
      <c r="C34" s="44" t="s">
        <v>33</v>
      </c>
      <c r="D34" s="47"/>
      <c r="E34" s="47"/>
      <c r="F34" s="47"/>
      <c r="G34" s="47"/>
      <c r="H34" s="47"/>
      <c r="I34" s="47"/>
      <c r="J34" s="47">
        <v>9.86</v>
      </c>
      <c r="K34" s="47">
        <v>9.86</v>
      </c>
      <c r="L34" s="47">
        <v>9.86</v>
      </c>
      <c r="M34" s="47">
        <v>9.86</v>
      </c>
      <c r="N34" s="47">
        <v>9.86</v>
      </c>
      <c r="O34" s="47">
        <v>9.86</v>
      </c>
      <c r="P34" s="47">
        <v>9.86</v>
      </c>
      <c r="Q34" s="47">
        <v>9.86</v>
      </c>
      <c r="R34" s="47">
        <v>9.86</v>
      </c>
      <c r="S34" s="47">
        <v>9.86</v>
      </c>
      <c r="T34" s="47">
        <v>9.86</v>
      </c>
      <c r="U34" s="47">
        <v>9.86</v>
      </c>
      <c r="V34" s="47"/>
      <c r="W34" s="47"/>
      <c r="X34" s="47"/>
      <c r="Y34" s="47"/>
      <c r="Z34" s="47"/>
      <c r="AA34" s="47"/>
      <c r="AB34" s="45">
        <f t="shared" si="0"/>
        <v>118.32</v>
      </c>
      <c r="AC34" s="37">
        <v>5</v>
      </c>
      <c r="AD34" s="92"/>
    </row>
    <row r="35" spans="2:32">
      <c r="B35" s="90"/>
      <c r="C35" s="44" t="s">
        <v>34</v>
      </c>
      <c r="D35" s="47"/>
      <c r="E35" s="47"/>
      <c r="F35" s="47"/>
      <c r="G35" s="47"/>
      <c r="H35" s="47"/>
      <c r="I35" s="47"/>
      <c r="J35" s="47">
        <v>9.86</v>
      </c>
      <c r="K35" s="47">
        <v>9.86</v>
      </c>
      <c r="L35" s="47">
        <v>9.86</v>
      </c>
      <c r="M35" s="47">
        <v>9.86</v>
      </c>
      <c r="N35" s="47">
        <v>9.86</v>
      </c>
      <c r="O35" s="47">
        <v>9.86</v>
      </c>
      <c r="P35" s="47">
        <v>9.86</v>
      </c>
      <c r="Q35" s="47">
        <v>9.86</v>
      </c>
      <c r="R35" s="47">
        <v>9.86</v>
      </c>
      <c r="S35" s="47">
        <v>9.86</v>
      </c>
      <c r="T35" s="47">
        <v>9.86</v>
      </c>
      <c r="U35" s="47">
        <v>9.86</v>
      </c>
      <c r="V35" s="47"/>
      <c r="W35" s="47"/>
      <c r="X35" s="47"/>
      <c r="Y35" s="47"/>
      <c r="Z35" s="47"/>
      <c r="AA35" s="47"/>
      <c r="AB35" s="45">
        <f t="shared" si="0"/>
        <v>118.32</v>
      </c>
      <c r="AC35" s="37">
        <v>7</v>
      </c>
      <c r="AD35" s="92"/>
    </row>
    <row r="36" spans="2:32">
      <c r="B36" s="90">
        <v>48884</v>
      </c>
      <c r="C36" s="44" t="s">
        <v>32</v>
      </c>
      <c r="D36" s="47"/>
      <c r="E36" s="47"/>
      <c r="F36" s="47"/>
      <c r="G36" s="47"/>
      <c r="H36" s="47"/>
      <c r="I36" s="47"/>
      <c r="J36" s="47">
        <v>9.86</v>
      </c>
      <c r="K36" s="47">
        <v>9.86</v>
      </c>
      <c r="L36" s="47">
        <v>9.86</v>
      </c>
      <c r="M36" s="47">
        <v>9.86</v>
      </c>
      <c r="N36" s="47">
        <v>9.86</v>
      </c>
      <c r="O36" s="47">
        <v>9.86</v>
      </c>
      <c r="P36" s="47">
        <v>9.86</v>
      </c>
      <c r="Q36" s="47">
        <v>9.86</v>
      </c>
      <c r="R36" s="47">
        <v>9.86</v>
      </c>
      <c r="S36" s="47">
        <v>9.86</v>
      </c>
      <c r="T36" s="47">
        <v>9.86</v>
      </c>
      <c r="U36" s="47">
        <v>9.86</v>
      </c>
      <c r="V36" s="47"/>
      <c r="W36" s="47"/>
      <c r="X36" s="47"/>
      <c r="Y36" s="47"/>
      <c r="Z36" s="47"/>
      <c r="AA36" s="47"/>
      <c r="AB36" s="45">
        <f t="shared" si="0"/>
        <v>118.32</v>
      </c>
      <c r="AC36" s="37">
        <v>19</v>
      </c>
      <c r="AD36" s="92">
        <f>+AB36*AC36+AB37*AC37+AB38*AC38</f>
        <v>3549.6</v>
      </c>
    </row>
    <row r="37" spans="2:32">
      <c r="B37" s="90"/>
      <c r="C37" s="44" t="s">
        <v>33</v>
      </c>
      <c r="D37" s="47"/>
      <c r="E37" s="47"/>
      <c r="F37" s="47"/>
      <c r="G37" s="47"/>
      <c r="H37" s="47"/>
      <c r="I37" s="47"/>
      <c r="J37" s="47">
        <v>9.86</v>
      </c>
      <c r="K37" s="47">
        <v>9.86</v>
      </c>
      <c r="L37" s="47">
        <v>9.86</v>
      </c>
      <c r="M37" s="47">
        <v>9.86</v>
      </c>
      <c r="N37" s="47">
        <v>9.86</v>
      </c>
      <c r="O37" s="47">
        <v>9.86</v>
      </c>
      <c r="P37" s="47">
        <v>9.86</v>
      </c>
      <c r="Q37" s="47">
        <v>9.86</v>
      </c>
      <c r="R37" s="47">
        <v>9.86</v>
      </c>
      <c r="S37" s="47">
        <v>9.86</v>
      </c>
      <c r="T37" s="47">
        <v>9.86</v>
      </c>
      <c r="U37" s="47">
        <v>9.86</v>
      </c>
      <c r="V37" s="47"/>
      <c r="W37" s="47"/>
      <c r="X37" s="47"/>
      <c r="Y37" s="47"/>
      <c r="Z37" s="47"/>
      <c r="AA37" s="47"/>
      <c r="AB37" s="45">
        <f t="shared" si="0"/>
        <v>118.32</v>
      </c>
      <c r="AC37" s="37">
        <v>4</v>
      </c>
      <c r="AD37" s="92"/>
    </row>
    <row r="38" spans="2:32">
      <c r="B38" s="90"/>
      <c r="C38" s="44" t="s">
        <v>34</v>
      </c>
      <c r="D38" s="47"/>
      <c r="E38" s="47"/>
      <c r="F38" s="47"/>
      <c r="G38" s="47"/>
      <c r="H38" s="47"/>
      <c r="I38" s="47"/>
      <c r="J38" s="47">
        <v>9.86</v>
      </c>
      <c r="K38" s="47">
        <v>9.86</v>
      </c>
      <c r="L38" s="47">
        <v>9.86</v>
      </c>
      <c r="M38" s="47">
        <v>9.86</v>
      </c>
      <c r="N38" s="47">
        <v>9.86</v>
      </c>
      <c r="O38" s="47">
        <v>9.86</v>
      </c>
      <c r="P38" s="47">
        <v>9.86</v>
      </c>
      <c r="Q38" s="47">
        <v>9.86</v>
      </c>
      <c r="R38" s="47">
        <v>9.86</v>
      </c>
      <c r="S38" s="47">
        <v>9.86</v>
      </c>
      <c r="T38" s="47">
        <v>9.86</v>
      </c>
      <c r="U38" s="47">
        <v>9.86</v>
      </c>
      <c r="V38" s="47"/>
      <c r="W38" s="47"/>
      <c r="X38" s="47"/>
      <c r="Y38" s="47"/>
      <c r="Z38" s="47"/>
      <c r="AA38" s="47"/>
      <c r="AB38" s="45">
        <f t="shared" si="0"/>
        <v>118.32</v>
      </c>
      <c r="AC38" s="37">
        <v>7</v>
      </c>
      <c r="AD38" s="92"/>
    </row>
    <row r="39" spans="2:32">
      <c r="B39" s="90">
        <v>48914</v>
      </c>
      <c r="C39" s="44" t="s">
        <v>32</v>
      </c>
      <c r="D39" s="47"/>
      <c r="E39" s="47"/>
      <c r="F39" s="47"/>
      <c r="G39" s="47"/>
      <c r="H39" s="47"/>
      <c r="I39" s="47"/>
      <c r="J39" s="47">
        <v>9.86</v>
      </c>
      <c r="K39" s="47">
        <v>9.86</v>
      </c>
      <c r="L39" s="47">
        <v>9.86</v>
      </c>
      <c r="M39" s="47">
        <v>9.86</v>
      </c>
      <c r="N39" s="47">
        <v>9.86</v>
      </c>
      <c r="O39" s="47">
        <v>9.86</v>
      </c>
      <c r="P39" s="47">
        <v>9.86</v>
      </c>
      <c r="Q39" s="47">
        <v>9.86</v>
      </c>
      <c r="R39" s="47">
        <v>9.86</v>
      </c>
      <c r="S39" s="47">
        <v>9.86</v>
      </c>
      <c r="T39" s="47">
        <v>9.86</v>
      </c>
      <c r="U39" s="47">
        <v>9.86</v>
      </c>
      <c r="V39" s="47"/>
      <c r="W39" s="47"/>
      <c r="X39" s="47"/>
      <c r="Y39" s="47"/>
      <c r="Z39" s="47"/>
      <c r="AA39" s="47"/>
      <c r="AB39" s="45">
        <f t="shared" si="0"/>
        <v>118.32</v>
      </c>
      <c r="AC39" s="37">
        <v>21</v>
      </c>
      <c r="AD39" s="92">
        <f>+AB39*AC39+AB40*AC40+AB41*AC41</f>
        <v>3667.92</v>
      </c>
    </row>
    <row r="40" spans="2:32">
      <c r="B40" s="90"/>
      <c r="C40" s="44" t="s">
        <v>33</v>
      </c>
      <c r="D40" s="47"/>
      <c r="E40" s="47"/>
      <c r="F40" s="47"/>
      <c r="G40" s="47"/>
      <c r="H40" s="47"/>
      <c r="I40" s="47"/>
      <c r="J40" s="47">
        <v>9.86</v>
      </c>
      <c r="K40" s="47">
        <v>9.86</v>
      </c>
      <c r="L40" s="47">
        <v>9.86</v>
      </c>
      <c r="M40" s="47">
        <v>9.86</v>
      </c>
      <c r="N40" s="47">
        <v>9.86</v>
      </c>
      <c r="O40" s="47">
        <v>9.86</v>
      </c>
      <c r="P40" s="47">
        <v>9.86</v>
      </c>
      <c r="Q40" s="47">
        <v>9.86</v>
      </c>
      <c r="R40" s="47">
        <v>9.86</v>
      </c>
      <c r="S40" s="47">
        <v>9.86</v>
      </c>
      <c r="T40" s="47">
        <v>9.86</v>
      </c>
      <c r="U40" s="47">
        <v>9.86</v>
      </c>
      <c r="V40" s="47"/>
      <c r="W40" s="47"/>
      <c r="X40" s="47"/>
      <c r="Y40" s="47"/>
      <c r="Z40" s="47"/>
      <c r="AA40" s="47"/>
      <c r="AB40" s="45">
        <f t="shared" si="0"/>
        <v>118.32</v>
      </c>
      <c r="AC40" s="37">
        <v>5</v>
      </c>
      <c r="AD40" s="92"/>
    </row>
    <row r="41" spans="2:32">
      <c r="B41" s="90"/>
      <c r="C41" s="44" t="s">
        <v>34</v>
      </c>
      <c r="D41" s="47"/>
      <c r="E41" s="47"/>
      <c r="F41" s="47"/>
      <c r="G41" s="47"/>
      <c r="H41" s="47"/>
      <c r="I41" s="47"/>
      <c r="J41" s="47">
        <v>9.86</v>
      </c>
      <c r="K41" s="47">
        <v>9.86</v>
      </c>
      <c r="L41" s="47">
        <v>9.86</v>
      </c>
      <c r="M41" s="47">
        <v>9.86</v>
      </c>
      <c r="N41" s="47">
        <v>9.86</v>
      </c>
      <c r="O41" s="47">
        <v>9.86</v>
      </c>
      <c r="P41" s="47">
        <v>9.86</v>
      </c>
      <c r="Q41" s="47">
        <v>9.86</v>
      </c>
      <c r="R41" s="47">
        <v>9.86</v>
      </c>
      <c r="S41" s="47">
        <v>9.86</v>
      </c>
      <c r="T41" s="47">
        <v>9.86</v>
      </c>
      <c r="U41" s="47">
        <v>9.86</v>
      </c>
      <c r="V41" s="47"/>
      <c r="W41" s="47"/>
      <c r="X41" s="47"/>
      <c r="Y41" s="47"/>
      <c r="Z41" s="47"/>
      <c r="AA41" s="47"/>
      <c r="AB41" s="45">
        <f t="shared" si="0"/>
        <v>118.32</v>
      </c>
      <c r="AC41" s="37">
        <v>5</v>
      </c>
      <c r="AD41" s="92"/>
    </row>
    <row r="42" spans="2:32"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86" t="s">
        <v>35</v>
      </c>
      <c r="AB42" s="87"/>
      <c r="AC42" s="88"/>
      <c r="AD42" s="39">
        <f>SUM(AD6:AD41)</f>
        <v>43186.8</v>
      </c>
    </row>
    <row r="43" spans="2:32"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2:32" ht="23.25">
      <c r="B44" s="41" t="s">
        <v>70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40"/>
      <c r="AC44" s="40"/>
      <c r="AD44" s="38"/>
    </row>
    <row r="45" spans="2:32">
      <c r="B45" s="42" t="s">
        <v>3</v>
      </c>
      <c r="C45" s="42" t="s">
        <v>4</v>
      </c>
      <c r="D45" s="42" t="s">
        <v>5</v>
      </c>
      <c r="E45" s="42" t="s">
        <v>6</v>
      </c>
      <c r="F45" s="42" t="s">
        <v>7</v>
      </c>
      <c r="G45" s="42" t="s">
        <v>8</v>
      </c>
      <c r="H45" s="42" t="s">
        <v>9</v>
      </c>
      <c r="I45" s="42" t="s">
        <v>10</v>
      </c>
      <c r="J45" s="42" t="s">
        <v>11</v>
      </c>
      <c r="K45" s="42" t="s">
        <v>12</v>
      </c>
      <c r="L45" s="42" t="s">
        <v>13</v>
      </c>
      <c r="M45" s="42" t="s">
        <v>14</v>
      </c>
      <c r="N45" s="42" t="s">
        <v>15</v>
      </c>
      <c r="O45" s="42" t="s">
        <v>16</v>
      </c>
      <c r="P45" s="42" t="s">
        <v>17</v>
      </c>
      <c r="Q45" s="42" t="s">
        <v>18</v>
      </c>
      <c r="R45" s="42" t="s">
        <v>19</v>
      </c>
      <c r="S45" s="42" t="s">
        <v>20</v>
      </c>
      <c r="T45" s="42" t="s">
        <v>21</v>
      </c>
      <c r="U45" s="42" t="s">
        <v>22</v>
      </c>
      <c r="V45" s="42" t="s">
        <v>23</v>
      </c>
      <c r="W45" s="42" t="s">
        <v>24</v>
      </c>
      <c r="X45" s="42" t="s">
        <v>25</v>
      </c>
      <c r="Y45" s="42" t="s">
        <v>26</v>
      </c>
      <c r="Z45" s="42" t="s">
        <v>27</v>
      </c>
      <c r="AA45" s="42" t="s">
        <v>28</v>
      </c>
      <c r="AB45" s="36" t="s">
        <v>29</v>
      </c>
      <c r="AC45" s="43" t="s">
        <v>30</v>
      </c>
      <c r="AD45" s="42" t="s">
        <v>31</v>
      </c>
    </row>
    <row r="46" spans="2:32">
      <c r="B46" s="90">
        <v>48945</v>
      </c>
      <c r="C46" s="44" t="s">
        <v>32</v>
      </c>
      <c r="D46" s="47"/>
      <c r="E46" s="47"/>
      <c r="F46" s="47"/>
      <c r="G46" s="47"/>
      <c r="H46" s="47"/>
      <c r="I46" s="47"/>
      <c r="J46" s="47">
        <v>10</v>
      </c>
      <c r="K46" s="47">
        <v>10</v>
      </c>
      <c r="L46" s="47">
        <v>10</v>
      </c>
      <c r="M46" s="47">
        <v>10</v>
      </c>
      <c r="N46" s="47">
        <v>10</v>
      </c>
      <c r="O46" s="47">
        <v>10</v>
      </c>
      <c r="P46" s="47">
        <v>10</v>
      </c>
      <c r="Q46" s="47">
        <v>10</v>
      </c>
      <c r="R46" s="47">
        <v>10</v>
      </c>
      <c r="S46" s="47">
        <v>10</v>
      </c>
      <c r="T46" s="47">
        <v>10</v>
      </c>
      <c r="U46" s="47">
        <v>10</v>
      </c>
      <c r="V46" s="47"/>
      <c r="W46" s="47"/>
      <c r="X46" s="47"/>
      <c r="Y46" s="47"/>
      <c r="Z46" s="47"/>
      <c r="AA46" s="47"/>
      <c r="AB46" s="45">
        <f>SUM(D46:AA46)</f>
        <v>120</v>
      </c>
      <c r="AC46" s="37">
        <v>21</v>
      </c>
      <c r="AD46" s="92">
        <f>+AB46*AC46+AB47*AC47+AB48*AC48</f>
        <v>3720</v>
      </c>
    </row>
    <row r="47" spans="2:32">
      <c r="B47" s="90"/>
      <c r="C47" s="44" t="s">
        <v>33</v>
      </c>
      <c r="D47" s="47"/>
      <c r="E47" s="47"/>
      <c r="F47" s="47"/>
      <c r="G47" s="47"/>
      <c r="H47" s="47"/>
      <c r="I47" s="47"/>
      <c r="J47" s="47">
        <v>10</v>
      </c>
      <c r="K47" s="47">
        <v>10</v>
      </c>
      <c r="L47" s="47">
        <v>10</v>
      </c>
      <c r="M47" s="47">
        <v>10</v>
      </c>
      <c r="N47" s="47">
        <v>10</v>
      </c>
      <c r="O47" s="47">
        <v>10</v>
      </c>
      <c r="P47" s="47">
        <v>10</v>
      </c>
      <c r="Q47" s="47">
        <v>10</v>
      </c>
      <c r="R47" s="47">
        <v>10</v>
      </c>
      <c r="S47" s="47">
        <v>10</v>
      </c>
      <c r="T47" s="47">
        <v>10</v>
      </c>
      <c r="U47" s="47">
        <v>10</v>
      </c>
      <c r="V47" s="47"/>
      <c r="W47" s="47"/>
      <c r="X47" s="47"/>
      <c r="Y47" s="47"/>
      <c r="Z47" s="47"/>
      <c r="AA47" s="47"/>
      <c r="AB47" s="45">
        <f t="shared" ref="AB47:AB81" si="1">SUM(D47:AA47)</f>
        <v>120</v>
      </c>
      <c r="AC47" s="37">
        <v>4</v>
      </c>
      <c r="AD47" s="92"/>
    </row>
    <row r="48" spans="2:32">
      <c r="B48" s="90"/>
      <c r="C48" s="44" t="s">
        <v>34</v>
      </c>
      <c r="D48" s="47"/>
      <c r="E48" s="47"/>
      <c r="F48" s="47"/>
      <c r="G48" s="47"/>
      <c r="H48" s="47"/>
      <c r="I48" s="47"/>
      <c r="J48" s="47">
        <v>10</v>
      </c>
      <c r="K48" s="47">
        <v>10</v>
      </c>
      <c r="L48" s="47">
        <v>10</v>
      </c>
      <c r="M48" s="47">
        <v>10</v>
      </c>
      <c r="N48" s="47">
        <v>10</v>
      </c>
      <c r="O48" s="47">
        <v>10</v>
      </c>
      <c r="P48" s="47">
        <v>10</v>
      </c>
      <c r="Q48" s="47">
        <v>10</v>
      </c>
      <c r="R48" s="47">
        <v>10</v>
      </c>
      <c r="S48" s="47">
        <v>10</v>
      </c>
      <c r="T48" s="47">
        <v>10</v>
      </c>
      <c r="U48" s="47">
        <v>10</v>
      </c>
      <c r="V48" s="47"/>
      <c r="W48" s="47"/>
      <c r="X48" s="47"/>
      <c r="Y48" s="47"/>
      <c r="Z48" s="47"/>
      <c r="AA48" s="47"/>
      <c r="AB48" s="45">
        <f t="shared" si="1"/>
        <v>120</v>
      </c>
      <c r="AC48" s="37">
        <v>6</v>
      </c>
      <c r="AD48" s="92"/>
    </row>
    <row r="49" spans="2:30">
      <c r="B49" s="90">
        <v>48976</v>
      </c>
      <c r="C49" s="44" t="s">
        <v>32</v>
      </c>
      <c r="D49" s="47"/>
      <c r="E49" s="47"/>
      <c r="F49" s="47"/>
      <c r="G49" s="47"/>
      <c r="H49" s="47"/>
      <c r="I49" s="47"/>
      <c r="J49" s="47">
        <v>10</v>
      </c>
      <c r="K49" s="47">
        <v>10</v>
      </c>
      <c r="L49" s="47">
        <v>10</v>
      </c>
      <c r="M49" s="47">
        <v>10</v>
      </c>
      <c r="N49" s="47">
        <v>10</v>
      </c>
      <c r="O49" s="47">
        <v>10</v>
      </c>
      <c r="P49" s="47">
        <v>10</v>
      </c>
      <c r="Q49" s="47">
        <v>10</v>
      </c>
      <c r="R49" s="47">
        <v>10</v>
      </c>
      <c r="S49" s="47">
        <v>10</v>
      </c>
      <c r="T49" s="47">
        <v>10</v>
      </c>
      <c r="U49" s="47">
        <v>10</v>
      </c>
      <c r="V49" s="47"/>
      <c r="W49" s="47"/>
      <c r="X49" s="47"/>
      <c r="Y49" s="47"/>
      <c r="Z49" s="47"/>
      <c r="AA49" s="47"/>
      <c r="AB49" s="45">
        <f t="shared" si="1"/>
        <v>120</v>
      </c>
      <c r="AC49" s="37">
        <v>20</v>
      </c>
      <c r="AD49" s="92">
        <f>+AB49*AC49+AB50*AC50+AB51*AC51</f>
        <v>3360</v>
      </c>
    </row>
    <row r="50" spans="2:30">
      <c r="B50" s="90"/>
      <c r="C50" s="44" t="s">
        <v>33</v>
      </c>
      <c r="D50" s="47"/>
      <c r="E50" s="47"/>
      <c r="F50" s="47"/>
      <c r="G50" s="47"/>
      <c r="H50" s="47"/>
      <c r="I50" s="47"/>
      <c r="J50" s="47">
        <v>10</v>
      </c>
      <c r="K50" s="47">
        <v>10</v>
      </c>
      <c r="L50" s="47">
        <v>10</v>
      </c>
      <c r="M50" s="47">
        <v>10</v>
      </c>
      <c r="N50" s="47">
        <v>10</v>
      </c>
      <c r="O50" s="47">
        <v>10</v>
      </c>
      <c r="P50" s="47">
        <v>10</v>
      </c>
      <c r="Q50" s="47">
        <v>10</v>
      </c>
      <c r="R50" s="47">
        <v>10</v>
      </c>
      <c r="S50" s="47">
        <v>10</v>
      </c>
      <c r="T50" s="47">
        <v>10</v>
      </c>
      <c r="U50" s="47">
        <v>10</v>
      </c>
      <c r="V50" s="47"/>
      <c r="W50" s="47"/>
      <c r="X50" s="47"/>
      <c r="Y50" s="47"/>
      <c r="Z50" s="47"/>
      <c r="AA50" s="47"/>
      <c r="AB50" s="45">
        <f t="shared" si="1"/>
        <v>120</v>
      </c>
      <c r="AC50" s="37">
        <v>4</v>
      </c>
      <c r="AD50" s="92"/>
    </row>
    <row r="51" spans="2:30">
      <c r="B51" s="90"/>
      <c r="C51" s="44" t="s">
        <v>34</v>
      </c>
      <c r="D51" s="47"/>
      <c r="E51" s="47"/>
      <c r="F51" s="47"/>
      <c r="G51" s="47"/>
      <c r="H51" s="47"/>
      <c r="I51" s="47"/>
      <c r="J51" s="47">
        <v>10</v>
      </c>
      <c r="K51" s="47">
        <v>10</v>
      </c>
      <c r="L51" s="47">
        <v>10</v>
      </c>
      <c r="M51" s="47">
        <v>10</v>
      </c>
      <c r="N51" s="47">
        <v>10</v>
      </c>
      <c r="O51" s="47">
        <v>10</v>
      </c>
      <c r="P51" s="47">
        <v>10</v>
      </c>
      <c r="Q51" s="47">
        <v>10</v>
      </c>
      <c r="R51" s="47">
        <v>10</v>
      </c>
      <c r="S51" s="47">
        <v>10</v>
      </c>
      <c r="T51" s="47">
        <v>10</v>
      </c>
      <c r="U51" s="47">
        <v>10</v>
      </c>
      <c r="V51" s="47"/>
      <c r="W51" s="47"/>
      <c r="X51" s="47"/>
      <c r="Y51" s="47"/>
      <c r="Z51" s="47"/>
      <c r="AA51" s="47"/>
      <c r="AB51" s="45">
        <f t="shared" si="1"/>
        <v>120</v>
      </c>
      <c r="AC51" s="37">
        <v>4</v>
      </c>
      <c r="AD51" s="92"/>
    </row>
    <row r="52" spans="2:30">
      <c r="B52" s="90">
        <v>49004</v>
      </c>
      <c r="C52" s="44" t="s">
        <v>32</v>
      </c>
      <c r="D52" s="47"/>
      <c r="E52" s="47"/>
      <c r="F52" s="47"/>
      <c r="G52" s="47"/>
      <c r="H52" s="47"/>
      <c r="I52" s="47"/>
      <c r="J52" s="47">
        <v>10</v>
      </c>
      <c r="K52" s="47">
        <v>10</v>
      </c>
      <c r="L52" s="47">
        <v>10</v>
      </c>
      <c r="M52" s="47">
        <v>10</v>
      </c>
      <c r="N52" s="47">
        <v>10</v>
      </c>
      <c r="O52" s="47">
        <v>10</v>
      </c>
      <c r="P52" s="47">
        <v>10</v>
      </c>
      <c r="Q52" s="47">
        <v>10</v>
      </c>
      <c r="R52" s="47">
        <v>10</v>
      </c>
      <c r="S52" s="47">
        <v>10</v>
      </c>
      <c r="T52" s="47">
        <v>10</v>
      </c>
      <c r="U52" s="47">
        <v>10</v>
      </c>
      <c r="V52" s="47"/>
      <c r="W52" s="47"/>
      <c r="X52" s="47"/>
      <c r="Y52" s="47"/>
      <c r="Z52" s="47"/>
      <c r="AA52" s="47"/>
      <c r="AB52" s="45">
        <f t="shared" si="1"/>
        <v>120</v>
      </c>
      <c r="AC52" s="37">
        <v>22</v>
      </c>
      <c r="AD52" s="92">
        <f>+AB52*AC52+AB53*AC53+AB54*AC54</f>
        <v>3720</v>
      </c>
    </row>
    <row r="53" spans="2:30">
      <c r="B53" s="90"/>
      <c r="C53" s="44" t="s">
        <v>33</v>
      </c>
      <c r="D53" s="47"/>
      <c r="E53" s="47"/>
      <c r="F53" s="47"/>
      <c r="G53" s="47"/>
      <c r="H53" s="47"/>
      <c r="I53" s="47"/>
      <c r="J53" s="47">
        <v>10</v>
      </c>
      <c r="K53" s="47">
        <v>10</v>
      </c>
      <c r="L53" s="47">
        <v>10</v>
      </c>
      <c r="M53" s="47">
        <v>10</v>
      </c>
      <c r="N53" s="47">
        <v>10</v>
      </c>
      <c r="O53" s="47">
        <v>10</v>
      </c>
      <c r="P53" s="47">
        <v>10</v>
      </c>
      <c r="Q53" s="47">
        <v>10</v>
      </c>
      <c r="R53" s="47">
        <v>10</v>
      </c>
      <c r="S53" s="47">
        <v>10</v>
      </c>
      <c r="T53" s="47">
        <v>10</v>
      </c>
      <c r="U53" s="47">
        <v>10</v>
      </c>
      <c r="V53" s="47"/>
      <c r="W53" s="47"/>
      <c r="X53" s="47"/>
      <c r="Y53" s="47"/>
      <c r="Z53" s="47"/>
      <c r="AA53" s="47"/>
      <c r="AB53" s="45">
        <f t="shared" si="1"/>
        <v>120</v>
      </c>
      <c r="AC53" s="37">
        <v>4</v>
      </c>
      <c r="AD53" s="92"/>
    </row>
    <row r="54" spans="2:30">
      <c r="B54" s="90"/>
      <c r="C54" s="44" t="s">
        <v>34</v>
      </c>
      <c r="D54" s="47"/>
      <c r="E54" s="47"/>
      <c r="F54" s="47"/>
      <c r="G54" s="47"/>
      <c r="H54" s="47"/>
      <c r="I54" s="47"/>
      <c r="J54" s="47">
        <v>10</v>
      </c>
      <c r="K54" s="47">
        <v>10</v>
      </c>
      <c r="L54" s="47">
        <v>10</v>
      </c>
      <c r="M54" s="47">
        <v>10</v>
      </c>
      <c r="N54" s="47">
        <v>10</v>
      </c>
      <c r="O54" s="47">
        <v>10</v>
      </c>
      <c r="P54" s="47">
        <v>10</v>
      </c>
      <c r="Q54" s="47">
        <v>10</v>
      </c>
      <c r="R54" s="47">
        <v>10</v>
      </c>
      <c r="S54" s="47">
        <v>10</v>
      </c>
      <c r="T54" s="47">
        <v>10</v>
      </c>
      <c r="U54" s="47">
        <v>10</v>
      </c>
      <c r="V54" s="47"/>
      <c r="W54" s="47"/>
      <c r="X54" s="47"/>
      <c r="Y54" s="47"/>
      <c r="Z54" s="47"/>
      <c r="AA54" s="47"/>
      <c r="AB54" s="45">
        <f t="shared" si="1"/>
        <v>120</v>
      </c>
      <c r="AC54" s="37">
        <v>5</v>
      </c>
      <c r="AD54" s="92"/>
    </row>
    <row r="55" spans="2:30">
      <c r="B55" s="90">
        <v>49035</v>
      </c>
      <c r="C55" s="44" t="s">
        <v>32</v>
      </c>
      <c r="D55" s="47"/>
      <c r="E55" s="47"/>
      <c r="F55" s="47"/>
      <c r="G55" s="47"/>
      <c r="H55" s="47"/>
      <c r="I55" s="47"/>
      <c r="J55" s="47">
        <v>10</v>
      </c>
      <c r="K55" s="47">
        <v>10</v>
      </c>
      <c r="L55" s="47">
        <v>10</v>
      </c>
      <c r="M55" s="47">
        <v>10</v>
      </c>
      <c r="N55" s="47">
        <v>10</v>
      </c>
      <c r="O55" s="47">
        <v>10</v>
      </c>
      <c r="P55" s="47">
        <v>10</v>
      </c>
      <c r="Q55" s="47">
        <v>10</v>
      </c>
      <c r="R55" s="47">
        <v>10</v>
      </c>
      <c r="S55" s="47">
        <v>10</v>
      </c>
      <c r="T55" s="47">
        <v>10</v>
      </c>
      <c r="U55" s="47">
        <v>10</v>
      </c>
      <c r="V55" s="47"/>
      <c r="W55" s="47"/>
      <c r="X55" s="47"/>
      <c r="Y55" s="47"/>
      <c r="Z55" s="47"/>
      <c r="AA55" s="47"/>
      <c r="AB55" s="45">
        <f t="shared" si="1"/>
        <v>120</v>
      </c>
      <c r="AC55" s="37">
        <v>18</v>
      </c>
      <c r="AD55" s="92">
        <f>+AB55*AC55+AB56*AC56+AB57*AC57</f>
        <v>3600</v>
      </c>
    </row>
    <row r="56" spans="2:30">
      <c r="B56" s="90"/>
      <c r="C56" s="44" t="s">
        <v>33</v>
      </c>
      <c r="D56" s="47"/>
      <c r="E56" s="47"/>
      <c r="F56" s="47"/>
      <c r="G56" s="47"/>
      <c r="H56" s="47"/>
      <c r="I56" s="47"/>
      <c r="J56" s="47">
        <v>10</v>
      </c>
      <c r="K56" s="47">
        <v>10</v>
      </c>
      <c r="L56" s="47">
        <v>10</v>
      </c>
      <c r="M56" s="47">
        <v>10</v>
      </c>
      <c r="N56" s="47">
        <v>10</v>
      </c>
      <c r="O56" s="47">
        <v>10</v>
      </c>
      <c r="P56" s="47">
        <v>10</v>
      </c>
      <c r="Q56" s="47">
        <v>10</v>
      </c>
      <c r="R56" s="47">
        <v>10</v>
      </c>
      <c r="S56" s="47">
        <v>10</v>
      </c>
      <c r="T56" s="47">
        <v>10</v>
      </c>
      <c r="U56" s="47">
        <v>10</v>
      </c>
      <c r="V56" s="47"/>
      <c r="W56" s="47"/>
      <c r="X56" s="47"/>
      <c r="Y56" s="47"/>
      <c r="Z56" s="47"/>
      <c r="AA56" s="47"/>
      <c r="AB56" s="45">
        <f t="shared" si="1"/>
        <v>120</v>
      </c>
      <c r="AC56" s="37">
        <v>5</v>
      </c>
      <c r="AD56" s="92"/>
    </row>
    <row r="57" spans="2:30">
      <c r="B57" s="90"/>
      <c r="C57" s="44" t="s">
        <v>34</v>
      </c>
      <c r="D57" s="47"/>
      <c r="E57" s="47"/>
      <c r="F57" s="47"/>
      <c r="G57" s="47"/>
      <c r="H57" s="47"/>
      <c r="I57" s="47"/>
      <c r="J57" s="47">
        <v>10</v>
      </c>
      <c r="K57" s="47">
        <v>10</v>
      </c>
      <c r="L57" s="47">
        <v>10</v>
      </c>
      <c r="M57" s="47">
        <v>10</v>
      </c>
      <c r="N57" s="47">
        <v>10</v>
      </c>
      <c r="O57" s="47">
        <v>10</v>
      </c>
      <c r="P57" s="47">
        <v>10</v>
      </c>
      <c r="Q57" s="47">
        <v>10</v>
      </c>
      <c r="R57" s="47">
        <v>10</v>
      </c>
      <c r="S57" s="47">
        <v>10</v>
      </c>
      <c r="T57" s="47">
        <v>10</v>
      </c>
      <c r="U57" s="47">
        <v>10</v>
      </c>
      <c r="V57" s="47"/>
      <c r="W57" s="47"/>
      <c r="X57" s="47"/>
      <c r="Y57" s="47"/>
      <c r="Z57" s="47"/>
      <c r="AA57" s="47"/>
      <c r="AB57" s="45">
        <f t="shared" si="1"/>
        <v>120</v>
      </c>
      <c r="AC57" s="37">
        <v>7</v>
      </c>
      <c r="AD57" s="92"/>
    </row>
    <row r="58" spans="2:30">
      <c r="B58" s="90">
        <v>49065</v>
      </c>
      <c r="C58" s="44" t="s">
        <v>32</v>
      </c>
      <c r="D58" s="47"/>
      <c r="E58" s="47"/>
      <c r="F58" s="47"/>
      <c r="G58" s="47"/>
      <c r="H58" s="47"/>
      <c r="I58" s="47"/>
      <c r="J58" s="47">
        <v>10</v>
      </c>
      <c r="K58" s="47">
        <v>10</v>
      </c>
      <c r="L58" s="47">
        <v>10</v>
      </c>
      <c r="M58" s="47">
        <v>10</v>
      </c>
      <c r="N58" s="47">
        <v>10</v>
      </c>
      <c r="O58" s="47">
        <v>10</v>
      </c>
      <c r="P58" s="47">
        <v>10</v>
      </c>
      <c r="Q58" s="47">
        <v>10</v>
      </c>
      <c r="R58" s="47">
        <v>10</v>
      </c>
      <c r="S58" s="47">
        <v>10</v>
      </c>
      <c r="T58" s="47">
        <v>10</v>
      </c>
      <c r="U58" s="47">
        <v>10</v>
      </c>
      <c r="V58" s="47"/>
      <c r="W58" s="47"/>
      <c r="X58" s="47"/>
      <c r="Y58" s="47"/>
      <c r="Z58" s="47"/>
      <c r="AA58" s="47"/>
      <c r="AB58" s="45">
        <f t="shared" si="1"/>
        <v>120</v>
      </c>
      <c r="AC58" s="37">
        <v>21</v>
      </c>
      <c r="AD58" s="92">
        <f>+AB58*AC58+AB59*AC59+AB60*AC60</f>
        <v>3720</v>
      </c>
    </row>
    <row r="59" spans="2:30">
      <c r="B59" s="90"/>
      <c r="C59" s="44" t="s">
        <v>33</v>
      </c>
      <c r="D59" s="47"/>
      <c r="E59" s="47"/>
      <c r="F59" s="47"/>
      <c r="G59" s="47"/>
      <c r="H59" s="47"/>
      <c r="I59" s="47"/>
      <c r="J59" s="47">
        <v>10</v>
      </c>
      <c r="K59" s="47">
        <v>10</v>
      </c>
      <c r="L59" s="47">
        <v>10</v>
      </c>
      <c r="M59" s="47">
        <v>10</v>
      </c>
      <c r="N59" s="47">
        <v>10</v>
      </c>
      <c r="O59" s="47">
        <v>10</v>
      </c>
      <c r="P59" s="47">
        <v>10</v>
      </c>
      <c r="Q59" s="47">
        <v>10</v>
      </c>
      <c r="R59" s="47">
        <v>10</v>
      </c>
      <c r="S59" s="47">
        <v>10</v>
      </c>
      <c r="T59" s="47">
        <v>10</v>
      </c>
      <c r="U59" s="47">
        <v>10</v>
      </c>
      <c r="V59" s="47"/>
      <c r="W59" s="47"/>
      <c r="X59" s="47"/>
      <c r="Y59" s="47"/>
      <c r="Z59" s="47"/>
      <c r="AA59" s="47"/>
      <c r="AB59" s="45">
        <f t="shared" si="1"/>
        <v>120</v>
      </c>
      <c r="AC59" s="37">
        <v>4</v>
      </c>
      <c r="AD59" s="92"/>
    </row>
    <row r="60" spans="2:30">
      <c r="B60" s="90"/>
      <c r="C60" s="44" t="s">
        <v>34</v>
      </c>
      <c r="D60" s="47"/>
      <c r="E60" s="47"/>
      <c r="F60" s="47"/>
      <c r="G60" s="47"/>
      <c r="H60" s="47"/>
      <c r="I60" s="47"/>
      <c r="J60" s="47">
        <v>10</v>
      </c>
      <c r="K60" s="47">
        <v>10</v>
      </c>
      <c r="L60" s="47">
        <v>10</v>
      </c>
      <c r="M60" s="47">
        <v>10</v>
      </c>
      <c r="N60" s="47">
        <v>10</v>
      </c>
      <c r="O60" s="47">
        <v>10</v>
      </c>
      <c r="P60" s="47">
        <v>10</v>
      </c>
      <c r="Q60" s="47">
        <v>10</v>
      </c>
      <c r="R60" s="47">
        <v>10</v>
      </c>
      <c r="S60" s="47">
        <v>10</v>
      </c>
      <c r="T60" s="47">
        <v>10</v>
      </c>
      <c r="U60" s="47">
        <v>10</v>
      </c>
      <c r="V60" s="47"/>
      <c r="W60" s="47"/>
      <c r="X60" s="47"/>
      <c r="Y60" s="47"/>
      <c r="Z60" s="47"/>
      <c r="AA60" s="47"/>
      <c r="AB60" s="45">
        <f t="shared" si="1"/>
        <v>120</v>
      </c>
      <c r="AC60" s="37">
        <v>6</v>
      </c>
      <c r="AD60" s="92"/>
    </row>
    <row r="61" spans="2:30">
      <c r="B61" s="90">
        <v>49096</v>
      </c>
      <c r="C61" s="44" t="s">
        <v>32</v>
      </c>
      <c r="D61" s="47"/>
      <c r="E61" s="47"/>
      <c r="F61" s="47"/>
      <c r="G61" s="47"/>
      <c r="H61" s="47"/>
      <c r="I61" s="47"/>
      <c r="J61" s="47">
        <v>10</v>
      </c>
      <c r="K61" s="47">
        <v>10</v>
      </c>
      <c r="L61" s="47">
        <v>10</v>
      </c>
      <c r="M61" s="47">
        <v>10</v>
      </c>
      <c r="N61" s="47">
        <v>10</v>
      </c>
      <c r="O61" s="47">
        <v>10</v>
      </c>
      <c r="P61" s="47">
        <v>10</v>
      </c>
      <c r="Q61" s="47">
        <v>10</v>
      </c>
      <c r="R61" s="47">
        <v>10</v>
      </c>
      <c r="S61" s="47">
        <v>10</v>
      </c>
      <c r="T61" s="47">
        <v>10</v>
      </c>
      <c r="U61" s="47">
        <v>10</v>
      </c>
      <c r="V61" s="47"/>
      <c r="W61" s="47"/>
      <c r="X61" s="47"/>
      <c r="Y61" s="47"/>
      <c r="Z61" s="47"/>
      <c r="AA61" s="47"/>
      <c r="AB61" s="45">
        <f t="shared" si="1"/>
        <v>120</v>
      </c>
      <c r="AC61" s="37">
        <v>20</v>
      </c>
      <c r="AD61" s="92">
        <f>+AB61*AC61+AB62*AC62+AB63*AC63</f>
        <v>3600</v>
      </c>
    </row>
    <row r="62" spans="2:30">
      <c r="B62" s="90"/>
      <c r="C62" s="44" t="s">
        <v>33</v>
      </c>
      <c r="D62" s="47"/>
      <c r="E62" s="47"/>
      <c r="F62" s="47"/>
      <c r="G62" s="47"/>
      <c r="H62" s="47"/>
      <c r="I62" s="47"/>
      <c r="J62" s="47">
        <v>10</v>
      </c>
      <c r="K62" s="47">
        <v>10</v>
      </c>
      <c r="L62" s="47">
        <v>10</v>
      </c>
      <c r="M62" s="47">
        <v>10</v>
      </c>
      <c r="N62" s="47">
        <v>10</v>
      </c>
      <c r="O62" s="47">
        <v>10</v>
      </c>
      <c r="P62" s="47">
        <v>10</v>
      </c>
      <c r="Q62" s="47">
        <v>10</v>
      </c>
      <c r="R62" s="47">
        <v>10</v>
      </c>
      <c r="S62" s="47">
        <v>10</v>
      </c>
      <c r="T62" s="47">
        <v>10</v>
      </c>
      <c r="U62" s="47">
        <v>10</v>
      </c>
      <c r="V62" s="47"/>
      <c r="W62" s="47"/>
      <c r="X62" s="47"/>
      <c r="Y62" s="47"/>
      <c r="Z62" s="47"/>
      <c r="AA62" s="47"/>
      <c r="AB62" s="45">
        <f t="shared" si="1"/>
        <v>120</v>
      </c>
      <c r="AC62" s="37">
        <v>4</v>
      </c>
      <c r="AD62" s="92"/>
    </row>
    <row r="63" spans="2:30">
      <c r="B63" s="90"/>
      <c r="C63" s="44" t="s">
        <v>34</v>
      </c>
      <c r="D63" s="47"/>
      <c r="E63" s="47"/>
      <c r="F63" s="47"/>
      <c r="G63" s="47"/>
      <c r="H63" s="47"/>
      <c r="I63" s="47"/>
      <c r="J63" s="47">
        <v>10</v>
      </c>
      <c r="K63" s="47">
        <v>10</v>
      </c>
      <c r="L63" s="47">
        <v>10</v>
      </c>
      <c r="M63" s="47">
        <v>10</v>
      </c>
      <c r="N63" s="47">
        <v>10</v>
      </c>
      <c r="O63" s="47">
        <v>10</v>
      </c>
      <c r="P63" s="47">
        <v>10</v>
      </c>
      <c r="Q63" s="47">
        <v>10</v>
      </c>
      <c r="R63" s="47">
        <v>10</v>
      </c>
      <c r="S63" s="47">
        <v>10</v>
      </c>
      <c r="T63" s="47">
        <v>10</v>
      </c>
      <c r="U63" s="47">
        <v>10</v>
      </c>
      <c r="V63" s="47"/>
      <c r="W63" s="47"/>
      <c r="X63" s="47"/>
      <c r="Y63" s="47"/>
      <c r="Z63" s="47"/>
      <c r="AA63" s="47"/>
      <c r="AB63" s="45">
        <f t="shared" si="1"/>
        <v>120</v>
      </c>
      <c r="AC63" s="37">
        <v>6</v>
      </c>
      <c r="AD63" s="92"/>
    </row>
    <row r="64" spans="2:30">
      <c r="B64" s="90">
        <v>49126</v>
      </c>
      <c r="C64" s="44" t="s">
        <v>32</v>
      </c>
      <c r="D64" s="47"/>
      <c r="E64" s="47"/>
      <c r="F64" s="47"/>
      <c r="G64" s="47"/>
      <c r="H64" s="47"/>
      <c r="I64" s="47"/>
      <c r="J64" s="47">
        <v>10</v>
      </c>
      <c r="K64" s="47">
        <v>10</v>
      </c>
      <c r="L64" s="47">
        <v>10</v>
      </c>
      <c r="M64" s="47">
        <v>10</v>
      </c>
      <c r="N64" s="47">
        <v>10</v>
      </c>
      <c r="O64" s="47">
        <v>10</v>
      </c>
      <c r="P64" s="47">
        <v>10</v>
      </c>
      <c r="Q64" s="47">
        <v>10</v>
      </c>
      <c r="R64" s="47">
        <v>10</v>
      </c>
      <c r="S64" s="47">
        <v>10</v>
      </c>
      <c r="T64" s="47">
        <v>10</v>
      </c>
      <c r="U64" s="47">
        <v>10</v>
      </c>
      <c r="V64" s="47"/>
      <c r="W64" s="47"/>
      <c r="X64" s="47"/>
      <c r="Y64" s="47"/>
      <c r="Z64" s="47"/>
      <c r="AA64" s="47"/>
      <c r="AB64" s="45">
        <f t="shared" si="1"/>
        <v>120</v>
      </c>
      <c r="AC64" s="37">
        <v>19</v>
      </c>
      <c r="AD64" s="92">
        <f>+AB64*AC64+AB65*AC65+AB66*AC66</f>
        <v>3720</v>
      </c>
    </row>
    <row r="65" spans="2:30">
      <c r="B65" s="90"/>
      <c r="C65" s="44" t="s">
        <v>33</v>
      </c>
      <c r="D65" s="47"/>
      <c r="E65" s="47"/>
      <c r="F65" s="47"/>
      <c r="G65" s="47"/>
      <c r="H65" s="47"/>
      <c r="I65" s="47"/>
      <c r="J65" s="47">
        <v>10</v>
      </c>
      <c r="K65" s="47">
        <v>10</v>
      </c>
      <c r="L65" s="47">
        <v>10</v>
      </c>
      <c r="M65" s="47">
        <v>10</v>
      </c>
      <c r="N65" s="47">
        <v>10</v>
      </c>
      <c r="O65" s="47">
        <v>10</v>
      </c>
      <c r="P65" s="47">
        <v>10</v>
      </c>
      <c r="Q65" s="47">
        <v>10</v>
      </c>
      <c r="R65" s="47">
        <v>10</v>
      </c>
      <c r="S65" s="47">
        <v>10</v>
      </c>
      <c r="T65" s="47">
        <v>10</v>
      </c>
      <c r="U65" s="47">
        <v>10</v>
      </c>
      <c r="V65" s="47"/>
      <c r="W65" s="47"/>
      <c r="X65" s="47"/>
      <c r="Y65" s="47"/>
      <c r="Z65" s="47"/>
      <c r="AA65" s="47"/>
      <c r="AB65" s="45">
        <f t="shared" si="1"/>
        <v>120</v>
      </c>
      <c r="AC65" s="37">
        <v>5</v>
      </c>
      <c r="AD65" s="92"/>
    </row>
    <row r="66" spans="2:30">
      <c r="B66" s="90"/>
      <c r="C66" s="44" t="s">
        <v>34</v>
      </c>
      <c r="D66" s="47"/>
      <c r="E66" s="47"/>
      <c r="F66" s="47"/>
      <c r="G66" s="47"/>
      <c r="H66" s="47"/>
      <c r="I66" s="47"/>
      <c r="J66" s="47">
        <v>10</v>
      </c>
      <c r="K66" s="47">
        <v>10</v>
      </c>
      <c r="L66" s="47">
        <v>10</v>
      </c>
      <c r="M66" s="47">
        <v>10</v>
      </c>
      <c r="N66" s="47">
        <v>10</v>
      </c>
      <c r="O66" s="47">
        <v>10</v>
      </c>
      <c r="P66" s="47">
        <v>10</v>
      </c>
      <c r="Q66" s="47">
        <v>10</v>
      </c>
      <c r="R66" s="47">
        <v>10</v>
      </c>
      <c r="S66" s="47">
        <v>10</v>
      </c>
      <c r="T66" s="47">
        <v>10</v>
      </c>
      <c r="U66" s="47">
        <v>10</v>
      </c>
      <c r="V66" s="47"/>
      <c r="W66" s="47"/>
      <c r="X66" s="47"/>
      <c r="Y66" s="47"/>
      <c r="Z66" s="47"/>
      <c r="AA66" s="47"/>
      <c r="AB66" s="45">
        <f t="shared" si="1"/>
        <v>120</v>
      </c>
      <c r="AC66" s="37">
        <v>7</v>
      </c>
      <c r="AD66" s="92"/>
    </row>
    <row r="67" spans="2:30">
      <c r="B67" s="90">
        <v>49157</v>
      </c>
      <c r="C67" s="44" t="s">
        <v>32</v>
      </c>
      <c r="D67" s="47"/>
      <c r="E67" s="47"/>
      <c r="F67" s="47"/>
      <c r="G67" s="47"/>
      <c r="H67" s="47"/>
      <c r="I67" s="47"/>
      <c r="J67" s="47">
        <v>10</v>
      </c>
      <c r="K67" s="47">
        <v>10</v>
      </c>
      <c r="L67" s="47">
        <v>10</v>
      </c>
      <c r="M67" s="47">
        <v>10</v>
      </c>
      <c r="N67" s="47">
        <v>10</v>
      </c>
      <c r="O67" s="47">
        <v>10</v>
      </c>
      <c r="P67" s="47">
        <v>10</v>
      </c>
      <c r="Q67" s="47">
        <v>10</v>
      </c>
      <c r="R67" s="47">
        <v>10</v>
      </c>
      <c r="S67" s="47">
        <v>10</v>
      </c>
      <c r="T67" s="47">
        <v>10</v>
      </c>
      <c r="U67" s="47">
        <v>10</v>
      </c>
      <c r="V67" s="47"/>
      <c r="W67" s="47"/>
      <c r="X67" s="47"/>
      <c r="Y67" s="47"/>
      <c r="Z67" s="47"/>
      <c r="AA67" s="47"/>
      <c r="AB67" s="45">
        <f t="shared" si="1"/>
        <v>120</v>
      </c>
      <c r="AC67" s="37">
        <v>21</v>
      </c>
      <c r="AD67" s="92">
        <f>+AB67*AC67+AB68*AC68+AB69*AC69</f>
        <v>3720</v>
      </c>
    </row>
    <row r="68" spans="2:30">
      <c r="B68" s="90"/>
      <c r="C68" s="44" t="s">
        <v>33</v>
      </c>
      <c r="D68" s="47"/>
      <c r="E68" s="47"/>
      <c r="F68" s="47"/>
      <c r="G68" s="47"/>
      <c r="H68" s="47"/>
      <c r="I68" s="47"/>
      <c r="J68" s="47">
        <v>10</v>
      </c>
      <c r="K68" s="47">
        <v>10</v>
      </c>
      <c r="L68" s="47">
        <v>10</v>
      </c>
      <c r="M68" s="47">
        <v>10</v>
      </c>
      <c r="N68" s="47">
        <v>10</v>
      </c>
      <c r="O68" s="47">
        <v>10</v>
      </c>
      <c r="P68" s="47">
        <v>10</v>
      </c>
      <c r="Q68" s="47">
        <v>10</v>
      </c>
      <c r="R68" s="47">
        <v>10</v>
      </c>
      <c r="S68" s="47">
        <v>10</v>
      </c>
      <c r="T68" s="47">
        <v>10</v>
      </c>
      <c r="U68" s="47">
        <v>10</v>
      </c>
      <c r="V68" s="47"/>
      <c r="W68" s="47"/>
      <c r="X68" s="47"/>
      <c r="Y68" s="47"/>
      <c r="Z68" s="47"/>
      <c r="AA68" s="47"/>
      <c r="AB68" s="45">
        <f t="shared" si="1"/>
        <v>120</v>
      </c>
      <c r="AC68" s="37">
        <v>4</v>
      </c>
      <c r="AD68" s="92"/>
    </row>
    <row r="69" spans="2:30">
      <c r="B69" s="90"/>
      <c r="C69" s="44" t="s">
        <v>34</v>
      </c>
      <c r="D69" s="47"/>
      <c r="E69" s="47"/>
      <c r="F69" s="47"/>
      <c r="G69" s="47"/>
      <c r="H69" s="47"/>
      <c r="I69" s="47"/>
      <c r="J69" s="47">
        <v>10</v>
      </c>
      <c r="K69" s="47">
        <v>10</v>
      </c>
      <c r="L69" s="47">
        <v>10</v>
      </c>
      <c r="M69" s="47">
        <v>10</v>
      </c>
      <c r="N69" s="47">
        <v>10</v>
      </c>
      <c r="O69" s="47">
        <v>10</v>
      </c>
      <c r="P69" s="47">
        <v>10</v>
      </c>
      <c r="Q69" s="47">
        <v>10</v>
      </c>
      <c r="R69" s="47">
        <v>10</v>
      </c>
      <c r="S69" s="47">
        <v>10</v>
      </c>
      <c r="T69" s="47">
        <v>10</v>
      </c>
      <c r="U69" s="47">
        <v>10</v>
      </c>
      <c r="V69" s="47"/>
      <c r="W69" s="47"/>
      <c r="X69" s="47"/>
      <c r="Y69" s="47"/>
      <c r="Z69" s="47"/>
      <c r="AA69" s="47"/>
      <c r="AB69" s="45">
        <f t="shared" si="1"/>
        <v>120</v>
      </c>
      <c r="AC69" s="37">
        <v>6</v>
      </c>
      <c r="AD69" s="92"/>
    </row>
    <row r="70" spans="2:30">
      <c r="B70" s="90">
        <v>49188</v>
      </c>
      <c r="C70" s="44" t="s">
        <v>32</v>
      </c>
      <c r="D70" s="47"/>
      <c r="E70" s="47"/>
      <c r="F70" s="47"/>
      <c r="G70" s="47"/>
      <c r="H70" s="47"/>
      <c r="I70" s="47"/>
      <c r="J70" s="47">
        <v>10</v>
      </c>
      <c r="K70" s="47">
        <v>10</v>
      </c>
      <c r="L70" s="47">
        <v>10</v>
      </c>
      <c r="M70" s="47">
        <v>10</v>
      </c>
      <c r="N70" s="47">
        <v>10</v>
      </c>
      <c r="O70" s="47">
        <v>10</v>
      </c>
      <c r="P70" s="47">
        <v>10</v>
      </c>
      <c r="Q70" s="47">
        <v>10</v>
      </c>
      <c r="R70" s="47">
        <v>10</v>
      </c>
      <c r="S70" s="47">
        <v>10</v>
      </c>
      <c r="T70" s="47">
        <v>10</v>
      </c>
      <c r="U70" s="47">
        <v>10</v>
      </c>
      <c r="V70" s="47"/>
      <c r="W70" s="47"/>
      <c r="X70" s="47"/>
      <c r="Y70" s="47"/>
      <c r="Z70" s="47"/>
      <c r="AA70" s="47"/>
      <c r="AB70" s="45">
        <f t="shared" si="1"/>
        <v>120</v>
      </c>
      <c r="AC70" s="37">
        <v>21</v>
      </c>
      <c r="AD70" s="92">
        <f>+AB70*AC70+AB71*AC71+AB72*AC72</f>
        <v>3600</v>
      </c>
    </row>
    <row r="71" spans="2:30">
      <c r="B71" s="90"/>
      <c r="C71" s="44" t="s">
        <v>33</v>
      </c>
      <c r="D71" s="47"/>
      <c r="E71" s="47"/>
      <c r="F71" s="47"/>
      <c r="G71" s="47"/>
      <c r="H71" s="47"/>
      <c r="I71" s="47"/>
      <c r="J71" s="47">
        <v>10</v>
      </c>
      <c r="K71" s="47">
        <v>10</v>
      </c>
      <c r="L71" s="47">
        <v>10</v>
      </c>
      <c r="M71" s="47">
        <v>10</v>
      </c>
      <c r="N71" s="47">
        <v>10</v>
      </c>
      <c r="O71" s="47">
        <v>10</v>
      </c>
      <c r="P71" s="47">
        <v>10</v>
      </c>
      <c r="Q71" s="47">
        <v>10</v>
      </c>
      <c r="R71" s="47">
        <v>10</v>
      </c>
      <c r="S71" s="47">
        <v>10</v>
      </c>
      <c r="T71" s="47">
        <v>10</v>
      </c>
      <c r="U71" s="47">
        <v>10</v>
      </c>
      <c r="V71" s="47"/>
      <c r="W71" s="47"/>
      <c r="X71" s="47"/>
      <c r="Y71" s="47"/>
      <c r="Z71" s="47"/>
      <c r="AA71" s="47"/>
      <c r="AB71" s="45">
        <f t="shared" si="1"/>
        <v>120</v>
      </c>
      <c r="AC71" s="37">
        <v>5</v>
      </c>
      <c r="AD71" s="92"/>
    </row>
    <row r="72" spans="2:30">
      <c r="B72" s="90"/>
      <c r="C72" s="44" t="s">
        <v>34</v>
      </c>
      <c r="D72" s="47"/>
      <c r="E72" s="47"/>
      <c r="F72" s="47"/>
      <c r="G72" s="47"/>
      <c r="H72" s="47"/>
      <c r="I72" s="47"/>
      <c r="J72" s="47">
        <v>10</v>
      </c>
      <c r="K72" s="47">
        <v>10</v>
      </c>
      <c r="L72" s="47">
        <v>10</v>
      </c>
      <c r="M72" s="47">
        <v>10</v>
      </c>
      <c r="N72" s="47">
        <v>10</v>
      </c>
      <c r="O72" s="47">
        <v>10</v>
      </c>
      <c r="P72" s="47">
        <v>10</v>
      </c>
      <c r="Q72" s="47">
        <v>10</v>
      </c>
      <c r="R72" s="47">
        <v>10</v>
      </c>
      <c r="S72" s="47">
        <v>10</v>
      </c>
      <c r="T72" s="47">
        <v>10</v>
      </c>
      <c r="U72" s="47">
        <v>10</v>
      </c>
      <c r="V72" s="47"/>
      <c r="W72" s="47"/>
      <c r="X72" s="47"/>
      <c r="Y72" s="47"/>
      <c r="Z72" s="47"/>
      <c r="AA72" s="47"/>
      <c r="AB72" s="45">
        <f t="shared" si="1"/>
        <v>120</v>
      </c>
      <c r="AC72" s="37">
        <v>4</v>
      </c>
      <c r="AD72" s="92"/>
    </row>
    <row r="73" spans="2:30">
      <c r="B73" s="90">
        <v>49218</v>
      </c>
      <c r="C73" s="44" t="s">
        <v>32</v>
      </c>
      <c r="D73" s="47"/>
      <c r="E73" s="47"/>
      <c r="F73" s="47"/>
      <c r="G73" s="47"/>
      <c r="H73" s="47"/>
      <c r="I73" s="47"/>
      <c r="J73" s="47">
        <v>10</v>
      </c>
      <c r="K73" s="47">
        <v>10</v>
      </c>
      <c r="L73" s="47">
        <v>10</v>
      </c>
      <c r="M73" s="47">
        <v>10</v>
      </c>
      <c r="N73" s="47">
        <v>10</v>
      </c>
      <c r="O73" s="47">
        <v>10</v>
      </c>
      <c r="P73" s="47">
        <v>10</v>
      </c>
      <c r="Q73" s="47">
        <v>10</v>
      </c>
      <c r="R73" s="47">
        <v>10</v>
      </c>
      <c r="S73" s="47">
        <v>10</v>
      </c>
      <c r="T73" s="47">
        <v>10</v>
      </c>
      <c r="U73" s="47">
        <v>10</v>
      </c>
      <c r="V73" s="47"/>
      <c r="W73" s="47"/>
      <c r="X73" s="47"/>
      <c r="Y73" s="47"/>
      <c r="Z73" s="47"/>
      <c r="AA73" s="47"/>
      <c r="AB73" s="45">
        <f t="shared" si="1"/>
        <v>120</v>
      </c>
      <c r="AC73" s="37">
        <v>21</v>
      </c>
      <c r="AD73" s="92">
        <f>+AB73*AC73+AB74*AC74+AB75*AC75</f>
        <v>3720</v>
      </c>
    </row>
    <row r="74" spans="2:30">
      <c r="B74" s="90"/>
      <c r="C74" s="44" t="s">
        <v>33</v>
      </c>
      <c r="D74" s="47"/>
      <c r="E74" s="47"/>
      <c r="F74" s="47"/>
      <c r="G74" s="47"/>
      <c r="H74" s="47"/>
      <c r="I74" s="47"/>
      <c r="J74" s="47">
        <v>10</v>
      </c>
      <c r="K74" s="47">
        <v>10</v>
      </c>
      <c r="L74" s="47">
        <v>10</v>
      </c>
      <c r="M74" s="47">
        <v>10</v>
      </c>
      <c r="N74" s="47">
        <v>10</v>
      </c>
      <c r="O74" s="47">
        <v>10</v>
      </c>
      <c r="P74" s="47">
        <v>10</v>
      </c>
      <c r="Q74" s="47">
        <v>10</v>
      </c>
      <c r="R74" s="47">
        <v>10</v>
      </c>
      <c r="S74" s="47">
        <v>10</v>
      </c>
      <c r="T74" s="47">
        <v>10</v>
      </c>
      <c r="U74" s="47">
        <v>10</v>
      </c>
      <c r="V74" s="47"/>
      <c r="W74" s="47"/>
      <c r="X74" s="47"/>
      <c r="Y74" s="47"/>
      <c r="Z74" s="47"/>
      <c r="AA74" s="47"/>
      <c r="AB74" s="45">
        <f t="shared" si="1"/>
        <v>120</v>
      </c>
      <c r="AC74" s="37">
        <v>4</v>
      </c>
      <c r="AD74" s="92"/>
    </row>
    <row r="75" spans="2:30">
      <c r="B75" s="90"/>
      <c r="C75" s="44" t="s">
        <v>34</v>
      </c>
      <c r="D75" s="47"/>
      <c r="E75" s="47"/>
      <c r="F75" s="47"/>
      <c r="G75" s="47"/>
      <c r="H75" s="47"/>
      <c r="I75" s="47"/>
      <c r="J75" s="47">
        <v>10</v>
      </c>
      <c r="K75" s="47">
        <v>10</v>
      </c>
      <c r="L75" s="47">
        <v>10</v>
      </c>
      <c r="M75" s="47">
        <v>10</v>
      </c>
      <c r="N75" s="47">
        <v>10</v>
      </c>
      <c r="O75" s="47">
        <v>10</v>
      </c>
      <c r="P75" s="47">
        <v>10</v>
      </c>
      <c r="Q75" s="47">
        <v>10</v>
      </c>
      <c r="R75" s="47">
        <v>10</v>
      </c>
      <c r="S75" s="47">
        <v>10</v>
      </c>
      <c r="T75" s="47">
        <v>10</v>
      </c>
      <c r="U75" s="47">
        <v>10</v>
      </c>
      <c r="V75" s="47"/>
      <c r="W75" s="47"/>
      <c r="X75" s="47"/>
      <c r="Y75" s="47"/>
      <c r="Z75" s="47"/>
      <c r="AA75" s="47"/>
      <c r="AB75" s="45">
        <f t="shared" si="1"/>
        <v>120</v>
      </c>
      <c r="AC75" s="37">
        <v>6</v>
      </c>
      <c r="AD75" s="92"/>
    </row>
    <row r="76" spans="2:30">
      <c r="B76" s="90">
        <v>49249</v>
      </c>
      <c r="C76" s="44" t="s">
        <v>32</v>
      </c>
      <c r="D76" s="47"/>
      <c r="E76" s="47"/>
      <c r="F76" s="47"/>
      <c r="G76" s="47"/>
      <c r="H76" s="47"/>
      <c r="I76" s="47"/>
      <c r="J76" s="47">
        <v>10</v>
      </c>
      <c r="K76" s="47">
        <v>10</v>
      </c>
      <c r="L76" s="47">
        <v>10</v>
      </c>
      <c r="M76" s="47">
        <v>10</v>
      </c>
      <c r="N76" s="47">
        <v>10</v>
      </c>
      <c r="O76" s="47">
        <v>10</v>
      </c>
      <c r="P76" s="47">
        <v>10</v>
      </c>
      <c r="Q76" s="47">
        <v>10</v>
      </c>
      <c r="R76" s="47">
        <v>10</v>
      </c>
      <c r="S76" s="47">
        <v>10</v>
      </c>
      <c r="T76" s="47">
        <v>10</v>
      </c>
      <c r="U76" s="47">
        <v>10</v>
      </c>
      <c r="V76" s="47"/>
      <c r="W76" s="47"/>
      <c r="X76" s="47"/>
      <c r="Y76" s="47"/>
      <c r="Z76" s="47"/>
      <c r="AA76" s="47"/>
      <c r="AB76" s="45">
        <f t="shared" si="1"/>
        <v>120</v>
      </c>
      <c r="AC76" s="37">
        <v>20</v>
      </c>
      <c r="AD76" s="92">
        <f>+AB76*AC76+AB77*AC77+AB78*AC78</f>
        <v>3600</v>
      </c>
    </row>
    <row r="77" spans="2:30">
      <c r="B77" s="90"/>
      <c r="C77" s="44" t="s">
        <v>33</v>
      </c>
      <c r="D77" s="47"/>
      <c r="E77" s="47"/>
      <c r="F77" s="47"/>
      <c r="G77" s="47"/>
      <c r="H77" s="47"/>
      <c r="I77" s="47"/>
      <c r="J77" s="47">
        <v>10</v>
      </c>
      <c r="K77" s="47">
        <v>10</v>
      </c>
      <c r="L77" s="47">
        <v>10</v>
      </c>
      <c r="M77" s="47">
        <v>10</v>
      </c>
      <c r="N77" s="47">
        <v>10</v>
      </c>
      <c r="O77" s="47">
        <v>10</v>
      </c>
      <c r="P77" s="47">
        <v>10</v>
      </c>
      <c r="Q77" s="47">
        <v>10</v>
      </c>
      <c r="R77" s="47">
        <v>10</v>
      </c>
      <c r="S77" s="47">
        <v>10</v>
      </c>
      <c r="T77" s="47">
        <v>10</v>
      </c>
      <c r="U77" s="47">
        <v>10</v>
      </c>
      <c r="V77" s="47"/>
      <c r="W77" s="47"/>
      <c r="X77" s="47"/>
      <c r="Y77" s="47"/>
      <c r="Z77" s="47"/>
      <c r="AA77" s="47"/>
      <c r="AB77" s="45">
        <f t="shared" si="1"/>
        <v>120</v>
      </c>
      <c r="AC77" s="37">
        <v>4</v>
      </c>
      <c r="AD77" s="92"/>
    </row>
    <row r="78" spans="2:30">
      <c r="B78" s="90"/>
      <c r="C78" s="44" t="s">
        <v>34</v>
      </c>
      <c r="D78" s="47"/>
      <c r="E78" s="47"/>
      <c r="F78" s="47"/>
      <c r="G78" s="47"/>
      <c r="H78" s="47"/>
      <c r="I78" s="47"/>
      <c r="J78" s="47">
        <v>10</v>
      </c>
      <c r="K78" s="47">
        <v>10</v>
      </c>
      <c r="L78" s="47">
        <v>10</v>
      </c>
      <c r="M78" s="47">
        <v>10</v>
      </c>
      <c r="N78" s="47">
        <v>10</v>
      </c>
      <c r="O78" s="47">
        <v>10</v>
      </c>
      <c r="P78" s="47">
        <v>10</v>
      </c>
      <c r="Q78" s="47">
        <v>10</v>
      </c>
      <c r="R78" s="47">
        <v>10</v>
      </c>
      <c r="S78" s="47">
        <v>10</v>
      </c>
      <c r="T78" s="47">
        <v>10</v>
      </c>
      <c r="U78" s="47">
        <v>10</v>
      </c>
      <c r="V78" s="47"/>
      <c r="W78" s="47"/>
      <c r="X78" s="47"/>
      <c r="Y78" s="47"/>
      <c r="Z78" s="47"/>
      <c r="AA78" s="47"/>
      <c r="AB78" s="45">
        <f t="shared" si="1"/>
        <v>120</v>
      </c>
      <c r="AC78" s="37">
        <v>6</v>
      </c>
      <c r="AD78" s="92"/>
    </row>
    <row r="79" spans="2:30">
      <c r="B79" s="90">
        <v>49279</v>
      </c>
      <c r="C79" s="44" t="s">
        <v>32</v>
      </c>
      <c r="D79" s="47"/>
      <c r="E79" s="47"/>
      <c r="F79" s="47"/>
      <c r="G79" s="47"/>
      <c r="H79" s="47"/>
      <c r="I79" s="47"/>
      <c r="J79" s="47">
        <v>10</v>
      </c>
      <c r="K79" s="47">
        <v>10</v>
      </c>
      <c r="L79" s="47">
        <v>10</v>
      </c>
      <c r="M79" s="47">
        <v>10</v>
      </c>
      <c r="N79" s="47">
        <v>10</v>
      </c>
      <c r="O79" s="47">
        <v>10</v>
      </c>
      <c r="P79" s="47">
        <v>10</v>
      </c>
      <c r="Q79" s="47">
        <v>10</v>
      </c>
      <c r="R79" s="47">
        <v>10</v>
      </c>
      <c r="S79" s="47">
        <v>10</v>
      </c>
      <c r="T79" s="47">
        <v>10</v>
      </c>
      <c r="U79" s="47">
        <v>10</v>
      </c>
      <c r="V79" s="47"/>
      <c r="W79" s="47"/>
      <c r="X79" s="47"/>
      <c r="Y79" s="47"/>
      <c r="Z79" s="47"/>
      <c r="AA79" s="47"/>
      <c r="AB79" s="45">
        <f t="shared" si="1"/>
        <v>120</v>
      </c>
      <c r="AC79" s="37">
        <v>19</v>
      </c>
      <c r="AD79" s="92">
        <f>+AB79*AC79+AB80*AC80+AB81*AC81</f>
        <v>3720</v>
      </c>
    </row>
    <row r="80" spans="2:30">
      <c r="B80" s="90"/>
      <c r="C80" s="44" t="s">
        <v>33</v>
      </c>
      <c r="D80" s="47"/>
      <c r="E80" s="47"/>
      <c r="F80" s="47"/>
      <c r="G80" s="47"/>
      <c r="H80" s="47"/>
      <c r="I80" s="47"/>
      <c r="J80" s="47">
        <v>10</v>
      </c>
      <c r="K80" s="47">
        <v>10</v>
      </c>
      <c r="L80" s="47">
        <v>10</v>
      </c>
      <c r="M80" s="47">
        <v>10</v>
      </c>
      <c r="N80" s="47">
        <v>10</v>
      </c>
      <c r="O80" s="47">
        <v>10</v>
      </c>
      <c r="P80" s="47">
        <v>10</v>
      </c>
      <c r="Q80" s="47">
        <v>10</v>
      </c>
      <c r="R80" s="47">
        <v>10</v>
      </c>
      <c r="S80" s="47">
        <v>10</v>
      </c>
      <c r="T80" s="47">
        <v>10</v>
      </c>
      <c r="U80" s="47">
        <v>10</v>
      </c>
      <c r="V80" s="47"/>
      <c r="W80" s="47"/>
      <c r="X80" s="47"/>
      <c r="Y80" s="47"/>
      <c r="Z80" s="47"/>
      <c r="AA80" s="47"/>
      <c r="AB80" s="45">
        <f t="shared" si="1"/>
        <v>120</v>
      </c>
      <c r="AC80" s="37">
        <v>5</v>
      </c>
      <c r="AD80" s="92"/>
    </row>
    <row r="81" spans="2:32">
      <c r="B81" s="90"/>
      <c r="C81" s="44" t="s">
        <v>34</v>
      </c>
      <c r="D81" s="47"/>
      <c r="E81" s="47"/>
      <c r="F81" s="47"/>
      <c r="G81" s="47"/>
      <c r="H81" s="47"/>
      <c r="I81" s="47"/>
      <c r="J81" s="47">
        <v>10</v>
      </c>
      <c r="K81" s="47">
        <v>10</v>
      </c>
      <c r="L81" s="47">
        <v>10</v>
      </c>
      <c r="M81" s="47">
        <v>10</v>
      </c>
      <c r="N81" s="47">
        <v>10</v>
      </c>
      <c r="O81" s="47">
        <v>10</v>
      </c>
      <c r="P81" s="47">
        <v>10</v>
      </c>
      <c r="Q81" s="47">
        <v>10</v>
      </c>
      <c r="R81" s="47">
        <v>10</v>
      </c>
      <c r="S81" s="47">
        <v>10</v>
      </c>
      <c r="T81" s="47">
        <v>10</v>
      </c>
      <c r="U81" s="47">
        <v>10</v>
      </c>
      <c r="V81" s="47"/>
      <c r="W81" s="47"/>
      <c r="X81" s="47"/>
      <c r="Y81" s="47"/>
      <c r="Z81" s="47"/>
      <c r="AA81" s="47"/>
      <c r="AB81" s="45">
        <f t="shared" si="1"/>
        <v>120</v>
      </c>
      <c r="AC81" s="37">
        <v>7</v>
      </c>
      <c r="AD81" s="92"/>
    </row>
    <row r="82" spans="2:32"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86" t="s">
        <v>35</v>
      </c>
      <c r="AB82" s="87"/>
      <c r="AC82" s="88"/>
      <c r="AD82" s="39">
        <f>SUM(AD46:AD81)</f>
        <v>43800</v>
      </c>
    </row>
    <row r="83" spans="2:32"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 spans="2:32" ht="23.25">
      <c r="B84" s="41" t="s">
        <v>71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40"/>
      <c r="AC84" s="40"/>
      <c r="AD84" s="38"/>
    </row>
    <row r="85" spans="2:32">
      <c r="B85" s="42" t="s">
        <v>3</v>
      </c>
      <c r="C85" s="42" t="s">
        <v>4</v>
      </c>
      <c r="D85" s="42" t="s">
        <v>5</v>
      </c>
      <c r="E85" s="42" t="s">
        <v>6</v>
      </c>
      <c r="F85" s="42" t="s">
        <v>7</v>
      </c>
      <c r="G85" s="42" t="s">
        <v>8</v>
      </c>
      <c r="H85" s="42" t="s">
        <v>9</v>
      </c>
      <c r="I85" s="42" t="s">
        <v>10</v>
      </c>
      <c r="J85" s="42" t="s">
        <v>11</v>
      </c>
      <c r="K85" s="42" t="s">
        <v>12</v>
      </c>
      <c r="L85" s="42" t="s">
        <v>13</v>
      </c>
      <c r="M85" s="42" t="s">
        <v>14</v>
      </c>
      <c r="N85" s="42" t="s">
        <v>15</v>
      </c>
      <c r="O85" s="42" t="s">
        <v>16</v>
      </c>
      <c r="P85" s="42" t="s">
        <v>17</v>
      </c>
      <c r="Q85" s="42" t="s">
        <v>18</v>
      </c>
      <c r="R85" s="42" t="s">
        <v>19</v>
      </c>
      <c r="S85" s="42" t="s">
        <v>20</v>
      </c>
      <c r="T85" s="42" t="s">
        <v>21</v>
      </c>
      <c r="U85" s="42" t="s">
        <v>22</v>
      </c>
      <c r="V85" s="42" t="s">
        <v>23</v>
      </c>
      <c r="W85" s="42" t="s">
        <v>24</v>
      </c>
      <c r="X85" s="42" t="s">
        <v>25</v>
      </c>
      <c r="Y85" s="42" t="s">
        <v>26</v>
      </c>
      <c r="Z85" s="42" t="s">
        <v>27</v>
      </c>
      <c r="AA85" s="42" t="s">
        <v>28</v>
      </c>
      <c r="AB85" s="36" t="s">
        <v>29</v>
      </c>
      <c r="AC85" s="43" t="s">
        <v>30</v>
      </c>
      <c r="AD85" s="42" t="s">
        <v>31</v>
      </c>
    </row>
    <row r="86" spans="2:32">
      <c r="B86" s="90">
        <v>49310</v>
      </c>
      <c r="C86" s="44" t="s">
        <v>32</v>
      </c>
      <c r="D86" s="47"/>
      <c r="E86" s="47"/>
      <c r="F86" s="47"/>
      <c r="G86" s="47"/>
      <c r="H86" s="47"/>
      <c r="I86" s="47"/>
      <c r="J86" s="47">
        <v>10</v>
      </c>
      <c r="K86" s="47">
        <v>10</v>
      </c>
      <c r="L86" s="47">
        <v>10</v>
      </c>
      <c r="M86" s="47">
        <v>10</v>
      </c>
      <c r="N86" s="47">
        <v>10</v>
      </c>
      <c r="O86" s="47">
        <v>10</v>
      </c>
      <c r="P86" s="47">
        <v>10</v>
      </c>
      <c r="Q86" s="47">
        <v>10</v>
      </c>
      <c r="R86" s="47">
        <v>10</v>
      </c>
      <c r="S86" s="47">
        <v>10</v>
      </c>
      <c r="T86" s="47">
        <v>10</v>
      </c>
      <c r="U86" s="47">
        <v>10</v>
      </c>
      <c r="V86" s="47"/>
      <c r="W86" s="47"/>
      <c r="X86" s="47"/>
      <c r="Y86" s="47"/>
      <c r="Z86" s="47"/>
      <c r="AA86" s="47"/>
      <c r="AB86" s="45">
        <f>SUM(D86:AA86)</f>
        <v>120</v>
      </c>
      <c r="AC86" s="37">
        <v>21</v>
      </c>
      <c r="AD86" s="92">
        <f>+AB86*AC86+AB87*AC87+AB88*AC88</f>
        <v>3720</v>
      </c>
    </row>
    <row r="87" spans="2:32">
      <c r="B87" s="90"/>
      <c r="C87" s="44" t="s">
        <v>33</v>
      </c>
      <c r="D87" s="47"/>
      <c r="E87" s="47"/>
      <c r="F87" s="47"/>
      <c r="G87" s="47"/>
      <c r="H87" s="47"/>
      <c r="I87" s="47"/>
      <c r="J87" s="47">
        <v>10</v>
      </c>
      <c r="K87" s="47">
        <v>10</v>
      </c>
      <c r="L87" s="47">
        <v>10</v>
      </c>
      <c r="M87" s="47">
        <v>10</v>
      </c>
      <c r="N87" s="47">
        <v>10</v>
      </c>
      <c r="O87" s="47">
        <v>10</v>
      </c>
      <c r="P87" s="47">
        <v>10</v>
      </c>
      <c r="Q87" s="47">
        <v>10</v>
      </c>
      <c r="R87" s="47">
        <v>10</v>
      </c>
      <c r="S87" s="47">
        <v>10</v>
      </c>
      <c r="T87" s="47">
        <v>10</v>
      </c>
      <c r="U87" s="47">
        <v>10</v>
      </c>
      <c r="V87" s="47"/>
      <c r="W87" s="47"/>
      <c r="X87" s="47"/>
      <c r="Y87" s="47"/>
      <c r="Z87" s="47"/>
      <c r="AA87" s="47"/>
      <c r="AB87" s="45">
        <f t="shared" ref="AB87:AB121" si="2">SUM(D87:AA87)</f>
        <v>120</v>
      </c>
      <c r="AC87" s="37">
        <v>4</v>
      </c>
      <c r="AD87" s="92"/>
    </row>
    <row r="88" spans="2:32">
      <c r="B88" s="90"/>
      <c r="C88" s="44" t="s">
        <v>34</v>
      </c>
      <c r="D88" s="47"/>
      <c r="E88" s="47"/>
      <c r="F88" s="47"/>
      <c r="G88" s="47"/>
      <c r="H88" s="47"/>
      <c r="I88" s="47"/>
      <c r="J88" s="47">
        <v>10</v>
      </c>
      <c r="K88" s="47">
        <v>10</v>
      </c>
      <c r="L88" s="47">
        <v>10</v>
      </c>
      <c r="M88" s="47">
        <v>10</v>
      </c>
      <c r="N88" s="47">
        <v>10</v>
      </c>
      <c r="O88" s="47">
        <v>10</v>
      </c>
      <c r="P88" s="47">
        <v>10</v>
      </c>
      <c r="Q88" s="47">
        <v>10</v>
      </c>
      <c r="R88" s="47">
        <v>10</v>
      </c>
      <c r="S88" s="47">
        <v>10</v>
      </c>
      <c r="T88" s="47">
        <v>10</v>
      </c>
      <c r="U88" s="47">
        <v>10</v>
      </c>
      <c r="V88" s="47"/>
      <c r="W88" s="47"/>
      <c r="X88" s="47"/>
      <c r="Y88" s="47"/>
      <c r="Z88" s="47"/>
      <c r="AA88" s="47"/>
      <c r="AB88" s="45">
        <f t="shared" si="2"/>
        <v>120</v>
      </c>
      <c r="AC88" s="37">
        <v>6</v>
      </c>
      <c r="AD88" s="92"/>
    </row>
    <row r="89" spans="2:32">
      <c r="B89" s="90">
        <v>49341</v>
      </c>
      <c r="C89" s="44" t="s">
        <v>32</v>
      </c>
      <c r="D89" s="47"/>
      <c r="E89" s="47"/>
      <c r="F89" s="47"/>
      <c r="G89" s="47"/>
      <c r="H89" s="47"/>
      <c r="I89" s="47"/>
      <c r="J89" s="47">
        <v>10</v>
      </c>
      <c r="K89" s="47">
        <v>10</v>
      </c>
      <c r="L89" s="47">
        <v>10</v>
      </c>
      <c r="M89" s="47">
        <v>10</v>
      </c>
      <c r="N89" s="47">
        <v>10</v>
      </c>
      <c r="O89" s="47">
        <v>10</v>
      </c>
      <c r="P89" s="47">
        <v>10</v>
      </c>
      <c r="Q89" s="47">
        <v>10</v>
      </c>
      <c r="R89" s="47">
        <v>10</v>
      </c>
      <c r="S89" s="47">
        <v>10</v>
      </c>
      <c r="T89" s="47">
        <v>10</v>
      </c>
      <c r="U89" s="47">
        <v>10</v>
      </c>
      <c r="V89" s="47"/>
      <c r="W89" s="47"/>
      <c r="X89" s="47"/>
      <c r="Y89" s="47"/>
      <c r="Z89" s="47"/>
      <c r="AA89" s="47"/>
      <c r="AB89" s="45">
        <f t="shared" si="2"/>
        <v>120</v>
      </c>
      <c r="AC89" s="37">
        <v>20</v>
      </c>
      <c r="AD89" s="92">
        <f>+AB89*AC89+AB90*AC90+AB91*AC91</f>
        <v>3360</v>
      </c>
    </row>
    <row r="90" spans="2:32">
      <c r="B90" s="90"/>
      <c r="C90" s="44" t="s">
        <v>33</v>
      </c>
      <c r="D90" s="47"/>
      <c r="E90" s="47"/>
      <c r="F90" s="47"/>
      <c r="G90" s="47"/>
      <c r="H90" s="47"/>
      <c r="I90" s="47"/>
      <c r="J90" s="47">
        <v>10</v>
      </c>
      <c r="K90" s="47">
        <v>10</v>
      </c>
      <c r="L90" s="47">
        <v>10</v>
      </c>
      <c r="M90" s="47">
        <v>10</v>
      </c>
      <c r="N90" s="47">
        <v>10</v>
      </c>
      <c r="O90" s="47">
        <v>10</v>
      </c>
      <c r="P90" s="47">
        <v>10</v>
      </c>
      <c r="Q90" s="47">
        <v>10</v>
      </c>
      <c r="R90" s="47">
        <v>10</v>
      </c>
      <c r="S90" s="47">
        <v>10</v>
      </c>
      <c r="T90" s="47">
        <v>10</v>
      </c>
      <c r="U90" s="47">
        <v>10</v>
      </c>
      <c r="V90" s="47"/>
      <c r="W90" s="47"/>
      <c r="X90" s="47"/>
      <c r="Y90" s="47"/>
      <c r="Z90" s="47"/>
      <c r="AA90" s="47"/>
      <c r="AB90" s="45">
        <f t="shared" si="2"/>
        <v>120</v>
      </c>
      <c r="AC90" s="37">
        <v>4</v>
      </c>
      <c r="AD90" s="92"/>
    </row>
    <row r="91" spans="2:32">
      <c r="B91" s="90"/>
      <c r="C91" s="44" t="s">
        <v>34</v>
      </c>
      <c r="D91" s="47"/>
      <c r="E91" s="47"/>
      <c r="F91" s="47"/>
      <c r="G91" s="47"/>
      <c r="H91" s="47"/>
      <c r="I91" s="47"/>
      <c r="J91" s="47">
        <v>10</v>
      </c>
      <c r="K91" s="47">
        <v>10</v>
      </c>
      <c r="L91" s="47">
        <v>10</v>
      </c>
      <c r="M91" s="47">
        <v>10</v>
      </c>
      <c r="N91" s="47">
        <v>10</v>
      </c>
      <c r="O91" s="47">
        <v>10</v>
      </c>
      <c r="P91" s="47">
        <v>10</v>
      </c>
      <c r="Q91" s="47">
        <v>10</v>
      </c>
      <c r="R91" s="47">
        <v>10</v>
      </c>
      <c r="S91" s="47">
        <v>10</v>
      </c>
      <c r="T91" s="47">
        <v>10</v>
      </c>
      <c r="U91" s="47">
        <v>10</v>
      </c>
      <c r="V91" s="47"/>
      <c r="W91" s="47"/>
      <c r="X91" s="47"/>
      <c r="Y91" s="47"/>
      <c r="Z91" s="47"/>
      <c r="AA91" s="47"/>
      <c r="AB91" s="45">
        <f t="shared" si="2"/>
        <v>120</v>
      </c>
      <c r="AC91" s="37">
        <v>4</v>
      </c>
      <c r="AD91" s="92"/>
    </row>
    <row r="92" spans="2:32">
      <c r="B92" s="90">
        <v>49369</v>
      </c>
      <c r="C92" s="44" t="s">
        <v>32</v>
      </c>
      <c r="D92" s="47"/>
      <c r="E92" s="47"/>
      <c r="F92" s="47"/>
      <c r="G92" s="47"/>
      <c r="H92" s="47"/>
      <c r="I92" s="47"/>
      <c r="J92" s="47">
        <v>10</v>
      </c>
      <c r="K92" s="47">
        <v>10</v>
      </c>
      <c r="L92" s="47">
        <v>10</v>
      </c>
      <c r="M92" s="47">
        <v>10</v>
      </c>
      <c r="N92" s="47">
        <v>10</v>
      </c>
      <c r="O92" s="47">
        <v>10</v>
      </c>
      <c r="P92" s="47">
        <v>10</v>
      </c>
      <c r="Q92" s="47">
        <v>10</v>
      </c>
      <c r="R92" s="47">
        <v>10</v>
      </c>
      <c r="S92" s="47">
        <v>10</v>
      </c>
      <c r="T92" s="47">
        <v>10</v>
      </c>
      <c r="U92" s="47">
        <v>10</v>
      </c>
      <c r="V92" s="47"/>
      <c r="W92" s="47"/>
      <c r="X92" s="47"/>
      <c r="Y92" s="47"/>
      <c r="Z92" s="47"/>
      <c r="AA92" s="47"/>
      <c r="AB92" s="45">
        <f t="shared" si="2"/>
        <v>120</v>
      </c>
      <c r="AC92" s="37">
        <v>19</v>
      </c>
      <c r="AD92" s="92">
        <f>+AB92*AC92+AB93*AC93+AB94*AC94</f>
        <v>3720</v>
      </c>
    </row>
    <row r="93" spans="2:32">
      <c r="B93" s="90"/>
      <c r="C93" s="44" t="s">
        <v>33</v>
      </c>
      <c r="D93" s="47"/>
      <c r="E93" s="47"/>
      <c r="F93" s="47"/>
      <c r="G93" s="47"/>
      <c r="H93" s="47"/>
      <c r="I93" s="47"/>
      <c r="J93" s="47">
        <v>10</v>
      </c>
      <c r="K93" s="47">
        <v>10</v>
      </c>
      <c r="L93" s="47">
        <v>10</v>
      </c>
      <c r="M93" s="47">
        <v>10</v>
      </c>
      <c r="N93" s="47">
        <v>10</v>
      </c>
      <c r="O93" s="47">
        <v>10</v>
      </c>
      <c r="P93" s="47">
        <v>10</v>
      </c>
      <c r="Q93" s="47">
        <v>10</v>
      </c>
      <c r="R93" s="47">
        <v>10</v>
      </c>
      <c r="S93" s="47">
        <v>10</v>
      </c>
      <c r="T93" s="47">
        <v>10</v>
      </c>
      <c r="U93" s="47">
        <v>10</v>
      </c>
      <c r="V93" s="47"/>
      <c r="W93" s="47"/>
      <c r="X93" s="47"/>
      <c r="Y93" s="47"/>
      <c r="Z93" s="47"/>
      <c r="AA93" s="47"/>
      <c r="AB93" s="45">
        <f t="shared" si="2"/>
        <v>120</v>
      </c>
      <c r="AC93" s="37">
        <v>5</v>
      </c>
      <c r="AD93" s="92"/>
    </row>
    <row r="94" spans="2:32">
      <c r="B94" s="90"/>
      <c r="C94" s="44" t="s">
        <v>34</v>
      </c>
      <c r="D94" s="47"/>
      <c r="E94" s="47"/>
      <c r="F94" s="47"/>
      <c r="G94" s="47"/>
      <c r="H94" s="47"/>
      <c r="I94" s="47"/>
      <c r="J94" s="47">
        <v>10</v>
      </c>
      <c r="K94" s="47">
        <v>10</v>
      </c>
      <c r="L94" s="47">
        <v>10</v>
      </c>
      <c r="M94" s="47">
        <v>10</v>
      </c>
      <c r="N94" s="47">
        <v>10</v>
      </c>
      <c r="O94" s="47">
        <v>10</v>
      </c>
      <c r="P94" s="47">
        <v>10</v>
      </c>
      <c r="Q94" s="47">
        <v>10</v>
      </c>
      <c r="R94" s="47">
        <v>10</v>
      </c>
      <c r="S94" s="47">
        <v>10</v>
      </c>
      <c r="T94" s="47">
        <v>10</v>
      </c>
      <c r="U94" s="47">
        <v>10</v>
      </c>
      <c r="V94" s="47"/>
      <c r="W94" s="47"/>
      <c r="X94" s="47"/>
      <c r="Y94" s="47"/>
      <c r="Z94" s="47"/>
      <c r="AA94" s="47"/>
      <c r="AB94" s="45">
        <f t="shared" si="2"/>
        <v>120</v>
      </c>
      <c r="AC94" s="37">
        <v>7</v>
      </c>
      <c r="AD94" s="92"/>
    </row>
    <row r="95" spans="2:32">
      <c r="B95" s="90">
        <v>49400</v>
      </c>
      <c r="C95" s="44" t="s">
        <v>32</v>
      </c>
      <c r="D95" s="47"/>
      <c r="E95" s="47"/>
      <c r="F95" s="47"/>
      <c r="G95" s="47"/>
      <c r="H95" s="47"/>
      <c r="I95" s="47"/>
      <c r="J95" s="47">
        <v>10</v>
      </c>
      <c r="K95" s="47">
        <v>10</v>
      </c>
      <c r="L95" s="47">
        <v>10</v>
      </c>
      <c r="M95" s="47">
        <v>10</v>
      </c>
      <c r="N95" s="47">
        <v>10</v>
      </c>
      <c r="O95" s="47">
        <v>10</v>
      </c>
      <c r="P95" s="47">
        <v>10</v>
      </c>
      <c r="Q95" s="47">
        <v>10</v>
      </c>
      <c r="R95" s="47">
        <v>10</v>
      </c>
      <c r="S95" s="47">
        <v>10</v>
      </c>
      <c r="T95" s="47">
        <v>10</v>
      </c>
      <c r="U95" s="47">
        <v>10</v>
      </c>
      <c r="V95" s="47"/>
      <c r="W95" s="47"/>
      <c r="X95" s="47"/>
      <c r="Y95" s="47"/>
      <c r="Z95" s="47"/>
      <c r="AA95" s="47"/>
      <c r="AB95" s="45">
        <f t="shared" si="2"/>
        <v>120</v>
      </c>
      <c r="AC95" s="37">
        <v>21</v>
      </c>
      <c r="AD95" s="92">
        <f>+AB95*AC95+AB96*AC96+AB97*AC97</f>
        <v>3600</v>
      </c>
    </row>
    <row r="96" spans="2:32">
      <c r="B96" s="90"/>
      <c r="C96" s="44" t="s">
        <v>33</v>
      </c>
      <c r="D96" s="47"/>
      <c r="E96" s="47"/>
      <c r="F96" s="47"/>
      <c r="G96" s="47"/>
      <c r="H96" s="47"/>
      <c r="I96" s="47"/>
      <c r="J96" s="47">
        <v>10</v>
      </c>
      <c r="K96" s="47">
        <v>10</v>
      </c>
      <c r="L96" s="47">
        <v>10</v>
      </c>
      <c r="M96" s="47">
        <v>10</v>
      </c>
      <c r="N96" s="47">
        <v>10</v>
      </c>
      <c r="O96" s="47">
        <v>10</v>
      </c>
      <c r="P96" s="47">
        <v>10</v>
      </c>
      <c r="Q96" s="47">
        <v>10</v>
      </c>
      <c r="R96" s="47">
        <v>10</v>
      </c>
      <c r="S96" s="47">
        <v>10</v>
      </c>
      <c r="T96" s="47">
        <v>10</v>
      </c>
      <c r="U96" s="47">
        <v>10</v>
      </c>
      <c r="V96" s="47"/>
      <c r="W96" s="47"/>
      <c r="X96" s="47"/>
      <c r="Y96" s="47"/>
      <c r="Z96" s="47"/>
      <c r="AA96" s="47"/>
      <c r="AB96" s="45">
        <f t="shared" si="2"/>
        <v>120</v>
      </c>
      <c r="AC96" s="37">
        <v>4</v>
      </c>
      <c r="AD96" s="92"/>
    </row>
    <row r="97" spans="2:30">
      <c r="B97" s="90"/>
      <c r="C97" s="44" t="s">
        <v>34</v>
      </c>
      <c r="D97" s="47"/>
      <c r="E97" s="47"/>
      <c r="F97" s="47"/>
      <c r="G97" s="47"/>
      <c r="H97" s="47"/>
      <c r="I97" s="47"/>
      <c r="J97" s="47">
        <v>10</v>
      </c>
      <c r="K97" s="47">
        <v>10</v>
      </c>
      <c r="L97" s="47">
        <v>10</v>
      </c>
      <c r="M97" s="47">
        <v>10</v>
      </c>
      <c r="N97" s="47">
        <v>10</v>
      </c>
      <c r="O97" s="47">
        <v>10</v>
      </c>
      <c r="P97" s="47">
        <v>10</v>
      </c>
      <c r="Q97" s="47">
        <v>10</v>
      </c>
      <c r="R97" s="47">
        <v>10</v>
      </c>
      <c r="S97" s="47">
        <v>10</v>
      </c>
      <c r="T97" s="47">
        <v>10</v>
      </c>
      <c r="U97" s="47">
        <v>10</v>
      </c>
      <c r="V97" s="47"/>
      <c r="W97" s="47"/>
      <c r="X97" s="47"/>
      <c r="Y97" s="47"/>
      <c r="Z97" s="47"/>
      <c r="AA97" s="47"/>
      <c r="AB97" s="45">
        <f t="shared" si="2"/>
        <v>120</v>
      </c>
      <c r="AC97" s="37">
        <v>5</v>
      </c>
      <c r="AD97" s="92"/>
    </row>
    <row r="98" spans="2:30">
      <c r="B98" s="90">
        <v>49430</v>
      </c>
      <c r="C98" s="44" t="s">
        <v>32</v>
      </c>
      <c r="D98" s="47"/>
      <c r="E98" s="47"/>
      <c r="F98" s="47"/>
      <c r="G98" s="47"/>
      <c r="H98" s="47"/>
      <c r="I98" s="47"/>
      <c r="J98" s="47">
        <v>10</v>
      </c>
      <c r="K98" s="47">
        <v>10</v>
      </c>
      <c r="L98" s="47">
        <v>10</v>
      </c>
      <c r="M98" s="47">
        <v>10</v>
      </c>
      <c r="N98" s="47">
        <v>10</v>
      </c>
      <c r="O98" s="47">
        <v>10</v>
      </c>
      <c r="P98" s="47">
        <v>10</v>
      </c>
      <c r="Q98" s="47">
        <v>10</v>
      </c>
      <c r="R98" s="47">
        <v>10</v>
      </c>
      <c r="S98" s="47">
        <v>10</v>
      </c>
      <c r="T98" s="47">
        <v>10</v>
      </c>
      <c r="U98" s="47">
        <v>10</v>
      </c>
      <c r="V98" s="47"/>
      <c r="W98" s="47"/>
      <c r="X98" s="47"/>
      <c r="Y98" s="47"/>
      <c r="Z98" s="47"/>
      <c r="AA98" s="47"/>
      <c r="AB98" s="45">
        <f t="shared" si="2"/>
        <v>120</v>
      </c>
      <c r="AC98" s="37">
        <v>20</v>
      </c>
      <c r="AD98" s="92">
        <f>+AB98*AC98+AB99*AC99+AB100*AC100</f>
        <v>3720</v>
      </c>
    </row>
    <row r="99" spans="2:30">
      <c r="B99" s="90"/>
      <c r="C99" s="44" t="s">
        <v>33</v>
      </c>
      <c r="D99" s="47"/>
      <c r="E99" s="47"/>
      <c r="F99" s="47"/>
      <c r="G99" s="47"/>
      <c r="H99" s="47"/>
      <c r="I99" s="47"/>
      <c r="J99" s="47">
        <v>10</v>
      </c>
      <c r="K99" s="47">
        <v>10</v>
      </c>
      <c r="L99" s="47">
        <v>10</v>
      </c>
      <c r="M99" s="47">
        <v>10</v>
      </c>
      <c r="N99" s="47">
        <v>10</v>
      </c>
      <c r="O99" s="47">
        <v>10</v>
      </c>
      <c r="P99" s="47">
        <v>10</v>
      </c>
      <c r="Q99" s="47">
        <v>10</v>
      </c>
      <c r="R99" s="47">
        <v>10</v>
      </c>
      <c r="S99" s="47">
        <v>10</v>
      </c>
      <c r="T99" s="47">
        <v>10</v>
      </c>
      <c r="U99" s="47">
        <v>10</v>
      </c>
      <c r="V99" s="47"/>
      <c r="W99" s="47"/>
      <c r="X99" s="47"/>
      <c r="Y99" s="47"/>
      <c r="Z99" s="47"/>
      <c r="AA99" s="47"/>
      <c r="AB99" s="45">
        <f t="shared" si="2"/>
        <v>120</v>
      </c>
      <c r="AC99" s="37">
        <v>4</v>
      </c>
      <c r="AD99" s="92"/>
    </row>
    <row r="100" spans="2:30">
      <c r="B100" s="90"/>
      <c r="C100" s="44" t="s">
        <v>34</v>
      </c>
      <c r="D100" s="47"/>
      <c r="E100" s="47"/>
      <c r="F100" s="47"/>
      <c r="G100" s="47"/>
      <c r="H100" s="47"/>
      <c r="I100" s="47"/>
      <c r="J100" s="47">
        <v>10</v>
      </c>
      <c r="K100" s="47">
        <v>10</v>
      </c>
      <c r="L100" s="47">
        <v>10</v>
      </c>
      <c r="M100" s="47">
        <v>10</v>
      </c>
      <c r="N100" s="47">
        <v>10</v>
      </c>
      <c r="O100" s="47">
        <v>10</v>
      </c>
      <c r="P100" s="47">
        <v>10</v>
      </c>
      <c r="Q100" s="47">
        <v>10</v>
      </c>
      <c r="R100" s="47">
        <v>10</v>
      </c>
      <c r="S100" s="47">
        <v>10</v>
      </c>
      <c r="T100" s="47">
        <v>10</v>
      </c>
      <c r="U100" s="47">
        <v>10</v>
      </c>
      <c r="V100" s="47"/>
      <c r="W100" s="47"/>
      <c r="X100" s="47"/>
      <c r="Y100" s="47"/>
      <c r="Z100" s="47"/>
      <c r="AA100" s="47"/>
      <c r="AB100" s="45">
        <f t="shared" si="2"/>
        <v>120</v>
      </c>
      <c r="AC100" s="37">
        <v>7</v>
      </c>
      <c r="AD100" s="92"/>
    </row>
    <row r="101" spans="2:30">
      <c r="B101" s="90">
        <v>49461</v>
      </c>
      <c r="C101" s="44" t="s">
        <v>32</v>
      </c>
      <c r="D101" s="47"/>
      <c r="E101" s="47"/>
      <c r="F101" s="47"/>
      <c r="G101" s="47"/>
      <c r="H101" s="47"/>
      <c r="I101" s="47"/>
      <c r="J101" s="47">
        <v>10</v>
      </c>
      <c r="K101" s="47">
        <v>10</v>
      </c>
      <c r="L101" s="47">
        <v>10</v>
      </c>
      <c r="M101" s="47">
        <v>10</v>
      </c>
      <c r="N101" s="47">
        <v>10</v>
      </c>
      <c r="O101" s="47">
        <v>10</v>
      </c>
      <c r="P101" s="47">
        <v>10</v>
      </c>
      <c r="Q101" s="47">
        <v>10</v>
      </c>
      <c r="R101" s="47">
        <v>10</v>
      </c>
      <c r="S101" s="47">
        <v>10</v>
      </c>
      <c r="T101" s="47">
        <v>10</v>
      </c>
      <c r="U101" s="47">
        <v>10</v>
      </c>
      <c r="V101" s="47"/>
      <c r="W101" s="47"/>
      <c r="X101" s="47"/>
      <c r="Y101" s="47"/>
      <c r="Z101" s="47"/>
      <c r="AA101" s="47"/>
      <c r="AB101" s="45">
        <f t="shared" si="2"/>
        <v>120</v>
      </c>
      <c r="AC101" s="37">
        <v>21</v>
      </c>
      <c r="AD101" s="92">
        <f>+AB101*AC101+AB102*AC102+AB103*AC103</f>
        <v>3600</v>
      </c>
    </row>
    <row r="102" spans="2:30">
      <c r="B102" s="90"/>
      <c r="C102" s="44" t="s">
        <v>33</v>
      </c>
      <c r="D102" s="47"/>
      <c r="E102" s="47"/>
      <c r="F102" s="47"/>
      <c r="G102" s="47"/>
      <c r="H102" s="47"/>
      <c r="I102" s="47"/>
      <c r="J102" s="47">
        <v>10</v>
      </c>
      <c r="K102" s="47">
        <v>10</v>
      </c>
      <c r="L102" s="47">
        <v>10</v>
      </c>
      <c r="M102" s="47">
        <v>10</v>
      </c>
      <c r="N102" s="47">
        <v>10</v>
      </c>
      <c r="O102" s="47">
        <v>10</v>
      </c>
      <c r="P102" s="47">
        <v>10</v>
      </c>
      <c r="Q102" s="47">
        <v>10</v>
      </c>
      <c r="R102" s="47">
        <v>10</v>
      </c>
      <c r="S102" s="47">
        <v>10</v>
      </c>
      <c r="T102" s="47">
        <v>10</v>
      </c>
      <c r="U102" s="47">
        <v>10</v>
      </c>
      <c r="V102" s="47"/>
      <c r="W102" s="47"/>
      <c r="X102" s="47"/>
      <c r="Y102" s="47"/>
      <c r="Z102" s="47"/>
      <c r="AA102" s="47"/>
      <c r="AB102" s="45">
        <f t="shared" si="2"/>
        <v>120</v>
      </c>
      <c r="AC102" s="37">
        <v>5</v>
      </c>
      <c r="AD102" s="92"/>
    </row>
    <row r="103" spans="2:30">
      <c r="B103" s="90"/>
      <c r="C103" s="44" t="s">
        <v>34</v>
      </c>
      <c r="D103" s="47"/>
      <c r="E103" s="47"/>
      <c r="F103" s="47"/>
      <c r="G103" s="47"/>
      <c r="H103" s="47"/>
      <c r="I103" s="47"/>
      <c r="J103" s="47">
        <v>10</v>
      </c>
      <c r="K103" s="47">
        <v>10</v>
      </c>
      <c r="L103" s="47">
        <v>10</v>
      </c>
      <c r="M103" s="47">
        <v>10</v>
      </c>
      <c r="N103" s="47">
        <v>10</v>
      </c>
      <c r="O103" s="47">
        <v>10</v>
      </c>
      <c r="P103" s="47">
        <v>10</v>
      </c>
      <c r="Q103" s="47">
        <v>10</v>
      </c>
      <c r="R103" s="47">
        <v>10</v>
      </c>
      <c r="S103" s="47">
        <v>10</v>
      </c>
      <c r="T103" s="47">
        <v>10</v>
      </c>
      <c r="U103" s="47">
        <v>10</v>
      </c>
      <c r="V103" s="47"/>
      <c r="W103" s="47"/>
      <c r="X103" s="47"/>
      <c r="Y103" s="47"/>
      <c r="Z103" s="47"/>
      <c r="AA103" s="47"/>
      <c r="AB103" s="45">
        <f t="shared" si="2"/>
        <v>120</v>
      </c>
      <c r="AC103" s="37">
        <v>4</v>
      </c>
      <c r="AD103" s="92"/>
    </row>
    <row r="104" spans="2:30">
      <c r="B104" s="90">
        <v>49491</v>
      </c>
      <c r="C104" s="44" t="s">
        <v>32</v>
      </c>
      <c r="D104" s="47"/>
      <c r="E104" s="47"/>
      <c r="F104" s="47"/>
      <c r="G104" s="47"/>
      <c r="H104" s="47"/>
      <c r="I104" s="47"/>
      <c r="J104" s="47">
        <v>10</v>
      </c>
      <c r="K104" s="47">
        <v>10</v>
      </c>
      <c r="L104" s="47">
        <v>10</v>
      </c>
      <c r="M104" s="47">
        <v>10</v>
      </c>
      <c r="N104" s="47">
        <v>10</v>
      </c>
      <c r="O104" s="47">
        <v>10</v>
      </c>
      <c r="P104" s="47">
        <v>10</v>
      </c>
      <c r="Q104" s="47">
        <v>10</v>
      </c>
      <c r="R104" s="47">
        <v>10</v>
      </c>
      <c r="S104" s="47">
        <v>10</v>
      </c>
      <c r="T104" s="47">
        <v>10</v>
      </c>
      <c r="U104" s="47">
        <v>10</v>
      </c>
      <c r="V104" s="47"/>
      <c r="W104" s="47"/>
      <c r="X104" s="47"/>
      <c r="Y104" s="47"/>
      <c r="Z104" s="47"/>
      <c r="AA104" s="47"/>
      <c r="AB104" s="45">
        <f t="shared" si="2"/>
        <v>120</v>
      </c>
      <c r="AC104" s="37">
        <v>20</v>
      </c>
      <c r="AD104" s="92">
        <f>+AB104*AC104+AB105*AC105+AB106*AC106</f>
        <v>3720</v>
      </c>
    </row>
    <row r="105" spans="2:30">
      <c r="B105" s="90"/>
      <c r="C105" s="44" t="s">
        <v>33</v>
      </c>
      <c r="D105" s="47"/>
      <c r="E105" s="47"/>
      <c r="F105" s="47"/>
      <c r="G105" s="47"/>
      <c r="H105" s="47"/>
      <c r="I105" s="47"/>
      <c r="J105" s="47">
        <v>10</v>
      </c>
      <c r="K105" s="47">
        <v>10</v>
      </c>
      <c r="L105" s="47">
        <v>10</v>
      </c>
      <c r="M105" s="47">
        <v>10</v>
      </c>
      <c r="N105" s="47">
        <v>10</v>
      </c>
      <c r="O105" s="47">
        <v>10</v>
      </c>
      <c r="P105" s="47">
        <v>10</v>
      </c>
      <c r="Q105" s="47">
        <v>10</v>
      </c>
      <c r="R105" s="47">
        <v>10</v>
      </c>
      <c r="S105" s="47">
        <v>10</v>
      </c>
      <c r="T105" s="47">
        <v>10</v>
      </c>
      <c r="U105" s="47">
        <v>10</v>
      </c>
      <c r="V105" s="47"/>
      <c r="W105" s="47"/>
      <c r="X105" s="47"/>
      <c r="Y105" s="47"/>
      <c r="Z105" s="47"/>
      <c r="AA105" s="47"/>
      <c r="AB105" s="45">
        <f t="shared" si="2"/>
        <v>120</v>
      </c>
      <c r="AC105" s="37">
        <v>4</v>
      </c>
      <c r="AD105" s="92"/>
    </row>
    <row r="106" spans="2:30">
      <c r="B106" s="90"/>
      <c r="C106" s="44" t="s">
        <v>34</v>
      </c>
      <c r="D106" s="47"/>
      <c r="E106" s="47"/>
      <c r="F106" s="47"/>
      <c r="G106" s="47"/>
      <c r="H106" s="47"/>
      <c r="I106" s="47"/>
      <c r="J106" s="47">
        <v>10</v>
      </c>
      <c r="K106" s="47">
        <v>10</v>
      </c>
      <c r="L106" s="47">
        <v>10</v>
      </c>
      <c r="M106" s="47">
        <v>10</v>
      </c>
      <c r="N106" s="47">
        <v>10</v>
      </c>
      <c r="O106" s="47">
        <v>10</v>
      </c>
      <c r="P106" s="47">
        <v>10</v>
      </c>
      <c r="Q106" s="47">
        <v>10</v>
      </c>
      <c r="R106" s="47">
        <v>10</v>
      </c>
      <c r="S106" s="47">
        <v>10</v>
      </c>
      <c r="T106" s="47">
        <v>10</v>
      </c>
      <c r="U106" s="47">
        <v>10</v>
      </c>
      <c r="V106" s="47"/>
      <c r="W106" s="47"/>
      <c r="X106" s="47"/>
      <c r="Y106" s="47"/>
      <c r="Z106" s="47"/>
      <c r="AA106" s="47"/>
      <c r="AB106" s="45">
        <f t="shared" si="2"/>
        <v>120</v>
      </c>
      <c r="AC106" s="37">
        <v>7</v>
      </c>
      <c r="AD106" s="92"/>
    </row>
    <row r="107" spans="2:30">
      <c r="B107" s="90">
        <v>49522</v>
      </c>
      <c r="C107" s="44" t="s">
        <v>32</v>
      </c>
      <c r="D107" s="47"/>
      <c r="E107" s="47"/>
      <c r="F107" s="47"/>
      <c r="G107" s="47"/>
      <c r="H107" s="47"/>
      <c r="I107" s="47"/>
      <c r="J107" s="47">
        <v>10</v>
      </c>
      <c r="K107" s="47">
        <v>10</v>
      </c>
      <c r="L107" s="47">
        <v>10</v>
      </c>
      <c r="M107" s="47">
        <v>10</v>
      </c>
      <c r="N107" s="47">
        <v>10</v>
      </c>
      <c r="O107" s="47">
        <v>10</v>
      </c>
      <c r="P107" s="47">
        <v>10</v>
      </c>
      <c r="Q107" s="47">
        <v>10</v>
      </c>
      <c r="R107" s="47">
        <v>10</v>
      </c>
      <c r="S107" s="47">
        <v>10</v>
      </c>
      <c r="T107" s="47">
        <v>10</v>
      </c>
      <c r="U107" s="47">
        <v>10</v>
      </c>
      <c r="V107" s="47"/>
      <c r="W107" s="47"/>
      <c r="X107" s="47"/>
      <c r="Y107" s="47"/>
      <c r="Z107" s="47"/>
      <c r="AA107" s="47"/>
      <c r="AB107" s="45">
        <f t="shared" si="2"/>
        <v>120</v>
      </c>
      <c r="AC107" s="37">
        <v>21</v>
      </c>
      <c r="AD107" s="92">
        <f>+AB107*AC107+AB108*AC108+AB109*AC109</f>
        <v>3720</v>
      </c>
    </row>
    <row r="108" spans="2:30">
      <c r="B108" s="90"/>
      <c r="C108" s="44" t="s">
        <v>33</v>
      </c>
      <c r="D108" s="47"/>
      <c r="E108" s="47"/>
      <c r="F108" s="47"/>
      <c r="G108" s="47"/>
      <c r="H108" s="47"/>
      <c r="I108" s="47"/>
      <c r="J108" s="47">
        <v>10</v>
      </c>
      <c r="K108" s="47">
        <v>10</v>
      </c>
      <c r="L108" s="47">
        <v>10</v>
      </c>
      <c r="M108" s="47">
        <v>10</v>
      </c>
      <c r="N108" s="47">
        <v>10</v>
      </c>
      <c r="O108" s="47">
        <v>10</v>
      </c>
      <c r="P108" s="47">
        <v>10</v>
      </c>
      <c r="Q108" s="47">
        <v>10</v>
      </c>
      <c r="R108" s="47">
        <v>10</v>
      </c>
      <c r="S108" s="47">
        <v>10</v>
      </c>
      <c r="T108" s="47">
        <v>10</v>
      </c>
      <c r="U108" s="47">
        <v>10</v>
      </c>
      <c r="V108" s="47"/>
      <c r="W108" s="47"/>
      <c r="X108" s="47"/>
      <c r="Y108" s="47"/>
      <c r="Z108" s="47"/>
      <c r="AA108" s="47"/>
      <c r="AB108" s="45">
        <f t="shared" si="2"/>
        <v>120</v>
      </c>
      <c r="AC108" s="37">
        <v>4</v>
      </c>
      <c r="AD108" s="92"/>
    </row>
    <row r="109" spans="2:30">
      <c r="B109" s="90"/>
      <c r="C109" s="44" t="s">
        <v>34</v>
      </c>
      <c r="D109" s="47"/>
      <c r="E109" s="47"/>
      <c r="F109" s="47"/>
      <c r="G109" s="47"/>
      <c r="H109" s="47"/>
      <c r="I109" s="47"/>
      <c r="J109" s="47">
        <v>10</v>
      </c>
      <c r="K109" s="47">
        <v>10</v>
      </c>
      <c r="L109" s="47">
        <v>10</v>
      </c>
      <c r="M109" s="47">
        <v>10</v>
      </c>
      <c r="N109" s="47">
        <v>10</v>
      </c>
      <c r="O109" s="47">
        <v>10</v>
      </c>
      <c r="P109" s="47">
        <v>10</v>
      </c>
      <c r="Q109" s="47">
        <v>10</v>
      </c>
      <c r="R109" s="47">
        <v>10</v>
      </c>
      <c r="S109" s="47">
        <v>10</v>
      </c>
      <c r="T109" s="47">
        <v>10</v>
      </c>
      <c r="U109" s="47">
        <v>10</v>
      </c>
      <c r="V109" s="47"/>
      <c r="W109" s="47"/>
      <c r="X109" s="47"/>
      <c r="Y109" s="47"/>
      <c r="Z109" s="47"/>
      <c r="AA109" s="47"/>
      <c r="AB109" s="45">
        <f t="shared" si="2"/>
        <v>120</v>
      </c>
      <c r="AC109" s="37">
        <v>6</v>
      </c>
      <c r="AD109" s="92"/>
    </row>
    <row r="110" spans="2:30">
      <c r="B110" s="90">
        <v>49553</v>
      </c>
      <c r="C110" s="44" t="s">
        <v>32</v>
      </c>
      <c r="D110" s="47"/>
      <c r="E110" s="47"/>
      <c r="F110" s="47"/>
      <c r="G110" s="47"/>
      <c r="H110" s="47"/>
      <c r="I110" s="47"/>
      <c r="J110" s="47">
        <v>10</v>
      </c>
      <c r="K110" s="47">
        <v>10</v>
      </c>
      <c r="L110" s="47">
        <v>10</v>
      </c>
      <c r="M110" s="47">
        <v>10</v>
      </c>
      <c r="N110" s="47">
        <v>10</v>
      </c>
      <c r="O110" s="47">
        <v>10</v>
      </c>
      <c r="P110" s="47">
        <v>10</v>
      </c>
      <c r="Q110" s="47">
        <v>10</v>
      </c>
      <c r="R110" s="47">
        <v>10</v>
      </c>
      <c r="S110" s="47">
        <v>10</v>
      </c>
      <c r="T110" s="47">
        <v>10</v>
      </c>
      <c r="U110" s="47">
        <v>10</v>
      </c>
      <c r="V110" s="47"/>
      <c r="W110" s="47"/>
      <c r="X110" s="47"/>
      <c r="Y110" s="47"/>
      <c r="Z110" s="47"/>
      <c r="AA110" s="47"/>
      <c r="AB110" s="45">
        <f t="shared" si="2"/>
        <v>120</v>
      </c>
      <c r="AC110" s="37">
        <v>20</v>
      </c>
      <c r="AD110" s="92">
        <f>+AB110*AC110+AB111*AC111+AB112*AC112</f>
        <v>3600</v>
      </c>
    </row>
    <row r="111" spans="2:30">
      <c r="B111" s="90"/>
      <c r="C111" s="44" t="s">
        <v>33</v>
      </c>
      <c r="D111" s="47"/>
      <c r="E111" s="47"/>
      <c r="F111" s="47"/>
      <c r="G111" s="47"/>
      <c r="H111" s="47"/>
      <c r="I111" s="47"/>
      <c r="J111" s="47">
        <v>10</v>
      </c>
      <c r="K111" s="47">
        <v>10</v>
      </c>
      <c r="L111" s="47">
        <v>10</v>
      </c>
      <c r="M111" s="47">
        <v>10</v>
      </c>
      <c r="N111" s="47">
        <v>10</v>
      </c>
      <c r="O111" s="47">
        <v>10</v>
      </c>
      <c r="P111" s="47">
        <v>10</v>
      </c>
      <c r="Q111" s="47">
        <v>10</v>
      </c>
      <c r="R111" s="47">
        <v>10</v>
      </c>
      <c r="S111" s="47">
        <v>10</v>
      </c>
      <c r="T111" s="47">
        <v>10</v>
      </c>
      <c r="U111" s="47">
        <v>10</v>
      </c>
      <c r="V111" s="47"/>
      <c r="W111" s="47"/>
      <c r="X111" s="47"/>
      <c r="Y111" s="47"/>
      <c r="Z111" s="47"/>
      <c r="AA111" s="47"/>
      <c r="AB111" s="45">
        <f t="shared" si="2"/>
        <v>120</v>
      </c>
      <c r="AC111" s="37">
        <v>5</v>
      </c>
      <c r="AD111" s="92"/>
    </row>
    <row r="112" spans="2:30">
      <c r="B112" s="90"/>
      <c r="C112" s="44" t="s">
        <v>34</v>
      </c>
      <c r="D112" s="47"/>
      <c r="E112" s="47"/>
      <c r="F112" s="47"/>
      <c r="G112" s="47"/>
      <c r="H112" s="47"/>
      <c r="I112" s="47"/>
      <c r="J112" s="47">
        <v>10</v>
      </c>
      <c r="K112" s="47">
        <v>10</v>
      </c>
      <c r="L112" s="47">
        <v>10</v>
      </c>
      <c r="M112" s="47">
        <v>10</v>
      </c>
      <c r="N112" s="47">
        <v>10</v>
      </c>
      <c r="O112" s="47">
        <v>10</v>
      </c>
      <c r="P112" s="47">
        <v>10</v>
      </c>
      <c r="Q112" s="47">
        <v>10</v>
      </c>
      <c r="R112" s="47">
        <v>10</v>
      </c>
      <c r="S112" s="47">
        <v>10</v>
      </c>
      <c r="T112" s="47">
        <v>10</v>
      </c>
      <c r="U112" s="47">
        <v>10</v>
      </c>
      <c r="V112" s="47"/>
      <c r="W112" s="47"/>
      <c r="X112" s="47"/>
      <c r="Y112" s="47"/>
      <c r="Z112" s="47"/>
      <c r="AA112" s="47"/>
      <c r="AB112" s="45">
        <f t="shared" si="2"/>
        <v>120</v>
      </c>
      <c r="AC112" s="37">
        <v>5</v>
      </c>
      <c r="AD112" s="92"/>
    </row>
    <row r="113" spans="2:31">
      <c r="B113" s="90">
        <v>49583</v>
      </c>
      <c r="C113" s="44" t="s">
        <v>32</v>
      </c>
      <c r="D113" s="47"/>
      <c r="E113" s="47"/>
      <c r="F113" s="47"/>
      <c r="G113" s="47"/>
      <c r="H113" s="47"/>
      <c r="I113" s="47"/>
      <c r="J113" s="47">
        <v>10</v>
      </c>
      <c r="K113" s="47">
        <v>10</v>
      </c>
      <c r="L113" s="47">
        <v>10</v>
      </c>
      <c r="M113" s="47">
        <v>10</v>
      </c>
      <c r="N113" s="47">
        <v>10</v>
      </c>
      <c r="O113" s="47">
        <v>10</v>
      </c>
      <c r="P113" s="47">
        <v>10</v>
      </c>
      <c r="Q113" s="47">
        <v>10</v>
      </c>
      <c r="R113" s="47">
        <v>10</v>
      </c>
      <c r="S113" s="47">
        <v>10</v>
      </c>
      <c r="T113" s="47">
        <v>10</v>
      </c>
      <c r="U113" s="47">
        <v>10</v>
      </c>
      <c r="V113" s="47"/>
      <c r="W113" s="47"/>
      <c r="X113" s="47"/>
      <c r="Y113" s="47"/>
      <c r="Z113" s="47"/>
      <c r="AA113" s="47"/>
      <c r="AB113" s="45">
        <f t="shared" si="2"/>
        <v>120</v>
      </c>
      <c r="AC113" s="37">
        <v>22</v>
      </c>
      <c r="AD113" s="92">
        <f>+AB113*AC113+AB114*AC114+AB115*AC115</f>
        <v>3720</v>
      </c>
    </row>
    <row r="114" spans="2:31">
      <c r="B114" s="90"/>
      <c r="C114" s="44" t="s">
        <v>33</v>
      </c>
      <c r="D114" s="47"/>
      <c r="E114" s="47"/>
      <c r="F114" s="47"/>
      <c r="G114" s="47"/>
      <c r="H114" s="47"/>
      <c r="I114" s="47"/>
      <c r="J114" s="47">
        <v>10</v>
      </c>
      <c r="K114" s="47">
        <v>10</v>
      </c>
      <c r="L114" s="47">
        <v>10</v>
      </c>
      <c r="M114" s="47">
        <v>10</v>
      </c>
      <c r="N114" s="47">
        <v>10</v>
      </c>
      <c r="O114" s="47">
        <v>10</v>
      </c>
      <c r="P114" s="47">
        <v>10</v>
      </c>
      <c r="Q114" s="47">
        <v>10</v>
      </c>
      <c r="R114" s="47">
        <v>10</v>
      </c>
      <c r="S114" s="47">
        <v>10</v>
      </c>
      <c r="T114" s="47">
        <v>10</v>
      </c>
      <c r="U114" s="47">
        <v>10</v>
      </c>
      <c r="V114" s="47"/>
      <c r="W114" s="47"/>
      <c r="X114" s="47"/>
      <c r="Y114" s="47"/>
      <c r="Z114" s="47"/>
      <c r="AA114" s="47"/>
      <c r="AB114" s="45">
        <f t="shared" si="2"/>
        <v>120</v>
      </c>
      <c r="AC114" s="37">
        <v>4</v>
      </c>
      <c r="AD114" s="92"/>
    </row>
    <row r="115" spans="2:31">
      <c r="B115" s="90"/>
      <c r="C115" s="44" t="s">
        <v>34</v>
      </c>
      <c r="D115" s="47"/>
      <c r="E115" s="47"/>
      <c r="F115" s="47"/>
      <c r="G115" s="47"/>
      <c r="H115" s="47"/>
      <c r="I115" s="47"/>
      <c r="J115" s="47">
        <v>10</v>
      </c>
      <c r="K115" s="47">
        <v>10</v>
      </c>
      <c r="L115" s="47">
        <v>10</v>
      </c>
      <c r="M115" s="47">
        <v>10</v>
      </c>
      <c r="N115" s="47">
        <v>10</v>
      </c>
      <c r="O115" s="47">
        <v>10</v>
      </c>
      <c r="P115" s="47">
        <v>10</v>
      </c>
      <c r="Q115" s="47">
        <v>10</v>
      </c>
      <c r="R115" s="47">
        <v>10</v>
      </c>
      <c r="S115" s="47">
        <v>10</v>
      </c>
      <c r="T115" s="47">
        <v>10</v>
      </c>
      <c r="U115" s="47">
        <v>10</v>
      </c>
      <c r="V115" s="47"/>
      <c r="W115" s="47"/>
      <c r="X115" s="47"/>
      <c r="Y115" s="47"/>
      <c r="Z115" s="47"/>
      <c r="AA115" s="47"/>
      <c r="AB115" s="45">
        <f t="shared" si="2"/>
        <v>120</v>
      </c>
      <c r="AC115" s="37">
        <v>5</v>
      </c>
      <c r="AD115" s="92"/>
    </row>
    <row r="116" spans="2:31">
      <c r="B116" s="90">
        <v>49614</v>
      </c>
      <c r="C116" s="44" t="s">
        <v>32</v>
      </c>
      <c r="D116" s="47"/>
      <c r="E116" s="47"/>
      <c r="F116" s="47"/>
      <c r="G116" s="47"/>
      <c r="H116" s="47"/>
      <c r="I116" s="47"/>
      <c r="J116" s="47">
        <v>10</v>
      </c>
      <c r="K116" s="47">
        <v>10</v>
      </c>
      <c r="L116" s="47">
        <v>10</v>
      </c>
      <c r="M116" s="47">
        <v>10</v>
      </c>
      <c r="N116" s="47">
        <v>10</v>
      </c>
      <c r="O116" s="47">
        <v>10</v>
      </c>
      <c r="P116" s="47">
        <v>10</v>
      </c>
      <c r="Q116" s="47">
        <v>10</v>
      </c>
      <c r="R116" s="47">
        <v>10</v>
      </c>
      <c r="S116" s="47">
        <v>10</v>
      </c>
      <c r="T116" s="47">
        <v>10</v>
      </c>
      <c r="U116" s="47">
        <v>10</v>
      </c>
      <c r="V116" s="47"/>
      <c r="W116" s="47"/>
      <c r="X116" s="47"/>
      <c r="Y116" s="47"/>
      <c r="Z116" s="47"/>
      <c r="AA116" s="47"/>
      <c r="AB116" s="45">
        <f t="shared" si="2"/>
        <v>120</v>
      </c>
      <c r="AC116" s="37">
        <v>20</v>
      </c>
      <c r="AD116" s="92">
        <f>+AB116*AC116+AB117*AC117+AB118*AC118</f>
        <v>3600</v>
      </c>
    </row>
    <row r="117" spans="2:31">
      <c r="B117" s="90"/>
      <c r="C117" s="44" t="s">
        <v>33</v>
      </c>
      <c r="D117" s="47"/>
      <c r="E117" s="47"/>
      <c r="F117" s="47"/>
      <c r="G117" s="47"/>
      <c r="H117" s="47"/>
      <c r="I117" s="47"/>
      <c r="J117" s="47">
        <v>10</v>
      </c>
      <c r="K117" s="47">
        <v>10</v>
      </c>
      <c r="L117" s="47">
        <v>10</v>
      </c>
      <c r="M117" s="47">
        <v>10</v>
      </c>
      <c r="N117" s="47">
        <v>10</v>
      </c>
      <c r="O117" s="47">
        <v>10</v>
      </c>
      <c r="P117" s="47">
        <v>10</v>
      </c>
      <c r="Q117" s="47">
        <v>10</v>
      </c>
      <c r="R117" s="47">
        <v>10</v>
      </c>
      <c r="S117" s="47">
        <v>10</v>
      </c>
      <c r="T117" s="47">
        <v>10</v>
      </c>
      <c r="U117" s="47">
        <v>10</v>
      </c>
      <c r="V117" s="47"/>
      <c r="W117" s="47"/>
      <c r="X117" s="47"/>
      <c r="Y117" s="47"/>
      <c r="Z117" s="47"/>
      <c r="AA117" s="47"/>
      <c r="AB117" s="45">
        <f t="shared" si="2"/>
        <v>120</v>
      </c>
      <c r="AC117" s="37">
        <v>4</v>
      </c>
      <c r="AD117" s="92"/>
    </row>
    <row r="118" spans="2:31">
      <c r="B118" s="90"/>
      <c r="C118" s="44" t="s">
        <v>34</v>
      </c>
      <c r="D118" s="47"/>
      <c r="E118" s="47"/>
      <c r="F118" s="47"/>
      <c r="G118" s="47"/>
      <c r="H118" s="47"/>
      <c r="I118" s="47"/>
      <c r="J118" s="47">
        <v>10</v>
      </c>
      <c r="K118" s="47">
        <v>10</v>
      </c>
      <c r="L118" s="47">
        <v>10</v>
      </c>
      <c r="M118" s="47">
        <v>10</v>
      </c>
      <c r="N118" s="47">
        <v>10</v>
      </c>
      <c r="O118" s="47">
        <v>10</v>
      </c>
      <c r="P118" s="47">
        <v>10</v>
      </c>
      <c r="Q118" s="47">
        <v>10</v>
      </c>
      <c r="R118" s="47">
        <v>10</v>
      </c>
      <c r="S118" s="47">
        <v>10</v>
      </c>
      <c r="T118" s="47">
        <v>10</v>
      </c>
      <c r="U118" s="47">
        <v>10</v>
      </c>
      <c r="V118" s="47"/>
      <c r="W118" s="47"/>
      <c r="X118" s="47"/>
      <c r="Y118" s="47"/>
      <c r="Z118" s="47"/>
      <c r="AA118" s="47"/>
      <c r="AB118" s="45">
        <f t="shared" si="2"/>
        <v>120</v>
      </c>
      <c r="AC118" s="37">
        <v>6</v>
      </c>
      <c r="AD118" s="92"/>
    </row>
    <row r="119" spans="2:31">
      <c r="B119" s="90">
        <v>49644</v>
      </c>
      <c r="C119" s="44" t="s">
        <v>32</v>
      </c>
      <c r="D119" s="47"/>
      <c r="E119" s="47"/>
      <c r="F119" s="47"/>
      <c r="G119" s="47"/>
      <c r="H119" s="47"/>
      <c r="I119" s="47"/>
      <c r="J119" s="47">
        <v>10</v>
      </c>
      <c r="K119" s="47">
        <v>10</v>
      </c>
      <c r="L119" s="47">
        <v>10</v>
      </c>
      <c r="M119" s="47">
        <v>10</v>
      </c>
      <c r="N119" s="47">
        <v>10</v>
      </c>
      <c r="O119" s="47">
        <v>10</v>
      </c>
      <c r="P119" s="47">
        <v>10</v>
      </c>
      <c r="Q119" s="47">
        <v>10</v>
      </c>
      <c r="R119" s="47">
        <v>10</v>
      </c>
      <c r="S119" s="47">
        <v>10</v>
      </c>
      <c r="T119" s="47">
        <v>10</v>
      </c>
      <c r="U119" s="47">
        <v>10</v>
      </c>
      <c r="V119" s="47"/>
      <c r="W119" s="47"/>
      <c r="X119" s="47"/>
      <c r="Y119" s="47"/>
      <c r="Z119" s="47"/>
      <c r="AA119" s="47"/>
      <c r="AB119" s="45">
        <f t="shared" si="2"/>
        <v>120</v>
      </c>
      <c r="AC119" s="37">
        <v>20</v>
      </c>
      <c r="AD119" s="92">
        <f>+AB119*AC119+AB120*AC120+AB121*AC121</f>
        <v>3720</v>
      </c>
    </row>
    <row r="120" spans="2:31">
      <c r="B120" s="90"/>
      <c r="C120" s="44" t="s">
        <v>33</v>
      </c>
      <c r="D120" s="47"/>
      <c r="E120" s="47"/>
      <c r="F120" s="47"/>
      <c r="G120" s="47"/>
      <c r="H120" s="47"/>
      <c r="I120" s="47"/>
      <c r="J120" s="47">
        <v>10</v>
      </c>
      <c r="K120" s="47">
        <v>10</v>
      </c>
      <c r="L120" s="47">
        <v>10</v>
      </c>
      <c r="M120" s="47">
        <v>10</v>
      </c>
      <c r="N120" s="47">
        <v>10</v>
      </c>
      <c r="O120" s="47">
        <v>10</v>
      </c>
      <c r="P120" s="47">
        <v>10</v>
      </c>
      <c r="Q120" s="47">
        <v>10</v>
      </c>
      <c r="R120" s="47">
        <v>10</v>
      </c>
      <c r="S120" s="47">
        <v>10</v>
      </c>
      <c r="T120" s="47">
        <v>10</v>
      </c>
      <c r="U120" s="47">
        <v>10</v>
      </c>
      <c r="V120" s="47"/>
      <c r="W120" s="47"/>
      <c r="X120" s="47"/>
      <c r="Y120" s="47"/>
      <c r="Z120" s="47"/>
      <c r="AA120" s="47"/>
      <c r="AB120" s="45">
        <f t="shared" si="2"/>
        <v>120</v>
      </c>
      <c r="AC120" s="37">
        <v>4</v>
      </c>
      <c r="AD120" s="92"/>
    </row>
    <row r="121" spans="2:31">
      <c r="B121" s="90"/>
      <c r="C121" s="44" t="s">
        <v>34</v>
      </c>
      <c r="D121" s="47"/>
      <c r="E121" s="47"/>
      <c r="F121" s="47"/>
      <c r="G121" s="47"/>
      <c r="H121" s="47"/>
      <c r="I121" s="47"/>
      <c r="J121" s="47">
        <v>10</v>
      </c>
      <c r="K121" s="47">
        <v>10</v>
      </c>
      <c r="L121" s="47">
        <v>10</v>
      </c>
      <c r="M121" s="47">
        <v>10</v>
      </c>
      <c r="N121" s="47">
        <v>10</v>
      </c>
      <c r="O121" s="47">
        <v>10</v>
      </c>
      <c r="P121" s="47">
        <v>10</v>
      </c>
      <c r="Q121" s="47">
        <v>10</v>
      </c>
      <c r="R121" s="47">
        <v>10</v>
      </c>
      <c r="S121" s="47">
        <v>10</v>
      </c>
      <c r="T121" s="47">
        <v>10</v>
      </c>
      <c r="U121" s="47">
        <v>10</v>
      </c>
      <c r="V121" s="47"/>
      <c r="W121" s="47"/>
      <c r="X121" s="47"/>
      <c r="Y121" s="47"/>
      <c r="Z121" s="47"/>
      <c r="AA121" s="47"/>
      <c r="AB121" s="45">
        <f t="shared" si="2"/>
        <v>120</v>
      </c>
      <c r="AC121" s="37">
        <v>7</v>
      </c>
      <c r="AD121" s="92"/>
    </row>
    <row r="122" spans="2:31"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86" t="s">
        <v>35</v>
      </c>
      <c r="AB122" s="87"/>
      <c r="AC122" s="88"/>
      <c r="AD122" s="39">
        <f>SUM(AD86:AD121)</f>
        <v>43800</v>
      </c>
    </row>
    <row r="123" spans="2:31"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 spans="2:31" ht="23.25">
      <c r="B124" s="41" t="s">
        <v>72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40"/>
      <c r="AC124" s="40"/>
      <c r="AD124" s="38"/>
    </row>
    <row r="125" spans="2:31">
      <c r="B125" s="42" t="s">
        <v>3</v>
      </c>
      <c r="C125" s="42" t="s">
        <v>4</v>
      </c>
      <c r="D125" s="42" t="s">
        <v>5</v>
      </c>
      <c r="E125" s="42" t="s">
        <v>6</v>
      </c>
      <c r="F125" s="42" t="s">
        <v>7</v>
      </c>
      <c r="G125" s="42" t="s">
        <v>8</v>
      </c>
      <c r="H125" s="42" t="s">
        <v>9</v>
      </c>
      <c r="I125" s="42" t="s">
        <v>10</v>
      </c>
      <c r="J125" s="42" t="s">
        <v>11</v>
      </c>
      <c r="K125" s="42" t="s">
        <v>12</v>
      </c>
      <c r="L125" s="42" t="s">
        <v>13</v>
      </c>
      <c r="M125" s="42" t="s">
        <v>14</v>
      </c>
      <c r="N125" s="42" t="s">
        <v>15</v>
      </c>
      <c r="O125" s="42" t="s">
        <v>16</v>
      </c>
      <c r="P125" s="42" t="s">
        <v>17</v>
      </c>
      <c r="Q125" s="42" t="s">
        <v>18</v>
      </c>
      <c r="R125" s="42" t="s">
        <v>19</v>
      </c>
      <c r="S125" s="42" t="s">
        <v>20</v>
      </c>
      <c r="T125" s="42" t="s">
        <v>21</v>
      </c>
      <c r="U125" s="42" t="s">
        <v>22</v>
      </c>
      <c r="V125" s="42" t="s">
        <v>23</v>
      </c>
      <c r="W125" s="42" t="s">
        <v>24</v>
      </c>
      <c r="X125" s="42" t="s">
        <v>25</v>
      </c>
      <c r="Y125" s="42" t="s">
        <v>26</v>
      </c>
      <c r="Z125" s="42" t="s">
        <v>27</v>
      </c>
      <c r="AA125" s="42" t="s">
        <v>28</v>
      </c>
      <c r="AB125" s="36" t="s">
        <v>29</v>
      </c>
      <c r="AC125" s="43" t="s">
        <v>30</v>
      </c>
      <c r="AD125" s="42" t="s">
        <v>31</v>
      </c>
    </row>
    <row r="126" spans="2:31">
      <c r="B126" s="90">
        <v>49675</v>
      </c>
      <c r="C126" s="44" t="s">
        <v>32</v>
      </c>
      <c r="D126" s="47"/>
      <c r="E126" s="47"/>
      <c r="F126" s="47"/>
      <c r="G126" s="47"/>
      <c r="H126" s="47"/>
      <c r="I126" s="47"/>
      <c r="J126" s="47">
        <v>10</v>
      </c>
      <c r="K126" s="47">
        <v>10</v>
      </c>
      <c r="L126" s="47">
        <v>10</v>
      </c>
      <c r="M126" s="47">
        <v>10</v>
      </c>
      <c r="N126" s="47">
        <v>10</v>
      </c>
      <c r="O126" s="47">
        <v>10</v>
      </c>
      <c r="P126" s="47">
        <v>10</v>
      </c>
      <c r="Q126" s="47">
        <v>10</v>
      </c>
      <c r="R126" s="47">
        <v>10</v>
      </c>
      <c r="S126" s="47">
        <v>10</v>
      </c>
      <c r="T126" s="47">
        <v>10</v>
      </c>
      <c r="U126" s="47">
        <v>10</v>
      </c>
      <c r="V126" s="47"/>
      <c r="W126" s="47"/>
      <c r="X126" s="47"/>
      <c r="Y126" s="47"/>
      <c r="Z126" s="47"/>
      <c r="AA126" s="47"/>
      <c r="AB126" s="45">
        <f>SUM(D126:AA126)</f>
        <v>120</v>
      </c>
      <c r="AC126" s="37">
        <v>21</v>
      </c>
      <c r="AD126" s="92">
        <f>+AB126*AC126+AB127*AC127+AB128*AC128</f>
        <v>3720</v>
      </c>
    </row>
    <row r="127" spans="2:31">
      <c r="B127" s="90"/>
      <c r="C127" s="44" t="s">
        <v>33</v>
      </c>
      <c r="D127" s="47"/>
      <c r="E127" s="47"/>
      <c r="F127" s="47"/>
      <c r="G127" s="47"/>
      <c r="H127" s="47"/>
      <c r="I127" s="47"/>
      <c r="J127" s="47">
        <v>10</v>
      </c>
      <c r="K127" s="47">
        <v>10</v>
      </c>
      <c r="L127" s="47">
        <v>10</v>
      </c>
      <c r="M127" s="47">
        <v>10</v>
      </c>
      <c r="N127" s="47">
        <v>10</v>
      </c>
      <c r="O127" s="47">
        <v>10</v>
      </c>
      <c r="P127" s="47">
        <v>10</v>
      </c>
      <c r="Q127" s="47">
        <v>10</v>
      </c>
      <c r="R127" s="47">
        <v>10</v>
      </c>
      <c r="S127" s="47">
        <v>10</v>
      </c>
      <c r="T127" s="47">
        <v>10</v>
      </c>
      <c r="U127" s="47">
        <v>10</v>
      </c>
      <c r="V127" s="47"/>
      <c r="W127" s="47"/>
      <c r="X127" s="47"/>
      <c r="Y127" s="47"/>
      <c r="Z127" s="47"/>
      <c r="AA127" s="47"/>
      <c r="AB127" s="45">
        <f t="shared" ref="AB127:AB161" si="3">SUM(D127:AA127)</f>
        <v>120</v>
      </c>
      <c r="AC127" s="37">
        <v>4</v>
      </c>
      <c r="AD127" s="92"/>
    </row>
    <row r="128" spans="2:31">
      <c r="B128" s="90"/>
      <c r="C128" s="44" t="s">
        <v>34</v>
      </c>
      <c r="D128" s="47"/>
      <c r="E128" s="47"/>
      <c r="F128" s="47"/>
      <c r="G128" s="47"/>
      <c r="H128" s="47"/>
      <c r="I128" s="47"/>
      <c r="J128" s="47">
        <v>10</v>
      </c>
      <c r="K128" s="47">
        <v>10</v>
      </c>
      <c r="L128" s="47">
        <v>10</v>
      </c>
      <c r="M128" s="47">
        <v>10</v>
      </c>
      <c r="N128" s="47">
        <v>10</v>
      </c>
      <c r="O128" s="47">
        <v>10</v>
      </c>
      <c r="P128" s="47">
        <v>10</v>
      </c>
      <c r="Q128" s="47">
        <v>10</v>
      </c>
      <c r="R128" s="47">
        <v>10</v>
      </c>
      <c r="S128" s="47">
        <v>10</v>
      </c>
      <c r="T128" s="47">
        <v>10</v>
      </c>
      <c r="U128" s="47">
        <v>10</v>
      </c>
      <c r="V128" s="47"/>
      <c r="W128" s="47"/>
      <c r="X128" s="47"/>
      <c r="Y128" s="47"/>
      <c r="Z128" s="47"/>
      <c r="AA128" s="47"/>
      <c r="AB128" s="45">
        <f t="shared" si="3"/>
        <v>120</v>
      </c>
      <c r="AC128" s="37">
        <v>6</v>
      </c>
      <c r="AD128" s="92"/>
    </row>
    <row r="129" spans="2:30">
      <c r="B129" s="90">
        <v>49706</v>
      </c>
      <c r="C129" s="44" t="s">
        <v>32</v>
      </c>
      <c r="D129" s="47"/>
      <c r="E129" s="47"/>
      <c r="F129" s="47"/>
      <c r="G129" s="47"/>
      <c r="H129" s="47"/>
      <c r="I129" s="47"/>
      <c r="J129" s="47">
        <v>10</v>
      </c>
      <c r="K129" s="47">
        <v>10</v>
      </c>
      <c r="L129" s="47">
        <v>10</v>
      </c>
      <c r="M129" s="47">
        <v>10</v>
      </c>
      <c r="N129" s="47">
        <v>10</v>
      </c>
      <c r="O129" s="47">
        <v>10</v>
      </c>
      <c r="P129" s="47">
        <v>10</v>
      </c>
      <c r="Q129" s="47">
        <v>10</v>
      </c>
      <c r="R129" s="47">
        <v>10</v>
      </c>
      <c r="S129" s="47">
        <v>10</v>
      </c>
      <c r="T129" s="47">
        <v>10</v>
      </c>
      <c r="U129" s="47">
        <v>10</v>
      </c>
      <c r="V129" s="47"/>
      <c r="W129" s="47"/>
      <c r="X129" s="47"/>
      <c r="Y129" s="47"/>
      <c r="Z129" s="47"/>
      <c r="AA129" s="47"/>
      <c r="AB129" s="45">
        <f t="shared" si="3"/>
        <v>120</v>
      </c>
      <c r="AC129" s="37">
        <v>21</v>
      </c>
      <c r="AD129" s="92">
        <f>+AB129*AC129+AB130*AC130+AB131*AC131</f>
        <v>3480</v>
      </c>
    </row>
    <row r="130" spans="2:30">
      <c r="B130" s="90"/>
      <c r="C130" s="44" t="s">
        <v>33</v>
      </c>
      <c r="D130" s="47"/>
      <c r="E130" s="47"/>
      <c r="F130" s="47"/>
      <c r="G130" s="47"/>
      <c r="H130" s="47"/>
      <c r="I130" s="47"/>
      <c r="J130" s="47">
        <v>10</v>
      </c>
      <c r="K130" s="47">
        <v>10</v>
      </c>
      <c r="L130" s="47">
        <v>10</v>
      </c>
      <c r="M130" s="47">
        <v>10</v>
      </c>
      <c r="N130" s="47">
        <v>10</v>
      </c>
      <c r="O130" s="47">
        <v>10</v>
      </c>
      <c r="P130" s="47">
        <v>10</v>
      </c>
      <c r="Q130" s="47">
        <v>10</v>
      </c>
      <c r="R130" s="47">
        <v>10</v>
      </c>
      <c r="S130" s="47">
        <v>10</v>
      </c>
      <c r="T130" s="47">
        <v>10</v>
      </c>
      <c r="U130" s="47">
        <v>10</v>
      </c>
      <c r="V130" s="47"/>
      <c r="W130" s="47"/>
      <c r="X130" s="47"/>
      <c r="Y130" s="47"/>
      <c r="Z130" s="47"/>
      <c r="AA130" s="47"/>
      <c r="AB130" s="45">
        <f t="shared" si="3"/>
        <v>120</v>
      </c>
      <c r="AC130" s="37">
        <v>4</v>
      </c>
      <c r="AD130" s="92"/>
    </row>
    <row r="131" spans="2:30">
      <c r="B131" s="90"/>
      <c r="C131" s="44" t="s">
        <v>34</v>
      </c>
      <c r="D131" s="47"/>
      <c r="E131" s="47"/>
      <c r="F131" s="47"/>
      <c r="G131" s="47"/>
      <c r="H131" s="47"/>
      <c r="I131" s="47"/>
      <c r="J131" s="47">
        <v>10</v>
      </c>
      <c r="K131" s="47">
        <v>10</v>
      </c>
      <c r="L131" s="47">
        <v>10</v>
      </c>
      <c r="M131" s="47">
        <v>10</v>
      </c>
      <c r="N131" s="47">
        <v>10</v>
      </c>
      <c r="O131" s="47">
        <v>10</v>
      </c>
      <c r="P131" s="47">
        <v>10</v>
      </c>
      <c r="Q131" s="47">
        <v>10</v>
      </c>
      <c r="R131" s="47">
        <v>10</v>
      </c>
      <c r="S131" s="47">
        <v>10</v>
      </c>
      <c r="T131" s="47">
        <v>10</v>
      </c>
      <c r="U131" s="47">
        <v>10</v>
      </c>
      <c r="V131" s="47"/>
      <c r="W131" s="47"/>
      <c r="X131" s="47"/>
      <c r="Y131" s="47"/>
      <c r="Z131" s="47"/>
      <c r="AA131" s="47"/>
      <c r="AB131" s="45">
        <f t="shared" si="3"/>
        <v>120</v>
      </c>
      <c r="AC131" s="37">
        <v>4</v>
      </c>
      <c r="AD131" s="92"/>
    </row>
    <row r="132" spans="2:30">
      <c r="B132" s="90">
        <v>49735</v>
      </c>
      <c r="C132" s="44" t="s">
        <v>32</v>
      </c>
      <c r="D132" s="47"/>
      <c r="E132" s="47"/>
      <c r="F132" s="47"/>
      <c r="G132" s="47"/>
      <c r="H132" s="47"/>
      <c r="I132" s="47"/>
      <c r="J132" s="47">
        <v>10</v>
      </c>
      <c r="K132" s="47">
        <v>10</v>
      </c>
      <c r="L132" s="47">
        <v>10</v>
      </c>
      <c r="M132" s="47">
        <v>10</v>
      </c>
      <c r="N132" s="47">
        <v>10</v>
      </c>
      <c r="O132" s="47">
        <v>10</v>
      </c>
      <c r="P132" s="47">
        <v>10</v>
      </c>
      <c r="Q132" s="47">
        <v>10</v>
      </c>
      <c r="R132" s="47">
        <v>10</v>
      </c>
      <c r="S132" s="47">
        <v>10</v>
      </c>
      <c r="T132" s="47">
        <v>10</v>
      </c>
      <c r="U132" s="47">
        <v>10</v>
      </c>
      <c r="V132" s="47"/>
      <c r="W132" s="47"/>
      <c r="X132" s="47"/>
      <c r="Y132" s="47"/>
      <c r="Z132" s="47"/>
      <c r="AA132" s="47"/>
      <c r="AB132" s="45">
        <f t="shared" si="3"/>
        <v>120</v>
      </c>
      <c r="AC132" s="37">
        <v>20</v>
      </c>
      <c r="AD132" s="92">
        <f>+AB132*AC132+AB133*AC133+AB134*AC134</f>
        <v>3720</v>
      </c>
    </row>
    <row r="133" spans="2:30">
      <c r="B133" s="90"/>
      <c r="C133" s="44" t="s">
        <v>33</v>
      </c>
      <c r="D133" s="47"/>
      <c r="E133" s="47"/>
      <c r="F133" s="47"/>
      <c r="G133" s="47"/>
      <c r="H133" s="47"/>
      <c r="I133" s="47"/>
      <c r="J133" s="47">
        <v>10</v>
      </c>
      <c r="K133" s="47">
        <v>10</v>
      </c>
      <c r="L133" s="47">
        <v>10</v>
      </c>
      <c r="M133" s="47">
        <v>10</v>
      </c>
      <c r="N133" s="47">
        <v>10</v>
      </c>
      <c r="O133" s="47">
        <v>10</v>
      </c>
      <c r="P133" s="47">
        <v>10</v>
      </c>
      <c r="Q133" s="47">
        <v>10</v>
      </c>
      <c r="R133" s="47">
        <v>10</v>
      </c>
      <c r="S133" s="47">
        <v>10</v>
      </c>
      <c r="T133" s="47">
        <v>10</v>
      </c>
      <c r="U133" s="47">
        <v>10</v>
      </c>
      <c r="V133" s="47"/>
      <c r="W133" s="47"/>
      <c r="X133" s="47"/>
      <c r="Y133" s="47"/>
      <c r="Z133" s="47"/>
      <c r="AA133" s="47"/>
      <c r="AB133" s="45">
        <f t="shared" si="3"/>
        <v>120</v>
      </c>
      <c r="AC133" s="37">
        <v>5</v>
      </c>
      <c r="AD133" s="92"/>
    </row>
    <row r="134" spans="2:30">
      <c r="B134" s="90"/>
      <c r="C134" s="44" t="s">
        <v>34</v>
      </c>
      <c r="D134" s="47"/>
      <c r="E134" s="47"/>
      <c r="F134" s="47"/>
      <c r="G134" s="47"/>
      <c r="H134" s="47"/>
      <c r="I134" s="47"/>
      <c r="J134" s="47">
        <v>10</v>
      </c>
      <c r="K134" s="47">
        <v>10</v>
      </c>
      <c r="L134" s="47">
        <v>10</v>
      </c>
      <c r="M134" s="47">
        <v>10</v>
      </c>
      <c r="N134" s="47">
        <v>10</v>
      </c>
      <c r="O134" s="47">
        <v>10</v>
      </c>
      <c r="P134" s="47">
        <v>10</v>
      </c>
      <c r="Q134" s="47">
        <v>10</v>
      </c>
      <c r="R134" s="47">
        <v>10</v>
      </c>
      <c r="S134" s="47">
        <v>10</v>
      </c>
      <c r="T134" s="47">
        <v>10</v>
      </c>
      <c r="U134" s="47">
        <v>10</v>
      </c>
      <c r="V134" s="47"/>
      <c r="W134" s="47"/>
      <c r="X134" s="47"/>
      <c r="Y134" s="47"/>
      <c r="Z134" s="47"/>
      <c r="AA134" s="47"/>
      <c r="AB134" s="45">
        <f t="shared" si="3"/>
        <v>120</v>
      </c>
      <c r="AC134" s="37">
        <v>6</v>
      </c>
      <c r="AD134" s="92"/>
    </row>
    <row r="135" spans="2:30">
      <c r="B135" s="90">
        <v>49766</v>
      </c>
      <c r="C135" s="44" t="s">
        <v>32</v>
      </c>
      <c r="D135" s="47"/>
      <c r="E135" s="47"/>
      <c r="F135" s="47"/>
      <c r="G135" s="47"/>
      <c r="H135" s="47"/>
      <c r="I135" s="47"/>
      <c r="J135" s="47">
        <v>10</v>
      </c>
      <c r="K135" s="47">
        <v>10</v>
      </c>
      <c r="L135" s="47">
        <v>10</v>
      </c>
      <c r="M135" s="47">
        <v>10</v>
      </c>
      <c r="N135" s="47">
        <v>10</v>
      </c>
      <c r="O135" s="47">
        <v>10</v>
      </c>
      <c r="P135" s="47">
        <v>10</v>
      </c>
      <c r="Q135" s="47">
        <v>10</v>
      </c>
      <c r="R135" s="47">
        <v>10</v>
      </c>
      <c r="S135" s="47">
        <v>10</v>
      </c>
      <c r="T135" s="47">
        <v>10</v>
      </c>
      <c r="U135" s="47">
        <v>10</v>
      </c>
      <c r="V135" s="47"/>
      <c r="W135" s="47"/>
      <c r="X135" s="47"/>
      <c r="Y135" s="47"/>
      <c r="Z135" s="47"/>
      <c r="AA135" s="47"/>
      <c r="AB135" s="45">
        <f t="shared" si="3"/>
        <v>120</v>
      </c>
      <c r="AC135" s="37">
        <v>20</v>
      </c>
      <c r="AD135" s="92">
        <f>+AB135*AC135+AB136*AC136+AB137*AC137</f>
        <v>3600</v>
      </c>
    </row>
    <row r="136" spans="2:30">
      <c r="B136" s="90"/>
      <c r="C136" s="44" t="s">
        <v>33</v>
      </c>
      <c r="D136" s="47"/>
      <c r="E136" s="47"/>
      <c r="F136" s="47"/>
      <c r="G136" s="47"/>
      <c r="H136" s="47"/>
      <c r="I136" s="47"/>
      <c r="J136" s="47">
        <v>10</v>
      </c>
      <c r="K136" s="47">
        <v>10</v>
      </c>
      <c r="L136" s="47">
        <v>10</v>
      </c>
      <c r="M136" s="47">
        <v>10</v>
      </c>
      <c r="N136" s="47">
        <v>10</v>
      </c>
      <c r="O136" s="47">
        <v>10</v>
      </c>
      <c r="P136" s="47">
        <v>10</v>
      </c>
      <c r="Q136" s="47">
        <v>10</v>
      </c>
      <c r="R136" s="47">
        <v>10</v>
      </c>
      <c r="S136" s="47">
        <v>10</v>
      </c>
      <c r="T136" s="47">
        <v>10</v>
      </c>
      <c r="U136" s="47">
        <v>10</v>
      </c>
      <c r="V136" s="47"/>
      <c r="W136" s="47"/>
      <c r="X136" s="47"/>
      <c r="Y136" s="47"/>
      <c r="Z136" s="47"/>
      <c r="AA136" s="47"/>
      <c r="AB136" s="45">
        <f t="shared" si="3"/>
        <v>120</v>
      </c>
      <c r="AC136" s="37">
        <v>4</v>
      </c>
      <c r="AD136" s="92"/>
    </row>
    <row r="137" spans="2:30">
      <c r="B137" s="90"/>
      <c r="C137" s="44" t="s">
        <v>34</v>
      </c>
      <c r="D137" s="47"/>
      <c r="E137" s="47"/>
      <c r="F137" s="47"/>
      <c r="G137" s="47"/>
      <c r="H137" s="47"/>
      <c r="I137" s="47"/>
      <c r="J137" s="47">
        <v>10</v>
      </c>
      <c r="K137" s="47">
        <v>10</v>
      </c>
      <c r="L137" s="47">
        <v>10</v>
      </c>
      <c r="M137" s="47">
        <v>10</v>
      </c>
      <c r="N137" s="47">
        <v>10</v>
      </c>
      <c r="O137" s="47">
        <v>10</v>
      </c>
      <c r="P137" s="47">
        <v>10</v>
      </c>
      <c r="Q137" s="47">
        <v>10</v>
      </c>
      <c r="R137" s="47">
        <v>10</v>
      </c>
      <c r="S137" s="47">
        <v>10</v>
      </c>
      <c r="T137" s="47">
        <v>10</v>
      </c>
      <c r="U137" s="47">
        <v>10</v>
      </c>
      <c r="V137" s="47"/>
      <c r="W137" s="47"/>
      <c r="X137" s="47"/>
      <c r="Y137" s="47"/>
      <c r="Z137" s="47"/>
      <c r="AA137" s="47"/>
      <c r="AB137" s="45">
        <f t="shared" si="3"/>
        <v>120</v>
      </c>
      <c r="AC137" s="37">
        <v>6</v>
      </c>
      <c r="AD137" s="92"/>
    </row>
    <row r="138" spans="2:30">
      <c r="B138" s="90">
        <v>49796</v>
      </c>
      <c r="C138" s="44" t="s">
        <v>32</v>
      </c>
      <c r="D138" s="47"/>
      <c r="E138" s="47"/>
      <c r="F138" s="47"/>
      <c r="G138" s="47"/>
      <c r="H138" s="47"/>
      <c r="I138" s="47"/>
      <c r="J138" s="47">
        <v>10</v>
      </c>
      <c r="K138" s="47">
        <v>10</v>
      </c>
      <c r="L138" s="47">
        <v>10</v>
      </c>
      <c r="M138" s="47">
        <v>10</v>
      </c>
      <c r="N138" s="47">
        <v>10</v>
      </c>
      <c r="O138" s="47">
        <v>10</v>
      </c>
      <c r="P138" s="47">
        <v>10</v>
      </c>
      <c r="Q138" s="47">
        <v>10</v>
      </c>
      <c r="R138" s="47">
        <v>10</v>
      </c>
      <c r="S138" s="47">
        <v>10</v>
      </c>
      <c r="T138" s="47">
        <v>10</v>
      </c>
      <c r="U138" s="47">
        <v>10</v>
      </c>
      <c r="V138" s="47"/>
      <c r="W138" s="47"/>
      <c r="X138" s="47"/>
      <c r="Y138" s="47"/>
      <c r="Z138" s="47"/>
      <c r="AA138" s="47"/>
      <c r="AB138" s="45">
        <f t="shared" si="3"/>
        <v>120</v>
      </c>
      <c r="AC138" s="37">
        <v>20</v>
      </c>
      <c r="AD138" s="92">
        <f>+AB138*AC138+AB139*AC139+AB140*AC140</f>
        <v>3720</v>
      </c>
    </row>
    <row r="139" spans="2:30">
      <c r="B139" s="90"/>
      <c r="C139" s="44" t="s">
        <v>33</v>
      </c>
      <c r="D139" s="47"/>
      <c r="E139" s="47"/>
      <c r="F139" s="47"/>
      <c r="G139" s="47"/>
      <c r="H139" s="47"/>
      <c r="I139" s="47"/>
      <c r="J139" s="47">
        <v>10</v>
      </c>
      <c r="K139" s="47">
        <v>10</v>
      </c>
      <c r="L139" s="47">
        <v>10</v>
      </c>
      <c r="M139" s="47">
        <v>10</v>
      </c>
      <c r="N139" s="47">
        <v>10</v>
      </c>
      <c r="O139" s="47">
        <v>10</v>
      </c>
      <c r="P139" s="47">
        <v>10</v>
      </c>
      <c r="Q139" s="47">
        <v>10</v>
      </c>
      <c r="R139" s="47">
        <v>10</v>
      </c>
      <c r="S139" s="47">
        <v>10</v>
      </c>
      <c r="T139" s="47">
        <v>10</v>
      </c>
      <c r="U139" s="47">
        <v>10</v>
      </c>
      <c r="V139" s="47"/>
      <c r="W139" s="47"/>
      <c r="X139" s="47"/>
      <c r="Y139" s="47"/>
      <c r="Z139" s="47"/>
      <c r="AA139" s="47"/>
      <c r="AB139" s="45">
        <f t="shared" si="3"/>
        <v>120</v>
      </c>
      <c r="AC139" s="37">
        <v>5</v>
      </c>
      <c r="AD139" s="92"/>
    </row>
    <row r="140" spans="2:30">
      <c r="B140" s="90"/>
      <c r="C140" s="44" t="s">
        <v>34</v>
      </c>
      <c r="D140" s="47"/>
      <c r="E140" s="47"/>
      <c r="F140" s="47"/>
      <c r="G140" s="47"/>
      <c r="H140" s="47"/>
      <c r="I140" s="47"/>
      <c r="J140" s="47">
        <v>10</v>
      </c>
      <c r="K140" s="47">
        <v>10</v>
      </c>
      <c r="L140" s="47">
        <v>10</v>
      </c>
      <c r="M140" s="47">
        <v>10</v>
      </c>
      <c r="N140" s="47">
        <v>10</v>
      </c>
      <c r="O140" s="47">
        <v>10</v>
      </c>
      <c r="P140" s="47">
        <v>10</v>
      </c>
      <c r="Q140" s="47">
        <v>10</v>
      </c>
      <c r="R140" s="47">
        <v>10</v>
      </c>
      <c r="S140" s="47">
        <v>10</v>
      </c>
      <c r="T140" s="47">
        <v>10</v>
      </c>
      <c r="U140" s="47">
        <v>10</v>
      </c>
      <c r="V140" s="47"/>
      <c r="W140" s="47"/>
      <c r="X140" s="47"/>
      <c r="Y140" s="47"/>
      <c r="Z140" s="47"/>
      <c r="AA140" s="47"/>
      <c r="AB140" s="45">
        <f t="shared" si="3"/>
        <v>120</v>
      </c>
      <c r="AC140" s="37">
        <v>6</v>
      </c>
      <c r="AD140" s="92"/>
    </row>
    <row r="141" spans="2:30">
      <c r="B141" s="90">
        <v>49827</v>
      </c>
      <c r="C141" s="44" t="s">
        <v>32</v>
      </c>
      <c r="D141" s="47"/>
      <c r="E141" s="47"/>
      <c r="F141" s="47"/>
      <c r="G141" s="47"/>
      <c r="H141" s="47"/>
      <c r="I141" s="47"/>
      <c r="J141" s="47">
        <v>10</v>
      </c>
      <c r="K141" s="47">
        <v>10</v>
      </c>
      <c r="L141" s="47">
        <v>10</v>
      </c>
      <c r="M141" s="47">
        <v>10</v>
      </c>
      <c r="N141" s="47">
        <v>10</v>
      </c>
      <c r="O141" s="47">
        <v>10</v>
      </c>
      <c r="P141" s="47">
        <v>10</v>
      </c>
      <c r="Q141" s="47">
        <v>10</v>
      </c>
      <c r="R141" s="47">
        <v>10</v>
      </c>
      <c r="S141" s="47">
        <v>10</v>
      </c>
      <c r="T141" s="47">
        <v>10</v>
      </c>
      <c r="U141" s="47">
        <v>10</v>
      </c>
      <c r="V141" s="47"/>
      <c r="W141" s="47"/>
      <c r="X141" s="47"/>
      <c r="Y141" s="47"/>
      <c r="Z141" s="47"/>
      <c r="AA141" s="47"/>
      <c r="AB141" s="45">
        <f t="shared" si="3"/>
        <v>120</v>
      </c>
      <c r="AC141" s="37">
        <v>19</v>
      </c>
      <c r="AD141" s="92">
        <f>+AB141*AC141+AB142*AC142+AB143*AC143</f>
        <v>3600</v>
      </c>
    </row>
    <row r="142" spans="2:30">
      <c r="B142" s="90"/>
      <c r="C142" s="44" t="s">
        <v>33</v>
      </c>
      <c r="D142" s="47"/>
      <c r="E142" s="47"/>
      <c r="F142" s="47"/>
      <c r="G142" s="47"/>
      <c r="H142" s="47"/>
      <c r="I142" s="47"/>
      <c r="J142" s="47">
        <v>10</v>
      </c>
      <c r="K142" s="47">
        <v>10</v>
      </c>
      <c r="L142" s="47">
        <v>10</v>
      </c>
      <c r="M142" s="47">
        <v>10</v>
      </c>
      <c r="N142" s="47">
        <v>10</v>
      </c>
      <c r="O142" s="47">
        <v>10</v>
      </c>
      <c r="P142" s="47">
        <v>10</v>
      </c>
      <c r="Q142" s="47">
        <v>10</v>
      </c>
      <c r="R142" s="47">
        <v>10</v>
      </c>
      <c r="S142" s="47">
        <v>10</v>
      </c>
      <c r="T142" s="47">
        <v>10</v>
      </c>
      <c r="U142" s="47">
        <v>10</v>
      </c>
      <c r="V142" s="47"/>
      <c r="W142" s="47"/>
      <c r="X142" s="47"/>
      <c r="Y142" s="47"/>
      <c r="Z142" s="47"/>
      <c r="AA142" s="47"/>
      <c r="AB142" s="45">
        <f t="shared" si="3"/>
        <v>120</v>
      </c>
      <c r="AC142" s="37">
        <v>4</v>
      </c>
      <c r="AD142" s="92"/>
    </row>
    <row r="143" spans="2:30">
      <c r="B143" s="90"/>
      <c r="C143" s="44" t="s">
        <v>34</v>
      </c>
      <c r="D143" s="47"/>
      <c r="E143" s="47"/>
      <c r="F143" s="47"/>
      <c r="G143" s="47"/>
      <c r="H143" s="47"/>
      <c r="I143" s="47"/>
      <c r="J143" s="47">
        <v>10</v>
      </c>
      <c r="K143" s="47">
        <v>10</v>
      </c>
      <c r="L143" s="47">
        <v>10</v>
      </c>
      <c r="M143" s="47">
        <v>10</v>
      </c>
      <c r="N143" s="47">
        <v>10</v>
      </c>
      <c r="O143" s="47">
        <v>10</v>
      </c>
      <c r="P143" s="47">
        <v>10</v>
      </c>
      <c r="Q143" s="47">
        <v>10</v>
      </c>
      <c r="R143" s="47">
        <v>10</v>
      </c>
      <c r="S143" s="47">
        <v>10</v>
      </c>
      <c r="T143" s="47">
        <v>10</v>
      </c>
      <c r="U143" s="47">
        <v>10</v>
      </c>
      <c r="V143" s="47"/>
      <c r="W143" s="47"/>
      <c r="X143" s="47"/>
      <c r="Y143" s="47"/>
      <c r="Z143" s="47"/>
      <c r="AA143" s="47"/>
      <c r="AB143" s="45">
        <f t="shared" si="3"/>
        <v>120</v>
      </c>
      <c r="AC143" s="37">
        <v>7</v>
      </c>
      <c r="AD143" s="92"/>
    </row>
    <row r="144" spans="2:30">
      <c r="B144" s="90">
        <v>49857</v>
      </c>
      <c r="C144" s="44" t="s">
        <v>32</v>
      </c>
      <c r="D144" s="47"/>
      <c r="E144" s="47"/>
      <c r="F144" s="47"/>
      <c r="G144" s="47"/>
      <c r="H144" s="47"/>
      <c r="I144" s="47"/>
      <c r="J144" s="47">
        <v>10</v>
      </c>
      <c r="K144" s="47">
        <v>10</v>
      </c>
      <c r="L144" s="47">
        <v>10</v>
      </c>
      <c r="M144" s="47">
        <v>10</v>
      </c>
      <c r="N144" s="47">
        <v>10</v>
      </c>
      <c r="O144" s="47">
        <v>10</v>
      </c>
      <c r="P144" s="47">
        <v>10</v>
      </c>
      <c r="Q144" s="47">
        <v>10</v>
      </c>
      <c r="R144" s="47">
        <v>10</v>
      </c>
      <c r="S144" s="47">
        <v>10</v>
      </c>
      <c r="T144" s="47">
        <v>10</v>
      </c>
      <c r="U144" s="47">
        <v>10</v>
      </c>
      <c r="V144" s="47"/>
      <c r="W144" s="47"/>
      <c r="X144" s="47"/>
      <c r="Y144" s="47"/>
      <c r="Z144" s="47"/>
      <c r="AA144" s="47"/>
      <c r="AB144" s="45">
        <f t="shared" si="3"/>
        <v>120</v>
      </c>
      <c r="AC144" s="37">
        <v>23</v>
      </c>
      <c r="AD144" s="92">
        <f>+AB144*AC144+AB145*AC145+AB146*AC146</f>
        <v>3720</v>
      </c>
    </row>
    <row r="145" spans="2:30">
      <c r="B145" s="90"/>
      <c r="C145" s="44" t="s">
        <v>33</v>
      </c>
      <c r="D145" s="47"/>
      <c r="E145" s="47"/>
      <c r="F145" s="47"/>
      <c r="G145" s="47"/>
      <c r="H145" s="47"/>
      <c r="I145" s="47"/>
      <c r="J145" s="47">
        <v>10</v>
      </c>
      <c r="K145" s="47">
        <v>10</v>
      </c>
      <c r="L145" s="47">
        <v>10</v>
      </c>
      <c r="M145" s="47">
        <v>10</v>
      </c>
      <c r="N145" s="47">
        <v>10</v>
      </c>
      <c r="O145" s="47">
        <v>10</v>
      </c>
      <c r="P145" s="47">
        <v>10</v>
      </c>
      <c r="Q145" s="47">
        <v>10</v>
      </c>
      <c r="R145" s="47">
        <v>10</v>
      </c>
      <c r="S145" s="47">
        <v>10</v>
      </c>
      <c r="T145" s="47">
        <v>10</v>
      </c>
      <c r="U145" s="47">
        <v>10</v>
      </c>
      <c r="V145" s="47"/>
      <c r="W145" s="47"/>
      <c r="X145" s="47"/>
      <c r="Y145" s="47"/>
      <c r="Z145" s="47"/>
      <c r="AA145" s="47"/>
      <c r="AB145" s="45">
        <f t="shared" si="3"/>
        <v>120</v>
      </c>
      <c r="AC145" s="37">
        <v>4</v>
      </c>
      <c r="AD145" s="92"/>
    </row>
    <row r="146" spans="2:30">
      <c r="B146" s="90"/>
      <c r="C146" s="44" t="s">
        <v>34</v>
      </c>
      <c r="D146" s="47"/>
      <c r="E146" s="47"/>
      <c r="F146" s="47"/>
      <c r="G146" s="47"/>
      <c r="H146" s="47"/>
      <c r="I146" s="47"/>
      <c r="J146" s="47">
        <v>10</v>
      </c>
      <c r="K146" s="47">
        <v>10</v>
      </c>
      <c r="L146" s="47">
        <v>10</v>
      </c>
      <c r="M146" s="47">
        <v>10</v>
      </c>
      <c r="N146" s="47">
        <v>10</v>
      </c>
      <c r="O146" s="47">
        <v>10</v>
      </c>
      <c r="P146" s="47">
        <v>10</v>
      </c>
      <c r="Q146" s="47">
        <v>10</v>
      </c>
      <c r="R146" s="47">
        <v>10</v>
      </c>
      <c r="S146" s="47">
        <v>10</v>
      </c>
      <c r="T146" s="47">
        <v>10</v>
      </c>
      <c r="U146" s="47">
        <v>10</v>
      </c>
      <c r="V146" s="47"/>
      <c r="W146" s="47"/>
      <c r="X146" s="47"/>
      <c r="Y146" s="47"/>
      <c r="Z146" s="47"/>
      <c r="AA146" s="47"/>
      <c r="AB146" s="45">
        <f t="shared" si="3"/>
        <v>120</v>
      </c>
      <c r="AC146" s="37">
        <v>4</v>
      </c>
      <c r="AD146" s="92"/>
    </row>
    <row r="147" spans="2:30">
      <c r="B147" s="90">
        <v>49888</v>
      </c>
      <c r="C147" s="44" t="s">
        <v>32</v>
      </c>
      <c r="D147" s="47"/>
      <c r="E147" s="47"/>
      <c r="F147" s="47"/>
      <c r="G147" s="47"/>
      <c r="H147" s="47"/>
      <c r="I147" s="47"/>
      <c r="J147" s="47">
        <v>10</v>
      </c>
      <c r="K147" s="47">
        <v>10</v>
      </c>
      <c r="L147" s="47">
        <v>10</v>
      </c>
      <c r="M147" s="47">
        <v>10</v>
      </c>
      <c r="N147" s="47">
        <v>10</v>
      </c>
      <c r="O147" s="47">
        <v>10</v>
      </c>
      <c r="P147" s="47">
        <v>10</v>
      </c>
      <c r="Q147" s="47">
        <v>10</v>
      </c>
      <c r="R147" s="47">
        <v>10</v>
      </c>
      <c r="S147" s="47">
        <v>10</v>
      </c>
      <c r="T147" s="47">
        <v>10</v>
      </c>
      <c r="U147" s="47">
        <v>10</v>
      </c>
      <c r="V147" s="47"/>
      <c r="W147" s="47"/>
      <c r="X147" s="47"/>
      <c r="Y147" s="47"/>
      <c r="Z147" s="47"/>
      <c r="AA147" s="47"/>
      <c r="AB147" s="45">
        <f t="shared" si="3"/>
        <v>120</v>
      </c>
      <c r="AC147" s="37">
        <v>19</v>
      </c>
      <c r="AD147" s="92">
        <f>+AB147*AC147+AB148*AC148+AB149*AC149</f>
        <v>3720</v>
      </c>
    </row>
    <row r="148" spans="2:30">
      <c r="B148" s="90"/>
      <c r="C148" s="44" t="s">
        <v>33</v>
      </c>
      <c r="D148" s="47"/>
      <c r="E148" s="47"/>
      <c r="F148" s="47"/>
      <c r="G148" s="47"/>
      <c r="H148" s="47"/>
      <c r="I148" s="47"/>
      <c r="J148" s="47">
        <v>10</v>
      </c>
      <c r="K148" s="47">
        <v>10</v>
      </c>
      <c r="L148" s="47">
        <v>10</v>
      </c>
      <c r="M148" s="47">
        <v>10</v>
      </c>
      <c r="N148" s="47">
        <v>10</v>
      </c>
      <c r="O148" s="47">
        <v>10</v>
      </c>
      <c r="P148" s="47">
        <v>10</v>
      </c>
      <c r="Q148" s="47">
        <v>10</v>
      </c>
      <c r="R148" s="47">
        <v>10</v>
      </c>
      <c r="S148" s="47">
        <v>10</v>
      </c>
      <c r="T148" s="47">
        <v>10</v>
      </c>
      <c r="U148" s="47">
        <v>10</v>
      </c>
      <c r="V148" s="47"/>
      <c r="W148" s="47"/>
      <c r="X148" s="47"/>
      <c r="Y148" s="47"/>
      <c r="Z148" s="47"/>
      <c r="AA148" s="47"/>
      <c r="AB148" s="45">
        <f t="shared" si="3"/>
        <v>120</v>
      </c>
      <c r="AC148" s="37">
        <v>5</v>
      </c>
      <c r="AD148" s="92"/>
    </row>
    <row r="149" spans="2:30">
      <c r="B149" s="90"/>
      <c r="C149" s="44" t="s">
        <v>34</v>
      </c>
      <c r="D149" s="47"/>
      <c r="E149" s="47"/>
      <c r="F149" s="47"/>
      <c r="G149" s="47"/>
      <c r="H149" s="47"/>
      <c r="I149" s="47"/>
      <c r="J149" s="47">
        <v>10</v>
      </c>
      <c r="K149" s="47">
        <v>10</v>
      </c>
      <c r="L149" s="47">
        <v>10</v>
      </c>
      <c r="M149" s="47">
        <v>10</v>
      </c>
      <c r="N149" s="47">
        <v>10</v>
      </c>
      <c r="O149" s="47">
        <v>10</v>
      </c>
      <c r="P149" s="47">
        <v>10</v>
      </c>
      <c r="Q149" s="47">
        <v>10</v>
      </c>
      <c r="R149" s="47">
        <v>10</v>
      </c>
      <c r="S149" s="47">
        <v>10</v>
      </c>
      <c r="T149" s="47">
        <v>10</v>
      </c>
      <c r="U149" s="47">
        <v>10</v>
      </c>
      <c r="V149" s="47"/>
      <c r="W149" s="47"/>
      <c r="X149" s="47"/>
      <c r="Y149" s="47"/>
      <c r="Z149" s="47"/>
      <c r="AA149" s="47"/>
      <c r="AB149" s="45">
        <f t="shared" si="3"/>
        <v>120</v>
      </c>
      <c r="AC149" s="37">
        <v>7</v>
      </c>
      <c r="AD149" s="92"/>
    </row>
    <row r="150" spans="2:30">
      <c r="B150" s="90">
        <v>49919</v>
      </c>
      <c r="C150" s="44" t="s">
        <v>32</v>
      </c>
      <c r="D150" s="47"/>
      <c r="E150" s="47"/>
      <c r="F150" s="47"/>
      <c r="G150" s="47"/>
      <c r="H150" s="47"/>
      <c r="I150" s="47"/>
      <c r="J150" s="47">
        <v>10</v>
      </c>
      <c r="K150" s="47">
        <v>10</v>
      </c>
      <c r="L150" s="47">
        <v>10</v>
      </c>
      <c r="M150" s="47">
        <v>10</v>
      </c>
      <c r="N150" s="47">
        <v>10</v>
      </c>
      <c r="O150" s="47">
        <v>10</v>
      </c>
      <c r="P150" s="47">
        <v>10</v>
      </c>
      <c r="Q150" s="47">
        <v>10</v>
      </c>
      <c r="R150" s="47">
        <v>10</v>
      </c>
      <c r="S150" s="47">
        <v>10</v>
      </c>
      <c r="T150" s="47">
        <v>10</v>
      </c>
      <c r="U150" s="47">
        <v>10</v>
      </c>
      <c r="V150" s="47"/>
      <c r="W150" s="47"/>
      <c r="X150" s="47"/>
      <c r="Y150" s="47"/>
      <c r="Z150" s="47"/>
      <c r="AA150" s="47"/>
      <c r="AB150" s="45">
        <f t="shared" si="3"/>
        <v>120</v>
      </c>
      <c r="AC150" s="37">
        <v>22</v>
      </c>
      <c r="AD150" s="92">
        <f>+AB150*AC150+AB151*AC151+AB152*AC152</f>
        <v>3600</v>
      </c>
    </row>
    <row r="151" spans="2:30">
      <c r="B151" s="90"/>
      <c r="C151" s="44" t="s">
        <v>33</v>
      </c>
      <c r="D151" s="47"/>
      <c r="E151" s="47"/>
      <c r="F151" s="47"/>
      <c r="G151" s="47"/>
      <c r="H151" s="47"/>
      <c r="I151" s="47"/>
      <c r="J151" s="47">
        <v>10</v>
      </c>
      <c r="K151" s="47">
        <v>10</v>
      </c>
      <c r="L151" s="47">
        <v>10</v>
      </c>
      <c r="M151" s="47">
        <v>10</v>
      </c>
      <c r="N151" s="47">
        <v>10</v>
      </c>
      <c r="O151" s="47">
        <v>10</v>
      </c>
      <c r="P151" s="47">
        <v>10</v>
      </c>
      <c r="Q151" s="47">
        <v>10</v>
      </c>
      <c r="R151" s="47">
        <v>10</v>
      </c>
      <c r="S151" s="47">
        <v>10</v>
      </c>
      <c r="T151" s="47">
        <v>10</v>
      </c>
      <c r="U151" s="47">
        <v>10</v>
      </c>
      <c r="V151" s="47"/>
      <c r="W151" s="47"/>
      <c r="X151" s="47"/>
      <c r="Y151" s="47"/>
      <c r="Z151" s="47"/>
      <c r="AA151" s="47"/>
      <c r="AB151" s="45">
        <f t="shared" si="3"/>
        <v>120</v>
      </c>
      <c r="AC151" s="37">
        <v>4</v>
      </c>
      <c r="AD151" s="92"/>
    </row>
    <row r="152" spans="2:30">
      <c r="B152" s="90"/>
      <c r="C152" s="44" t="s">
        <v>34</v>
      </c>
      <c r="D152" s="47"/>
      <c r="E152" s="47"/>
      <c r="F152" s="47"/>
      <c r="G152" s="47"/>
      <c r="H152" s="47"/>
      <c r="I152" s="47"/>
      <c r="J152" s="47">
        <v>10</v>
      </c>
      <c r="K152" s="47">
        <v>10</v>
      </c>
      <c r="L152" s="47">
        <v>10</v>
      </c>
      <c r="M152" s="47">
        <v>10</v>
      </c>
      <c r="N152" s="47">
        <v>10</v>
      </c>
      <c r="O152" s="47">
        <v>10</v>
      </c>
      <c r="P152" s="47">
        <v>10</v>
      </c>
      <c r="Q152" s="47">
        <v>10</v>
      </c>
      <c r="R152" s="47">
        <v>10</v>
      </c>
      <c r="S152" s="47">
        <v>10</v>
      </c>
      <c r="T152" s="47">
        <v>10</v>
      </c>
      <c r="U152" s="47">
        <v>10</v>
      </c>
      <c r="V152" s="47"/>
      <c r="W152" s="47"/>
      <c r="X152" s="47"/>
      <c r="Y152" s="47"/>
      <c r="Z152" s="47"/>
      <c r="AA152" s="47"/>
      <c r="AB152" s="45">
        <f t="shared" si="3"/>
        <v>120</v>
      </c>
      <c r="AC152" s="37">
        <v>4</v>
      </c>
      <c r="AD152" s="92"/>
    </row>
    <row r="153" spans="2:30">
      <c r="B153" s="90">
        <v>49949</v>
      </c>
      <c r="C153" s="44" t="s">
        <v>32</v>
      </c>
      <c r="D153" s="47"/>
      <c r="E153" s="47"/>
      <c r="F153" s="47"/>
      <c r="G153" s="47"/>
      <c r="H153" s="47"/>
      <c r="I153" s="47"/>
      <c r="J153" s="47">
        <v>10</v>
      </c>
      <c r="K153" s="47">
        <v>10</v>
      </c>
      <c r="L153" s="47">
        <v>10</v>
      </c>
      <c r="M153" s="47">
        <v>10</v>
      </c>
      <c r="N153" s="47">
        <v>10</v>
      </c>
      <c r="O153" s="47">
        <v>10</v>
      </c>
      <c r="P153" s="47">
        <v>10</v>
      </c>
      <c r="Q153" s="47">
        <v>10</v>
      </c>
      <c r="R153" s="47">
        <v>10</v>
      </c>
      <c r="S153" s="47">
        <v>10</v>
      </c>
      <c r="T153" s="47">
        <v>10</v>
      </c>
      <c r="U153" s="47">
        <v>10</v>
      </c>
      <c r="V153" s="47"/>
      <c r="W153" s="47"/>
      <c r="X153" s="47"/>
      <c r="Y153" s="47"/>
      <c r="Z153" s="47"/>
      <c r="AA153" s="47"/>
      <c r="AB153" s="45">
        <f t="shared" si="3"/>
        <v>120</v>
      </c>
      <c r="AC153" s="37">
        <v>22</v>
      </c>
      <c r="AD153" s="92">
        <f>+AB153*AC153+AB154*AC154+AB155*AC155</f>
        <v>3720</v>
      </c>
    </row>
    <row r="154" spans="2:30">
      <c r="B154" s="90"/>
      <c r="C154" s="44" t="s">
        <v>33</v>
      </c>
      <c r="D154" s="47"/>
      <c r="E154" s="47"/>
      <c r="F154" s="47"/>
      <c r="G154" s="47"/>
      <c r="H154" s="47"/>
      <c r="I154" s="47"/>
      <c r="J154" s="47">
        <v>10</v>
      </c>
      <c r="K154" s="47">
        <v>10</v>
      </c>
      <c r="L154" s="47">
        <v>10</v>
      </c>
      <c r="M154" s="47">
        <v>10</v>
      </c>
      <c r="N154" s="47">
        <v>10</v>
      </c>
      <c r="O154" s="47">
        <v>10</v>
      </c>
      <c r="P154" s="47">
        <v>10</v>
      </c>
      <c r="Q154" s="47">
        <v>10</v>
      </c>
      <c r="R154" s="47">
        <v>10</v>
      </c>
      <c r="S154" s="47">
        <v>10</v>
      </c>
      <c r="T154" s="47">
        <v>10</v>
      </c>
      <c r="U154" s="47">
        <v>10</v>
      </c>
      <c r="V154" s="47"/>
      <c r="W154" s="47"/>
      <c r="X154" s="47"/>
      <c r="Y154" s="47"/>
      <c r="Z154" s="47"/>
      <c r="AA154" s="47"/>
      <c r="AB154" s="45">
        <f t="shared" si="3"/>
        <v>120</v>
      </c>
      <c r="AC154" s="37">
        <v>4</v>
      </c>
      <c r="AD154" s="92"/>
    </row>
    <row r="155" spans="2:30">
      <c r="B155" s="90"/>
      <c r="C155" s="44" t="s">
        <v>34</v>
      </c>
      <c r="D155" s="47"/>
      <c r="E155" s="47"/>
      <c r="F155" s="47"/>
      <c r="G155" s="47"/>
      <c r="H155" s="47"/>
      <c r="I155" s="47"/>
      <c r="J155" s="47">
        <v>10</v>
      </c>
      <c r="K155" s="47">
        <v>10</v>
      </c>
      <c r="L155" s="47">
        <v>10</v>
      </c>
      <c r="M155" s="47">
        <v>10</v>
      </c>
      <c r="N155" s="47">
        <v>10</v>
      </c>
      <c r="O155" s="47">
        <v>10</v>
      </c>
      <c r="P155" s="47">
        <v>10</v>
      </c>
      <c r="Q155" s="47">
        <v>10</v>
      </c>
      <c r="R155" s="47">
        <v>10</v>
      </c>
      <c r="S155" s="47">
        <v>10</v>
      </c>
      <c r="T155" s="47">
        <v>10</v>
      </c>
      <c r="U155" s="47">
        <v>10</v>
      </c>
      <c r="V155" s="47"/>
      <c r="W155" s="47"/>
      <c r="X155" s="47"/>
      <c r="Y155" s="47"/>
      <c r="Z155" s="47"/>
      <c r="AA155" s="47"/>
      <c r="AB155" s="45">
        <f t="shared" si="3"/>
        <v>120</v>
      </c>
      <c r="AC155" s="37">
        <v>5</v>
      </c>
      <c r="AD155" s="92"/>
    </row>
    <row r="156" spans="2:30">
      <c r="B156" s="90">
        <v>49980</v>
      </c>
      <c r="C156" s="44" t="s">
        <v>32</v>
      </c>
      <c r="D156" s="47"/>
      <c r="E156" s="47"/>
      <c r="F156" s="47"/>
      <c r="G156" s="47"/>
      <c r="H156" s="47"/>
      <c r="I156" s="47"/>
      <c r="J156" s="47">
        <v>10</v>
      </c>
      <c r="K156" s="47">
        <v>10</v>
      </c>
      <c r="L156" s="47">
        <v>10</v>
      </c>
      <c r="M156" s="47">
        <v>10</v>
      </c>
      <c r="N156" s="47">
        <v>10</v>
      </c>
      <c r="O156" s="47">
        <v>10</v>
      </c>
      <c r="P156" s="47">
        <v>10</v>
      </c>
      <c r="Q156" s="47">
        <v>10</v>
      </c>
      <c r="R156" s="47">
        <v>10</v>
      </c>
      <c r="S156" s="47">
        <v>10</v>
      </c>
      <c r="T156" s="47">
        <v>10</v>
      </c>
      <c r="U156" s="47">
        <v>10</v>
      </c>
      <c r="V156" s="47"/>
      <c r="W156" s="47"/>
      <c r="X156" s="47"/>
      <c r="Y156" s="47"/>
      <c r="Z156" s="47"/>
      <c r="AA156" s="47"/>
      <c r="AB156" s="45">
        <f t="shared" si="3"/>
        <v>120</v>
      </c>
      <c r="AC156" s="37">
        <v>18</v>
      </c>
      <c r="AD156" s="92">
        <f>+AB156*AC156+AB157*AC157+AB158*AC158</f>
        <v>3600</v>
      </c>
    </row>
    <row r="157" spans="2:30">
      <c r="B157" s="90"/>
      <c r="C157" s="44" t="s">
        <v>33</v>
      </c>
      <c r="D157" s="47"/>
      <c r="E157" s="47"/>
      <c r="F157" s="47"/>
      <c r="G157" s="47"/>
      <c r="H157" s="47"/>
      <c r="I157" s="47"/>
      <c r="J157" s="47">
        <v>10</v>
      </c>
      <c r="K157" s="47">
        <v>10</v>
      </c>
      <c r="L157" s="47">
        <v>10</v>
      </c>
      <c r="M157" s="47">
        <v>10</v>
      </c>
      <c r="N157" s="47">
        <v>10</v>
      </c>
      <c r="O157" s="47">
        <v>10</v>
      </c>
      <c r="P157" s="47">
        <v>10</v>
      </c>
      <c r="Q157" s="47">
        <v>10</v>
      </c>
      <c r="R157" s="47">
        <v>10</v>
      </c>
      <c r="S157" s="47">
        <v>10</v>
      </c>
      <c r="T157" s="47">
        <v>10</v>
      </c>
      <c r="U157" s="47">
        <v>10</v>
      </c>
      <c r="V157" s="47"/>
      <c r="W157" s="47"/>
      <c r="X157" s="47"/>
      <c r="Y157" s="47"/>
      <c r="Z157" s="47"/>
      <c r="AA157" s="47"/>
      <c r="AB157" s="45">
        <f t="shared" si="3"/>
        <v>120</v>
      </c>
      <c r="AC157" s="37">
        <v>5</v>
      </c>
      <c r="AD157" s="92"/>
    </row>
    <row r="158" spans="2:30">
      <c r="B158" s="90"/>
      <c r="C158" s="44" t="s">
        <v>34</v>
      </c>
      <c r="D158" s="47"/>
      <c r="E158" s="47"/>
      <c r="F158" s="47"/>
      <c r="G158" s="47"/>
      <c r="H158" s="47"/>
      <c r="I158" s="47"/>
      <c r="J158" s="47">
        <v>10</v>
      </c>
      <c r="K158" s="47">
        <v>10</v>
      </c>
      <c r="L158" s="47">
        <v>10</v>
      </c>
      <c r="M158" s="47">
        <v>10</v>
      </c>
      <c r="N158" s="47">
        <v>10</v>
      </c>
      <c r="O158" s="47">
        <v>10</v>
      </c>
      <c r="P158" s="47">
        <v>10</v>
      </c>
      <c r="Q158" s="47">
        <v>10</v>
      </c>
      <c r="R158" s="47">
        <v>10</v>
      </c>
      <c r="S158" s="47">
        <v>10</v>
      </c>
      <c r="T158" s="47">
        <v>10</v>
      </c>
      <c r="U158" s="47">
        <v>10</v>
      </c>
      <c r="V158" s="47"/>
      <c r="W158" s="47"/>
      <c r="X158" s="47"/>
      <c r="Y158" s="47"/>
      <c r="Z158" s="47"/>
      <c r="AA158" s="47"/>
      <c r="AB158" s="45">
        <f t="shared" si="3"/>
        <v>120</v>
      </c>
      <c r="AC158" s="37">
        <v>7</v>
      </c>
      <c r="AD158" s="92"/>
    </row>
    <row r="159" spans="2:30">
      <c r="B159" s="90">
        <v>50010</v>
      </c>
      <c r="C159" s="44" t="s">
        <v>32</v>
      </c>
      <c r="D159" s="47"/>
      <c r="E159" s="47"/>
      <c r="F159" s="47"/>
      <c r="G159" s="47"/>
      <c r="H159" s="47"/>
      <c r="I159" s="47"/>
      <c r="J159" s="47">
        <v>10</v>
      </c>
      <c r="K159" s="47">
        <v>10</v>
      </c>
      <c r="L159" s="47">
        <v>10</v>
      </c>
      <c r="M159" s="47">
        <v>10</v>
      </c>
      <c r="N159" s="47">
        <v>10</v>
      </c>
      <c r="O159" s="47">
        <v>10</v>
      </c>
      <c r="P159" s="47">
        <v>10</v>
      </c>
      <c r="Q159" s="47">
        <v>10</v>
      </c>
      <c r="R159" s="47">
        <v>10</v>
      </c>
      <c r="S159" s="47">
        <v>10</v>
      </c>
      <c r="T159" s="47">
        <v>10</v>
      </c>
      <c r="U159" s="47">
        <v>10</v>
      </c>
      <c r="V159" s="47"/>
      <c r="W159" s="47"/>
      <c r="X159" s="47"/>
      <c r="Y159" s="47"/>
      <c r="Z159" s="47"/>
      <c r="AA159" s="47"/>
      <c r="AB159" s="45">
        <f t="shared" si="3"/>
        <v>120</v>
      </c>
      <c r="AC159" s="37">
        <v>21</v>
      </c>
      <c r="AD159" s="92">
        <f>+AB159*AC159+AB160*AC160+AB161*AC161</f>
        <v>3720</v>
      </c>
    </row>
    <row r="160" spans="2:30">
      <c r="B160" s="90"/>
      <c r="C160" s="44" t="s">
        <v>33</v>
      </c>
      <c r="D160" s="47"/>
      <c r="E160" s="47"/>
      <c r="F160" s="47"/>
      <c r="G160" s="47"/>
      <c r="H160" s="47"/>
      <c r="I160" s="47"/>
      <c r="J160" s="47">
        <v>10</v>
      </c>
      <c r="K160" s="47">
        <v>10</v>
      </c>
      <c r="L160" s="47">
        <v>10</v>
      </c>
      <c r="M160" s="47">
        <v>10</v>
      </c>
      <c r="N160" s="47">
        <v>10</v>
      </c>
      <c r="O160" s="47">
        <v>10</v>
      </c>
      <c r="P160" s="47">
        <v>10</v>
      </c>
      <c r="Q160" s="47">
        <v>10</v>
      </c>
      <c r="R160" s="47">
        <v>10</v>
      </c>
      <c r="S160" s="47">
        <v>10</v>
      </c>
      <c r="T160" s="47">
        <v>10</v>
      </c>
      <c r="U160" s="47">
        <v>10</v>
      </c>
      <c r="V160" s="47"/>
      <c r="W160" s="47"/>
      <c r="X160" s="47"/>
      <c r="Y160" s="47"/>
      <c r="Z160" s="47"/>
      <c r="AA160" s="47"/>
      <c r="AB160" s="45">
        <f t="shared" si="3"/>
        <v>120</v>
      </c>
      <c r="AC160" s="37">
        <v>4</v>
      </c>
      <c r="AD160" s="92"/>
    </row>
    <row r="161" spans="2:32">
      <c r="B161" s="90"/>
      <c r="C161" s="44" t="s">
        <v>34</v>
      </c>
      <c r="D161" s="47"/>
      <c r="E161" s="47"/>
      <c r="F161" s="47"/>
      <c r="G161" s="47"/>
      <c r="H161" s="47"/>
      <c r="I161" s="47"/>
      <c r="J161" s="47">
        <v>10</v>
      </c>
      <c r="K161" s="47">
        <v>10</v>
      </c>
      <c r="L161" s="47">
        <v>10</v>
      </c>
      <c r="M161" s="47">
        <v>10</v>
      </c>
      <c r="N161" s="47">
        <v>10</v>
      </c>
      <c r="O161" s="47">
        <v>10</v>
      </c>
      <c r="P161" s="47">
        <v>10</v>
      </c>
      <c r="Q161" s="47">
        <v>10</v>
      </c>
      <c r="R161" s="47">
        <v>10</v>
      </c>
      <c r="S161" s="47">
        <v>10</v>
      </c>
      <c r="T161" s="47">
        <v>10</v>
      </c>
      <c r="U161" s="47">
        <v>10</v>
      </c>
      <c r="V161" s="47"/>
      <c r="W161" s="47"/>
      <c r="X161" s="47"/>
      <c r="Y161" s="47"/>
      <c r="Z161" s="47"/>
      <c r="AA161" s="47"/>
      <c r="AB161" s="45">
        <f t="shared" si="3"/>
        <v>120</v>
      </c>
      <c r="AC161" s="37">
        <v>6</v>
      </c>
      <c r="AD161" s="92"/>
    </row>
    <row r="162" spans="2:32"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86" t="s">
        <v>35</v>
      </c>
      <c r="AB162" s="87"/>
      <c r="AC162" s="88"/>
      <c r="AD162" s="39">
        <f>SUM(AD126:AD161)</f>
        <v>43920</v>
      </c>
    </row>
    <row r="163" spans="2:32"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 spans="2:32" ht="23.25">
      <c r="B164" s="41" t="s">
        <v>73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40"/>
      <c r="AC164" s="40"/>
      <c r="AD164" s="38"/>
    </row>
    <row r="165" spans="2:32">
      <c r="B165" s="42" t="s">
        <v>3</v>
      </c>
      <c r="C165" s="42" t="s">
        <v>4</v>
      </c>
      <c r="D165" s="42" t="s">
        <v>5</v>
      </c>
      <c r="E165" s="42" t="s">
        <v>6</v>
      </c>
      <c r="F165" s="42" t="s">
        <v>7</v>
      </c>
      <c r="G165" s="42" t="s">
        <v>8</v>
      </c>
      <c r="H165" s="42" t="s">
        <v>9</v>
      </c>
      <c r="I165" s="42" t="s">
        <v>10</v>
      </c>
      <c r="J165" s="42" t="s">
        <v>11</v>
      </c>
      <c r="K165" s="42" t="s">
        <v>12</v>
      </c>
      <c r="L165" s="42" t="s">
        <v>13</v>
      </c>
      <c r="M165" s="42" t="s">
        <v>14</v>
      </c>
      <c r="N165" s="42" t="s">
        <v>15</v>
      </c>
      <c r="O165" s="42" t="s">
        <v>16</v>
      </c>
      <c r="P165" s="42" t="s">
        <v>17</v>
      </c>
      <c r="Q165" s="42" t="s">
        <v>18</v>
      </c>
      <c r="R165" s="42" t="s">
        <v>19</v>
      </c>
      <c r="S165" s="42" t="s">
        <v>20</v>
      </c>
      <c r="T165" s="42" t="s">
        <v>21</v>
      </c>
      <c r="U165" s="42" t="s">
        <v>22</v>
      </c>
      <c r="V165" s="42" t="s">
        <v>23</v>
      </c>
      <c r="W165" s="42" t="s">
        <v>24</v>
      </c>
      <c r="X165" s="42" t="s">
        <v>25</v>
      </c>
      <c r="Y165" s="42" t="s">
        <v>26</v>
      </c>
      <c r="Z165" s="42" t="s">
        <v>27</v>
      </c>
      <c r="AA165" s="42" t="s">
        <v>28</v>
      </c>
      <c r="AB165" s="36" t="s">
        <v>29</v>
      </c>
      <c r="AC165" s="43" t="s">
        <v>30</v>
      </c>
      <c r="AD165" s="42" t="s">
        <v>31</v>
      </c>
    </row>
    <row r="166" spans="2:32">
      <c r="B166" s="90">
        <v>50041</v>
      </c>
      <c r="C166" s="44" t="s">
        <v>32</v>
      </c>
      <c r="D166" s="47"/>
      <c r="E166" s="47"/>
      <c r="F166" s="47"/>
      <c r="G166" s="47"/>
      <c r="H166" s="47"/>
      <c r="I166" s="47"/>
      <c r="J166" s="47">
        <v>10</v>
      </c>
      <c r="K166" s="47">
        <v>10</v>
      </c>
      <c r="L166" s="47">
        <v>10</v>
      </c>
      <c r="M166" s="47">
        <v>10</v>
      </c>
      <c r="N166" s="47">
        <v>10</v>
      </c>
      <c r="O166" s="47">
        <v>10</v>
      </c>
      <c r="P166" s="47">
        <v>10</v>
      </c>
      <c r="Q166" s="47">
        <v>10</v>
      </c>
      <c r="R166" s="47">
        <v>10</v>
      </c>
      <c r="S166" s="47">
        <v>10</v>
      </c>
      <c r="T166" s="47">
        <v>10</v>
      </c>
      <c r="U166" s="47">
        <v>10</v>
      </c>
      <c r="V166" s="47"/>
      <c r="W166" s="47"/>
      <c r="X166" s="47"/>
      <c r="Y166" s="47"/>
      <c r="Z166" s="47"/>
      <c r="AA166" s="47"/>
      <c r="AB166" s="45">
        <f>SUM(D166:AA166)</f>
        <v>120</v>
      </c>
      <c r="AC166" s="37">
        <v>20</v>
      </c>
      <c r="AD166" s="92">
        <f>+AB166*AC166+AB167*AC167+AB168*AC168</f>
        <v>3720</v>
      </c>
    </row>
    <row r="167" spans="2:32">
      <c r="B167" s="90"/>
      <c r="C167" s="44" t="s">
        <v>33</v>
      </c>
      <c r="D167" s="47"/>
      <c r="E167" s="47"/>
      <c r="F167" s="47"/>
      <c r="G167" s="47"/>
      <c r="H167" s="47"/>
      <c r="I167" s="47"/>
      <c r="J167" s="47">
        <v>10</v>
      </c>
      <c r="K167" s="47">
        <v>10</v>
      </c>
      <c r="L167" s="47">
        <v>10</v>
      </c>
      <c r="M167" s="47">
        <v>10</v>
      </c>
      <c r="N167" s="47">
        <v>10</v>
      </c>
      <c r="O167" s="47">
        <v>10</v>
      </c>
      <c r="P167" s="47">
        <v>10</v>
      </c>
      <c r="Q167" s="47">
        <v>10</v>
      </c>
      <c r="R167" s="47">
        <v>10</v>
      </c>
      <c r="S167" s="47">
        <v>10</v>
      </c>
      <c r="T167" s="47">
        <v>10</v>
      </c>
      <c r="U167" s="47">
        <v>10</v>
      </c>
      <c r="V167" s="47"/>
      <c r="W167" s="47"/>
      <c r="X167" s="47"/>
      <c r="Y167" s="47"/>
      <c r="Z167" s="47"/>
      <c r="AA167" s="47"/>
      <c r="AB167" s="45">
        <f t="shared" ref="AB167:AB201" si="4">SUM(D167:AA167)</f>
        <v>120</v>
      </c>
      <c r="AC167" s="37">
        <v>5</v>
      </c>
      <c r="AD167" s="92"/>
    </row>
    <row r="168" spans="2:32">
      <c r="B168" s="90"/>
      <c r="C168" s="44" t="s">
        <v>34</v>
      </c>
      <c r="D168" s="47"/>
      <c r="E168" s="47"/>
      <c r="F168" s="47"/>
      <c r="G168" s="47"/>
      <c r="H168" s="47"/>
      <c r="I168" s="47"/>
      <c r="J168" s="47">
        <v>10</v>
      </c>
      <c r="K168" s="47">
        <v>10</v>
      </c>
      <c r="L168" s="47">
        <v>10</v>
      </c>
      <c r="M168" s="47">
        <v>10</v>
      </c>
      <c r="N168" s="47">
        <v>10</v>
      </c>
      <c r="O168" s="47">
        <v>10</v>
      </c>
      <c r="P168" s="47">
        <v>10</v>
      </c>
      <c r="Q168" s="47">
        <v>10</v>
      </c>
      <c r="R168" s="47">
        <v>10</v>
      </c>
      <c r="S168" s="47">
        <v>10</v>
      </c>
      <c r="T168" s="47">
        <v>10</v>
      </c>
      <c r="U168" s="47">
        <v>10</v>
      </c>
      <c r="V168" s="47"/>
      <c r="W168" s="47"/>
      <c r="X168" s="47"/>
      <c r="Y168" s="47"/>
      <c r="Z168" s="47"/>
      <c r="AA168" s="47"/>
      <c r="AB168" s="45">
        <f t="shared" si="4"/>
        <v>120</v>
      </c>
      <c r="AC168" s="37">
        <v>6</v>
      </c>
      <c r="AD168" s="92"/>
    </row>
    <row r="169" spans="2:32">
      <c r="B169" s="90">
        <v>50072</v>
      </c>
      <c r="C169" s="44" t="s">
        <v>32</v>
      </c>
      <c r="D169" s="47"/>
      <c r="E169" s="47"/>
      <c r="F169" s="47"/>
      <c r="G169" s="47"/>
      <c r="H169" s="47"/>
      <c r="I169" s="47"/>
      <c r="J169" s="47">
        <v>10</v>
      </c>
      <c r="K169" s="47">
        <v>10</v>
      </c>
      <c r="L169" s="47">
        <v>10</v>
      </c>
      <c r="M169" s="47">
        <v>10</v>
      </c>
      <c r="N169" s="47">
        <v>10</v>
      </c>
      <c r="O169" s="47">
        <v>10</v>
      </c>
      <c r="P169" s="47">
        <v>10</v>
      </c>
      <c r="Q169" s="47">
        <v>10</v>
      </c>
      <c r="R169" s="47">
        <v>10</v>
      </c>
      <c r="S169" s="47">
        <v>10</v>
      </c>
      <c r="T169" s="47">
        <v>10</v>
      </c>
      <c r="U169" s="47">
        <v>10</v>
      </c>
      <c r="V169" s="47"/>
      <c r="W169" s="47"/>
      <c r="X169" s="47"/>
      <c r="Y169" s="47"/>
      <c r="Z169" s="47"/>
      <c r="AA169" s="47"/>
      <c r="AB169" s="45">
        <f t="shared" si="4"/>
        <v>120</v>
      </c>
      <c r="AC169" s="37">
        <v>20</v>
      </c>
      <c r="AD169" s="92">
        <f>+AB169*AC169+AB170*AC170+AB171*AC171</f>
        <v>3360</v>
      </c>
    </row>
    <row r="170" spans="2:32">
      <c r="B170" s="90"/>
      <c r="C170" s="44" t="s">
        <v>33</v>
      </c>
      <c r="D170" s="47"/>
      <c r="E170" s="47"/>
      <c r="F170" s="47"/>
      <c r="G170" s="47"/>
      <c r="H170" s="47"/>
      <c r="I170" s="47"/>
      <c r="J170" s="47">
        <v>10</v>
      </c>
      <c r="K170" s="47">
        <v>10</v>
      </c>
      <c r="L170" s="47">
        <v>10</v>
      </c>
      <c r="M170" s="47">
        <v>10</v>
      </c>
      <c r="N170" s="47">
        <v>10</v>
      </c>
      <c r="O170" s="47">
        <v>10</v>
      </c>
      <c r="P170" s="47">
        <v>10</v>
      </c>
      <c r="Q170" s="47">
        <v>10</v>
      </c>
      <c r="R170" s="47">
        <v>10</v>
      </c>
      <c r="S170" s="47">
        <v>10</v>
      </c>
      <c r="T170" s="47">
        <v>10</v>
      </c>
      <c r="U170" s="47">
        <v>10</v>
      </c>
      <c r="V170" s="47"/>
      <c r="W170" s="47"/>
      <c r="X170" s="47"/>
      <c r="Y170" s="47"/>
      <c r="Z170" s="47"/>
      <c r="AA170" s="47"/>
      <c r="AB170" s="45">
        <f t="shared" si="4"/>
        <v>120</v>
      </c>
      <c r="AC170" s="37">
        <v>4</v>
      </c>
      <c r="AD170" s="92"/>
    </row>
    <row r="171" spans="2:32">
      <c r="B171" s="90"/>
      <c r="C171" s="44" t="s">
        <v>34</v>
      </c>
      <c r="D171" s="47"/>
      <c r="E171" s="47"/>
      <c r="F171" s="47"/>
      <c r="G171" s="47"/>
      <c r="H171" s="47"/>
      <c r="I171" s="47"/>
      <c r="J171" s="47">
        <v>10</v>
      </c>
      <c r="K171" s="47">
        <v>10</v>
      </c>
      <c r="L171" s="47">
        <v>10</v>
      </c>
      <c r="M171" s="47">
        <v>10</v>
      </c>
      <c r="N171" s="47">
        <v>10</v>
      </c>
      <c r="O171" s="47">
        <v>10</v>
      </c>
      <c r="P171" s="47">
        <v>10</v>
      </c>
      <c r="Q171" s="47">
        <v>10</v>
      </c>
      <c r="R171" s="47">
        <v>10</v>
      </c>
      <c r="S171" s="47">
        <v>10</v>
      </c>
      <c r="T171" s="47">
        <v>10</v>
      </c>
      <c r="U171" s="47">
        <v>10</v>
      </c>
      <c r="V171" s="47"/>
      <c r="W171" s="47"/>
      <c r="X171" s="47"/>
      <c r="Y171" s="47"/>
      <c r="Z171" s="47"/>
      <c r="AA171" s="47"/>
      <c r="AB171" s="45">
        <f t="shared" si="4"/>
        <v>120</v>
      </c>
      <c r="AC171" s="37">
        <v>4</v>
      </c>
      <c r="AD171" s="92"/>
    </row>
    <row r="172" spans="2:32">
      <c r="B172" s="90">
        <v>50100</v>
      </c>
      <c r="C172" s="44" t="s">
        <v>32</v>
      </c>
      <c r="D172" s="47"/>
      <c r="E172" s="47"/>
      <c r="F172" s="47"/>
      <c r="G172" s="47"/>
      <c r="H172" s="47"/>
      <c r="I172" s="47"/>
      <c r="J172" s="47">
        <v>10</v>
      </c>
      <c r="K172" s="47">
        <v>10</v>
      </c>
      <c r="L172" s="47">
        <v>10</v>
      </c>
      <c r="M172" s="47">
        <v>10</v>
      </c>
      <c r="N172" s="47">
        <v>10</v>
      </c>
      <c r="O172" s="47">
        <v>10</v>
      </c>
      <c r="P172" s="47">
        <v>10</v>
      </c>
      <c r="Q172" s="47">
        <v>10</v>
      </c>
      <c r="R172" s="47">
        <v>10</v>
      </c>
      <c r="S172" s="47">
        <v>10</v>
      </c>
      <c r="T172" s="47">
        <v>10</v>
      </c>
      <c r="U172" s="47">
        <v>10</v>
      </c>
      <c r="V172" s="47"/>
      <c r="W172" s="47"/>
      <c r="X172" s="47"/>
      <c r="Y172" s="47"/>
      <c r="Z172" s="47"/>
      <c r="AA172" s="47"/>
      <c r="AB172" s="45">
        <f t="shared" si="4"/>
        <v>120</v>
      </c>
      <c r="AC172" s="37">
        <v>21</v>
      </c>
      <c r="AD172" s="92">
        <f>+AB172*AC172+AB173*AC173+AB174*AC174</f>
        <v>3720</v>
      </c>
    </row>
    <row r="173" spans="2:32">
      <c r="B173" s="90"/>
      <c r="C173" s="44" t="s">
        <v>33</v>
      </c>
      <c r="D173" s="47"/>
      <c r="E173" s="47"/>
      <c r="F173" s="47"/>
      <c r="G173" s="47"/>
      <c r="H173" s="47"/>
      <c r="I173" s="47"/>
      <c r="J173" s="47">
        <v>10</v>
      </c>
      <c r="K173" s="47">
        <v>10</v>
      </c>
      <c r="L173" s="47">
        <v>10</v>
      </c>
      <c r="M173" s="47">
        <v>10</v>
      </c>
      <c r="N173" s="47">
        <v>10</v>
      </c>
      <c r="O173" s="47">
        <v>10</v>
      </c>
      <c r="P173" s="47">
        <v>10</v>
      </c>
      <c r="Q173" s="47">
        <v>10</v>
      </c>
      <c r="R173" s="47">
        <v>10</v>
      </c>
      <c r="S173" s="47">
        <v>10</v>
      </c>
      <c r="T173" s="47">
        <v>10</v>
      </c>
      <c r="U173" s="47">
        <v>10</v>
      </c>
      <c r="V173" s="47"/>
      <c r="W173" s="47"/>
      <c r="X173" s="47"/>
      <c r="Y173" s="47"/>
      <c r="Z173" s="47"/>
      <c r="AA173" s="47"/>
      <c r="AB173" s="45">
        <f t="shared" si="4"/>
        <v>120</v>
      </c>
      <c r="AC173" s="37">
        <v>4</v>
      </c>
      <c r="AD173" s="92"/>
    </row>
    <row r="174" spans="2:32">
      <c r="B174" s="90"/>
      <c r="C174" s="44" t="s">
        <v>34</v>
      </c>
      <c r="D174" s="47"/>
      <c r="E174" s="47"/>
      <c r="F174" s="47"/>
      <c r="G174" s="47"/>
      <c r="H174" s="47"/>
      <c r="I174" s="47"/>
      <c r="J174" s="47">
        <v>10</v>
      </c>
      <c r="K174" s="47">
        <v>10</v>
      </c>
      <c r="L174" s="47">
        <v>10</v>
      </c>
      <c r="M174" s="47">
        <v>10</v>
      </c>
      <c r="N174" s="47">
        <v>10</v>
      </c>
      <c r="O174" s="47">
        <v>10</v>
      </c>
      <c r="P174" s="47">
        <v>10</v>
      </c>
      <c r="Q174" s="47">
        <v>10</v>
      </c>
      <c r="R174" s="47">
        <v>10</v>
      </c>
      <c r="S174" s="47">
        <v>10</v>
      </c>
      <c r="T174" s="47">
        <v>10</v>
      </c>
      <c r="U174" s="47">
        <v>10</v>
      </c>
      <c r="V174" s="47"/>
      <c r="W174" s="47"/>
      <c r="X174" s="47"/>
      <c r="Y174" s="47"/>
      <c r="Z174" s="47"/>
      <c r="AA174" s="47"/>
      <c r="AB174" s="45">
        <f t="shared" si="4"/>
        <v>120</v>
      </c>
      <c r="AC174" s="37">
        <v>6</v>
      </c>
      <c r="AD174" s="92"/>
    </row>
    <row r="175" spans="2:32">
      <c r="B175" s="90">
        <v>50131</v>
      </c>
      <c r="C175" s="44" t="s">
        <v>32</v>
      </c>
      <c r="D175" s="47"/>
      <c r="E175" s="47"/>
      <c r="F175" s="47"/>
      <c r="G175" s="47"/>
      <c r="H175" s="47"/>
      <c r="I175" s="47"/>
      <c r="J175" s="47">
        <v>10</v>
      </c>
      <c r="K175" s="47">
        <v>10</v>
      </c>
      <c r="L175" s="47">
        <v>10</v>
      </c>
      <c r="M175" s="47">
        <v>10</v>
      </c>
      <c r="N175" s="47">
        <v>10</v>
      </c>
      <c r="O175" s="47">
        <v>10</v>
      </c>
      <c r="P175" s="47">
        <v>10</v>
      </c>
      <c r="Q175" s="47">
        <v>10</v>
      </c>
      <c r="R175" s="47">
        <v>10</v>
      </c>
      <c r="S175" s="47">
        <v>10</v>
      </c>
      <c r="T175" s="47">
        <v>10</v>
      </c>
      <c r="U175" s="47">
        <v>10</v>
      </c>
      <c r="V175" s="47"/>
      <c r="W175" s="47"/>
      <c r="X175" s="47"/>
      <c r="Y175" s="47"/>
      <c r="Z175" s="47"/>
      <c r="AA175" s="47"/>
      <c r="AB175" s="45">
        <f t="shared" si="4"/>
        <v>120</v>
      </c>
      <c r="AC175" s="37">
        <v>20</v>
      </c>
      <c r="AD175" s="92">
        <f>+AB175*AC175+AB176*AC176+AB177*AC177</f>
        <v>3600</v>
      </c>
    </row>
    <row r="176" spans="2:32">
      <c r="B176" s="90"/>
      <c r="C176" s="44" t="s">
        <v>33</v>
      </c>
      <c r="D176" s="47"/>
      <c r="E176" s="47"/>
      <c r="F176" s="47"/>
      <c r="G176" s="47"/>
      <c r="H176" s="47"/>
      <c r="I176" s="47"/>
      <c r="J176" s="47">
        <v>10</v>
      </c>
      <c r="K176" s="47">
        <v>10</v>
      </c>
      <c r="L176" s="47">
        <v>10</v>
      </c>
      <c r="M176" s="47">
        <v>10</v>
      </c>
      <c r="N176" s="47">
        <v>10</v>
      </c>
      <c r="O176" s="47">
        <v>10</v>
      </c>
      <c r="P176" s="47">
        <v>10</v>
      </c>
      <c r="Q176" s="47">
        <v>10</v>
      </c>
      <c r="R176" s="47">
        <v>10</v>
      </c>
      <c r="S176" s="47">
        <v>10</v>
      </c>
      <c r="T176" s="47">
        <v>10</v>
      </c>
      <c r="U176" s="47">
        <v>10</v>
      </c>
      <c r="V176" s="47"/>
      <c r="W176" s="47"/>
      <c r="X176" s="47"/>
      <c r="Y176" s="47"/>
      <c r="Z176" s="47"/>
      <c r="AA176" s="47"/>
      <c r="AB176" s="45">
        <f t="shared" si="4"/>
        <v>120</v>
      </c>
      <c r="AC176" s="37">
        <v>4</v>
      </c>
      <c r="AD176" s="92"/>
    </row>
    <row r="177" spans="2:30">
      <c r="B177" s="90"/>
      <c r="C177" s="44" t="s">
        <v>34</v>
      </c>
      <c r="D177" s="47"/>
      <c r="E177" s="47"/>
      <c r="F177" s="47"/>
      <c r="G177" s="47"/>
      <c r="H177" s="47"/>
      <c r="I177" s="47"/>
      <c r="J177" s="47">
        <v>10</v>
      </c>
      <c r="K177" s="47">
        <v>10</v>
      </c>
      <c r="L177" s="47">
        <v>10</v>
      </c>
      <c r="M177" s="47">
        <v>10</v>
      </c>
      <c r="N177" s="47">
        <v>10</v>
      </c>
      <c r="O177" s="47">
        <v>10</v>
      </c>
      <c r="P177" s="47">
        <v>10</v>
      </c>
      <c r="Q177" s="47">
        <v>10</v>
      </c>
      <c r="R177" s="47">
        <v>10</v>
      </c>
      <c r="S177" s="47">
        <v>10</v>
      </c>
      <c r="T177" s="47">
        <v>10</v>
      </c>
      <c r="U177" s="47">
        <v>10</v>
      </c>
      <c r="V177" s="47"/>
      <c r="W177" s="47"/>
      <c r="X177" s="47"/>
      <c r="Y177" s="47"/>
      <c r="Z177" s="47"/>
      <c r="AA177" s="47"/>
      <c r="AB177" s="45">
        <f t="shared" si="4"/>
        <v>120</v>
      </c>
      <c r="AC177" s="37">
        <v>6</v>
      </c>
      <c r="AD177" s="92"/>
    </row>
    <row r="178" spans="2:30">
      <c r="B178" s="90">
        <v>50161</v>
      </c>
      <c r="C178" s="44" t="s">
        <v>32</v>
      </c>
      <c r="D178" s="47"/>
      <c r="E178" s="47"/>
      <c r="F178" s="47"/>
      <c r="G178" s="47"/>
      <c r="H178" s="47"/>
      <c r="I178" s="47"/>
      <c r="J178" s="47">
        <v>10</v>
      </c>
      <c r="K178" s="47">
        <v>10</v>
      </c>
      <c r="L178" s="47">
        <v>10</v>
      </c>
      <c r="M178" s="47">
        <v>10</v>
      </c>
      <c r="N178" s="47">
        <v>10</v>
      </c>
      <c r="O178" s="47">
        <v>10</v>
      </c>
      <c r="P178" s="47">
        <v>10</v>
      </c>
      <c r="Q178" s="47">
        <v>10</v>
      </c>
      <c r="R178" s="47">
        <v>10</v>
      </c>
      <c r="S178" s="47">
        <v>10</v>
      </c>
      <c r="T178" s="47">
        <v>10</v>
      </c>
      <c r="U178" s="47">
        <v>10</v>
      </c>
      <c r="V178" s="47"/>
      <c r="W178" s="47"/>
      <c r="X178" s="47"/>
      <c r="Y178" s="47"/>
      <c r="Z178" s="47"/>
      <c r="AA178" s="47"/>
      <c r="AB178" s="45">
        <f t="shared" si="4"/>
        <v>120</v>
      </c>
      <c r="AC178" s="37">
        <v>19</v>
      </c>
      <c r="AD178" s="92">
        <f>+AB178*AC178+AB179*AC179+AB180*AC180</f>
        <v>3720</v>
      </c>
    </row>
    <row r="179" spans="2:30">
      <c r="B179" s="90"/>
      <c r="C179" s="44" t="s">
        <v>33</v>
      </c>
      <c r="D179" s="47"/>
      <c r="E179" s="47"/>
      <c r="F179" s="47"/>
      <c r="G179" s="47"/>
      <c r="H179" s="47"/>
      <c r="I179" s="47"/>
      <c r="J179" s="47">
        <v>10</v>
      </c>
      <c r="K179" s="47">
        <v>10</v>
      </c>
      <c r="L179" s="47">
        <v>10</v>
      </c>
      <c r="M179" s="47">
        <v>10</v>
      </c>
      <c r="N179" s="47">
        <v>10</v>
      </c>
      <c r="O179" s="47">
        <v>10</v>
      </c>
      <c r="P179" s="47">
        <v>10</v>
      </c>
      <c r="Q179" s="47">
        <v>10</v>
      </c>
      <c r="R179" s="47">
        <v>10</v>
      </c>
      <c r="S179" s="47">
        <v>10</v>
      </c>
      <c r="T179" s="47">
        <v>10</v>
      </c>
      <c r="U179" s="47">
        <v>10</v>
      </c>
      <c r="V179" s="47"/>
      <c r="W179" s="47"/>
      <c r="X179" s="47"/>
      <c r="Y179" s="47"/>
      <c r="Z179" s="47"/>
      <c r="AA179" s="47"/>
      <c r="AB179" s="45">
        <f t="shared" si="4"/>
        <v>120</v>
      </c>
      <c r="AC179" s="37">
        <v>5</v>
      </c>
      <c r="AD179" s="92"/>
    </row>
    <row r="180" spans="2:30">
      <c r="B180" s="90"/>
      <c r="C180" s="44" t="s">
        <v>34</v>
      </c>
      <c r="D180" s="47"/>
      <c r="E180" s="47"/>
      <c r="F180" s="47"/>
      <c r="G180" s="47"/>
      <c r="H180" s="47"/>
      <c r="I180" s="47"/>
      <c r="J180" s="47">
        <v>10</v>
      </c>
      <c r="K180" s="47">
        <v>10</v>
      </c>
      <c r="L180" s="47">
        <v>10</v>
      </c>
      <c r="M180" s="47">
        <v>10</v>
      </c>
      <c r="N180" s="47">
        <v>10</v>
      </c>
      <c r="O180" s="47">
        <v>10</v>
      </c>
      <c r="P180" s="47">
        <v>10</v>
      </c>
      <c r="Q180" s="47">
        <v>10</v>
      </c>
      <c r="R180" s="47">
        <v>10</v>
      </c>
      <c r="S180" s="47">
        <v>10</v>
      </c>
      <c r="T180" s="47">
        <v>10</v>
      </c>
      <c r="U180" s="47">
        <v>10</v>
      </c>
      <c r="V180" s="47"/>
      <c r="W180" s="47"/>
      <c r="X180" s="47"/>
      <c r="Y180" s="47"/>
      <c r="Z180" s="47"/>
      <c r="AA180" s="47"/>
      <c r="AB180" s="45">
        <f t="shared" si="4"/>
        <v>120</v>
      </c>
      <c r="AC180" s="37">
        <v>7</v>
      </c>
      <c r="AD180" s="92"/>
    </row>
    <row r="181" spans="2:30">
      <c r="B181" s="90">
        <v>50192</v>
      </c>
      <c r="C181" s="44" t="s">
        <v>32</v>
      </c>
      <c r="D181" s="47"/>
      <c r="E181" s="47"/>
      <c r="F181" s="47"/>
      <c r="G181" s="47"/>
      <c r="H181" s="47"/>
      <c r="I181" s="47"/>
      <c r="J181" s="47">
        <v>10</v>
      </c>
      <c r="K181" s="47">
        <v>10</v>
      </c>
      <c r="L181" s="47">
        <v>10</v>
      </c>
      <c r="M181" s="47">
        <v>10</v>
      </c>
      <c r="N181" s="47">
        <v>10</v>
      </c>
      <c r="O181" s="47">
        <v>10</v>
      </c>
      <c r="P181" s="47">
        <v>10</v>
      </c>
      <c r="Q181" s="47">
        <v>10</v>
      </c>
      <c r="R181" s="47">
        <v>10</v>
      </c>
      <c r="S181" s="47">
        <v>10</v>
      </c>
      <c r="T181" s="47">
        <v>10</v>
      </c>
      <c r="U181" s="47">
        <v>10</v>
      </c>
      <c r="V181" s="47"/>
      <c r="W181" s="47"/>
      <c r="X181" s="47"/>
      <c r="Y181" s="47"/>
      <c r="Z181" s="47"/>
      <c r="AA181" s="47"/>
      <c r="AB181" s="45">
        <f t="shared" si="4"/>
        <v>120</v>
      </c>
      <c r="AC181" s="37">
        <v>20</v>
      </c>
      <c r="AD181" s="92">
        <f>+AB181*AC181+AB182*AC182+AB183*AC183</f>
        <v>3600</v>
      </c>
    </row>
    <row r="182" spans="2:30">
      <c r="B182" s="90"/>
      <c r="C182" s="44" t="s">
        <v>33</v>
      </c>
      <c r="D182" s="47"/>
      <c r="E182" s="47"/>
      <c r="F182" s="47"/>
      <c r="G182" s="47"/>
      <c r="H182" s="47"/>
      <c r="I182" s="47"/>
      <c r="J182" s="47">
        <v>10</v>
      </c>
      <c r="K182" s="47">
        <v>10</v>
      </c>
      <c r="L182" s="47">
        <v>10</v>
      </c>
      <c r="M182" s="47">
        <v>10</v>
      </c>
      <c r="N182" s="47">
        <v>10</v>
      </c>
      <c r="O182" s="47">
        <v>10</v>
      </c>
      <c r="P182" s="47">
        <v>10</v>
      </c>
      <c r="Q182" s="47">
        <v>10</v>
      </c>
      <c r="R182" s="47">
        <v>10</v>
      </c>
      <c r="S182" s="47">
        <v>10</v>
      </c>
      <c r="T182" s="47">
        <v>10</v>
      </c>
      <c r="U182" s="47">
        <v>10</v>
      </c>
      <c r="V182" s="47"/>
      <c r="W182" s="47"/>
      <c r="X182" s="47"/>
      <c r="Y182" s="47"/>
      <c r="Z182" s="47"/>
      <c r="AA182" s="47"/>
      <c r="AB182" s="45">
        <f t="shared" si="4"/>
        <v>120</v>
      </c>
      <c r="AC182" s="37">
        <v>4</v>
      </c>
      <c r="AD182" s="92"/>
    </row>
    <row r="183" spans="2:30">
      <c r="B183" s="90"/>
      <c r="C183" s="44" t="s">
        <v>34</v>
      </c>
      <c r="D183" s="47"/>
      <c r="E183" s="47"/>
      <c r="F183" s="47"/>
      <c r="G183" s="47"/>
      <c r="H183" s="47"/>
      <c r="I183" s="47"/>
      <c r="J183" s="47">
        <v>10</v>
      </c>
      <c r="K183" s="47">
        <v>10</v>
      </c>
      <c r="L183" s="47">
        <v>10</v>
      </c>
      <c r="M183" s="47">
        <v>10</v>
      </c>
      <c r="N183" s="47">
        <v>10</v>
      </c>
      <c r="O183" s="47">
        <v>10</v>
      </c>
      <c r="P183" s="47">
        <v>10</v>
      </c>
      <c r="Q183" s="47">
        <v>10</v>
      </c>
      <c r="R183" s="47">
        <v>10</v>
      </c>
      <c r="S183" s="47">
        <v>10</v>
      </c>
      <c r="T183" s="47">
        <v>10</v>
      </c>
      <c r="U183" s="47">
        <v>10</v>
      </c>
      <c r="V183" s="47"/>
      <c r="W183" s="47"/>
      <c r="X183" s="47"/>
      <c r="Y183" s="47"/>
      <c r="Z183" s="47"/>
      <c r="AA183" s="47"/>
      <c r="AB183" s="45">
        <f t="shared" si="4"/>
        <v>120</v>
      </c>
      <c r="AC183" s="37">
        <v>6</v>
      </c>
      <c r="AD183" s="92"/>
    </row>
    <row r="184" spans="2:30">
      <c r="B184" s="90">
        <v>50222</v>
      </c>
      <c r="C184" s="44" t="s">
        <v>32</v>
      </c>
      <c r="D184" s="47"/>
      <c r="E184" s="47"/>
      <c r="F184" s="47"/>
      <c r="G184" s="47"/>
      <c r="H184" s="47"/>
      <c r="I184" s="47"/>
      <c r="J184" s="47">
        <v>10</v>
      </c>
      <c r="K184" s="47">
        <v>10</v>
      </c>
      <c r="L184" s="47">
        <v>10</v>
      </c>
      <c r="M184" s="47">
        <v>10</v>
      </c>
      <c r="N184" s="47">
        <v>10</v>
      </c>
      <c r="O184" s="47">
        <v>10</v>
      </c>
      <c r="P184" s="47">
        <v>10</v>
      </c>
      <c r="Q184" s="47">
        <v>10</v>
      </c>
      <c r="R184" s="47">
        <v>10</v>
      </c>
      <c r="S184" s="47">
        <v>10</v>
      </c>
      <c r="T184" s="47">
        <v>10</v>
      </c>
      <c r="U184" s="47">
        <v>10</v>
      </c>
      <c r="V184" s="47"/>
      <c r="W184" s="47"/>
      <c r="X184" s="47"/>
      <c r="Y184" s="47"/>
      <c r="Z184" s="47"/>
      <c r="AA184" s="47"/>
      <c r="AB184" s="45">
        <f t="shared" si="4"/>
        <v>120</v>
      </c>
      <c r="AC184" s="37">
        <v>22</v>
      </c>
      <c r="AD184" s="92">
        <f>+AB184*AC184+AB185*AC185+AB186*AC186</f>
        <v>3720</v>
      </c>
    </row>
    <row r="185" spans="2:30">
      <c r="B185" s="90"/>
      <c r="C185" s="44" t="s">
        <v>33</v>
      </c>
      <c r="D185" s="47"/>
      <c r="E185" s="47"/>
      <c r="F185" s="47"/>
      <c r="G185" s="47"/>
      <c r="H185" s="47"/>
      <c r="I185" s="47"/>
      <c r="J185" s="47">
        <v>10</v>
      </c>
      <c r="K185" s="47">
        <v>10</v>
      </c>
      <c r="L185" s="47">
        <v>10</v>
      </c>
      <c r="M185" s="47">
        <v>10</v>
      </c>
      <c r="N185" s="47">
        <v>10</v>
      </c>
      <c r="O185" s="47">
        <v>10</v>
      </c>
      <c r="P185" s="47">
        <v>10</v>
      </c>
      <c r="Q185" s="47">
        <v>10</v>
      </c>
      <c r="R185" s="47">
        <v>10</v>
      </c>
      <c r="S185" s="47">
        <v>10</v>
      </c>
      <c r="T185" s="47">
        <v>10</v>
      </c>
      <c r="U185" s="47">
        <v>10</v>
      </c>
      <c r="V185" s="47"/>
      <c r="W185" s="47"/>
      <c r="X185" s="47"/>
      <c r="Y185" s="47"/>
      <c r="Z185" s="47"/>
      <c r="AA185" s="47"/>
      <c r="AB185" s="45">
        <f t="shared" si="4"/>
        <v>120</v>
      </c>
      <c r="AC185" s="37">
        <v>4</v>
      </c>
      <c r="AD185" s="92"/>
    </row>
    <row r="186" spans="2:30">
      <c r="B186" s="90"/>
      <c r="C186" s="44" t="s">
        <v>34</v>
      </c>
      <c r="D186" s="47"/>
      <c r="E186" s="47"/>
      <c r="F186" s="47"/>
      <c r="G186" s="47"/>
      <c r="H186" s="47"/>
      <c r="I186" s="47"/>
      <c r="J186" s="47">
        <v>10</v>
      </c>
      <c r="K186" s="47">
        <v>10</v>
      </c>
      <c r="L186" s="47">
        <v>10</v>
      </c>
      <c r="M186" s="47">
        <v>10</v>
      </c>
      <c r="N186" s="47">
        <v>10</v>
      </c>
      <c r="O186" s="47">
        <v>10</v>
      </c>
      <c r="P186" s="47">
        <v>10</v>
      </c>
      <c r="Q186" s="47">
        <v>10</v>
      </c>
      <c r="R186" s="47">
        <v>10</v>
      </c>
      <c r="S186" s="47">
        <v>10</v>
      </c>
      <c r="T186" s="47">
        <v>10</v>
      </c>
      <c r="U186" s="47">
        <v>10</v>
      </c>
      <c r="V186" s="47"/>
      <c r="W186" s="47"/>
      <c r="X186" s="47"/>
      <c r="Y186" s="47"/>
      <c r="Z186" s="47"/>
      <c r="AA186" s="47"/>
      <c r="AB186" s="45">
        <f t="shared" si="4"/>
        <v>120</v>
      </c>
      <c r="AC186" s="37">
        <v>5</v>
      </c>
      <c r="AD186" s="92"/>
    </row>
    <row r="187" spans="2:30">
      <c r="B187" s="90">
        <v>50253</v>
      </c>
      <c r="C187" s="44" t="s">
        <v>32</v>
      </c>
      <c r="D187" s="47"/>
      <c r="E187" s="47"/>
      <c r="F187" s="47"/>
      <c r="G187" s="47"/>
      <c r="H187" s="47"/>
      <c r="I187" s="47"/>
      <c r="J187" s="47">
        <v>10</v>
      </c>
      <c r="K187" s="47">
        <v>10</v>
      </c>
      <c r="L187" s="47">
        <v>10</v>
      </c>
      <c r="M187" s="47">
        <v>10</v>
      </c>
      <c r="N187" s="47">
        <v>10</v>
      </c>
      <c r="O187" s="47">
        <v>10</v>
      </c>
      <c r="P187" s="47">
        <v>10</v>
      </c>
      <c r="Q187" s="47">
        <v>10</v>
      </c>
      <c r="R187" s="47">
        <v>10</v>
      </c>
      <c r="S187" s="47">
        <v>10</v>
      </c>
      <c r="T187" s="47">
        <v>10</v>
      </c>
      <c r="U187" s="47">
        <v>10</v>
      </c>
      <c r="V187" s="47"/>
      <c r="W187" s="47"/>
      <c r="X187" s="47"/>
      <c r="Y187" s="47"/>
      <c r="Z187" s="47"/>
      <c r="AA187" s="47"/>
      <c r="AB187" s="45">
        <f t="shared" si="4"/>
        <v>120</v>
      </c>
      <c r="AC187" s="37">
        <v>19</v>
      </c>
      <c r="AD187" s="92">
        <f>+AB187*AC187+AB188*AC188+AB189*AC189</f>
        <v>3720</v>
      </c>
    </row>
    <row r="188" spans="2:30">
      <c r="B188" s="90"/>
      <c r="C188" s="44" t="s">
        <v>33</v>
      </c>
      <c r="D188" s="47"/>
      <c r="E188" s="47"/>
      <c r="F188" s="47"/>
      <c r="G188" s="47"/>
      <c r="H188" s="47"/>
      <c r="I188" s="47"/>
      <c r="J188" s="47">
        <v>10</v>
      </c>
      <c r="K188" s="47">
        <v>10</v>
      </c>
      <c r="L188" s="47">
        <v>10</v>
      </c>
      <c r="M188" s="47">
        <v>10</v>
      </c>
      <c r="N188" s="47">
        <v>10</v>
      </c>
      <c r="O188" s="47">
        <v>10</v>
      </c>
      <c r="P188" s="47">
        <v>10</v>
      </c>
      <c r="Q188" s="47">
        <v>10</v>
      </c>
      <c r="R188" s="47">
        <v>10</v>
      </c>
      <c r="S188" s="47">
        <v>10</v>
      </c>
      <c r="T188" s="47">
        <v>10</v>
      </c>
      <c r="U188" s="47">
        <v>10</v>
      </c>
      <c r="V188" s="47"/>
      <c r="W188" s="47"/>
      <c r="X188" s="47"/>
      <c r="Y188" s="47"/>
      <c r="Z188" s="47"/>
      <c r="AA188" s="47"/>
      <c r="AB188" s="45">
        <f t="shared" si="4"/>
        <v>120</v>
      </c>
      <c r="AC188" s="37">
        <v>5</v>
      </c>
      <c r="AD188" s="92"/>
    </row>
    <row r="189" spans="2:30">
      <c r="B189" s="90"/>
      <c r="C189" s="44" t="s">
        <v>34</v>
      </c>
      <c r="D189" s="47"/>
      <c r="E189" s="47"/>
      <c r="F189" s="47"/>
      <c r="G189" s="47"/>
      <c r="H189" s="47"/>
      <c r="I189" s="47"/>
      <c r="J189" s="47">
        <v>10</v>
      </c>
      <c r="K189" s="47">
        <v>10</v>
      </c>
      <c r="L189" s="47">
        <v>10</v>
      </c>
      <c r="M189" s="47">
        <v>10</v>
      </c>
      <c r="N189" s="47">
        <v>10</v>
      </c>
      <c r="O189" s="47">
        <v>10</v>
      </c>
      <c r="P189" s="47">
        <v>10</v>
      </c>
      <c r="Q189" s="47">
        <v>10</v>
      </c>
      <c r="R189" s="47">
        <v>10</v>
      </c>
      <c r="S189" s="47">
        <v>10</v>
      </c>
      <c r="T189" s="47">
        <v>10</v>
      </c>
      <c r="U189" s="47">
        <v>10</v>
      </c>
      <c r="V189" s="47"/>
      <c r="W189" s="47"/>
      <c r="X189" s="47"/>
      <c r="Y189" s="47"/>
      <c r="Z189" s="47"/>
      <c r="AA189" s="47"/>
      <c r="AB189" s="45">
        <f t="shared" si="4"/>
        <v>120</v>
      </c>
      <c r="AC189" s="37">
        <v>7</v>
      </c>
      <c r="AD189" s="92"/>
    </row>
    <row r="190" spans="2:30">
      <c r="B190" s="90">
        <v>50284</v>
      </c>
      <c r="C190" s="44" t="s">
        <v>32</v>
      </c>
      <c r="D190" s="47"/>
      <c r="E190" s="47"/>
      <c r="F190" s="47"/>
      <c r="G190" s="47"/>
      <c r="H190" s="47"/>
      <c r="I190" s="47"/>
      <c r="J190" s="47">
        <v>10</v>
      </c>
      <c r="K190" s="47">
        <v>10</v>
      </c>
      <c r="L190" s="47">
        <v>10</v>
      </c>
      <c r="M190" s="47">
        <v>10</v>
      </c>
      <c r="N190" s="47">
        <v>10</v>
      </c>
      <c r="O190" s="47">
        <v>10</v>
      </c>
      <c r="P190" s="47">
        <v>10</v>
      </c>
      <c r="Q190" s="47">
        <v>10</v>
      </c>
      <c r="R190" s="47">
        <v>10</v>
      </c>
      <c r="S190" s="47">
        <v>10</v>
      </c>
      <c r="T190" s="47">
        <v>10</v>
      </c>
      <c r="U190" s="47">
        <v>10</v>
      </c>
      <c r="V190" s="47"/>
      <c r="W190" s="47"/>
      <c r="X190" s="47"/>
      <c r="Y190" s="47"/>
      <c r="Z190" s="47"/>
      <c r="AA190" s="47"/>
      <c r="AB190" s="45">
        <f t="shared" si="4"/>
        <v>120</v>
      </c>
      <c r="AC190" s="37">
        <v>22</v>
      </c>
      <c r="AD190" s="92">
        <f>+AB190*AC190+AB191*AC191+AB192*AC192</f>
        <v>3600</v>
      </c>
    </row>
    <row r="191" spans="2:30">
      <c r="B191" s="90"/>
      <c r="C191" s="44" t="s">
        <v>33</v>
      </c>
      <c r="D191" s="47"/>
      <c r="E191" s="47"/>
      <c r="F191" s="47"/>
      <c r="G191" s="47"/>
      <c r="H191" s="47"/>
      <c r="I191" s="47"/>
      <c r="J191" s="47">
        <v>10</v>
      </c>
      <c r="K191" s="47">
        <v>10</v>
      </c>
      <c r="L191" s="47">
        <v>10</v>
      </c>
      <c r="M191" s="47">
        <v>10</v>
      </c>
      <c r="N191" s="47">
        <v>10</v>
      </c>
      <c r="O191" s="47">
        <v>10</v>
      </c>
      <c r="P191" s="47">
        <v>10</v>
      </c>
      <c r="Q191" s="47">
        <v>10</v>
      </c>
      <c r="R191" s="47">
        <v>10</v>
      </c>
      <c r="S191" s="47">
        <v>10</v>
      </c>
      <c r="T191" s="47">
        <v>10</v>
      </c>
      <c r="U191" s="47">
        <v>10</v>
      </c>
      <c r="V191" s="47"/>
      <c r="W191" s="47"/>
      <c r="X191" s="47"/>
      <c r="Y191" s="47"/>
      <c r="Z191" s="47"/>
      <c r="AA191" s="47"/>
      <c r="AB191" s="45">
        <f t="shared" si="4"/>
        <v>120</v>
      </c>
      <c r="AC191" s="37">
        <v>4</v>
      </c>
      <c r="AD191" s="92"/>
    </row>
    <row r="192" spans="2:30">
      <c r="B192" s="90"/>
      <c r="C192" s="44" t="s">
        <v>34</v>
      </c>
      <c r="D192" s="47"/>
      <c r="E192" s="47"/>
      <c r="F192" s="47"/>
      <c r="G192" s="47"/>
      <c r="H192" s="47"/>
      <c r="I192" s="47"/>
      <c r="J192" s="47">
        <v>10</v>
      </c>
      <c r="K192" s="47">
        <v>10</v>
      </c>
      <c r="L192" s="47">
        <v>10</v>
      </c>
      <c r="M192" s="47">
        <v>10</v>
      </c>
      <c r="N192" s="47">
        <v>10</v>
      </c>
      <c r="O192" s="47">
        <v>10</v>
      </c>
      <c r="P192" s="47">
        <v>10</v>
      </c>
      <c r="Q192" s="47">
        <v>10</v>
      </c>
      <c r="R192" s="47">
        <v>10</v>
      </c>
      <c r="S192" s="47">
        <v>10</v>
      </c>
      <c r="T192" s="47">
        <v>10</v>
      </c>
      <c r="U192" s="47">
        <v>10</v>
      </c>
      <c r="V192" s="47"/>
      <c r="W192" s="47"/>
      <c r="X192" s="47"/>
      <c r="Y192" s="47"/>
      <c r="Z192" s="47"/>
      <c r="AA192" s="47"/>
      <c r="AB192" s="45">
        <f t="shared" si="4"/>
        <v>120</v>
      </c>
      <c r="AC192" s="37">
        <v>4</v>
      </c>
      <c r="AD192" s="92"/>
    </row>
    <row r="193" spans="2:30">
      <c r="B193" s="90">
        <v>50314</v>
      </c>
      <c r="C193" s="44" t="s">
        <v>32</v>
      </c>
      <c r="D193" s="47"/>
      <c r="E193" s="47"/>
      <c r="F193" s="47"/>
      <c r="G193" s="47"/>
      <c r="H193" s="47"/>
      <c r="I193" s="47"/>
      <c r="J193" s="47">
        <v>10</v>
      </c>
      <c r="K193" s="47">
        <v>10</v>
      </c>
      <c r="L193" s="47">
        <v>10</v>
      </c>
      <c r="M193" s="47">
        <v>10</v>
      </c>
      <c r="N193" s="47">
        <v>10</v>
      </c>
      <c r="O193" s="47">
        <v>10</v>
      </c>
      <c r="P193" s="47">
        <v>10</v>
      </c>
      <c r="Q193" s="47">
        <v>10</v>
      </c>
      <c r="R193" s="47">
        <v>10</v>
      </c>
      <c r="S193" s="47">
        <v>10</v>
      </c>
      <c r="T193" s="47">
        <v>10</v>
      </c>
      <c r="U193" s="47">
        <v>10</v>
      </c>
      <c r="V193" s="47"/>
      <c r="W193" s="47"/>
      <c r="X193" s="47"/>
      <c r="Y193" s="47"/>
      <c r="Z193" s="47"/>
      <c r="AA193" s="47"/>
      <c r="AB193" s="45">
        <f t="shared" si="4"/>
        <v>120</v>
      </c>
      <c r="AC193" s="37">
        <v>21</v>
      </c>
      <c r="AD193" s="92">
        <f>+AB193*AC193+AB194*AC194+AB195*AC195</f>
        <v>3720</v>
      </c>
    </row>
    <row r="194" spans="2:30">
      <c r="B194" s="90"/>
      <c r="C194" s="44" t="s">
        <v>33</v>
      </c>
      <c r="D194" s="47"/>
      <c r="E194" s="47"/>
      <c r="F194" s="47"/>
      <c r="G194" s="47"/>
      <c r="H194" s="47"/>
      <c r="I194" s="47"/>
      <c r="J194" s="47">
        <v>10</v>
      </c>
      <c r="K194" s="47">
        <v>10</v>
      </c>
      <c r="L194" s="47">
        <v>10</v>
      </c>
      <c r="M194" s="47">
        <v>10</v>
      </c>
      <c r="N194" s="47">
        <v>10</v>
      </c>
      <c r="O194" s="47">
        <v>10</v>
      </c>
      <c r="P194" s="47">
        <v>10</v>
      </c>
      <c r="Q194" s="47">
        <v>10</v>
      </c>
      <c r="R194" s="47">
        <v>10</v>
      </c>
      <c r="S194" s="47">
        <v>10</v>
      </c>
      <c r="T194" s="47">
        <v>10</v>
      </c>
      <c r="U194" s="47">
        <v>10</v>
      </c>
      <c r="V194" s="47"/>
      <c r="W194" s="47"/>
      <c r="X194" s="47"/>
      <c r="Y194" s="47"/>
      <c r="Z194" s="47"/>
      <c r="AA194" s="47"/>
      <c r="AB194" s="45">
        <f t="shared" si="4"/>
        <v>120</v>
      </c>
      <c r="AC194" s="37">
        <v>5</v>
      </c>
      <c r="AD194" s="92"/>
    </row>
    <row r="195" spans="2:30">
      <c r="B195" s="90"/>
      <c r="C195" s="44" t="s">
        <v>34</v>
      </c>
      <c r="D195" s="47"/>
      <c r="E195" s="47"/>
      <c r="F195" s="47"/>
      <c r="G195" s="47"/>
      <c r="H195" s="47"/>
      <c r="I195" s="47"/>
      <c r="J195" s="47">
        <v>10</v>
      </c>
      <c r="K195" s="47">
        <v>10</v>
      </c>
      <c r="L195" s="47">
        <v>10</v>
      </c>
      <c r="M195" s="47">
        <v>10</v>
      </c>
      <c r="N195" s="47">
        <v>10</v>
      </c>
      <c r="O195" s="47">
        <v>10</v>
      </c>
      <c r="P195" s="47">
        <v>10</v>
      </c>
      <c r="Q195" s="47">
        <v>10</v>
      </c>
      <c r="R195" s="47">
        <v>10</v>
      </c>
      <c r="S195" s="47">
        <v>10</v>
      </c>
      <c r="T195" s="47">
        <v>10</v>
      </c>
      <c r="U195" s="47">
        <v>10</v>
      </c>
      <c r="V195" s="47"/>
      <c r="W195" s="47"/>
      <c r="X195" s="47"/>
      <c r="Y195" s="47"/>
      <c r="Z195" s="47"/>
      <c r="AA195" s="47"/>
      <c r="AB195" s="45">
        <f t="shared" si="4"/>
        <v>120</v>
      </c>
      <c r="AC195" s="37">
        <v>5</v>
      </c>
      <c r="AD195" s="92"/>
    </row>
    <row r="196" spans="2:30">
      <c r="B196" s="90">
        <v>50345</v>
      </c>
      <c r="C196" s="44" t="s">
        <v>32</v>
      </c>
      <c r="D196" s="47"/>
      <c r="E196" s="47"/>
      <c r="F196" s="47"/>
      <c r="G196" s="47"/>
      <c r="H196" s="47"/>
      <c r="I196" s="47"/>
      <c r="J196" s="47">
        <v>10</v>
      </c>
      <c r="K196" s="47">
        <v>10</v>
      </c>
      <c r="L196" s="47">
        <v>10</v>
      </c>
      <c r="M196" s="47">
        <v>10</v>
      </c>
      <c r="N196" s="47">
        <v>10</v>
      </c>
      <c r="O196" s="47">
        <v>10</v>
      </c>
      <c r="P196" s="47">
        <v>10</v>
      </c>
      <c r="Q196" s="47">
        <v>10</v>
      </c>
      <c r="R196" s="47">
        <v>10</v>
      </c>
      <c r="S196" s="47">
        <v>10</v>
      </c>
      <c r="T196" s="47">
        <v>10</v>
      </c>
      <c r="U196" s="47">
        <v>10</v>
      </c>
      <c r="V196" s="47"/>
      <c r="W196" s="47"/>
      <c r="X196" s="47"/>
      <c r="Y196" s="47"/>
      <c r="Z196" s="47"/>
      <c r="AA196" s="47"/>
      <c r="AB196" s="45">
        <f t="shared" si="4"/>
        <v>120</v>
      </c>
      <c r="AC196" s="37">
        <v>19</v>
      </c>
      <c r="AD196" s="92">
        <f>+AB196*AC196+AB197*AC197+AB198*AC198</f>
        <v>3600</v>
      </c>
    </row>
    <row r="197" spans="2:30">
      <c r="B197" s="90"/>
      <c r="C197" s="44" t="s">
        <v>33</v>
      </c>
      <c r="D197" s="47"/>
      <c r="E197" s="47"/>
      <c r="F197" s="47"/>
      <c r="G197" s="47"/>
      <c r="H197" s="47"/>
      <c r="I197" s="47"/>
      <c r="J197" s="47">
        <v>10</v>
      </c>
      <c r="K197" s="47">
        <v>10</v>
      </c>
      <c r="L197" s="47">
        <v>10</v>
      </c>
      <c r="M197" s="47">
        <v>10</v>
      </c>
      <c r="N197" s="47">
        <v>10</v>
      </c>
      <c r="O197" s="47">
        <v>10</v>
      </c>
      <c r="P197" s="47">
        <v>10</v>
      </c>
      <c r="Q197" s="47">
        <v>10</v>
      </c>
      <c r="R197" s="47">
        <v>10</v>
      </c>
      <c r="S197" s="47">
        <v>10</v>
      </c>
      <c r="T197" s="47">
        <v>10</v>
      </c>
      <c r="U197" s="47">
        <v>10</v>
      </c>
      <c r="V197" s="47"/>
      <c r="W197" s="47"/>
      <c r="X197" s="47"/>
      <c r="Y197" s="47"/>
      <c r="Z197" s="47"/>
      <c r="AA197" s="47"/>
      <c r="AB197" s="45">
        <f t="shared" si="4"/>
        <v>120</v>
      </c>
      <c r="AC197" s="37">
        <v>4</v>
      </c>
      <c r="AD197" s="92"/>
    </row>
    <row r="198" spans="2:30">
      <c r="B198" s="90"/>
      <c r="C198" s="44" t="s">
        <v>34</v>
      </c>
      <c r="D198" s="47"/>
      <c r="E198" s="47"/>
      <c r="F198" s="47"/>
      <c r="G198" s="47"/>
      <c r="H198" s="47"/>
      <c r="I198" s="47"/>
      <c r="J198" s="47">
        <v>10</v>
      </c>
      <c r="K198" s="47">
        <v>10</v>
      </c>
      <c r="L198" s="47">
        <v>10</v>
      </c>
      <c r="M198" s="47">
        <v>10</v>
      </c>
      <c r="N198" s="47">
        <v>10</v>
      </c>
      <c r="O198" s="47">
        <v>10</v>
      </c>
      <c r="P198" s="47">
        <v>10</v>
      </c>
      <c r="Q198" s="47">
        <v>10</v>
      </c>
      <c r="R198" s="47">
        <v>10</v>
      </c>
      <c r="S198" s="47">
        <v>10</v>
      </c>
      <c r="T198" s="47">
        <v>10</v>
      </c>
      <c r="U198" s="47">
        <v>10</v>
      </c>
      <c r="V198" s="47"/>
      <c r="W198" s="47"/>
      <c r="X198" s="47"/>
      <c r="Y198" s="47"/>
      <c r="Z198" s="47"/>
      <c r="AA198" s="47"/>
      <c r="AB198" s="45">
        <f t="shared" si="4"/>
        <v>120</v>
      </c>
      <c r="AC198" s="37">
        <v>7</v>
      </c>
      <c r="AD198" s="92"/>
    </row>
    <row r="199" spans="2:30">
      <c r="B199" s="90">
        <v>50375</v>
      </c>
      <c r="C199" s="44" t="s">
        <v>32</v>
      </c>
      <c r="D199" s="47"/>
      <c r="E199" s="47"/>
      <c r="F199" s="47"/>
      <c r="G199" s="47"/>
      <c r="H199" s="47"/>
      <c r="I199" s="47"/>
      <c r="J199" s="47">
        <v>10</v>
      </c>
      <c r="K199" s="47">
        <v>10</v>
      </c>
      <c r="L199" s="47">
        <v>10</v>
      </c>
      <c r="M199" s="47">
        <v>10</v>
      </c>
      <c r="N199" s="47">
        <v>10</v>
      </c>
      <c r="O199" s="47">
        <v>10</v>
      </c>
      <c r="P199" s="47">
        <v>10</v>
      </c>
      <c r="Q199" s="47">
        <v>10</v>
      </c>
      <c r="R199" s="47">
        <v>10</v>
      </c>
      <c r="S199" s="47">
        <v>10</v>
      </c>
      <c r="T199" s="47">
        <v>10</v>
      </c>
      <c r="U199" s="47">
        <v>10</v>
      </c>
      <c r="V199" s="47"/>
      <c r="W199" s="47"/>
      <c r="X199" s="47"/>
      <c r="Y199" s="47"/>
      <c r="Z199" s="47"/>
      <c r="AA199" s="47"/>
      <c r="AB199" s="45">
        <f t="shared" si="4"/>
        <v>120</v>
      </c>
      <c r="AC199" s="37">
        <v>21</v>
      </c>
      <c r="AD199" s="92">
        <f>+AB199*AC199+AB200*AC200+AB201*AC201</f>
        <v>3720</v>
      </c>
    </row>
    <row r="200" spans="2:30">
      <c r="B200" s="90"/>
      <c r="C200" s="44" t="s">
        <v>33</v>
      </c>
      <c r="D200" s="47"/>
      <c r="E200" s="47"/>
      <c r="F200" s="47"/>
      <c r="G200" s="47"/>
      <c r="H200" s="47"/>
      <c r="I200" s="47"/>
      <c r="J200" s="47">
        <v>10</v>
      </c>
      <c r="K200" s="47">
        <v>10</v>
      </c>
      <c r="L200" s="47">
        <v>10</v>
      </c>
      <c r="M200" s="47">
        <v>10</v>
      </c>
      <c r="N200" s="47">
        <v>10</v>
      </c>
      <c r="O200" s="47">
        <v>10</v>
      </c>
      <c r="P200" s="47">
        <v>10</v>
      </c>
      <c r="Q200" s="47">
        <v>10</v>
      </c>
      <c r="R200" s="47">
        <v>10</v>
      </c>
      <c r="S200" s="47">
        <v>10</v>
      </c>
      <c r="T200" s="47">
        <v>10</v>
      </c>
      <c r="U200" s="47">
        <v>10</v>
      </c>
      <c r="V200" s="47"/>
      <c r="W200" s="47"/>
      <c r="X200" s="47"/>
      <c r="Y200" s="47"/>
      <c r="Z200" s="47"/>
      <c r="AA200" s="47"/>
      <c r="AB200" s="45">
        <f t="shared" si="4"/>
        <v>120</v>
      </c>
      <c r="AC200" s="37">
        <v>4</v>
      </c>
      <c r="AD200" s="92"/>
    </row>
    <row r="201" spans="2:30">
      <c r="B201" s="90"/>
      <c r="C201" s="44" t="s">
        <v>34</v>
      </c>
      <c r="D201" s="47"/>
      <c r="E201" s="47"/>
      <c r="F201" s="47"/>
      <c r="G201" s="47"/>
      <c r="H201" s="47"/>
      <c r="I201" s="47"/>
      <c r="J201" s="47">
        <v>10</v>
      </c>
      <c r="K201" s="47">
        <v>10</v>
      </c>
      <c r="L201" s="47">
        <v>10</v>
      </c>
      <c r="M201" s="47">
        <v>10</v>
      </c>
      <c r="N201" s="47">
        <v>10</v>
      </c>
      <c r="O201" s="47">
        <v>10</v>
      </c>
      <c r="P201" s="47">
        <v>10</v>
      </c>
      <c r="Q201" s="47">
        <v>10</v>
      </c>
      <c r="R201" s="47">
        <v>10</v>
      </c>
      <c r="S201" s="47">
        <v>10</v>
      </c>
      <c r="T201" s="47">
        <v>10</v>
      </c>
      <c r="U201" s="47">
        <v>10</v>
      </c>
      <c r="V201" s="47"/>
      <c r="W201" s="47"/>
      <c r="X201" s="47"/>
      <c r="Y201" s="47"/>
      <c r="Z201" s="47"/>
      <c r="AA201" s="47"/>
      <c r="AB201" s="45">
        <f t="shared" si="4"/>
        <v>120</v>
      </c>
      <c r="AC201" s="37">
        <v>6</v>
      </c>
      <c r="AD201" s="92"/>
    </row>
    <row r="202" spans="2:30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86" t="s">
        <v>35</v>
      </c>
      <c r="AB202" s="87"/>
      <c r="AC202" s="88"/>
      <c r="AD202" s="39">
        <f>SUM(AD166:AD201)</f>
        <v>43800</v>
      </c>
    </row>
  </sheetData>
  <mergeCells count="125">
    <mergeCell ref="AD187:AD189"/>
    <mergeCell ref="AD190:AD192"/>
    <mergeCell ref="AD193:AD195"/>
    <mergeCell ref="AD196:AD198"/>
    <mergeCell ref="AD199:AD201"/>
    <mergeCell ref="AD156:AD158"/>
    <mergeCell ref="AD159:AD161"/>
    <mergeCell ref="AD166:AD168"/>
    <mergeCell ref="AD169:AD171"/>
    <mergeCell ref="AD172:AD174"/>
    <mergeCell ref="AD175:AD177"/>
    <mergeCell ref="AD178:AD180"/>
    <mergeCell ref="AD181:AD183"/>
    <mergeCell ref="AD184:AD186"/>
    <mergeCell ref="AD129:AD131"/>
    <mergeCell ref="AD132:AD134"/>
    <mergeCell ref="AD135:AD137"/>
    <mergeCell ref="AD138:AD140"/>
    <mergeCell ref="AD141:AD143"/>
    <mergeCell ref="AD144:AD146"/>
    <mergeCell ref="AD147:AD149"/>
    <mergeCell ref="AD150:AD152"/>
    <mergeCell ref="AD153:AD155"/>
    <mergeCell ref="AD98:AD100"/>
    <mergeCell ref="AD101:AD103"/>
    <mergeCell ref="AD104:AD106"/>
    <mergeCell ref="AD107:AD109"/>
    <mergeCell ref="AD110:AD112"/>
    <mergeCell ref="AD113:AD115"/>
    <mergeCell ref="AD116:AD118"/>
    <mergeCell ref="AD119:AD121"/>
    <mergeCell ref="AD126:AD128"/>
    <mergeCell ref="AD67:AD69"/>
    <mergeCell ref="AD70:AD72"/>
    <mergeCell ref="AD73:AD75"/>
    <mergeCell ref="AD76:AD78"/>
    <mergeCell ref="AD79:AD81"/>
    <mergeCell ref="AD86:AD88"/>
    <mergeCell ref="AD89:AD91"/>
    <mergeCell ref="AD92:AD94"/>
    <mergeCell ref="AD95:AD97"/>
    <mergeCell ref="B187:B189"/>
    <mergeCell ref="B190:B192"/>
    <mergeCell ref="B193:B195"/>
    <mergeCell ref="B196:B198"/>
    <mergeCell ref="B199:B201"/>
    <mergeCell ref="AD6:AD8"/>
    <mergeCell ref="AD9:AD11"/>
    <mergeCell ref="AD12:AD14"/>
    <mergeCell ref="AD15:AD17"/>
    <mergeCell ref="AD18:AD20"/>
    <mergeCell ref="AD21:AD23"/>
    <mergeCell ref="AD24:AD26"/>
    <mergeCell ref="AD27:AD29"/>
    <mergeCell ref="AD30:AD32"/>
    <mergeCell ref="AD33:AD35"/>
    <mergeCell ref="AD36:AD38"/>
    <mergeCell ref="AD39:AD41"/>
    <mergeCell ref="AD46:AD48"/>
    <mergeCell ref="AD49:AD51"/>
    <mergeCell ref="AD52:AD54"/>
    <mergeCell ref="AD55:AD57"/>
    <mergeCell ref="AD58:AD60"/>
    <mergeCell ref="AD61:AD63"/>
    <mergeCell ref="AD64:AD66"/>
    <mergeCell ref="B156:B158"/>
    <mergeCell ref="B159:B161"/>
    <mergeCell ref="B166:B168"/>
    <mergeCell ref="B169:B171"/>
    <mergeCell ref="B172:B174"/>
    <mergeCell ref="B175:B177"/>
    <mergeCell ref="B178:B180"/>
    <mergeCell ref="B181:B183"/>
    <mergeCell ref="B184:B186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6:B128"/>
    <mergeCell ref="B67:B69"/>
    <mergeCell ref="B70:B72"/>
    <mergeCell ref="B73:B75"/>
    <mergeCell ref="B76:B78"/>
    <mergeCell ref="B79:B81"/>
    <mergeCell ref="B86:B88"/>
    <mergeCell ref="B89:B91"/>
    <mergeCell ref="B92:B94"/>
    <mergeCell ref="B95:B97"/>
    <mergeCell ref="AA42:AC42"/>
    <mergeCell ref="AA82:AC82"/>
    <mergeCell ref="AA122:AC122"/>
    <mergeCell ref="AA162:AC162"/>
    <mergeCell ref="AA202:AC202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6:B48"/>
    <mergeCell ref="B49:B51"/>
    <mergeCell ref="B52:B54"/>
    <mergeCell ref="B55:B57"/>
    <mergeCell ref="B58:B60"/>
    <mergeCell ref="B61:B63"/>
    <mergeCell ref="B64:B66"/>
  </mergeCells>
  <conditionalFormatting sqref="D6:AA41">
    <cfRule type="cellIs" dxfId="29" priority="5" operator="lessThan">
      <formula>0</formula>
    </cfRule>
  </conditionalFormatting>
  <conditionalFormatting sqref="D46:AA81">
    <cfRule type="cellIs" dxfId="28" priority="4" operator="lessThan">
      <formula>0</formula>
    </cfRule>
  </conditionalFormatting>
  <conditionalFormatting sqref="D86:AA121">
    <cfRule type="cellIs" dxfId="27" priority="3" operator="lessThan">
      <formula>0</formula>
    </cfRule>
  </conditionalFormatting>
  <conditionalFormatting sqref="D126:AA161">
    <cfRule type="cellIs" dxfId="26" priority="2" operator="lessThan">
      <formula>0</formula>
    </cfRule>
  </conditionalFormatting>
  <conditionalFormatting sqref="D166:AA201">
    <cfRule type="cellIs" dxfId="25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5117038483843"/>
  </sheetPr>
  <dimension ref="B2:N27"/>
  <sheetViews>
    <sheetView showGridLines="0" zoomScale="80" zoomScaleNormal="80" workbookViewId="0"/>
  </sheetViews>
  <sheetFormatPr baseColWidth="10" defaultColWidth="10.88671875" defaultRowHeight="15"/>
  <cols>
    <col min="1" max="2" width="10.88671875" style="1"/>
    <col min="3" max="3" width="3" style="1" customWidth="1"/>
    <col min="4" max="5" width="12.21875" style="1" customWidth="1"/>
    <col min="6" max="6" width="13.21875" style="1" customWidth="1"/>
    <col min="7" max="7" width="12.5546875" style="1" customWidth="1"/>
    <col min="8" max="8" width="8.21875" style="1" customWidth="1"/>
    <col min="9" max="16384" width="10.88671875" style="1"/>
  </cols>
  <sheetData>
    <row r="2" spans="2:9" ht="18">
      <c r="B2" s="2"/>
      <c r="C2" s="3"/>
      <c r="D2" s="4" t="s">
        <v>46</v>
      </c>
      <c r="E2" s="3"/>
      <c r="F2" s="3"/>
      <c r="G2" s="3"/>
      <c r="H2" s="3"/>
      <c r="I2" s="5"/>
    </row>
    <row r="3" spans="2:9" ht="18">
      <c r="B3" s="6"/>
      <c r="D3" s="7" t="s">
        <v>47</v>
      </c>
      <c r="I3" s="8"/>
    </row>
    <row r="4" spans="2:9" ht="18">
      <c r="B4" s="6"/>
      <c r="D4" s="7" t="s">
        <v>48</v>
      </c>
      <c r="I4" s="8"/>
    </row>
    <row r="5" spans="2:9" ht="18">
      <c r="B5" s="6"/>
      <c r="D5" s="7"/>
      <c r="I5" s="8"/>
    </row>
    <row r="6" spans="2:9" ht="18">
      <c r="B6" s="6"/>
      <c r="D6" s="7" t="s">
        <v>49</v>
      </c>
      <c r="I6" s="8"/>
    </row>
    <row r="7" spans="2:9">
      <c r="B7" s="6"/>
      <c r="I7" s="8"/>
    </row>
    <row r="8" spans="2:9" ht="18">
      <c r="B8" s="6"/>
      <c r="D8" s="9" t="s">
        <v>68</v>
      </c>
      <c r="I8" s="8"/>
    </row>
    <row r="9" spans="2:9">
      <c r="B9" s="6"/>
      <c r="I9" s="8"/>
    </row>
    <row r="10" spans="2:9" ht="15.75">
      <c r="B10" s="6"/>
      <c r="D10" s="10"/>
      <c r="I10" s="11"/>
    </row>
    <row r="11" spans="2:9" ht="45">
      <c r="B11" s="12"/>
      <c r="C11"/>
      <c r="D11" s="13" t="s">
        <v>50</v>
      </c>
      <c r="E11" s="13" t="s">
        <v>51</v>
      </c>
      <c r="F11" s="13" t="s">
        <v>52</v>
      </c>
      <c r="G11" s="14" t="s">
        <v>53</v>
      </c>
      <c r="H11" s="15"/>
      <c r="I11" s="11"/>
    </row>
    <row r="12" spans="2:9" ht="15.75">
      <c r="B12" s="12"/>
      <c r="C12"/>
      <c r="D12" s="16">
        <v>2033</v>
      </c>
      <c r="E12" s="17">
        <f>'P3_ANEXO 1 -2033 a 2037'!AD42</f>
        <v>43186.8</v>
      </c>
      <c r="F12" s="85"/>
      <c r="G12" s="18"/>
      <c r="H12" s="19"/>
      <c r="I12" s="11"/>
    </row>
    <row r="13" spans="2:9" ht="15.75">
      <c r="B13" s="12"/>
      <c r="C13"/>
      <c r="D13" s="16">
        <v>2034</v>
      </c>
      <c r="E13" s="17">
        <f>'P3_ANEXO 1 -2033 a 2037'!AD82</f>
        <v>43800</v>
      </c>
      <c r="F13" s="85"/>
      <c r="G13" s="18"/>
      <c r="H13" s="20"/>
      <c r="I13" s="11"/>
    </row>
    <row r="14" spans="2:9" ht="15.75">
      <c r="B14" s="12"/>
      <c r="C14"/>
      <c r="D14" s="16">
        <v>2035</v>
      </c>
      <c r="E14" s="17">
        <f>'P3_ANEXO 1 -2033 a 2037'!AD122</f>
        <v>43800</v>
      </c>
      <c r="F14" s="85"/>
      <c r="G14" s="18"/>
      <c r="H14" s="20"/>
      <c r="I14" s="11"/>
    </row>
    <row r="15" spans="2:9" ht="15.75">
      <c r="B15" s="12"/>
      <c r="C15"/>
      <c r="D15" s="16">
        <v>2036</v>
      </c>
      <c r="E15" s="17">
        <f>'P3_ANEXO 1 -2033 a 2037'!AD162</f>
        <v>43920</v>
      </c>
      <c r="F15" s="85"/>
      <c r="G15" s="18"/>
      <c r="H15" s="20"/>
      <c r="I15" s="11"/>
    </row>
    <row r="16" spans="2:9" ht="15.75">
      <c r="B16" s="12"/>
      <c r="C16"/>
      <c r="D16" s="16">
        <v>2037</v>
      </c>
      <c r="E16" s="17">
        <f>'P3_ANEXO 1 -2033 a 2037'!AD202</f>
        <v>43800</v>
      </c>
      <c r="F16" s="85"/>
      <c r="G16" s="18"/>
      <c r="H16" s="20"/>
      <c r="I16" s="11"/>
    </row>
    <row r="17" spans="2:14" ht="15.75">
      <c r="B17" s="12"/>
      <c r="C17"/>
      <c r="D17" s="21" t="s">
        <v>54</v>
      </c>
      <c r="E17" s="22">
        <f>SUM(E12:E16)</f>
        <v>218506.8</v>
      </c>
      <c r="I17" s="11"/>
    </row>
    <row r="18" spans="2:14" ht="15.75">
      <c r="B18" s="6"/>
      <c r="I18" s="11"/>
    </row>
    <row r="19" spans="2:14">
      <c r="B19" s="6"/>
      <c r="I19" s="8"/>
    </row>
    <row r="20" spans="2:14" ht="15.75">
      <c r="B20" s="6"/>
      <c r="C20" s="23" t="s">
        <v>55</v>
      </c>
      <c r="D20"/>
      <c r="I20" s="8"/>
      <c r="N20" s="25"/>
    </row>
    <row r="21" spans="2:14" ht="32.450000000000003" customHeight="1">
      <c r="B21" s="6"/>
      <c r="C21" s="26">
        <v>1</v>
      </c>
      <c r="D21" s="84" t="s">
        <v>66</v>
      </c>
      <c r="E21" s="84"/>
      <c r="F21" s="84"/>
      <c r="G21" s="84"/>
      <c r="H21" s="84"/>
      <c r="I21" s="8"/>
    </row>
    <row r="22" spans="2:14">
      <c r="B22" s="6"/>
      <c r="C22" s="26">
        <v>2</v>
      </c>
      <c r="D22" s="84" t="s">
        <v>67</v>
      </c>
      <c r="E22" s="84"/>
      <c r="F22" s="84"/>
      <c r="G22" s="84"/>
      <c r="H22" s="84"/>
      <c r="I22" s="8"/>
    </row>
    <row r="23" spans="2:14" ht="32.1" customHeight="1">
      <c r="B23" s="6"/>
      <c r="C23" s="26">
        <v>3</v>
      </c>
      <c r="D23" s="84" t="s">
        <v>58</v>
      </c>
      <c r="E23" s="84"/>
      <c r="F23" s="84"/>
      <c r="G23" s="84"/>
      <c r="H23" s="84"/>
      <c r="I23" s="8"/>
    </row>
    <row r="24" spans="2:14">
      <c r="B24" s="6"/>
      <c r="C24" s="26">
        <v>4</v>
      </c>
      <c r="D24" s="84" t="s">
        <v>59</v>
      </c>
      <c r="E24" s="84"/>
      <c r="F24" s="84"/>
      <c r="G24" s="84"/>
      <c r="H24" s="84"/>
      <c r="I24" s="8"/>
    </row>
    <row r="25" spans="2:14">
      <c r="B25" s="6"/>
      <c r="D25" s="24"/>
      <c r="I25" s="8"/>
    </row>
    <row r="26" spans="2:14">
      <c r="B26" s="6"/>
      <c r="D26" s="24"/>
      <c r="I26" s="8"/>
    </row>
    <row r="27" spans="2:14">
      <c r="B27" s="27"/>
      <c r="C27" s="28"/>
      <c r="D27" s="28"/>
      <c r="E27" s="28"/>
      <c r="F27" s="28"/>
      <c r="G27" s="28"/>
      <c r="H27" s="28"/>
      <c r="I27" s="29"/>
    </row>
  </sheetData>
  <mergeCells count="5">
    <mergeCell ref="D21:H21"/>
    <mergeCell ref="D22:H22"/>
    <mergeCell ref="D23:H23"/>
    <mergeCell ref="D24:H24"/>
    <mergeCell ref="F12:F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9.9978637043366805E-2"/>
  </sheetPr>
  <dimension ref="B1:AF202"/>
  <sheetViews>
    <sheetView showGridLines="0" zoomScale="60" zoomScaleNormal="60" workbookViewId="0">
      <pane xSplit="2" ySplit="2" topLeftCell="C156" activePane="bottomRight" state="frozen"/>
      <selection pane="topRight"/>
      <selection pane="bottomLeft"/>
      <selection pane="bottomRight" activeCell="AG4" sqref="AG4"/>
    </sheetView>
  </sheetViews>
  <sheetFormatPr baseColWidth="10" defaultColWidth="11" defaultRowHeight="15"/>
  <cols>
    <col min="1" max="1" width="3.33203125" customWidth="1"/>
    <col min="4" max="27" width="7.33203125" bestFit="1" customWidth="1"/>
    <col min="28" max="28" width="7.109375" customWidth="1"/>
    <col min="29" max="29" width="8.6640625" customWidth="1"/>
    <col min="30" max="30" width="11.5546875" customWidth="1"/>
  </cols>
  <sheetData>
    <row r="1" spans="2:30" ht="23.25">
      <c r="B1" s="30" t="s">
        <v>0</v>
      </c>
    </row>
    <row r="2" spans="2:30" ht="23.25">
      <c r="B2" s="30" t="s">
        <v>74</v>
      </c>
    </row>
    <row r="3" spans="2:30" ht="23.25">
      <c r="B3" s="30"/>
    </row>
    <row r="4" spans="2:30" ht="23.25">
      <c r="B4" s="41" t="s">
        <v>41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40"/>
      <c r="AC4" s="40"/>
      <c r="AD4" s="38"/>
    </row>
    <row r="5" spans="2:30">
      <c r="B5" s="42" t="s">
        <v>3</v>
      </c>
      <c r="C5" s="42" t="s">
        <v>4</v>
      </c>
      <c r="D5" s="42" t="s">
        <v>5</v>
      </c>
      <c r="E5" s="42" t="s">
        <v>6</v>
      </c>
      <c r="F5" s="42" t="s">
        <v>7</v>
      </c>
      <c r="G5" s="42" t="s">
        <v>8</v>
      </c>
      <c r="H5" s="42" t="s">
        <v>9</v>
      </c>
      <c r="I5" s="42" t="s">
        <v>10</v>
      </c>
      <c r="J5" s="42" t="s">
        <v>11</v>
      </c>
      <c r="K5" s="42" t="s">
        <v>12</v>
      </c>
      <c r="L5" s="42" t="s">
        <v>13</v>
      </c>
      <c r="M5" s="42" t="s">
        <v>14</v>
      </c>
      <c r="N5" s="42" t="s">
        <v>15</v>
      </c>
      <c r="O5" s="42" t="s">
        <v>16</v>
      </c>
      <c r="P5" s="42" t="s">
        <v>17</v>
      </c>
      <c r="Q5" s="42" t="s">
        <v>18</v>
      </c>
      <c r="R5" s="42" t="s">
        <v>19</v>
      </c>
      <c r="S5" s="42" t="s">
        <v>20</v>
      </c>
      <c r="T5" s="42" t="s">
        <v>21</v>
      </c>
      <c r="U5" s="42" t="s">
        <v>22</v>
      </c>
      <c r="V5" s="42" t="s">
        <v>23</v>
      </c>
      <c r="W5" s="42" t="s">
        <v>24</v>
      </c>
      <c r="X5" s="42" t="s">
        <v>25</v>
      </c>
      <c r="Y5" s="42" t="s">
        <v>26</v>
      </c>
      <c r="Z5" s="42" t="s">
        <v>27</v>
      </c>
      <c r="AA5" s="42" t="s">
        <v>28</v>
      </c>
      <c r="AB5" s="36" t="s">
        <v>29</v>
      </c>
      <c r="AC5" s="43" t="s">
        <v>30</v>
      </c>
      <c r="AD5" s="42" t="s">
        <v>31</v>
      </c>
    </row>
    <row r="6" spans="2:30">
      <c r="B6" s="90">
        <v>48580</v>
      </c>
      <c r="C6" s="44" t="s">
        <v>32</v>
      </c>
      <c r="D6" s="47">
        <v>22.83</v>
      </c>
      <c r="E6" s="47">
        <v>22.83</v>
      </c>
      <c r="F6" s="47">
        <v>22.83</v>
      </c>
      <c r="G6" s="47">
        <v>22.83</v>
      </c>
      <c r="H6" s="47">
        <v>22.83</v>
      </c>
      <c r="I6" s="47">
        <v>22.83</v>
      </c>
      <c r="J6" s="47">
        <v>22.83</v>
      </c>
      <c r="K6" s="47">
        <v>22.83</v>
      </c>
      <c r="L6" s="47">
        <v>22.83</v>
      </c>
      <c r="M6" s="47">
        <v>22.83</v>
      </c>
      <c r="N6" s="47">
        <v>22.83</v>
      </c>
      <c r="O6" s="47">
        <v>22.83</v>
      </c>
      <c r="P6" s="47">
        <v>22.83</v>
      </c>
      <c r="Q6" s="47">
        <v>22.83</v>
      </c>
      <c r="R6" s="47">
        <v>22.83</v>
      </c>
      <c r="S6" s="47">
        <v>22.83</v>
      </c>
      <c r="T6" s="47">
        <v>22.83</v>
      </c>
      <c r="U6" s="47">
        <v>22.83</v>
      </c>
      <c r="V6" s="47">
        <v>22.83</v>
      </c>
      <c r="W6" s="47">
        <v>22.83</v>
      </c>
      <c r="X6" s="47">
        <v>22.83</v>
      </c>
      <c r="Y6" s="47">
        <v>22.83</v>
      </c>
      <c r="Z6" s="47">
        <v>22.83</v>
      </c>
      <c r="AA6" s="47">
        <v>22.83</v>
      </c>
      <c r="AB6" s="45">
        <f>SUM(D6:AA6)</f>
        <v>547.91999999999996</v>
      </c>
      <c r="AC6" s="37">
        <v>19</v>
      </c>
      <c r="AD6" s="92">
        <f>+AB6*AC6+AB7*AC7+AB8*AC8</f>
        <v>16985.52</v>
      </c>
    </row>
    <row r="7" spans="2:30">
      <c r="B7" s="90"/>
      <c r="C7" s="44" t="s">
        <v>33</v>
      </c>
      <c r="D7" s="47">
        <v>22.83</v>
      </c>
      <c r="E7" s="47">
        <v>22.83</v>
      </c>
      <c r="F7" s="47">
        <v>22.83</v>
      </c>
      <c r="G7" s="47">
        <v>22.83</v>
      </c>
      <c r="H7" s="47">
        <v>22.83</v>
      </c>
      <c r="I7" s="47">
        <v>22.83</v>
      </c>
      <c r="J7" s="47">
        <v>22.83</v>
      </c>
      <c r="K7" s="47">
        <v>22.83</v>
      </c>
      <c r="L7" s="47">
        <v>22.83</v>
      </c>
      <c r="M7" s="47">
        <v>22.83</v>
      </c>
      <c r="N7" s="47">
        <v>22.83</v>
      </c>
      <c r="O7" s="47">
        <v>22.83</v>
      </c>
      <c r="P7" s="47">
        <v>22.83</v>
      </c>
      <c r="Q7" s="47">
        <v>22.83</v>
      </c>
      <c r="R7" s="47">
        <v>22.83</v>
      </c>
      <c r="S7" s="47">
        <v>22.83</v>
      </c>
      <c r="T7" s="47">
        <v>22.83</v>
      </c>
      <c r="U7" s="47">
        <v>22.83</v>
      </c>
      <c r="V7" s="47">
        <v>22.83</v>
      </c>
      <c r="W7" s="47">
        <v>22.83</v>
      </c>
      <c r="X7" s="47">
        <v>22.83</v>
      </c>
      <c r="Y7" s="47">
        <v>22.83</v>
      </c>
      <c r="Z7" s="47">
        <v>22.83</v>
      </c>
      <c r="AA7" s="47">
        <v>22.83</v>
      </c>
      <c r="AB7" s="45">
        <f t="shared" ref="AB7:AB41" si="0">SUM(D7:AA7)</f>
        <v>547.91999999999996</v>
      </c>
      <c r="AC7" s="37">
        <v>4</v>
      </c>
      <c r="AD7" s="92"/>
    </row>
    <row r="8" spans="2:30">
      <c r="B8" s="90"/>
      <c r="C8" s="44" t="s">
        <v>34</v>
      </c>
      <c r="D8" s="47">
        <v>22.83</v>
      </c>
      <c r="E8" s="47">
        <v>22.83</v>
      </c>
      <c r="F8" s="47">
        <v>22.83</v>
      </c>
      <c r="G8" s="47">
        <v>22.83</v>
      </c>
      <c r="H8" s="47">
        <v>22.83</v>
      </c>
      <c r="I8" s="47">
        <v>22.83</v>
      </c>
      <c r="J8" s="47">
        <v>22.83</v>
      </c>
      <c r="K8" s="47">
        <v>22.83</v>
      </c>
      <c r="L8" s="47">
        <v>22.83</v>
      </c>
      <c r="M8" s="47">
        <v>22.83</v>
      </c>
      <c r="N8" s="47">
        <v>22.83</v>
      </c>
      <c r="O8" s="47">
        <v>22.83</v>
      </c>
      <c r="P8" s="47">
        <v>22.83</v>
      </c>
      <c r="Q8" s="47">
        <v>22.83</v>
      </c>
      <c r="R8" s="47">
        <v>22.83</v>
      </c>
      <c r="S8" s="47">
        <v>22.83</v>
      </c>
      <c r="T8" s="47">
        <v>22.83</v>
      </c>
      <c r="U8" s="47">
        <v>22.83</v>
      </c>
      <c r="V8" s="47">
        <v>22.83</v>
      </c>
      <c r="W8" s="47">
        <v>22.83</v>
      </c>
      <c r="X8" s="47">
        <v>22.83</v>
      </c>
      <c r="Y8" s="47">
        <v>22.83</v>
      </c>
      <c r="Z8" s="47">
        <v>22.83</v>
      </c>
      <c r="AA8" s="47">
        <v>22.83</v>
      </c>
      <c r="AB8" s="45">
        <f t="shared" si="0"/>
        <v>547.91999999999996</v>
      </c>
      <c r="AC8" s="37">
        <v>8</v>
      </c>
      <c r="AD8" s="92"/>
    </row>
    <row r="9" spans="2:30">
      <c r="B9" s="90">
        <v>48611</v>
      </c>
      <c r="C9" s="44" t="s">
        <v>32</v>
      </c>
      <c r="D9" s="47">
        <v>22.83</v>
      </c>
      <c r="E9" s="47">
        <v>22.83</v>
      </c>
      <c r="F9" s="47">
        <v>22.83</v>
      </c>
      <c r="G9" s="47">
        <v>22.83</v>
      </c>
      <c r="H9" s="47">
        <v>22.83</v>
      </c>
      <c r="I9" s="47">
        <v>22.83</v>
      </c>
      <c r="J9" s="47">
        <v>22.83</v>
      </c>
      <c r="K9" s="47">
        <v>22.83</v>
      </c>
      <c r="L9" s="47">
        <v>22.83</v>
      </c>
      <c r="M9" s="47">
        <v>22.83</v>
      </c>
      <c r="N9" s="47">
        <v>22.83</v>
      </c>
      <c r="O9" s="47">
        <v>22.83</v>
      </c>
      <c r="P9" s="47">
        <v>22.83</v>
      </c>
      <c r="Q9" s="47">
        <v>22.83</v>
      </c>
      <c r="R9" s="47">
        <v>22.83</v>
      </c>
      <c r="S9" s="47">
        <v>22.83</v>
      </c>
      <c r="T9" s="47">
        <v>22.83</v>
      </c>
      <c r="U9" s="47">
        <v>22.83</v>
      </c>
      <c r="V9" s="47">
        <v>22.83</v>
      </c>
      <c r="W9" s="47">
        <v>22.83</v>
      </c>
      <c r="X9" s="47">
        <v>22.83</v>
      </c>
      <c r="Y9" s="47">
        <v>22.83</v>
      </c>
      <c r="Z9" s="47">
        <v>22.83</v>
      </c>
      <c r="AA9" s="47">
        <v>22.83</v>
      </c>
      <c r="AB9" s="45">
        <f t="shared" si="0"/>
        <v>547.91999999999996</v>
      </c>
      <c r="AC9" s="37">
        <v>20</v>
      </c>
      <c r="AD9" s="92">
        <f>+AB9*AC9+AB10*AC10+AB11*AC11</f>
        <v>15341.76</v>
      </c>
    </row>
    <row r="10" spans="2:30">
      <c r="B10" s="90"/>
      <c r="C10" s="44" t="s">
        <v>33</v>
      </c>
      <c r="D10" s="47">
        <v>22.83</v>
      </c>
      <c r="E10" s="47">
        <v>22.83</v>
      </c>
      <c r="F10" s="47">
        <v>22.83</v>
      </c>
      <c r="G10" s="47">
        <v>22.83</v>
      </c>
      <c r="H10" s="47">
        <v>22.83</v>
      </c>
      <c r="I10" s="47">
        <v>22.83</v>
      </c>
      <c r="J10" s="47">
        <v>22.83</v>
      </c>
      <c r="K10" s="47">
        <v>22.83</v>
      </c>
      <c r="L10" s="47">
        <v>22.83</v>
      </c>
      <c r="M10" s="47">
        <v>22.83</v>
      </c>
      <c r="N10" s="47">
        <v>22.83</v>
      </c>
      <c r="O10" s="47">
        <v>22.83</v>
      </c>
      <c r="P10" s="47">
        <v>22.83</v>
      </c>
      <c r="Q10" s="47">
        <v>22.83</v>
      </c>
      <c r="R10" s="47">
        <v>22.83</v>
      </c>
      <c r="S10" s="47">
        <v>22.83</v>
      </c>
      <c r="T10" s="47">
        <v>22.83</v>
      </c>
      <c r="U10" s="47">
        <v>22.83</v>
      </c>
      <c r="V10" s="47">
        <v>22.83</v>
      </c>
      <c r="W10" s="47">
        <v>22.83</v>
      </c>
      <c r="X10" s="47">
        <v>22.83</v>
      </c>
      <c r="Y10" s="47">
        <v>22.83</v>
      </c>
      <c r="Z10" s="47">
        <v>22.83</v>
      </c>
      <c r="AA10" s="47">
        <v>22.83</v>
      </c>
      <c r="AB10" s="45">
        <f t="shared" si="0"/>
        <v>547.91999999999996</v>
      </c>
      <c r="AC10" s="37">
        <v>4</v>
      </c>
      <c r="AD10" s="92"/>
    </row>
    <row r="11" spans="2:30">
      <c r="B11" s="90"/>
      <c r="C11" s="44" t="s">
        <v>34</v>
      </c>
      <c r="D11" s="47">
        <v>22.83</v>
      </c>
      <c r="E11" s="47">
        <v>22.83</v>
      </c>
      <c r="F11" s="47">
        <v>22.83</v>
      </c>
      <c r="G11" s="47">
        <v>22.83</v>
      </c>
      <c r="H11" s="47">
        <v>22.83</v>
      </c>
      <c r="I11" s="47">
        <v>22.83</v>
      </c>
      <c r="J11" s="47">
        <v>22.83</v>
      </c>
      <c r="K11" s="47">
        <v>22.83</v>
      </c>
      <c r="L11" s="47">
        <v>22.83</v>
      </c>
      <c r="M11" s="47">
        <v>22.83</v>
      </c>
      <c r="N11" s="47">
        <v>22.83</v>
      </c>
      <c r="O11" s="47">
        <v>22.83</v>
      </c>
      <c r="P11" s="47">
        <v>22.83</v>
      </c>
      <c r="Q11" s="47">
        <v>22.83</v>
      </c>
      <c r="R11" s="47">
        <v>22.83</v>
      </c>
      <c r="S11" s="47">
        <v>22.83</v>
      </c>
      <c r="T11" s="47">
        <v>22.83</v>
      </c>
      <c r="U11" s="47">
        <v>22.83</v>
      </c>
      <c r="V11" s="47">
        <v>22.83</v>
      </c>
      <c r="W11" s="47">
        <v>22.83</v>
      </c>
      <c r="X11" s="47">
        <v>22.83</v>
      </c>
      <c r="Y11" s="47">
        <v>22.83</v>
      </c>
      <c r="Z11" s="47">
        <v>22.83</v>
      </c>
      <c r="AA11" s="47">
        <v>22.83</v>
      </c>
      <c r="AB11" s="45">
        <f t="shared" si="0"/>
        <v>547.91999999999996</v>
      </c>
      <c r="AC11" s="37">
        <v>4</v>
      </c>
      <c r="AD11" s="92"/>
    </row>
    <row r="12" spans="2:30">
      <c r="B12" s="90">
        <v>48639</v>
      </c>
      <c r="C12" s="44" t="s">
        <v>32</v>
      </c>
      <c r="D12" s="47">
        <v>22.83</v>
      </c>
      <c r="E12" s="47">
        <v>22.83</v>
      </c>
      <c r="F12" s="47">
        <v>22.83</v>
      </c>
      <c r="G12" s="47">
        <v>22.83</v>
      </c>
      <c r="H12" s="47">
        <v>22.83</v>
      </c>
      <c r="I12" s="47">
        <v>22.83</v>
      </c>
      <c r="J12" s="47">
        <v>22.83</v>
      </c>
      <c r="K12" s="47">
        <v>22.83</v>
      </c>
      <c r="L12" s="47">
        <v>22.83</v>
      </c>
      <c r="M12" s="47">
        <v>22.83</v>
      </c>
      <c r="N12" s="47">
        <v>22.83</v>
      </c>
      <c r="O12" s="47">
        <v>22.83</v>
      </c>
      <c r="P12" s="47">
        <v>22.83</v>
      </c>
      <c r="Q12" s="47">
        <v>22.83</v>
      </c>
      <c r="R12" s="47">
        <v>22.83</v>
      </c>
      <c r="S12" s="47">
        <v>22.83</v>
      </c>
      <c r="T12" s="47">
        <v>22.83</v>
      </c>
      <c r="U12" s="47">
        <v>22.83</v>
      </c>
      <c r="V12" s="47">
        <v>22.83</v>
      </c>
      <c r="W12" s="47">
        <v>22.83</v>
      </c>
      <c r="X12" s="47">
        <v>22.83</v>
      </c>
      <c r="Y12" s="47">
        <v>22.83</v>
      </c>
      <c r="Z12" s="47">
        <v>22.83</v>
      </c>
      <c r="AA12" s="47">
        <v>22.83</v>
      </c>
      <c r="AB12" s="45">
        <f t="shared" si="0"/>
        <v>547.91999999999996</v>
      </c>
      <c r="AC12" s="37">
        <v>22</v>
      </c>
      <c r="AD12" s="92">
        <f>+AB12*AC12+AB13*AC13+AB14*AC14</f>
        <v>16985.52</v>
      </c>
    </row>
    <row r="13" spans="2:30">
      <c r="B13" s="90"/>
      <c r="C13" s="44" t="s">
        <v>33</v>
      </c>
      <c r="D13" s="47">
        <v>22.83</v>
      </c>
      <c r="E13" s="47">
        <v>22.83</v>
      </c>
      <c r="F13" s="47">
        <v>22.83</v>
      </c>
      <c r="G13" s="47">
        <v>22.83</v>
      </c>
      <c r="H13" s="47">
        <v>22.83</v>
      </c>
      <c r="I13" s="47">
        <v>22.83</v>
      </c>
      <c r="J13" s="47">
        <v>22.83</v>
      </c>
      <c r="K13" s="47">
        <v>22.83</v>
      </c>
      <c r="L13" s="47">
        <v>22.83</v>
      </c>
      <c r="M13" s="47">
        <v>22.83</v>
      </c>
      <c r="N13" s="47">
        <v>22.83</v>
      </c>
      <c r="O13" s="47">
        <v>22.83</v>
      </c>
      <c r="P13" s="47">
        <v>22.83</v>
      </c>
      <c r="Q13" s="47">
        <v>22.83</v>
      </c>
      <c r="R13" s="47">
        <v>22.83</v>
      </c>
      <c r="S13" s="47">
        <v>22.83</v>
      </c>
      <c r="T13" s="47">
        <v>22.83</v>
      </c>
      <c r="U13" s="47">
        <v>22.83</v>
      </c>
      <c r="V13" s="47">
        <v>22.83</v>
      </c>
      <c r="W13" s="47">
        <v>22.83</v>
      </c>
      <c r="X13" s="47">
        <v>22.83</v>
      </c>
      <c r="Y13" s="47">
        <v>22.83</v>
      </c>
      <c r="Z13" s="47">
        <v>22.83</v>
      </c>
      <c r="AA13" s="47">
        <v>22.83</v>
      </c>
      <c r="AB13" s="45">
        <f t="shared" si="0"/>
        <v>547.91999999999996</v>
      </c>
      <c r="AC13" s="37">
        <v>3</v>
      </c>
      <c r="AD13" s="92"/>
    </row>
    <row r="14" spans="2:30">
      <c r="B14" s="90"/>
      <c r="C14" s="44" t="s">
        <v>34</v>
      </c>
      <c r="D14" s="47">
        <v>22.83</v>
      </c>
      <c r="E14" s="47">
        <v>22.83</v>
      </c>
      <c r="F14" s="47">
        <v>22.83</v>
      </c>
      <c r="G14" s="47">
        <v>22.83</v>
      </c>
      <c r="H14" s="47">
        <v>22.83</v>
      </c>
      <c r="I14" s="47">
        <v>22.83</v>
      </c>
      <c r="J14" s="47">
        <v>22.83</v>
      </c>
      <c r="K14" s="47">
        <v>22.83</v>
      </c>
      <c r="L14" s="47">
        <v>22.83</v>
      </c>
      <c r="M14" s="47">
        <v>22.83</v>
      </c>
      <c r="N14" s="47">
        <v>22.83</v>
      </c>
      <c r="O14" s="47">
        <v>22.83</v>
      </c>
      <c r="P14" s="47">
        <v>22.83</v>
      </c>
      <c r="Q14" s="47">
        <v>22.83</v>
      </c>
      <c r="R14" s="47">
        <v>22.83</v>
      </c>
      <c r="S14" s="47">
        <v>22.83</v>
      </c>
      <c r="T14" s="47">
        <v>22.83</v>
      </c>
      <c r="U14" s="47">
        <v>22.83</v>
      </c>
      <c r="V14" s="47">
        <v>22.83</v>
      </c>
      <c r="W14" s="47">
        <v>22.83</v>
      </c>
      <c r="X14" s="47">
        <v>22.83</v>
      </c>
      <c r="Y14" s="47">
        <v>22.83</v>
      </c>
      <c r="Z14" s="47">
        <v>22.83</v>
      </c>
      <c r="AA14" s="47">
        <v>22.83</v>
      </c>
      <c r="AB14" s="45">
        <f t="shared" si="0"/>
        <v>547.91999999999996</v>
      </c>
      <c r="AC14" s="37">
        <v>6</v>
      </c>
      <c r="AD14" s="92"/>
    </row>
    <row r="15" spans="2:30">
      <c r="B15" s="90">
        <v>48670</v>
      </c>
      <c r="C15" s="44" t="s">
        <v>32</v>
      </c>
      <c r="D15" s="47">
        <v>22.83</v>
      </c>
      <c r="E15" s="47">
        <v>22.83</v>
      </c>
      <c r="F15" s="47">
        <v>22.83</v>
      </c>
      <c r="G15" s="47">
        <v>22.83</v>
      </c>
      <c r="H15" s="47">
        <v>22.83</v>
      </c>
      <c r="I15" s="47">
        <v>22.83</v>
      </c>
      <c r="J15" s="47">
        <v>22.83</v>
      </c>
      <c r="K15" s="47">
        <v>22.83</v>
      </c>
      <c r="L15" s="47">
        <v>22.83</v>
      </c>
      <c r="M15" s="47">
        <v>22.83</v>
      </c>
      <c r="N15" s="47">
        <v>22.83</v>
      </c>
      <c r="O15" s="47">
        <v>22.83</v>
      </c>
      <c r="P15" s="47">
        <v>22.83</v>
      </c>
      <c r="Q15" s="47">
        <v>22.83</v>
      </c>
      <c r="R15" s="47">
        <v>22.83</v>
      </c>
      <c r="S15" s="47">
        <v>22.83</v>
      </c>
      <c r="T15" s="47">
        <v>22.83</v>
      </c>
      <c r="U15" s="47">
        <v>22.83</v>
      </c>
      <c r="V15" s="47">
        <v>22.83</v>
      </c>
      <c r="W15" s="47">
        <v>22.83</v>
      </c>
      <c r="X15" s="47">
        <v>22.83</v>
      </c>
      <c r="Y15" s="47">
        <v>22.83</v>
      </c>
      <c r="Z15" s="47">
        <v>22.83</v>
      </c>
      <c r="AA15" s="47">
        <v>22.83</v>
      </c>
      <c r="AB15" s="45">
        <f t="shared" si="0"/>
        <v>547.91999999999996</v>
      </c>
      <c r="AC15" s="37">
        <v>19</v>
      </c>
      <c r="AD15" s="92">
        <f>+AB15*AC15+AB16*AC16+AB17*AC17</f>
        <v>16437.599999999999</v>
      </c>
    </row>
    <row r="16" spans="2:30">
      <c r="B16" s="90"/>
      <c r="C16" s="44" t="s">
        <v>33</v>
      </c>
      <c r="D16" s="47">
        <v>22.83</v>
      </c>
      <c r="E16" s="47">
        <v>22.83</v>
      </c>
      <c r="F16" s="47">
        <v>22.83</v>
      </c>
      <c r="G16" s="47">
        <v>22.83</v>
      </c>
      <c r="H16" s="47">
        <v>22.83</v>
      </c>
      <c r="I16" s="47">
        <v>22.83</v>
      </c>
      <c r="J16" s="47">
        <v>22.83</v>
      </c>
      <c r="K16" s="47">
        <v>22.83</v>
      </c>
      <c r="L16" s="47">
        <v>22.83</v>
      </c>
      <c r="M16" s="47">
        <v>22.83</v>
      </c>
      <c r="N16" s="47">
        <v>22.83</v>
      </c>
      <c r="O16" s="47">
        <v>22.83</v>
      </c>
      <c r="P16" s="47">
        <v>22.83</v>
      </c>
      <c r="Q16" s="47">
        <v>22.83</v>
      </c>
      <c r="R16" s="47">
        <v>22.83</v>
      </c>
      <c r="S16" s="47">
        <v>22.83</v>
      </c>
      <c r="T16" s="47">
        <v>22.83</v>
      </c>
      <c r="U16" s="47">
        <v>22.83</v>
      </c>
      <c r="V16" s="47">
        <v>22.83</v>
      </c>
      <c r="W16" s="47">
        <v>22.83</v>
      </c>
      <c r="X16" s="47">
        <v>22.83</v>
      </c>
      <c r="Y16" s="47">
        <v>22.83</v>
      </c>
      <c r="Z16" s="47">
        <v>22.83</v>
      </c>
      <c r="AA16" s="47">
        <v>22.83</v>
      </c>
      <c r="AB16" s="45">
        <f t="shared" si="0"/>
        <v>547.91999999999996</v>
      </c>
      <c r="AC16" s="37">
        <v>5</v>
      </c>
      <c r="AD16" s="92"/>
    </row>
    <row r="17" spans="2:30">
      <c r="B17" s="90"/>
      <c r="C17" s="44" t="s">
        <v>34</v>
      </c>
      <c r="D17" s="47">
        <v>22.83</v>
      </c>
      <c r="E17" s="47">
        <v>22.83</v>
      </c>
      <c r="F17" s="47">
        <v>22.83</v>
      </c>
      <c r="G17" s="47">
        <v>22.83</v>
      </c>
      <c r="H17" s="47">
        <v>22.83</v>
      </c>
      <c r="I17" s="47">
        <v>22.83</v>
      </c>
      <c r="J17" s="47">
        <v>22.83</v>
      </c>
      <c r="K17" s="47">
        <v>22.83</v>
      </c>
      <c r="L17" s="47">
        <v>22.83</v>
      </c>
      <c r="M17" s="47">
        <v>22.83</v>
      </c>
      <c r="N17" s="47">
        <v>22.83</v>
      </c>
      <c r="O17" s="47">
        <v>22.83</v>
      </c>
      <c r="P17" s="47">
        <v>22.83</v>
      </c>
      <c r="Q17" s="47">
        <v>22.83</v>
      </c>
      <c r="R17" s="47">
        <v>22.83</v>
      </c>
      <c r="S17" s="47">
        <v>22.83</v>
      </c>
      <c r="T17" s="47">
        <v>22.83</v>
      </c>
      <c r="U17" s="47">
        <v>22.83</v>
      </c>
      <c r="V17" s="47">
        <v>22.83</v>
      </c>
      <c r="W17" s="47">
        <v>22.83</v>
      </c>
      <c r="X17" s="47">
        <v>22.83</v>
      </c>
      <c r="Y17" s="47">
        <v>22.83</v>
      </c>
      <c r="Z17" s="47">
        <v>22.83</v>
      </c>
      <c r="AA17" s="47">
        <v>22.83</v>
      </c>
      <c r="AB17" s="45">
        <f t="shared" si="0"/>
        <v>547.91999999999996</v>
      </c>
      <c r="AC17" s="37">
        <v>6</v>
      </c>
      <c r="AD17" s="92"/>
    </row>
    <row r="18" spans="2:30">
      <c r="B18" s="90">
        <v>48700</v>
      </c>
      <c r="C18" s="44" t="s">
        <v>32</v>
      </c>
      <c r="D18" s="47">
        <v>22.83</v>
      </c>
      <c r="E18" s="47">
        <v>22.83</v>
      </c>
      <c r="F18" s="47">
        <v>22.83</v>
      </c>
      <c r="G18" s="47">
        <v>22.83</v>
      </c>
      <c r="H18" s="47">
        <v>22.83</v>
      </c>
      <c r="I18" s="47">
        <v>22.83</v>
      </c>
      <c r="J18" s="47">
        <v>22.83</v>
      </c>
      <c r="K18" s="47">
        <v>22.83</v>
      </c>
      <c r="L18" s="47">
        <v>22.83</v>
      </c>
      <c r="M18" s="47">
        <v>22.83</v>
      </c>
      <c r="N18" s="47">
        <v>22.83</v>
      </c>
      <c r="O18" s="47">
        <v>22.83</v>
      </c>
      <c r="P18" s="47">
        <v>22.83</v>
      </c>
      <c r="Q18" s="47">
        <v>22.83</v>
      </c>
      <c r="R18" s="47">
        <v>22.83</v>
      </c>
      <c r="S18" s="47">
        <v>22.83</v>
      </c>
      <c r="T18" s="47">
        <v>22.83</v>
      </c>
      <c r="U18" s="47">
        <v>22.83</v>
      </c>
      <c r="V18" s="47">
        <v>22.83</v>
      </c>
      <c r="W18" s="47">
        <v>22.83</v>
      </c>
      <c r="X18" s="47">
        <v>22.83</v>
      </c>
      <c r="Y18" s="47">
        <v>22.83</v>
      </c>
      <c r="Z18" s="47">
        <v>22.83</v>
      </c>
      <c r="AA18" s="47">
        <v>22.83</v>
      </c>
      <c r="AB18" s="45">
        <f t="shared" si="0"/>
        <v>547.91999999999996</v>
      </c>
      <c r="AC18" s="37">
        <v>20</v>
      </c>
      <c r="AD18" s="92">
        <f>+AB18*AC18+AB19*AC19+AB20*AC20</f>
        <v>16985.52</v>
      </c>
    </row>
    <row r="19" spans="2:30">
      <c r="B19" s="90"/>
      <c r="C19" s="44" t="s">
        <v>33</v>
      </c>
      <c r="D19" s="47">
        <v>22.83</v>
      </c>
      <c r="E19" s="47">
        <v>22.83</v>
      </c>
      <c r="F19" s="47">
        <v>22.83</v>
      </c>
      <c r="G19" s="47">
        <v>22.83</v>
      </c>
      <c r="H19" s="47">
        <v>22.83</v>
      </c>
      <c r="I19" s="47">
        <v>22.83</v>
      </c>
      <c r="J19" s="47">
        <v>22.83</v>
      </c>
      <c r="K19" s="47">
        <v>22.83</v>
      </c>
      <c r="L19" s="47">
        <v>22.83</v>
      </c>
      <c r="M19" s="47">
        <v>22.83</v>
      </c>
      <c r="N19" s="47">
        <v>22.83</v>
      </c>
      <c r="O19" s="47">
        <v>22.83</v>
      </c>
      <c r="P19" s="47">
        <v>22.83</v>
      </c>
      <c r="Q19" s="47">
        <v>22.83</v>
      </c>
      <c r="R19" s="47">
        <v>22.83</v>
      </c>
      <c r="S19" s="47">
        <v>22.83</v>
      </c>
      <c r="T19" s="47">
        <v>22.83</v>
      </c>
      <c r="U19" s="47">
        <v>22.83</v>
      </c>
      <c r="V19" s="47">
        <v>22.83</v>
      </c>
      <c r="W19" s="47">
        <v>22.83</v>
      </c>
      <c r="X19" s="47">
        <v>22.83</v>
      </c>
      <c r="Y19" s="47">
        <v>22.83</v>
      </c>
      <c r="Z19" s="47">
        <v>22.83</v>
      </c>
      <c r="AA19" s="47">
        <v>22.83</v>
      </c>
      <c r="AB19" s="45">
        <f t="shared" si="0"/>
        <v>547.91999999999996</v>
      </c>
      <c r="AC19" s="37">
        <v>4</v>
      </c>
      <c r="AD19" s="92"/>
    </row>
    <row r="20" spans="2:30">
      <c r="B20" s="90"/>
      <c r="C20" s="44" t="s">
        <v>34</v>
      </c>
      <c r="D20" s="47">
        <v>22.83</v>
      </c>
      <c r="E20" s="47">
        <v>22.83</v>
      </c>
      <c r="F20" s="47">
        <v>22.83</v>
      </c>
      <c r="G20" s="47">
        <v>22.83</v>
      </c>
      <c r="H20" s="47">
        <v>22.83</v>
      </c>
      <c r="I20" s="47">
        <v>22.83</v>
      </c>
      <c r="J20" s="47">
        <v>22.83</v>
      </c>
      <c r="K20" s="47">
        <v>22.83</v>
      </c>
      <c r="L20" s="47">
        <v>22.83</v>
      </c>
      <c r="M20" s="47">
        <v>22.83</v>
      </c>
      <c r="N20" s="47">
        <v>22.83</v>
      </c>
      <c r="O20" s="47">
        <v>22.83</v>
      </c>
      <c r="P20" s="47">
        <v>22.83</v>
      </c>
      <c r="Q20" s="47">
        <v>22.83</v>
      </c>
      <c r="R20" s="47">
        <v>22.83</v>
      </c>
      <c r="S20" s="47">
        <v>22.83</v>
      </c>
      <c r="T20" s="47">
        <v>22.83</v>
      </c>
      <c r="U20" s="47">
        <v>22.83</v>
      </c>
      <c r="V20" s="47">
        <v>22.83</v>
      </c>
      <c r="W20" s="47">
        <v>22.83</v>
      </c>
      <c r="X20" s="47">
        <v>22.83</v>
      </c>
      <c r="Y20" s="47">
        <v>22.83</v>
      </c>
      <c r="Z20" s="47">
        <v>22.83</v>
      </c>
      <c r="AA20" s="47">
        <v>22.83</v>
      </c>
      <c r="AB20" s="45">
        <f t="shared" si="0"/>
        <v>547.91999999999996</v>
      </c>
      <c r="AC20" s="37">
        <v>7</v>
      </c>
      <c r="AD20" s="92"/>
    </row>
    <row r="21" spans="2:30">
      <c r="B21" s="90">
        <v>48731</v>
      </c>
      <c r="C21" s="44" t="s">
        <v>32</v>
      </c>
      <c r="D21" s="47">
        <v>22.83</v>
      </c>
      <c r="E21" s="47">
        <v>22.83</v>
      </c>
      <c r="F21" s="47">
        <v>22.83</v>
      </c>
      <c r="G21" s="47">
        <v>22.83</v>
      </c>
      <c r="H21" s="47">
        <v>22.83</v>
      </c>
      <c r="I21" s="47">
        <v>22.83</v>
      </c>
      <c r="J21" s="47">
        <v>22.83</v>
      </c>
      <c r="K21" s="47">
        <v>22.83</v>
      </c>
      <c r="L21" s="47">
        <v>22.83</v>
      </c>
      <c r="M21" s="47">
        <v>22.83</v>
      </c>
      <c r="N21" s="47">
        <v>22.83</v>
      </c>
      <c r="O21" s="47">
        <v>22.83</v>
      </c>
      <c r="P21" s="47">
        <v>22.83</v>
      </c>
      <c r="Q21" s="47">
        <v>22.83</v>
      </c>
      <c r="R21" s="47">
        <v>22.83</v>
      </c>
      <c r="S21" s="47">
        <v>22.83</v>
      </c>
      <c r="T21" s="47">
        <v>22.83</v>
      </c>
      <c r="U21" s="47">
        <v>22.83</v>
      </c>
      <c r="V21" s="47">
        <v>22.83</v>
      </c>
      <c r="W21" s="47">
        <v>22.83</v>
      </c>
      <c r="X21" s="47">
        <v>22.83</v>
      </c>
      <c r="Y21" s="47">
        <v>22.83</v>
      </c>
      <c r="Z21" s="47">
        <v>22.83</v>
      </c>
      <c r="AA21" s="47">
        <v>22.83</v>
      </c>
      <c r="AB21" s="45">
        <f t="shared" si="0"/>
        <v>547.91999999999996</v>
      </c>
      <c r="AC21" s="37">
        <v>19</v>
      </c>
      <c r="AD21" s="92">
        <f>+AB21*AC21+AB22*AC22+AB23*AC23</f>
        <v>16437.599999999999</v>
      </c>
    </row>
    <row r="22" spans="2:30">
      <c r="B22" s="90"/>
      <c r="C22" s="44" t="s">
        <v>33</v>
      </c>
      <c r="D22" s="47">
        <v>22.83</v>
      </c>
      <c r="E22" s="47">
        <v>22.83</v>
      </c>
      <c r="F22" s="47">
        <v>22.83</v>
      </c>
      <c r="G22" s="47">
        <v>22.83</v>
      </c>
      <c r="H22" s="47">
        <v>22.83</v>
      </c>
      <c r="I22" s="47">
        <v>22.83</v>
      </c>
      <c r="J22" s="47">
        <v>22.83</v>
      </c>
      <c r="K22" s="47">
        <v>22.83</v>
      </c>
      <c r="L22" s="47">
        <v>22.83</v>
      </c>
      <c r="M22" s="47">
        <v>22.83</v>
      </c>
      <c r="N22" s="47">
        <v>22.83</v>
      </c>
      <c r="O22" s="47">
        <v>22.83</v>
      </c>
      <c r="P22" s="47">
        <v>22.83</v>
      </c>
      <c r="Q22" s="47">
        <v>22.83</v>
      </c>
      <c r="R22" s="47">
        <v>22.83</v>
      </c>
      <c r="S22" s="47">
        <v>22.83</v>
      </c>
      <c r="T22" s="47">
        <v>22.83</v>
      </c>
      <c r="U22" s="47">
        <v>22.83</v>
      </c>
      <c r="V22" s="47">
        <v>22.83</v>
      </c>
      <c r="W22" s="47">
        <v>22.83</v>
      </c>
      <c r="X22" s="47">
        <v>22.83</v>
      </c>
      <c r="Y22" s="47">
        <v>22.83</v>
      </c>
      <c r="Z22" s="47">
        <v>22.83</v>
      </c>
      <c r="AA22" s="47">
        <v>22.83</v>
      </c>
      <c r="AB22" s="45">
        <f t="shared" si="0"/>
        <v>547.91999999999996</v>
      </c>
      <c r="AC22" s="37">
        <v>4</v>
      </c>
      <c r="AD22" s="92"/>
    </row>
    <row r="23" spans="2:30">
      <c r="B23" s="90"/>
      <c r="C23" s="44" t="s">
        <v>34</v>
      </c>
      <c r="D23" s="47">
        <v>22.83</v>
      </c>
      <c r="E23" s="47">
        <v>22.83</v>
      </c>
      <c r="F23" s="47">
        <v>22.83</v>
      </c>
      <c r="G23" s="47">
        <v>22.83</v>
      </c>
      <c r="H23" s="47">
        <v>22.83</v>
      </c>
      <c r="I23" s="47">
        <v>22.83</v>
      </c>
      <c r="J23" s="47">
        <v>22.83</v>
      </c>
      <c r="K23" s="47">
        <v>22.83</v>
      </c>
      <c r="L23" s="47">
        <v>22.83</v>
      </c>
      <c r="M23" s="47">
        <v>22.83</v>
      </c>
      <c r="N23" s="47">
        <v>22.83</v>
      </c>
      <c r="O23" s="47">
        <v>22.83</v>
      </c>
      <c r="P23" s="47">
        <v>22.83</v>
      </c>
      <c r="Q23" s="47">
        <v>22.83</v>
      </c>
      <c r="R23" s="47">
        <v>22.83</v>
      </c>
      <c r="S23" s="47">
        <v>22.83</v>
      </c>
      <c r="T23" s="47">
        <v>22.83</v>
      </c>
      <c r="U23" s="47">
        <v>22.83</v>
      </c>
      <c r="V23" s="47">
        <v>22.83</v>
      </c>
      <c r="W23" s="47">
        <v>22.83</v>
      </c>
      <c r="X23" s="47">
        <v>22.83</v>
      </c>
      <c r="Y23" s="47">
        <v>22.83</v>
      </c>
      <c r="Z23" s="47">
        <v>22.83</v>
      </c>
      <c r="AA23" s="47">
        <v>22.83</v>
      </c>
      <c r="AB23" s="45">
        <f t="shared" si="0"/>
        <v>547.91999999999996</v>
      </c>
      <c r="AC23" s="37">
        <v>7</v>
      </c>
      <c r="AD23" s="92"/>
    </row>
    <row r="24" spans="2:30">
      <c r="B24" s="90">
        <v>48761</v>
      </c>
      <c r="C24" s="44" t="s">
        <v>32</v>
      </c>
      <c r="D24" s="47">
        <v>22.83</v>
      </c>
      <c r="E24" s="47">
        <v>22.83</v>
      </c>
      <c r="F24" s="47">
        <v>22.83</v>
      </c>
      <c r="G24" s="47">
        <v>22.83</v>
      </c>
      <c r="H24" s="47">
        <v>22.83</v>
      </c>
      <c r="I24" s="47">
        <v>22.83</v>
      </c>
      <c r="J24" s="47">
        <v>22.83</v>
      </c>
      <c r="K24" s="47">
        <v>22.83</v>
      </c>
      <c r="L24" s="47">
        <v>22.83</v>
      </c>
      <c r="M24" s="47">
        <v>22.83</v>
      </c>
      <c r="N24" s="47">
        <v>22.83</v>
      </c>
      <c r="O24" s="47">
        <v>22.83</v>
      </c>
      <c r="P24" s="47">
        <v>22.83</v>
      </c>
      <c r="Q24" s="47">
        <v>22.83</v>
      </c>
      <c r="R24" s="47">
        <v>22.83</v>
      </c>
      <c r="S24" s="47">
        <v>22.83</v>
      </c>
      <c r="T24" s="47">
        <v>22.83</v>
      </c>
      <c r="U24" s="47">
        <v>22.83</v>
      </c>
      <c r="V24" s="47">
        <v>22.83</v>
      </c>
      <c r="W24" s="47">
        <v>22.83</v>
      </c>
      <c r="X24" s="47">
        <v>22.83</v>
      </c>
      <c r="Y24" s="47">
        <v>22.83</v>
      </c>
      <c r="Z24" s="47">
        <v>22.83</v>
      </c>
      <c r="AA24" s="47">
        <v>22.83</v>
      </c>
      <c r="AB24" s="45">
        <f t="shared" si="0"/>
        <v>547.91999999999996</v>
      </c>
      <c r="AC24" s="37">
        <v>19</v>
      </c>
      <c r="AD24" s="92">
        <f>+AB24*AC24+AB25*AC25+AB26*AC26</f>
        <v>16985.52</v>
      </c>
    </row>
    <row r="25" spans="2:30">
      <c r="B25" s="90"/>
      <c r="C25" s="44" t="s">
        <v>33</v>
      </c>
      <c r="D25" s="47">
        <v>22.83</v>
      </c>
      <c r="E25" s="47">
        <v>22.83</v>
      </c>
      <c r="F25" s="47">
        <v>22.83</v>
      </c>
      <c r="G25" s="47">
        <v>22.83</v>
      </c>
      <c r="H25" s="47">
        <v>22.83</v>
      </c>
      <c r="I25" s="47">
        <v>22.83</v>
      </c>
      <c r="J25" s="47">
        <v>22.83</v>
      </c>
      <c r="K25" s="47">
        <v>22.83</v>
      </c>
      <c r="L25" s="47">
        <v>22.83</v>
      </c>
      <c r="M25" s="47">
        <v>22.83</v>
      </c>
      <c r="N25" s="47">
        <v>22.83</v>
      </c>
      <c r="O25" s="47">
        <v>22.83</v>
      </c>
      <c r="P25" s="47">
        <v>22.83</v>
      </c>
      <c r="Q25" s="47">
        <v>22.83</v>
      </c>
      <c r="R25" s="47">
        <v>22.83</v>
      </c>
      <c r="S25" s="47">
        <v>22.83</v>
      </c>
      <c r="T25" s="47">
        <v>22.83</v>
      </c>
      <c r="U25" s="47">
        <v>22.83</v>
      </c>
      <c r="V25" s="47">
        <v>22.83</v>
      </c>
      <c r="W25" s="47">
        <v>22.83</v>
      </c>
      <c r="X25" s="47">
        <v>22.83</v>
      </c>
      <c r="Y25" s="47">
        <v>22.83</v>
      </c>
      <c r="Z25" s="47">
        <v>22.83</v>
      </c>
      <c r="AA25" s="47">
        <v>22.83</v>
      </c>
      <c r="AB25" s="45">
        <f t="shared" si="0"/>
        <v>547.91999999999996</v>
      </c>
      <c r="AC25" s="37">
        <v>5</v>
      </c>
      <c r="AD25" s="92"/>
    </row>
    <row r="26" spans="2:30">
      <c r="B26" s="90"/>
      <c r="C26" s="44" t="s">
        <v>34</v>
      </c>
      <c r="D26" s="47">
        <v>22.83</v>
      </c>
      <c r="E26" s="47">
        <v>22.83</v>
      </c>
      <c r="F26" s="47">
        <v>22.83</v>
      </c>
      <c r="G26" s="47">
        <v>22.83</v>
      </c>
      <c r="H26" s="47">
        <v>22.83</v>
      </c>
      <c r="I26" s="47">
        <v>22.83</v>
      </c>
      <c r="J26" s="47">
        <v>22.83</v>
      </c>
      <c r="K26" s="47">
        <v>22.83</v>
      </c>
      <c r="L26" s="47">
        <v>22.83</v>
      </c>
      <c r="M26" s="47">
        <v>22.83</v>
      </c>
      <c r="N26" s="47">
        <v>22.83</v>
      </c>
      <c r="O26" s="47">
        <v>22.83</v>
      </c>
      <c r="P26" s="47">
        <v>22.83</v>
      </c>
      <c r="Q26" s="47">
        <v>22.83</v>
      </c>
      <c r="R26" s="47">
        <v>22.83</v>
      </c>
      <c r="S26" s="47">
        <v>22.83</v>
      </c>
      <c r="T26" s="47">
        <v>22.83</v>
      </c>
      <c r="U26" s="47">
        <v>22.83</v>
      </c>
      <c r="V26" s="47">
        <v>22.83</v>
      </c>
      <c r="W26" s="47">
        <v>22.83</v>
      </c>
      <c r="X26" s="47">
        <v>22.83</v>
      </c>
      <c r="Y26" s="47">
        <v>22.83</v>
      </c>
      <c r="Z26" s="47">
        <v>22.83</v>
      </c>
      <c r="AA26" s="47">
        <v>22.83</v>
      </c>
      <c r="AB26" s="45">
        <f t="shared" si="0"/>
        <v>547.91999999999996</v>
      </c>
      <c r="AC26" s="37">
        <v>7</v>
      </c>
      <c r="AD26" s="92"/>
    </row>
    <row r="27" spans="2:30">
      <c r="B27" s="90">
        <v>48792</v>
      </c>
      <c r="C27" s="44" t="s">
        <v>32</v>
      </c>
      <c r="D27" s="47">
        <v>22.83</v>
      </c>
      <c r="E27" s="47">
        <v>22.83</v>
      </c>
      <c r="F27" s="47">
        <v>22.83</v>
      </c>
      <c r="G27" s="47">
        <v>22.83</v>
      </c>
      <c r="H27" s="47">
        <v>22.83</v>
      </c>
      <c r="I27" s="47">
        <v>22.83</v>
      </c>
      <c r="J27" s="47">
        <v>22.83</v>
      </c>
      <c r="K27" s="47">
        <v>22.83</v>
      </c>
      <c r="L27" s="47">
        <v>22.83</v>
      </c>
      <c r="M27" s="47">
        <v>22.83</v>
      </c>
      <c r="N27" s="47">
        <v>22.83</v>
      </c>
      <c r="O27" s="47">
        <v>22.83</v>
      </c>
      <c r="P27" s="47">
        <v>22.83</v>
      </c>
      <c r="Q27" s="47">
        <v>22.83</v>
      </c>
      <c r="R27" s="47">
        <v>22.83</v>
      </c>
      <c r="S27" s="47">
        <v>22.83</v>
      </c>
      <c r="T27" s="47">
        <v>22.83</v>
      </c>
      <c r="U27" s="47">
        <v>22.83</v>
      </c>
      <c r="V27" s="47">
        <v>22.83</v>
      </c>
      <c r="W27" s="47">
        <v>22.83</v>
      </c>
      <c r="X27" s="47">
        <v>22.83</v>
      </c>
      <c r="Y27" s="47">
        <v>22.83</v>
      </c>
      <c r="Z27" s="47">
        <v>22.83</v>
      </c>
      <c r="AA27" s="47">
        <v>22.83</v>
      </c>
      <c r="AB27" s="45">
        <f t="shared" si="0"/>
        <v>547.91999999999996</v>
      </c>
      <c r="AC27" s="37">
        <v>22</v>
      </c>
      <c r="AD27" s="92">
        <f>+AB27*AC27+AB28*AC28+AB29*AC29</f>
        <v>16985.52</v>
      </c>
    </row>
    <row r="28" spans="2:30">
      <c r="B28" s="90"/>
      <c r="C28" s="44" t="s">
        <v>33</v>
      </c>
      <c r="D28" s="47">
        <v>22.83</v>
      </c>
      <c r="E28" s="47">
        <v>22.83</v>
      </c>
      <c r="F28" s="47">
        <v>22.83</v>
      </c>
      <c r="G28" s="47">
        <v>22.83</v>
      </c>
      <c r="H28" s="47">
        <v>22.83</v>
      </c>
      <c r="I28" s="47">
        <v>22.83</v>
      </c>
      <c r="J28" s="47">
        <v>22.83</v>
      </c>
      <c r="K28" s="47">
        <v>22.83</v>
      </c>
      <c r="L28" s="47">
        <v>22.83</v>
      </c>
      <c r="M28" s="47">
        <v>22.83</v>
      </c>
      <c r="N28" s="47">
        <v>22.83</v>
      </c>
      <c r="O28" s="47">
        <v>22.83</v>
      </c>
      <c r="P28" s="47">
        <v>22.83</v>
      </c>
      <c r="Q28" s="47">
        <v>22.83</v>
      </c>
      <c r="R28" s="47">
        <v>22.83</v>
      </c>
      <c r="S28" s="47">
        <v>22.83</v>
      </c>
      <c r="T28" s="47">
        <v>22.83</v>
      </c>
      <c r="U28" s="47">
        <v>22.83</v>
      </c>
      <c r="V28" s="47">
        <v>22.83</v>
      </c>
      <c r="W28" s="47">
        <v>22.83</v>
      </c>
      <c r="X28" s="47">
        <v>22.83</v>
      </c>
      <c r="Y28" s="47">
        <v>22.83</v>
      </c>
      <c r="Z28" s="47">
        <v>22.83</v>
      </c>
      <c r="AA28" s="47">
        <v>22.83</v>
      </c>
      <c r="AB28" s="45">
        <f t="shared" si="0"/>
        <v>547.91999999999996</v>
      </c>
      <c r="AC28" s="37">
        <v>4</v>
      </c>
      <c r="AD28" s="92"/>
    </row>
    <row r="29" spans="2:30">
      <c r="B29" s="90"/>
      <c r="C29" s="44" t="s">
        <v>34</v>
      </c>
      <c r="D29" s="47">
        <v>22.83</v>
      </c>
      <c r="E29" s="47">
        <v>22.83</v>
      </c>
      <c r="F29" s="47">
        <v>22.83</v>
      </c>
      <c r="G29" s="47">
        <v>22.83</v>
      </c>
      <c r="H29" s="47">
        <v>22.83</v>
      </c>
      <c r="I29" s="47">
        <v>22.83</v>
      </c>
      <c r="J29" s="47">
        <v>22.83</v>
      </c>
      <c r="K29" s="47">
        <v>22.83</v>
      </c>
      <c r="L29" s="47">
        <v>22.83</v>
      </c>
      <c r="M29" s="47">
        <v>22.83</v>
      </c>
      <c r="N29" s="47">
        <v>22.83</v>
      </c>
      <c r="O29" s="47">
        <v>22.83</v>
      </c>
      <c r="P29" s="47">
        <v>22.83</v>
      </c>
      <c r="Q29" s="47">
        <v>22.83</v>
      </c>
      <c r="R29" s="47">
        <v>22.83</v>
      </c>
      <c r="S29" s="47">
        <v>22.83</v>
      </c>
      <c r="T29" s="47">
        <v>22.83</v>
      </c>
      <c r="U29" s="47">
        <v>22.83</v>
      </c>
      <c r="V29" s="47">
        <v>22.83</v>
      </c>
      <c r="W29" s="47">
        <v>22.83</v>
      </c>
      <c r="X29" s="47">
        <v>22.83</v>
      </c>
      <c r="Y29" s="47">
        <v>22.83</v>
      </c>
      <c r="Z29" s="47">
        <v>22.83</v>
      </c>
      <c r="AA29" s="47">
        <v>22.83</v>
      </c>
      <c r="AB29" s="45">
        <f t="shared" si="0"/>
        <v>547.91999999999996</v>
      </c>
      <c r="AC29" s="37">
        <v>5</v>
      </c>
      <c r="AD29" s="92"/>
    </row>
    <row r="30" spans="2:30">
      <c r="B30" s="90">
        <v>48823</v>
      </c>
      <c r="C30" s="44" t="s">
        <v>32</v>
      </c>
      <c r="D30" s="47">
        <v>22.83</v>
      </c>
      <c r="E30" s="47">
        <v>22.83</v>
      </c>
      <c r="F30" s="47">
        <v>22.83</v>
      </c>
      <c r="G30" s="47">
        <v>22.83</v>
      </c>
      <c r="H30" s="47">
        <v>22.83</v>
      </c>
      <c r="I30" s="47">
        <v>22.83</v>
      </c>
      <c r="J30" s="47">
        <v>22.83</v>
      </c>
      <c r="K30" s="47">
        <v>22.83</v>
      </c>
      <c r="L30" s="47">
        <v>22.83</v>
      </c>
      <c r="M30" s="47">
        <v>22.83</v>
      </c>
      <c r="N30" s="47">
        <v>22.83</v>
      </c>
      <c r="O30" s="47">
        <v>22.83</v>
      </c>
      <c r="P30" s="47">
        <v>22.83</v>
      </c>
      <c r="Q30" s="47">
        <v>22.83</v>
      </c>
      <c r="R30" s="47">
        <v>22.83</v>
      </c>
      <c r="S30" s="47">
        <v>22.83</v>
      </c>
      <c r="T30" s="47">
        <v>22.83</v>
      </c>
      <c r="U30" s="47">
        <v>22.83</v>
      </c>
      <c r="V30" s="47">
        <v>22.83</v>
      </c>
      <c r="W30" s="47">
        <v>22.83</v>
      </c>
      <c r="X30" s="47">
        <v>22.83</v>
      </c>
      <c r="Y30" s="47">
        <v>22.83</v>
      </c>
      <c r="Z30" s="47">
        <v>22.83</v>
      </c>
      <c r="AA30" s="47">
        <v>22.83</v>
      </c>
      <c r="AB30" s="45">
        <f t="shared" si="0"/>
        <v>547.91999999999996</v>
      </c>
      <c r="AC30" s="37">
        <v>22</v>
      </c>
      <c r="AD30" s="92">
        <f>+AB30*AC30+AB31*AC31+AB32*AC32</f>
        <v>16437.599999999999</v>
      </c>
    </row>
    <row r="31" spans="2:30">
      <c r="B31" s="90"/>
      <c r="C31" s="44" t="s">
        <v>33</v>
      </c>
      <c r="D31" s="47">
        <v>22.83</v>
      </c>
      <c r="E31" s="47">
        <v>22.83</v>
      </c>
      <c r="F31" s="47">
        <v>22.83</v>
      </c>
      <c r="G31" s="47">
        <v>22.83</v>
      </c>
      <c r="H31" s="47">
        <v>22.83</v>
      </c>
      <c r="I31" s="47">
        <v>22.83</v>
      </c>
      <c r="J31" s="47">
        <v>22.83</v>
      </c>
      <c r="K31" s="47">
        <v>22.83</v>
      </c>
      <c r="L31" s="47">
        <v>22.83</v>
      </c>
      <c r="M31" s="47">
        <v>22.83</v>
      </c>
      <c r="N31" s="47">
        <v>22.83</v>
      </c>
      <c r="O31" s="47">
        <v>22.83</v>
      </c>
      <c r="P31" s="47">
        <v>22.83</v>
      </c>
      <c r="Q31" s="47">
        <v>22.83</v>
      </c>
      <c r="R31" s="47">
        <v>22.83</v>
      </c>
      <c r="S31" s="47">
        <v>22.83</v>
      </c>
      <c r="T31" s="47">
        <v>22.83</v>
      </c>
      <c r="U31" s="47">
        <v>22.83</v>
      </c>
      <c r="V31" s="47">
        <v>22.83</v>
      </c>
      <c r="W31" s="47">
        <v>22.83</v>
      </c>
      <c r="X31" s="47">
        <v>22.83</v>
      </c>
      <c r="Y31" s="47">
        <v>22.83</v>
      </c>
      <c r="Z31" s="47">
        <v>22.83</v>
      </c>
      <c r="AA31" s="47">
        <v>22.83</v>
      </c>
      <c r="AB31" s="45">
        <f t="shared" si="0"/>
        <v>547.91999999999996</v>
      </c>
      <c r="AC31" s="37">
        <v>4</v>
      </c>
      <c r="AD31" s="92"/>
    </row>
    <row r="32" spans="2:30">
      <c r="B32" s="90"/>
      <c r="C32" s="44" t="s">
        <v>34</v>
      </c>
      <c r="D32" s="47">
        <v>22.83</v>
      </c>
      <c r="E32" s="47">
        <v>22.83</v>
      </c>
      <c r="F32" s="47">
        <v>22.83</v>
      </c>
      <c r="G32" s="47">
        <v>22.83</v>
      </c>
      <c r="H32" s="47">
        <v>22.83</v>
      </c>
      <c r="I32" s="47">
        <v>22.83</v>
      </c>
      <c r="J32" s="47">
        <v>22.83</v>
      </c>
      <c r="K32" s="47">
        <v>22.83</v>
      </c>
      <c r="L32" s="47">
        <v>22.83</v>
      </c>
      <c r="M32" s="47">
        <v>22.83</v>
      </c>
      <c r="N32" s="47">
        <v>22.83</v>
      </c>
      <c r="O32" s="47">
        <v>22.83</v>
      </c>
      <c r="P32" s="47">
        <v>22.83</v>
      </c>
      <c r="Q32" s="47">
        <v>22.83</v>
      </c>
      <c r="R32" s="47">
        <v>22.83</v>
      </c>
      <c r="S32" s="47">
        <v>22.83</v>
      </c>
      <c r="T32" s="47">
        <v>22.83</v>
      </c>
      <c r="U32" s="47">
        <v>22.83</v>
      </c>
      <c r="V32" s="47">
        <v>22.83</v>
      </c>
      <c r="W32" s="47">
        <v>22.83</v>
      </c>
      <c r="X32" s="47">
        <v>22.83</v>
      </c>
      <c r="Y32" s="47">
        <v>22.83</v>
      </c>
      <c r="Z32" s="47">
        <v>22.83</v>
      </c>
      <c r="AA32" s="47">
        <v>22.83</v>
      </c>
      <c r="AB32" s="45">
        <f t="shared" si="0"/>
        <v>547.91999999999996</v>
      </c>
      <c r="AC32" s="37">
        <v>4</v>
      </c>
      <c r="AD32" s="92"/>
    </row>
    <row r="33" spans="2:31">
      <c r="B33" s="90">
        <v>48853</v>
      </c>
      <c r="C33" s="44" t="s">
        <v>32</v>
      </c>
      <c r="D33" s="47">
        <v>22.83</v>
      </c>
      <c r="E33" s="47">
        <v>22.83</v>
      </c>
      <c r="F33" s="47">
        <v>22.83</v>
      </c>
      <c r="G33" s="47">
        <v>22.83</v>
      </c>
      <c r="H33" s="47">
        <v>22.83</v>
      </c>
      <c r="I33" s="47">
        <v>22.83</v>
      </c>
      <c r="J33" s="47">
        <v>22.83</v>
      </c>
      <c r="K33" s="47">
        <v>22.83</v>
      </c>
      <c r="L33" s="47">
        <v>22.83</v>
      </c>
      <c r="M33" s="47">
        <v>22.83</v>
      </c>
      <c r="N33" s="47">
        <v>22.83</v>
      </c>
      <c r="O33" s="47">
        <v>22.83</v>
      </c>
      <c r="P33" s="47">
        <v>22.83</v>
      </c>
      <c r="Q33" s="47">
        <v>22.83</v>
      </c>
      <c r="R33" s="47">
        <v>22.83</v>
      </c>
      <c r="S33" s="47">
        <v>22.83</v>
      </c>
      <c r="T33" s="47">
        <v>22.83</v>
      </c>
      <c r="U33" s="47">
        <v>22.83</v>
      </c>
      <c r="V33" s="47">
        <v>22.83</v>
      </c>
      <c r="W33" s="47">
        <v>22.83</v>
      </c>
      <c r="X33" s="47">
        <v>22.83</v>
      </c>
      <c r="Y33" s="47">
        <v>22.83</v>
      </c>
      <c r="Z33" s="47">
        <v>22.83</v>
      </c>
      <c r="AA33" s="47">
        <v>22.83</v>
      </c>
      <c r="AB33" s="45">
        <f t="shared" si="0"/>
        <v>547.91999999999996</v>
      </c>
      <c r="AC33" s="37">
        <v>19</v>
      </c>
      <c r="AD33" s="92">
        <f>+AB33*AC33+AB34*AC34+AB35*AC35</f>
        <v>16985.52</v>
      </c>
    </row>
    <row r="34" spans="2:31">
      <c r="B34" s="90"/>
      <c r="C34" s="44" t="s">
        <v>33</v>
      </c>
      <c r="D34" s="47">
        <v>22.83</v>
      </c>
      <c r="E34" s="47">
        <v>22.83</v>
      </c>
      <c r="F34" s="47">
        <v>22.83</v>
      </c>
      <c r="G34" s="47">
        <v>22.83</v>
      </c>
      <c r="H34" s="47">
        <v>22.83</v>
      </c>
      <c r="I34" s="47">
        <v>22.83</v>
      </c>
      <c r="J34" s="47">
        <v>22.83</v>
      </c>
      <c r="K34" s="47">
        <v>22.83</v>
      </c>
      <c r="L34" s="47">
        <v>22.83</v>
      </c>
      <c r="M34" s="47">
        <v>22.83</v>
      </c>
      <c r="N34" s="47">
        <v>22.83</v>
      </c>
      <c r="O34" s="47">
        <v>22.83</v>
      </c>
      <c r="P34" s="47">
        <v>22.83</v>
      </c>
      <c r="Q34" s="47">
        <v>22.83</v>
      </c>
      <c r="R34" s="47">
        <v>22.83</v>
      </c>
      <c r="S34" s="47">
        <v>22.83</v>
      </c>
      <c r="T34" s="47">
        <v>22.83</v>
      </c>
      <c r="U34" s="47">
        <v>22.83</v>
      </c>
      <c r="V34" s="47">
        <v>22.83</v>
      </c>
      <c r="W34" s="47">
        <v>22.83</v>
      </c>
      <c r="X34" s="47">
        <v>22.83</v>
      </c>
      <c r="Y34" s="47">
        <v>22.83</v>
      </c>
      <c r="Z34" s="47">
        <v>22.83</v>
      </c>
      <c r="AA34" s="47">
        <v>22.83</v>
      </c>
      <c r="AB34" s="45">
        <f t="shared" si="0"/>
        <v>547.91999999999996</v>
      </c>
      <c r="AC34" s="37">
        <v>5</v>
      </c>
      <c r="AD34" s="92"/>
    </row>
    <row r="35" spans="2:31">
      <c r="B35" s="90"/>
      <c r="C35" s="44" t="s">
        <v>34</v>
      </c>
      <c r="D35" s="47">
        <v>22.83</v>
      </c>
      <c r="E35" s="47">
        <v>22.83</v>
      </c>
      <c r="F35" s="47">
        <v>22.83</v>
      </c>
      <c r="G35" s="47">
        <v>22.83</v>
      </c>
      <c r="H35" s="47">
        <v>22.83</v>
      </c>
      <c r="I35" s="47">
        <v>22.83</v>
      </c>
      <c r="J35" s="47">
        <v>22.83</v>
      </c>
      <c r="K35" s="47">
        <v>22.83</v>
      </c>
      <c r="L35" s="47">
        <v>22.83</v>
      </c>
      <c r="M35" s="47">
        <v>22.83</v>
      </c>
      <c r="N35" s="47">
        <v>22.83</v>
      </c>
      <c r="O35" s="47">
        <v>22.83</v>
      </c>
      <c r="P35" s="47">
        <v>22.83</v>
      </c>
      <c r="Q35" s="47">
        <v>22.83</v>
      </c>
      <c r="R35" s="47">
        <v>22.83</v>
      </c>
      <c r="S35" s="47">
        <v>22.83</v>
      </c>
      <c r="T35" s="47">
        <v>22.83</v>
      </c>
      <c r="U35" s="47">
        <v>22.83</v>
      </c>
      <c r="V35" s="47">
        <v>22.83</v>
      </c>
      <c r="W35" s="47">
        <v>22.83</v>
      </c>
      <c r="X35" s="47">
        <v>22.83</v>
      </c>
      <c r="Y35" s="47">
        <v>22.83</v>
      </c>
      <c r="Z35" s="47">
        <v>22.83</v>
      </c>
      <c r="AA35" s="47">
        <v>22.83</v>
      </c>
      <c r="AB35" s="45">
        <f t="shared" si="0"/>
        <v>547.91999999999996</v>
      </c>
      <c r="AC35" s="37">
        <v>7</v>
      </c>
      <c r="AD35" s="92"/>
    </row>
    <row r="36" spans="2:31">
      <c r="B36" s="90">
        <v>48884</v>
      </c>
      <c r="C36" s="44" t="s">
        <v>32</v>
      </c>
      <c r="D36" s="47">
        <v>22.83</v>
      </c>
      <c r="E36" s="47">
        <v>22.83</v>
      </c>
      <c r="F36" s="47">
        <v>22.83</v>
      </c>
      <c r="G36" s="47">
        <v>22.83</v>
      </c>
      <c r="H36" s="47">
        <v>22.83</v>
      </c>
      <c r="I36" s="47">
        <v>22.83</v>
      </c>
      <c r="J36" s="47">
        <v>22.83</v>
      </c>
      <c r="K36" s="47">
        <v>22.83</v>
      </c>
      <c r="L36" s="47">
        <v>22.83</v>
      </c>
      <c r="M36" s="47">
        <v>22.83</v>
      </c>
      <c r="N36" s="47">
        <v>22.83</v>
      </c>
      <c r="O36" s="47">
        <v>22.83</v>
      </c>
      <c r="P36" s="47">
        <v>22.83</v>
      </c>
      <c r="Q36" s="47">
        <v>22.83</v>
      </c>
      <c r="R36" s="47">
        <v>22.83</v>
      </c>
      <c r="S36" s="47">
        <v>22.83</v>
      </c>
      <c r="T36" s="47">
        <v>22.83</v>
      </c>
      <c r="U36" s="47">
        <v>22.83</v>
      </c>
      <c r="V36" s="47">
        <v>22.83</v>
      </c>
      <c r="W36" s="47">
        <v>22.83</v>
      </c>
      <c r="X36" s="47">
        <v>22.83</v>
      </c>
      <c r="Y36" s="47">
        <v>22.83</v>
      </c>
      <c r="Z36" s="47">
        <v>22.83</v>
      </c>
      <c r="AA36" s="47">
        <v>22.83</v>
      </c>
      <c r="AB36" s="45">
        <f t="shared" si="0"/>
        <v>547.91999999999996</v>
      </c>
      <c r="AC36" s="37">
        <v>19</v>
      </c>
      <c r="AD36" s="92">
        <f>+AB36*AC36+AB37*AC37+AB38*AC38</f>
        <v>16437.599999999999</v>
      </c>
    </row>
    <row r="37" spans="2:31">
      <c r="B37" s="90"/>
      <c r="C37" s="44" t="s">
        <v>33</v>
      </c>
      <c r="D37" s="47">
        <v>22.83</v>
      </c>
      <c r="E37" s="47">
        <v>22.83</v>
      </c>
      <c r="F37" s="47">
        <v>22.83</v>
      </c>
      <c r="G37" s="47">
        <v>22.83</v>
      </c>
      <c r="H37" s="47">
        <v>22.83</v>
      </c>
      <c r="I37" s="47">
        <v>22.83</v>
      </c>
      <c r="J37" s="47">
        <v>22.83</v>
      </c>
      <c r="K37" s="47">
        <v>22.83</v>
      </c>
      <c r="L37" s="47">
        <v>22.83</v>
      </c>
      <c r="M37" s="47">
        <v>22.83</v>
      </c>
      <c r="N37" s="47">
        <v>22.83</v>
      </c>
      <c r="O37" s="47">
        <v>22.83</v>
      </c>
      <c r="P37" s="47">
        <v>22.83</v>
      </c>
      <c r="Q37" s="47">
        <v>22.83</v>
      </c>
      <c r="R37" s="47">
        <v>22.83</v>
      </c>
      <c r="S37" s="47">
        <v>22.83</v>
      </c>
      <c r="T37" s="47">
        <v>22.83</v>
      </c>
      <c r="U37" s="47">
        <v>22.83</v>
      </c>
      <c r="V37" s="47">
        <v>22.83</v>
      </c>
      <c r="W37" s="47">
        <v>22.83</v>
      </c>
      <c r="X37" s="47">
        <v>22.83</v>
      </c>
      <c r="Y37" s="47">
        <v>22.83</v>
      </c>
      <c r="Z37" s="47">
        <v>22.83</v>
      </c>
      <c r="AA37" s="47">
        <v>22.83</v>
      </c>
      <c r="AB37" s="45">
        <f t="shared" si="0"/>
        <v>547.91999999999996</v>
      </c>
      <c r="AC37" s="37">
        <v>4</v>
      </c>
      <c r="AD37" s="92"/>
    </row>
    <row r="38" spans="2:31">
      <c r="B38" s="90"/>
      <c r="C38" s="44" t="s">
        <v>34</v>
      </c>
      <c r="D38" s="47">
        <v>22.83</v>
      </c>
      <c r="E38" s="47">
        <v>22.83</v>
      </c>
      <c r="F38" s="47">
        <v>22.83</v>
      </c>
      <c r="G38" s="47">
        <v>22.83</v>
      </c>
      <c r="H38" s="47">
        <v>22.83</v>
      </c>
      <c r="I38" s="47">
        <v>22.83</v>
      </c>
      <c r="J38" s="47">
        <v>22.83</v>
      </c>
      <c r="K38" s="47">
        <v>22.83</v>
      </c>
      <c r="L38" s="47">
        <v>22.83</v>
      </c>
      <c r="M38" s="47">
        <v>22.83</v>
      </c>
      <c r="N38" s="47">
        <v>22.83</v>
      </c>
      <c r="O38" s="47">
        <v>22.83</v>
      </c>
      <c r="P38" s="47">
        <v>22.83</v>
      </c>
      <c r="Q38" s="47">
        <v>22.83</v>
      </c>
      <c r="R38" s="47">
        <v>22.83</v>
      </c>
      <c r="S38" s="47">
        <v>22.83</v>
      </c>
      <c r="T38" s="47">
        <v>22.83</v>
      </c>
      <c r="U38" s="47">
        <v>22.83</v>
      </c>
      <c r="V38" s="47">
        <v>22.83</v>
      </c>
      <c r="W38" s="47">
        <v>22.83</v>
      </c>
      <c r="X38" s="47">
        <v>22.83</v>
      </c>
      <c r="Y38" s="47">
        <v>22.83</v>
      </c>
      <c r="Z38" s="47">
        <v>22.83</v>
      </c>
      <c r="AA38" s="47">
        <v>22.83</v>
      </c>
      <c r="AB38" s="45">
        <f t="shared" si="0"/>
        <v>547.91999999999996</v>
      </c>
      <c r="AC38" s="37">
        <v>7</v>
      </c>
      <c r="AD38" s="92"/>
    </row>
    <row r="39" spans="2:31">
      <c r="B39" s="90">
        <v>48914</v>
      </c>
      <c r="C39" s="44" t="s">
        <v>32</v>
      </c>
      <c r="D39" s="47">
        <v>22.83</v>
      </c>
      <c r="E39" s="47">
        <v>22.83</v>
      </c>
      <c r="F39" s="47">
        <v>22.83</v>
      </c>
      <c r="G39" s="47">
        <v>22.83</v>
      </c>
      <c r="H39" s="47">
        <v>22.83</v>
      </c>
      <c r="I39" s="47">
        <v>22.83</v>
      </c>
      <c r="J39" s="47">
        <v>22.83</v>
      </c>
      <c r="K39" s="47">
        <v>22.83</v>
      </c>
      <c r="L39" s="47">
        <v>22.83</v>
      </c>
      <c r="M39" s="47">
        <v>22.83</v>
      </c>
      <c r="N39" s="47">
        <v>22.83</v>
      </c>
      <c r="O39" s="47">
        <v>22.83</v>
      </c>
      <c r="P39" s="47">
        <v>22.83</v>
      </c>
      <c r="Q39" s="47">
        <v>22.83</v>
      </c>
      <c r="R39" s="47">
        <v>22.83</v>
      </c>
      <c r="S39" s="47">
        <v>22.83</v>
      </c>
      <c r="T39" s="47">
        <v>22.83</v>
      </c>
      <c r="U39" s="47">
        <v>22.83</v>
      </c>
      <c r="V39" s="47">
        <v>22.83</v>
      </c>
      <c r="W39" s="47">
        <v>22.83</v>
      </c>
      <c r="X39" s="47">
        <v>22.83</v>
      </c>
      <c r="Y39" s="47">
        <v>22.83</v>
      </c>
      <c r="Z39" s="47">
        <v>22.83</v>
      </c>
      <c r="AA39" s="47">
        <v>22.83</v>
      </c>
      <c r="AB39" s="45">
        <f t="shared" si="0"/>
        <v>547.91999999999996</v>
      </c>
      <c r="AC39" s="37">
        <v>21</v>
      </c>
      <c r="AD39" s="92">
        <f>+AB39*AC39+AB40*AC40+AB41*AC41</f>
        <v>16985.52</v>
      </c>
    </row>
    <row r="40" spans="2:31">
      <c r="B40" s="90"/>
      <c r="C40" s="44" t="s">
        <v>33</v>
      </c>
      <c r="D40" s="47">
        <v>22.83</v>
      </c>
      <c r="E40" s="47">
        <v>22.83</v>
      </c>
      <c r="F40" s="47">
        <v>22.83</v>
      </c>
      <c r="G40" s="47">
        <v>22.83</v>
      </c>
      <c r="H40" s="47">
        <v>22.83</v>
      </c>
      <c r="I40" s="47">
        <v>22.83</v>
      </c>
      <c r="J40" s="47">
        <v>22.83</v>
      </c>
      <c r="K40" s="47">
        <v>22.83</v>
      </c>
      <c r="L40" s="47">
        <v>22.83</v>
      </c>
      <c r="M40" s="47">
        <v>22.83</v>
      </c>
      <c r="N40" s="47">
        <v>22.83</v>
      </c>
      <c r="O40" s="47">
        <v>22.83</v>
      </c>
      <c r="P40" s="47">
        <v>22.83</v>
      </c>
      <c r="Q40" s="47">
        <v>22.83</v>
      </c>
      <c r="R40" s="47">
        <v>22.83</v>
      </c>
      <c r="S40" s="47">
        <v>22.83</v>
      </c>
      <c r="T40" s="47">
        <v>22.83</v>
      </c>
      <c r="U40" s="47">
        <v>22.83</v>
      </c>
      <c r="V40" s="47">
        <v>22.83</v>
      </c>
      <c r="W40" s="47">
        <v>22.83</v>
      </c>
      <c r="X40" s="47">
        <v>22.83</v>
      </c>
      <c r="Y40" s="47">
        <v>22.83</v>
      </c>
      <c r="Z40" s="47">
        <v>22.83</v>
      </c>
      <c r="AA40" s="47">
        <v>22.83</v>
      </c>
      <c r="AB40" s="45">
        <f t="shared" si="0"/>
        <v>547.91999999999996</v>
      </c>
      <c r="AC40" s="37">
        <v>5</v>
      </c>
      <c r="AD40" s="92"/>
    </row>
    <row r="41" spans="2:31">
      <c r="B41" s="90"/>
      <c r="C41" s="44" t="s">
        <v>34</v>
      </c>
      <c r="D41" s="47">
        <v>22.83</v>
      </c>
      <c r="E41" s="47">
        <v>22.83</v>
      </c>
      <c r="F41" s="47">
        <v>22.83</v>
      </c>
      <c r="G41" s="47">
        <v>22.83</v>
      </c>
      <c r="H41" s="47">
        <v>22.83</v>
      </c>
      <c r="I41" s="47">
        <v>22.83</v>
      </c>
      <c r="J41" s="47">
        <v>22.83</v>
      </c>
      <c r="K41" s="47">
        <v>22.83</v>
      </c>
      <c r="L41" s="47">
        <v>22.83</v>
      </c>
      <c r="M41" s="47">
        <v>22.83</v>
      </c>
      <c r="N41" s="47">
        <v>22.83</v>
      </c>
      <c r="O41" s="47">
        <v>22.83</v>
      </c>
      <c r="P41" s="47">
        <v>22.83</v>
      </c>
      <c r="Q41" s="47">
        <v>22.83</v>
      </c>
      <c r="R41" s="47">
        <v>22.83</v>
      </c>
      <c r="S41" s="47">
        <v>22.83</v>
      </c>
      <c r="T41" s="47">
        <v>22.83</v>
      </c>
      <c r="U41" s="47">
        <v>22.83</v>
      </c>
      <c r="V41" s="47">
        <v>22.83</v>
      </c>
      <c r="W41" s="47">
        <v>22.83</v>
      </c>
      <c r="X41" s="47">
        <v>22.83</v>
      </c>
      <c r="Y41" s="47">
        <v>22.83</v>
      </c>
      <c r="Z41" s="47">
        <v>22.83</v>
      </c>
      <c r="AA41" s="47">
        <v>22.83</v>
      </c>
      <c r="AB41" s="45">
        <f t="shared" si="0"/>
        <v>547.91999999999996</v>
      </c>
      <c r="AC41" s="37">
        <v>5</v>
      </c>
      <c r="AD41" s="92"/>
    </row>
    <row r="42" spans="2:31"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86" t="s">
        <v>35</v>
      </c>
      <c r="AB42" s="87"/>
      <c r="AC42" s="88"/>
      <c r="AD42" s="39">
        <f>SUM(AD6:AD41)</f>
        <v>199990.8</v>
      </c>
    </row>
    <row r="43" spans="2:31"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2:31" ht="23.25">
      <c r="B44" s="41" t="s">
        <v>42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40"/>
      <c r="AC44" s="40"/>
      <c r="AD44" s="38"/>
    </row>
    <row r="45" spans="2:31">
      <c r="B45" s="42" t="s">
        <v>3</v>
      </c>
      <c r="C45" s="42" t="s">
        <v>4</v>
      </c>
      <c r="D45" s="42" t="s">
        <v>5</v>
      </c>
      <c r="E45" s="42" t="s">
        <v>6</v>
      </c>
      <c r="F45" s="42" t="s">
        <v>7</v>
      </c>
      <c r="G45" s="42" t="s">
        <v>8</v>
      </c>
      <c r="H45" s="42" t="s">
        <v>9</v>
      </c>
      <c r="I45" s="42" t="s">
        <v>10</v>
      </c>
      <c r="J45" s="42" t="s">
        <v>11</v>
      </c>
      <c r="K45" s="42" t="s">
        <v>12</v>
      </c>
      <c r="L45" s="42" t="s">
        <v>13</v>
      </c>
      <c r="M45" s="42" t="s">
        <v>14</v>
      </c>
      <c r="N45" s="42" t="s">
        <v>15</v>
      </c>
      <c r="O45" s="42" t="s">
        <v>16</v>
      </c>
      <c r="P45" s="42" t="s">
        <v>17</v>
      </c>
      <c r="Q45" s="42" t="s">
        <v>18</v>
      </c>
      <c r="R45" s="42" t="s">
        <v>19</v>
      </c>
      <c r="S45" s="42" t="s">
        <v>20</v>
      </c>
      <c r="T45" s="42" t="s">
        <v>21</v>
      </c>
      <c r="U45" s="42" t="s">
        <v>22</v>
      </c>
      <c r="V45" s="42" t="s">
        <v>23</v>
      </c>
      <c r="W45" s="42" t="s">
        <v>24</v>
      </c>
      <c r="X45" s="42" t="s">
        <v>25</v>
      </c>
      <c r="Y45" s="42" t="s">
        <v>26</v>
      </c>
      <c r="Z45" s="42" t="s">
        <v>27</v>
      </c>
      <c r="AA45" s="42" t="s">
        <v>28</v>
      </c>
      <c r="AB45" s="36" t="s">
        <v>29</v>
      </c>
      <c r="AC45" s="43" t="s">
        <v>30</v>
      </c>
      <c r="AD45" s="42" t="s">
        <v>31</v>
      </c>
    </row>
    <row r="46" spans="2:31">
      <c r="B46" s="90">
        <v>48945</v>
      </c>
      <c r="C46" s="44" t="s">
        <v>32</v>
      </c>
      <c r="D46" s="47">
        <v>22.83</v>
      </c>
      <c r="E46" s="47">
        <v>22.83</v>
      </c>
      <c r="F46" s="47">
        <v>22.83</v>
      </c>
      <c r="G46" s="47">
        <v>22.83</v>
      </c>
      <c r="H46" s="47">
        <v>22.83</v>
      </c>
      <c r="I46" s="47">
        <v>22.83</v>
      </c>
      <c r="J46" s="47">
        <v>22.83</v>
      </c>
      <c r="K46" s="47">
        <v>22.83</v>
      </c>
      <c r="L46" s="47">
        <v>22.83</v>
      </c>
      <c r="M46" s="47">
        <v>22.83</v>
      </c>
      <c r="N46" s="47">
        <v>22.83</v>
      </c>
      <c r="O46" s="47">
        <v>22.83</v>
      </c>
      <c r="P46" s="47">
        <v>22.83</v>
      </c>
      <c r="Q46" s="47">
        <v>22.83</v>
      </c>
      <c r="R46" s="47">
        <v>22.83</v>
      </c>
      <c r="S46" s="47">
        <v>22.83</v>
      </c>
      <c r="T46" s="47">
        <v>22.83</v>
      </c>
      <c r="U46" s="47">
        <v>22.83</v>
      </c>
      <c r="V46" s="47">
        <v>22.83</v>
      </c>
      <c r="W46" s="47">
        <v>22.83</v>
      </c>
      <c r="X46" s="47">
        <v>22.83</v>
      </c>
      <c r="Y46" s="47">
        <v>22.83</v>
      </c>
      <c r="Z46" s="47">
        <v>22.83</v>
      </c>
      <c r="AA46" s="47">
        <v>22.83</v>
      </c>
      <c r="AB46" s="45">
        <f>SUM(D46:AA46)</f>
        <v>547.91999999999996</v>
      </c>
      <c r="AC46" s="37">
        <v>21</v>
      </c>
      <c r="AD46" s="92">
        <f>+AB46*AC46+AB47*AC47+AB48*AC48</f>
        <v>16985.52</v>
      </c>
    </row>
    <row r="47" spans="2:31">
      <c r="B47" s="90"/>
      <c r="C47" s="44" t="s">
        <v>33</v>
      </c>
      <c r="D47" s="47">
        <v>22.83</v>
      </c>
      <c r="E47" s="47">
        <v>22.83</v>
      </c>
      <c r="F47" s="47">
        <v>22.83</v>
      </c>
      <c r="G47" s="47">
        <v>22.83</v>
      </c>
      <c r="H47" s="47">
        <v>22.83</v>
      </c>
      <c r="I47" s="47">
        <v>22.83</v>
      </c>
      <c r="J47" s="47">
        <v>22.83</v>
      </c>
      <c r="K47" s="47">
        <v>22.83</v>
      </c>
      <c r="L47" s="47">
        <v>22.83</v>
      </c>
      <c r="M47" s="47">
        <v>22.83</v>
      </c>
      <c r="N47" s="47">
        <v>22.83</v>
      </c>
      <c r="O47" s="47">
        <v>22.83</v>
      </c>
      <c r="P47" s="47">
        <v>22.83</v>
      </c>
      <c r="Q47" s="47">
        <v>22.83</v>
      </c>
      <c r="R47" s="47">
        <v>22.83</v>
      </c>
      <c r="S47" s="47">
        <v>22.83</v>
      </c>
      <c r="T47" s="47">
        <v>22.83</v>
      </c>
      <c r="U47" s="47">
        <v>22.83</v>
      </c>
      <c r="V47" s="47">
        <v>22.83</v>
      </c>
      <c r="W47" s="47">
        <v>22.83</v>
      </c>
      <c r="X47" s="47">
        <v>22.83</v>
      </c>
      <c r="Y47" s="47">
        <v>22.83</v>
      </c>
      <c r="Z47" s="47">
        <v>22.83</v>
      </c>
      <c r="AA47" s="47">
        <v>22.83</v>
      </c>
      <c r="AB47" s="45">
        <f t="shared" ref="AB47:AB81" si="1">SUM(D47:AA47)</f>
        <v>547.91999999999996</v>
      </c>
      <c r="AC47" s="37">
        <v>4</v>
      </c>
      <c r="AD47" s="92"/>
    </row>
    <row r="48" spans="2:31">
      <c r="B48" s="90"/>
      <c r="C48" s="44" t="s">
        <v>34</v>
      </c>
      <c r="D48" s="47">
        <v>22.83</v>
      </c>
      <c r="E48" s="47">
        <v>22.83</v>
      </c>
      <c r="F48" s="47">
        <v>22.83</v>
      </c>
      <c r="G48" s="47">
        <v>22.83</v>
      </c>
      <c r="H48" s="47">
        <v>22.83</v>
      </c>
      <c r="I48" s="47">
        <v>22.83</v>
      </c>
      <c r="J48" s="47">
        <v>22.83</v>
      </c>
      <c r="K48" s="47">
        <v>22.83</v>
      </c>
      <c r="L48" s="47">
        <v>22.83</v>
      </c>
      <c r="M48" s="47">
        <v>22.83</v>
      </c>
      <c r="N48" s="47">
        <v>22.83</v>
      </c>
      <c r="O48" s="47">
        <v>22.83</v>
      </c>
      <c r="P48" s="47">
        <v>22.83</v>
      </c>
      <c r="Q48" s="47">
        <v>22.83</v>
      </c>
      <c r="R48" s="47">
        <v>22.83</v>
      </c>
      <c r="S48" s="47">
        <v>22.83</v>
      </c>
      <c r="T48" s="47">
        <v>22.83</v>
      </c>
      <c r="U48" s="47">
        <v>22.83</v>
      </c>
      <c r="V48" s="47">
        <v>22.83</v>
      </c>
      <c r="W48" s="47">
        <v>22.83</v>
      </c>
      <c r="X48" s="47">
        <v>22.83</v>
      </c>
      <c r="Y48" s="47">
        <v>22.83</v>
      </c>
      <c r="Z48" s="47">
        <v>22.83</v>
      </c>
      <c r="AA48" s="47">
        <v>22.83</v>
      </c>
      <c r="AB48" s="45">
        <f t="shared" si="1"/>
        <v>547.91999999999996</v>
      </c>
      <c r="AC48" s="37">
        <v>6</v>
      </c>
      <c r="AD48" s="92"/>
    </row>
    <row r="49" spans="2:30">
      <c r="B49" s="90">
        <v>48976</v>
      </c>
      <c r="C49" s="44" t="s">
        <v>32</v>
      </c>
      <c r="D49" s="47">
        <v>22.83</v>
      </c>
      <c r="E49" s="47">
        <v>22.83</v>
      </c>
      <c r="F49" s="47">
        <v>22.83</v>
      </c>
      <c r="G49" s="47">
        <v>22.83</v>
      </c>
      <c r="H49" s="47">
        <v>22.83</v>
      </c>
      <c r="I49" s="47">
        <v>22.83</v>
      </c>
      <c r="J49" s="47">
        <v>22.83</v>
      </c>
      <c r="K49" s="47">
        <v>22.83</v>
      </c>
      <c r="L49" s="47">
        <v>22.83</v>
      </c>
      <c r="M49" s="47">
        <v>22.83</v>
      </c>
      <c r="N49" s="47">
        <v>22.83</v>
      </c>
      <c r="O49" s="47">
        <v>22.83</v>
      </c>
      <c r="P49" s="47">
        <v>22.83</v>
      </c>
      <c r="Q49" s="47">
        <v>22.83</v>
      </c>
      <c r="R49" s="47">
        <v>22.83</v>
      </c>
      <c r="S49" s="47">
        <v>22.83</v>
      </c>
      <c r="T49" s="47">
        <v>22.83</v>
      </c>
      <c r="U49" s="47">
        <v>22.83</v>
      </c>
      <c r="V49" s="47">
        <v>22.83</v>
      </c>
      <c r="W49" s="47">
        <v>22.83</v>
      </c>
      <c r="X49" s="47">
        <v>22.83</v>
      </c>
      <c r="Y49" s="47">
        <v>22.83</v>
      </c>
      <c r="Z49" s="47">
        <v>22.83</v>
      </c>
      <c r="AA49" s="47">
        <v>22.83</v>
      </c>
      <c r="AB49" s="45">
        <f t="shared" si="1"/>
        <v>547.91999999999996</v>
      </c>
      <c r="AC49" s="37">
        <v>20</v>
      </c>
      <c r="AD49" s="92">
        <f>+AB49*AC49+AB50*AC50+AB51*AC51</f>
        <v>15341.76</v>
      </c>
    </row>
    <row r="50" spans="2:30">
      <c r="B50" s="90"/>
      <c r="C50" s="44" t="s">
        <v>33</v>
      </c>
      <c r="D50" s="47">
        <v>22.83</v>
      </c>
      <c r="E50" s="47">
        <v>22.83</v>
      </c>
      <c r="F50" s="47">
        <v>22.83</v>
      </c>
      <c r="G50" s="47">
        <v>22.83</v>
      </c>
      <c r="H50" s="47">
        <v>22.83</v>
      </c>
      <c r="I50" s="47">
        <v>22.83</v>
      </c>
      <c r="J50" s="47">
        <v>22.83</v>
      </c>
      <c r="K50" s="47">
        <v>22.83</v>
      </c>
      <c r="L50" s="47">
        <v>22.83</v>
      </c>
      <c r="M50" s="47">
        <v>22.83</v>
      </c>
      <c r="N50" s="47">
        <v>22.83</v>
      </c>
      <c r="O50" s="47">
        <v>22.83</v>
      </c>
      <c r="P50" s="47">
        <v>22.83</v>
      </c>
      <c r="Q50" s="47">
        <v>22.83</v>
      </c>
      <c r="R50" s="47">
        <v>22.83</v>
      </c>
      <c r="S50" s="47">
        <v>22.83</v>
      </c>
      <c r="T50" s="47">
        <v>22.83</v>
      </c>
      <c r="U50" s="47">
        <v>22.83</v>
      </c>
      <c r="V50" s="47">
        <v>22.83</v>
      </c>
      <c r="W50" s="47">
        <v>22.83</v>
      </c>
      <c r="X50" s="47">
        <v>22.83</v>
      </c>
      <c r="Y50" s="47">
        <v>22.83</v>
      </c>
      <c r="Z50" s="47">
        <v>22.83</v>
      </c>
      <c r="AA50" s="47">
        <v>22.83</v>
      </c>
      <c r="AB50" s="45">
        <f t="shared" si="1"/>
        <v>547.91999999999996</v>
      </c>
      <c r="AC50" s="37">
        <v>4</v>
      </c>
      <c r="AD50" s="92"/>
    </row>
    <row r="51" spans="2:30">
      <c r="B51" s="90"/>
      <c r="C51" s="44" t="s">
        <v>34</v>
      </c>
      <c r="D51" s="47">
        <v>22.83</v>
      </c>
      <c r="E51" s="47">
        <v>22.83</v>
      </c>
      <c r="F51" s="47">
        <v>22.83</v>
      </c>
      <c r="G51" s="47">
        <v>22.83</v>
      </c>
      <c r="H51" s="47">
        <v>22.83</v>
      </c>
      <c r="I51" s="47">
        <v>22.83</v>
      </c>
      <c r="J51" s="47">
        <v>22.83</v>
      </c>
      <c r="K51" s="47">
        <v>22.83</v>
      </c>
      <c r="L51" s="47">
        <v>22.83</v>
      </c>
      <c r="M51" s="47">
        <v>22.83</v>
      </c>
      <c r="N51" s="47">
        <v>22.83</v>
      </c>
      <c r="O51" s="47">
        <v>22.83</v>
      </c>
      <c r="P51" s="47">
        <v>22.83</v>
      </c>
      <c r="Q51" s="47">
        <v>22.83</v>
      </c>
      <c r="R51" s="47">
        <v>22.83</v>
      </c>
      <c r="S51" s="47">
        <v>22.83</v>
      </c>
      <c r="T51" s="47">
        <v>22.83</v>
      </c>
      <c r="U51" s="47">
        <v>22.83</v>
      </c>
      <c r="V51" s="47">
        <v>22.83</v>
      </c>
      <c r="W51" s="47">
        <v>22.83</v>
      </c>
      <c r="X51" s="47">
        <v>22.83</v>
      </c>
      <c r="Y51" s="47">
        <v>22.83</v>
      </c>
      <c r="Z51" s="47">
        <v>22.83</v>
      </c>
      <c r="AA51" s="47">
        <v>22.83</v>
      </c>
      <c r="AB51" s="45">
        <f t="shared" si="1"/>
        <v>547.91999999999996</v>
      </c>
      <c r="AC51" s="37">
        <v>4</v>
      </c>
      <c r="AD51" s="92"/>
    </row>
    <row r="52" spans="2:30">
      <c r="B52" s="90">
        <v>49004</v>
      </c>
      <c r="C52" s="44" t="s">
        <v>32</v>
      </c>
      <c r="D52" s="47">
        <v>22.83</v>
      </c>
      <c r="E52" s="47">
        <v>22.83</v>
      </c>
      <c r="F52" s="47">
        <v>22.83</v>
      </c>
      <c r="G52" s="47">
        <v>22.83</v>
      </c>
      <c r="H52" s="47">
        <v>22.83</v>
      </c>
      <c r="I52" s="47">
        <v>22.83</v>
      </c>
      <c r="J52" s="47">
        <v>22.83</v>
      </c>
      <c r="K52" s="47">
        <v>22.83</v>
      </c>
      <c r="L52" s="47">
        <v>22.83</v>
      </c>
      <c r="M52" s="47">
        <v>22.83</v>
      </c>
      <c r="N52" s="47">
        <v>22.83</v>
      </c>
      <c r="O52" s="47">
        <v>22.83</v>
      </c>
      <c r="P52" s="47">
        <v>22.83</v>
      </c>
      <c r="Q52" s="47">
        <v>22.83</v>
      </c>
      <c r="R52" s="47">
        <v>22.83</v>
      </c>
      <c r="S52" s="47">
        <v>22.83</v>
      </c>
      <c r="T52" s="47">
        <v>22.83</v>
      </c>
      <c r="U52" s="47">
        <v>22.83</v>
      </c>
      <c r="V52" s="47">
        <v>22.83</v>
      </c>
      <c r="W52" s="47">
        <v>22.83</v>
      </c>
      <c r="X52" s="47">
        <v>22.83</v>
      </c>
      <c r="Y52" s="47">
        <v>22.83</v>
      </c>
      <c r="Z52" s="47">
        <v>22.83</v>
      </c>
      <c r="AA52" s="47">
        <v>22.83</v>
      </c>
      <c r="AB52" s="45">
        <f t="shared" si="1"/>
        <v>547.91999999999996</v>
      </c>
      <c r="AC52" s="37">
        <v>22</v>
      </c>
      <c r="AD52" s="92">
        <f>+AB52*AC52+AB53*AC53+AB54*AC54</f>
        <v>16985.52</v>
      </c>
    </row>
    <row r="53" spans="2:30">
      <c r="B53" s="90"/>
      <c r="C53" s="44" t="s">
        <v>33</v>
      </c>
      <c r="D53" s="47">
        <v>22.83</v>
      </c>
      <c r="E53" s="47">
        <v>22.83</v>
      </c>
      <c r="F53" s="47">
        <v>22.83</v>
      </c>
      <c r="G53" s="47">
        <v>22.83</v>
      </c>
      <c r="H53" s="47">
        <v>22.83</v>
      </c>
      <c r="I53" s="47">
        <v>22.83</v>
      </c>
      <c r="J53" s="47">
        <v>22.83</v>
      </c>
      <c r="K53" s="47">
        <v>22.83</v>
      </c>
      <c r="L53" s="47">
        <v>22.83</v>
      </c>
      <c r="M53" s="47">
        <v>22.83</v>
      </c>
      <c r="N53" s="47">
        <v>22.83</v>
      </c>
      <c r="O53" s="47">
        <v>22.83</v>
      </c>
      <c r="P53" s="47">
        <v>22.83</v>
      </c>
      <c r="Q53" s="47">
        <v>22.83</v>
      </c>
      <c r="R53" s="47">
        <v>22.83</v>
      </c>
      <c r="S53" s="47">
        <v>22.83</v>
      </c>
      <c r="T53" s="47">
        <v>22.83</v>
      </c>
      <c r="U53" s="47">
        <v>22.83</v>
      </c>
      <c r="V53" s="47">
        <v>22.83</v>
      </c>
      <c r="W53" s="47">
        <v>22.83</v>
      </c>
      <c r="X53" s="47">
        <v>22.83</v>
      </c>
      <c r="Y53" s="47">
        <v>22.83</v>
      </c>
      <c r="Z53" s="47">
        <v>22.83</v>
      </c>
      <c r="AA53" s="47">
        <v>22.83</v>
      </c>
      <c r="AB53" s="45">
        <f t="shared" si="1"/>
        <v>547.91999999999996</v>
      </c>
      <c r="AC53" s="37">
        <v>4</v>
      </c>
      <c r="AD53" s="92"/>
    </row>
    <row r="54" spans="2:30">
      <c r="B54" s="90"/>
      <c r="C54" s="44" t="s">
        <v>34</v>
      </c>
      <c r="D54" s="47">
        <v>22.83</v>
      </c>
      <c r="E54" s="47">
        <v>22.83</v>
      </c>
      <c r="F54" s="47">
        <v>22.83</v>
      </c>
      <c r="G54" s="47">
        <v>22.83</v>
      </c>
      <c r="H54" s="47">
        <v>22.83</v>
      </c>
      <c r="I54" s="47">
        <v>22.83</v>
      </c>
      <c r="J54" s="47">
        <v>22.83</v>
      </c>
      <c r="K54" s="47">
        <v>22.83</v>
      </c>
      <c r="L54" s="47">
        <v>22.83</v>
      </c>
      <c r="M54" s="47">
        <v>22.83</v>
      </c>
      <c r="N54" s="47">
        <v>22.83</v>
      </c>
      <c r="O54" s="47">
        <v>22.83</v>
      </c>
      <c r="P54" s="47">
        <v>22.83</v>
      </c>
      <c r="Q54" s="47">
        <v>22.83</v>
      </c>
      <c r="R54" s="47">
        <v>22.83</v>
      </c>
      <c r="S54" s="47">
        <v>22.83</v>
      </c>
      <c r="T54" s="47">
        <v>22.83</v>
      </c>
      <c r="U54" s="47">
        <v>22.83</v>
      </c>
      <c r="V54" s="47">
        <v>22.83</v>
      </c>
      <c r="W54" s="47">
        <v>22.83</v>
      </c>
      <c r="X54" s="47">
        <v>22.83</v>
      </c>
      <c r="Y54" s="47">
        <v>22.83</v>
      </c>
      <c r="Z54" s="47">
        <v>22.83</v>
      </c>
      <c r="AA54" s="47">
        <v>22.83</v>
      </c>
      <c r="AB54" s="45">
        <f t="shared" si="1"/>
        <v>547.91999999999996</v>
      </c>
      <c r="AC54" s="37">
        <v>5</v>
      </c>
      <c r="AD54" s="92"/>
    </row>
    <row r="55" spans="2:30">
      <c r="B55" s="90">
        <v>49035</v>
      </c>
      <c r="C55" s="44" t="s">
        <v>32</v>
      </c>
      <c r="D55" s="47">
        <v>22.83</v>
      </c>
      <c r="E55" s="47">
        <v>22.83</v>
      </c>
      <c r="F55" s="47">
        <v>22.83</v>
      </c>
      <c r="G55" s="47">
        <v>22.83</v>
      </c>
      <c r="H55" s="47">
        <v>22.83</v>
      </c>
      <c r="I55" s="47">
        <v>22.83</v>
      </c>
      <c r="J55" s="47">
        <v>22.83</v>
      </c>
      <c r="K55" s="47">
        <v>22.83</v>
      </c>
      <c r="L55" s="47">
        <v>22.83</v>
      </c>
      <c r="M55" s="47">
        <v>22.83</v>
      </c>
      <c r="N55" s="47">
        <v>22.83</v>
      </c>
      <c r="O55" s="47">
        <v>22.83</v>
      </c>
      <c r="P55" s="47">
        <v>22.83</v>
      </c>
      <c r="Q55" s="47">
        <v>22.83</v>
      </c>
      <c r="R55" s="47">
        <v>22.83</v>
      </c>
      <c r="S55" s="47">
        <v>22.83</v>
      </c>
      <c r="T55" s="47">
        <v>22.83</v>
      </c>
      <c r="U55" s="47">
        <v>22.83</v>
      </c>
      <c r="V55" s="47">
        <v>22.83</v>
      </c>
      <c r="W55" s="47">
        <v>22.83</v>
      </c>
      <c r="X55" s="47">
        <v>22.83</v>
      </c>
      <c r="Y55" s="47">
        <v>22.83</v>
      </c>
      <c r="Z55" s="47">
        <v>22.83</v>
      </c>
      <c r="AA55" s="47">
        <v>22.83</v>
      </c>
      <c r="AB55" s="45">
        <f t="shared" si="1"/>
        <v>547.91999999999996</v>
      </c>
      <c r="AC55" s="37">
        <v>18</v>
      </c>
      <c r="AD55" s="92">
        <f>+AB55*AC55+AB56*AC56+AB57*AC57</f>
        <v>16437.599999999999</v>
      </c>
    </row>
    <row r="56" spans="2:30">
      <c r="B56" s="90"/>
      <c r="C56" s="44" t="s">
        <v>33</v>
      </c>
      <c r="D56" s="47">
        <v>22.83</v>
      </c>
      <c r="E56" s="47">
        <v>22.83</v>
      </c>
      <c r="F56" s="47">
        <v>22.83</v>
      </c>
      <c r="G56" s="47">
        <v>22.83</v>
      </c>
      <c r="H56" s="47">
        <v>22.83</v>
      </c>
      <c r="I56" s="47">
        <v>22.83</v>
      </c>
      <c r="J56" s="47">
        <v>22.83</v>
      </c>
      <c r="K56" s="47">
        <v>22.83</v>
      </c>
      <c r="L56" s="47">
        <v>22.83</v>
      </c>
      <c r="M56" s="47">
        <v>22.83</v>
      </c>
      <c r="N56" s="47">
        <v>22.83</v>
      </c>
      <c r="O56" s="47">
        <v>22.83</v>
      </c>
      <c r="P56" s="47">
        <v>22.83</v>
      </c>
      <c r="Q56" s="47">
        <v>22.83</v>
      </c>
      <c r="R56" s="47">
        <v>22.83</v>
      </c>
      <c r="S56" s="47">
        <v>22.83</v>
      </c>
      <c r="T56" s="47">
        <v>22.83</v>
      </c>
      <c r="U56" s="47">
        <v>22.83</v>
      </c>
      <c r="V56" s="47">
        <v>22.83</v>
      </c>
      <c r="W56" s="47">
        <v>22.83</v>
      </c>
      <c r="X56" s="47">
        <v>22.83</v>
      </c>
      <c r="Y56" s="47">
        <v>22.83</v>
      </c>
      <c r="Z56" s="47">
        <v>22.83</v>
      </c>
      <c r="AA56" s="47">
        <v>22.83</v>
      </c>
      <c r="AB56" s="45">
        <f t="shared" si="1"/>
        <v>547.91999999999996</v>
      </c>
      <c r="AC56" s="37">
        <v>5</v>
      </c>
      <c r="AD56" s="92"/>
    </row>
    <row r="57" spans="2:30">
      <c r="B57" s="90"/>
      <c r="C57" s="44" t="s">
        <v>34</v>
      </c>
      <c r="D57" s="47">
        <v>22.83</v>
      </c>
      <c r="E57" s="47">
        <v>22.83</v>
      </c>
      <c r="F57" s="47">
        <v>22.83</v>
      </c>
      <c r="G57" s="47">
        <v>22.83</v>
      </c>
      <c r="H57" s="47">
        <v>22.83</v>
      </c>
      <c r="I57" s="47">
        <v>22.83</v>
      </c>
      <c r="J57" s="47">
        <v>22.83</v>
      </c>
      <c r="K57" s="47">
        <v>22.83</v>
      </c>
      <c r="L57" s="47">
        <v>22.83</v>
      </c>
      <c r="M57" s="47">
        <v>22.83</v>
      </c>
      <c r="N57" s="47">
        <v>22.83</v>
      </c>
      <c r="O57" s="47">
        <v>22.83</v>
      </c>
      <c r="P57" s="47">
        <v>22.83</v>
      </c>
      <c r="Q57" s="47">
        <v>22.83</v>
      </c>
      <c r="R57" s="47">
        <v>22.83</v>
      </c>
      <c r="S57" s="47">
        <v>22.83</v>
      </c>
      <c r="T57" s="47">
        <v>22.83</v>
      </c>
      <c r="U57" s="47">
        <v>22.83</v>
      </c>
      <c r="V57" s="47">
        <v>22.83</v>
      </c>
      <c r="W57" s="47">
        <v>22.83</v>
      </c>
      <c r="X57" s="47">
        <v>22.83</v>
      </c>
      <c r="Y57" s="47">
        <v>22.83</v>
      </c>
      <c r="Z57" s="47">
        <v>22.83</v>
      </c>
      <c r="AA57" s="47">
        <v>22.83</v>
      </c>
      <c r="AB57" s="45">
        <f t="shared" si="1"/>
        <v>547.91999999999996</v>
      </c>
      <c r="AC57" s="37">
        <v>7</v>
      </c>
      <c r="AD57" s="92"/>
    </row>
    <row r="58" spans="2:30">
      <c r="B58" s="90">
        <v>49065</v>
      </c>
      <c r="C58" s="44" t="s">
        <v>32</v>
      </c>
      <c r="D58" s="47">
        <v>22.83</v>
      </c>
      <c r="E58" s="47">
        <v>22.83</v>
      </c>
      <c r="F58" s="47">
        <v>22.83</v>
      </c>
      <c r="G58" s="47">
        <v>22.83</v>
      </c>
      <c r="H58" s="47">
        <v>22.83</v>
      </c>
      <c r="I58" s="47">
        <v>22.83</v>
      </c>
      <c r="J58" s="47">
        <v>22.83</v>
      </c>
      <c r="K58" s="47">
        <v>22.83</v>
      </c>
      <c r="L58" s="47">
        <v>22.83</v>
      </c>
      <c r="M58" s="47">
        <v>22.83</v>
      </c>
      <c r="N58" s="47">
        <v>22.83</v>
      </c>
      <c r="O58" s="47">
        <v>22.83</v>
      </c>
      <c r="P58" s="47">
        <v>22.83</v>
      </c>
      <c r="Q58" s="47">
        <v>22.83</v>
      </c>
      <c r="R58" s="47">
        <v>22.83</v>
      </c>
      <c r="S58" s="47">
        <v>22.83</v>
      </c>
      <c r="T58" s="47">
        <v>22.83</v>
      </c>
      <c r="U58" s="47">
        <v>22.83</v>
      </c>
      <c r="V58" s="47">
        <v>22.83</v>
      </c>
      <c r="W58" s="47">
        <v>22.83</v>
      </c>
      <c r="X58" s="47">
        <v>22.83</v>
      </c>
      <c r="Y58" s="47">
        <v>22.83</v>
      </c>
      <c r="Z58" s="47">
        <v>22.83</v>
      </c>
      <c r="AA58" s="47">
        <v>22.83</v>
      </c>
      <c r="AB58" s="45">
        <f t="shared" si="1"/>
        <v>547.91999999999996</v>
      </c>
      <c r="AC58" s="37">
        <v>21</v>
      </c>
      <c r="AD58" s="92">
        <f>+AB58*AC58+AB59*AC59+AB60*AC60</f>
        <v>16985.52</v>
      </c>
    </row>
    <row r="59" spans="2:30">
      <c r="B59" s="90"/>
      <c r="C59" s="44" t="s">
        <v>33</v>
      </c>
      <c r="D59" s="47">
        <v>22.83</v>
      </c>
      <c r="E59" s="47">
        <v>22.83</v>
      </c>
      <c r="F59" s="47">
        <v>22.83</v>
      </c>
      <c r="G59" s="47">
        <v>22.83</v>
      </c>
      <c r="H59" s="47">
        <v>22.83</v>
      </c>
      <c r="I59" s="47">
        <v>22.83</v>
      </c>
      <c r="J59" s="47">
        <v>22.83</v>
      </c>
      <c r="K59" s="47">
        <v>22.83</v>
      </c>
      <c r="L59" s="47">
        <v>22.83</v>
      </c>
      <c r="M59" s="47">
        <v>22.83</v>
      </c>
      <c r="N59" s="47">
        <v>22.83</v>
      </c>
      <c r="O59" s="47">
        <v>22.83</v>
      </c>
      <c r="P59" s="47">
        <v>22.83</v>
      </c>
      <c r="Q59" s="47">
        <v>22.83</v>
      </c>
      <c r="R59" s="47">
        <v>22.83</v>
      </c>
      <c r="S59" s="47">
        <v>22.83</v>
      </c>
      <c r="T59" s="47">
        <v>22.83</v>
      </c>
      <c r="U59" s="47">
        <v>22.83</v>
      </c>
      <c r="V59" s="47">
        <v>22.83</v>
      </c>
      <c r="W59" s="47">
        <v>22.83</v>
      </c>
      <c r="X59" s="47">
        <v>22.83</v>
      </c>
      <c r="Y59" s="47">
        <v>22.83</v>
      </c>
      <c r="Z59" s="47">
        <v>22.83</v>
      </c>
      <c r="AA59" s="47">
        <v>22.83</v>
      </c>
      <c r="AB59" s="45">
        <f t="shared" si="1"/>
        <v>547.91999999999996</v>
      </c>
      <c r="AC59" s="37">
        <v>4</v>
      </c>
      <c r="AD59" s="92"/>
    </row>
    <row r="60" spans="2:30">
      <c r="B60" s="90"/>
      <c r="C60" s="44" t="s">
        <v>34</v>
      </c>
      <c r="D60" s="47">
        <v>22.83</v>
      </c>
      <c r="E60" s="47">
        <v>22.83</v>
      </c>
      <c r="F60" s="47">
        <v>22.83</v>
      </c>
      <c r="G60" s="47">
        <v>22.83</v>
      </c>
      <c r="H60" s="47">
        <v>22.83</v>
      </c>
      <c r="I60" s="47">
        <v>22.83</v>
      </c>
      <c r="J60" s="47">
        <v>22.83</v>
      </c>
      <c r="K60" s="47">
        <v>22.83</v>
      </c>
      <c r="L60" s="47">
        <v>22.83</v>
      </c>
      <c r="M60" s="47">
        <v>22.83</v>
      </c>
      <c r="N60" s="47">
        <v>22.83</v>
      </c>
      <c r="O60" s="47">
        <v>22.83</v>
      </c>
      <c r="P60" s="47">
        <v>22.83</v>
      </c>
      <c r="Q60" s="47">
        <v>22.83</v>
      </c>
      <c r="R60" s="47">
        <v>22.83</v>
      </c>
      <c r="S60" s="47">
        <v>22.83</v>
      </c>
      <c r="T60" s="47">
        <v>22.83</v>
      </c>
      <c r="U60" s="47">
        <v>22.83</v>
      </c>
      <c r="V60" s="47">
        <v>22.83</v>
      </c>
      <c r="W60" s="47">
        <v>22.83</v>
      </c>
      <c r="X60" s="47">
        <v>22.83</v>
      </c>
      <c r="Y60" s="47">
        <v>22.83</v>
      </c>
      <c r="Z60" s="47">
        <v>22.83</v>
      </c>
      <c r="AA60" s="47">
        <v>22.83</v>
      </c>
      <c r="AB60" s="45">
        <f t="shared" si="1"/>
        <v>547.91999999999996</v>
      </c>
      <c r="AC60" s="37">
        <v>6</v>
      </c>
      <c r="AD60" s="92"/>
    </row>
    <row r="61" spans="2:30">
      <c r="B61" s="90">
        <v>49096</v>
      </c>
      <c r="C61" s="44" t="s">
        <v>32</v>
      </c>
      <c r="D61" s="47">
        <v>22.83</v>
      </c>
      <c r="E61" s="47">
        <v>22.83</v>
      </c>
      <c r="F61" s="47">
        <v>22.83</v>
      </c>
      <c r="G61" s="47">
        <v>22.83</v>
      </c>
      <c r="H61" s="47">
        <v>22.83</v>
      </c>
      <c r="I61" s="47">
        <v>22.83</v>
      </c>
      <c r="J61" s="47">
        <v>22.83</v>
      </c>
      <c r="K61" s="47">
        <v>22.83</v>
      </c>
      <c r="L61" s="47">
        <v>22.83</v>
      </c>
      <c r="M61" s="47">
        <v>22.83</v>
      </c>
      <c r="N61" s="47">
        <v>22.83</v>
      </c>
      <c r="O61" s="47">
        <v>22.83</v>
      </c>
      <c r="P61" s="47">
        <v>22.83</v>
      </c>
      <c r="Q61" s="47">
        <v>22.83</v>
      </c>
      <c r="R61" s="47">
        <v>22.83</v>
      </c>
      <c r="S61" s="47">
        <v>22.83</v>
      </c>
      <c r="T61" s="47">
        <v>22.83</v>
      </c>
      <c r="U61" s="47">
        <v>22.83</v>
      </c>
      <c r="V61" s="47">
        <v>22.83</v>
      </c>
      <c r="W61" s="47">
        <v>22.83</v>
      </c>
      <c r="X61" s="47">
        <v>22.83</v>
      </c>
      <c r="Y61" s="47">
        <v>22.83</v>
      </c>
      <c r="Z61" s="47">
        <v>22.83</v>
      </c>
      <c r="AA61" s="47">
        <v>22.83</v>
      </c>
      <c r="AB61" s="45">
        <f t="shared" si="1"/>
        <v>547.91999999999996</v>
      </c>
      <c r="AC61" s="37">
        <v>20</v>
      </c>
      <c r="AD61" s="92">
        <f>+AB61*AC61+AB62*AC62+AB63*AC63</f>
        <v>16437.599999999999</v>
      </c>
    </row>
    <row r="62" spans="2:30">
      <c r="B62" s="90"/>
      <c r="C62" s="44" t="s">
        <v>33</v>
      </c>
      <c r="D62" s="47">
        <v>22.83</v>
      </c>
      <c r="E62" s="47">
        <v>22.83</v>
      </c>
      <c r="F62" s="47">
        <v>22.83</v>
      </c>
      <c r="G62" s="47">
        <v>22.83</v>
      </c>
      <c r="H62" s="47">
        <v>22.83</v>
      </c>
      <c r="I62" s="47">
        <v>22.83</v>
      </c>
      <c r="J62" s="47">
        <v>22.83</v>
      </c>
      <c r="K62" s="47">
        <v>22.83</v>
      </c>
      <c r="L62" s="47">
        <v>22.83</v>
      </c>
      <c r="M62" s="47">
        <v>22.83</v>
      </c>
      <c r="N62" s="47">
        <v>22.83</v>
      </c>
      <c r="O62" s="47">
        <v>22.83</v>
      </c>
      <c r="P62" s="47">
        <v>22.83</v>
      </c>
      <c r="Q62" s="47">
        <v>22.83</v>
      </c>
      <c r="R62" s="47">
        <v>22.83</v>
      </c>
      <c r="S62" s="47">
        <v>22.83</v>
      </c>
      <c r="T62" s="47">
        <v>22.83</v>
      </c>
      <c r="U62" s="47">
        <v>22.83</v>
      </c>
      <c r="V62" s="47">
        <v>22.83</v>
      </c>
      <c r="W62" s="47">
        <v>22.83</v>
      </c>
      <c r="X62" s="47">
        <v>22.83</v>
      </c>
      <c r="Y62" s="47">
        <v>22.83</v>
      </c>
      <c r="Z62" s="47">
        <v>22.83</v>
      </c>
      <c r="AA62" s="47">
        <v>22.83</v>
      </c>
      <c r="AB62" s="45">
        <f t="shared" si="1"/>
        <v>547.91999999999996</v>
      </c>
      <c r="AC62" s="37">
        <v>4</v>
      </c>
      <c r="AD62" s="92"/>
    </row>
    <row r="63" spans="2:30">
      <c r="B63" s="90"/>
      <c r="C63" s="44" t="s">
        <v>34</v>
      </c>
      <c r="D63" s="47">
        <v>22.83</v>
      </c>
      <c r="E63" s="47">
        <v>22.83</v>
      </c>
      <c r="F63" s="47">
        <v>22.83</v>
      </c>
      <c r="G63" s="47">
        <v>22.83</v>
      </c>
      <c r="H63" s="47">
        <v>22.83</v>
      </c>
      <c r="I63" s="47">
        <v>22.83</v>
      </c>
      <c r="J63" s="47">
        <v>22.83</v>
      </c>
      <c r="K63" s="47">
        <v>22.83</v>
      </c>
      <c r="L63" s="47">
        <v>22.83</v>
      </c>
      <c r="M63" s="47">
        <v>22.83</v>
      </c>
      <c r="N63" s="47">
        <v>22.83</v>
      </c>
      <c r="O63" s="47">
        <v>22.83</v>
      </c>
      <c r="P63" s="47">
        <v>22.83</v>
      </c>
      <c r="Q63" s="47">
        <v>22.83</v>
      </c>
      <c r="R63" s="47">
        <v>22.83</v>
      </c>
      <c r="S63" s="47">
        <v>22.83</v>
      </c>
      <c r="T63" s="47">
        <v>22.83</v>
      </c>
      <c r="U63" s="47">
        <v>22.83</v>
      </c>
      <c r="V63" s="47">
        <v>22.83</v>
      </c>
      <c r="W63" s="47">
        <v>22.83</v>
      </c>
      <c r="X63" s="47">
        <v>22.83</v>
      </c>
      <c r="Y63" s="47">
        <v>22.83</v>
      </c>
      <c r="Z63" s="47">
        <v>22.83</v>
      </c>
      <c r="AA63" s="47">
        <v>22.83</v>
      </c>
      <c r="AB63" s="45">
        <f t="shared" si="1"/>
        <v>547.91999999999996</v>
      </c>
      <c r="AC63" s="37">
        <v>6</v>
      </c>
      <c r="AD63" s="92"/>
    </row>
    <row r="64" spans="2:30">
      <c r="B64" s="90">
        <v>49126</v>
      </c>
      <c r="C64" s="44" t="s">
        <v>32</v>
      </c>
      <c r="D64" s="47">
        <v>22.83</v>
      </c>
      <c r="E64" s="47">
        <v>22.83</v>
      </c>
      <c r="F64" s="47">
        <v>22.83</v>
      </c>
      <c r="G64" s="47">
        <v>22.83</v>
      </c>
      <c r="H64" s="47">
        <v>22.83</v>
      </c>
      <c r="I64" s="47">
        <v>22.83</v>
      </c>
      <c r="J64" s="47">
        <v>22.83</v>
      </c>
      <c r="K64" s="47">
        <v>22.83</v>
      </c>
      <c r="L64" s="47">
        <v>22.83</v>
      </c>
      <c r="M64" s="47">
        <v>22.83</v>
      </c>
      <c r="N64" s="47">
        <v>22.83</v>
      </c>
      <c r="O64" s="47">
        <v>22.83</v>
      </c>
      <c r="P64" s="47">
        <v>22.83</v>
      </c>
      <c r="Q64" s="47">
        <v>22.83</v>
      </c>
      <c r="R64" s="47">
        <v>22.83</v>
      </c>
      <c r="S64" s="47">
        <v>22.83</v>
      </c>
      <c r="T64" s="47">
        <v>22.83</v>
      </c>
      <c r="U64" s="47">
        <v>22.83</v>
      </c>
      <c r="V64" s="47">
        <v>22.83</v>
      </c>
      <c r="W64" s="47">
        <v>22.83</v>
      </c>
      <c r="X64" s="47">
        <v>22.83</v>
      </c>
      <c r="Y64" s="47">
        <v>22.83</v>
      </c>
      <c r="Z64" s="47">
        <v>22.83</v>
      </c>
      <c r="AA64" s="47">
        <v>22.83</v>
      </c>
      <c r="AB64" s="45">
        <f t="shared" si="1"/>
        <v>547.91999999999996</v>
      </c>
      <c r="AC64" s="37">
        <v>19</v>
      </c>
      <c r="AD64" s="92">
        <f>+AB64*AC64+AB65*AC65+AB66*AC66</f>
        <v>16985.52</v>
      </c>
    </row>
    <row r="65" spans="2:30">
      <c r="B65" s="90"/>
      <c r="C65" s="44" t="s">
        <v>33</v>
      </c>
      <c r="D65" s="47">
        <v>22.83</v>
      </c>
      <c r="E65" s="47">
        <v>22.83</v>
      </c>
      <c r="F65" s="47">
        <v>22.83</v>
      </c>
      <c r="G65" s="47">
        <v>22.83</v>
      </c>
      <c r="H65" s="47">
        <v>22.83</v>
      </c>
      <c r="I65" s="47">
        <v>22.83</v>
      </c>
      <c r="J65" s="47">
        <v>22.83</v>
      </c>
      <c r="K65" s="47">
        <v>22.83</v>
      </c>
      <c r="L65" s="47">
        <v>22.83</v>
      </c>
      <c r="M65" s="47">
        <v>22.83</v>
      </c>
      <c r="N65" s="47">
        <v>22.83</v>
      </c>
      <c r="O65" s="47">
        <v>22.83</v>
      </c>
      <c r="P65" s="47">
        <v>22.83</v>
      </c>
      <c r="Q65" s="47">
        <v>22.83</v>
      </c>
      <c r="R65" s="47">
        <v>22.83</v>
      </c>
      <c r="S65" s="47">
        <v>22.83</v>
      </c>
      <c r="T65" s="47">
        <v>22.83</v>
      </c>
      <c r="U65" s="47">
        <v>22.83</v>
      </c>
      <c r="V65" s="47">
        <v>22.83</v>
      </c>
      <c r="W65" s="47">
        <v>22.83</v>
      </c>
      <c r="X65" s="47">
        <v>22.83</v>
      </c>
      <c r="Y65" s="47">
        <v>22.83</v>
      </c>
      <c r="Z65" s="47">
        <v>22.83</v>
      </c>
      <c r="AA65" s="47">
        <v>22.83</v>
      </c>
      <c r="AB65" s="45">
        <f t="shared" si="1"/>
        <v>547.91999999999996</v>
      </c>
      <c r="AC65" s="37">
        <v>5</v>
      </c>
      <c r="AD65" s="92"/>
    </row>
    <row r="66" spans="2:30">
      <c r="B66" s="90"/>
      <c r="C66" s="44" t="s">
        <v>34</v>
      </c>
      <c r="D66" s="47">
        <v>22.83</v>
      </c>
      <c r="E66" s="47">
        <v>22.83</v>
      </c>
      <c r="F66" s="47">
        <v>22.83</v>
      </c>
      <c r="G66" s="47">
        <v>22.83</v>
      </c>
      <c r="H66" s="47">
        <v>22.83</v>
      </c>
      <c r="I66" s="47">
        <v>22.83</v>
      </c>
      <c r="J66" s="47">
        <v>22.83</v>
      </c>
      <c r="K66" s="47">
        <v>22.83</v>
      </c>
      <c r="L66" s="47">
        <v>22.83</v>
      </c>
      <c r="M66" s="47">
        <v>22.83</v>
      </c>
      <c r="N66" s="47">
        <v>22.83</v>
      </c>
      <c r="O66" s="47">
        <v>22.83</v>
      </c>
      <c r="P66" s="47">
        <v>22.83</v>
      </c>
      <c r="Q66" s="47">
        <v>22.83</v>
      </c>
      <c r="R66" s="47">
        <v>22.83</v>
      </c>
      <c r="S66" s="47">
        <v>22.83</v>
      </c>
      <c r="T66" s="47">
        <v>22.83</v>
      </c>
      <c r="U66" s="47">
        <v>22.83</v>
      </c>
      <c r="V66" s="47">
        <v>22.83</v>
      </c>
      <c r="W66" s="47">
        <v>22.83</v>
      </c>
      <c r="X66" s="47">
        <v>22.83</v>
      </c>
      <c r="Y66" s="47">
        <v>22.83</v>
      </c>
      <c r="Z66" s="47">
        <v>22.83</v>
      </c>
      <c r="AA66" s="47">
        <v>22.83</v>
      </c>
      <c r="AB66" s="45">
        <f t="shared" si="1"/>
        <v>547.91999999999996</v>
      </c>
      <c r="AC66" s="37">
        <v>7</v>
      </c>
      <c r="AD66" s="92"/>
    </row>
    <row r="67" spans="2:30">
      <c r="B67" s="90">
        <v>49157</v>
      </c>
      <c r="C67" s="44" t="s">
        <v>32</v>
      </c>
      <c r="D67" s="47">
        <v>22.83</v>
      </c>
      <c r="E67" s="47">
        <v>22.83</v>
      </c>
      <c r="F67" s="47">
        <v>22.83</v>
      </c>
      <c r="G67" s="47">
        <v>22.83</v>
      </c>
      <c r="H67" s="47">
        <v>22.83</v>
      </c>
      <c r="I67" s="47">
        <v>22.83</v>
      </c>
      <c r="J67" s="47">
        <v>22.83</v>
      </c>
      <c r="K67" s="47">
        <v>22.83</v>
      </c>
      <c r="L67" s="47">
        <v>22.83</v>
      </c>
      <c r="M67" s="47">
        <v>22.83</v>
      </c>
      <c r="N67" s="47">
        <v>22.83</v>
      </c>
      <c r="O67" s="47">
        <v>22.83</v>
      </c>
      <c r="P67" s="47">
        <v>22.83</v>
      </c>
      <c r="Q67" s="47">
        <v>22.83</v>
      </c>
      <c r="R67" s="47">
        <v>22.83</v>
      </c>
      <c r="S67" s="47">
        <v>22.83</v>
      </c>
      <c r="T67" s="47">
        <v>22.83</v>
      </c>
      <c r="U67" s="47">
        <v>22.83</v>
      </c>
      <c r="V67" s="47">
        <v>22.83</v>
      </c>
      <c r="W67" s="47">
        <v>22.83</v>
      </c>
      <c r="X67" s="47">
        <v>22.83</v>
      </c>
      <c r="Y67" s="47">
        <v>22.83</v>
      </c>
      <c r="Z67" s="47">
        <v>22.83</v>
      </c>
      <c r="AA67" s="47">
        <v>22.83</v>
      </c>
      <c r="AB67" s="45">
        <f t="shared" si="1"/>
        <v>547.91999999999996</v>
      </c>
      <c r="AC67" s="37">
        <v>21</v>
      </c>
      <c r="AD67" s="92">
        <f>+AB67*AC67+AB68*AC68+AB69*AC69</f>
        <v>16985.52</v>
      </c>
    </row>
    <row r="68" spans="2:30">
      <c r="B68" s="90"/>
      <c r="C68" s="44" t="s">
        <v>33</v>
      </c>
      <c r="D68" s="47">
        <v>22.83</v>
      </c>
      <c r="E68" s="47">
        <v>22.83</v>
      </c>
      <c r="F68" s="47">
        <v>22.83</v>
      </c>
      <c r="G68" s="47">
        <v>22.83</v>
      </c>
      <c r="H68" s="47">
        <v>22.83</v>
      </c>
      <c r="I68" s="47">
        <v>22.83</v>
      </c>
      <c r="J68" s="47">
        <v>22.83</v>
      </c>
      <c r="K68" s="47">
        <v>22.83</v>
      </c>
      <c r="L68" s="47">
        <v>22.83</v>
      </c>
      <c r="M68" s="47">
        <v>22.83</v>
      </c>
      <c r="N68" s="47">
        <v>22.83</v>
      </c>
      <c r="O68" s="47">
        <v>22.83</v>
      </c>
      <c r="P68" s="47">
        <v>22.83</v>
      </c>
      <c r="Q68" s="47">
        <v>22.83</v>
      </c>
      <c r="R68" s="47">
        <v>22.83</v>
      </c>
      <c r="S68" s="47">
        <v>22.83</v>
      </c>
      <c r="T68" s="47">
        <v>22.83</v>
      </c>
      <c r="U68" s="47">
        <v>22.83</v>
      </c>
      <c r="V68" s="47">
        <v>22.83</v>
      </c>
      <c r="W68" s="47">
        <v>22.83</v>
      </c>
      <c r="X68" s="47">
        <v>22.83</v>
      </c>
      <c r="Y68" s="47">
        <v>22.83</v>
      </c>
      <c r="Z68" s="47">
        <v>22.83</v>
      </c>
      <c r="AA68" s="47">
        <v>22.83</v>
      </c>
      <c r="AB68" s="45">
        <f t="shared" si="1"/>
        <v>547.91999999999996</v>
      </c>
      <c r="AC68" s="37">
        <v>4</v>
      </c>
      <c r="AD68" s="92"/>
    </row>
    <row r="69" spans="2:30">
      <c r="B69" s="90"/>
      <c r="C69" s="44" t="s">
        <v>34</v>
      </c>
      <c r="D69" s="47">
        <v>22.83</v>
      </c>
      <c r="E69" s="47">
        <v>22.83</v>
      </c>
      <c r="F69" s="47">
        <v>22.83</v>
      </c>
      <c r="G69" s="47">
        <v>22.83</v>
      </c>
      <c r="H69" s="47">
        <v>22.83</v>
      </c>
      <c r="I69" s="47">
        <v>22.83</v>
      </c>
      <c r="J69" s="47">
        <v>22.83</v>
      </c>
      <c r="K69" s="47">
        <v>22.83</v>
      </c>
      <c r="L69" s="47">
        <v>22.83</v>
      </c>
      <c r="M69" s="47">
        <v>22.83</v>
      </c>
      <c r="N69" s="47">
        <v>22.83</v>
      </c>
      <c r="O69" s="47">
        <v>22.83</v>
      </c>
      <c r="P69" s="47">
        <v>22.83</v>
      </c>
      <c r="Q69" s="47">
        <v>22.83</v>
      </c>
      <c r="R69" s="47">
        <v>22.83</v>
      </c>
      <c r="S69" s="47">
        <v>22.83</v>
      </c>
      <c r="T69" s="47">
        <v>22.83</v>
      </c>
      <c r="U69" s="47">
        <v>22.83</v>
      </c>
      <c r="V69" s="47">
        <v>22.83</v>
      </c>
      <c r="W69" s="47">
        <v>22.83</v>
      </c>
      <c r="X69" s="47">
        <v>22.83</v>
      </c>
      <c r="Y69" s="47">
        <v>22.83</v>
      </c>
      <c r="Z69" s="47">
        <v>22.83</v>
      </c>
      <c r="AA69" s="47">
        <v>22.83</v>
      </c>
      <c r="AB69" s="45">
        <f t="shared" si="1"/>
        <v>547.91999999999996</v>
      </c>
      <c r="AC69" s="37">
        <v>6</v>
      </c>
      <c r="AD69" s="92"/>
    </row>
    <row r="70" spans="2:30">
      <c r="B70" s="90">
        <v>49188</v>
      </c>
      <c r="C70" s="44" t="s">
        <v>32</v>
      </c>
      <c r="D70" s="47">
        <v>22.83</v>
      </c>
      <c r="E70" s="47">
        <v>22.83</v>
      </c>
      <c r="F70" s="47">
        <v>22.83</v>
      </c>
      <c r="G70" s="47">
        <v>22.83</v>
      </c>
      <c r="H70" s="47">
        <v>22.83</v>
      </c>
      <c r="I70" s="47">
        <v>22.83</v>
      </c>
      <c r="J70" s="47">
        <v>22.83</v>
      </c>
      <c r="K70" s="47">
        <v>22.83</v>
      </c>
      <c r="L70" s="47">
        <v>22.83</v>
      </c>
      <c r="M70" s="47">
        <v>22.83</v>
      </c>
      <c r="N70" s="47">
        <v>22.83</v>
      </c>
      <c r="O70" s="47">
        <v>22.83</v>
      </c>
      <c r="P70" s="47">
        <v>22.83</v>
      </c>
      <c r="Q70" s="47">
        <v>22.83</v>
      </c>
      <c r="R70" s="47">
        <v>22.83</v>
      </c>
      <c r="S70" s="47">
        <v>22.83</v>
      </c>
      <c r="T70" s="47">
        <v>22.83</v>
      </c>
      <c r="U70" s="47">
        <v>22.83</v>
      </c>
      <c r="V70" s="47">
        <v>22.83</v>
      </c>
      <c r="W70" s="47">
        <v>22.83</v>
      </c>
      <c r="X70" s="47">
        <v>22.83</v>
      </c>
      <c r="Y70" s="47">
        <v>22.83</v>
      </c>
      <c r="Z70" s="47">
        <v>22.83</v>
      </c>
      <c r="AA70" s="47">
        <v>22.83</v>
      </c>
      <c r="AB70" s="45">
        <f t="shared" si="1"/>
        <v>547.91999999999996</v>
      </c>
      <c r="AC70" s="37">
        <v>21</v>
      </c>
      <c r="AD70" s="92">
        <f>+AB70*AC70+AB71*AC71+AB72*AC72</f>
        <v>16437.599999999999</v>
      </c>
    </row>
    <row r="71" spans="2:30">
      <c r="B71" s="90"/>
      <c r="C71" s="44" t="s">
        <v>33</v>
      </c>
      <c r="D71" s="47">
        <v>22.83</v>
      </c>
      <c r="E71" s="47">
        <v>22.83</v>
      </c>
      <c r="F71" s="47">
        <v>22.83</v>
      </c>
      <c r="G71" s="47">
        <v>22.83</v>
      </c>
      <c r="H71" s="47">
        <v>22.83</v>
      </c>
      <c r="I71" s="47">
        <v>22.83</v>
      </c>
      <c r="J71" s="47">
        <v>22.83</v>
      </c>
      <c r="K71" s="47">
        <v>22.83</v>
      </c>
      <c r="L71" s="47">
        <v>22.83</v>
      </c>
      <c r="M71" s="47">
        <v>22.83</v>
      </c>
      <c r="N71" s="47">
        <v>22.83</v>
      </c>
      <c r="O71" s="47">
        <v>22.83</v>
      </c>
      <c r="P71" s="47">
        <v>22.83</v>
      </c>
      <c r="Q71" s="47">
        <v>22.83</v>
      </c>
      <c r="R71" s="47">
        <v>22.83</v>
      </c>
      <c r="S71" s="47">
        <v>22.83</v>
      </c>
      <c r="T71" s="47">
        <v>22.83</v>
      </c>
      <c r="U71" s="47">
        <v>22.83</v>
      </c>
      <c r="V71" s="47">
        <v>22.83</v>
      </c>
      <c r="W71" s="47">
        <v>22.83</v>
      </c>
      <c r="X71" s="47">
        <v>22.83</v>
      </c>
      <c r="Y71" s="47">
        <v>22.83</v>
      </c>
      <c r="Z71" s="47">
        <v>22.83</v>
      </c>
      <c r="AA71" s="47">
        <v>22.83</v>
      </c>
      <c r="AB71" s="45">
        <f t="shared" si="1"/>
        <v>547.91999999999996</v>
      </c>
      <c r="AC71" s="37">
        <v>5</v>
      </c>
      <c r="AD71" s="92"/>
    </row>
    <row r="72" spans="2:30">
      <c r="B72" s="90"/>
      <c r="C72" s="44" t="s">
        <v>34</v>
      </c>
      <c r="D72" s="47">
        <v>22.83</v>
      </c>
      <c r="E72" s="47">
        <v>22.83</v>
      </c>
      <c r="F72" s="47">
        <v>22.83</v>
      </c>
      <c r="G72" s="47">
        <v>22.83</v>
      </c>
      <c r="H72" s="47">
        <v>22.83</v>
      </c>
      <c r="I72" s="47">
        <v>22.83</v>
      </c>
      <c r="J72" s="47">
        <v>22.83</v>
      </c>
      <c r="K72" s="47">
        <v>22.83</v>
      </c>
      <c r="L72" s="47">
        <v>22.83</v>
      </c>
      <c r="M72" s="47">
        <v>22.83</v>
      </c>
      <c r="N72" s="47">
        <v>22.83</v>
      </c>
      <c r="O72" s="47">
        <v>22.83</v>
      </c>
      <c r="P72" s="47">
        <v>22.83</v>
      </c>
      <c r="Q72" s="47">
        <v>22.83</v>
      </c>
      <c r="R72" s="47">
        <v>22.83</v>
      </c>
      <c r="S72" s="47">
        <v>22.83</v>
      </c>
      <c r="T72" s="47">
        <v>22.83</v>
      </c>
      <c r="U72" s="47">
        <v>22.83</v>
      </c>
      <c r="V72" s="47">
        <v>22.83</v>
      </c>
      <c r="W72" s="47">
        <v>22.83</v>
      </c>
      <c r="X72" s="47">
        <v>22.83</v>
      </c>
      <c r="Y72" s="47">
        <v>22.83</v>
      </c>
      <c r="Z72" s="47">
        <v>22.83</v>
      </c>
      <c r="AA72" s="47">
        <v>22.83</v>
      </c>
      <c r="AB72" s="45">
        <f t="shared" si="1"/>
        <v>547.91999999999996</v>
      </c>
      <c r="AC72" s="37">
        <v>4</v>
      </c>
      <c r="AD72" s="92"/>
    </row>
    <row r="73" spans="2:30">
      <c r="B73" s="90">
        <v>49218</v>
      </c>
      <c r="C73" s="44" t="s">
        <v>32</v>
      </c>
      <c r="D73" s="47">
        <v>22.83</v>
      </c>
      <c r="E73" s="47">
        <v>22.83</v>
      </c>
      <c r="F73" s="47">
        <v>22.83</v>
      </c>
      <c r="G73" s="47">
        <v>22.83</v>
      </c>
      <c r="H73" s="47">
        <v>22.83</v>
      </c>
      <c r="I73" s="47">
        <v>22.83</v>
      </c>
      <c r="J73" s="47">
        <v>22.83</v>
      </c>
      <c r="K73" s="47">
        <v>22.83</v>
      </c>
      <c r="L73" s="47">
        <v>22.83</v>
      </c>
      <c r="M73" s="47">
        <v>22.83</v>
      </c>
      <c r="N73" s="47">
        <v>22.83</v>
      </c>
      <c r="O73" s="47">
        <v>22.83</v>
      </c>
      <c r="P73" s="47">
        <v>22.83</v>
      </c>
      <c r="Q73" s="47">
        <v>22.83</v>
      </c>
      <c r="R73" s="47">
        <v>22.83</v>
      </c>
      <c r="S73" s="47">
        <v>22.83</v>
      </c>
      <c r="T73" s="47">
        <v>22.83</v>
      </c>
      <c r="U73" s="47">
        <v>22.83</v>
      </c>
      <c r="V73" s="47">
        <v>22.83</v>
      </c>
      <c r="W73" s="47">
        <v>22.83</v>
      </c>
      <c r="X73" s="47">
        <v>22.83</v>
      </c>
      <c r="Y73" s="47">
        <v>22.83</v>
      </c>
      <c r="Z73" s="47">
        <v>22.83</v>
      </c>
      <c r="AA73" s="47">
        <v>22.83</v>
      </c>
      <c r="AB73" s="45">
        <f t="shared" si="1"/>
        <v>547.91999999999996</v>
      </c>
      <c r="AC73" s="37">
        <v>21</v>
      </c>
      <c r="AD73" s="92">
        <f>+AB73*AC73+AB74*AC74+AB75*AC75</f>
        <v>16985.52</v>
      </c>
    </row>
    <row r="74" spans="2:30">
      <c r="B74" s="90"/>
      <c r="C74" s="44" t="s">
        <v>33</v>
      </c>
      <c r="D74" s="47">
        <v>22.83</v>
      </c>
      <c r="E74" s="47">
        <v>22.83</v>
      </c>
      <c r="F74" s="47">
        <v>22.83</v>
      </c>
      <c r="G74" s="47">
        <v>22.83</v>
      </c>
      <c r="H74" s="47">
        <v>22.83</v>
      </c>
      <c r="I74" s="47">
        <v>22.83</v>
      </c>
      <c r="J74" s="47">
        <v>22.83</v>
      </c>
      <c r="K74" s="47">
        <v>22.83</v>
      </c>
      <c r="L74" s="47">
        <v>22.83</v>
      </c>
      <c r="M74" s="47">
        <v>22.83</v>
      </c>
      <c r="N74" s="47">
        <v>22.83</v>
      </c>
      <c r="O74" s="47">
        <v>22.83</v>
      </c>
      <c r="P74" s="47">
        <v>22.83</v>
      </c>
      <c r="Q74" s="47">
        <v>22.83</v>
      </c>
      <c r="R74" s="47">
        <v>22.83</v>
      </c>
      <c r="S74" s="47">
        <v>22.83</v>
      </c>
      <c r="T74" s="47">
        <v>22.83</v>
      </c>
      <c r="U74" s="47">
        <v>22.83</v>
      </c>
      <c r="V74" s="47">
        <v>22.83</v>
      </c>
      <c r="W74" s="47">
        <v>22.83</v>
      </c>
      <c r="X74" s="47">
        <v>22.83</v>
      </c>
      <c r="Y74" s="47">
        <v>22.83</v>
      </c>
      <c r="Z74" s="47">
        <v>22.83</v>
      </c>
      <c r="AA74" s="47">
        <v>22.83</v>
      </c>
      <c r="AB74" s="45">
        <f t="shared" si="1"/>
        <v>547.91999999999996</v>
      </c>
      <c r="AC74" s="37">
        <v>4</v>
      </c>
      <c r="AD74" s="92"/>
    </row>
    <row r="75" spans="2:30">
      <c r="B75" s="90"/>
      <c r="C75" s="44" t="s">
        <v>34</v>
      </c>
      <c r="D75" s="47">
        <v>22.83</v>
      </c>
      <c r="E75" s="47">
        <v>22.83</v>
      </c>
      <c r="F75" s="47">
        <v>22.83</v>
      </c>
      <c r="G75" s="47">
        <v>22.83</v>
      </c>
      <c r="H75" s="47">
        <v>22.83</v>
      </c>
      <c r="I75" s="47">
        <v>22.83</v>
      </c>
      <c r="J75" s="47">
        <v>22.83</v>
      </c>
      <c r="K75" s="47">
        <v>22.83</v>
      </c>
      <c r="L75" s="47">
        <v>22.83</v>
      </c>
      <c r="M75" s="47">
        <v>22.83</v>
      </c>
      <c r="N75" s="47">
        <v>22.83</v>
      </c>
      <c r="O75" s="47">
        <v>22.83</v>
      </c>
      <c r="P75" s="47">
        <v>22.83</v>
      </c>
      <c r="Q75" s="47">
        <v>22.83</v>
      </c>
      <c r="R75" s="47">
        <v>22.83</v>
      </c>
      <c r="S75" s="47">
        <v>22.83</v>
      </c>
      <c r="T75" s="47">
        <v>22.83</v>
      </c>
      <c r="U75" s="47">
        <v>22.83</v>
      </c>
      <c r="V75" s="47">
        <v>22.83</v>
      </c>
      <c r="W75" s="47">
        <v>22.83</v>
      </c>
      <c r="X75" s="47">
        <v>22.83</v>
      </c>
      <c r="Y75" s="47">
        <v>22.83</v>
      </c>
      <c r="Z75" s="47">
        <v>22.83</v>
      </c>
      <c r="AA75" s="47">
        <v>22.83</v>
      </c>
      <c r="AB75" s="45">
        <f t="shared" si="1"/>
        <v>547.91999999999996</v>
      </c>
      <c r="AC75" s="37">
        <v>6</v>
      </c>
      <c r="AD75" s="92"/>
    </row>
    <row r="76" spans="2:30">
      <c r="B76" s="90">
        <v>49249</v>
      </c>
      <c r="C76" s="44" t="s">
        <v>32</v>
      </c>
      <c r="D76" s="47">
        <v>22.83</v>
      </c>
      <c r="E76" s="47">
        <v>22.83</v>
      </c>
      <c r="F76" s="47">
        <v>22.83</v>
      </c>
      <c r="G76" s="47">
        <v>22.83</v>
      </c>
      <c r="H76" s="47">
        <v>22.83</v>
      </c>
      <c r="I76" s="47">
        <v>22.83</v>
      </c>
      <c r="J76" s="47">
        <v>22.83</v>
      </c>
      <c r="K76" s="47">
        <v>22.83</v>
      </c>
      <c r="L76" s="47">
        <v>22.83</v>
      </c>
      <c r="M76" s="47">
        <v>22.83</v>
      </c>
      <c r="N76" s="47">
        <v>22.83</v>
      </c>
      <c r="O76" s="47">
        <v>22.83</v>
      </c>
      <c r="P76" s="47">
        <v>22.83</v>
      </c>
      <c r="Q76" s="47">
        <v>22.83</v>
      </c>
      <c r="R76" s="47">
        <v>22.83</v>
      </c>
      <c r="S76" s="47">
        <v>22.83</v>
      </c>
      <c r="T76" s="47">
        <v>22.83</v>
      </c>
      <c r="U76" s="47">
        <v>22.83</v>
      </c>
      <c r="V76" s="47">
        <v>22.83</v>
      </c>
      <c r="W76" s="47">
        <v>22.83</v>
      </c>
      <c r="X76" s="47">
        <v>22.83</v>
      </c>
      <c r="Y76" s="47">
        <v>22.83</v>
      </c>
      <c r="Z76" s="47">
        <v>22.83</v>
      </c>
      <c r="AA76" s="47">
        <v>22.83</v>
      </c>
      <c r="AB76" s="45">
        <f t="shared" si="1"/>
        <v>547.91999999999996</v>
      </c>
      <c r="AC76" s="37">
        <v>20</v>
      </c>
      <c r="AD76" s="92">
        <f>+AB76*AC76+AB77*AC77+AB78*AC78</f>
        <v>16437.599999999999</v>
      </c>
    </row>
    <row r="77" spans="2:30">
      <c r="B77" s="90"/>
      <c r="C77" s="44" t="s">
        <v>33</v>
      </c>
      <c r="D77" s="47">
        <v>22.83</v>
      </c>
      <c r="E77" s="47">
        <v>22.83</v>
      </c>
      <c r="F77" s="47">
        <v>22.83</v>
      </c>
      <c r="G77" s="47">
        <v>22.83</v>
      </c>
      <c r="H77" s="47">
        <v>22.83</v>
      </c>
      <c r="I77" s="47">
        <v>22.83</v>
      </c>
      <c r="J77" s="47">
        <v>22.83</v>
      </c>
      <c r="K77" s="47">
        <v>22.83</v>
      </c>
      <c r="L77" s="47">
        <v>22.83</v>
      </c>
      <c r="M77" s="47">
        <v>22.83</v>
      </c>
      <c r="N77" s="47">
        <v>22.83</v>
      </c>
      <c r="O77" s="47">
        <v>22.83</v>
      </c>
      <c r="P77" s="47">
        <v>22.83</v>
      </c>
      <c r="Q77" s="47">
        <v>22.83</v>
      </c>
      <c r="R77" s="47">
        <v>22.83</v>
      </c>
      <c r="S77" s="47">
        <v>22.83</v>
      </c>
      <c r="T77" s="47">
        <v>22.83</v>
      </c>
      <c r="U77" s="47">
        <v>22.83</v>
      </c>
      <c r="V77" s="47">
        <v>22.83</v>
      </c>
      <c r="W77" s="47">
        <v>22.83</v>
      </c>
      <c r="X77" s="47">
        <v>22.83</v>
      </c>
      <c r="Y77" s="47">
        <v>22.83</v>
      </c>
      <c r="Z77" s="47">
        <v>22.83</v>
      </c>
      <c r="AA77" s="47">
        <v>22.83</v>
      </c>
      <c r="AB77" s="45">
        <f t="shared" si="1"/>
        <v>547.91999999999996</v>
      </c>
      <c r="AC77" s="37">
        <v>4</v>
      </c>
      <c r="AD77" s="92"/>
    </row>
    <row r="78" spans="2:30">
      <c r="B78" s="90"/>
      <c r="C78" s="44" t="s">
        <v>34</v>
      </c>
      <c r="D78" s="47">
        <v>22.83</v>
      </c>
      <c r="E78" s="47">
        <v>22.83</v>
      </c>
      <c r="F78" s="47">
        <v>22.83</v>
      </c>
      <c r="G78" s="47">
        <v>22.83</v>
      </c>
      <c r="H78" s="47">
        <v>22.83</v>
      </c>
      <c r="I78" s="47">
        <v>22.83</v>
      </c>
      <c r="J78" s="47">
        <v>22.83</v>
      </c>
      <c r="K78" s="47">
        <v>22.83</v>
      </c>
      <c r="L78" s="47">
        <v>22.83</v>
      </c>
      <c r="M78" s="47">
        <v>22.83</v>
      </c>
      <c r="N78" s="47">
        <v>22.83</v>
      </c>
      <c r="O78" s="47">
        <v>22.83</v>
      </c>
      <c r="P78" s="47">
        <v>22.83</v>
      </c>
      <c r="Q78" s="47">
        <v>22.83</v>
      </c>
      <c r="R78" s="47">
        <v>22.83</v>
      </c>
      <c r="S78" s="47">
        <v>22.83</v>
      </c>
      <c r="T78" s="47">
        <v>22.83</v>
      </c>
      <c r="U78" s="47">
        <v>22.83</v>
      </c>
      <c r="V78" s="47">
        <v>22.83</v>
      </c>
      <c r="W78" s="47">
        <v>22.83</v>
      </c>
      <c r="X78" s="47">
        <v>22.83</v>
      </c>
      <c r="Y78" s="47">
        <v>22.83</v>
      </c>
      <c r="Z78" s="47">
        <v>22.83</v>
      </c>
      <c r="AA78" s="47">
        <v>22.83</v>
      </c>
      <c r="AB78" s="45">
        <f t="shared" si="1"/>
        <v>547.91999999999996</v>
      </c>
      <c r="AC78" s="37">
        <v>6</v>
      </c>
      <c r="AD78" s="92"/>
    </row>
    <row r="79" spans="2:30">
      <c r="B79" s="90">
        <v>49279</v>
      </c>
      <c r="C79" s="44" t="s">
        <v>32</v>
      </c>
      <c r="D79" s="47">
        <v>22.83</v>
      </c>
      <c r="E79" s="47">
        <v>22.83</v>
      </c>
      <c r="F79" s="47">
        <v>22.83</v>
      </c>
      <c r="G79" s="47">
        <v>22.83</v>
      </c>
      <c r="H79" s="47">
        <v>22.83</v>
      </c>
      <c r="I79" s="47">
        <v>22.83</v>
      </c>
      <c r="J79" s="47">
        <v>22.83</v>
      </c>
      <c r="K79" s="47">
        <v>22.83</v>
      </c>
      <c r="L79" s="47">
        <v>22.83</v>
      </c>
      <c r="M79" s="47">
        <v>22.83</v>
      </c>
      <c r="N79" s="47">
        <v>22.83</v>
      </c>
      <c r="O79" s="47">
        <v>22.83</v>
      </c>
      <c r="P79" s="47">
        <v>22.83</v>
      </c>
      <c r="Q79" s="47">
        <v>22.83</v>
      </c>
      <c r="R79" s="47">
        <v>22.83</v>
      </c>
      <c r="S79" s="47">
        <v>22.83</v>
      </c>
      <c r="T79" s="47">
        <v>22.83</v>
      </c>
      <c r="U79" s="47">
        <v>22.83</v>
      </c>
      <c r="V79" s="47">
        <v>22.83</v>
      </c>
      <c r="W79" s="47">
        <v>22.83</v>
      </c>
      <c r="X79" s="47">
        <v>22.83</v>
      </c>
      <c r="Y79" s="47">
        <v>22.83</v>
      </c>
      <c r="Z79" s="47">
        <v>22.83</v>
      </c>
      <c r="AA79" s="47">
        <v>22.83</v>
      </c>
      <c r="AB79" s="45">
        <f t="shared" si="1"/>
        <v>547.91999999999996</v>
      </c>
      <c r="AC79" s="37">
        <v>19</v>
      </c>
      <c r="AD79" s="92">
        <f>+AB79*AC79+AB80*AC80+AB81*AC81</f>
        <v>16985.52</v>
      </c>
    </row>
    <row r="80" spans="2:30">
      <c r="B80" s="90"/>
      <c r="C80" s="44" t="s">
        <v>33</v>
      </c>
      <c r="D80" s="47">
        <v>22.83</v>
      </c>
      <c r="E80" s="47">
        <v>22.83</v>
      </c>
      <c r="F80" s="47">
        <v>22.83</v>
      </c>
      <c r="G80" s="47">
        <v>22.83</v>
      </c>
      <c r="H80" s="47">
        <v>22.83</v>
      </c>
      <c r="I80" s="47">
        <v>22.83</v>
      </c>
      <c r="J80" s="47">
        <v>22.83</v>
      </c>
      <c r="K80" s="47">
        <v>22.83</v>
      </c>
      <c r="L80" s="47">
        <v>22.83</v>
      </c>
      <c r="M80" s="47">
        <v>22.83</v>
      </c>
      <c r="N80" s="47">
        <v>22.83</v>
      </c>
      <c r="O80" s="47">
        <v>22.83</v>
      </c>
      <c r="P80" s="47">
        <v>22.83</v>
      </c>
      <c r="Q80" s="47">
        <v>22.83</v>
      </c>
      <c r="R80" s="47">
        <v>22.83</v>
      </c>
      <c r="S80" s="47">
        <v>22.83</v>
      </c>
      <c r="T80" s="47">
        <v>22.83</v>
      </c>
      <c r="U80" s="47">
        <v>22.83</v>
      </c>
      <c r="V80" s="47">
        <v>22.83</v>
      </c>
      <c r="W80" s="47">
        <v>22.83</v>
      </c>
      <c r="X80" s="47">
        <v>22.83</v>
      </c>
      <c r="Y80" s="47">
        <v>22.83</v>
      </c>
      <c r="Z80" s="47">
        <v>22.83</v>
      </c>
      <c r="AA80" s="47">
        <v>22.83</v>
      </c>
      <c r="AB80" s="45">
        <f t="shared" si="1"/>
        <v>547.91999999999996</v>
      </c>
      <c r="AC80" s="37">
        <v>5</v>
      </c>
      <c r="AD80" s="92"/>
    </row>
    <row r="81" spans="2:32">
      <c r="B81" s="90"/>
      <c r="C81" s="44" t="s">
        <v>34</v>
      </c>
      <c r="D81" s="47">
        <v>22.83</v>
      </c>
      <c r="E81" s="47">
        <v>22.83</v>
      </c>
      <c r="F81" s="47">
        <v>22.83</v>
      </c>
      <c r="G81" s="47">
        <v>22.83</v>
      </c>
      <c r="H81" s="47">
        <v>22.83</v>
      </c>
      <c r="I81" s="47">
        <v>22.83</v>
      </c>
      <c r="J81" s="47">
        <v>22.83</v>
      </c>
      <c r="K81" s="47">
        <v>22.83</v>
      </c>
      <c r="L81" s="47">
        <v>22.83</v>
      </c>
      <c r="M81" s="47">
        <v>22.83</v>
      </c>
      <c r="N81" s="47">
        <v>22.83</v>
      </c>
      <c r="O81" s="47">
        <v>22.83</v>
      </c>
      <c r="P81" s="47">
        <v>22.83</v>
      </c>
      <c r="Q81" s="47">
        <v>22.83</v>
      </c>
      <c r="R81" s="47">
        <v>22.83</v>
      </c>
      <c r="S81" s="47">
        <v>22.83</v>
      </c>
      <c r="T81" s="47">
        <v>22.83</v>
      </c>
      <c r="U81" s="47">
        <v>22.83</v>
      </c>
      <c r="V81" s="47">
        <v>22.83</v>
      </c>
      <c r="W81" s="47">
        <v>22.83</v>
      </c>
      <c r="X81" s="47">
        <v>22.83</v>
      </c>
      <c r="Y81" s="47">
        <v>22.83</v>
      </c>
      <c r="Z81" s="47">
        <v>22.83</v>
      </c>
      <c r="AA81" s="47">
        <v>22.83</v>
      </c>
      <c r="AB81" s="45">
        <f t="shared" si="1"/>
        <v>547.91999999999996</v>
      </c>
      <c r="AC81" s="37">
        <v>7</v>
      </c>
      <c r="AD81" s="92"/>
    </row>
    <row r="82" spans="2:32"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86" t="s">
        <v>35</v>
      </c>
      <c r="AB82" s="87"/>
      <c r="AC82" s="88"/>
      <c r="AD82" s="39">
        <f>SUM(AD46:AD81)</f>
        <v>199990.8</v>
      </c>
    </row>
    <row r="83" spans="2:32"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 spans="2:32" ht="23.25">
      <c r="B84" s="41" t="s">
        <v>43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40"/>
      <c r="AC84" s="40"/>
      <c r="AD84" s="38"/>
    </row>
    <row r="85" spans="2:32">
      <c r="B85" s="42" t="s">
        <v>3</v>
      </c>
      <c r="C85" s="42" t="s">
        <v>4</v>
      </c>
      <c r="D85" s="42" t="s">
        <v>5</v>
      </c>
      <c r="E85" s="42" t="s">
        <v>6</v>
      </c>
      <c r="F85" s="42" t="s">
        <v>7</v>
      </c>
      <c r="G85" s="42" t="s">
        <v>8</v>
      </c>
      <c r="H85" s="42" t="s">
        <v>9</v>
      </c>
      <c r="I85" s="42" t="s">
        <v>10</v>
      </c>
      <c r="J85" s="42" t="s">
        <v>11</v>
      </c>
      <c r="K85" s="42" t="s">
        <v>12</v>
      </c>
      <c r="L85" s="42" t="s">
        <v>13</v>
      </c>
      <c r="M85" s="42" t="s">
        <v>14</v>
      </c>
      <c r="N85" s="42" t="s">
        <v>15</v>
      </c>
      <c r="O85" s="42" t="s">
        <v>16</v>
      </c>
      <c r="P85" s="42" t="s">
        <v>17</v>
      </c>
      <c r="Q85" s="42" t="s">
        <v>18</v>
      </c>
      <c r="R85" s="42" t="s">
        <v>19</v>
      </c>
      <c r="S85" s="42" t="s">
        <v>20</v>
      </c>
      <c r="T85" s="42" t="s">
        <v>21</v>
      </c>
      <c r="U85" s="42" t="s">
        <v>22</v>
      </c>
      <c r="V85" s="42" t="s">
        <v>23</v>
      </c>
      <c r="W85" s="42" t="s">
        <v>24</v>
      </c>
      <c r="X85" s="42" t="s">
        <v>25</v>
      </c>
      <c r="Y85" s="42" t="s">
        <v>26</v>
      </c>
      <c r="Z85" s="42" t="s">
        <v>27</v>
      </c>
      <c r="AA85" s="42" t="s">
        <v>28</v>
      </c>
      <c r="AB85" s="36" t="s">
        <v>29</v>
      </c>
      <c r="AC85" s="43" t="s">
        <v>30</v>
      </c>
      <c r="AD85" s="42" t="s">
        <v>31</v>
      </c>
    </row>
    <row r="86" spans="2:32">
      <c r="B86" s="90">
        <v>49310</v>
      </c>
      <c r="C86" s="44" t="s">
        <v>32</v>
      </c>
      <c r="D86" s="47">
        <v>22.83</v>
      </c>
      <c r="E86" s="47">
        <v>22.83</v>
      </c>
      <c r="F86" s="47">
        <v>22.83</v>
      </c>
      <c r="G86" s="47">
        <v>22.83</v>
      </c>
      <c r="H86" s="47">
        <v>22.83</v>
      </c>
      <c r="I86" s="47">
        <v>22.83</v>
      </c>
      <c r="J86" s="47">
        <v>22.83</v>
      </c>
      <c r="K86" s="47">
        <v>22.83</v>
      </c>
      <c r="L86" s="47">
        <v>22.83</v>
      </c>
      <c r="M86" s="47">
        <v>22.83</v>
      </c>
      <c r="N86" s="47">
        <v>22.83</v>
      </c>
      <c r="O86" s="47">
        <v>22.83</v>
      </c>
      <c r="P86" s="47">
        <v>22.83</v>
      </c>
      <c r="Q86" s="47">
        <v>22.83</v>
      </c>
      <c r="R86" s="47">
        <v>22.83</v>
      </c>
      <c r="S86" s="47">
        <v>22.83</v>
      </c>
      <c r="T86" s="47">
        <v>22.83</v>
      </c>
      <c r="U86" s="47">
        <v>22.83</v>
      </c>
      <c r="V86" s="47">
        <v>22.83</v>
      </c>
      <c r="W86" s="47">
        <v>22.83</v>
      </c>
      <c r="X86" s="47">
        <v>22.83</v>
      </c>
      <c r="Y86" s="47">
        <v>22.83</v>
      </c>
      <c r="Z86" s="47">
        <v>22.83</v>
      </c>
      <c r="AA86" s="47">
        <v>22.83</v>
      </c>
      <c r="AB86" s="45">
        <f>SUM(D86:AA86)</f>
        <v>547.91999999999996</v>
      </c>
      <c r="AC86" s="37">
        <v>21</v>
      </c>
      <c r="AD86" s="92">
        <f>+AB86*AC86+AB87*AC87+AB88*AC88</f>
        <v>16985.52</v>
      </c>
    </row>
    <row r="87" spans="2:32">
      <c r="B87" s="90"/>
      <c r="C87" s="44" t="s">
        <v>33</v>
      </c>
      <c r="D87" s="47">
        <v>22.83</v>
      </c>
      <c r="E87" s="47">
        <v>22.83</v>
      </c>
      <c r="F87" s="47">
        <v>22.83</v>
      </c>
      <c r="G87" s="47">
        <v>22.83</v>
      </c>
      <c r="H87" s="47">
        <v>22.83</v>
      </c>
      <c r="I87" s="47">
        <v>22.83</v>
      </c>
      <c r="J87" s="47">
        <v>22.83</v>
      </c>
      <c r="K87" s="47">
        <v>22.83</v>
      </c>
      <c r="L87" s="47">
        <v>22.83</v>
      </c>
      <c r="M87" s="47">
        <v>22.83</v>
      </c>
      <c r="N87" s="47">
        <v>22.83</v>
      </c>
      <c r="O87" s="47">
        <v>22.83</v>
      </c>
      <c r="P87" s="47">
        <v>22.83</v>
      </c>
      <c r="Q87" s="47">
        <v>22.83</v>
      </c>
      <c r="R87" s="47">
        <v>22.83</v>
      </c>
      <c r="S87" s="47">
        <v>22.83</v>
      </c>
      <c r="T87" s="47">
        <v>22.83</v>
      </c>
      <c r="U87" s="47">
        <v>22.83</v>
      </c>
      <c r="V87" s="47">
        <v>22.83</v>
      </c>
      <c r="W87" s="47">
        <v>22.83</v>
      </c>
      <c r="X87" s="47">
        <v>22.83</v>
      </c>
      <c r="Y87" s="47">
        <v>22.83</v>
      </c>
      <c r="Z87" s="47">
        <v>22.83</v>
      </c>
      <c r="AA87" s="47">
        <v>22.83</v>
      </c>
      <c r="AB87" s="45">
        <f t="shared" ref="AB87:AB121" si="2">SUM(D87:AA87)</f>
        <v>547.91999999999996</v>
      </c>
      <c r="AC87" s="37">
        <v>4</v>
      </c>
      <c r="AD87" s="92"/>
    </row>
    <row r="88" spans="2:32">
      <c r="B88" s="90"/>
      <c r="C88" s="44" t="s">
        <v>34</v>
      </c>
      <c r="D88" s="47">
        <v>22.83</v>
      </c>
      <c r="E88" s="47">
        <v>22.83</v>
      </c>
      <c r="F88" s="47">
        <v>22.83</v>
      </c>
      <c r="G88" s="47">
        <v>22.83</v>
      </c>
      <c r="H88" s="47">
        <v>22.83</v>
      </c>
      <c r="I88" s="47">
        <v>22.83</v>
      </c>
      <c r="J88" s="47">
        <v>22.83</v>
      </c>
      <c r="K88" s="47">
        <v>22.83</v>
      </c>
      <c r="L88" s="47">
        <v>22.83</v>
      </c>
      <c r="M88" s="47">
        <v>22.83</v>
      </c>
      <c r="N88" s="47">
        <v>22.83</v>
      </c>
      <c r="O88" s="47">
        <v>22.83</v>
      </c>
      <c r="P88" s="47">
        <v>22.83</v>
      </c>
      <c r="Q88" s="47">
        <v>22.83</v>
      </c>
      <c r="R88" s="47">
        <v>22.83</v>
      </c>
      <c r="S88" s="47">
        <v>22.83</v>
      </c>
      <c r="T88" s="47">
        <v>22.83</v>
      </c>
      <c r="U88" s="47">
        <v>22.83</v>
      </c>
      <c r="V88" s="47">
        <v>22.83</v>
      </c>
      <c r="W88" s="47">
        <v>22.83</v>
      </c>
      <c r="X88" s="47">
        <v>22.83</v>
      </c>
      <c r="Y88" s="47">
        <v>22.83</v>
      </c>
      <c r="Z88" s="47">
        <v>22.83</v>
      </c>
      <c r="AA88" s="47">
        <v>22.83</v>
      </c>
      <c r="AB88" s="45">
        <f t="shared" si="2"/>
        <v>547.91999999999996</v>
      </c>
      <c r="AC88" s="37">
        <v>6</v>
      </c>
      <c r="AD88" s="92"/>
    </row>
    <row r="89" spans="2:32">
      <c r="B89" s="90">
        <v>49341</v>
      </c>
      <c r="C89" s="44" t="s">
        <v>32</v>
      </c>
      <c r="D89" s="47">
        <v>22.83</v>
      </c>
      <c r="E89" s="47">
        <v>22.83</v>
      </c>
      <c r="F89" s="47">
        <v>22.83</v>
      </c>
      <c r="G89" s="47">
        <v>22.83</v>
      </c>
      <c r="H89" s="47">
        <v>22.83</v>
      </c>
      <c r="I89" s="47">
        <v>22.83</v>
      </c>
      <c r="J89" s="47">
        <v>22.83</v>
      </c>
      <c r="K89" s="47">
        <v>22.83</v>
      </c>
      <c r="L89" s="47">
        <v>22.83</v>
      </c>
      <c r="M89" s="47">
        <v>22.83</v>
      </c>
      <c r="N89" s="47">
        <v>22.83</v>
      </c>
      <c r="O89" s="47">
        <v>22.83</v>
      </c>
      <c r="P89" s="47">
        <v>22.83</v>
      </c>
      <c r="Q89" s="47">
        <v>22.83</v>
      </c>
      <c r="R89" s="47">
        <v>22.83</v>
      </c>
      <c r="S89" s="47">
        <v>22.83</v>
      </c>
      <c r="T89" s="47">
        <v>22.83</v>
      </c>
      <c r="U89" s="47">
        <v>22.83</v>
      </c>
      <c r="V89" s="47">
        <v>22.83</v>
      </c>
      <c r="W89" s="47">
        <v>22.83</v>
      </c>
      <c r="X89" s="47">
        <v>22.83</v>
      </c>
      <c r="Y89" s="47">
        <v>22.83</v>
      </c>
      <c r="Z89" s="47">
        <v>22.83</v>
      </c>
      <c r="AA89" s="47">
        <v>22.83</v>
      </c>
      <c r="AB89" s="45">
        <f t="shared" si="2"/>
        <v>547.91999999999996</v>
      </c>
      <c r="AC89" s="37">
        <v>20</v>
      </c>
      <c r="AD89" s="92">
        <f>+AB89*AC89+AB90*AC90+AB91*AC91</f>
        <v>15341.76</v>
      </c>
    </row>
    <row r="90" spans="2:32">
      <c r="B90" s="90"/>
      <c r="C90" s="44" t="s">
        <v>33</v>
      </c>
      <c r="D90" s="47">
        <v>22.83</v>
      </c>
      <c r="E90" s="47">
        <v>22.83</v>
      </c>
      <c r="F90" s="47">
        <v>22.83</v>
      </c>
      <c r="G90" s="47">
        <v>22.83</v>
      </c>
      <c r="H90" s="47">
        <v>22.83</v>
      </c>
      <c r="I90" s="47">
        <v>22.83</v>
      </c>
      <c r="J90" s="47">
        <v>22.83</v>
      </c>
      <c r="K90" s="47">
        <v>22.83</v>
      </c>
      <c r="L90" s="47">
        <v>22.83</v>
      </c>
      <c r="M90" s="47">
        <v>22.83</v>
      </c>
      <c r="N90" s="47">
        <v>22.83</v>
      </c>
      <c r="O90" s="47">
        <v>22.83</v>
      </c>
      <c r="P90" s="47">
        <v>22.83</v>
      </c>
      <c r="Q90" s="47">
        <v>22.83</v>
      </c>
      <c r="R90" s="47">
        <v>22.83</v>
      </c>
      <c r="S90" s="47">
        <v>22.83</v>
      </c>
      <c r="T90" s="47">
        <v>22.83</v>
      </c>
      <c r="U90" s="47">
        <v>22.83</v>
      </c>
      <c r="V90" s="47">
        <v>22.83</v>
      </c>
      <c r="W90" s="47">
        <v>22.83</v>
      </c>
      <c r="X90" s="47">
        <v>22.83</v>
      </c>
      <c r="Y90" s="47">
        <v>22.83</v>
      </c>
      <c r="Z90" s="47">
        <v>22.83</v>
      </c>
      <c r="AA90" s="47">
        <v>22.83</v>
      </c>
      <c r="AB90" s="45">
        <f t="shared" si="2"/>
        <v>547.91999999999996</v>
      </c>
      <c r="AC90" s="37">
        <v>4</v>
      </c>
      <c r="AD90" s="92"/>
    </row>
    <row r="91" spans="2:32">
      <c r="B91" s="90"/>
      <c r="C91" s="44" t="s">
        <v>34</v>
      </c>
      <c r="D91" s="47">
        <v>22.83</v>
      </c>
      <c r="E91" s="47">
        <v>22.83</v>
      </c>
      <c r="F91" s="47">
        <v>22.83</v>
      </c>
      <c r="G91" s="47">
        <v>22.83</v>
      </c>
      <c r="H91" s="47">
        <v>22.83</v>
      </c>
      <c r="I91" s="47">
        <v>22.83</v>
      </c>
      <c r="J91" s="47">
        <v>22.83</v>
      </c>
      <c r="K91" s="47">
        <v>22.83</v>
      </c>
      <c r="L91" s="47">
        <v>22.83</v>
      </c>
      <c r="M91" s="47">
        <v>22.83</v>
      </c>
      <c r="N91" s="47">
        <v>22.83</v>
      </c>
      <c r="O91" s="47">
        <v>22.83</v>
      </c>
      <c r="P91" s="47">
        <v>22.83</v>
      </c>
      <c r="Q91" s="47">
        <v>22.83</v>
      </c>
      <c r="R91" s="47">
        <v>22.83</v>
      </c>
      <c r="S91" s="47">
        <v>22.83</v>
      </c>
      <c r="T91" s="47">
        <v>22.83</v>
      </c>
      <c r="U91" s="47">
        <v>22.83</v>
      </c>
      <c r="V91" s="47">
        <v>22.83</v>
      </c>
      <c r="W91" s="47">
        <v>22.83</v>
      </c>
      <c r="X91" s="47">
        <v>22.83</v>
      </c>
      <c r="Y91" s="47">
        <v>22.83</v>
      </c>
      <c r="Z91" s="47">
        <v>22.83</v>
      </c>
      <c r="AA91" s="47">
        <v>22.83</v>
      </c>
      <c r="AB91" s="45">
        <f t="shared" si="2"/>
        <v>547.91999999999996</v>
      </c>
      <c r="AC91" s="37">
        <v>4</v>
      </c>
      <c r="AD91" s="92"/>
    </row>
    <row r="92" spans="2:32">
      <c r="B92" s="90">
        <v>49369</v>
      </c>
      <c r="C92" s="44" t="s">
        <v>32</v>
      </c>
      <c r="D92" s="47">
        <v>22.83</v>
      </c>
      <c r="E92" s="47">
        <v>22.83</v>
      </c>
      <c r="F92" s="47">
        <v>22.83</v>
      </c>
      <c r="G92" s="47">
        <v>22.83</v>
      </c>
      <c r="H92" s="47">
        <v>22.83</v>
      </c>
      <c r="I92" s="47">
        <v>22.83</v>
      </c>
      <c r="J92" s="47">
        <v>22.83</v>
      </c>
      <c r="K92" s="47">
        <v>22.83</v>
      </c>
      <c r="L92" s="47">
        <v>22.83</v>
      </c>
      <c r="M92" s="47">
        <v>22.83</v>
      </c>
      <c r="N92" s="47">
        <v>22.83</v>
      </c>
      <c r="O92" s="47">
        <v>22.83</v>
      </c>
      <c r="P92" s="47">
        <v>22.83</v>
      </c>
      <c r="Q92" s="47">
        <v>22.83</v>
      </c>
      <c r="R92" s="47">
        <v>22.83</v>
      </c>
      <c r="S92" s="47">
        <v>22.83</v>
      </c>
      <c r="T92" s="47">
        <v>22.83</v>
      </c>
      <c r="U92" s="47">
        <v>22.83</v>
      </c>
      <c r="V92" s="47">
        <v>22.83</v>
      </c>
      <c r="W92" s="47">
        <v>22.83</v>
      </c>
      <c r="X92" s="47">
        <v>22.83</v>
      </c>
      <c r="Y92" s="47">
        <v>22.83</v>
      </c>
      <c r="Z92" s="47">
        <v>22.83</v>
      </c>
      <c r="AA92" s="47">
        <v>22.83</v>
      </c>
      <c r="AB92" s="45">
        <f t="shared" si="2"/>
        <v>547.91999999999996</v>
      </c>
      <c r="AC92" s="37">
        <v>19</v>
      </c>
      <c r="AD92" s="92">
        <f>+AB92*AC92+AB93*AC93+AB94*AC94</f>
        <v>16985.52</v>
      </c>
    </row>
    <row r="93" spans="2:32">
      <c r="B93" s="90"/>
      <c r="C93" s="44" t="s">
        <v>33</v>
      </c>
      <c r="D93" s="47">
        <v>22.83</v>
      </c>
      <c r="E93" s="47">
        <v>22.83</v>
      </c>
      <c r="F93" s="47">
        <v>22.83</v>
      </c>
      <c r="G93" s="47">
        <v>22.83</v>
      </c>
      <c r="H93" s="47">
        <v>22.83</v>
      </c>
      <c r="I93" s="47">
        <v>22.83</v>
      </c>
      <c r="J93" s="47">
        <v>22.83</v>
      </c>
      <c r="K93" s="47">
        <v>22.83</v>
      </c>
      <c r="L93" s="47">
        <v>22.83</v>
      </c>
      <c r="M93" s="47">
        <v>22.83</v>
      </c>
      <c r="N93" s="47">
        <v>22.83</v>
      </c>
      <c r="O93" s="47">
        <v>22.83</v>
      </c>
      <c r="P93" s="47">
        <v>22.83</v>
      </c>
      <c r="Q93" s="47">
        <v>22.83</v>
      </c>
      <c r="R93" s="47">
        <v>22.83</v>
      </c>
      <c r="S93" s="47">
        <v>22.83</v>
      </c>
      <c r="T93" s="47">
        <v>22.83</v>
      </c>
      <c r="U93" s="47">
        <v>22.83</v>
      </c>
      <c r="V93" s="47">
        <v>22.83</v>
      </c>
      <c r="W93" s="47">
        <v>22.83</v>
      </c>
      <c r="X93" s="47">
        <v>22.83</v>
      </c>
      <c r="Y93" s="47">
        <v>22.83</v>
      </c>
      <c r="Z93" s="47">
        <v>22.83</v>
      </c>
      <c r="AA93" s="47">
        <v>22.83</v>
      </c>
      <c r="AB93" s="45">
        <f t="shared" si="2"/>
        <v>547.91999999999996</v>
      </c>
      <c r="AC93" s="37">
        <v>5</v>
      </c>
      <c r="AD93" s="92"/>
    </row>
    <row r="94" spans="2:32">
      <c r="B94" s="90"/>
      <c r="C94" s="44" t="s">
        <v>34</v>
      </c>
      <c r="D94" s="47">
        <v>22.83</v>
      </c>
      <c r="E94" s="47">
        <v>22.83</v>
      </c>
      <c r="F94" s="47">
        <v>22.83</v>
      </c>
      <c r="G94" s="47">
        <v>22.83</v>
      </c>
      <c r="H94" s="47">
        <v>22.83</v>
      </c>
      <c r="I94" s="47">
        <v>22.83</v>
      </c>
      <c r="J94" s="47">
        <v>22.83</v>
      </c>
      <c r="K94" s="47">
        <v>22.83</v>
      </c>
      <c r="L94" s="47">
        <v>22.83</v>
      </c>
      <c r="M94" s="47">
        <v>22.83</v>
      </c>
      <c r="N94" s="47">
        <v>22.83</v>
      </c>
      <c r="O94" s="47">
        <v>22.83</v>
      </c>
      <c r="P94" s="47">
        <v>22.83</v>
      </c>
      <c r="Q94" s="47">
        <v>22.83</v>
      </c>
      <c r="R94" s="47">
        <v>22.83</v>
      </c>
      <c r="S94" s="47">
        <v>22.83</v>
      </c>
      <c r="T94" s="47">
        <v>22.83</v>
      </c>
      <c r="U94" s="47">
        <v>22.83</v>
      </c>
      <c r="V94" s="47">
        <v>22.83</v>
      </c>
      <c r="W94" s="47">
        <v>22.83</v>
      </c>
      <c r="X94" s="47">
        <v>22.83</v>
      </c>
      <c r="Y94" s="47">
        <v>22.83</v>
      </c>
      <c r="Z94" s="47">
        <v>22.83</v>
      </c>
      <c r="AA94" s="47">
        <v>22.83</v>
      </c>
      <c r="AB94" s="45">
        <f t="shared" si="2"/>
        <v>547.91999999999996</v>
      </c>
      <c r="AC94" s="37">
        <v>7</v>
      </c>
      <c r="AD94" s="92"/>
    </row>
    <row r="95" spans="2:32">
      <c r="B95" s="90">
        <v>49400</v>
      </c>
      <c r="C95" s="44" t="s">
        <v>32</v>
      </c>
      <c r="D95" s="47">
        <v>22.83</v>
      </c>
      <c r="E95" s="47">
        <v>22.83</v>
      </c>
      <c r="F95" s="47">
        <v>22.83</v>
      </c>
      <c r="G95" s="47">
        <v>22.83</v>
      </c>
      <c r="H95" s="47">
        <v>22.83</v>
      </c>
      <c r="I95" s="47">
        <v>22.83</v>
      </c>
      <c r="J95" s="47">
        <v>22.83</v>
      </c>
      <c r="K95" s="47">
        <v>22.83</v>
      </c>
      <c r="L95" s="47">
        <v>22.83</v>
      </c>
      <c r="M95" s="47">
        <v>22.83</v>
      </c>
      <c r="N95" s="47">
        <v>22.83</v>
      </c>
      <c r="O95" s="47">
        <v>22.83</v>
      </c>
      <c r="P95" s="47">
        <v>22.83</v>
      </c>
      <c r="Q95" s="47">
        <v>22.83</v>
      </c>
      <c r="R95" s="47">
        <v>22.83</v>
      </c>
      <c r="S95" s="47">
        <v>22.83</v>
      </c>
      <c r="T95" s="47">
        <v>22.83</v>
      </c>
      <c r="U95" s="47">
        <v>22.83</v>
      </c>
      <c r="V95" s="47">
        <v>22.83</v>
      </c>
      <c r="W95" s="47">
        <v>22.83</v>
      </c>
      <c r="X95" s="47">
        <v>22.83</v>
      </c>
      <c r="Y95" s="47">
        <v>22.83</v>
      </c>
      <c r="Z95" s="47">
        <v>22.83</v>
      </c>
      <c r="AA95" s="47">
        <v>22.83</v>
      </c>
      <c r="AB95" s="45">
        <f t="shared" si="2"/>
        <v>547.91999999999996</v>
      </c>
      <c r="AC95" s="37">
        <v>21</v>
      </c>
      <c r="AD95" s="92">
        <f>+AB95*AC95+AB96*AC96+AB97*AC97</f>
        <v>16437.599999999999</v>
      </c>
    </row>
    <row r="96" spans="2:32">
      <c r="B96" s="90"/>
      <c r="C96" s="44" t="s">
        <v>33</v>
      </c>
      <c r="D96" s="47">
        <v>22.83</v>
      </c>
      <c r="E96" s="47">
        <v>22.83</v>
      </c>
      <c r="F96" s="47">
        <v>22.83</v>
      </c>
      <c r="G96" s="47">
        <v>22.83</v>
      </c>
      <c r="H96" s="47">
        <v>22.83</v>
      </c>
      <c r="I96" s="47">
        <v>22.83</v>
      </c>
      <c r="J96" s="47">
        <v>22.83</v>
      </c>
      <c r="K96" s="47">
        <v>22.83</v>
      </c>
      <c r="L96" s="47">
        <v>22.83</v>
      </c>
      <c r="M96" s="47">
        <v>22.83</v>
      </c>
      <c r="N96" s="47">
        <v>22.83</v>
      </c>
      <c r="O96" s="47">
        <v>22.83</v>
      </c>
      <c r="P96" s="47">
        <v>22.83</v>
      </c>
      <c r="Q96" s="47">
        <v>22.83</v>
      </c>
      <c r="R96" s="47">
        <v>22.83</v>
      </c>
      <c r="S96" s="47">
        <v>22.83</v>
      </c>
      <c r="T96" s="47">
        <v>22.83</v>
      </c>
      <c r="U96" s="47">
        <v>22.83</v>
      </c>
      <c r="V96" s="47">
        <v>22.83</v>
      </c>
      <c r="W96" s="47">
        <v>22.83</v>
      </c>
      <c r="X96" s="47">
        <v>22.83</v>
      </c>
      <c r="Y96" s="47">
        <v>22.83</v>
      </c>
      <c r="Z96" s="47">
        <v>22.83</v>
      </c>
      <c r="AA96" s="47">
        <v>22.83</v>
      </c>
      <c r="AB96" s="45">
        <f t="shared" si="2"/>
        <v>547.91999999999996</v>
      </c>
      <c r="AC96" s="37">
        <v>4</v>
      </c>
      <c r="AD96" s="92"/>
    </row>
    <row r="97" spans="2:30">
      <c r="B97" s="90"/>
      <c r="C97" s="44" t="s">
        <v>34</v>
      </c>
      <c r="D97" s="47">
        <v>22.83</v>
      </c>
      <c r="E97" s="47">
        <v>22.83</v>
      </c>
      <c r="F97" s="47">
        <v>22.83</v>
      </c>
      <c r="G97" s="47">
        <v>22.83</v>
      </c>
      <c r="H97" s="47">
        <v>22.83</v>
      </c>
      <c r="I97" s="47">
        <v>22.83</v>
      </c>
      <c r="J97" s="47">
        <v>22.83</v>
      </c>
      <c r="K97" s="47">
        <v>22.83</v>
      </c>
      <c r="L97" s="47">
        <v>22.83</v>
      </c>
      <c r="M97" s="47">
        <v>22.83</v>
      </c>
      <c r="N97" s="47">
        <v>22.83</v>
      </c>
      <c r="O97" s="47">
        <v>22.83</v>
      </c>
      <c r="P97" s="47">
        <v>22.83</v>
      </c>
      <c r="Q97" s="47">
        <v>22.83</v>
      </c>
      <c r="R97" s="47">
        <v>22.83</v>
      </c>
      <c r="S97" s="47">
        <v>22.83</v>
      </c>
      <c r="T97" s="47">
        <v>22.83</v>
      </c>
      <c r="U97" s="47">
        <v>22.83</v>
      </c>
      <c r="V97" s="47">
        <v>22.83</v>
      </c>
      <c r="W97" s="47">
        <v>22.83</v>
      </c>
      <c r="X97" s="47">
        <v>22.83</v>
      </c>
      <c r="Y97" s="47">
        <v>22.83</v>
      </c>
      <c r="Z97" s="47">
        <v>22.83</v>
      </c>
      <c r="AA97" s="47">
        <v>22.83</v>
      </c>
      <c r="AB97" s="45">
        <f t="shared" si="2"/>
        <v>547.91999999999996</v>
      </c>
      <c r="AC97" s="37">
        <v>5</v>
      </c>
      <c r="AD97" s="92"/>
    </row>
    <row r="98" spans="2:30">
      <c r="B98" s="90">
        <v>49430</v>
      </c>
      <c r="C98" s="44" t="s">
        <v>32</v>
      </c>
      <c r="D98" s="47">
        <v>22.83</v>
      </c>
      <c r="E98" s="47">
        <v>22.83</v>
      </c>
      <c r="F98" s="47">
        <v>22.83</v>
      </c>
      <c r="G98" s="47">
        <v>22.83</v>
      </c>
      <c r="H98" s="47">
        <v>22.83</v>
      </c>
      <c r="I98" s="47">
        <v>22.83</v>
      </c>
      <c r="J98" s="47">
        <v>22.83</v>
      </c>
      <c r="K98" s="47">
        <v>22.83</v>
      </c>
      <c r="L98" s="47">
        <v>22.83</v>
      </c>
      <c r="M98" s="47">
        <v>22.83</v>
      </c>
      <c r="N98" s="47">
        <v>22.83</v>
      </c>
      <c r="O98" s="47">
        <v>22.83</v>
      </c>
      <c r="P98" s="47">
        <v>22.83</v>
      </c>
      <c r="Q98" s="47">
        <v>22.83</v>
      </c>
      <c r="R98" s="47">
        <v>22.83</v>
      </c>
      <c r="S98" s="47">
        <v>22.83</v>
      </c>
      <c r="T98" s="47">
        <v>22.83</v>
      </c>
      <c r="U98" s="47">
        <v>22.83</v>
      </c>
      <c r="V98" s="47">
        <v>22.83</v>
      </c>
      <c r="W98" s="47">
        <v>22.83</v>
      </c>
      <c r="X98" s="47">
        <v>22.83</v>
      </c>
      <c r="Y98" s="47">
        <v>22.83</v>
      </c>
      <c r="Z98" s="47">
        <v>22.83</v>
      </c>
      <c r="AA98" s="47">
        <v>22.83</v>
      </c>
      <c r="AB98" s="45">
        <f t="shared" si="2"/>
        <v>547.91999999999996</v>
      </c>
      <c r="AC98" s="37">
        <v>20</v>
      </c>
      <c r="AD98" s="92">
        <f>+AB98*AC98+AB99*AC99+AB100*AC100</f>
        <v>16985.52</v>
      </c>
    </row>
    <row r="99" spans="2:30">
      <c r="B99" s="90"/>
      <c r="C99" s="44" t="s">
        <v>33</v>
      </c>
      <c r="D99" s="47">
        <v>22.83</v>
      </c>
      <c r="E99" s="47">
        <v>22.83</v>
      </c>
      <c r="F99" s="47">
        <v>22.83</v>
      </c>
      <c r="G99" s="47">
        <v>22.83</v>
      </c>
      <c r="H99" s="47">
        <v>22.83</v>
      </c>
      <c r="I99" s="47">
        <v>22.83</v>
      </c>
      <c r="J99" s="47">
        <v>22.83</v>
      </c>
      <c r="K99" s="47">
        <v>22.83</v>
      </c>
      <c r="L99" s="47">
        <v>22.83</v>
      </c>
      <c r="M99" s="47">
        <v>22.83</v>
      </c>
      <c r="N99" s="47">
        <v>22.83</v>
      </c>
      <c r="O99" s="47">
        <v>22.83</v>
      </c>
      <c r="P99" s="47">
        <v>22.83</v>
      </c>
      <c r="Q99" s="47">
        <v>22.83</v>
      </c>
      <c r="R99" s="47">
        <v>22.83</v>
      </c>
      <c r="S99" s="47">
        <v>22.83</v>
      </c>
      <c r="T99" s="47">
        <v>22.83</v>
      </c>
      <c r="U99" s="47">
        <v>22.83</v>
      </c>
      <c r="V99" s="47">
        <v>22.83</v>
      </c>
      <c r="W99" s="47">
        <v>22.83</v>
      </c>
      <c r="X99" s="47">
        <v>22.83</v>
      </c>
      <c r="Y99" s="47">
        <v>22.83</v>
      </c>
      <c r="Z99" s="47">
        <v>22.83</v>
      </c>
      <c r="AA99" s="47">
        <v>22.83</v>
      </c>
      <c r="AB99" s="45">
        <f t="shared" si="2"/>
        <v>547.91999999999996</v>
      </c>
      <c r="AC99" s="37">
        <v>4</v>
      </c>
      <c r="AD99" s="92"/>
    </row>
    <row r="100" spans="2:30">
      <c r="B100" s="90"/>
      <c r="C100" s="44" t="s">
        <v>34</v>
      </c>
      <c r="D100" s="47">
        <v>22.83</v>
      </c>
      <c r="E100" s="47">
        <v>22.83</v>
      </c>
      <c r="F100" s="47">
        <v>22.83</v>
      </c>
      <c r="G100" s="47">
        <v>22.83</v>
      </c>
      <c r="H100" s="47">
        <v>22.83</v>
      </c>
      <c r="I100" s="47">
        <v>22.83</v>
      </c>
      <c r="J100" s="47">
        <v>22.83</v>
      </c>
      <c r="K100" s="47">
        <v>22.83</v>
      </c>
      <c r="L100" s="47">
        <v>22.83</v>
      </c>
      <c r="M100" s="47">
        <v>22.83</v>
      </c>
      <c r="N100" s="47">
        <v>22.83</v>
      </c>
      <c r="O100" s="47">
        <v>22.83</v>
      </c>
      <c r="P100" s="47">
        <v>22.83</v>
      </c>
      <c r="Q100" s="47">
        <v>22.83</v>
      </c>
      <c r="R100" s="47">
        <v>22.83</v>
      </c>
      <c r="S100" s="47">
        <v>22.83</v>
      </c>
      <c r="T100" s="47">
        <v>22.83</v>
      </c>
      <c r="U100" s="47">
        <v>22.83</v>
      </c>
      <c r="V100" s="47">
        <v>22.83</v>
      </c>
      <c r="W100" s="47">
        <v>22.83</v>
      </c>
      <c r="X100" s="47">
        <v>22.83</v>
      </c>
      <c r="Y100" s="47">
        <v>22.83</v>
      </c>
      <c r="Z100" s="47">
        <v>22.83</v>
      </c>
      <c r="AA100" s="47">
        <v>22.83</v>
      </c>
      <c r="AB100" s="45">
        <f t="shared" si="2"/>
        <v>547.91999999999996</v>
      </c>
      <c r="AC100" s="37">
        <v>7</v>
      </c>
      <c r="AD100" s="92"/>
    </row>
    <row r="101" spans="2:30">
      <c r="B101" s="90">
        <v>49461</v>
      </c>
      <c r="C101" s="44" t="s">
        <v>32</v>
      </c>
      <c r="D101" s="47">
        <v>22.83</v>
      </c>
      <c r="E101" s="47">
        <v>22.83</v>
      </c>
      <c r="F101" s="47">
        <v>22.83</v>
      </c>
      <c r="G101" s="47">
        <v>22.83</v>
      </c>
      <c r="H101" s="47">
        <v>22.83</v>
      </c>
      <c r="I101" s="47">
        <v>22.83</v>
      </c>
      <c r="J101" s="47">
        <v>22.83</v>
      </c>
      <c r="K101" s="47">
        <v>22.83</v>
      </c>
      <c r="L101" s="47">
        <v>22.83</v>
      </c>
      <c r="M101" s="47">
        <v>22.83</v>
      </c>
      <c r="N101" s="47">
        <v>22.83</v>
      </c>
      <c r="O101" s="47">
        <v>22.83</v>
      </c>
      <c r="P101" s="47">
        <v>22.83</v>
      </c>
      <c r="Q101" s="47">
        <v>22.83</v>
      </c>
      <c r="R101" s="47">
        <v>22.83</v>
      </c>
      <c r="S101" s="47">
        <v>22.83</v>
      </c>
      <c r="T101" s="47">
        <v>22.83</v>
      </c>
      <c r="U101" s="47">
        <v>22.83</v>
      </c>
      <c r="V101" s="47">
        <v>22.83</v>
      </c>
      <c r="W101" s="47">
        <v>22.83</v>
      </c>
      <c r="X101" s="47">
        <v>22.83</v>
      </c>
      <c r="Y101" s="47">
        <v>22.83</v>
      </c>
      <c r="Z101" s="47">
        <v>22.83</v>
      </c>
      <c r="AA101" s="47">
        <v>22.83</v>
      </c>
      <c r="AB101" s="45">
        <f t="shared" si="2"/>
        <v>547.91999999999996</v>
      </c>
      <c r="AC101" s="37">
        <v>21</v>
      </c>
      <c r="AD101" s="92">
        <f>+AB101*AC101+AB102*AC102+AB103*AC103</f>
        <v>16437.599999999999</v>
      </c>
    </row>
    <row r="102" spans="2:30">
      <c r="B102" s="90"/>
      <c r="C102" s="44" t="s">
        <v>33</v>
      </c>
      <c r="D102" s="47">
        <v>22.83</v>
      </c>
      <c r="E102" s="47">
        <v>22.83</v>
      </c>
      <c r="F102" s="47">
        <v>22.83</v>
      </c>
      <c r="G102" s="47">
        <v>22.83</v>
      </c>
      <c r="H102" s="47">
        <v>22.83</v>
      </c>
      <c r="I102" s="47">
        <v>22.83</v>
      </c>
      <c r="J102" s="47">
        <v>22.83</v>
      </c>
      <c r="K102" s="47">
        <v>22.83</v>
      </c>
      <c r="L102" s="47">
        <v>22.83</v>
      </c>
      <c r="M102" s="47">
        <v>22.83</v>
      </c>
      <c r="N102" s="47">
        <v>22.83</v>
      </c>
      <c r="O102" s="47">
        <v>22.83</v>
      </c>
      <c r="P102" s="47">
        <v>22.83</v>
      </c>
      <c r="Q102" s="47">
        <v>22.83</v>
      </c>
      <c r="R102" s="47">
        <v>22.83</v>
      </c>
      <c r="S102" s="47">
        <v>22.83</v>
      </c>
      <c r="T102" s="47">
        <v>22.83</v>
      </c>
      <c r="U102" s="47">
        <v>22.83</v>
      </c>
      <c r="V102" s="47">
        <v>22.83</v>
      </c>
      <c r="W102" s="47">
        <v>22.83</v>
      </c>
      <c r="X102" s="47">
        <v>22.83</v>
      </c>
      <c r="Y102" s="47">
        <v>22.83</v>
      </c>
      <c r="Z102" s="47">
        <v>22.83</v>
      </c>
      <c r="AA102" s="47">
        <v>22.83</v>
      </c>
      <c r="AB102" s="45">
        <f t="shared" si="2"/>
        <v>547.91999999999996</v>
      </c>
      <c r="AC102" s="37">
        <v>5</v>
      </c>
      <c r="AD102" s="92"/>
    </row>
    <row r="103" spans="2:30">
      <c r="B103" s="90"/>
      <c r="C103" s="44" t="s">
        <v>34</v>
      </c>
      <c r="D103" s="47">
        <v>22.83</v>
      </c>
      <c r="E103" s="47">
        <v>22.83</v>
      </c>
      <c r="F103" s="47">
        <v>22.83</v>
      </c>
      <c r="G103" s="47">
        <v>22.83</v>
      </c>
      <c r="H103" s="47">
        <v>22.83</v>
      </c>
      <c r="I103" s="47">
        <v>22.83</v>
      </c>
      <c r="J103" s="47">
        <v>22.83</v>
      </c>
      <c r="K103" s="47">
        <v>22.83</v>
      </c>
      <c r="L103" s="47">
        <v>22.83</v>
      </c>
      <c r="M103" s="47">
        <v>22.83</v>
      </c>
      <c r="N103" s="47">
        <v>22.83</v>
      </c>
      <c r="O103" s="47">
        <v>22.83</v>
      </c>
      <c r="P103" s="47">
        <v>22.83</v>
      </c>
      <c r="Q103" s="47">
        <v>22.83</v>
      </c>
      <c r="R103" s="47">
        <v>22.83</v>
      </c>
      <c r="S103" s="47">
        <v>22.83</v>
      </c>
      <c r="T103" s="47">
        <v>22.83</v>
      </c>
      <c r="U103" s="47">
        <v>22.83</v>
      </c>
      <c r="V103" s="47">
        <v>22.83</v>
      </c>
      <c r="W103" s="47">
        <v>22.83</v>
      </c>
      <c r="X103" s="47">
        <v>22.83</v>
      </c>
      <c r="Y103" s="47">
        <v>22.83</v>
      </c>
      <c r="Z103" s="47">
        <v>22.83</v>
      </c>
      <c r="AA103" s="47">
        <v>22.83</v>
      </c>
      <c r="AB103" s="45">
        <f t="shared" si="2"/>
        <v>547.91999999999996</v>
      </c>
      <c r="AC103" s="37">
        <v>4</v>
      </c>
      <c r="AD103" s="92"/>
    </row>
    <row r="104" spans="2:30">
      <c r="B104" s="90">
        <v>49491</v>
      </c>
      <c r="C104" s="44" t="s">
        <v>32</v>
      </c>
      <c r="D104" s="47">
        <v>22.83</v>
      </c>
      <c r="E104" s="47">
        <v>22.83</v>
      </c>
      <c r="F104" s="47">
        <v>22.83</v>
      </c>
      <c r="G104" s="47">
        <v>22.83</v>
      </c>
      <c r="H104" s="47">
        <v>22.83</v>
      </c>
      <c r="I104" s="47">
        <v>22.83</v>
      </c>
      <c r="J104" s="47">
        <v>22.83</v>
      </c>
      <c r="K104" s="47">
        <v>22.83</v>
      </c>
      <c r="L104" s="47">
        <v>22.83</v>
      </c>
      <c r="M104" s="47">
        <v>22.83</v>
      </c>
      <c r="N104" s="47">
        <v>22.83</v>
      </c>
      <c r="O104" s="47">
        <v>22.83</v>
      </c>
      <c r="P104" s="47">
        <v>22.83</v>
      </c>
      <c r="Q104" s="47">
        <v>22.83</v>
      </c>
      <c r="R104" s="47">
        <v>22.83</v>
      </c>
      <c r="S104" s="47">
        <v>22.83</v>
      </c>
      <c r="T104" s="47">
        <v>22.83</v>
      </c>
      <c r="U104" s="47">
        <v>22.83</v>
      </c>
      <c r="V104" s="47">
        <v>22.83</v>
      </c>
      <c r="W104" s="47">
        <v>22.83</v>
      </c>
      <c r="X104" s="47">
        <v>22.83</v>
      </c>
      <c r="Y104" s="47">
        <v>22.83</v>
      </c>
      <c r="Z104" s="47">
        <v>22.83</v>
      </c>
      <c r="AA104" s="47">
        <v>22.83</v>
      </c>
      <c r="AB104" s="45">
        <f t="shared" si="2"/>
        <v>547.91999999999996</v>
      </c>
      <c r="AC104" s="37">
        <v>20</v>
      </c>
      <c r="AD104" s="92">
        <f>+AB104*AC104+AB105*AC105+AB106*AC106</f>
        <v>16985.52</v>
      </c>
    </row>
    <row r="105" spans="2:30">
      <c r="B105" s="90"/>
      <c r="C105" s="44" t="s">
        <v>33</v>
      </c>
      <c r="D105" s="47">
        <v>22.83</v>
      </c>
      <c r="E105" s="47">
        <v>22.83</v>
      </c>
      <c r="F105" s="47">
        <v>22.83</v>
      </c>
      <c r="G105" s="47">
        <v>22.83</v>
      </c>
      <c r="H105" s="47">
        <v>22.83</v>
      </c>
      <c r="I105" s="47">
        <v>22.83</v>
      </c>
      <c r="J105" s="47">
        <v>22.83</v>
      </c>
      <c r="K105" s="47">
        <v>22.83</v>
      </c>
      <c r="L105" s="47">
        <v>22.83</v>
      </c>
      <c r="M105" s="47">
        <v>22.83</v>
      </c>
      <c r="N105" s="47">
        <v>22.83</v>
      </c>
      <c r="O105" s="47">
        <v>22.83</v>
      </c>
      <c r="P105" s="47">
        <v>22.83</v>
      </c>
      <c r="Q105" s="47">
        <v>22.83</v>
      </c>
      <c r="R105" s="47">
        <v>22.83</v>
      </c>
      <c r="S105" s="47">
        <v>22.83</v>
      </c>
      <c r="T105" s="47">
        <v>22.83</v>
      </c>
      <c r="U105" s="47">
        <v>22.83</v>
      </c>
      <c r="V105" s="47">
        <v>22.83</v>
      </c>
      <c r="W105" s="47">
        <v>22.83</v>
      </c>
      <c r="X105" s="47">
        <v>22.83</v>
      </c>
      <c r="Y105" s="47">
        <v>22.83</v>
      </c>
      <c r="Z105" s="47">
        <v>22.83</v>
      </c>
      <c r="AA105" s="47">
        <v>22.83</v>
      </c>
      <c r="AB105" s="45">
        <f t="shared" si="2"/>
        <v>547.91999999999996</v>
      </c>
      <c r="AC105" s="37">
        <v>4</v>
      </c>
      <c r="AD105" s="92"/>
    </row>
    <row r="106" spans="2:30">
      <c r="B106" s="90"/>
      <c r="C106" s="44" t="s">
        <v>34</v>
      </c>
      <c r="D106" s="47">
        <v>22.83</v>
      </c>
      <c r="E106" s="47">
        <v>22.83</v>
      </c>
      <c r="F106" s="47">
        <v>22.83</v>
      </c>
      <c r="G106" s="47">
        <v>22.83</v>
      </c>
      <c r="H106" s="47">
        <v>22.83</v>
      </c>
      <c r="I106" s="47">
        <v>22.83</v>
      </c>
      <c r="J106" s="47">
        <v>22.83</v>
      </c>
      <c r="K106" s="47">
        <v>22.83</v>
      </c>
      <c r="L106" s="47">
        <v>22.83</v>
      </c>
      <c r="M106" s="47">
        <v>22.83</v>
      </c>
      <c r="N106" s="47">
        <v>22.83</v>
      </c>
      <c r="O106" s="47">
        <v>22.83</v>
      </c>
      <c r="P106" s="47">
        <v>22.83</v>
      </c>
      <c r="Q106" s="47">
        <v>22.83</v>
      </c>
      <c r="R106" s="47">
        <v>22.83</v>
      </c>
      <c r="S106" s="47">
        <v>22.83</v>
      </c>
      <c r="T106" s="47">
        <v>22.83</v>
      </c>
      <c r="U106" s="47">
        <v>22.83</v>
      </c>
      <c r="V106" s="47">
        <v>22.83</v>
      </c>
      <c r="W106" s="47">
        <v>22.83</v>
      </c>
      <c r="X106" s="47">
        <v>22.83</v>
      </c>
      <c r="Y106" s="47">
        <v>22.83</v>
      </c>
      <c r="Z106" s="47">
        <v>22.83</v>
      </c>
      <c r="AA106" s="47">
        <v>22.83</v>
      </c>
      <c r="AB106" s="45">
        <f t="shared" si="2"/>
        <v>547.91999999999996</v>
      </c>
      <c r="AC106" s="37">
        <v>7</v>
      </c>
      <c r="AD106" s="92"/>
    </row>
    <row r="107" spans="2:30">
      <c r="B107" s="90">
        <v>49522</v>
      </c>
      <c r="C107" s="44" t="s">
        <v>32</v>
      </c>
      <c r="D107" s="47">
        <v>22.83</v>
      </c>
      <c r="E107" s="47">
        <v>22.83</v>
      </c>
      <c r="F107" s="47">
        <v>22.83</v>
      </c>
      <c r="G107" s="47">
        <v>22.83</v>
      </c>
      <c r="H107" s="47">
        <v>22.83</v>
      </c>
      <c r="I107" s="47">
        <v>22.83</v>
      </c>
      <c r="J107" s="47">
        <v>22.83</v>
      </c>
      <c r="K107" s="47">
        <v>22.83</v>
      </c>
      <c r="L107" s="47">
        <v>22.83</v>
      </c>
      <c r="M107" s="47">
        <v>22.83</v>
      </c>
      <c r="N107" s="47">
        <v>22.83</v>
      </c>
      <c r="O107" s="47">
        <v>22.83</v>
      </c>
      <c r="P107" s="47">
        <v>22.83</v>
      </c>
      <c r="Q107" s="47">
        <v>22.83</v>
      </c>
      <c r="R107" s="47">
        <v>22.83</v>
      </c>
      <c r="S107" s="47">
        <v>22.83</v>
      </c>
      <c r="T107" s="47">
        <v>22.83</v>
      </c>
      <c r="U107" s="47">
        <v>22.83</v>
      </c>
      <c r="V107" s="47">
        <v>22.83</v>
      </c>
      <c r="W107" s="47">
        <v>22.83</v>
      </c>
      <c r="X107" s="47">
        <v>22.83</v>
      </c>
      <c r="Y107" s="47">
        <v>22.83</v>
      </c>
      <c r="Z107" s="47">
        <v>22.83</v>
      </c>
      <c r="AA107" s="47">
        <v>22.83</v>
      </c>
      <c r="AB107" s="45">
        <f t="shared" si="2"/>
        <v>547.91999999999996</v>
      </c>
      <c r="AC107" s="37">
        <v>21</v>
      </c>
      <c r="AD107" s="92">
        <f>+AB107*AC107+AB108*AC108+AB109*AC109</f>
        <v>16985.52</v>
      </c>
    </row>
    <row r="108" spans="2:30">
      <c r="B108" s="90"/>
      <c r="C108" s="44" t="s">
        <v>33</v>
      </c>
      <c r="D108" s="47">
        <v>22.83</v>
      </c>
      <c r="E108" s="47">
        <v>22.83</v>
      </c>
      <c r="F108" s="47">
        <v>22.83</v>
      </c>
      <c r="G108" s="47">
        <v>22.83</v>
      </c>
      <c r="H108" s="47">
        <v>22.83</v>
      </c>
      <c r="I108" s="47">
        <v>22.83</v>
      </c>
      <c r="J108" s="47">
        <v>22.83</v>
      </c>
      <c r="K108" s="47">
        <v>22.83</v>
      </c>
      <c r="L108" s="47">
        <v>22.83</v>
      </c>
      <c r="M108" s="47">
        <v>22.83</v>
      </c>
      <c r="N108" s="47">
        <v>22.83</v>
      </c>
      <c r="O108" s="47">
        <v>22.83</v>
      </c>
      <c r="P108" s="47">
        <v>22.83</v>
      </c>
      <c r="Q108" s="47">
        <v>22.83</v>
      </c>
      <c r="R108" s="47">
        <v>22.83</v>
      </c>
      <c r="S108" s="47">
        <v>22.83</v>
      </c>
      <c r="T108" s="47">
        <v>22.83</v>
      </c>
      <c r="U108" s="47">
        <v>22.83</v>
      </c>
      <c r="V108" s="47">
        <v>22.83</v>
      </c>
      <c r="W108" s="47">
        <v>22.83</v>
      </c>
      <c r="X108" s="47">
        <v>22.83</v>
      </c>
      <c r="Y108" s="47">
        <v>22.83</v>
      </c>
      <c r="Z108" s="47">
        <v>22.83</v>
      </c>
      <c r="AA108" s="47">
        <v>22.83</v>
      </c>
      <c r="AB108" s="45">
        <f t="shared" si="2"/>
        <v>547.91999999999996</v>
      </c>
      <c r="AC108" s="37">
        <v>4</v>
      </c>
      <c r="AD108" s="92"/>
    </row>
    <row r="109" spans="2:30">
      <c r="B109" s="90"/>
      <c r="C109" s="44" t="s">
        <v>34</v>
      </c>
      <c r="D109" s="47">
        <v>22.83</v>
      </c>
      <c r="E109" s="47">
        <v>22.83</v>
      </c>
      <c r="F109" s="47">
        <v>22.83</v>
      </c>
      <c r="G109" s="47">
        <v>22.83</v>
      </c>
      <c r="H109" s="47">
        <v>22.83</v>
      </c>
      <c r="I109" s="47">
        <v>22.83</v>
      </c>
      <c r="J109" s="47">
        <v>22.83</v>
      </c>
      <c r="K109" s="47">
        <v>22.83</v>
      </c>
      <c r="L109" s="47">
        <v>22.83</v>
      </c>
      <c r="M109" s="47">
        <v>22.83</v>
      </c>
      <c r="N109" s="47">
        <v>22.83</v>
      </c>
      <c r="O109" s="47">
        <v>22.83</v>
      </c>
      <c r="P109" s="47">
        <v>22.83</v>
      </c>
      <c r="Q109" s="47">
        <v>22.83</v>
      </c>
      <c r="R109" s="47">
        <v>22.83</v>
      </c>
      <c r="S109" s="47">
        <v>22.83</v>
      </c>
      <c r="T109" s="47">
        <v>22.83</v>
      </c>
      <c r="U109" s="47">
        <v>22.83</v>
      </c>
      <c r="V109" s="47">
        <v>22.83</v>
      </c>
      <c r="W109" s="47">
        <v>22.83</v>
      </c>
      <c r="X109" s="47">
        <v>22.83</v>
      </c>
      <c r="Y109" s="47">
        <v>22.83</v>
      </c>
      <c r="Z109" s="47">
        <v>22.83</v>
      </c>
      <c r="AA109" s="47">
        <v>22.83</v>
      </c>
      <c r="AB109" s="45">
        <f t="shared" si="2"/>
        <v>547.91999999999996</v>
      </c>
      <c r="AC109" s="37">
        <v>6</v>
      </c>
      <c r="AD109" s="92"/>
    </row>
    <row r="110" spans="2:30">
      <c r="B110" s="90">
        <v>49553</v>
      </c>
      <c r="C110" s="44" t="s">
        <v>32</v>
      </c>
      <c r="D110" s="47">
        <v>22.83</v>
      </c>
      <c r="E110" s="47">
        <v>22.83</v>
      </c>
      <c r="F110" s="47">
        <v>22.83</v>
      </c>
      <c r="G110" s="47">
        <v>22.83</v>
      </c>
      <c r="H110" s="47">
        <v>22.83</v>
      </c>
      <c r="I110" s="47">
        <v>22.83</v>
      </c>
      <c r="J110" s="47">
        <v>22.83</v>
      </c>
      <c r="K110" s="47">
        <v>22.83</v>
      </c>
      <c r="L110" s="47">
        <v>22.83</v>
      </c>
      <c r="M110" s="47">
        <v>22.83</v>
      </c>
      <c r="N110" s="47">
        <v>22.83</v>
      </c>
      <c r="O110" s="47">
        <v>22.83</v>
      </c>
      <c r="P110" s="47">
        <v>22.83</v>
      </c>
      <c r="Q110" s="47">
        <v>22.83</v>
      </c>
      <c r="R110" s="47">
        <v>22.83</v>
      </c>
      <c r="S110" s="47">
        <v>22.83</v>
      </c>
      <c r="T110" s="47">
        <v>22.83</v>
      </c>
      <c r="U110" s="47">
        <v>22.83</v>
      </c>
      <c r="V110" s="47">
        <v>22.83</v>
      </c>
      <c r="W110" s="47">
        <v>22.83</v>
      </c>
      <c r="X110" s="47">
        <v>22.83</v>
      </c>
      <c r="Y110" s="47">
        <v>22.83</v>
      </c>
      <c r="Z110" s="47">
        <v>22.83</v>
      </c>
      <c r="AA110" s="47">
        <v>22.83</v>
      </c>
      <c r="AB110" s="45">
        <f t="shared" si="2"/>
        <v>547.91999999999996</v>
      </c>
      <c r="AC110" s="37">
        <v>20</v>
      </c>
      <c r="AD110" s="92">
        <f>+AB110*AC110+AB111*AC111+AB112*AC112</f>
        <v>16437.599999999999</v>
      </c>
    </row>
    <row r="111" spans="2:30">
      <c r="B111" s="90"/>
      <c r="C111" s="44" t="s">
        <v>33</v>
      </c>
      <c r="D111" s="47">
        <v>22.83</v>
      </c>
      <c r="E111" s="47">
        <v>22.83</v>
      </c>
      <c r="F111" s="47">
        <v>22.83</v>
      </c>
      <c r="G111" s="47">
        <v>22.83</v>
      </c>
      <c r="H111" s="47">
        <v>22.83</v>
      </c>
      <c r="I111" s="47">
        <v>22.83</v>
      </c>
      <c r="J111" s="47">
        <v>22.83</v>
      </c>
      <c r="K111" s="47">
        <v>22.83</v>
      </c>
      <c r="L111" s="47">
        <v>22.83</v>
      </c>
      <c r="M111" s="47">
        <v>22.83</v>
      </c>
      <c r="N111" s="47">
        <v>22.83</v>
      </c>
      <c r="O111" s="47">
        <v>22.83</v>
      </c>
      <c r="P111" s="47">
        <v>22.83</v>
      </c>
      <c r="Q111" s="47">
        <v>22.83</v>
      </c>
      <c r="R111" s="47">
        <v>22.83</v>
      </c>
      <c r="S111" s="47">
        <v>22.83</v>
      </c>
      <c r="T111" s="47">
        <v>22.83</v>
      </c>
      <c r="U111" s="47">
        <v>22.83</v>
      </c>
      <c r="V111" s="47">
        <v>22.83</v>
      </c>
      <c r="W111" s="47">
        <v>22.83</v>
      </c>
      <c r="X111" s="47">
        <v>22.83</v>
      </c>
      <c r="Y111" s="47">
        <v>22.83</v>
      </c>
      <c r="Z111" s="47">
        <v>22.83</v>
      </c>
      <c r="AA111" s="47">
        <v>22.83</v>
      </c>
      <c r="AB111" s="45">
        <f t="shared" si="2"/>
        <v>547.91999999999996</v>
      </c>
      <c r="AC111" s="37">
        <v>5</v>
      </c>
      <c r="AD111" s="92"/>
    </row>
    <row r="112" spans="2:30">
      <c r="B112" s="90"/>
      <c r="C112" s="44" t="s">
        <v>34</v>
      </c>
      <c r="D112" s="47">
        <v>22.83</v>
      </c>
      <c r="E112" s="47">
        <v>22.83</v>
      </c>
      <c r="F112" s="47">
        <v>22.83</v>
      </c>
      <c r="G112" s="47">
        <v>22.83</v>
      </c>
      <c r="H112" s="47">
        <v>22.83</v>
      </c>
      <c r="I112" s="47">
        <v>22.83</v>
      </c>
      <c r="J112" s="47">
        <v>22.83</v>
      </c>
      <c r="K112" s="47">
        <v>22.83</v>
      </c>
      <c r="L112" s="47">
        <v>22.83</v>
      </c>
      <c r="M112" s="47">
        <v>22.83</v>
      </c>
      <c r="N112" s="47">
        <v>22.83</v>
      </c>
      <c r="O112" s="47">
        <v>22.83</v>
      </c>
      <c r="P112" s="47">
        <v>22.83</v>
      </c>
      <c r="Q112" s="47">
        <v>22.83</v>
      </c>
      <c r="R112" s="47">
        <v>22.83</v>
      </c>
      <c r="S112" s="47">
        <v>22.83</v>
      </c>
      <c r="T112" s="47">
        <v>22.83</v>
      </c>
      <c r="U112" s="47">
        <v>22.83</v>
      </c>
      <c r="V112" s="47">
        <v>22.83</v>
      </c>
      <c r="W112" s="47">
        <v>22.83</v>
      </c>
      <c r="X112" s="47">
        <v>22.83</v>
      </c>
      <c r="Y112" s="47">
        <v>22.83</v>
      </c>
      <c r="Z112" s="47">
        <v>22.83</v>
      </c>
      <c r="AA112" s="47">
        <v>22.83</v>
      </c>
      <c r="AB112" s="45">
        <f t="shared" si="2"/>
        <v>547.91999999999996</v>
      </c>
      <c r="AC112" s="37">
        <v>5</v>
      </c>
      <c r="AD112" s="92"/>
    </row>
    <row r="113" spans="2:32">
      <c r="B113" s="90">
        <v>49583</v>
      </c>
      <c r="C113" s="44" t="s">
        <v>32</v>
      </c>
      <c r="D113" s="47">
        <v>22.83</v>
      </c>
      <c r="E113" s="47">
        <v>22.83</v>
      </c>
      <c r="F113" s="47">
        <v>22.83</v>
      </c>
      <c r="G113" s="47">
        <v>22.83</v>
      </c>
      <c r="H113" s="47">
        <v>22.83</v>
      </c>
      <c r="I113" s="47">
        <v>22.83</v>
      </c>
      <c r="J113" s="47">
        <v>22.83</v>
      </c>
      <c r="K113" s="47">
        <v>22.83</v>
      </c>
      <c r="L113" s="47">
        <v>22.83</v>
      </c>
      <c r="M113" s="47">
        <v>22.83</v>
      </c>
      <c r="N113" s="47">
        <v>22.83</v>
      </c>
      <c r="O113" s="47">
        <v>22.83</v>
      </c>
      <c r="P113" s="47">
        <v>22.83</v>
      </c>
      <c r="Q113" s="47">
        <v>22.83</v>
      </c>
      <c r="R113" s="47">
        <v>22.83</v>
      </c>
      <c r="S113" s="47">
        <v>22.83</v>
      </c>
      <c r="T113" s="47">
        <v>22.83</v>
      </c>
      <c r="U113" s="47">
        <v>22.83</v>
      </c>
      <c r="V113" s="47">
        <v>22.83</v>
      </c>
      <c r="W113" s="47">
        <v>22.83</v>
      </c>
      <c r="X113" s="47">
        <v>22.83</v>
      </c>
      <c r="Y113" s="47">
        <v>22.83</v>
      </c>
      <c r="Z113" s="47">
        <v>22.83</v>
      </c>
      <c r="AA113" s="47">
        <v>22.83</v>
      </c>
      <c r="AB113" s="45">
        <f t="shared" si="2"/>
        <v>547.91999999999996</v>
      </c>
      <c r="AC113" s="37">
        <v>22</v>
      </c>
      <c r="AD113" s="92">
        <f>+AB113*AC113+AB114*AC114+AB115*AC115</f>
        <v>16985.52</v>
      </c>
    </row>
    <row r="114" spans="2:32">
      <c r="B114" s="90"/>
      <c r="C114" s="44" t="s">
        <v>33</v>
      </c>
      <c r="D114" s="47">
        <v>22.83</v>
      </c>
      <c r="E114" s="47">
        <v>22.83</v>
      </c>
      <c r="F114" s="47">
        <v>22.83</v>
      </c>
      <c r="G114" s="47">
        <v>22.83</v>
      </c>
      <c r="H114" s="47">
        <v>22.83</v>
      </c>
      <c r="I114" s="47">
        <v>22.83</v>
      </c>
      <c r="J114" s="47">
        <v>22.83</v>
      </c>
      <c r="K114" s="47">
        <v>22.83</v>
      </c>
      <c r="L114" s="47">
        <v>22.83</v>
      </c>
      <c r="M114" s="47">
        <v>22.83</v>
      </c>
      <c r="N114" s="47">
        <v>22.83</v>
      </c>
      <c r="O114" s="47">
        <v>22.83</v>
      </c>
      <c r="P114" s="47">
        <v>22.83</v>
      </c>
      <c r="Q114" s="47">
        <v>22.83</v>
      </c>
      <c r="R114" s="47">
        <v>22.83</v>
      </c>
      <c r="S114" s="47">
        <v>22.83</v>
      </c>
      <c r="T114" s="47">
        <v>22.83</v>
      </c>
      <c r="U114" s="47">
        <v>22.83</v>
      </c>
      <c r="V114" s="47">
        <v>22.83</v>
      </c>
      <c r="W114" s="47">
        <v>22.83</v>
      </c>
      <c r="X114" s="47">
        <v>22.83</v>
      </c>
      <c r="Y114" s="47">
        <v>22.83</v>
      </c>
      <c r="Z114" s="47">
        <v>22.83</v>
      </c>
      <c r="AA114" s="47">
        <v>22.83</v>
      </c>
      <c r="AB114" s="45">
        <f t="shared" si="2"/>
        <v>547.91999999999996</v>
      </c>
      <c r="AC114" s="37">
        <v>4</v>
      </c>
      <c r="AD114" s="92"/>
    </row>
    <row r="115" spans="2:32">
      <c r="B115" s="90"/>
      <c r="C115" s="44" t="s">
        <v>34</v>
      </c>
      <c r="D115" s="47">
        <v>22.83</v>
      </c>
      <c r="E115" s="47">
        <v>22.83</v>
      </c>
      <c r="F115" s="47">
        <v>22.83</v>
      </c>
      <c r="G115" s="47">
        <v>22.83</v>
      </c>
      <c r="H115" s="47">
        <v>22.83</v>
      </c>
      <c r="I115" s="47">
        <v>22.83</v>
      </c>
      <c r="J115" s="47">
        <v>22.83</v>
      </c>
      <c r="K115" s="47">
        <v>22.83</v>
      </c>
      <c r="L115" s="47">
        <v>22.83</v>
      </c>
      <c r="M115" s="47">
        <v>22.83</v>
      </c>
      <c r="N115" s="47">
        <v>22.83</v>
      </c>
      <c r="O115" s="47">
        <v>22.83</v>
      </c>
      <c r="P115" s="47">
        <v>22.83</v>
      </c>
      <c r="Q115" s="47">
        <v>22.83</v>
      </c>
      <c r="R115" s="47">
        <v>22.83</v>
      </c>
      <c r="S115" s="47">
        <v>22.83</v>
      </c>
      <c r="T115" s="47">
        <v>22.83</v>
      </c>
      <c r="U115" s="47">
        <v>22.83</v>
      </c>
      <c r="V115" s="47">
        <v>22.83</v>
      </c>
      <c r="W115" s="47">
        <v>22.83</v>
      </c>
      <c r="X115" s="47">
        <v>22.83</v>
      </c>
      <c r="Y115" s="47">
        <v>22.83</v>
      </c>
      <c r="Z115" s="47">
        <v>22.83</v>
      </c>
      <c r="AA115" s="47">
        <v>22.83</v>
      </c>
      <c r="AB115" s="45">
        <f t="shared" si="2"/>
        <v>547.91999999999996</v>
      </c>
      <c r="AC115" s="37">
        <v>5</v>
      </c>
      <c r="AD115" s="92"/>
    </row>
    <row r="116" spans="2:32">
      <c r="B116" s="90">
        <v>49614</v>
      </c>
      <c r="C116" s="44" t="s">
        <v>32</v>
      </c>
      <c r="D116" s="47">
        <v>22.83</v>
      </c>
      <c r="E116" s="47">
        <v>22.83</v>
      </c>
      <c r="F116" s="47">
        <v>22.83</v>
      </c>
      <c r="G116" s="47">
        <v>22.83</v>
      </c>
      <c r="H116" s="47">
        <v>22.83</v>
      </c>
      <c r="I116" s="47">
        <v>22.83</v>
      </c>
      <c r="J116" s="47">
        <v>22.83</v>
      </c>
      <c r="K116" s="47">
        <v>22.83</v>
      </c>
      <c r="L116" s="47">
        <v>22.83</v>
      </c>
      <c r="M116" s="47">
        <v>22.83</v>
      </c>
      <c r="N116" s="47">
        <v>22.83</v>
      </c>
      <c r="O116" s="47">
        <v>22.83</v>
      </c>
      <c r="P116" s="47">
        <v>22.83</v>
      </c>
      <c r="Q116" s="47">
        <v>22.83</v>
      </c>
      <c r="R116" s="47">
        <v>22.83</v>
      </c>
      <c r="S116" s="47">
        <v>22.83</v>
      </c>
      <c r="T116" s="47">
        <v>22.83</v>
      </c>
      <c r="U116" s="47">
        <v>22.83</v>
      </c>
      <c r="V116" s="47">
        <v>22.83</v>
      </c>
      <c r="W116" s="47">
        <v>22.83</v>
      </c>
      <c r="X116" s="47">
        <v>22.83</v>
      </c>
      <c r="Y116" s="47">
        <v>22.83</v>
      </c>
      <c r="Z116" s="47">
        <v>22.83</v>
      </c>
      <c r="AA116" s="47">
        <v>22.83</v>
      </c>
      <c r="AB116" s="45">
        <f t="shared" si="2"/>
        <v>547.91999999999996</v>
      </c>
      <c r="AC116" s="37">
        <v>20</v>
      </c>
      <c r="AD116" s="92">
        <f>+AB116*AC116+AB117*AC117+AB118*AC118</f>
        <v>16437.599999999999</v>
      </c>
    </row>
    <row r="117" spans="2:32">
      <c r="B117" s="90"/>
      <c r="C117" s="44" t="s">
        <v>33</v>
      </c>
      <c r="D117" s="47">
        <v>22.83</v>
      </c>
      <c r="E117" s="47">
        <v>22.83</v>
      </c>
      <c r="F117" s="47">
        <v>22.83</v>
      </c>
      <c r="G117" s="47">
        <v>22.83</v>
      </c>
      <c r="H117" s="47">
        <v>22.83</v>
      </c>
      <c r="I117" s="47">
        <v>22.83</v>
      </c>
      <c r="J117" s="47">
        <v>22.83</v>
      </c>
      <c r="K117" s="47">
        <v>22.83</v>
      </c>
      <c r="L117" s="47">
        <v>22.83</v>
      </c>
      <c r="M117" s="47">
        <v>22.83</v>
      </c>
      <c r="N117" s="47">
        <v>22.83</v>
      </c>
      <c r="O117" s="47">
        <v>22.83</v>
      </c>
      <c r="P117" s="47">
        <v>22.83</v>
      </c>
      <c r="Q117" s="47">
        <v>22.83</v>
      </c>
      <c r="R117" s="47">
        <v>22.83</v>
      </c>
      <c r="S117" s="47">
        <v>22.83</v>
      </c>
      <c r="T117" s="47">
        <v>22.83</v>
      </c>
      <c r="U117" s="47">
        <v>22.83</v>
      </c>
      <c r="V117" s="47">
        <v>22.83</v>
      </c>
      <c r="W117" s="47">
        <v>22.83</v>
      </c>
      <c r="X117" s="47">
        <v>22.83</v>
      </c>
      <c r="Y117" s="47">
        <v>22.83</v>
      </c>
      <c r="Z117" s="47">
        <v>22.83</v>
      </c>
      <c r="AA117" s="47">
        <v>22.83</v>
      </c>
      <c r="AB117" s="45">
        <f t="shared" si="2"/>
        <v>547.91999999999996</v>
      </c>
      <c r="AC117" s="37">
        <v>4</v>
      </c>
      <c r="AD117" s="92"/>
    </row>
    <row r="118" spans="2:32">
      <c r="B118" s="90"/>
      <c r="C118" s="44" t="s">
        <v>34</v>
      </c>
      <c r="D118" s="47">
        <v>22.83</v>
      </c>
      <c r="E118" s="47">
        <v>22.83</v>
      </c>
      <c r="F118" s="47">
        <v>22.83</v>
      </c>
      <c r="G118" s="47">
        <v>22.83</v>
      </c>
      <c r="H118" s="47">
        <v>22.83</v>
      </c>
      <c r="I118" s="47">
        <v>22.83</v>
      </c>
      <c r="J118" s="47">
        <v>22.83</v>
      </c>
      <c r="K118" s="47">
        <v>22.83</v>
      </c>
      <c r="L118" s="47">
        <v>22.83</v>
      </c>
      <c r="M118" s="47">
        <v>22.83</v>
      </c>
      <c r="N118" s="47">
        <v>22.83</v>
      </c>
      <c r="O118" s="47">
        <v>22.83</v>
      </c>
      <c r="P118" s="47">
        <v>22.83</v>
      </c>
      <c r="Q118" s="47">
        <v>22.83</v>
      </c>
      <c r="R118" s="47">
        <v>22.83</v>
      </c>
      <c r="S118" s="47">
        <v>22.83</v>
      </c>
      <c r="T118" s="47">
        <v>22.83</v>
      </c>
      <c r="U118" s="47">
        <v>22.83</v>
      </c>
      <c r="V118" s="47">
        <v>22.83</v>
      </c>
      <c r="W118" s="47">
        <v>22.83</v>
      </c>
      <c r="X118" s="47">
        <v>22.83</v>
      </c>
      <c r="Y118" s="47">
        <v>22.83</v>
      </c>
      <c r="Z118" s="47">
        <v>22.83</v>
      </c>
      <c r="AA118" s="47">
        <v>22.83</v>
      </c>
      <c r="AB118" s="45">
        <f t="shared" si="2"/>
        <v>547.91999999999996</v>
      </c>
      <c r="AC118" s="37">
        <v>6</v>
      </c>
      <c r="AD118" s="92"/>
    </row>
    <row r="119" spans="2:32">
      <c r="B119" s="90">
        <v>49644</v>
      </c>
      <c r="C119" s="44" t="s">
        <v>32</v>
      </c>
      <c r="D119" s="47">
        <v>22.83</v>
      </c>
      <c r="E119" s="47">
        <v>22.83</v>
      </c>
      <c r="F119" s="47">
        <v>22.83</v>
      </c>
      <c r="G119" s="47">
        <v>22.83</v>
      </c>
      <c r="H119" s="47">
        <v>22.83</v>
      </c>
      <c r="I119" s="47">
        <v>22.83</v>
      </c>
      <c r="J119" s="47">
        <v>22.83</v>
      </c>
      <c r="K119" s="47">
        <v>22.83</v>
      </c>
      <c r="L119" s="47">
        <v>22.83</v>
      </c>
      <c r="M119" s="47">
        <v>22.83</v>
      </c>
      <c r="N119" s="47">
        <v>22.83</v>
      </c>
      <c r="O119" s="47">
        <v>22.83</v>
      </c>
      <c r="P119" s="47">
        <v>22.83</v>
      </c>
      <c r="Q119" s="47">
        <v>22.83</v>
      </c>
      <c r="R119" s="47">
        <v>22.83</v>
      </c>
      <c r="S119" s="47">
        <v>22.83</v>
      </c>
      <c r="T119" s="47">
        <v>22.83</v>
      </c>
      <c r="U119" s="47">
        <v>22.83</v>
      </c>
      <c r="V119" s="47">
        <v>22.83</v>
      </c>
      <c r="W119" s="47">
        <v>22.83</v>
      </c>
      <c r="X119" s="47">
        <v>22.83</v>
      </c>
      <c r="Y119" s="47">
        <v>22.83</v>
      </c>
      <c r="Z119" s="47">
        <v>22.83</v>
      </c>
      <c r="AA119" s="47">
        <v>22.83</v>
      </c>
      <c r="AB119" s="45">
        <f t="shared" si="2"/>
        <v>547.91999999999996</v>
      </c>
      <c r="AC119" s="37">
        <v>20</v>
      </c>
      <c r="AD119" s="92">
        <f>+AB119*AC119+AB120*AC120+AB121*AC121</f>
        <v>16985.52</v>
      </c>
    </row>
    <row r="120" spans="2:32">
      <c r="B120" s="90"/>
      <c r="C120" s="44" t="s">
        <v>33</v>
      </c>
      <c r="D120" s="47">
        <v>22.83</v>
      </c>
      <c r="E120" s="47">
        <v>22.83</v>
      </c>
      <c r="F120" s="47">
        <v>22.83</v>
      </c>
      <c r="G120" s="47">
        <v>22.83</v>
      </c>
      <c r="H120" s="47">
        <v>22.83</v>
      </c>
      <c r="I120" s="47">
        <v>22.83</v>
      </c>
      <c r="J120" s="47">
        <v>22.83</v>
      </c>
      <c r="K120" s="47">
        <v>22.83</v>
      </c>
      <c r="L120" s="47">
        <v>22.83</v>
      </c>
      <c r="M120" s="47">
        <v>22.83</v>
      </c>
      <c r="N120" s="47">
        <v>22.83</v>
      </c>
      <c r="O120" s="47">
        <v>22.83</v>
      </c>
      <c r="P120" s="47">
        <v>22.83</v>
      </c>
      <c r="Q120" s="47">
        <v>22.83</v>
      </c>
      <c r="R120" s="47">
        <v>22.83</v>
      </c>
      <c r="S120" s="47">
        <v>22.83</v>
      </c>
      <c r="T120" s="47">
        <v>22.83</v>
      </c>
      <c r="U120" s="47">
        <v>22.83</v>
      </c>
      <c r="V120" s="47">
        <v>22.83</v>
      </c>
      <c r="W120" s="47">
        <v>22.83</v>
      </c>
      <c r="X120" s="47">
        <v>22.83</v>
      </c>
      <c r="Y120" s="47">
        <v>22.83</v>
      </c>
      <c r="Z120" s="47">
        <v>22.83</v>
      </c>
      <c r="AA120" s="47">
        <v>22.83</v>
      </c>
      <c r="AB120" s="45">
        <f t="shared" si="2"/>
        <v>547.91999999999996</v>
      </c>
      <c r="AC120" s="37">
        <v>4</v>
      </c>
      <c r="AD120" s="92"/>
    </row>
    <row r="121" spans="2:32">
      <c r="B121" s="90"/>
      <c r="C121" s="44" t="s">
        <v>34</v>
      </c>
      <c r="D121" s="47">
        <v>22.83</v>
      </c>
      <c r="E121" s="47">
        <v>22.83</v>
      </c>
      <c r="F121" s="47">
        <v>22.83</v>
      </c>
      <c r="G121" s="47">
        <v>22.83</v>
      </c>
      <c r="H121" s="47">
        <v>22.83</v>
      </c>
      <c r="I121" s="47">
        <v>22.83</v>
      </c>
      <c r="J121" s="47">
        <v>22.83</v>
      </c>
      <c r="K121" s="47">
        <v>22.83</v>
      </c>
      <c r="L121" s="47">
        <v>22.83</v>
      </c>
      <c r="M121" s="47">
        <v>22.83</v>
      </c>
      <c r="N121" s="47">
        <v>22.83</v>
      </c>
      <c r="O121" s="47">
        <v>22.83</v>
      </c>
      <c r="P121" s="47">
        <v>22.83</v>
      </c>
      <c r="Q121" s="47">
        <v>22.83</v>
      </c>
      <c r="R121" s="47">
        <v>22.83</v>
      </c>
      <c r="S121" s="47">
        <v>22.83</v>
      </c>
      <c r="T121" s="47">
        <v>22.83</v>
      </c>
      <c r="U121" s="47">
        <v>22.83</v>
      </c>
      <c r="V121" s="47">
        <v>22.83</v>
      </c>
      <c r="W121" s="47">
        <v>22.83</v>
      </c>
      <c r="X121" s="47">
        <v>22.83</v>
      </c>
      <c r="Y121" s="47">
        <v>22.83</v>
      </c>
      <c r="Z121" s="47">
        <v>22.83</v>
      </c>
      <c r="AA121" s="47">
        <v>22.83</v>
      </c>
      <c r="AB121" s="45">
        <f t="shared" si="2"/>
        <v>547.91999999999996</v>
      </c>
      <c r="AC121" s="37">
        <v>7</v>
      </c>
      <c r="AD121" s="92"/>
    </row>
    <row r="122" spans="2:32"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86" t="s">
        <v>35</v>
      </c>
      <c r="AB122" s="87"/>
      <c r="AC122" s="88"/>
      <c r="AD122" s="39">
        <f>SUM(AD86:AD121)</f>
        <v>199990.8</v>
      </c>
    </row>
    <row r="123" spans="2:32"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 spans="2:32" ht="23.25">
      <c r="B124" s="41" t="s">
        <v>44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40"/>
      <c r="AC124" s="40"/>
      <c r="AD124" s="38"/>
    </row>
    <row r="125" spans="2:32">
      <c r="B125" s="42" t="s">
        <v>3</v>
      </c>
      <c r="C125" s="42" t="s">
        <v>4</v>
      </c>
      <c r="D125" s="42" t="s">
        <v>5</v>
      </c>
      <c r="E125" s="42" t="s">
        <v>6</v>
      </c>
      <c r="F125" s="42" t="s">
        <v>7</v>
      </c>
      <c r="G125" s="42" t="s">
        <v>8</v>
      </c>
      <c r="H125" s="42" t="s">
        <v>9</v>
      </c>
      <c r="I125" s="42" t="s">
        <v>10</v>
      </c>
      <c r="J125" s="42" t="s">
        <v>11</v>
      </c>
      <c r="K125" s="42" t="s">
        <v>12</v>
      </c>
      <c r="L125" s="42" t="s">
        <v>13</v>
      </c>
      <c r="M125" s="42" t="s">
        <v>14</v>
      </c>
      <c r="N125" s="42" t="s">
        <v>15</v>
      </c>
      <c r="O125" s="42" t="s">
        <v>16</v>
      </c>
      <c r="P125" s="42" t="s">
        <v>17</v>
      </c>
      <c r="Q125" s="42" t="s">
        <v>18</v>
      </c>
      <c r="R125" s="42" t="s">
        <v>19</v>
      </c>
      <c r="S125" s="42" t="s">
        <v>20</v>
      </c>
      <c r="T125" s="42" t="s">
        <v>21</v>
      </c>
      <c r="U125" s="42" t="s">
        <v>22</v>
      </c>
      <c r="V125" s="42" t="s">
        <v>23</v>
      </c>
      <c r="W125" s="42" t="s">
        <v>24</v>
      </c>
      <c r="X125" s="42" t="s">
        <v>25</v>
      </c>
      <c r="Y125" s="42" t="s">
        <v>26</v>
      </c>
      <c r="Z125" s="42" t="s">
        <v>27</v>
      </c>
      <c r="AA125" s="42" t="s">
        <v>28</v>
      </c>
      <c r="AB125" s="36" t="s">
        <v>29</v>
      </c>
      <c r="AC125" s="43" t="s">
        <v>30</v>
      </c>
      <c r="AD125" s="42" t="s">
        <v>31</v>
      </c>
    </row>
    <row r="126" spans="2:32">
      <c r="B126" s="90">
        <v>49675</v>
      </c>
      <c r="C126" s="44" t="s">
        <v>32</v>
      </c>
      <c r="D126" s="47">
        <v>22.83</v>
      </c>
      <c r="E126" s="47">
        <v>22.83</v>
      </c>
      <c r="F126" s="47">
        <v>22.83</v>
      </c>
      <c r="G126" s="47">
        <v>22.83</v>
      </c>
      <c r="H126" s="47">
        <v>22.83</v>
      </c>
      <c r="I126" s="47">
        <v>22.83</v>
      </c>
      <c r="J126" s="47">
        <v>22.83</v>
      </c>
      <c r="K126" s="47">
        <v>22.83</v>
      </c>
      <c r="L126" s="47">
        <v>22.83</v>
      </c>
      <c r="M126" s="47">
        <v>22.83</v>
      </c>
      <c r="N126" s="47">
        <v>22.83</v>
      </c>
      <c r="O126" s="47">
        <v>22.83</v>
      </c>
      <c r="P126" s="47">
        <v>22.83</v>
      </c>
      <c r="Q126" s="47">
        <v>22.83</v>
      </c>
      <c r="R126" s="47">
        <v>22.83</v>
      </c>
      <c r="S126" s="47">
        <v>22.83</v>
      </c>
      <c r="T126" s="47">
        <v>22.83</v>
      </c>
      <c r="U126" s="47">
        <v>22.83</v>
      </c>
      <c r="V126" s="47">
        <v>22.83</v>
      </c>
      <c r="W126" s="47">
        <v>22.83</v>
      </c>
      <c r="X126" s="47">
        <v>22.83</v>
      </c>
      <c r="Y126" s="47">
        <v>22.83</v>
      </c>
      <c r="Z126" s="47">
        <v>22.83</v>
      </c>
      <c r="AA126" s="47">
        <v>22.83</v>
      </c>
      <c r="AB126" s="45">
        <f>SUM(D126:AA126)</f>
        <v>547.91999999999996</v>
      </c>
      <c r="AC126" s="37">
        <v>21</v>
      </c>
      <c r="AD126" s="92">
        <f>+AB126*AC126+AB127*AC127+AB128*AC128</f>
        <v>16985.52</v>
      </c>
    </row>
    <row r="127" spans="2:32">
      <c r="B127" s="90"/>
      <c r="C127" s="44" t="s">
        <v>33</v>
      </c>
      <c r="D127" s="47">
        <v>22.83</v>
      </c>
      <c r="E127" s="47">
        <v>22.83</v>
      </c>
      <c r="F127" s="47">
        <v>22.83</v>
      </c>
      <c r="G127" s="47">
        <v>22.83</v>
      </c>
      <c r="H127" s="47">
        <v>22.83</v>
      </c>
      <c r="I127" s="47">
        <v>22.83</v>
      </c>
      <c r="J127" s="47">
        <v>22.83</v>
      </c>
      <c r="K127" s="47">
        <v>22.83</v>
      </c>
      <c r="L127" s="47">
        <v>22.83</v>
      </c>
      <c r="M127" s="47">
        <v>22.83</v>
      </c>
      <c r="N127" s="47">
        <v>22.83</v>
      </c>
      <c r="O127" s="47">
        <v>22.83</v>
      </c>
      <c r="P127" s="47">
        <v>22.83</v>
      </c>
      <c r="Q127" s="47">
        <v>22.83</v>
      </c>
      <c r="R127" s="47">
        <v>22.83</v>
      </c>
      <c r="S127" s="47">
        <v>22.83</v>
      </c>
      <c r="T127" s="47">
        <v>22.83</v>
      </c>
      <c r="U127" s="47">
        <v>22.83</v>
      </c>
      <c r="V127" s="47">
        <v>22.83</v>
      </c>
      <c r="W127" s="47">
        <v>22.83</v>
      </c>
      <c r="X127" s="47">
        <v>22.83</v>
      </c>
      <c r="Y127" s="47">
        <v>22.83</v>
      </c>
      <c r="Z127" s="47">
        <v>22.83</v>
      </c>
      <c r="AA127" s="47">
        <v>22.83</v>
      </c>
      <c r="AB127" s="45">
        <f t="shared" ref="AB127:AB161" si="3">SUM(D127:AA127)</f>
        <v>547.91999999999996</v>
      </c>
      <c r="AC127" s="37">
        <v>4</v>
      </c>
      <c r="AD127" s="92"/>
    </row>
    <row r="128" spans="2:32">
      <c r="B128" s="90"/>
      <c r="C128" s="44" t="s">
        <v>34</v>
      </c>
      <c r="D128" s="47">
        <v>22.83</v>
      </c>
      <c r="E128" s="47">
        <v>22.83</v>
      </c>
      <c r="F128" s="47">
        <v>22.83</v>
      </c>
      <c r="G128" s="47">
        <v>22.83</v>
      </c>
      <c r="H128" s="47">
        <v>22.83</v>
      </c>
      <c r="I128" s="47">
        <v>22.83</v>
      </c>
      <c r="J128" s="47">
        <v>22.83</v>
      </c>
      <c r="K128" s="47">
        <v>22.83</v>
      </c>
      <c r="L128" s="47">
        <v>22.83</v>
      </c>
      <c r="M128" s="47">
        <v>22.83</v>
      </c>
      <c r="N128" s="47">
        <v>22.83</v>
      </c>
      <c r="O128" s="47">
        <v>22.83</v>
      </c>
      <c r="P128" s="47">
        <v>22.83</v>
      </c>
      <c r="Q128" s="47">
        <v>22.83</v>
      </c>
      <c r="R128" s="47">
        <v>22.83</v>
      </c>
      <c r="S128" s="47">
        <v>22.83</v>
      </c>
      <c r="T128" s="47">
        <v>22.83</v>
      </c>
      <c r="U128" s="47">
        <v>22.83</v>
      </c>
      <c r="V128" s="47">
        <v>22.83</v>
      </c>
      <c r="W128" s="47">
        <v>22.83</v>
      </c>
      <c r="X128" s="47">
        <v>22.83</v>
      </c>
      <c r="Y128" s="47">
        <v>22.83</v>
      </c>
      <c r="Z128" s="47">
        <v>22.83</v>
      </c>
      <c r="AA128" s="47">
        <v>22.83</v>
      </c>
      <c r="AB128" s="45">
        <f t="shared" si="3"/>
        <v>547.91999999999996</v>
      </c>
      <c r="AC128" s="37">
        <v>6</v>
      </c>
      <c r="AD128" s="92"/>
    </row>
    <row r="129" spans="2:30">
      <c r="B129" s="90">
        <v>49706</v>
      </c>
      <c r="C129" s="44" t="s">
        <v>32</v>
      </c>
      <c r="D129" s="47">
        <v>22.83</v>
      </c>
      <c r="E129" s="47">
        <v>22.83</v>
      </c>
      <c r="F129" s="47">
        <v>22.83</v>
      </c>
      <c r="G129" s="47">
        <v>22.83</v>
      </c>
      <c r="H129" s="47">
        <v>22.83</v>
      </c>
      <c r="I129" s="47">
        <v>22.83</v>
      </c>
      <c r="J129" s="47">
        <v>22.83</v>
      </c>
      <c r="K129" s="47">
        <v>22.83</v>
      </c>
      <c r="L129" s="47">
        <v>22.83</v>
      </c>
      <c r="M129" s="47">
        <v>22.83</v>
      </c>
      <c r="N129" s="47">
        <v>22.83</v>
      </c>
      <c r="O129" s="47">
        <v>22.83</v>
      </c>
      <c r="P129" s="47">
        <v>22.83</v>
      </c>
      <c r="Q129" s="47">
        <v>22.83</v>
      </c>
      <c r="R129" s="47">
        <v>22.83</v>
      </c>
      <c r="S129" s="47">
        <v>22.83</v>
      </c>
      <c r="T129" s="47">
        <v>22.83</v>
      </c>
      <c r="U129" s="47">
        <v>22.83</v>
      </c>
      <c r="V129" s="47">
        <v>22.83</v>
      </c>
      <c r="W129" s="47">
        <v>22.83</v>
      </c>
      <c r="X129" s="47">
        <v>22.83</v>
      </c>
      <c r="Y129" s="47">
        <v>22.83</v>
      </c>
      <c r="Z129" s="47">
        <v>22.83</v>
      </c>
      <c r="AA129" s="47">
        <v>22.83</v>
      </c>
      <c r="AB129" s="45">
        <f t="shared" si="3"/>
        <v>547.91999999999996</v>
      </c>
      <c r="AC129" s="37">
        <v>21</v>
      </c>
      <c r="AD129" s="92">
        <f>+AB129*AC129+AB130*AC130+AB131*AC131</f>
        <v>15889.68</v>
      </c>
    </row>
    <row r="130" spans="2:30">
      <c r="B130" s="90"/>
      <c r="C130" s="44" t="s">
        <v>33</v>
      </c>
      <c r="D130" s="47">
        <v>22.83</v>
      </c>
      <c r="E130" s="47">
        <v>22.83</v>
      </c>
      <c r="F130" s="47">
        <v>22.83</v>
      </c>
      <c r="G130" s="47">
        <v>22.83</v>
      </c>
      <c r="H130" s="47">
        <v>22.83</v>
      </c>
      <c r="I130" s="47">
        <v>22.83</v>
      </c>
      <c r="J130" s="47">
        <v>22.83</v>
      </c>
      <c r="K130" s="47">
        <v>22.83</v>
      </c>
      <c r="L130" s="47">
        <v>22.83</v>
      </c>
      <c r="M130" s="47">
        <v>22.83</v>
      </c>
      <c r="N130" s="47">
        <v>22.83</v>
      </c>
      <c r="O130" s="47">
        <v>22.83</v>
      </c>
      <c r="P130" s="47">
        <v>22.83</v>
      </c>
      <c r="Q130" s="47">
        <v>22.83</v>
      </c>
      <c r="R130" s="47">
        <v>22.83</v>
      </c>
      <c r="S130" s="47">
        <v>22.83</v>
      </c>
      <c r="T130" s="47">
        <v>22.83</v>
      </c>
      <c r="U130" s="47">
        <v>22.83</v>
      </c>
      <c r="V130" s="47">
        <v>22.83</v>
      </c>
      <c r="W130" s="47">
        <v>22.83</v>
      </c>
      <c r="X130" s="47">
        <v>22.83</v>
      </c>
      <c r="Y130" s="47">
        <v>22.83</v>
      </c>
      <c r="Z130" s="47">
        <v>22.83</v>
      </c>
      <c r="AA130" s="47">
        <v>22.83</v>
      </c>
      <c r="AB130" s="45">
        <f t="shared" si="3"/>
        <v>547.91999999999996</v>
      </c>
      <c r="AC130" s="37">
        <v>4</v>
      </c>
      <c r="AD130" s="92"/>
    </row>
    <row r="131" spans="2:30">
      <c r="B131" s="90"/>
      <c r="C131" s="44" t="s">
        <v>34</v>
      </c>
      <c r="D131" s="47">
        <v>22.83</v>
      </c>
      <c r="E131" s="47">
        <v>22.83</v>
      </c>
      <c r="F131" s="47">
        <v>22.83</v>
      </c>
      <c r="G131" s="47">
        <v>22.83</v>
      </c>
      <c r="H131" s="47">
        <v>22.83</v>
      </c>
      <c r="I131" s="47">
        <v>22.83</v>
      </c>
      <c r="J131" s="47">
        <v>22.83</v>
      </c>
      <c r="K131" s="47">
        <v>22.83</v>
      </c>
      <c r="L131" s="47">
        <v>22.83</v>
      </c>
      <c r="M131" s="47">
        <v>22.83</v>
      </c>
      <c r="N131" s="47">
        <v>22.83</v>
      </c>
      <c r="O131" s="47">
        <v>22.83</v>
      </c>
      <c r="P131" s="47">
        <v>22.83</v>
      </c>
      <c r="Q131" s="47">
        <v>22.83</v>
      </c>
      <c r="R131" s="47">
        <v>22.83</v>
      </c>
      <c r="S131" s="47">
        <v>22.83</v>
      </c>
      <c r="T131" s="47">
        <v>22.83</v>
      </c>
      <c r="U131" s="47">
        <v>22.83</v>
      </c>
      <c r="V131" s="47">
        <v>22.83</v>
      </c>
      <c r="W131" s="47">
        <v>22.83</v>
      </c>
      <c r="X131" s="47">
        <v>22.83</v>
      </c>
      <c r="Y131" s="47">
        <v>22.83</v>
      </c>
      <c r="Z131" s="47">
        <v>22.83</v>
      </c>
      <c r="AA131" s="47">
        <v>22.83</v>
      </c>
      <c r="AB131" s="45">
        <f t="shared" si="3"/>
        <v>547.91999999999996</v>
      </c>
      <c r="AC131" s="37">
        <v>4</v>
      </c>
      <c r="AD131" s="92"/>
    </row>
    <row r="132" spans="2:30">
      <c r="B132" s="90">
        <v>49735</v>
      </c>
      <c r="C132" s="44" t="s">
        <v>32</v>
      </c>
      <c r="D132" s="47">
        <v>22.83</v>
      </c>
      <c r="E132" s="47">
        <v>22.83</v>
      </c>
      <c r="F132" s="47">
        <v>22.83</v>
      </c>
      <c r="G132" s="47">
        <v>22.83</v>
      </c>
      <c r="H132" s="47">
        <v>22.83</v>
      </c>
      <c r="I132" s="47">
        <v>22.83</v>
      </c>
      <c r="J132" s="47">
        <v>22.83</v>
      </c>
      <c r="K132" s="47">
        <v>22.83</v>
      </c>
      <c r="L132" s="47">
        <v>22.83</v>
      </c>
      <c r="M132" s="47">
        <v>22.83</v>
      </c>
      <c r="N132" s="47">
        <v>22.83</v>
      </c>
      <c r="O132" s="47">
        <v>22.83</v>
      </c>
      <c r="P132" s="47">
        <v>22.83</v>
      </c>
      <c r="Q132" s="47">
        <v>22.83</v>
      </c>
      <c r="R132" s="47">
        <v>22.83</v>
      </c>
      <c r="S132" s="47">
        <v>22.83</v>
      </c>
      <c r="T132" s="47">
        <v>22.83</v>
      </c>
      <c r="U132" s="47">
        <v>22.83</v>
      </c>
      <c r="V132" s="47">
        <v>22.83</v>
      </c>
      <c r="W132" s="47">
        <v>22.83</v>
      </c>
      <c r="X132" s="47">
        <v>22.83</v>
      </c>
      <c r="Y132" s="47">
        <v>22.83</v>
      </c>
      <c r="Z132" s="47">
        <v>22.83</v>
      </c>
      <c r="AA132" s="47">
        <v>22.83</v>
      </c>
      <c r="AB132" s="45">
        <f t="shared" si="3"/>
        <v>547.91999999999996</v>
      </c>
      <c r="AC132" s="37">
        <v>20</v>
      </c>
      <c r="AD132" s="92">
        <f>+AB132*AC132+AB133*AC133+AB134*AC134</f>
        <v>16985.52</v>
      </c>
    </row>
    <row r="133" spans="2:30">
      <c r="B133" s="90"/>
      <c r="C133" s="44" t="s">
        <v>33</v>
      </c>
      <c r="D133" s="47">
        <v>22.83</v>
      </c>
      <c r="E133" s="47">
        <v>22.83</v>
      </c>
      <c r="F133" s="47">
        <v>22.83</v>
      </c>
      <c r="G133" s="47">
        <v>22.83</v>
      </c>
      <c r="H133" s="47">
        <v>22.83</v>
      </c>
      <c r="I133" s="47">
        <v>22.83</v>
      </c>
      <c r="J133" s="47">
        <v>22.83</v>
      </c>
      <c r="K133" s="47">
        <v>22.83</v>
      </c>
      <c r="L133" s="47">
        <v>22.83</v>
      </c>
      <c r="M133" s="47">
        <v>22.83</v>
      </c>
      <c r="N133" s="47">
        <v>22.83</v>
      </c>
      <c r="O133" s="47">
        <v>22.83</v>
      </c>
      <c r="P133" s="47">
        <v>22.83</v>
      </c>
      <c r="Q133" s="47">
        <v>22.83</v>
      </c>
      <c r="R133" s="47">
        <v>22.83</v>
      </c>
      <c r="S133" s="47">
        <v>22.83</v>
      </c>
      <c r="T133" s="47">
        <v>22.83</v>
      </c>
      <c r="U133" s="47">
        <v>22.83</v>
      </c>
      <c r="V133" s="47">
        <v>22.83</v>
      </c>
      <c r="W133" s="47">
        <v>22.83</v>
      </c>
      <c r="X133" s="47">
        <v>22.83</v>
      </c>
      <c r="Y133" s="47">
        <v>22.83</v>
      </c>
      <c r="Z133" s="47">
        <v>22.83</v>
      </c>
      <c r="AA133" s="47">
        <v>22.83</v>
      </c>
      <c r="AB133" s="45">
        <f t="shared" si="3"/>
        <v>547.91999999999996</v>
      </c>
      <c r="AC133" s="37">
        <v>5</v>
      </c>
      <c r="AD133" s="92"/>
    </row>
    <row r="134" spans="2:30">
      <c r="B134" s="90"/>
      <c r="C134" s="44" t="s">
        <v>34</v>
      </c>
      <c r="D134" s="47">
        <v>22.83</v>
      </c>
      <c r="E134" s="47">
        <v>22.83</v>
      </c>
      <c r="F134" s="47">
        <v>22.83</v>
      </c>
      <c r="G134" s="47">
        <v>22.83</v>
      </c>
      <c r="H134" s="47">
        <v>22.83</v>
      </c>
      <c r="I134" s="47">
        <v>22.83</v>
      </c>
      <c r="J134" s="47">
        <v>22.83</v>
      </c>
      <c r="K134" s="47">
        <v>22.83</v>
      </c>
      <c r="L134" s="47">
        <v>22.83</v>
      </c>
      <c r="M134" s="47">
        <v>22.83</v>
      </c>
      <c r="N134" s="47">
        <v>22.83</v>
      </c>
      <c r="O134" s="47">
        <v>22.83</v>
      </c>
      <c r="P134" s="47">
        <v>22.83</v>
      </c>
      <c r="Q134" s="47">
        <v>22.83</v>
      </c>
      <c r="R134" s="47">
        <v>22.83</v>
      </c>
      <c r="S134" s="47">
        <v>22.83</v>
      </c>
      <c r="T134" s="47">
        <v>22.83</v>
      </c>
      <c r="U134" s="47">
        <v>22.83</v>
      </c>
      <c r="V134" s="47">
        <v>22.83</v>
      </c>
      <c r="W134" s="47">
        <v>22.83</v>
      </c>
      <c r="X134" s="47">
        <v>22.83</v>
      </c>
      <c r="Y134" s="47">
        <v>22.83</v>
      </c>
      <c r="Z134" s="47">
        <v>22.83</v>
      </c>
      <c r="AA134" s="47">
        <v>22.83</v>
      </c>
      <c r="AB134" s="45">
        <f t="shared" si="3"/>
        <v>547.91999999999996</v>
      </c>
      <c r="AC134" s="37">
        <v>6</v>
      </c>
      <c r="AD134" s="92"/>
    </row>
    <row r="135" spans="2:30">
      <c r="B135" s="90">
        <v>49766</v>
      </c>
      <c r="C135" s="44" t="s">
        <v>32</v>
      </c>
      <c r="D135" s="47">
        <v>22.83</v>
      </c>
      <c r="E135" s="47">
        <v>22.83</v>
      </c>
      <c r="F135" s="47">
        <v>22.83</v>
      </c>
      <c r="G135" s="47">
        <v>22.83</v>
      </c>
      <c r="H135" s="47">
        <v>22.83</v>
      </c>
      <c r="I135" s="47">
        <v>22.83</v>
      </c>
      <c r="J135" s="47">
        <v>22.83</v>
      </c>
      <c r="K135" s="47">
        <v>22.83</v>
      </c>
      <c r="L135" s="47">
        <v>22.83</v>
      </c>
      <c r="M135" s="47">
        <v>22.83</v>
      </c>
      <c r="N135" s="47">
        <v>22.83</v>
      </c>
      <c r="O135" s="47">
        <v>22.83</v>
      </c>
      <c r="P135" s="47">
        <v>22.83</v>
      </c>
      <c r="Q135" s="47">
        <v>22.83</v>
      </c>
      <c r="R135" s="47">
        <v>22.83</v>
      </c>
      <c r="S135" s="47">
        <v>22.83</v>
      </c>
      <c r="T135" s="47">
        <v>22.83</v>
      </c>
      <c r="U135" s="47">
        <v>22.83</v>
      </c>
      <c r="V135" s="47">
        <v>22.83</v>
      </c>
      <c r="W135" s="47">
        <v>22.83</v>
      </c>
      <c r="X135" s="47">
        <v>22.83</v>
      </c>
      <c r="Y135" s="47">
        <v>22.83</v>
      </c>
      <c r="Z135" s="47">
        <v>22.83</v>
      </c>
      <c r="AA135" s="47">
        <v>22.83</v>
      </c>
      <c r="AB135" s="45">
        <f t="shared" si="3"/>
        <v>547.91999999999996</v>
      </c>
      <c r="AC135" s="37">
        <v>20</v>
      </c>
      <c r="AD135" s="92">
        <f>+AB135*AC135+AB136*AC136+AB137*AC137</f>
        <v>16437.599999999999</v>
      </c>
    </row>
    <row r="136" spans="2:30">
      <c r="B136" s="90"/>
      <c r="C136" s="44" t="s">
        <v>33</v>
      </c>
      <c r="D136" s="47">
        <v>22.83</v>
      </c>
      <c r="E136" s="47">
        <v>22.83</v>
      </c>
      <c r="F136" s="47">
        <v>22.83</v>
      </c>
      <c r="G136" s="47">
        <v>22.83</v>
      </c>
      <c r="H136" s="47">
        <v>22.83</v>
      </c>
      <c r="I136" s="47">
        <v>22.83</v>
      </c>
      <c r="J136" s="47">
        <v>22.83</v>
      </c>
      <c r="K136" s="47">
        <v>22.83</v>
      </c>
      <c r="L136" s="47">
        <v>22.83</v>
      </c>
      <c r="M136" s="47">
        <v>22.83</v>
      </c>
      <c r="N136" s="47">
        <v>22.83</v>
      </c>
      <c r="O136" s="47">
        <v>22.83</v>
      </c>
      <c r="P136" s="47">
        <v>22.83</v>
      </c>
      <c r="Q136" s="47">
        <v>22.83</v>
      </c>
      <c r="R136" s="47">
        <v>22.83</v>
      </c>
      <c r="S136" s="47">
        <v>22.83</v>
      </c>
      <c r="T136" s="47">
        <v>22.83</v>
      </c>
      <c r="U136" s="47">
        <v>22.83</v>
      </c>
      <c r="V136" s="47">
        <v>22.83</v>
      </c>
      <c r="W136" s="47">
        <v>22.83</v>
      </c>
      <c r="X136" s="47">
        <v>22.83</v>
      </c>
      <c r="Y136" s="47">
        <v>22.83</v>
      </c>
      <c r="Z136" s="47">
        <v>22.83</v>
      </c>
      <c r="AA136" s="47">
        <v>22.83</v>
      </c>
      <c r="AB136" s="45">
        <f t="shared" si="3"/>
        <v>547.91999999999996</v>
      </c>
      <c r="AC136" s="37">
        <v>4</v>
      </c>
      <c r="AD136" s="92"/>
    </row>
    <row r="137" spans="2:30">
      <c r="B137" s="90"/>
      <c r="C137" s="44" t="s">
        <v>34</v>
      </c>
      <c r="D137" s="47">
        <v>22.83</v>
      </c>
      <c r="E137" s="47">
        <v>22.83</v>
      </c>
      <c r="F137" s="47">
        <v>22.83</v>
      </c>
      <c r="G137" s="47">
        <v>22.83</v>
      </c>
      <c r="H137" s="47">
        <v>22.83</v>
      </c>
      <c r="I137" s="47">
        <v>22.83</v>
      </c>
      <c r="J137" s="47">
        <v>22.83</v>
      </c>
      <c r="K137" s="47">
        <v>22.83</v>
      </c>
      <c r="L137" s="47">
        <v>22.83</v>
      </c>
      <c r="M137" s="47">
        <v>22.83</v>
      </c>
      <c r="N137" s="47">
        <v>22.83</v>
      </c>
      <c r="O137" s="47">
        <v>22.83</v>
      </c>
      <c r="P137" s="47">
        <v>22.83</v>
      </c>
      <c r="Q137" s="47">
        <v>22.83</v>
      </c>
      <c r="R137" s="47">
        <v>22.83</v>
      </c>
      <c r="S137" s="47">
        <v>22.83</v>
      </c>
      <c r="T137" s="47">
        <v>22.83</v>
      </c>
      <c r="U137" s="47">
        <v>22.83</v>
      </c>
      <c r="V137" s="47">
        <v>22.83</v>
      </c>
      <c r="W137" s="47">
        <v>22.83</v>
      </c>
      <c r="X137" s="47">
        <v>22.83</v>
      </c>
      <c r="Y137" s="47">
        <v>22.83</v>
      </c>
      <c r="Z137" s="47">
        <v>22.83</v>
      </c>
      <c r="AA137" s="47">
        <v>22.83</v>
      </c>
      <c r="AB137" s="45">
        <f t="shared" si="3"/>
        <v>547.91999999999996</v>
      </c>
      <c r="AC137" s="37">
        <v>6</v>
      </c>
      <c r="AD137" s="92"/>
    </row>
    <row r="138" spans="2:30">
      <c r="B138" s="90">
        <v>49796</v>
      </c>
      <c r="C138" s="44" t="s">
        <v>32</v>
      </c>
      <c r="D138" s="47">
        <v>22.83</v>
      </c>
      <c r="E138" s="47">
        <v>22.83</v>
      </c>
      <c r="F138" s="47">
        <v>22.83</v>
      </c>
      <c r="G138" s="47">
        <v>22.83</v>
      </c>
      <c r="H138" s="47">
        <v>22.83</v>
      </c>
      <c r="I138" s="47">
        <v>22.83</v>
      </c>
      <c r="J138" s="47">
        <v>22.83</v>
      </c>
      <c r="K138" s="47">
        <v>22.83</v>
      </c>
      <c r="L138" s="47">
        <v>22.83</v>
      </c>
      <c r="M138" s="47">
        <v>22.83</v>
      </c>
      <c r="N138" s="47">
        <v>22.83</v>
      </c>
      <c r="O138" s="47">
        <v>22.83</v>
      </c>
      <c r="P138" s="47">
        <v>22.83</v>
      </c>
      <c r="Q138" s="47">
        <v>22.83</v>
      </c>
      <c r="R138" s="47">
        <v>22.83</v>
      </c>
      <c r="S138" s="47">
        <v>22.83</v>
      </c>
      <c r="T138" s="47">
        <v>22.83</v>
      </c>
      <c r="U138" s="47">
        <v>22.83</v>
      </c>
      <c r="V138" s="47">
        <v>22.83</v>
      </c>
      <c r="W138" s="47">
        <v>22.83</v>
      </c>
      <c r="X138" s="47">
        <v>22.83</v>
      </c>
      <c r="Y138" s="47">
        <v>22.83</v>
      </c>
      <c r="Z138" s="47">
        <v>22.83</v>
      </c>
      <c r="AA138" s="47">
        <v>22.83</v>
      </c>
      <c r="AB138" s="45">
        <f t="shared" si="3"/>
        <v>547.91999999999996</v>
      </c>
      <c r="AC138" s="37">
        <v>20</v>
      </c>
      <c r="AD138" s="92">
        <f>+AB138*AC138+AB139*AC139+AB140*AC140</f>
        <v>16985.52</v>
      </c>
    </row>
    <row r="139" spans="2:30">
      <c r="B139" s="90"/>
      <c r="C139" s="44" t="s">
        <v>33</v>
      </c>
      <c r="D139" s="47">
        <v>22.83</v>
      </c>
      <c r="E139" s="47">
        <v>22.83</v>
      </c>
      <c r="F139" s="47">
        <v>22.83</v>
      </c>
      <c r="G139" s="47">
        <v>22.83</v>
      </c>
      <c r="H139" s="47">
        <v>22.83</v>
      </c>
      <c r="I139" s="47">
        <v>22.83</v>
      </c>
      <c r="J139" s="47">
        <v>22.83</v>
      </c>
      <c r="K139" s="47">
        <v>22.83</v>
      </c>
      <c r="L139" s="47">
        <v>22.83</v>
      </c>
      <c r="M139" s="47">
        <v>22.83</v>
      </c>
      <c r="N139" s="47">
        <v>22.83</v>
      </c>
      <c r="O139" s="47">
        <v>22.83</v>
      </c>
      <c r="P139" s="47">
        <v>22.83</v>
      </c>
      <c r="Q139" s="47">
        <v>22.83</v>
      </c>
      <c r="R139" s="47">
        <v>22.83</v>
      </c>
      <c r="S139" s="47">
        <v>22.83</v>
      </c>
      <c r="T139" s="47">
        <v>22.83</v>
      </c>
      <c r="U139" s="47">
        <v>22.83</v>
      </c>
      <c r="V139" s="47">
        <v>22.83</v>
      </c>
      <c r="W139" s="47">
        <v>22.83</v>
      </c>
      <c r="X139" s="47">
        <v>22.83</v>
      </c>
      <c r="Y139" s="47">
        <v>22.83</v>
      </c>
      <c r="Z139" s="47">
        <v>22.83</v>
      </c>
      <c r="AA139" s="47">
        <v>22.83</v>
      </c>
      <c r="AB139" s="45">
        <f t="shared" si="3"/>
        <v>547.91999999999996</v>
      </c>
      <c r="AC139" s="37">
        <v>5</v>
      </c>
      <c r="AD139" s="92"/>
    </row>
    <row r="140" spans="2:30">
      <c r="B140" s="90"/>
      <c r="C140" s="44" t="s">
        <v>34</v>
      </c>
      <c r="D140" s="47">
        <v>22.83</v>
      </c>
      <c r="E140" s="47">
        <v>22.83</v>
      </c>
      <c r="F140" s="47">
        <v>22.83</v>
      </c>
      <c r="G140" s="47">
        <v>22.83</v>
      </c>
      <c r="H140" s="47">
        <v>22.83</v>
      </c>
      <c r="I140" s="47">
        <v>22.83</v>
      </c>
      <c r="J140" s="47">
        <v>22.83</v>
      </c>
      <c r="K140" s="47">
        <v>22.83</v>
      </c>
      <c r="L140" s="47">
        <v>22.83</v>
      </c>
      <c r="M140" s="47">
        <v>22.83</v>
      </c>
      <c r="N140" s="47">
        <v>22.83</v>
      </c>
      <c r="O140" s="47">
        <v>22.83</v>
      </c>
      <c r="P140" s="47">
        <v>22.83</v>
      </c>
      <c r="Q140" s="47">
        <v>22.83</v>
      </c>
      <c r="R140" s="47">
        <v>22.83</v>
      </c>
      <c r="S140" s="47">
        <v>22.83</v>
      </c>
      <c r="T140" s="47">
        <v>22.83</v>
      </c>
      <c r="U140" s="47">
        <v>22.83</v>
      </c>
      <c r="V140" s="47">
        <v>22.83</v>
      </c>
      <c r="W140" s="47">
        <v>22.83</v>
      </c>
      <c r="X140" s="47">
        <v>22.83</v>
      </c>
      <c r="Y140" s="47">
        <v>22.83</v>
      </c>
      <c r="Z140" s="47">
        <v>22.83</v>
      </c>
      <c r="AA140" s="47">
        <v>22.83</v>
      </c>
      <c r="AB140" s="45">
        <f t="shared" si="3"/>
        <v>547.91999999999996</v>
      </c>
      <c r="AC140" s="37">
        <v>6</v>
      </c>
      <c r="AD140" s="92"/>
    </row>
    <row r="141" spans="2:30">
      <c r="B141" s="90">
        <v>49827</v>
      </c>
      <c r="C141" s="44" t="s">
        <v>32</v>
      </c>
      <c r="D141" s="47">
        <v>22.83</v>
      </c>
      <c r="E141" s="47">
        <v>22.83</v>
      </c>
      <c r="F141" s="47">
        <v>22.83</v>
      </c>
      <c r="G141" s="47">
        <v>22.83</v>
      </c>
      <c r="H141" s="47">
        <v>22.83</v>
      </c>
      <c r="I141" s="47">
        <v>22.83</v>
      </c>
      <c r="J141" s="47">
        <v>22.83</v>
      </c>
      <c r="K141" s="47">
        <v>22.83</v>
      </c>
      <c r="L141" s="47">
        <v>22.83</v>
      </c>
      <c r="M141" s="47">
        <v>22.83</v>
      </c>
      <c r="N141" s="47">
        <v>22.83</v>
      </c>
      <c r="O141" s="47">
        <v>22.83</v>
      </c>
      <c r="P141" s="47">
        <v>22.83</v>
      </c>
      <c r="Q141" s="47">
        <v>22.83</v>
      </c>
      <c r="R141" s="47">
        <v>22.83</v>
      </c>
      <c r="S141" s="47">
        <v>22.83</v>
      </c>
      <c r="T141" s="47">
        <v>22.83</v>
      </c>
      <c r="U141" s="47">
        <v>22.83</v>
      </c>
      <c r="V141" s="47">
        <v>22.83</v>
      </c>
      <c r="W141" s="47">
        <v>22.83</v>
      </c>
      <c r="X141" s="47">
        <v>22.83</v>
      </c>
      <c r="Y141" s="47">
        <v>22.83</v>
      </c>
      <c r="Z141" s="47">
        <v>22.83</v>
      </c>
      <c r="AA141" s="47">
        <v>22.83</v>
      </c>
      <c r="AB141" s="45">
        <f t="shared" si="3"/>
        <v>547.91999999999996</v>
      </c>
      <c r="AC141" s="37">
        <v>19</v>
      </c>
      <c r="AD141" s="92">
        <f>+AB141*AC141+AB142*AC142+AB143*AC143</f>
        <v>16437.599999999999</v>
      </c>
    </row>
    <row r="142" spans="2:30">
      <c r="B142" s="90"/>
      <c r="C142" s="44" t="s">
        <v>33</v>
      </c>
      <c r="D142" s="47">
        <v>22.83</v>
      </c>
      <c r="E142" s="47">
        <v>22.83</v>
      </c>
      <c r="F142" s="47">
        <v>22.83</v>
      </c>
      <c r="G142" s="47">
        <v>22.83</v>
      </c>
      <c r="H142" s="47">
        <v>22.83</v>
      </c>
      <c r="I142" s="47">
        <v>22.83</v>
      </c>
      <c r="J142" s="47">
        <v>22.83</v>
      </c>
      <c r="K142" s="47">
        <v>22.83</v>
      </c>
      <c r="L142" s="47">
        <v>22.83</v>
      </c>
      <c r="M142" s="47">
        <v>22.83</v>
      </c>
      <c r="N142" s="47">
        <v>22.83</v>
      </c>
      <c r="O142" s="47">
        <v>22.83</v>
      </c>
      <c r="P142" s="47">
        <v>22.83</v>
      </c>
      <c r="Q142" s="47">
        <v>22.83</v>
      </c>
      <c r="R142" s="47">
        <v>22.83</v>
      </c>
      <c r="S142" s="47">
        <v>22.83</v>
      </c>
      <c r="T142" s="47">
        <v>22.83</v>
      </c>
      <c r="U142" s="47">
        <v>22.83</v>
      </c>
      <c r="V142" s="47">
        <v>22.83</v>
      </c>
      <c r="W142" s="47">
        <v>22.83</v>
      </c>
      <c r="X142" s="47">
        <v>22.83</v>
      </c>
      <c r="Y142" s="47">
        <v>22.83</v>
      </c>
      <c r="Z142" s="47">
        <v>22.83</v>
      </c>
      <c r="AA142" s="47">
        <v>22.83</v>
      </c>
      <c r="AB142" s="45">
        <f t="shared" si="3"/>
        <v>547.91999999999996</v>
      </c>
      <c r="AC142" s="37">
        <v>4</v>
      </c>
      <c r="AD142" s="92"/>
    </row>
    <row r="143" spans="2:30">
      <c r="B143" s="90"/>
      <c r="C143" s="44" t="s">
        <v>34</v>
      </c>
      <c r="D143" s="47">
        <v>22.83</v>
      </c>
      <c r="E143" s="47">
        <v>22.83</v>
      </c>
      <c r="F143" s="47">
        <v>22.83</v>
      </c>
      <c r="G143" s="47">
        <v>22.83</v>
      </c>
      <c r="H143" s="47">
        <v>22.83</v>
      </c>
      <c r="I143" s="47">
        <v>22.83</v>
      </c>
      <c r="J143" s="47">
        <v>22.83</v>
      </c>
      <c r="K143" s="47">
        <v>22.83</v>
      </c>
      <c r="L143" s="47">
        <v>22.83</v>
      </c>
      <c r="M143" s="47">
        <v>22.83</v>
      </c>
      <c r="N143" s="47">
        <v>22.83</v>
      </c>
      <c r="O143" s="47">
        <v>22.83</v>
      </c>
      <c r="P143" s="47">
        <v>22.83</v>
      </c>
      <c r="Q143" s="47">
        <v>22.83</v>
      </c>
      <c r="R143" s="47">
        <v>22.83</v>
      </c>
      <c r="S143" s="47">
        <v>22.83</v>
      </c>
      <c r="T143" s="47">
        <v>22.83</v>
      </c>
      <c r="U143" s="47">
        <v>22.83</v>
      </c>
      <c r="V143" s="47">
        <v>22.83</v>
      </c>
      <c r="W143" s="47">
        <v>22.83</v>
      </c>
      <c r="X143" s="47">
        <v>22.83</v>
      </c>
      <c r="Y143" s="47">
        <v>22.83</v>
      </c>
      <c r="Z143" s="47">
        <v>22.83</v>
      </c>
      <c r="AA143" s="47">
        <v>22.83</v>
      </c>
      <c r="AB143" s="45">
        <f t="shared" si="3"/>
        <v>547.91999999999996</v>
      </c>
      <c r="AC143" s="37">
        <v>7</v>
      </c>
      <c r="AD143" s="92"/>
    </row>
    <row r="144" spans="2:30">
      <c r="B144" s="90">
        <v>49857</v>
      </c>
      <c r="C144" s="44" t="s">
        <v>32</v>
      </c>
      <c r="D144" s="47">
        <v>22.83</v>
      </c>
      <c r="E144" s="47">
        <v>22.83</v>
      </c>
      <c r="F144" s="47">
        <v>22.83</v>
      </c>
      <c r="G144" s="47">
        <v>22.83</v>
      </c>
      <c r="H144" s="47">
        <v>22.83</v>
      </c>
      <c r="I144" s="47">
        <v>22.83</v>
      </c>
      <c r="J144" s="47">
        <v>22.83</v>
      </c>
      <c r="K144" s="47">
        <v>22.83</v>
      </c>
      <c r="L144" s="47">
        <v>22.83</v>
      </c>
      <c r="M144" s="47">
        <v>22.83</v>
      </c>
      <c r="N144" s="47">
        <v>22.83</v>
      </c>
      <c r="O144" s="47">
        <v>22.83</v>
      </c>
      <c r="P144" s="47">
        <v>22.83</v>
      </c>
      <c r="Q144" s="47">
        <v>22.83</v>
      </c>
      <c r="R144" s="47">
        <v>22.83</v>
      </c>
      <c r="S144" s="47">
        <v>22.83</v>
      </c>
      <c r="T144" s="47">
        <v>22.83</v>
      </c>
      <c r="U144" s="47">
        <v>22.83</v>
      </c>
      <c r="V144" s="47">
        <v>22.83</v>
      </c>
      <c r="W144" s="47">
        <v>22.83</v>
      </c>
      <c r="X144" s="47">
        <v>22.83</v>
      </c>
      <c r="Y144" s="47">
        <v>22.83</v>
      </c>
      <c r="Z144" s="47">
        <v>22.83</v>
      </c>
      <c r="AA144" s="47">
        <v>22.83</v>
      </c>
      <c r="AB144" s="45">
        <f t="shared" si="3"/>
        <v>547.91999999999996</v>
      </c>
      <c r="AC144" s="37">
        <v>23</v>
      </c>
      <c r="AD144" s="92">
        <f>+AB144*AC144+AB145*AC145+AB146*AC146</f>
        <v>16985.52</v>
      </c>
    </row>
    <row r="145" spans="2:30">
      <c r="B145" s="90"/>
      <c r="C145" s="44" t="s">
        <v>33</v>
      </c>
      <c r="D145" s="47">
        <v>22.83</v>
      </c>
      <c r="E145" s="47">
        <v>22.83</v>
      </c>
      <c r="F145" s="47">
        <v>22.83</v>
      </c>
      <c r="G145" s="47">
        <v>22.83</v>
      </c>
      <c r="H145" s="47">
        <v>22.83</v>
      </c>
      <c r="I145" s="47">
        <v>22.83</v>
      </c>
      <c r="J145" s="47">
        <v>22.83</v>
      </c>
      <c r="K145" s="47">
        <v>22.83</v>
      </c>
      <c r="L145" s="47">
        <v>22.83</v>
      </c>
      <c r="M145" s="47">
        <v>22.83</v>
      </c>
      <c r="N145" s="47">
        <v>22.83</v>
      </c>
      <c r="O145" s="47">
        <v>22.83</v>
      </c>
      <c r="P145" s="47">
        <v>22.83</v>
      </c>
      <c r="Q145" s="47">
        <v>22.83</v>
      </c>
      <c r="R145" s="47">
        <v>22.83</v>
      </c>
      <c r="S145" s="47">
        <v>22.83</v>
      </c>
      <c r="T145" s="47">
        <v>22.83</v>
      </c>
      <c r="U145" s="47">
        <v>22.83</v>
      </c>
      <c r="V145" s="47">
        <v>22.83</v>
      </c>
      <c r="W145" s="47">
        <v>22.83</v>
      </c>
      <c r="X145" s="47">
        <v>22.83</v>
      </c>
      <c r="Y145" s="47">
        <v>22.83</v>
      </c>
      <c r="Z145" s="47">
        <v>22.83</v>
      </c>
      <c r="AA145" s="47">
        <v>22.83</v>
      </c>
      <c r="AB145" s="45">
        <f t="shared" si="3"/>
        <v>547.91999999999996</v>
      </c>
      <c r="AC145" s="37">
        <v>4</v>
      </c>
      <c r="AD145" s="92"/>
    </row>
    <row r="146" spans="2:30">
      <c r="B146" s="90"/>
      <c r="C146" s="44" t="s">
        <v>34</v>
      </c>
      <c r="D146" s="47">
        <v>22.83</v>
      </c>
      <c r="E146" s="47">
        <v>22.83</v>
      </c>
      <c r="F146" s="47">
        <v>22.83</v>
      </c>
      <c r="G146" s="47">
        <v>22.83</v>
      </c>
      <c r="H146" s="47">
        <v>22.83</v>
      </c>
      <c r="I146" s="47">
        <v>22.83</v>
      </c>
      <c r="J146" s="47">
        <v>22.83</v>
      </c>
      <c r="K146" s="47">
        <v>22.83</v>
      </c>
      <c r="L146" s="47">
        <v>22.83</v>
      </c>
      <c r="M146" s="47">
        <v>22.83</v>
      </c>
      <c r="N146" s="47">
        <v>22.83</v>
      </c>
      <c r="O146" s="47">
        <v>22.83</v>
      </c>
      <c r="P146" s="47">
        <v>22.83</v>
      </c>
      <c r="Q146" s="47">
        <v>22.83</v>
      </c>
      <c r="R146" s="47">
        <v>22.83</v>
      </c>
      <c r="S146" s="47">
        <v>22.83</v>
      </c>
      <c r="T146" s="47">
        <v>22.83</v>
      </c>
      <c r="U146" s="47">
        <v>22.83</v>
      </c>
      <c r="V146" s="47">
        <v>22.83</v>
      </c>
      <c r="W146" s="47">
        <v>22.83</v>
      </c>
      <c r="X146" s="47">
        <v>22.83</v>
      </c>
      <c r="Y146" s="47">
        <v>22.83</v>
      </c>
      <c r="Z146" s="47">
        <v>22.83</v>
      </c>
      <c r="AA146" s="47">
        <v>22.83</v>
      </c>
      <c r="AB146" s="45">
        <f t="shared" si="3"/>
        <v>547.91999999999996</v>
      </c>
      <c r="AC146" s="37">
        <v>4</v>
      </c>
      <c r="AD146" s="92"/>
    </row>
    <row r="147" spans="2:30">
      <c r="B147" s="90">
        <v>49888</v>
      </c>
      <c r="C147" s="44" t="s">
        <v>32</v>
      </c>
      <c r="D147" s="47">
        <v>22.83</v>
      </c>
      <c r="E147" s="47">
        <v>22.83</v>
      </c>
      <c r="F147" s="47">
        <v>22.83</v>
      </c>
      <c r="G147" s="47">
        <v>22.83</v>
      </c>
      <c r="H147" s="47">
        <v>22.83</v>
      </c>
      <c r="I147" s="47">
        <v>22.83</v>
      </c>
      <c r="J147" s="47">
        <v>22.83</v>
      </c>
      <c r="K147" s="47">
        <v>22.83</v>
      </c>
      <c r="L147" s="47">
        <v>22.83</v>
      </c>
      <c r="M147" s="47">
        <v>22.83</v>
      </c>
      <c r="N147" s="47">
        <v>22.83</v>
      </c>
      <c r="O147" s="47">
        <v>22.83</v>
      </c>
      <c r="P147" s="47">
        <v>22.83</v>
      </c>
      <c r="Q147" s="47">
        <v>22.83</v>
      </c>
      <c r="R147" s="47">
        <v>22.83</v>
      </c>
      <c r="S147" s="47">
        <v>22.83</v>
      </c>
      <c r="T147" s="47">
        <v>22.83</v>
      </c>
      <c r="U147" s="47">
        <v>22.83</v>
      </c>
      <c r="V147" s="47">
        <v>22.83</v>
      </c>
      <c r="W147" s="47">
        <v>22.83</v>
      </c>
      <c r="X147" s="47">
        <v>22.83</v>
      </c>
      <c r="Y147" s="47">
        <v>22.83</v>
      </c>
      <c r="Z147" s="47">
        <v>22.83</v>
      </c>
      <c r="AA147" s="47">
        <v>22.83</v>
      </c>
      <c r="AB147" s="45">
        <f t="shared" si="3"/>
        <v>547.91999999999996</v>
      </c>
      <c r="AC147" s="37">
        <v>19</v>
      </c>
      <c r="AD147" s="92">
        <f>+AB147*AC147+AB148*AC148+AB149*AC149</f>
        <v>16985.52</v>
      </c>
    </row>
    <row r="148" spans="2:30">
      <c r="B148" s="90"/>
      <c r="C148" s="44" t="s">
        <v>33</v>
      </c>
      <c r="D148" s="47">
        <v>22.83</v>
      </c>
      <c r="E148" s="47">
        <v>22.83</v>
      </c>
      <c r="F148" s="47">
        <v>22.83</v>
      </c>
      <c r="G148" s="47">
        <v>22.83</v>
      </c>
      <c r="H148" s="47">
        <v>22.83</v>
      </c>
      <c r="I148" s="47">
        <v>22.83</v>
      </c>
      <c r="J148" s="47">
        <v>22.83</v>
      </c>
      <c r="K148" s="47">
        <v>22.83</v>
      </c>
      <c r="L148" s="47">
        <v>22.83</v>
      </c>
      <c r="M148" s="47">
        <v>22.83</v>
      </c>
      <c r="N148" s="47">
        <v>22.83</v>
      </c>
      <c r="O148" s="47">
        <v>22.83</v>
      </c>
      <c r="P148" s="47">
        <v>22.83</v>
      </c>
      <c r="Q148" s="47">
        <v>22.83</v>
      </c>
      <c r="R148" s="47">
        <v>22.83</v>
      </c>
      <c r="S148" s="47">
        <v>22.83</v>
      </c>
      <c r="T148" s="47">
        <v>22.83</v>
      </c>
      <c r="U148" s="47">
        <v>22.83</v>
      </c>
      <c r="V148" s="47">
        <v>22.83</v>
      </c>
      <c r="W148" s="47">
        <v>22.83</v>
      </c>
      <c r="X148" s="47">
        <v>22.83</v>
      </c>
      <c r="Y148" s="47">
        <v>22.83</v>
      </c>
      <c r="Z148" s="47">
        <v>22.83</v>
      </c>
      <c r="AA148" s="47">
        <v>22.83</v>
      </c>
      <c r="AB148" s="45">
        <f t="shared" si="3"/>
        <v>547.91999999999996</v>
      </c>
      <c r="AC148" s="37">
        <v>5</v>
      </c>
      <c r="AD148" s="92"/>
    </row>
    <row r="149" spans="2:30">
      <c r="B149" s="90"/>
      <c r="C149" s="44" t="s">
        <v>34</v>
      </c>
      <c r="D149" s="47">
        <v>22.83</v>
      </c>
      <c r="E149" s="47">
        <v>22.83</v>
      </c>
      <c r="F149" s="47">
        <v>22.83</v>
      </c>
      <c r="G149" s="47">
        <v>22.83</v>
      </c>
      <c r="H149" s="47">
        <v>22.83</v>
      </c>
      <c r="I149" s="47">
        <v>22.83</v>
      </c>
      <c r="J149" s="47">
        <v>22.83</v>
      </c>
      <c r="K149" s="47">
        <v>22.83</v>
      </c>
      <c r="L149" s="47">
        <v>22.83</v>
      </c>
      <c r="M149" s="47">
        <v>22.83</v>
      </c>
      <c r="N149" s="47">
        <v>22.83</v>
      </c>
      <c r="O149" s="47">
        <v>22.83</v>
      </c>
      <c r="P149" s="47">
        <v>22.83</v>
      </c>
      <c r="Q149" s="47">
        <v>22.83</v>
      </c>
      <c r="R149" s="47">
        <v>22.83</v>
      </c>
      <c r="S149" s="47">
        <v>22.83</v>
      </c>
      <c r="T149" s="47">
        <v>22.83</v>
      </c>
      <c r="U149" s="47">
        <v>22.83</v>
      </c>
      <c r="V149" s="47">
        <v>22.83</v>
      </c>
      <c r="W149" s="47">
        <v>22.83</v>
      </c>
      <c r="X149" s="47">
        <v>22.83</v>
      </c>
      <c r="Y149" s="47">
        <v>22.83</v>
      </c>
      <c r="Z149" s="47">
        <v>22.83</v>
      </c>
      <c r="AA149" s="47">
        <v>22.83</v>
      </c>
      <c r="AB149" s="45">
        <f t="shared" si="3"/>
        <v>547.91999999999996</v>
      </c>
      <c r="AC149" s="37">
        <v>7</v>
      </c>
      <c r="AD149" s="92"/>
    </row>
    <row r="150" spans="2:30">
      <c r="B150" s="90">
        <v>49919</v>
      </c>
      <c r="C150" s="44" t="s">
        <v>32</v>
      </c>
      <c r="D150" s="47">
        <v>22.83</v>
      </c>
      <c r="E150" s="47">
        <v>22.83</v>
      </c>
      <c r="F150" s="47">
        <v>22.83</v>
      </c>
      <c r="G150" s="47">
        <v>22.83</v>
      </c>
      <c r="H150" s="47">
        <v>22.83</v>
      </c>
      <c r="I150" s="47">
        <v>22.83</v>
      </c>
      <c r="J150" s="47">
        <v>22.83</v>
      </c>
      <c r="K150" s="47">
        <v>22.83</v>
      </c>
      <c r="L150" s="47">
        <v>22.83</v>
      </c>
      <c r="M150" s="47">
        <v>22.83</v>
      </c>
      <c r="N150" s="47">
        <v>22.83</v>
      </c>
      <c r="O150" s="47">
        <v>22.83</v>
      </c>
      <c r="P150" s="47">
        <v>22.83</v>
      </c>
      <c r="Q150" s="47">
        <v>22.83</v>
      </c>
      <c r="R150" s="47">
        <v>22.83</v>
      </c>
      <c r="S150" s="47">
        <v>22.83</v>
      </c>
      <c r="T150" s="47">
        <v>22.83</v>
      </c>
      <c r="U150" s="47">
        <v>22.83</v>
      </c>
      <c r="V150" s="47">
        <v>22.83</v>
      </c>
      <c r="W150" s="47">
        <v>22.83</v>
      </c>
      <c r="X150" s="47">
        <v>22.83</v>
      </c>
      <c r="Y150" s="47">
        <v>22.83</v>
      </c>
      <c r="Z150" s="47">
        <v>22.83</v>
      </c>
      <c r="AA150" s="47">
        <v>22.83</v>
      </c>
      <c r="AB150" s="45">
        <f t="shared" si="3"/>
        <v>547.91999999999996</v>
      </c>
      <c r="AC150" s="37">
        <v>22</v>
      </c>
      <c r="AD150" s="92">
        <f>+AB150*AC150+AB151*AC151+AB152*AC152</f>
        <v>16437.599999999999</v>
      </c>
    </row>
    <row r="151" spans="2:30">
      <c r="B151" s="90"/>
      <c r="C151" s="44" t="s">
        <v>33</v>
      </c>
      <c r="D151" s="47">
        <v>22.83</v>
      </c>
      <c r="E151" s="47">
        <v>22.83</v>
      </c>
      <c r="F151" s="47">
        <v>22.83</v>
      </c>
      <c r="G151" s="47">
        <v>22.83</v>
      </c>
      <c r="H151" s="47">
        <v>22.83</v>
      </c>
      <c r="I151" s="47">
        <v>22.83</v>
      </c>
      <c r="J151" s="47">
        <v>22.83</v>
      </c>
      <c r="K151" s="47">
        <v>22.83</v>
      </c>
      <c r="L151" s="47">
        <v>22.83</v>
      </c>
      <c r="M151" s="47">
        <v>22.83</v>
      </c>
      <c r="N151" s="47">
        <v>22.83</v>
      </c>
      <c r="O151" s="47">
        <v>22.83</v>
      </c>
      <c r="P151" s="47">
        <v>22.83</v>
      </c>
      <c r="Q151" s="47">
        <v>22.83</v>
      </c>
      <c r="R151" s="47">
        <v>22.83</v>
      </c>
      <c r="S151" s="47">
        <v>22.83</v>
      </c>
      <c r="T151" s="47">
        <v>22.83</v>
      </c>
      <c r="U151" s="47">
        <v>22.83</v>
      </c>
      <c r="V151" s="47">
        <v>22.83</v>
      </c>
      <c r="W151" s="47">
        <v>22.83</v>
      </c>
      <c r="X151" s="47">
        <v>22.83</v>
      </c>
      <c r="Y151" s="47">
        <v>22.83</v>
      </c>
      <c r="Z151" s="47">
        <v>22.83</v>
      </c>
      <c r="AA151" s="47">
        <v>22.83</v>
      </c>
      <c r="AB151" s="45">
        <f t="shared" si="3"/>
        <v>547.91999999999996</v>
      </c>
      <c r="AC151" s="37">
        <v>4</v>
      </c>
      <c r="AD151" s="92"/>
    </row>
    <row r="152" spans="2:30">
      <c r="B152" s="90"/>
      <c r="C152" s="44" t="s">
        <v>34</v>
      </c>
      <c r="D152" s="47">
        <v>22.83</v>
      </c>
      <c r="E152" s="47">
        <v>22.83</v>
      </c>
      <c r="F152" s="47">
        <v>22.83</v>
      </c>
      <c r="G152" s="47">
        <v>22.83</v>
      </c>
      <c r="H152" s="47">
        <v>22.83</v>
      </c>
      <c r="I152" s="47">
        <v>22.83</v>
      </c>
      <c r="J152" s="47">
        <v>22.83</v>
      </c>
      <c r="K152" s="47">
        <v>22.83</v>
      </c>
      <c r="L152" s="47">
        <v>22.83</v>
      </c>
      <c r="M152" s="47">
        <v>22.83</v>
      </c>
      <c r="N152" s="47">
        <v>22.83</v>
      </c>
      <c r="O152" s="47">
        <v>22.83</v>
      </c>
      <c r="P152" s="47">
        <v>22.83</v>
      </c>
      <c r="Q152" s="47">
        <v>22.83</v>
      </c>
      <c r="R152" s="47">
        <v>22.83</v>
      </c>
      <c r="S152" s="47">
        <v>22.83</v>
      </c>
      <c r="T152" s="47">
        <v>22.83</v>
      </c>
      <c r="U152" s="47">
        <v>22.83</v>
      </c>
      <c r="V152" s="47">
        <v>22.83</v>
      </c>
      <c r="W152" s="47">
        <v>22.83</v>
      </c>
      <c r="X152" s="47">
        <v>22.83</v>
      </c>
      <c r="Y152" s="47">
        <v>22.83</v>
      </c>
      <c r="Z152" s="47">
        <v>22.83</v>
      </c>
      <c r="AA152" s="47">
        <v>22.83</v>
      </c>
      <c r="AB152" s="45">
        <f t="shared" si="3"/>
        <v>547.91999999999996</v>
      </c>
      <c r="AC152" s="37">
        <v>4</v>
      </c>
      <c r="AD152" s="92"/>
    </row>
    <row r="153" spans="2:30">
      <c r="B153" s="90">
        <v>49949</v>
      </c>
      <c r="C153" s="44" t="s">
        <v>32</v>
      </c>
      <c r="D153" s="47">
        <v>22.83</v>
      </c>
      <c r="E153" s="47">
        <v>22.83</v>
      </c>
      <c r="F153" s="47">
        <v>22.83</v>
      </c>
      <c r="G153" s="47">
        <v>22.83</v>
      </c>
      <c r="H153" s="47">
        <v>22.83</v>
      </c>
      <c r="I153" s="47">
        <v>22.83</v>
      </c>
      <c r="J153" s="47">
        <v>22.83</v>
      </c>
      <c r="K153" s="47">
        <v>22.83</v>
      </c>
      <c r="L153" s="47">
        <v>22.83</v>
      </c>
      <c r="M153" s="47">
        <v>22.83</v>
      </c>
      <c r="N153" s="47">
        <v>22.83</v>
      </c>
      <c r="O153" s="47">
        <v>22.83</v>
      </c>
      <c r="P153" s="47">
        <v>22.83</v>
      </c>
      <c r="Q153" s="47">
        <v>22.83</v>
      </c>
      <c r="R153" s="47">
        <v>22.83</v>
      </c>
      <c r="S153" s="47">
        <v>22.83</v>
      </c>
      <c r="T153" s="47">
        <v>22.83</v>
      </c>
      <c r="U153" s="47">
        <v>22.83</v>
      </c>
      <c r="V153" s="47">
        <v>22.83</v>
      </c>
      <c r="W153" s="47">
        <v>22.83</v>
      </c>
      <c r="X153" s="47">
        <v>22.83</v>
      </c>
      <c r="Y153" s="47">
        <v>22.83</v>
      </c>
      <c r="Z153" s="47">
        <v>22.83</v>
      </c>
      <c r="AA153" s="47">
        <v>22.83</v>
      </c>
      <c r="AB153" s="45">
        <f t="shared" si="3"/>
        <v>547.91999999999996</v>
      </c>
      <c r="AC153" s="37">
        <v>22</v>
      </c>
      <c r="AD153" s="92">
        <f>+AB153*AC153+AB154*AC154+AB155*AC155</f>
        <v>16985.52</v>
      </c>
    </row>
    <row r="154" spans="2:30">
      <c r="B154" s="90"/>
      <c r="C154" s="44" t="s">
        <v>33</v>
      </c>
      <c r="D154" s="47">
        <v>22.83</v>
      </c>
      <c r="E154" s="47">
        <v>22.83</v>
      </c>
      <c r="F154" s="47">
        <v>22.83</v>
      </c>
      <c r="G154" s="47">
        <v>22.83</v>
      </c>
      <c r="H154" s="47">
        <v>22.83</v>
      </c>
      <c r="I154" s="47">
        <v>22.83</v>
      </c>
      <c r="J154" s="47">
        <v>22.83</v>
      </c>
      <c r="K154" s="47">
        <v>22.83</v>
      </c>
      <c r="L154" s="47">
        <v>22.83</v>
      </c>
      <c r="M154" s="47">
        <v>22.83</v>
      </c>
      <c r="N154" s="47">
        <v>22.83</v>
      </c>
      <c r="O154" s="47">
        <v>22.83</v>
      </c>
      <c r="P154" s="47">
        <v>22.83</v>
      </c>
      <c r="Q154" s="47">
        <v>22.83</v>
      </c>
      <c r="R154" s="47">
        <v>22.83</v>
      </c>
      <c r="S154" s="47">
        <v>22.83</v>
      </c>
      <c r="T154" s="47">
        <v>22.83</v>
      </c>
      <c r="U154" s="47">
        <v>22.83</v>
      </c>
      <c r="V154" s="47">
        <v>22.83</v>
      </c>
      <c r="W154" s="47">
        <v>22.83</v>
      </c>
      <c r="X154" s="47">
        <v>22.83</v>
      </c>
      <c r="Y154" s="47">
        <v>22.83</v>
      </c>
      <c r="Z154" s="47">
        <v>22.83</v>
      </c>
      <c r="AA154" s="47">
        <v>22.83</v>
      </c>
      <c r="AB154" s="45">
        <f t="shared" si="3"/>
        <v>547.91999999999996</v>
      </c>
      <c r="AC154" s="37">
        <v>4</v>
      </c>
      <c r="AD154" s="92"/>
    </row>
    <row r="155" spans="2:30">
      <c r="B155" s="90"/>
      <c r="C155" s="44" t="s">
        <v>34</v>
      </c>
      <c r="D155" s="47">
        <v>22.83</v>
      </c>
      <c r="E155" s="47">
        <v>22.83</v>
      </c>
      <c r="F155" s="47">
        <v>22.83</v>
      </c>
      <c r="G155" s="47">
        <v>22.83</v>
      </c>
      <c r="H155" s="47">
        <v>22.83</v>
      </c>
      <c r="I155" s="47">
        <v>22.83</v>
      </c>
      <c r="J155" s="47">
        <v>22.83</v>
      </c>
      <c r="K155" s="47">
        <v>22.83</v>
      </c>
      <c r="L155" s="47">
        <v>22.83</v>
      </c>
      <c r="M155" s="47">
        <v>22.83</v>
      </c>
      <c r="N155" s="47">
        <v>22.83</v>
      </c>
      <c r="O155" s="47">
        <v>22.83</v>
      </c>
      <c r="P155" s="47">
        <v>22.83</v>
      </c>
      <c r="Q155" s="47">
        <v>22.83</v>
      </c>
      <c r="R155" s="47">
        <v>22.83</v>
      </c>
      <c r="S155" s="47">
        <v>22.83</v>
      </c>
      <c r="T155" s="47">
        <v>22.83</v>
      </c>
      <c r="U155" s="47">
        <v>22.83</v>
      </c>
      <c r="V155" s="47">
        <v>22.83</v>
      </c>
      <c r="W155" s="47">
        <v>22.83</v>
      </c>
      <c r="X155" s="47">
        <v>22.83</v>
      </c>
      <c r="Y155" s="47">
        <v>22.83</v>
      </c>
      <c r="Z155" s="47">
        <v>22.83</v>
      </c>
      <c r="AA155" s="47">
        <v>22.83</v>
      </c>
      <c r="AB155" s="45">
        <f t="shared" si="3"/>
        <v>547.91999999999996</v>
      </c>
      <c r="AC155" s="37">
        <v>5</v>
      </c>
      <c r="AD155" s="92"/>
    </row>
    <row r="156" spans="2:30">
      <c r="B156" s="90">
        <v>49980</v>
      </c>
      <c r="C156" s="44" t="s">
        <v>32</v>
      </c>
      <c r="D156" s="47">
        <v>22.83</v>
      </c>
      <c r="E156" s="47">
        <v>22.83</v>
      </c>
      <c r="F156" s="47">
        <v>22.83</v>
      </c>
      <c r="G156" s="47">
        <v>22.83</v>
      </c>
      <c r="H156" s="47">
        <v>22.83</v>
      </c>
      <c r="I156" s="47">
        <v>22.83</v>
      </c>
      <c r="J156" s="47">
        <v>22.83</v>
      </c>
      <c r="K156" s="47">
        <v>22.83</v>
      </c>
      <c r="L156" s="47">
        <v>22.83</v>
      </c>
      <c r="M156" s="47">
        <v>22.83</v>
      </c>
      <c r="N156" s="47">
        <v>22.83</v>
      </c>
      <c r="O156" s="47">
        <v>22.83</v>
      </c>
      <c r="P156" s="47">
        <v>22.83</v>
      </c>
      <c r="Q156" s="47">
        <v>22.83</v>
      </c>
      <c r="R156" s="47">
        <v>22.83</v>
      </c>
      <c r="S156" s="47">
        <v>22.83</v>
      </c>
      <c r="T156" s="47">
        <v>22.83</v>
      </c>
      <c r="U156" s="47">
        <v>22.83</v>
      </c>
      <c r="V156" s="47">
        <v>22.83</v>
      </c>
      <c r="W156" s="47">
        <v>22.83</v>
      </c>
      <c r="X156" s="47">
        <v>22.83</v>
      </c>
      <c r="Y156" s="47">
        <v>22.83</v>
      </c>
      <c r="Z156" s="47">
        <v>22.83</v>
      </c>
      <c r="AA156" s="47">
        <v>22.83</v>
      </c>
      <c r="AB156" s="45">
        <f t="shared" si="3"/>
        <v>547.91999999999996</v>
      </c>
      <c r="AC156" s="37">
        <v>18</v>
      </c>
      <c r="AD156" s="92">
        <f>+AB156*AC156+AB157*AC157+AB158*AC158</f>
        <v>16437.599999999999</v>
      </c>
    </row>
    <row r="157" spans="2:30">
      <c r="B157" s="90"/>
      <c r="C157" s="44" t="s">
        <v>33</v>
      </c>
      <c r="D157" s="47">
        <v>22.83</v>
      </c>
      <c r="E157" s="47">
        <v>22.83</v>
      </c>
      <c r="F157" s="47">
        <v>22.83</v>
      </c>
      <c r="G157" s="47">
        <v>22.83</v>
      </c>
      <c r="H157" s="47">
        <v>22.83</v>
      </c>
      <c r="I157" s="47">
        <v>22.83</v>
      </c>
      <c r="J157" s="47">
        <v>22.83</v>
      </c>
      <c r="K157" s="47">
        <v>22.83</v>
      </c>
      <c r="L157" s="47">
        <v>22.83</v>
      </c>
      <c r="M157" s="47">
        <v>22.83</v>
      </c>
      <c r="N157" s="47">
        <v>22.83</v>
      </c>
      <c r="O157" s="47">
        <v>22.83</v>
      </c>
      <c r="P157" s="47">
        <v>22.83</v>
      </c>
      <c r="Q157" s="47">
        <v>22.83</v>
      </c>
      <c r="R157" s="47">
        <v>22.83</v>
      </c>
      <c r="S157" s="47">
        <v>22.83</v>
      </c>
      <c r="T157" s="47">
        <v>22.83</v>
      </c>
      <c r="U157" s="47">
        <v>22.83</v>
      </c>
      <c r="V157" s="47">
        <v>22.83</v>
      </c>
      <c r="W157" s="47">
        <v>22.83</v>
      </c>
      <c r="X157" s="47">
        <v>22.83</v>
      </c>
      <c r="Y157" s="47">
        <v>22.83</v>
      </c>
      <c r="Z157" s="47">
        <v>22.83</v>
      </c>
      <c r="AA157" s="47">
        <v>22.83</v>
      </c>
      <c r="AB157" s="45">
        <f t="shared" si="3"/>
        <v>547.91999999999996</v>
      </c>
      <c r="AC157" s="37">
        <v>5</v>
      </c>
      <c r="AD157" s="92"/>
    </row>
    <row r="158" spans="2:30">
      <c r="B158" s="90"/>
      <c r="C158" s="44" t="s">
        <v>34</v>
      </c>
      <c r="D158" s="47">
        <v>22.83</v>
      </c>
      <c r="E158" s="47">
        <v>22.83</v>
      </c>
      <c r="F158" s="47">
        <v>22.83</v>
      </c>
      <c r="G158" s="47">
        <v>22.83</v>
      </c>
      <c r="H158" s="47">
        <v>22.83</v>
      </c>
      <c r="I158" s="47">
        <v>22.83</v>
      </c>
      <c r="J158" s="47">
        <v>22.83</v>
      </c>
      <c r="K158" s="47">
        <v>22.83</v>
      </c>
      <c r="L158" s="47">
        <v>22.83</v>
      </c>
      <c r="M158" s="47">
        <v>22.83</v>
      </c>
      <c r="N158" s="47">
        <v>22.83</v>
      </c>
      <c r="O158" s="47">
        <v>22.83</v>
      </c>
      <c r="P158" s="47">
        <v>22.83</v>
      </c>
      <c r="Q158" s="47">
        <v>22.83</v>
      </c>
      <c r="R158" s="47">
        <v>22.83</v>
      </c>
      <c r="S158" s="47">
        <v>22.83</v>
      </c>
      <c r="T158" s="47">
        <v>22.83</v>
      </c>
      <c r="U158" s="47">
        <v>22.83</v>
      </c>
      <c r="V158" s="47">
        <v>22.83</v>
      </c>
      <c r="W158" s="47">
        <v>22.83</v>
      </c>
      <c r="X158" s="47">
        <v>22.83</v>
      </c>
      <c r="Y158" s="47">
        <v>22.83</v>
      </c>
      <c r="Z158" s="47">
        <v>22.83</v>
      </c>
      <c r="AA158" s="47">
        <v>22.83</v>
      </c>
      <c r="AB158" s="45">
        <f t="shared" si="3"/>
        <v>547.91999999999996</v>
      </c>
      <c r="AC158" s="37">
        <v>7</v>
      </c>
      <c r="AD158" s="92"/>
    </row>
    <row r="159" spans="2:30">
      <c r="B159" s="90">
        <v>50010</v>
      </c>
      <c r="C159" s="44" t="s">
        <v>32</v>
      </c>
      <c r="D159" s="47">
        <v>22.83</v>
      </c>
      <c r="E159" s="47">
        <v>22.83</v>
      </c>
      <c r="F159" s="47">
        <v>22.83</v>
      </c>
      <c r="G159" s="47">
        <v>22.83</v>
      </c>
      <c r="H159" s="47">
        <v>22.83</v>
      </c>
      <c r="I159" s="47">
        <v>22.83</v>
      </c>
      <c r="J159" s="47">
        <v>22.83</v>
      </c>
      <c r="K159" s="47">
        <v>22.83</v>
      </c>
      <c r="L159" s="47">
        <v>22.83</v>
      </c>
      <c r="M159" s="47">
        <v>22.83</v>
      </c>
      <c r="N159" s="47">
        <v>22.83</v>
      </c>
      <c r="O159" s="47">
        <v>22.83</v>
      </c>
      <c r="P159" s="47">
        <v>22.83</v>
      </c>
      <c r="Q159" s="47">
        <v>22.83</v>
      </c>
      <c r="R159" s="47">
        <v>22.83</v>
      </c>
      <c r="S159" s="47">
        <v>22.83</v>
      </c>
      <c r="T159" s="47">
        <v>22.83</v>
      </c>
      <c r="U159" s="47">
        <v>22.83</v>
      </c>
      <c r="V159" s="47">
        <v>22.83</v>
      </c>
      <c r="W159" s="47">
        <v>22.83</v>
      </c>
      <c r="X159" s="47">
        <v>22.83</v>
      </c>
      <c r="Y159" s="47">
        <v>22.83</v>
      </c>
      <c r="Z159" s="47">
        <v>22.83</v>
      </c>
      <c r="AA159" s="47">
        <v>22.83</v>
      </c>
      <c r="AB159" s="45">
        <f t="shared" si="3"/>
        <v>547.91999999999996</v>
      </c>
      <c r="AC159" s="37">
        <v>21</v>
      </c>
      <c r="AD159" s="92">
        <f>+AB159*AC159+AB160*AC160+AB161*AC161</f>
        <v>16985.52</v>
      </c>
    </row>
    <row r="160" spans="2:30">
      <c r="B160" s="90"/>
      <c r="C160" s="44" t="s">
        <v>33</v>
      </c>
      <c r="D160" s="47">
        <v>22.83</v>
      </c>
      <c r="E160" s="47">
        <v>22.83</v>
      </c>
      <c r="F160" s="47">
        <v>22.83</v>
      </c>
      <c r="G160" s="47">
        <v>22.83</v>
      </c>
      <c r="H160" s="47">
        <v>22.83</v>
      </c>
      <c r="I160" s="47">
        <v>22.83</v>
      </c>
      <c r="J160" s="47">
        <v>22.83</v>
      </c>
      <c r="K160" s="47">
        <v>22.83</v>
      </c>
      <c r="L160" s="47">
        <v>22.83</v>
      </c>
      <c r="M160" s="47">
        <v>22.83</v>
      </c>
      <c r="N160" s="47">
        <v>22.83</v>
      </c>
      <c r="O160" s="47">
        <v>22.83</v>
      </c>
      <c r="P160" s="47">
        <v>22.83</v>
      </c>
      <c r="Q160" s="47">
        <v>22.83</v>
      </c>
      <c r="R160" s="47">
        <v>22.83</v>
      </c>
      <c r="S160" s="47">
        <v>22.83</v>
      </c>
      <c r="T160" s="47">
        <v>22.83</v>
      </c>
      <c r="U160" s="47">
        <v>22.83</v>
      </c>
      <c r="V160" s="47">
        <v>22.83</v>
      </c>
      <c r="W160" s="47">
        <v>22.83</v>
      </c>
      <c r="X160" s="47">
        <v>22.83</v>
      </c>
      <c r="Y160" s="47">
        <v>22.83</v>
      </c>
      <c r="Z160" s="47">
        <v>22.83</v>
      </c>
      <c r="AA160" s="47">
        <v>22.83</v>
      </c>
      <c r="AB160" s="45">
        <f t="shared" si="3"/>
        <v>547.91999999999996</v>
      </c>
      <c r="AC160" s="37">
        <v>4</v>
      </c>
      <c r="AD160" s="92"/>
    </row>
    <row r="161" spans="2:31">
      <c r="B161" s="90"/>
      <c r="C161" s="44" t="s">
        <v>34</v>
      </c>
      <c r="D161" s="47">
        <v>22.83</v>
      </c>
      <c r="E161" s="47">
        <v>22.83</v>
      </c>
      <c r="F161" s="47">
        <v>22.83</v>
      </c>
      <c r="G161" s="47">
        <v>22.83</v>
      </c>
      <c r="H161" s="47">
        <v>22.83</v>
      </c>
      <c r="I161" s="47">
        <v>22.83</v>
      </c>
      <c r="J161" s="47">
        <v>22.83</v>
      </c>
      <c r="K161" s="47">
        <v>22.83</v>
      </c>
      <c r="L161" s="47">
        <v>22.83</v>
      </c>
      <c r="M161" s="47">
        <v>22.83</v>
      </c>
      <c r="N161" s="47">
        <v>22.83</v>
      </c>
      <c r="O161" s="47">
        <v>22.83</v>
      </c>
      <c r="P161" s="47">
        <v>22.83</v>
      </c>
      <c r="Q161" s="47">
        <v>22.83</v>
      </c>
      <c r="R161" s="47">
        <v>22.83</v>
      </c>
      <c r="S161" s="47">
        <v>22.83</v>
      </c>
      <c r="T161" s="47">
        <v>22.83</v>
      </c>
      <c r="U161" s="47">
        <v>22.83</v>
      </c>
      <c r="V161" s="47">
        <v>22.83</v>
      </c>
      <c r="W161" s="47">
        <v>22.83</v>
      </c>
      <c r="X161" s="47">
        <v>22.83</v>
      </c>
      <c r="Y161" s="47">
        <v>22.83</v>
      </c>
      <c r="Z161" s="47">
        <v>22.83</v>
      </c>
      <c r="AA161" s="47">
        <v>22.83</v>
      </c>
      <c r="AB161" s="45">
        <f t="shared" si="3"/>
        <v>547.91999999999996</v>
      </c>
      <c r="AC161" s="37">
        <v>6</v>
      </c>
      <c r="AD161" s="92"/>
    </row>
    <row r="162" spans="2:31"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86" t="s">
        <v>35</v>
      </c>
      <c r="AB162" s="87"/>
      <c r="AC162" s="88"/>
      <c r="AD162" s="39">
        <f>SUM(AD126:AD161)</f>
        <v>200538.72</v>
      </c>
    </row>
    <row r="163" spans="2:31"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 spans="2:31" ht="23.25">
      <c r="B164" s="41" t="s">
        <v>45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40"/>
      <c r="AC164" s="40"/>
      <c r="AD164" s="38"/>
    </row>
    <row r="165" spans="2:31">
      <c r="B165" s="42" t="s">
        <v>3</v>
      </c>
      <c r="C165" s="42" t="s">
        <v>4</v>
      </c>
      <c r="D165" s="42" t="s">
        <v>5</v>
      </c>
      <c r="E165" s="42" t="s">
        <v>6</v>
      </c>
      <c r="F165" s="42" t="s">
        <v>7</v>
      </c>
      <c r="G165" s="42" t="s">
        <v>8</v>
      </c>
      <c r="H165" s="42" t="s">
        <v>9</v>
      </c>
      <c r="I165" s="42" t="s">
        <v>10</v>
      </c>
      <c r="J165" s="42" t="s">
        <v>11</v>
      </c>
      <c r="K165" s="42" t="s">
        <v>12</v>
      </c>
      <c r="L165" s="42" t="s">
        <v>13</v>
      </c>
      <c r="M165" s="42" t="s">
        <v>14</v>
      </c>
      <c r="N165" s="42" t="s">
        <v>15</v>
      </c>
      <c r="O165" s="42" t="s">
        <v>16</v>
      </c>
      <c r="P165" s="42" t="s">
        <v>17</v>
      </c>
      <c r="Q165" s="42" t="s">
        <v>18</v>
      </c>
      <c r="R165" s="42" t="s">
        <v>19</v>
      </c>
      <c r="S165" s="42" t="s">
        <v>20</v>
      </c>
      <c r="T165" s="42" t="s">
        <v>21</v>
      </c>
      <c r="U165" s="42" t="s">
        <v>22</v>
      </c>
      <c r="V165" s="42" t="s">
        <v>23</v>
      </c>
      <c r="W165" s="42" t="s">
        <v>24</v>
      </c>
      <c r="X165" s="42" t="s">
        <v>25</v>
      </c>
      <c r="Y165" s="42" t="s">
        <v>26</v>
      </c>
      <c r="Z165" s="42" t="s">
        <v>27</v>
      </c>
      <c r="AA165" s="42" t="s">
        <v>28</v>
      </c>
      <c r="AB165" s="36" t="s">
        <v>29</v>
      </c>
      <c r="AC165" s="43" t="s">
        <v>30</v>
      </c>
      <c r="AD165" s="42" t="s">
        <v>31</v>
      </c>
    </row>
    <row r="166" spans="2:31">
      <c r="B166" s="90">
        <v>50041</v>
      </c>
      <c r="C166" s="44" t="s">
        <v>32</v>
      </c>
      <c r="D166" s="47">
        <v>22.83</v>
      </c>
      <c r="E166" s="47">
        <v>22.83</v>
      </c>
      <c r="F166" s="47">
        <v>22.83</v>
      </c>
      <c r="G166" s="47">
        <v>22.83</v>
      </c>
      <c r="H166" s="47">
        <v>22.83</v>
      </c>
      <c r="I166" s="47">
        <v>22.83</v>
      </c>
      <c r="J166" s="47">
        <v>22.83</v>
      </c>
      <c r="K166" s="47">
        <v>22.83</v>
      </c>
      <c r="L166" s="47">
        <v>22.83</v>
      </c>
      <c r="M166" s="47">
        <v>22.83</v>
      </c>
      <c r="N166" s="47">
        <v>22.83</v>
      </c>
      <c r="O166" s="47">
        <v>22.83</v>
      </c>
      <c r="P166" s="47">
        <v>22.83</v>
      </c>
      <c r="Q166" s="47">
        <v>22.83</v>
      </c>
      <c r="R166" s="47">
        <v>22.83</v>
      </c>
      <c r="S166" s="47">
        <v>22.83</v>
      </c>
      <c r="T166" s="47">
        <v>22.83</v>
      </c>
      <c r="U166" s="47">
        <v>22.83</v>
      </c>
      <c r="V166" s="47">
        <v>22.83</v>
      </c>
      <c r="W166" s="47">
        <v>22.83</v>
      </c>
      <c r="X166" s="47">
        <v>22.83</v>
      </c>
      <c r="Y166" s="47">
        <v>22.83</v>
      </c>
      <c r="Z166" s="47">
        <v>22.83</v>
      </c>
      <c r="AA166" s="47">
        <v>22.83</v>
      </c>
      <c r="AB166" s="45">
        <f>SUM(D166:AA166)</f>
        <v>547.91999999999996</v>
      </c>
      <c r="AC166" s="37">
        <v>20</v>
      </c>
      <c r="AD166" s="92">
        <f>+AB166*AC166+AB167*AC167+AB168*AC168</f>
        <v>16985.52</v>
      </c>
    </row>
    <row r="167" spans="2:31">
      <c r="B167" s="90"/>
      <c r="C167" s="44" t="s">
        <v>33</v>
      </c>
      <c r="D167" s="47">
        <v>22.83</v>
      </c>
      <c r="E167" s="47">
        <v>22.83</v>
      </c>
      <c r="F167" s="47">
        <v>22.83</v>
      </c>
      <c r="G167" s="47">
        <v>22.83</v>
      </c>
      <c r="H167" s="47">
        <v>22.83</v>
      </c>
      <c r="I167" s="47">
        <v>22.83</v>
      </c>
      <c r="J167" s="47">
        <v>22.83</v>
      </c>
      <c r="K167" s="47">
        <v>22.83</v>
      </c>
      <c r="L167" s="47">
        <v>22.83</v>
      </c>
      <c r="M167" s="47">
        <v>22.83</v>
      </c>
      <c r="N167" s="47">
        <v>22.83</v>
      </c>
      <c r="O167" s="47">
        <v>22.83</v>
      </c>
      <c r="P167" s="47">
        <v>22.83</v>
      </c>
      <c r="Q167" s="47">
        <v>22.83</v>
      </c>
      <c r="R167" s="47">
        <v>22.83</v>
      </c>
      <c r="S167" s="47">
        <v>22.83</v>
      </c>
      <c r="T167" s="47">
        <v>22.83</v>
      </c>
      <c r="U167" s="47">
        <v>22.83</v>
      </c>
      <c r="V167" s="47">
        <v>22.83</v>
      </c>
      <c r="W167" s="47">
        <v>22.83</v>
      </c>
      <c r="X167" s="47">
        <v>22.83</v>
      </c>
      <c r="Y167" s="47">
        <v>22.83</v>
      </c>
      <c r="Z167" s="47">
        <v>22.83</v>
      </c>
      <c r="AA167" s="47">
        <v>22.83</v>
      </c>
      <c r="AB167" s="45">
        <f t="shared" ref="AB167:AB201" si="4">SUM(D167:AA167)</f>
        <v>547.91999999999996</v>
      </c>
      <c r="AC167" s="37">
        <v>5</v>
      </c>
      <c r="AD167" s="92"/>
    </row>
    <row r="168" spans="2:31">
      <c r="B168" s="90"/>
      <c r="C168" s="44" t="s">
        <v>34</v>
      </c>
      <c r="D168" s="47">
        <v>22.83</v>
      </c>
      <c r="E168" s="47">
        <v>22.83</v>
      </c>
      <c r="F168" s="47">
        <v>22.83</v>
      </c>
      <c r="G168" s="47">
        <v>22.83</v>
      </c>
      <c r="H168" s="47">
        <v>22.83</v>
      </c>
      <c r="I168" s="47">
        <v>22.83</v>
      </c>
      <c r="J168" s="47">
        <v>22.83</v>
      </c>
      <c r="K168" s="47">
        <v>22.83</v>
      </c>
      <c r="L168" s="47">
        <v>22.83</v>
      </c>
      <c r="M168" s="47">
        <v>22.83</v>
      </c>
      <c r="N168" s="47">
        <v>22.83</v>
      </c>
      <c r="O168" s="47">
        <v>22.83</v>
      </c>
      <c r="P168" s="47">
        <v>22.83</v>
      </c>
      <c r="Q168" s="47">
        <v>22.83</v>
      </c>
      <c r="R168" s="47">
        <v>22.83</v>
      </c>
      <c r="S168" s="47">
        <v>22.83</v>
      </c>
      <c r="T168" s="47">
        <v>22.83</v>
      </c>
      <c r="U168" s="47">
        <v>22.83</v>
      </c>
      <c r="V168" s="47">
        <v>22.83</v>
      </c>
      <c r="W168" s="47">
        <v>22.83</v>
      </c>
      <c r="X168" s="47">
        <v>22.83</v>
      </c>
      <c r="Y168" s="47">
        <v>22.83</v>
      </c>
      <c r="Z168" s="47">
        <v>22.83</v>
      </c>
      <c r="AA168" s="47">
        <v>22.83</v>
      </c>
      <c r="AB168" s="45">
        <f t="shared" si="4"/>
        <v>547.91999999999996</v>
      </c>
      <c r="AC168" s="37">
        <v>6</v>
      </c>
      <c r="AD168" s="92"/>
    </row>
    <row r="169" spans="2:31">
      <c r="B169" s="90">
        <v>50072</v>
      </c>
      <c r="C169" s="44" t="s">
        <v>32</v>
      </c>
      <c r="D169" s="47">
        <v>22.83</v>
      </c>
      <c r="E169" s="47">
        <v>22.83</v>
      </c>
      <c r="F169" s="47">
        <v>22.83</v>
      </c>
      <c r="G169" s="47">
        <v>22.83</v>
      </c>
      <c r="H169" s="47">
        <v>22.83</v>
      </c>
      <c r="I169" s="47">
        <v>22.83</v>
      </c>
      <c r="J169" s="47">
        <v>22.83</v>
      </c>
      <c r="K169" s="47">
        <v>22.83</v>
      </c>
      <c r="L169" s="47">
        <v>22.83</v>
      </c>
      <c r="M169" s="47">
        <v>22.83</v>
      </c>
      <c r="N169" s="47">
        <v>22.83</v>
      </c>
      <c r="O169" s="47">
        <v>22.83</v>
      </c>
      <c r="P169" s="47">
        <v>22.83</v>
      </c>
      <c r="Q169" s="47">
        <v>22.83</v>
      </c>
      <c r="R169" s="47">
        <v>22.83</v>
      </c>
      <c r="S169" s="47">
        <v>22.83</v>
      </c>
      <c r="T169" s="47">
        <v>22.83</v>
      </c>
      <c r="U169" s="47">
        <v>22.83</v>
      </c>
      <c r="V169" s="47">
        <v>22.83</v>
      </c>
      <c r="W169" s="47">
        <v>22.83</v>
      </c>
      <c r="X169" s="47">
        <v>22.83</v>
      </c>
      <c r="Y169" s="47">
        <v>22.83</v>
      </c>
      <c r="Z169" s="47">
        <v>22.83</v>
      </c>
      <c r="AA169" s="47">
        <v>22.83</v>
      </c>
      <c r="AB169" s="45">
        <f t="shared" si="4"/>
        <v>547.91999999999996</v>
      </c>
      <c r="AC169" s="37">
        <v>20</v>
      </c>
      <c r="AD169" s="92">
        <f>+AB169*AC169+AB170*AC170+AB171*AC171</f>
        <v>15341.76</v>
      </c>
    </row>
    <row r="170" spans="2:31">
      <c r="B170" s="90"/>
      <c r="C170" s="44" t="s">
        <v>33</v>
      </c>
      <c r="D170" s="47">
        <v>22.83</v>
      </c>
      <c r="E170" s="47">
        <v>22.83</v>
      </c>
      <c r="F170" s="47">
        <v>22.83</v>
      </c>
      <c r="G170" s="47">
        <v>22.83</v>
      </c>
      <c r="H170" s="47">
        <v>22.83</v>
      </c>
      <c r="I170" s="47">
        <v>22.83</v>
      </c>
      <c r="J170" s="47">
        <v>22.83</v>
      </c>
      <c r="K170" s="47">
        <v>22.83</v>
      </c>
      <c r="L170" s="47">
        <v>22.83</v>
      </c>
      <c r="M170" s="47">
        <v>22.83</v>
      </c>
      <c r="N170" s="47">
        <v>22.83</v>
      </c>
      <c r="O170" s="47">
        <v>22.83</v>
      </c>
      <c r="P170" s="47">
        <v>22.83</v>
      </c>
      <c r="Q170" s="47">
        <v>22.83</v>
      </c>
      <c r="R170" s="47">
        <v>22.83</v>
      </c>
      <c r="S170" s="47">
        <v>22.83</v>
      </c>
      <c r="T170" s="47">
        <v>22.83</v>
      </c>
      <c r="U170" s="47">
        <v>22.83</v>
      </c>
      <c r="V170" s="47">
        <v>22.83</v>
      </c>
      <c r="W170" s="47">
        <v>22.83</v>
      </c>
      <c r="X170" s="47">
        <v>22.83</v>
      </c>
      <c r="Y170" s="47">
        <v>22.83</v>
      </c>
      <c r="Z170" s="47">
        <v>22.83</v>
      </c>
      <c r="AA170" s="47">
        <v>22.83</v>
      </c>
      <c r="AB170" s="45">
        <f t="shared" si="4"/>
        <v>547.91999999999996</v>
      </c>
      <c r="AC170" s="37">
        <v>4</v>
      </c>
      <c r="AD170" s="92"/>
    </row>
    <row r="171" spans="2:31">
      <c r="B171" s="90"/>
      <c r="C171" s="44" t="s">
        <v>34</v>
      </c>
      <c r="D171" s="47">
        <v>22.83</v>
      </c>
      <c r="E171" s="47">
        <v>22.83</v>
      </c>
      <c r="F171" s="47">
        <v>22.83</v>
      </c>
      <c r="G171" s="47">
        <v>22.83</v>
      </c>
      <c r="H171" s="47">
        <v>22.83</v>
      </c>
      <c r="I171" s="47">
        <v>22.83</v>
      </c>
      <c r="J171" s="47">
        <v>22.83</v>
      </c>
      <c r="K171" s="47">
        <v>22.83</v>
      </c>
      <c r="L171" s="47">
        <v>22.83</v>
      </c>
      <c r="M171" s="47">
        <v>22.83</v>
      </c>
      <c r="N171" s="47">
        <v>22.83</v>
      </c>
      <c r="O171" s="47">
        <v>22.83</v>
      </c>
      <c r="P171" s="47">
        <v>22.83</v>
      </c>
      <c r="Q171" s="47">
        <v>22.83</v>
      </c>
      <c r="R171" s="47">
        <v>22.83</v>
      </c>
      <c r="S171" s="47">
        <v>22.83</v>
      </c>
      <c r="T171" s="47">
        <v>22.83</v>
      </c>
      <c r="U171" s="47">
        <v>22.83</v>
      </c>
      <c r="V171" s="47">
        <v>22.83</v>
      </c>
      <c r="W171" s="47">
        <v>22.83</v>
      </c>
      <c r="X171" s="47">
        <v>22.83</v>
      </c>
      <c r="Y171" s="47">
        <v>22.83</v>
      </c>
      <c r="Z171" s="47">
        <v>22.83</v>
      </c>
      <c r="AA171" s="47">
        <v>22.83</v>
      </c>
      <c r="AB171" s="45">
        <f t="shared" si="4"/>
        <v>547.91999999999996</v>
      </c>
      <c r="AC171" s="37">
        <v>4</v>
      </c>
      <c r="AD171" s="92"/>
    </row>
    <row r="172" spans="2:31">
      <c r="B172" s="90">
        <v>50100</v>
      </c>
      <c r="C172" s="44" t="s">
        <v>32</v>
      </c>
      <c r="D172" s="47">
        <v>22.83</v>
      </c>
      <c r="E172" s="47">
        <v>22.83</v>
      </c>
      <c r="F172" s="47">
        <v>22.83</v>
      </c>
      <c r="G172" s="47">
        <v>22.83</v>
      </c>
      <c r="H172" s="47">
        <v>22.83</v>
      </c>
      <c r="I172" s="47">
        <v>22.83</v>
      </c>
      <c r="J172" s="47">
        <v>22.83</v>
      </c>
      <c r="K172" s="47">
        <v>22.83</v>
      </c>
      <c r="L172" s="47">
        <v>22.83</v>
      </c>
      <c r="M172" s="47">
        <v>22.83</v>
      </c>
      <c r="N172" s="47">
        <v>22.83</v>
      </c>
      <c r="O172" s="47">
        <v>22.83</v>
      </c>
      <c r="P172" s="47">
        <v>22.83</v>
      </c>
      <c r="Q172" s="47">
        <v>22.83</v>
      </c>
      <c r="R172" s="47">
        <v>22.83</v>
      </c>
      <c r="S172" s="47">
        <v>22.83</v>
      </c>
      <c r="T172" s="47">
        <v>22.83</v>
      </c>
      <c r="U172" s="47">
        <v>22.83</v>
      </c>
      <c r="V172" s="47">
        <v>22.83</v>
      </c>
      <c r="W172" s="47">
        <v>22.83</v>
      </c>
      <c r="X172" s="47">
        <v>22.83</v>
      </c>
      <c r="Y172" s="47">
        <v>22.83</v>
      </c>
      <c r="Z172" s="47">
        <v>22.83</v>
      </c>
      <c r="AA172" s="47">
        <v>22.83</v>
      </c>
      <c r="AB172" s="45">
        <f t="shared" si="4"/>
        <v>547.91999999999996</v>
      </c>
      <c r="AC172" s="37">
        <v>21</v>
      </c>
      <c r="AD172" s="92">
        <f>+AB172*AC172+AB173*AC173+AB174*AC174</f>
        <v>16985.52</v>
      </c>
    </row>
    <row r="173" spans="2:31">
      <c r="B173" s="90"/>
      <c r="C173" s="44" t="s">
        <v>33</v>
      </c>
      <c r="D173" s="47">
        <v>22.83</v>
      </c>
      <c r="E173" s="47">
        <v>22.83</v>
      </c>
      <c r="F173" s="47">
        <v>22.83</v>
      </c>
      <c r="G173" s="47">
        <v>22.83</v>
      </c>
      <c r="H173" s="47">
        <v>22.83</v>
      </c>
      <c r="I173" s="47">
        <v>22.83</v>
      </c>
      <c r="J173" s="47">
        <v>22.83</v>
      </c>
      <c r="K173" s="47">
        <v>22.83</v>
      </c>
      <c r="L173" s="47">
        <v>22.83</v>
      </c>
      <c r="M173" s="47">
        <v>22.83</v>
      </c>
      <c r="N173" s="47">
        <v>22.83</v>
      </c>
      <c r="O173" s="47">
        <v>22.83</v>
      </c>
      <c r="P173" s="47">
        <v>22.83</v>
      </c>
      <c r="Q173" s="47">
        <v>22.83</v>
      </c>
      <c r="R173" s="47">
        <v>22.83</v>
      </c>
      <c r="S173" s="47">
        <v>22.83</v>
      </c>
      <c r="T173" s="47">
        <v>22.83</v>
      </c>
      <c r="U173" s="47">
        <v>22.83</v>
      </c>
      <c r="V173" s="47">
        <v>22.83</v>
      </c>
      <c r="W173" s="47">
        <v>22.83</v>
      </c>
      <c r="X173" s="47">
        <v>22.83</v>
      </c>
      <c r="Y173" s="47">
        <v>22.83</v>
      </c>
      <c r="Z173" s="47">
        <v>22.83</v>
      </c>
      <c r="AA173" s="47">
        <v>22.83</v>
      </c>
      <c r="AB173" s="45">
        <f t="shared" si="4"/>
        <v>547.91999999999996</v>
      </c>
      <c r="AC173" s="37">
        <v>4</v>
      </c>
      <c r="AD173" s="92"/>
    </row>
    <row r="174" spans="2:31">
      <c r="B174" s="90"/>
      <c r="C174" s="44" t="s">
        <v>34</v>
      </c>
      <c r="D174" s="47">
        <v>22.83</v>
      </c>
      <c r="E174" s="47">
        <v>22.83</v>
      </c>
      <c r="F174" s="47">
        <v>22.83</v>
      </c>
      <c r="G174" s="47">
        <v>22.83</v>
      </c>
      <c r="H174" s="47">
        <v>22.83</v>
      </c>
      <c r="I174" s="47">
        <v>22.83</v>
      </c>
      <c r="J174" s="47">
        <v>22.83</v>
      </c>
      <c r="K174" s="47">
        <v>22.83</v>
      </c>
      <c r="L174" s="47">
        <v>22.83</v>
      </c>
      <c r="M174" s="47">
        <v>22.83</v>
      </c>
      <c r="N174" s="47">
        <v>22.83</v>
      </c>
      <c r="O174" s="47">
        <v>22.83</v>
      </c>
      <c r="P174" s="47">
        <v>22.83</v>
      </c>
      <c r="Q174" s="47">
        <v>22.83</v>
      </c>
      <c r="R174" s="47">
        <v>22.83</v>
      </c>
      <c r="S174" s="47">
        <v>22.83</v>
      </c>
      <c r="T174" s="47">
        <v>22.83</v>
      </c>
      <c r="U174" s="47">
        <v>22.83</v>
      </c>
      <c r="V174" s="47">
        <v>22.83</v>
      </c>
      <c r="W174" s="47">
        <v>22.83</v>
      </c>
      <c r="X174" s="47">
        <v>22.83</v>
      </c>
      <c r="Y174" s="47">
        <v>22.83</v>
      </c>
      <c r="Z174" s="47">
        <v>22.83</v>
      </c>
      <c r="AA174" s="47">
        <v>22.83</v>
      </c>
      <c r="AB174" s="45">
        <f t="shared" si="4"/>
        <v>547.91999999999996</v>
      </c>
      <c r="AC174" s="37">
        <v>6</v>
      </c>
      <c r="AD174" s="92"/>
    </row>
    <row r="175" spans="2:31">
      <c r="B175" s="90">
        <v>50131</v>
      </c>
      <c r="C175" s="44" t="s">
        <v>32</v>
      </c>
      <c r="D175" s="47">
        <v>22.83</v>
      </c>
      <c r="E175" s="47">
        <v>22.83</v>
      </c>
      <c r="F175" s="47">
        <v>22.83</v>
      </c>
      <c r="G175" s="47">
        <v>22.83</v>
      </c>
      <c r="H175" s="47">
        <v>22.83</v>
      </c>
      <c r="I175" s="47">
        <v>22.83</v>
      </c>
      <c r="J175" s="47">
        <v>22.83</v>
      </c>
      <c r="K175" s="47">
        <v>22.83</v>
      </c>
      <c r="L175" s="47">
        <v>22.83</v>
      </c>
      <c r="M175" s="47">
        <v>22.83</v>
      </c>
      <c r="N175" s="47">
        <v>22.83</v>
      </c>
      <c r="O175" s="47">
        <v>22.83</v>
      </c>
      <c r="P175" s="47">
        <v>22.83</v>
      </c>
      <c r="Q175" s="47">
        <v>22.83</v>
      </c>
      <c r="R175" s="47">
        <v>22.83</v>
      </c>
      <c r="S175" s="47">
        <v>22.83</v>
      </c>
      <c r="T175" s="47">
        <v>22.83</v>
      </c>
      <c r="U175" s="47">
        <v>22.83</v>
      </c>
      <c r="V175" s="47">
        <v>22.83</v>
      </c>
      <c r="W175" s="47">
        <v>22.83</v>
      </c>
      <c r="X175" s="47">
        <v>22.83</v>
      </c>
      <c r="Y175" s="47">
        <v>22.83</v>
      </c>
      <c r="Z175" s="47">
        <v>22.83</v>
      </c>
      <c r="AA175" s="47">
        <v>22.83</v>
      </c>
      <c r="AB175" s="45">
        <f t="shared" si="4"/>
        <v>547.91999999999996</v>
      </c>
      <c r="AC175" s="37">
        <v>20</v>
      </c>
      <c r="AD175" s="92">
        <f>+AB175*AC175+AB176*AC176+AB177*AC177</f>
        <v>16437.599999999999</v>
      </c>
    </row>
    <row r="176" spans="2:31">
      <c r="B176" s="90"/>
      <c r="C176" s="44" t="s">
        <v>33</v>
      </c>
      <c r="D176" s="47">
        <v>22.83</v>
      </c>
      <c r="E176" s="47">
        <v>22.83</v>
      </c>
      <c r="F176" s="47">
        <v>22.83</v>
      </c>
      <c r="G176" s="47">
        <v>22.83</v>
      </c>
      <c r="H176" s="47">
        <v>22.83</v>
      </c>
      <c r="I176" s="47">
        <v>22.83</v>
      </c>
      <c r="J176" s="47">
        <v>22.83</v>
      </c>
      <c r="K176" s="47">
        <v>22.83</v>
      </c>
      <c r="L176" s="47">
        <v>22.83</v>
      </c>
      <c r="M176" s="47">
        <v>22.83</v>
      </c>
      <c r="N176" s="47">
        <v>22.83</v>
      </c>
      <c r="O176" s="47">
        <v>22.83</v>
      </c>
      <c r="P176" s="47">
        <v>22.83</v>
      </c>
      <c r="Q176" s="47">
        <v>22.83</v>
      </c>
      <c r="R176" s="47">
        <v>22.83</v>
      </c>
      <c r="S176" s="47">
        <v>22.83</v>
      </c>
      <c r="T176" s="47">
        <v>22.83</v>
      </c>
      <c r="U176" s="47">
        <v>22.83</v>
      </c>
      <c r="V176" s="47">
        <v>22.83</v>
      </c>
      <c r="W176" s="47">
        <v>22.83</v>
      </c>
      <c r="X176" s="47">
        <v>22.83</v>
      </c>
      <c r="Y176" s="47">
        <v>22.83</v>
      </c>
      <c r="Z176" s="47">
        <v>22.83</v>
      </c>
      <c r="AA176" s="47">
        <v>22.83</v>
      </c>
      <c r="AB176" s="45">
        <f t="shared" si="4"/>
        <v>547.91999999999996</v>
      </c>
      <c r="AC176" s="37">
        <v>4</v>
      </c>
      <c r="AD176" s="92"/>
    </row>
    <row r="177" spans="2:30">
      <c r="B177" s="90"/>
      <c r="C177" s="44" t="s">
        <v>34</v>
      </c>
      <c r="D177" s="47">
        <v>22.83</v>
      </c>
      <c r="E177" s="47">
        <v>22.83</v>
      </c>
      <c r="F177" s="47">
        <v>22.83</v>
      </c>
      <c r="G177" s="47">
        <v>22.83</v>
      </c>
      <c r="H177" s="47">
        <v>22.83</v>
      </c>
      <c r="I177" s="47">
        <v>22.83</v>
      </c>
      <c r="J177" s="47">
        <v>22.83</v>
      </c>
      <c r="K177" s="47">
        <v>22.83</v>
      </c>
      <c r="L177" s="47">
        <v>22.83</v>
      </c>
      <c r="M177" s="47">
        <v>22.83</v>
      </c>
      <c r="N177" s="47">
        <v>22.83</v>
      </c>
      <c r="O177" s="47">
        <v>22.83</v>
      </c>
      <c r="P177" s="47">
        <v>22.83</v>
      </c>
      <c r="Q177" s="47">
        <v>22.83</v>
      </c>
      <c r="R177" s="47">
        <v>22.83</v>
      </c>
      <c r="S177" s="47">
        <v>22.83</v>
      </c>
      <c r="T177" s="47">
        <v>22.83</v>
      </c>
      <c r="U177" s="47">
        <v>22.83</v>
      </c>
      <c r="V177" s="47">
        <v>22.83</v>
      </c>
      <c r="W177" s="47">
        <v>22.83</v>
      </c>
      <c r="X177" s="47">
        <v>22.83</v>
      </c>
      <c r="Y177" s="47">
        <v>22.83</v>
      </c>
      <c r="Z177" s="47">
        <v>22.83</v>
      </c>
      <c r="AA177" s="47">
        <v>22.83</v>
      </c>
      <c r="AB177" s="45">
        <f t="shared" si="4"/>
        <v>547.91999999999996</v>
      </c>
      <c r="AC177" s="37">
        <v>6</v>
      </c>
      <c r="AD177" s="92"/>
    </row>
    <row r="178" spans="2:30">
      <c r="B178" s="90">
        <v>50161</v>
      </c>
      <c r="C178" s="44" t="s">
        <v>32</v>
      </c>
      <c r="D178" s="47">
        <v>22.83</v>
      </c>
      <c r="E178" s="47">
        <v>22.83</v>
      </c>
      <c r="F178" s="47">
        <v>22.83</v>
      </c>
      <c r="G178" s="47">
        <v>22.83</v>
      </c>
      <c r="H178" s="47">
        <v>22.83</v>
      </c>
      <c r="I178" s="47">
        <v>22.83</v>
      </c>
      <c r="J178" s="47">
        <v>22.83</v>
      </c>
      <c r="K178" s="47">
        <v>22.83</v>
      </c>
      <c r="L178" s="47">
        <v>22.83</v>
      </c>
      <c r="M178" s="47">
        <v>22.83</v>
      </c>
      <c r="N178" s="47">
        <v>22.83</v>
      </c>
      <c r="O178" s="47">
        <v>22.83</v>
      </c>
      <c r="P178" s="47">
        <v>22.83</v>
      </c>
      <c r="Q178" s="47">
        <v>22.83</v>
      </c>
      <c r="R178" s="47">
        <v>22.83</v>
      </c>
      <c r="S178" s="47">
        <v>22.83</v>
      </c>
      <c r="T178" s="47">
        <v>22.83</v>
      </c>
      <c r="U178" s="47">
        <v>22.83</v>
      </c>
      <c r="V178" s="47">
        <v>22.83</v>
      </c>
      <c r="W178" s="47">
        <v>22.83</v>
      </c>
      <c r="X178" s="47">
        <v>22.83</v>
      </c>
      <c r="Y178" s="47">
        <v>22.83</v>
      </c>
      <c r="Z178" s="47">
        <v>22.83</v>
      </c>
      <c r="AA178" s="47">
        <v>22.83</v>
      </c>
      <c r="AB178" s="45">
        <f t="shared" si="4"/>
        <v>547.91999999999996</v>
      </c>
      <c r="AC178" s="37">
        <v>19</v>
      </c>
      <c r="AD178" s="92">
        <f>+AB178*AC178+AB179*AC179+AB180*AC180</f>
        <v>16985.52</v>
      </c>
    </row>
    <row r="179" spans="2:30">
      <c r="B179" s="90"/>
      <c r="C179" s="44" t="s">
        <v>33</v>
      </c>
      <c r="D179" s="47">
        <v>22.83</v>
      </c>
      <c r="E179" s="47">
        <v>22.83</v>
      </c>
      <c r="F179" s="47">
        <v>22.83</v>
      </c>
      <c r="G179" s="47">
        <v>22.83</v>
      </c>
      <c r="H179" s="47">
        <v>22.83</v>
      </c>
      <c r="I179" s="47">
        <v>22.83</v>
      </c>
      <c r="J179" s="47">
        <v>22.83</v>
      </c>
      <c r="K179" s="47">
        <v>22.83</v>
      </c>
      <c r="L179" s="47">
        <v>22.83</v>
      </c>
      <c r="M179" s="47">
        <v>22.83</v>
      </c>
      <c r="N179" s="47">
        <v>22.83</v>
      </c>
      <c r="O179" s="47">
        <v>22.83</v>
      </c>
      <c r="P179" s="47">
        <v>22.83</v>
      </c>
      <c r="Q179" s="47">
        <v>22.83</v>
      </c>
      <c r="R179" s="47">
        <v>22.83</v>
      </c>
      <c r="S179" s="47">
        <v>22.83</v>
      </c>
      <c r="T179" s="47">
        <v>22.83</v>
      </c>
      <c r="U179" s="47">
        <v>22.83</v>
      </c>
      <c r="V179" s="47">
        <v>22.83</v>
      </c>
      <c r="W179" s="47">
        <v>22.83</v>
      </c>
      <c r="X179" s="47">
        <v>22.83</v>
      </c>
      <c r="Y179" s="47">
        <v>22.83</v>
      </c>
      <c r="Z179" s="47">
        <v>22.83</v>
      </c>
      <c r="AA179" s="47">
        <v>22.83</v>
      </c>
      <c r="AB179" s="45">
        <f t="shared" si="4"/>
        <v>547.91999999999996</v>
      </c>
      <c r="AC179" s="37">
        <v>5</v>
      </c>
      <c r="AD179" s="92"/>
    </row>
    <row r="180" spans="2:30">
      <c r="B180" s="90"/>
      <c r="C180" s="44" t="s">
        <v>34</v>
      </c>
      <c r="D180" s="47">
        <v>22.83</v>
      </c>
      <c r="E180" s="47">
        <v>22.83</v>
      </c>
      <c r="F180" s="47">
        <v>22.83</v>
      </c>
      <c r="G180" s="47">
        <v>22.83</v>
      </c>
      <c r="H180" s="47">
        <v>22.83</v>
      </c>
      <c r="I180" s="47">
        <v>22.83</v>
      </c>
      <c r="J180" s="47">
        <v>22.83</v>
      </c>
      <c r="K180" s="47">
        <v>22.83</v>
      </c>
      <c r="L180" s="47">
        <v>22.83</v>
      </c>
      <c r="M180" s="47">
        <v>22.83</v>
      </c>
      <c r="N180" s="47">
        <v>22.83</v>
      </c>
      <c r="O180" s="47">
        <v>22.83</v>
      </c>
      <c r="P180" s="47">
        <v>22.83</v>
      </c>
      <c r="Q180" s="47">
        <v>22.83</v>
      </c>
      <c r="R180" s="47">
        <v>22.83</v>
      </c>
      <c r="S180" s="47">
        <v>22.83</v>
      </c>
      <c r="T180" s="47">
        <v>22.83</v>
      </c>
      <c r="U180" s="47">
        <v>22.83</v>
      </c>
      <c r="V180" s="47">
        <v>22.83</v>
      </c>
      <c r="W180" s="47">
        <v>22.83</v>
      </c>
      <c r="X180" s="47">
        <v>22.83</v>
      </c>
      <c r="Y180" s="47">
        <v>22.83</v>
      </c>
      <c r="Z180" s="47">
        <v>22.83</v>
      </c>
      <c r="AA180" s="47">
        <v>22.83</v>
      </c>
      <c r="AB180" s="45">
        <f t="shared" si="4"/>
        <v>547.91999999999996</v>
      </c>
      <c r="AC180" s="37">
        <v>7</v>
      </c>
      <c r="AD180" s="92"/>
    </row>
    <row r="181" spans="2:30">
      <c r="B181" s="90">
        <v>50192</v>
      </c>
      <c r="C181" s="44" t="s">
        <v>32</v>
      </c>
      <c r="D181" s="47">
        <v>22.83</v>
      </c>
      <c r="E181" s="47">
        <v>22.83</v>
      </c>
      <c r="F181" s="47">
        <v>22.83</v>
      </c>
      <c r="G181" s="47">
        <v>22.83</v>
      </c>
      <c r="H181" s="47">
        <v>22.83</v>
      </c>
      <c r="I181" s="47">
        <v>22.83</v>
      </c>
      <c r="J181" s="47">
        <v>22.83</v>
      </c>
      <c r="K181" s="47">
        <v>22.83</v>
      </c>
      <c r="L181" s="47">
        <v>22.83</v>
      </c>
      <c r="M181" s="47">
        <v>22.83</v>
      </c>
      <c r="N181" s="47">
        <v>22.83</v>
      </c>
      <c r="O181" s="47">
        <v>22.83</v>
      </c>
      <c r="P181" s="47">
        <v>22.83</v>
      </c>
      <c r="Q181" s="47">
        <v>22.83</v>
      </c>
      <c r="R181" s="47">
        <v>22.83</v>
      </c>
      <c r="S181" s="47">
        <v>22.83</v>
      </c>
      <c r="T181" s="47">
        <v>22.83</v>
      </c>
      <c r="U181" s="47">
        <v>22.83</v>
      </c>
      <c r="V181" s="47">
        <v>22.83</v>
      </c>
      <c r="W181" s="47">
        <v>22.83</v>
      </c>
      <c r="X181" s="47">
        <v>22.83</v>
      </c>
      <c r="Y181" s="47">
        <v>22.83</v>
      </c>
      <c r="Z181" s="47">
        <v>22.83</v>
      </c>
      <c r="AA181" s="47">
        <v>22.83</v>
      </c>
      <c r="AB181" s="45">
        <f t="shared" si="4"/>
        <v>547.91999999999996</v>
      </c>
      <c r="AC181" s="37">
        <v>20</v>
      </c>
      <c r="AD181" s="92">
        <f>+AB181*AC181+AB182*AC182+AB183*AC183</f>
        <v>16437.599999999999</v>
      </c>
    </row>
    <row r="182" spans="2:30">
      <c r="B182" s="90"/>
      <c r="C182" s="44" t="s">
        <v>33</v>
      </c>
      <c r="D182" s="47">
        <v>22.83</v>
      </c>
      <c r="E182" s="47">
        <v>22.83</v>
      </c>
      <c r="F182" s="47">
        <v>22.83</v>
      </c>
      <c r="G182" s="47">
        <v>22.83</v>
      </c>
      <c r="H182" s="47">
        <v>22.83</v>
      </c>
      <c r="I182" s="47">
        <v>22.83</v>
      </c>
      <c r="J182" s="47">
        <v>22.83</v>
      </c>
      <c r="K182" s="47">
        <v>22.83</v>
      </c>
      <c r="L182" s="47">
        <v>22.83</v>
      </c>
      <c r="M182" s="47">
        <v>22.83</v>
      </c>
      <c r="N182" s="47">
        <v>22.83</v>
      </c>
      <c r="O182" s="47">
        <v>22.83</v>
      </c>
      <c r="P182" s="47">
        <v>22.83</v>
      </c>
      <c r="Q182" s="47">
        <v>22.83</v>
      </c>
      <c r="R182" s="47">
        <v>22.83</v>
      </c>
      <c r="S182" s="47">
        <v>22.83</v>
      </c>
      <c r="T182" s="47">
        <v>22.83</v>
      </c>
      <c r="U182" s="47">
        <v>22.83</v>
      </c>
      <c r="V182" s="47">
        <v>22.83</v>
      </c>
      <c r="W182" s="47">
        <v>22.83</v>
      </c>
      <c r="X182" s="47">
        <v>22.83</v>
      </c>
      <c r="Y182" s="47">
        <v>22.83</v>
      </c>
      <c r="Z182" s="47">
        <v>22.83</v>
      </c>
      <c r="AA182" s="47">
        <v>22.83</v>
      </c>
      <c r="AB182" s="45">
        <f t="shared" si="4"/>
        <v>547.91999999999996</v>
      </c>
      <c r="AC182" s="37">
        <v>4</v>
      </c>
      <c r="AD182" s="92"/>
    </row>
    <row r="183" spans="2:30">
      <c r="B183" s="90"/>
      <c r="C183" s="44" t="s">
        <v>34</v>
      </c>
      <c r="D183" s="47">
        <v>22.83</v>
      </c>
      <c r="E183" s="47">
        <v>22.83</v>
      </c>
      <c r="F183" s="47">
        <v>22.83</v>
      </c>
      <c r="G183" s="47">
        <v>22.83</v>
      </c>
      <c r="H183" s="47">
        <v>22.83</v>
      </c>
      <c r="I183" s="47">
        <v>22.83</v>
      </c>
      <c r="J183" s="47">
        <v>22.83</v>
      </c>
      <c r="K183" s="47">
        <v>22.83</v>
      </c>
      <c r="L183" s="47">
        <v>22.83</v>
      </c>
      <c r="M183" s="47">
        <v>22.83</v>
      </c>
      <c r="N183" s="47">
        <v>22.83</v>
      </c>
      <c r="O183" s="47">
        <v>22.83</v>
      </c>
      <c r="P183" s="47">
        <v>22.83</v>
      </c>
      <c r="Q183" s="47">
        <v>22.83</v>
      </c>
      <c r="R183" s="47">
        <v>22.83</v>
      </c>
      <c r="S183" s="47">
        <v>22.83</v>
      </c>
      <c r="T183" s="47">
        <v>22.83</v>
      </c>
      <c r="U183" s="47">
        <v>22.83</v>
      </c>
      <c r="V183" s="47">
        <v>22.83</v>
      </c>
      <c r="W183" s="47">
        <v>22.83</v>
      </c>
      <c r="X183" s="47">
        <v>22.83</v>
      </c>
      <c r="Y183" s="47">
        <v>22.83</v>
      </c>
      <c r="Z183" s="47">
        <v>22.83</v>
      </c>
      <c r="AA183" s="47">
        <v>22.83</v>
      </c>
      <c r="AB183" s="45">
        <f t="shared" si="4"/>
        <v>547.91999999999996</v>
      </c>
      <c r="AC183" s="37">
        <v>6</v>
      </c>
      <c r="AD183" s="92"/>
    </row>
    <row r="184" spans="2:30">
      <c r="B184" s="90">
        <v>50222</v>
      </c>
      <c r="C184" s="44" t="s">
        <v>32</v>
      </c>
      <c r="D184" s="47">
        <v>22.83</v>
      </c>
      <c r="E184" s="47">
        <v>22.83</v>
      </c>
      <c r="F184" s="47">
        <v>22.83</v>
      </c>
      <c r="G184" s="47">
        <v>22.83</v>
      </c>
      <c r="H184" s="47">
        <v>22.83</v>
      </c>
      <c r="I184" s="47">
        <v>22.83</v>
      </c>
      <c r="J184" s="47">
        <v>22.83</v>
      </c>
      <c r="K184" s="47">
        <v>22.83</v>
      </c>
      <c r="L184" s="47">
        <v>22.83</v>
      </c>
      <c r="M184" s="47">
        <v>22.83</v>
      </c>
      <c r="N184" s="47">
        <v>22.83</v>
      </c>
      <c r="O184" s="47">
        <v>22.83</v>
      </c>
      <c r="P184" s="47">
        <v>22.83</v>
      </c>
      <c r="Q184" s="47">
        <v>22.83</v>
      </c>
      <c r="R184" s="47">
        <v>22.83</v>
      </c>
      <c r="S184" s="47">
        <v>22.83</v>
      </c>
      <c r="T184" s="47">
        <v>22.83</v>
      </c>
      <c r="U184" s="47">
        <v>22.83</v>
      </c>
      <c r="V184" s="47">
        <v>22.83</v>
      </c>
      <c r="W184" s="47">
        <v>22.83</v>
      </c>
      <c r="X184" s="47">
        <v>22.83</v>
      </c>
      <c r="Y184" s="47">
        <v>22.83</v>
      </c>
      <c r="Z184" s="47">
        <v>22.83</v>
      </c>
      <c r="AA184" s="47">
        <v>22.83</v>
      </c>
      <c r="AB184" s="45">
        <f t="shared" si="4"/>
        <v>547.91999999999996</v>
      </c>
      <c r="AC184" s="37">
        <v>22</v>
      </c>
      <c r="AD184" s="92">
        <f>+AB184*AC184+AB185*AC185+AB186*AC186</f>
        <v>16985.52</v>
      </c>
    </row>
    <row r="185" spans="2:30">
      <c r="B185" s="90"/>
      <c r="C185" s="44" t="s">
        <v>33</v>
      </c>
      <c r="D185" s="47">
        <v>22.83</v>
      </c>
      <c r="E185" s="47">
        <v>22.83</v>
      </c>
      <c r="F185" s="47">
        <v>22.83</v>
      </c>
      <c r="G185" s="47">
        <v>22.83</v>
      </c>
      <c r="H185" s="47">
        <v>22.83</v>
      </c>
      <c r="I185" s="47">
        <v>22.83</v>
      </c>
      <c r="J185" s="47">
        <v>22.83</v>
      </c>
      <c r="K185" s="47">
        <v>22.83</v>
      </c>
      <c r="L185" s="47">
        <v>22.83</v>
      </c>
      <c r="M185" s="47">
        <v>22.83</v>
      </c>
      <c r="N185" s="47">
        <v>22.83</v>
      </c>
      <c r="O185" s="47">
        <v>22.83</v>
      </c>
      <c r="P185" s="47">
        <v>22.83</v>
      </c>
      <c r="Q185" s="47">
        <v>22.83</v>
      </c>
      <c r="R185" s="47">
        <v>22.83</v>
      </c>
      <c r="S185" s="47">
        <v>22.83</v>
      </c>
      <c r="T185" s="47">
        <v>22.83</v>
      </c>
      <c r="U185" s="47">
        <v>22.83</v>
      </c>
      <c r="V185" s="47">
        <v>22.83</v>
      </c>
      <c r="W185" s="47">
        <v>22.83</v>
      </c>
      <c r="X185" s="47">
        <v>22.83</v>
      </c>
      <c r="Y185" s="47">
        <v>22.83</v>
      </c>
      <c r="Z185" s="47">
        <v>22.83</v>
      </c>
      <c r="AA185" s="47">
        <v>22.83</v>
      </c>
      <c r="AB185" s="45">
        <f t="shared" si="4"/>
        <v>547.91999999999996</v>
      </c>
      <c r="AC185" s="37">
        <v>4</v>
      </c>
      <c r="AD185" s="92"/>
    </row>
    <row r="186" spans="2:30">
      <c r="B186" s="90"/>
      <c r="C186" s="44" t="s">
        <v>34</v>
      </c>
      <c r="D186" s="47">
        <v>22.83</v>
      </c>
      <c r="E186" s="47">
        <v>22.83</v>
      </c>
      <c r="F186" s="47">
        <v>22.83</v>
      </c>
      <c r="G186" s="47">
        <v>22.83</v>
      </c>
      <c r="H186" s="47">
        <v>22.83</v>
      </c>
      <c r="I186" s="47">
        <v>22.83</v>
      </c>
      <c r="J186" s="47">
        <v>22.83</v>
      </c>
      <c r="K186" s="47">
        <v>22.83</v>
      </c>
      <c r="L186" s="47">
        <v>22.83</v>
      </c>
      <c r="M186" s="47">
        <v>22.83</v>
      </c>
      <c r="N186" s="47">
        <v>22.83</v>
      </c>
      <c r="O186" s="47">
        <v>22.83</v>
      </c>
      <c r="P186" s="47">
        <v>22.83</v>
      </c>
      <c r="Q186" s="47">
        <v>22.83</v>
      </c>
      <c r="R186" s="47">
        <v>22.83</v>
      </c>
      <c r="S186" s="47">
        <v>22.83</v>
      </c>
      <c r="T186" s="47">
        <v>22.83</v>
      </c>
      <c r="U186" s="47">
        <v>22.83</v>
      </c>
      <c r="V186" s="47">
        <v>22.83</v>
      </c>
      <c r="W186" s="47">
        <v>22.83</v>
      </c>
      <c r="X186" s="47">
        <v>22.83</v>
      </c>
      <c r="Y186" s="47">
        <v>22.83</v>
      </c>
      <c r="Z186" s="47">
        <v>22.83</v>
      </c>
      <c r="AA186" s="47">
        <v>22.83</v>
      </c>
      <c r="AB186" s="45">
        <f t="shared" si="4"/>
        <v>547.91999999999996</v>
      </c>
      <c r="AC186" s="37">
        <v>5</v>
      </c>
      <c r="AD186" s="92"/>
    </row>
    <row r="187" spans="2:30">
      <c r="B187" s="90">
        <v>50253</v>
      </c>
      <c r="C187" s="44" t="s">
        <v>32</v>
      </c>
      <c r="D187" s="47">
        <v>22.83</v>
      </c>
      <c r="E187" s="47">
        <v>22.83</v>
      </c>
      <c r="F187" s="47">
        <v>22.83</v>
      </c>
      <c r="G187" s="47">
        <v>22.83</v>
      </c>
      <c r="H187" s="47">
        <v>22.83</v>
      </c>
      <c r="I187" s="47">
        <v>22.83</v>
      </c>
      <c r="J187" s="47">
        <v>22.83</v>
      </c>
      <c r="K187" s="47">
        <v>22.83</v>
      </c>
      <c r="L187" s="47">
        <v>22.83</v>
      </c>
      <c r="M187" s="47">
        <v>22.83</v>
      </c>
      <c r="N187" s="47">
        <v>22.83</v>
      </c>
      <c r="O187" s="47">
        <v>22.83</v>
      </c>
      <c r="P187" s="47">
        <v>22.83</v>
      </c>
      <c r="Q187" s="47">
        <v>22.83</v>
      </c>
      <c r="R187" s="47">
        <v>22.83</v>
      </c>
      <c r="S187" s="47">
        <v>22.83</v>
      </c>
      <c r="T187" s="47">
        <v>22.83</v>
      </c>
      <c r="U187" s="47">
        <v>22.83</v>
      </c>
      <c r="V187" s="47">
        <v>22.83</v>
      </c>
      <c r="W187" s="47">
        <v>22.83</v>
      </c>
      <c r="X187" s="47">
        <v>22.83</v>
      </c>
      <c r="Y187" s="47">
        <v>22.83</v>
      </c>
      <c r="Z187" s="47">
        <v>22.83</v>
      </c>
      <c r="AA187" s="47">
        <v>22.83</v>
      </c>
      <c r="AB187" s="45">
        <f t="shared" si="4"/>
        <v>547.91999999999996</v>
      </c>
      <c r="AC187" s="37">
        <v>19</v>
      </c>
      <c r="AD187" s="92">
        <f>+AB187*AC187+AB188*AC188+AB189*AC189</f>
        <v>16985.52</v>
      </c>
    </row>
    <row r="188" spans="2:30">
      <c r="B188" s="90"/>
      <c r="C188" s="44" t="s">
        <v>33</v>
      </c>
      <c r="D188" s="47">
        <v>22.83</v>
      </c>
      <c r="E188" s="47">
        <v>22.83</v>
      </c>
      <c r="F188" s="47">
        <v>22.83</v>
      </c>
      <c r="G188" s="47">
        <v>22.83</v>
      </c>
      <c r="H188" s="47">
        <v>22.83</v>
      </c>
      <c r="I188" s="47">
        <v>22.83</v>
      </c>
      <c r="J188" s="47">
        <v>22.83</v>
      </c>
      <c r="K188" s="47">
        <v>22.83</v>
      </c>
      <c r="L188" s="47">
        <v>22.83</v>
      </c>
      <c r="M188" s="47">
        <v>22.83</v>
      </c>
      <c r="N188" s="47">
        <v>22.83</v>
      </c>
      <c r="O188" s="47">
        <v>22.83</v>
      </c>
      <c r="P188" s="47">
        <v>22.83</v>
      </c>
      <c r="Q188" s="47">
        <v>22.83</v>
      </c>
      <c r="R188" s="47">
        <v>22.83</v>
      </c>
      <c r="S188" s="47">
        <v>22.83</v>
      </c>
      <c r="T188" s="47">
        <v>22.83</v>
      </c>
      <c r="U188" s="47">
        <v>22.83</v>
      </c>
      <c r="V188" s="47">
        <v>22.83</v>
      </c>
      <c r="W188" s="47">
        <v>22.83</v>
      </c>
      <c r="X188" s="47">
        <v>22.83</v>
      </c>
      <c r="Y188" s="47">
        <v>22.83</v>
      </c>
      <c r="Z188" s="47">
        <v>22.83</v>
      </c>
      <c r="AA188" s="47">
        <v>22.83</v>
      </c>
      <c r="AB188" s="45">
        <f t="shared" si="4"/>
        <v>547.91999999999996</v>
      </c>
      <c r="AC188" s="37">
        <v>5</v>
      </c>
      <c r="AD188" s="92"/>
    </row>
    <row r="189" spans="2:30">
      <c r="B189" s="90"/>
      <c r="C189" s="44" t="s">
        <v>34</v>
      </c>
      <c r="D189" s="47">
        <v>22.83</v>
      </c>
      <c r="E189" s="47">
        <v>22.83</v>
      </c>
      <c r="F189" s="47">
        <v>22.83</v>
      </c>
      <c r="G189" s="47">
        <v>22.83</v>
      </c>
      <c r="H189" s="47">
        <v>22.83</v>
      </c>
      <c r="I189" s="47">
        <v>22.83</v>
      </c>
      <c r="J189" s="47">
        <v>22.83</v>
      </c>
      <c r="K189" s="47">
        <v>22.83</v>
      </c>
      <c r="L189" s="47">
        <v>22.83</v>
      </c>
      <c r="M189" s="47">
        <v>22.83</v>
      </c>
      <c r="N189" s="47">
        <v>22.83</v>
      </c>
      <c r="O189" s="47">
        <v>22.83</v>
      </c>
      <c r="P189" s="47">
        <v>22.83</v>
      </c>
      <c r="Q189" s="47">
        <v>22.83</v>
      </c>
      <c r="R189" s="47">
        <v>22.83</v>
      </c>
      <c r="S189" s="47">
        <v>22.83</v>
      </c>
      <c r="T189" s="47">
        <v>22.83</v>
      </c>
      <c r="U189" s="47">
        <v>22.83</v>
      </c>
      <c r="V189" s="47">
        <v>22.83</v>
      </c>
      <c r="W189" s="47">
        <v>22.83</v>
      </c>
      <c r="X189" s="47">
        <v>22.83</v>
      </c>
      <c r="Y189" s="47">
        <v>22.83</v>
      </c>
      <c r="Z189" s="47">
        <v>22.83</v>
      </c>
      <c r="AA189" s="47">
        <v>22.83</v>
      </c>
      <c r="AB189" s="45">
        <f t="shared" si="4"/>
        <v>547.91999999999996</v>
      </c>
      <c r="AC189" s="37">
        <v>7</v>
      </c>
      <c r="AD189" s="92"/>
    </row>
    <row r="190" spans="2:30">
      <c r="B190" s="90">
        <v>50284</v>
      </c>
      <c r="C190" s="44" t="s">
        <v>32</v>
      </c>
      <c r="D190" s="47">
        <v>22.83</v>
      </c>
      <c r="E190" s="47">
        <v>22.83</v>
      </c>
      <c r="F190" s="47">
        <v>22.83</v>
      </c>
      <c r="G190" s="47">
        <v>22.83</v>
      </c>
      <c r="H190" s="47">
        <v>22.83</v>
      </c>
      <c r="I190" s="47">
        <v>22.83</v>
      </c>
      <c r="J190" s="47">
        <v>22.83</v>
      </c>
      <c r="K190" s="47">
        <v>22.83</v>
      </c>
      <c r="L190" s="47">
        <v>22.83</v>
      </c>
      <c r="M190" s="47">
        <v>22.83</v>
      </c>
      <c r="N190" s="47">
        <v>22.83</v>
      </c>
      <c r="O190" s="47">
        <v>22.83</v>
      </c>
      <c r="P190" s="47">
        <v>22.83</v>
      </c>
      <c r="Q190" s="47">
        <v>22.83</v>
      </c>
      <c r="R190" s="47">
        <v>22.83</v>
      </c>
      <c r="S190" s="47">
        <v>22.83</v>
      </c>
      <c r="T190" s="47">
        <v>22.83</v>
      </c>
      <c r="U190" s="47">
        <v>22.83</v>
      </c>
      <c r="V190" s="47">
        <v>22.83</v>
      </c>
      <c r="W190" s="47">
        <v>22.83</v>
      </c>
      <c r="X190" s="47">
        <v>22.83</v>
      </c>
      <c r="Y190" s="47">
        <v>22.83</v>
      </c>
      <c r="Z190" s="47">
        <v>22.83</v>
      </c>
      <c r="AA190" s="47">
        <v>22.83</v>
      </c>
      <c r="AB190" s="45">
        <f t="shared" si="4"/>
        <v>547.91999999999996</v>
      </c>
      <c r="AC190" s="37">
        <v>22</v>
      </c>
      <c r="AD190" s="92">
        <f>+AB190*AC190+AB191*AC191+AB192*AC192</f>
        <v>16437.599999999999</v>
      </c>
    </row>
    <row r="191" spans="2:30">
      <c r="B191" s="90"/>
      <c r="C191" s="44" t="s">
        <v>33</v>
      </c>
      <c r="D191" s="47">
        <v>22.83</v>
      </c>
      <c r="E191" s="47">
        <v>22.83</v>
      </c>
      <c r="F191" s="47">
        <v>22.83</v>
      </c>
      <c r="G191" s="47">
        <v>22.83</v>
      </c>
      <c r="H191" s="47">
        <v>22.83</v>
      </c>
      <c r="I191" s="47">
        <v>22.83</v>
      </c>
      <c r="J191" s="47">
        <v>22.83</v>
      </c>
      <c r="K191" s="47">
        <v>22.83</v>
      </c>
      <c r="L191" s="47">
        <v>22.83</v>
      </c>
      <c r="M191" s="47">
        <v>22.83</v>
      </c>
      <c r="N191" s="47">
        <v>22.83</v>
      </c>
      <c r="O191" s="47">
        <v>22.83</v>
      </c>
      <c r="P191" s="47">
        <v>22.83</v>
      </c>
      <c r="Q191" s="47">
        <v>22.83</v>
      </c>
      <c r="R191" s="47">
        <v>22.83</v>
      </c>
      <c r="S191" s="47">
        <v>22.83</v>
      </c>
      <c r="T191" s="47">
        <v>22.83</v>
      </c>
      <c r="U191" s="47">
        <v>22.83</v>
      </c>
      <c r="V191" s="47">
        <v>22.83</v>
      </c>
      <c r="W191" s="47">
        <v>22.83</v>
      </c>
      <c r="X191" s="47">
        <v>22.83</v>
      </c>
      <c r="Y191" s="47">
        <v>22.83</v>
      </c>
      <c r="Z191" s="47">
        <v>22.83</v>
      </c>
      <c r="AA191" s="47">
        <v>22.83</v>
      </c>
      <c r="AB191" s="45">
        <f t="shared" si="4"/>
        <v>547.91999999999996</v>
      </c>
      <c r="AC191" s="37">
        <v>4</v>
      </c>
      <c r="AD191" s="92"/>
    </row>
    <row r="192" spans="2:30">
      <c r="B192" s="90"/>
      <c r="C192" s="44" t="s">
        <v>34</v>
      </c>
      <c r="D192" s="47">
        <v>22.83</v>
      </c>
      <c r="E192" s="47">
        <v>22.83</v>
      </c>
      <c r="F192" s="47">
        <v>22.83</v>
      </c>
      <c r="G192" s="47">
        <v>22.83</v>
      </c>
      <c r="H192" s="47">
        <v>22.83</v>
      </c>
      <c r="I192" s="47">
        <v>22.83</v>
      </c>
      <c r="J192" s="47">
        <v>22.83</v>
      </c>
      <c r="K192" s="47">
        <v>22.83</v>
      </c>
      <c r="L192" s="47">
        <v>22.83</v>
      </c>
      <c r="M192" s="47">
        <v>22.83</v>
      </c>
      <c r="N192" s="47">
        <v>22.83</v>
      </c>
      <c r="O192" s="47">
        <v>22.83</v>
      </c>
      <c r="P192" s="47">
        <v>22.83</v>
      </c>
      <c r="Q192" s="47">
        <v>22.83</v>
      </c>
      <c r="R192" s="47">
        <v>22.83</v>
      </c>
      <c r="S192" s="47">
        <v>22.83</v>
      </c>
      <c r="T192" s="47">
        <v>22.83</v>
      </c>
      <c r="U192" s="47">
        <v>22.83</v>
      </c>
      <c r="V192" s="47">
        <v>22.83</v>
      </c>
      <c r="W192" s="47">
        <v>22.83</v>
      </c>
      <c r="X192" s="47">
        <v>22.83</v>
      </c>
      <c r="Y192" s="47">
        <v>22.83</v>
      </c>
      <c r="Z192" s="47">
        <v>22.83</v>
      </c>
      <c r="AA192" s="47">
        <v>22.83</v>
      </c>
      <c r="AB192" s="45">
        <f t="shared" si="4"/>
        <v>547.91999999999996</v>
      </c>
      <c r="AC192" s="37">
        <v>4</v>
      </c>
      <c r="AD192" s="92"/>
    </row>
    <row r="193" spans="2:30">
      <c r="B193" s="90">
        <v>50314</v>
      </c>
      <c r="C193" s="44" t="s">
        <v>32</v>
      </c>
      <c r="D193" s="47">
        <v>22.83</v>
      </c>
      <c r="E193" s="47">
        <v>22.83</v>
      </c>
      <c r="F193" s="47">
        <v>22.83</v>
      </c>
      <c r="G193" s="47">
        <v>22.83</v>
      </c>
      <c r="H193" s="47">
        <v>22.83</v>
      </c>
      <c r="I193" s="47">
        <v>22.83</v>
      </c>
      <c r="J193" s="47">
        <v>22.83</v>
      </c>
      <c r="K193" s="47">
        <v>22.83</v>
      </c>
      <c r="L193" s="47">
        <v>22.83</v>
      </c>
      <c r="M193" s="47">
        <v>22.83</v>
      </c>
      <c r="N193" s="47">
        <v>22.83</v>
      </c>
      <c r="O193" s="47">
        <v>22.83</v>
      </c>
      <c r="P193" s="47">
        <v>22.83</v>
      </c>
      <c r="Q193" s="47">
        <v>22.83</v>
      </c>
      <c r="R193" s="47">
        <v>22.83</v>
      </c>
      <c r="S193" s="47">
        <v>22.83</v>
      </c>
      <c r="T193" s="47">
        <v>22.83</v>
      </c>
      <c r="U193" s="47">
        <v>22.83</v>
      </c>
      <c r="V193" s="47">
        <v>22.83</v>
      </c>
      <c r="W193" s="47">
        <v>22.83</v>
      </c>
      <c r="X193" s="47">
        <v>22.83</v>
      </c>
      <c r="Y193" s="47">
        <v>22.83</v>
      </c>
      <c r="Z193" s="47">
        <v>22.83</v>
      </c>
      <c r="AA193" s="47">
        <v>22.83</v>
      </c>
      <c r="AB193" s="45">
        <f t="shared" si="4"/>
        <v>547.91999999999996</v>
      </c>
      <c r="AC193" s="37">
        <v>21</v>
      </c>
      <c r="AD193" s="92">
        <f>+AB193*AC193+AB194*AC194+AB195*AC195</f>
        <v>16985.52</v>
      </c>
    </row>
    <row r="194" spans="2:30">
      <c r="B194" s="90"/>
      <c r="C194" s="44" t="s">
        <v>33</v>
      </c>
      <c r="D194" s="47">
        <v>22.83</v>
      </c>
      <c r="E194" s="47">
        <v>22.83</v>
      </c>
      <c r="F194" s="47">
        <v>22.83</v>
      </c>
      <c r="G194" s="47">
        <v>22.83</v>
      </c>
      <c r="H194" s="47">
        <v>22.83</v>
      </c>
      <c r="I194" s="47">
        <v>22.83</v>
      </c>
      <c r="J194" s="47">
        <v>22.83</v>
      </c>
      <c r="K194" s="47">
        <v>22.83</v>
      </c>
      <c r="L194" s="47">
        <v>22.83</v>
      </c>
      <c r="M194" s="47">
        <v>22.83</v>
      </c>
      <c r="N194" s="47">
        <v>22.83</v>
      </c>
      <c r="O194" s="47">
        <v>22.83</v>
      </c>
      <c r="P194" s="47">
        <v>22.83</v>
      </c>
      <c r="Q194" s="47">
        <v>22.83</v>
      </c>
      <c r="R194" s="47">
        <v>22.83</v>
      </c>
      <c r="S194" s="47">
        <v>22.83</v>
      </c>
      <c r="T194" s="47">
        <v>22.83</v>
      </c>
      <c r="U194" s="47">
        <v>22.83</v>
      </c>
      <c r="V194" s="47">
        <v>22.83</v>
      </c>
      <c r="W194" s="47">
        <v>22.83</v>
      </c>
      <c r="X194" s="47">
        <v>22.83</v>
      </c>
      <c r="Y194" s="47">
        <v>22.83</v>
      </c>
      <c r="Z194" s="47">
        <v>22.83</v>
      </c>
      <c r="AA194" s="47">
        <v>22.83</v>
      </c>
      <c r="AB194" s="45">
        <f t="shared" si="4"/>
        <v>547.91999999999996</v>
      </c>
      <c r="AC194" s="37">
        <v>5</v>
      </c>
      <c r="AD194" s="92"/>
    </row>
    <row r="195" spans="2:30">
      <c r="B195" s="90"/>
      <c r="C195" s="44" t="s">
        <v>34</v>
      </c>
      <c r="D195" s="47">
        <v>22.83</v>
      </c>
      <c r="E195" s="47">
        <v>22.83</v>
      </c>
      <c r="F195" s="47">
        <v>22.83</v>
      </c>
      <c r="G195" s="47">
        <v>22.83</v>
      </c>
      <c r="H195" s="47">
        <v>22.83</v>
      </c>
      <c r="I195" s="47">
        <v>22.83</v>
      </c>
      <c r="J195" s="47">
        <v>22.83</v>
      </c>
      <c r="K195" s="47">
        <v>22.83</v>
      </c>
      <c r="L195" s="47">
        <v>22.83</v>
      </c>
      <c r="M195" s="47">
        <v>22.83</v>
      </c>
      <c r="N195" s="47">
        <v>22.83</v>
      </c>
      <c r="O195" s="47">
        <v>22.83</v>
      </c>
      <c r="P195" s="47">
        <v>22.83</v>
      </c>
      <c r="Q195" s="47">
        <v>22.83</v>
      </c>
      <c r="R195" s="47">
        <v>22.83</v>
      </c>
      <c r="S195" s="47">
        <v>22.83</v>
      </c>
      <c r="T195" s="47">
        <v>22.83</v>
      </c>
      <c r="U195" s="47">
        <v>22.83</v>
      </c>
      <c r="V195" s="47">
        <v>22.83</v>
      </c>
      <c r="W195" s="47">
        <v>22.83</v>
      </c>
      <c r="X195" s="47">
        <v>22.83</v>
      </c>
      <c r="Y195" s="47">
        <v>22.83</v>
      </c>
      <c r="Z195" s="47">
        <v>22.83</v>
      </c>
      <c r="AA195" s="47">
        <v>22.83</v>
      </c>
      <c r="AB195" s="45">
        <f t="shared" si="4"/>
        <v>547.91999999999996</v>
      </c>
      <c r="AC195" s="37">
        <v>5</v>
      </c>
      <c r="AD195" s="92"/>
    </row>
    <row r="196" spans="2:30">
      <c r="B196" s="90">
        <v>50345</v>
      </c>
      <c r="C196" s="44" t="s">
        <v>32</v>
      </c>
      <c r="D196" s="47">
        <v>22.83</v>
      </c>
      <c r="E196" s="47">
        <v>22.83</v>
      </c>
      <c r="F196" s="47">
        <v>22.83</v>
      </c>
      <c r="G196" s="47">
        <v>22.83</v>
      </c>
      <c r="H196" s="47">
        <v>22.83</v>
      </c>
      <c r="I196" s="47">
        <v>22.83</v>
      </c>
      <c r="J196" s="47">
        <v>22.83</v>
      </c>
      <c r="K196" s="47">
        <v>22.83</v>
      </c>
      <c r="L196" s="47">
        <v>22.83</v>
      </c>
      <c r="M196" s="47">
        <v>22.83</v>
      </c>
      <c r="N196" s="47">
        <v>22.83</v>
      </c>
      <c r="O196" s="47">
        <v>22.83</v>
      </c>
      <c r="P196" s="47">
        <v>22.83</v>
      </c>
      <c r="Q196" s="47">
        <v>22.83</v>
      </c>
      <c r="R196" s="47">
        <v>22.83</v>
      </c>
      <c r="S196" s="47">
        <v>22.83</v>
      </c>
      <c r="T196" s="47">
        <v>22.83</v>
      </c>
      <c r="U196" s="47">
        <v>22.83</v>
      </c>
      <c r="V196" s="47">
        <v>22.83</v>
      </c>
      <c r="W196" s="47">
        <v>22.83</v>
      </c>
      <c r="X196" s="47">
        <v>22.83</v>
      </c>
      <c r="Y196" s="47">
        <v>22.83</v>
      </c>
      <c r="Z196" s="47">
        <v>22.83</v>
      </c>
      <c r="AA196" s="47">
        <v>22.83</v>
      </c>
      <c r="AB196" s="45">
        <f t="shared" si="4"/>
        <v>547.91999999999996</v>
      </c>
      <c r="AC196" s="37">
        <v>19</v>
      </c>
      <c r="AD196" s="92">
        <f>+AB196*AC196+AB197*AC197+AB198*AC198</f>
        <v>16437.599999999999</v>
      </c>
    </row>
    <row r="197" spans="2:30">
      <c r="B197" s="90"/>
      <c r="C197" s="44" t="s">
        <v>33</v>
      </c>
      <c r="D197" s="47">
        <v>22.83</v>
      </c>
      <c r="E197" s="47">
        <v>22.83</v>
      </c>
      <c r="F197" s="47">
        <v>22.83</v>
      </c>
      <c r="G197" s="47">
        <v>22.83</v>
      </c>
      <c r="H197" s="47">
        <v>22.83</v>
      </c>
      <c r="I197" s="47">
        <v>22.83</v>
      </c>
      <c r="J197" s="47">
        <v>22.83</v>
      </c>
      <c r="K197" s="47">
        <v>22.83</v>
      </c>
      <c r="L197" s="47">
        <v>22.83</v>
      </c>
      <c r="M197" s="47">
        <v>22.83</v>
      </c>
      <c r="N197" s="47">
        <v>22.83</v>
      </c>
      <c r="O197" s="47">
        <v>22.83</v>
      </c>
      <c r="P197" s="47">
        <v>22.83</v>
      </c>
      <c r="Q197" s="47">
        <v>22.83</v>
      </c>
      <c r="R197" s="47">
        <v>22.83</v>
      </c>
      <c r="S197" s="47">
        <v>22.83</v>
      </c>
      <c r="T197" s="47">
        <v>22.83</v>
      </c>
      <c r="U197" s="47">
        <v>22.83</v>
      </c>
      <c r="V197" s="47">
        <v>22.83</v>
      </c>
      <c r="W197" s="47">
        <v>22.83</v>
      </c>
      <c r="X197" s="47">
        <v>22.83</v>
      </c>
      <c r="Y197" s="47">
        <v>22.83</v>
      </c>
      <c r="Z197" s="47">
        <v>22.83</v>
      </c>
      <c r="AA197" s="47">
        <v>22.83</v>
      </c>
      <c r="AB197" s="45">
        <f t="shared" si="4"/>
        <v>547.91999999999996</v>
      </c>
      <c r="AC197" s="37">
        <v>4</v>
      </c>
      <c r="AD197" s="92"/>
    </row>
    <row r="198" spans="2:30">
      <c r="B198" s="90"/>
      <c r="C198" s="44" t="s">
        <v>34</v>
      </c>
      <c r="D198" s="47">
        <v>22.83</v>
      </c>
      <c r="E198" s="47">
        <v>22.83</v>
      </c>
      <c r="F198" s="47">
        <v>22.83</v>
      </c>
      <c r="G198" s="47">
        <v>22.83</v>
      </c>
      <c r="H198" s="47">
        <v>22.83</v>
      </c>
      <c r="I198" s="47">
        <v>22.83</v>
      </c>
      <c r="J198" s="47">
        <v>22.83</v>
      </c>
      <c r="K198" s="47">
        <v>22.83</v>
      </c>
      <c r="L198" s="47">
        <v>22.83</v>
      </c>
      <c r="M198" s="47">
        <v>22.83</v>
      </c>
      <c r="N198" s="47">
        <v>22.83</v>
      </c>
      <c r="O198" s="47">
        <v>22.83</v>
      </c>
      <c r="P198" s="47">
        <v>22.83</v>
      </c>
      <c r="Q198" s="47">
        <v>22.83</v>
      </c>
      <c r="R198" s="47">
        <v>22.83</v>
      </c>
      <c r="S198" s="47">
        <v>22.83</v>
      </c>
      <c r="T198" s="47">
        <v>22.83</v>
      </c>
      <c r="U198" s="47">
        <v>22.83</v>
      </c>
      <c r="V198" s="47">
        <v>22.83</v>
      </c>
      <c r="W198" s="47">
        <v>22.83</v>
      </c>
      <c r="X198" s="47">
        <v>22.83</v>
      </c>
      <c r="Y198" s="47">
        <v>22.83</v>
      </c>
      <c r="Z198" s="47">
        <v>22.83</v>
      </c>
      <c r="AA198" s="47">
        <v>22.83</v>
      </c>
      <c r="AB198" s="45">
        <f t="shared" si="4"/>
        <v>547.91999999999996</v>
      </c>
      <c r="AC198" s="37">
        <v>7</v>
      </c>
      <c r="AD198" s="92"/>
    </row>
    <row r="199" spans="2:30">
      <c r="B199" s="90">
        <v>50375</v>
      </c>
      <c r="C199" s="44" t="s">
        <v>32</v>
      </c>
      <c r="D199" s="47">
        <v>22.83</v>
      </c>
      <c r="E199" s="47">
        <v>22.83</v>
      </c>
      <c r="F199" s="47">
        <v>22.83</v>
      </c>
      <c r="G199" s="47">
        <v>22.83</v>
      </c>
      <c r="H199" s="47">
        <v>22.83</v>
      </c>
      <c r="I199" s="47">
        <v>22.83</v>
      </c>
      <c r="J199" s="47">
        <v>22.83</v>
      </c>
      <c r="K199" s="47">
        <v>22.83</v>
      </c>
      <c r="L199" s="47">
        <v>22.83</v>
      </c>
      <c r="M199" s="47">
        <v>22.83</v>
      </c>
      <c r="N199" s="47">
        <v>22.83</v>
      </c>
      <c r="O199" s="47">
        <v>22.83</v>
      </c>
      <c r="P199" s="47">
        <v>22.83</v>
      </c>
      <c r="Q199" s="47">
        <v>22.83</v>
      </c>
      <c r="R199" s="47">
        <v>22.83</v>
      </c>
      <c r="S199" s="47">
        <v>22.83</v>
      </c>
      <c r="T199" s="47">
        <v>22.83</v>
      </c>
      <c r="U199" s="47">
        <v>22.83</v>
      </c>
      <c r="V199" s="47">
        <v>22.83</v>
      </c>
      <c r="W199" s="47">
        <v>22.83</v>
      </c>
      <c r="X199" s="47">
        <v>22.83</v>
      </c>
      <c r="Y199" s="47">
        <v>22.83</v>
      </c>
      <c r="Z199" s="47">
        <v>22.83</v>
      </c>
      <c r="AA199" s="47">
        <v>22.83</v>
      </c>
      <c r="AB199" s="45">
        <f t="shared" si="4"/>
        <v>547.91999999999996</v>
      </c>
      <c r="AC199" s="37">
        <v>21</v>
      </c>
      <c r="AD199" s="92">
        <f>+AB199*AC199+AB200*AC200+AB201*AC201</f>
        <v>16985.52</v>
      </c>
    </row>
    <row r="200" spans="2:30">
      <c r="B200" s="90"/>
      <c r="C200" s="44" t="s">
        <v>33</v>
      </c>
      <c r="D200" s="47">
        <v>22.83</v>
      </c>
      <c r="E200" s="47">
        <v>22.83</v>
      </c>
      <c r="F200" s="47">
        <v>22.83</v>
      </c>
      <c r="G200" s="47">
        <v>22.83</v>
      </c>
      <c r="H200" s="47">
        <v>22.83</v>
      </c>
      <c r="I200" s="47">
        <v>22.83</v>
      </c>
      <c r="J200" s="47">
        <v>22.83</v>
      </c>
      <c r="K200" s="47">
        <v>22.83</v>
      </c>
      <c r="L200" s="47">
        <v>22.83</v>
      </c>
      <c r="M200" s="47">
        <v>22.83</v>
      </c>
      <c r="N200" s="47">
        <v>22.83</v>
      </c>
      <c r="O200" s="47">
        <v>22.83</v>
      </c>
      <c r="P200" s="47">
        <v>22.83</v>
      </c>
      <c r="Q200" s="47">
        <v>22.83</v>
      </c>
      <c r="R200" s="47">
        <v>22.83</v>
      </c>
      <c r="S200" s="47">
        <v>22.83</v>
      </c>
      <c r="T200" s="47">
        <v>22.83</v>
      </c>
      <c r="U200" s="47">
        <v>22.83</v>
      </c>
      <c r="V200" s="47">
        <v>22.83</v>
      </c>
      <c r="W200" s="47">
        <v>22.83</v>
      </c>
      <c r="X200" s="47">
        <v>22.83</v>
      </c>
      <c r="Y200" s="47">
        <v>22.83</v>
      </c>
      <c r="Z200" s="47">
        <v>22.83</v>
      </c>
      <c r="AA200" s="47">
        <v>22.83</v>
      </c>
      <c r="AB200" s="45">
        <f t="shared" si="4"/>
        <v>547.91999999999996</v>
      </c>
      <c r="AC200" s="37">
        <v>4</v>
      </c>
      <c r="AD200" s="92"/>
    </row>
    <row r="201" spans="2:30">
      <c r="B201" s="90"/>
      <c r="C201" s="44" t="s">
        <v>34</v>
      </c>
      <c r="D201" s="47">
        <v>22.83</v>
      </c>
      <c r="E201" s="47">
        <v>22.83</v>
      </c>
      <c r="F201" s="47">
        <v>22.83</v>
      </c>
      <c r="G201" s="47">
        <v>22.83</v>
      </c>
      <c r="H201" s="47">
        <v>22.83</v>
      </c>
      <c r="I201" s="47">
        <v>22.83</v>
      </c>
      <c r="J201" s="47">
        <v>22.83</v>
      </c>
      <c r="K201" s="47">
        <v>22.83</v>
      </c>
      <c r="L201" s="47">
        <v>22.83</v>
      </c>
      <c r="M201" s="47">
        <v>22.83</v>
      </c>
      <c r="N201" s="47">
        <v>22.83</v>
      </c>
      <c r="O201" s="47">
        <v>22.83</v>
      </c>
      <c r="P201" s="47">
        <v>22.83</v>
      </c>
      <c r="Q201" s="47">
        <v>22.83</v>
      </c>
      <c r="R201" s="47">
        <v>22.83</v>
      </c>
      <c r="S201" s="47">
        <v>22.83</v>
      </c>
      <c r="T201" s="47">
        <v>22.83</v>
      </c>
      <c r="U201" s="47">
        <v>22.83</v>
      </c>
      <c r="V201" s="47">
        <v>22.83</v>
      </c>
      <c r="W201" s="47">
        <v>22.83</v>
      </c>
      <c r="X201" s="47">
        <v>22.83</v>
      </c>
      <c r="Y201" s="47">
        <v>22.83</v>
      </c>
      <c r="Z201" s="47">
        <v>22.83</v>
      </c>
      <c r="AA201" s="47">
        <v>22.83</v>
      </c>
      <c r="AB201" s="45">
        <f t="shared" si="4"/>
        <v>547.91999999999996</v>
      </c>
      <c r="AC201" s="37">
        <v>6</v>
      </c>
      <c r="AD201" s="92"/>
    </row>
    <row r="202" spans="2:30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86" t="s">
        <v>35</v>
      </c>
      <c r="AB202" s="87"/>
      <c r="AC202" s="88"/>
      <c r="AD202" s="39">
        <f>SUM(AD166:AD201)</f>
        <v>199990.8</v>
      </c>
    </row>
  </sheetData>
  <mergeCells count="125">
    <mergeCell ref="AD187:AD189"/>
    <mergeCell ref="AD190:AD192"/>
    <mergeCell ref="AD193:AD195"/>
    <mergeCell ref="AD196:AD198"/>
    <mergeCell ref="AD199:AD201"/>
    <mergeCell ref="AD156:AD158"/>
    <mergeCell ref="AD159:AD161"/>
    <mergeCell ref="AD166:AD168"/>
    <mergeCell ref="AD169:AD171"/>
    <mergeCell ref="AD172:AD174"/>
    <mergeCell ref="AD175:AD177"/>
    <mergeCell ref="AD178:AD180"/>
    <mergeCell ref="AD181:AD183"/>
    <mergeCell ref="AD184:AD186"/>
    <mergeCell ref="AD129:AD131"/>
    <mergeCell ref="AD132:AD134"/>
    <mergeCell ref="AD135:AD137"/>
    <mergeCell ref="AD138:AD140"/>
    <mergeCell ref="AD141:AD143"/>
    <mergeCell ref="AD144:AD146"/>
    <mergeCell ref="AD147:AD149"/>
    <mergeCell ref="AD150:AD152"/>
    <mergeCell ref="AD153:AD155"/>
    <mergeCell ref="AD98:AD100"/>
    <mergeCell ref="AD101:AD103"/>
    <mergeCell ref="AD104:AD106"/>
    <mergeCell ref="AD107:AD109"/>
    <mergeCell ref="AD110:AD112"/>
    <mergeCell ref="AD113:AD115"/>
    <mergeCell ref="AD116:AD118"/>
    <mergeCell ref="AD119:AD121"/>
    <mergeCell ref="AD126:AD128"/>
    <mergeCell ref="AD67:AD69"/>
    <mergeCell ref="AD70:AD72"/>
    <mergeCell ref="AD73:AD75"/>
    <mergeCell ref="AD76:AD78"/>
    <mergeCell ref="AD79:AD81"/>
    <mergeCell ref="AD86:AD88"/>
    <mergeCell ref="AD89:AD91"/>
    <mergeCell ref="AD92:AD94"/>
    <mergeCell ref="AD95:AD97"/>
    <mergeCell ref="B187:B189"/>
    <mergeCell ref="B190:B192"/>
    <mergeCell ref="B193:B195"/>
    <mergeCell ref="B196:B198"/>
    <mergeCell ref="B199:B201"/>
    <mergeCell ref="AD6:AD8"/>
    <mergeCell ref="AD9:AD11"/>
    <mergeCell ref="AD12:AD14"/>
    <mergeCell ref="AD15:AD17"/>
    <mergeCell ref="AD18:AD20"/>
    <mergeCell ref="AD21:AD23"/>
    <mergeCell ref="AD24:AD26"/>
    <mergeCell ref="AD27:AD29"/>
    <mergeCell ref="AD30:AD32"/>
    <mergeCell ref="AD33:AD35"/>
    <mergeCell ref="AD36:AD38"/>
    <mergeCell ref="AD39:AD41"/>
    <mergeCell ref="AD46:AD48"/>
    <mergeCell ref="AD49:AD51"/>
    <mergeCell ref="AD52:AD54"/>
    <mergeCell ref="AD55:AD57"/>
    <mergeCell ref="AD58:AD60"/>
    <mergeCell ref="AD61:AD63"/>
    <mergeCell ref="AD64:AD66"/>
    <mergeCell ref="B156:B158"/>
    <mergeCell ref="B159:B161"/>
    <mergeCell ref="B166:B168"/>
    <mergeCell ref="B169:B171"/>
    <mergeCell ref="B172:B174"/>
    <mergeCell ref="B175:B177"/>
    <mergeCell ref="B178:B180"/>
    <mergeCell ref="B181:B183"/>
    <mergeCell ref="B184:B186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6:B128"/>
    <mergeCell ref="B67:B69"/>
    <mergeCell ref="B70:B72"/>
    <mergeCell ref="B73:B75"/>
    <mergeCell ref="B76:B78"/>
    <mergeCell ref="B79:B81"/>
    <mergeCell ref="B86:B88"/>
    <mergeCell ref="B89:B91"/>
    <mergeCell ref="B92:B94"/>
    <mergeCell ref="B95:B97"/>
    <mergeCell ref="AA42:AC42"/>
    <mergeCell ref="AA82:AC82"/>
    <mergeCell ref="AA122:AC122"/>
    <mergeCell ref="AA162:AC162"/>
    <mergeCell ref="AA202:AC202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6:B48"/>
    <mergeCell ref="B49:B51"/>
    <mergeCell ref="B52:B54"/>
    <mergeCell ref="B55:B57"/>
    <mergeCell ref="B58:B60"/>
    <mergeCell ref="B61:B63"/>
    <mergeCell ref="B64:B66"/>
  </mergeCells>
  <conditionalFormatting sqref="D6:AA41">
    <cfRule type="cellIs" dxfId="24" priority="5" operator="lessThan">
      <formula>0</formula>
    </cfRule>
  </conditionalFormatting>
  <conditionalFormatting sqref="D46:AA81">
    <cfRule type="cellIs" dxfId="23" priority="4" operator="lessThan">
      <formula>0</formula>
    </cfRule>
  </conditionalFormatting>
  <conditionalFormatting sqref="D86:AA121">
    <cfRule type="cellIs" dxfId="22" priority="3" operator="lessThan">
      <formula>0</formula>
    </cfRule>
  </conditionalFormatting>
  <conditionalFormatting sqref="D126:AA161">
    <cfRule type="cellIs" dxfId="21" priority="2" operator="lessThan">
      <formula>0</formula>
    </cfRule>
  </conditionalFormatting>
  <conditionalFormatting sqref="D166:AA201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9.9978637043366805E-2"/>
  </sheetPr>
  <dimension ref="B2:N27"/>
  <sheetViews>
    <sheetView showGridLines="0" zoomScale="80" zoomScaleNormal="80" workbookViewId="0">
      <selection activeCell="D21" sqref="D21:H21"/>
    </sheetView>
  </sheetViews>
  <sheetFormatPr baseColWidth="10" defaultColWidth="10.88671875" defaultRowHeight="15"/>
  <cols>
    <col min="1" max="1" width="6.33203125" style="1" customWidth="1"/>
    <col min="2" max="2" width="10.88671875" style="1"/>
    <col min="3" max="3" width="3.21875" style="1" customWidth="1"/>
    <col min="4" max="5" width="12.21875" style="1" customWidth="1"/>
    <col min="6" max="6" width="13.21875" style="1" customWidth="1"/>
    <col min="7" max="7" width="12.5546875" style="1" customWidth="1"/>
    <col min="8" max="8" width="8.21875" style="1" customWidth="1"/>
    <col min="9" max="16384" width="10.88671875" style="1"/>
  </cols>
  <sheetData>
    <row r="2" spans="2:9" ht="18">
      <c r="B2" s="2"/>
      <c r="C2" s="3"/>
      <c r="D2" s="4" t="s">
        <v>46</v>
      </c>
      <c r="E2" s="3"/>
      <c r="F2" s="3"/>
      <c r="G2" s="3"/>
      <c r="H2" s="3"/>
      <c r="I2" s="5"/>
    </row>
    <row r="3" spans="2:9" ht="18">
      <c r="B3" s="6"/>
      <c r="D3" s="7" t="s">
        <v>47</v>
      </c>
      <c r="I3" s="8"/>
    </row>
    <row r="4" spans="2:9" ht="18">
      <c r="B4" s="6"/>
      <c r="D4" s="7" t="s">
        <v>48</v>
      </c>
      <c r="I4" s="8"/>
    </row>
    <row r="5" spans="2:9" ht="18">
      <c r="B5" s="6"/>
      <c r="D5" s="7"/>
      <c r="I5" s="8"/>
    </row>
    <row r="6" spans="2:9" ht="18">
      <c r="B6" s="6"/>
      <c r="D6" s="7" t="s">
        <v>49</v>
      </c>
      <c r="I6" s="8"/>
    </row>
    <row r="7" spans="2:9">
      <c r="B7" s="6"/>
      <c r="I7" s="8"/>
    </row>
    <row r="8" spans="2:9" ht="18">
      <c r="B8" s="6"/>
      <c r="D8" s="9" t="s">
        <v>74</v>
      </c>
      <c r="I8" s="8"/>
    </row>
    <row r="9" spans="2:9">
      <c r="B9" s="6"/>
      <c r="I9" s="8"/>
    </row>
    <row r="10" spans="2:9" ht="15.75">
      <c r="B10" s="6"/>
      <c r="D10" s="10"/>
      <c r="I10" s="11"/>
    </row>
    <row r="11" spans="2:9" ht="45">
      <c r="B11" s="12"/>
      <c r="C11"/>
      <c r="D11" s="13" t="s">
        <v>50</v>
      </c>
      <c r="E11" s="13" t="s">
        <v>51</v>
      </c>
      <c r="F11" s="13" t="s">
        <v>52</v>
      </c>
      <c r="G11" s="14" t="s">
        <v>53</v>
      </c>
      <c r="H11" s="15"/>
      <c r="I11" s="11"/>
    </row>
    <row r="12" spans="2:9" ht="15.75">
      <c r="B12" s="12"/>
      <c r="C12"/>
      <c r="D12" s="16">
        <v>2033</v>
      </c>
      <c r="E12" s="17">
        <f>'P4_ANEXO 1 -2033 a 2037'!AD42</f>
        <v>199990.8</v>
      </c>
      <c r="F12" s="85"/>
      <c r="G12" s="18"/>
      <c r="H12" s="19"/>
      <c r="I12" s="11"/>
    </row>
    <row r="13" spans="2:9" ht="15.75">
      <c r="B13" s="12"/>
      <c r="C13"/>
      <c r="D13" s="16">
        <v>2034</v>
      </c>
      <c r="E13" s="17">
        <f>'P4_ANEXO 1 -2033 a 2037'!AD82</f>
        <v>199990.8</v>
      </c>
      <c r="F13" s="85"/>
      <c r="G13" s="18"/>
      <c r="H13" s="20"/>
      <c r="I13" s="11"/>
    </row>
    <row r="14" spans="2:9" ht="15.75">
      <c r="B14" s="12"/>
      <c r="C14"/>
      <c r="D14" s="16">
        <v>2035</v>
      </c>
      <c r="E14" s="17">
        <f>'P4_ANEXO 1 -2033 a 2037'!AD122</f>
        <v>199990.8</v>
      </c>
      <c r="F14" s="85"/>
      <c r="G14" s="18"/>
      <c r="H14" s="20"/>
      <c r="I14" s="11"/>
    </row>
    <row r="15" spans="2:9" ht="15.75">
      <c r="B15" s="12"/>
      <c r="C15"/>
      <c r="D15" s="16">
        <v>2036</v>
      </c>
      <c r="E15" s="17">
        <f>'P4_ANEXO 1 -2033 a 2037'!AD162</f>
        <v>200538.72</v>
      </c>
      <c r="F15" s="85"/>
      <c r="G15" s="18"/>
      <c r="H15" s="20"/>
      <c r="I15" s="11"/>
    </row>
    <row r="16" spans="2:9" ht="15.75">
      <c r="B16" s="12"/>
      <c r="C16"/>
      <c r="D16" s="16">
        <v>2037</v>
      </c>
      <c r="E16" s="17">
        <f>'P4_ANEXO 1 -2033 a 2037'!AD202</f>
        <v>199990.8</v>
      </c>
      <c r="F16" s="85"/>
      <c r="G16" s="18"/>
      <c r="H16" s="20"/>
      <c r="I16" s="11"/>
    </row>
    <row r="17" spans="2:14" ht="15.75">
      <c r="B17" s="12"/>
      <c r="C17"/>
      <c r="D17" s="21" t="s">
        <v>54</v>
      </c>
      <c r="E17" s="22">
        <f>SUM(E12:E16)</f>
        <v>1000501.92</v>
      </c>
      <c r="I17" s="11"/>
    </row>
    <row r="18" spans="2:14" ht="15.75">
      <c r="B18" s="6"/>
      <c r="I18" s="11"/>
    </row>
    <row r="19" spans="2:14">
      <c r="B19" s="6"/>
      <c r="I19" s="8"/>
    </row>
    <row r="20" spans="2:14" ht="15.75">
      <c r="B20" s="6"/>
      <c r="C20" s="23" t="s">
        <v>55</v>
      </c>
      <c r="D20"/>
      <c r="I20" s="8"/>
      <c r="N20" s="25"/>
    </row>
    <row r="21" spans="2:14" ht="30.95" customHeight="1">
      <c r="B21" s="6"/>
      <c r="C21" s="26">
        <v>1</v>
      </c>
      <c r="D21" s="84" t="s">
        <v>66</v>
      </c>
      <c r="E21" s="84"/>
      <c r="F21" s="84"/>
      <c r="G21" s="84"/>
      <c r="H21" s="84"/>
      <c r="I21" s="8"/>
    </row>
    <row r="22" spans="2:14">
      <c r="B22" s="6"/>
      <c r="C22" s="26">
        <v>2</v>
      </c>
      <c r="D22" s="84" t="s">
        <v>75</v>
      </c>
      <c r="E22" s="84"/>
      <c r="F22" s="84"/>
      <c r="G22" s="84"/>
      <c r="H22" s="84"/>
      <c r="I22" s="8"/>
    </row>
    <row r="23" spans="2:14" ht="32.450000000000003" customHeight="1">
      <c r="B23" s="6"/>
      <c r="C23" s="26">
        <v>3</v>
      </c>
      <c r="D23" s="84" t="s">
        <v>58</v>
      </c>
      <c r="E23" s="84"/>
      <c r="F23" s="84"/>
      <c r="G23" s="84"/>
      <c r="H23" s="84"/>
      <c r="I23" s="8"/>
    </row>
    <row r="24" spans="2:14">
      <c r="B24" s="6"/>
      <c r="C24" s="26">
        <v>4</v>
      </c>
      <c r="D24" s="84" t="s">
        <v>59</v>
      </c>
      <c r="E24" s="84"/>
      <c r="F24" s="84"/>
      <c r="G24" s="84"/>
      <c r="H24" s="84"/>
      <c r="I24" s="8"/>
    </row>
    <row r="25" spans="2:14">
      <c r="B25" s="6"/>
      <c r="D25" s="24"/>
      <c r="I25" s="8"/>
    </row>
    <row r="26" spans="2:14">
      <c r="B26" s="6"/>
      <c r="D26" s="24"/>
      <c r="I26" s="8"/>
    </row>
    <row r="27" spans="2:14">
      <c r="B27" s="27"/>
      <c r="C27" s="28"/>
      <c r="D27" s="28"/>
      <c r="E27" s="28"/>
      <c r="F27" s="28"/>
      <c r="G27" s="28"/>
      <c r="H27" s="28"/>
      <c r="I27" s="29"/>
    </row>
  </sheetData>
  <mergeCells count="5">
    <mergeCell ref="D21:H21"/>
    <mergeCell ref="D22:H22"/>
    <mergeCell ref="D23:H23"/>
    <mergeCell ref="D24:H24"/>
    <mergeCell ref="F12:F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FB9D"/>
  </sheetPr>
  <dimension ref="B1:AK402"/>
  <sheetViews>
    <sheetView showGridLines="0" topLeftCell="A70" zoomScale="60" zoomScaleNormal="60" workbookViewId="0">
      <selection activeCell="U46" sqref="U46"/>
    </sheetView>
  </sheetViews>
  <sheetFormatPr baseColWidth="10" defaultColWidth="11" defaultRowHeight="15"/>
  <cols>
    <col min="1" max="1" width="2.88671875" customWidth="1"/>
    <col min="4" max="20" width="7.33203125" bestFit="1" customWidth="1"/>
    <col min="21" max="25" width="8.44140625" bestFit="1" customWidth="1"/>
    <col min="26" max="27" width="7.33203125" bestFit="1" customWidth="1"/>
    <col min="28" max="28" width="7.109375" customWidth="1"/>
    <col min="29" max="29" width="8.6640625" customWidth="1"/>
    <col min="30" max="30" width="11.5546875" customWidth="1"/>
    <col min="31" max="32" width="6.77734375" customWidth="1"/>
    <col min="33" max="36" width="2.77734375" customWidth="1"/>
    <col min="37" max="37" width="5.6640625" customWidth="1"/>
    <col min="38" max="38" width="2.77734375" customWidth="1"/>
    <col min="39" max="39" width="5.6640625" customWidth="1"/>
    <col min="40" max="48" width="6.77734375" customWidth="1"/>
    <col min="49" max="49" width="7.77734375" customWidth="1"/>
    <col min="50" max="54" width="6.77734375" customWidth="1"/>
  </cols>
  <sheetData>
    <row r="1" spans="2:30" ht="23.25">
      <c r="B1" s="30" t="s">
        <v>0</v>
      </c>
    </row>
    <row r="2" spans="2:30" ht="23.25">
      <c r="B2" s="30" t="s">
        <v>76</v>
      </c>
    </row>
    <row r="3" spans="2:30" ht="23.25">
      <c r="B3" s="30"/>
    </row>
    <row r="4" spans="2:30" ht="23.25">
      <c r="B4" s="30" t="s">
        <v>77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2:30">
      <c r="B5" s="32" t="s">
        <v>3</v>
      </c>
      <c r="C5" s="32" t="s">
        <v>4</v>
      </c>
      <c r="D5" s="32" t="s">
        <v>5</v>
      </c>
      <c r="E5" s="32" t="s">
        <v>6</v>
      </c>
      <c r="F5" s="32" t="s">
        <v>7</v>
      </c>
      <c r="G5" s="32" t="s">
        <v>8</v>
      </c>
      <c r="H5" s="32" t="s">
        <v>9</v>
      </c>
      <c r="I5" s="32" t="s">
        <v>10</v>
      </c>
      <c r="J5" s="32" t="s">
        <v>11</v>
      </c>
      <c r="K5" s="32" t="s">
        <v>12</v>
      </c>
      <c r="L5" s="32" t="s">
        <v>13</v>
      </c>
      <c r="M5" s="32" t="s">
        <v>14</v>
      </c>
      <c r="N5" s="32" t="s">
        <v>15</v>
      </c>
      <c r="O5" s="32" t="s">
        <v>16</v>
      </c>
      <c r="P5" s="32" t="s">
        <v>17</v>
      </c>
      <c r="Q5" s="32" t="s">
        <v>18</v>
      </c>
      <c r="R5" s="32" t="s">
        <v>19</v>
      </c>
      <c r="S5" s="32" t="s">
        <v>20</v>
      </c>
      <c r="T5" s="32" t="s">
        <v>21</v>
      </c>
      <c r="U5" s="32" t="s">
        <v>22</v>
      </c>
      <c r="V5" s="32" t="s">
        <v>23</v>
      </c>
      <c r="W5" s="32" t="s">
        <v>24</v>
      </c>
      <c r="X5" s="32" t="s">
        <v>25</v>
      </c>
      <c r="Y5" s="32" t="s">
        <v>26</v>
      </c>
      <c r="Z5" s="32" t="s">
        <v>27</v>
      </c>
      <c r="AA5" s="32" t="s">
        <v>28</v>
      </c>
      <c r="AB5" s="33" t="s">
        <v>29</v>
      </c>
      <c r="AC5" s="33" t="s">
        <v>30</v>
      </c>
      <c r="AD5" s="32" t="s">
        <v>31</v>
      </c>
    </row>
    <row r="6" spans="2:30">
      <c r="B6" s="89">
        <v>46753</v>
      </c>
      <c r="C6" s="34" t="s">
        <v>32</v>
      </c>
      <c r="D6" s="35">
        <v>16.03</v>
      </c>
      <c r="E6" s="35">
        <v>13.1</v>
      </c>
      <c r="F6" s="35">
        <v>0</v>
      </c>
      <c r="G6" s="35">
        <v>0</v>
      </c>
      <c r="H6" s="35">
        <v>0</v>
      </c>
      <c r="I6" s="35">
        <v>0</v>
      </c>
      <c r="J6" s="35">
        <v>0.28000000000000003</v>
      </c>
      <c r="K6" s="35">
        <v>0</v>
      </c>
      <c r="L6" s="35">
        <v>3.59</v>
      </c>
      <c r="M6" s="35">
        <v>12.66</v>
      </c>
      <c r="N6" s="35">
        <v>18.38</v>
      </c>
      <c r="O6" s="35">
        <v>31.43</v>
      </c>
      <c r="P6" s="35">
        <v>36.86</v>
      </c>
      <c r="Q6" s="35">
        <v>36</v>
      </c>
      <c r="R6" s="35">
        <v>52.7</v>
      </c>
      <c r="S6" s="35">
        <v>54.15</v>
      </c>
      <c r="T6" s="35">
        <v>57.11</v>
      </c>
      <c r="U6" s="35">
        <v>82.43</v>
      </c>
      <c r="V6" s="35">
        <v>88.91</v>
      </c>
      <c r="W6" s="35">
        <v>95.76</v>
      </c>
      <c r="X6" s="35">
        <v>84.76</v>
      </c>
      <c r="Y6" s="35">
        <v>81.81</v>
      </c>
      <c r="Z6" s="35">
        <v>57.67</v>
      </c>
      <c r="AA6" s="35">
        <v>41.1</v>
      </c>
      <c r="AB6" s="36">
        <f>SUM(D6:AA6)</f>
        <v>864.73</v>
      </c>
      <c r="AC6" s="37">
        <v>20</v>
      </c>
      <c r="AD6" s="91">
        <f>+AB6*AC6+AB7*AC7+AB8*AC8</f>
        <v>26806.63</v>
      </c>
    </row>
    <row r="7" spans="2:30">
      <c r="B7" s="89"/>
      <c r="C7" s="34" t="s">
        <v>33</v>
      </c>
      <c r="D7" s="35">
        <v>16.03</v>
      </c>
      <c r="E7" s="35">
        <v>13.1</v>
      </c>
      <c r="F7" s="35">
        <v>0</v>
      </c>
      <c r="G7" s="35">
        <v>0</v>
      </c>
      <c r="H7" s="35">
        <v>0</v>
      </c>
      <c r="I7" s="35">
        <v>0</v>
      </c>
      <c r="J7" s="35">
        <v>0.28000000000000003</v>
      </c>
      <c r="K7" s="35">
        <v>0</v>
      </c>
      <c r="L7" s="35">
        <v>3.59</v>
      </c>
      <c r="M7" s="35">
        <v>12.66</v>
      </c>
      <c r="N7" s="35">
        <v>18.38</v>
      </c>
      <c r="O7" s="35">
        <v>31.43</v>
      </c>
      <c r="P7" s="35">
        <v>36.86</v>
      </c>
      <c r="Q7" s="35">
        <v>36</v>
      </c>
      <c r="R7" s="35">
        <v>52.7</v>
      </c>
      <c r="S7" s="35">
        <v>54.15</v>
      </c>
      <c r="T7" s="35">
        <v>57.11</v>
      </c>
      <c r="U7" s="35">
        <v>82.43</v>
      </c>
      <c r="V7" s="35">
        <v>88.91</v>
      </c>
      <c r="W7" s="35">
        <v>95.76</v>
      </c>
      <c r="X7" s="35">
        <v>84.76</v>
      </c>
      <c r="Y7" s="35">
        <v>81.81</v>
      </c>
      <c r="Z7" s="35">
        <v>57.67</v>
      </c>
      <c r="AA7" s="35">
        <v>41.1</v>
      </c>
      <c r="AB7" s="36">
        <f t="shared" ref="AB7:AB41" si="0">SUM(D7:AA7)</f>
        <v>864.73</v>
      </c>
      <c r="AC7" s="37">
        <v>4</v>
      </c>
      <c r="AD7" s="91"/>
    </row>
    <row r="8" spans="2:30">
      <c r="B8" s="89"/>
      <c r="C8" s="34" t="s">
        <v>34</v>
      </c>
      <c r="D8" s="35">
        <v>16.03</v>
      </c>
      <c r="E8" s="35">
        <v>13.1</v>
      </c>
      <c r="F8" s="35">
        <v>0</v>
      </c>
      <c r="G8" s="35">
        <v>0</v>
      </c>
      <c r="H8" s="35">
        <v>0</v>
      </c>
      <c r="I8" s="35">
        <v>0</v>
      </c>
      <c r="J8" s="35">
        <v>0.28000000000000003</v>
      </c>
      <c r="K8" s="35">
        <v>0</v>
      </c>
      <c r="L8" s="35">
        <v>3.59</v>
      </c>
      <c r="M8" s="35">
        <v>12.66</v>
      </c>
      <c r="N8" s="35">
        <v>18.38</v>
      </c>
      <c r="O8" s="35">
        <v>31.43</v>
      </c>
      <c r="P8" s="35">
        <v>36.86</v>
      </c>
      <c r="Q8" s="35">
        <v>36</v>
      </c>
      <c r="R8" s="35">
        <v>52.7</v>
      </c>
      <c r="S8" s="35">
        <v>54.15</v>
      </c>
      <c r="T8" s="35">
        <v>57.11</v>
      </c>
      <c r="U8" s="35">
        <v>82.43</v>
      </c>
      <c r="V8" s="35">
        <v>88.91</v>
      </c>
      <c r="W8" s="35">
        <v>95.76</v>
      </c>
      <c r="X8" s="35">
        <v>84.76</v>
      </c>
      <c r="Y8" s="35">
        <v>81.81</v>
      </c>
      <c r="Z8" s="35">
        <v>57.67</v>
      </c>
      <c r="AA8" s="35">
        <v>41.1</v>
      </c>
      <c r="AB8" s="36">
        <f t="shared" si="0"/>
        <v>864.73</v>
      </c>
      <c r="AC8" s="37">
        <v>7</v>
      </c>
      <c r="AD8" s="91"/>
    </row>
    <row r="9" spans="2:30">
      <c r="B9" s="89">
        <v>46784</v>
      </c>
      <c r="C9" s="34" t="s">
        <v>32</v>
      </c>
      <c r="D9" s="35">
        <v>16.03</v>
      </c>
      <c r="E9" s="35">
        <v>13.1</v>
      </c>
      <c r="F9" s="35">
        <v>0</v>
      </c>
      <c r="G9" s="35">
        <v>0</v>
      </c>
      <c r="H9" s="35">
        <v>0</v>
      </c>
      <c r="I9" s="35">
        <v>0</v>
      </c>
      <c r="J9" s="35">
        <v>0.28000000000000003</v>
      </c>
      <c r="K9" s="35">
        <v>0</v>
      </c>
      <c r="L9" s="35">
        <v>3.59</v>
      </c>
      <c r="M9" s="35">
        <v>12.66</v>
      </c>
      <c r="N9" s="35">
        <v>18.38</v>
      </c>
      <c r="O9" s="35">
        <v>31.43</v>
      </c>
      <c r="P9" s="35">
        <v>36.86</v>
      </c>
      <c r="Q9" s="35">
        <v>36</v>
      </c>
      <c r="R9" s="35">
        <v>52.7</v>
      </c>
      <c r="S9" s="35">
        <v>54.15</v>
      </c>
      <c r="T9" s="35">
        <v>57.11</v>
      </c>
      <c r="U9" s="35">
        <v>82.43</v>
      </c>
      <c r="V9" s="35">
        <v>88.91</v>
      </c>
      <c r="W9" s="35">
        <v>95.76</v>
      </c>
      <c r="X9" s="35">
        <v>84.76</v>
      </c>
      <c r="Y9" s="35">
        <v>81.81</v>
      </c>
      <c r="Z9" s="35">
        <v>57.67</v>
      </c>
      <c r="AA9" s="35">
        <v>41.1</v>
      </c>
      <c r="AB9" s="36">
        <f t="shared" si="0"/>
        <v>864.73</v>
      </c>
      <c r="AC9" s="37">
        <v>21</v>
      </c>
      <c r="AD9" s="91">
        <f>+AB9*AC9+AB10*AC10+AB11*AC11</f>
        <v>25077.17</v>
      </c>
    </row>
    <row r="10" spans="2:30">
      <c r="B10" s="89"/>
      <c r="C10" s="34" t="s">
        <v>33</v>
      </c>
      <c r="D10" s="35">
        <v>16.03</v>
      </c>
      <c r="E10" s="35">
        <v>13.1</v>
      </c>
      <c r="F10" s="35">
        <v>0</v>
      </c>
      <c r="G10" s="35">
        <v>0</v>
      </c>
      <c r="H10" s="35">
        <v>0</v>
      </c>
      <c r="I10" s="35">
        <v>0</v>
      </c>
      <c r="J10" s="35">
        <v>0.28000000000000003</v>
      </c>
      <c r="K10" s="35">
        <v>0</v>
      </c>
      <c r="L10" s="35">
        <v>3.59</v>
      </c>
      <c r="M10" s="35">
        <v>12.66</v>
      </c>
      <c r="N10" s="35">
        <v>18.38</v>
      </c>
      <c r="O10" s="35">
        <v>31.43</v>
      </c>
      <c r="P10" s="35">
        <v>36.86</v>
      </c>
      <c r="Q10" s="35">
        <v>36</v>
      </c>
      <c r="R10" s="35">
        <v>52.7</v>
      </c>
      <c r="S10" s="35">
        <v>54.15</v>
      </c>
      <c r="T10" s="35">
        <v>57.11</v>
      </c>
      <c r="U10" s="35">
        <v>82.43</v>
      </c>
      <c r="V10" s="35">
        <v>88.91</v>
      </c>
      <c r="W10" s="35">
        <v>95.76</v>
      </c>
      <c r="X10" s="35">
        <v>84.76</v>
      </c>
      <c r="Y10" s="35">
        <v>81.81</v>
      </c>
      <c r="Z10" s="35">
        <v>57.67</v>
      </c>
      <c r="AA10" s="35">
        <v>41.1</v>
      </c>
      <c r="AB10" s="36">
        <f t="shared" si="0"/>
        <v>864.73</v>
      </c>
      <c r="AC10" s="37">
        <v>4</v>
      </c>
      <c r="AD10" s="91"/>
    </row>
    <row r="11" spans="2:30">
      <c r="B11" s="89"/>
      <c r="C11" s="34" t="s">
        <v>34</v>
      </c>
      <c r="D11" s="35">
        <v>16.03</v>
      </c>
      <c r="E11" s="35">
        <v>13.1</v>
      </c>
      <c r="F11" s="35">
        <v>0</v>
      </c>
      <c r="G11" s="35">
        <v>0</v>
      </c>
      <c r="H11" s="35">
        <v>0</v>
      </c>
      <c r="I11" s="35">
        <v>0</v>
      </c>
      <c r="J11" s="35">
        <v>0.28000000000000003</v>
      </c>
      <c r="K11" s="35">
        <v>0</v>
      </c>
      <c r="L11" s="35">
        <v>3.59</v>
      </c>
      <c r="M11" s="35">
        <v>12.66</v>
      </c>
      <c r="N11" s="35">
        <v>18.38</v>
      </c>
      <c r="O11" s="35">
        <v>31.43</v>
      </c>
      <c r="P11" s="35">
        <v>36.86</v>
      </c>
      <c r="Q11" s="35">
        <v>36</v>
      </c>
      <c r="R11" s="35">
        <v>52.7</v>
      </c>
      <c r="S11" s="35">
        <v>54.15</v>
      </c>
      <c r="T11" s="35">
        <v>57.11</v>
      </c>
      <c r="U11" s="35">
        <v>82.43</v>
      </c>
      <c r="V11" s="35">
        <v>88.91</v>
      </c>
      <c r="W11" s="35">
        <v>95.76</v>
      </c>
      <c r="X11" s="35">
        <v>84.76</v>
      </c>
      <c r="Y11" s="35">
        <v>81.81</v>
      </c>
      <c r="Z11" s="35">
        <v>57.67</v>
      </c>
      <c r="AA11" s="35">
        <v>41.1</v>
      </c>
      <c r="AB11" s="36">
        <f t="shared" si="0"/>
        <v>864.73</v>
      </c>
      <c r="AC11" s="37">
        <v>4</v>
      </c>
      <c r="AD11" s="91"/>
    </row>
    <row r="12" spans="2:30">
      <c r="B12" s="89">
        <v>46813</v>
      </c>
      <c r="C12" s="34" t="s">
        <v>32</v>
      </c>
      <c r="D12" s="35">
        <v>16.03</v>
      </c>
      <c r="E12" s="35">
        <v>13.1</v>
      </c>
      <c r="F12" s="35">
        <v>0</v>
      </c>
      <c r="G12" s="35">
        <v>0</v>
      </c>
      <c r="H12" s="35">
        <v>0</v>
      </c>
      <c r="I12" s="35">
        <v>0</v>
      </c>
      <c r="J12" s="35">
        <v>0.28000000000000003</v>
      </c>
      <c r="K12" s="35">
        <v>0</v>
      </c>
      <c r="L12" s="35">
        <v>3.59</v>
      </c>
      <c r="M12" s="35">
        <v>12.66</v>
      </c>
      <c r="N12" s="35">
        <v>18.38</v>
      </c>
      <c r="O12" s="35">
        <v>31.43</v>
      </c>
      <c r="P12" s="35">
        <v>36.86</v>
      </c>
      <c r="Q12" s="35">
        <v>36</v>
      </c>
      <c r="R12" s="35">
        <v>52.7</v>
      </c>
      <c r="S12" s="35">
        <v>54.15</v>
      </c>
      <c r="T12" s="35">
        <v>57.11</v>
      </c>
      <c r="U12" s="35">
        <v>82.43</v>
      </c>
      <c r="V12" s="35">
        <v>88.91</v>
      </c>
      <c r="W12" s="35">
        <v>95.76</v>
      </c>
      <c r="X12" s="35">
        <v>84.76</v>
      </c>
      <c r="Y12" s="35">
        <v>81.81</v>
      </c>
      <c r="Z12" s="35">
        <v>57.67</v>
      </c>
      <c r="AA12" s="35">
        <v>41.1</v>
      </c>
      <c r="AB12" s="36">
        <f t="shared" si="0"/>
        <v>864.73</v>
      </c>
      <c r="AC12" s="37">
        <v>22</v>
      </c>
      <c r="AD12" s="91">
        <f>+AB12*AC12+AB13*AC13+AB14*AC14</f>
        <v>26806.63</v>
      </c>
    </row>
    <row r="13" spans="2:30">
      <c r="B13" s="89"/>
      <c r="C13" s="34" t="s">
        <v>33</v>
      </c>
      <c r="D13" s="35">
        <v>16.03</v>
      </c>
      <c r="E13" s="35">
        <v>13.1</v>
      </c>
      <c r="F13" s="35">
        <v>0</v>
      </c>
      <c r="G13" s="35">
        <v>0</v>
      </c>
      <c r="H13" s="35">
        <v>0</v>
      </c>
      <c r="I13" s="35">
        <v>0</v>
      </c>
      <c r="J13" s="35">
        <v>0.28000000000000003</v>
      </c>
      <c r="K13" s="35">
        <v>0</v>
      </c>
      <c r="L13" s="35">
        <v>3.59</v>
      </c>
      <c r="M13" s="35">
        <v>12.66</v>
      </c>
      <c r="N13" s="35">
        <v>18.38</v>
      </c>
      <c r="O13" s="35">
        <v>31.43</v>
      </c>
      <c r="P13" s="35">
        <v>36.86</v>
      </c>
      <c r="Q13" s="35">
        <v>36</v>
      </c>
      <c r="R13" s="35">
        <v>52.7</v>
      </c>
      <c r="S13" s="35">
        <v>54.15</v>
      </c>
      <c r="T13" s="35">
        <v>57.11</v>
      </c>
      <c r="U13" s="35">
        <v>82.43</v>
      </c>
      <c r="V13" s="35">
        <v>88.91</v>
      </c>
      <c r="W13" s="35">
        <v>95.76</v>
      </c>
      <c r="X13" s="35">
        <v>84.76</v>
      </c>
      <c r="Y13" s="35">
        <v>81.81</v>
      </c>
      <c r="Z13" s="35">
        <v>57.67</v>
      </c>
      <c r="AA13" s="35">
        <v>41.1</v>
      </c>
      <c r="AB13" s="36">
        <f t="shared" si="0"/>
        <v>864.73</v>
      </c>
      <c r="AC13" s="37">
        <v>4</v>
      </c>
      <c r="AD13" s="91"/>
    </row>
    <row r="14" spans="2:30">
      <c r="B14" s="89"/>
      <c r="C14" s="34" t="s">
        <v>34</v>
      </c>
      <c r="D14" s="35">
        <v>16.03</v>
      </c>
      <c r="E14" s="35">
        <v>13.1</v>
      </c>
      <c r="F14" s="35">
        <v>0</v>
      </c>
      <c r="G14" s="35">
        <v>0</v>
      </c>
      <c r="H14" s="35">
        <v>0</v>
      </c>
      <c r="I14" s="35">
        <v>0</v>
      </c>
      <c r="J14" s="35">
        <v>0.28000000000000003</v>
      </c>
      <c r="K14" s="35">
        <v>0</v>
      </c>
      <c r="L14" s="35">
        <v>3.59</v>
      </c>
      <c r="M14" s="35">
        <v>12.66</v>
      </c>
      <c r="N14" s="35">
        <v>18.38</v>
      </c>
      <c r="O14" s="35">
        <v>31.43</v>
      </c>
      <c r="P14" s="35">
        <v>36.86</v>
      </c>
      <c r="Q14" s="35">
        <v>36</v>
      </c>
      <c r="R14" s="35">
        <v>52.7</v>
      </c>
      <c r="S14" s="35">
        <v>54.15</v>
      </c>
      <c r="T14" s="35">
        <v>57.11</v>
      </c>
      <c r="U14" s="35">
        <v>82.43</v>
      </c>
      <c r="V14" s="35">
        <v>88.91</v>
      </c>
      <c r="W14" s="35">
        <v>95.76</v>
      </c>
      <c r="X14" s="35">
        <v>84.76</v>
      </c>
      <c r="Y14" s="35">
        <v>81.81</v>
      </c>
      <c r="Z14" s="35">
        <v>57.67</v>
      </c>
      <c r="AA14" s="35">
        <v>41.1</v>
      </c>
      <c r="AB14" s="36">
        <f t="shared" si="0"/>
        <v>864.73</v>
      </c>
      <c r="AC14" s="37">
        <v>5</v>
      </c>
      <c r="AD14" s="91"/>
    </row>
    <row r="15" spans="2:30">
      <c r="B15" s="89">
        <v>46844</v>
      </c>
      <c r="C15" s="34" t="s">
        <v>32</v>
      </c>
      <c r="D15" s="35">
        <v>16.03</v>
      </c>
      <c r="E15" s="35">
        <v>13.1</v>
      </c>
      <c r="F15" s="35">
        <v>0</v>
      </c>
      <c r="G15" s="35">
        <v>0</v>
      </c>
      <c r="H15" s="35">
        <v>0</v>
      </c>
      <c r="I15" s="35">
        <v>0</v>
      </c>
      <c r="J15" s="35">
        <v>0.28000000000000003</v>
      </c>
      <c r="K15" s="35">
        <v>0</v>
      </c>
      <c r="L15" s="35">
        <v>3.59</v>
      </c>
      <c r="M15" s="35">
        <v>12.66</v>
      </c>
      <c r="N15" s="35">
        <v>18.38</v>
      </c>
      <c r="O15" s="35">
        <v>31.43</v>
      </c>
      <c r="P15" s="35">
        <v>36.86</v>
      </c>
      <c r="Q15" s="35">
        <v>36</v>
      </c>
      <c r="R15" s="35">
        <v>52.7</v>
      </c>
      <c r="S15" s="35">
        <v>54.15</v>
      </c>
      <c r="T15" s="35">
        <v>57.11</v>
      </c>
      <c r="U15" s="35">
        <v>82.43</v>
      </c>
      <c r="V15" s="35">
        <v>88.91</v>
      </c>
      <c r="W15" s="35">
        <v>95.76</v>
      </c>
      <c r="X15" s="35">
        <v>84.76</v>
      </c>
      <c r="Y15" s="35">
        <v>81.81</v>
      </c>
      <c r="Z15" s="35">
        <v>57.67</v>
      </c>
      <c r="AA15" s="35">
        <v>41.1</v>
      </c>
      <c r="AB15" s="36">
        <f t="shared" si="0"/>
        <v>864.73</v>
      </c>
      <c r="AC15" s="37">
        <v>18</v>
      </c>
      <c r="AD15" s="91">
        <f>+AB15*AC15+AB16*AC16+AB17*AC17</f>
        <v>25941.9</v>
      </c>
    </row>
    <row r="16" spans="2:30">
      <c r="B16" s="89"/>
      <c r="C16" s="34" t="s">
        <v>33</v>
      </c>
      <c r="D16" s="35">
        <v>16.03</v>
      </c>
      <c r="E16" s="35">
        <v>13.1</v>
      </c>
      <c r="F16" s="35">
        <v>0</v>
      </c>
      <c r="G16" s="35">
        <v>0</v>
      </c>
      <c r="H16" s="35">
        <v>0</v>
      </c>
      <c r="I16" s="35">
        <v>0</v>
      </c>
      <c r="J16" s="35">
        <v>0.28000000000000003</v>
      </c>
      <c r="K16" s="35">
        <v>0</v>
      </c>
      <c r="L16" s="35">
        <v>3.59</v>
      </c>
      <c r="M16" s="35">
        <v>12.66</v>
      </c>
      <c r="N16" s="35">
        <v>18.38</v>
      </c>
      <c r="O16" s="35">
        <v>31.43</v>
      </c>
      <c r="P16" s="35">
        <v>36.86</v>
      </c>
      <c r="Q16" s="35">
        <v>36</v>
      </c>
      <c r="R16" s="35">
        <v>52.7</v>
      </c>
      <c r="S16" s="35">
        <v>54.15</v>
      </c>
      <c r="T16" s="35">
        <v>57.11</v>
      </c>
      <c r="U16" s="35">
        <v>82.43</v>
      </c>
      <c r="V16" s="35">
        <v>88.91</v>
      </c>
      <c r="W16" s="35">
        <v>95.76</v>
      </c>
      <c r="X16" s="35">
        <v>84.76</v>
      </c>
      <c r="Y16" s="35">
        <v>81.81</v>
      </c>
      <c r="Z16" s="35">
        <v>57.67</v>
      </c>
      <c r="AA16" s="35">
        <v>41.1</v>
      </c>
      <c r="AB16" s="36">
        <f t="shared" si="0"/>
        <v>864.73</v>
      </c>
      <c r="AC16" s="37">
        <v>5</v>
      </c>
      <c r="AD16" s="91"/>
    </row>
    <row r="17" spans="2:30">
      <c r="B17" s="89"/>
      <c r="C17" s="34" t="s">
        <v>34</v>
      </c>
      <c r="D17" s="35">
        <v>16.03</v>
      </c>
      <c r="E17" s="35">
        <v>13.1</v>
      </c>
      <c r="F17" s="35">
        <v>0</v>
      </c>
      <c r="G17" s="35">
        <v>0</v>
      </c>
      <c r="H17" s="35">
        <v>0</v>
      </c>
      <c r="I17" s="35">
        <v>0</v>
      </c>
      <c r="J17" s="35">
        <v>0.28000000000000003</v>
      </c>
      <c r="K17" s="35">
        <v>0</v>
      </c>
      <c r="L17" s="35">
        <v>3.59</v>
      </c>
      <c r="M17" s="35">
        <v>12.66</v>
      </c>
      <c r="N17" s="35">
        <v>18.38</v>
      </c>
      <c r="O17" s="35">
        <v>31.43</v>
      </c>
      <c r="P17" s="35">
        <v>36.86</v>
      </c>
      <c r="Q17" s="35">
        <v>36</v>
      </c>
      <c r="R17" s="35">
        <v>52.7</v>
      </c>
      <c r="S17" s="35">
        <v>54.15</v>
      </c>
      <c r="T17" s="35">
        <v>57.11</v>
      </c>
      <c r="U17" s="35">
        <v>82.43</v>
      </c>
      <c r="V17" s="35">
        <v>88.91</v>
      </c>
      <c r="W17" s="35">
        <v>95.76</v>
      </c>
      <c r="X17" s="35">
        <v>84.76</v>
      </c>
      <c r="Y17" s="35">
        <v>81.81</v>
      </c>
      <c r="Z17" s="35">
        <v>57.67</v>
      </c>
      <c r="AA17" s="35">
        <v>41.1</v>
      </c>
      <c r="AB17" s="36">
        <f t="shared" si="0"/>
        <v>864.73</v>
      </c>
      <c r="AC17" s="37">
        <v>7</v>
      </c>
      <c r="AD17" s="91"/>
    </row>
    <row r="18" spans="2:30">
      <c r="B18" s="89">
        <v>46874</v>
      </c>
      <c r="C18" s="34" t="s">
        <v>32</v>
      </c>
      <c r="D18" s="35">
        <v>16.03</v>
      </c>
      <c r="E18" s="35">
        <v>13.1</v>
      </c>
      <c r="F18" s="35">
        <v>0</v>
      </c>
      <c r="G18" s="35">
        <v>0</v>
      </c>
      <c r="H18" s="35">
        <v>0</v>
      </c>
      <c r="I18" s="35">
        <v>0</v>
      </c>
      <c r="J18" s="35">
        <v>0.28000000000000003</v>
      </c>
      <c r="K18" s="35">
        <v>0</v>
      </c>
      <c r="L18" s="35">
        <v>3.59</v>
      </c>
      <c r="M18" s="35">
        <v>12.66</v>
      </c>
      <c r="N18" s="35">
        <v>18.38</v>
      </c>
      <c r="O18" s="35">
        <v>31.43</v>
      </c>
      <c r="P18" s="35">
        <v>36.86</v>
      </c>
      <c r="Q18" s="35">
        <v>36</v>
      </c>
      <c r="R18" s="35">
        <v>52.7</v>
      </c>
      <c r="S18" s="35">
        <v>54.15</v>
      </c>
      <c r="T18" s="35">
        <v>57.11</v>
      </c>
      <c r="U18" s="35">
        <v>82.43</v>
      </c>
      <c r="V18" s="35">
        <v>88.91</v>
      </c>
      <c r="W18" s="35">
        <v>95.76</v>
      </c>
      <c r="X18" s="35">
        <v>84.76</v>
      </c>
      <c r="Y18" s="35">
        <v>81.81</v>
      </c>
      <c r="Z18" s="35">
        <v>57.67</v>
      </c>
      <c r="AA18" s="35">
        <v>41.1</v>
      </c>
      <c r="AB18" s="36">
        <f t="shared" si="0"/>
        <v>864.73</v>
      </c>
      <c r="AC18" s="37">
        <v>21</v>
      </c>
      <c r="AD18" s="91">
        <f>+AB18*AC18+AB19*AC19+AB20*AC20</f>
        <v>26806.63</v>
      </c>
    </row>
    <row r="19" spans="2:30">
      <c r="B19" s="89"/>
      <c r="C19" s="34" t="s">
        <v>33</v>
      </c>
      <c r="D19" s="35">
        <v>16.03</v>
      </c>
      <c r="E19" s="35">
        <v>13.1</v>
      </c>
      <c r="F19" s="35">
        <v>0</v>
      </c>
      <c r="G19" s="35">
        <v>0</v>
      </c>
      <c r="H19" s="35">
        <v>0</v>
      </c>
      <c r="I19" s="35">
        <v>0</v>
      </c>
      <c r="J19" s="35">
        <v>0.28000000000000003</v>
      </c>
      <c r="K19" s="35">
        <v>0</v>
      </c>
      <c r="L19" s="35">
        <v>3.59</v>
      </c>
      <c r="M19" s="35">
        <v>12.66</v>
      </c>
      <c r="N19" s="35">
        <v>18.38</v>
      </c>
      <c r="O19" s="35">
        <v>31.43</v>
      </c>
      <c r="P19" s="35">
        <v>36.86</v>
      </c>
      <c r="Q19" s="35">
        <v>36</v>
      </c>
      <c r="R19" s="35">
        <v>52.7</v>
      </c>
      <c r="S19" s="35">
        <v>54.15</v>
      </c>
      <c r="T19" s="35">
        <v>57.11</v>
      </c>
      <c r="U19" s="35">
        <v>82.43</v>
      </c>
      <c r="V19" s="35">
        <v>88.91</v>
      </c>
      <c r="W19" s="35">
        <v>95.76</v>
      </c>
      <c r="X19" s="35">
        <v>84.76</v>
      </c>
      <c r="Y19" s="35">
        <v>81.81</v>
      </c>
      <c r="Z19" s="35">
        <v>57.67</v>
      </c>
      <c r="AA19" s="35">
        <v>41.1</v>
      </c>
      <c r="AB19" s="36">
        <f t="shared" si="0"/>
        <v>864.73</v>
      </c>
      <c r="AC19" s="37">
        <v>4</v>
      </c>
      <c r="AD19" s="91"/>
    </row>
    <row r="20" spans="2:30">
      <c r="B20" s="89"/>
      <c r="C20" s="34" t="s">
        <v>34</v>
      </c>
      <c r="D20" s="35">
        <v>16.03</v>
      </c>
      <c r="E20" s="35">
        <v>13.1</v>
      </c>
      <c r="F20" s="35">
        <v>0</v>
      </c>
      <c r="G20" s="35">
        <v>0</v>
      </c>
      <c r="H20" s="35">
        <v>0</v>
      </c>
      <c r="I20" s="35">
        <v>0</v>
      </c>
      <c r="J20" s="35">
        <v>0.28000000000000003</v>
      </c>
      <c r="K20" s="35">
        <v>0</v>
      </c>
      <c r="L20" s="35">
        <v>3.59</v>
      </c>
      <c r="M20" s="35">
        <v>12.66</v>
      </c>
      <c r="N20" s="35">
        <v>18.38</v>
      </c>
      <c r="O20" s="35">
        <v>31.43</v>
      </c>
      <c r="P20" s="35">
        <v>36.86</v>
      </c>
      <c r="Q20" s="35">
        <v>36</v>
      </c>
      <c r="R20" s="35">
        <v>52.7</v>
      </c>
      <c r="S20" s="35">
        <v>54.15</v>
      </c>
      <c r="T20" s="35">
        <v>57.11</v>
      </c>
      <c r="U20" s="35">
        <v>82.43</v>
      </c>
      <c r="V20" s="35">
        <v>88.91</v>
      </c>
      <c r="W20" s="35">
        <v>95.76</v>
      </c>
      <c r="X20" s="35">
        <v>84.76</v>
      </c>
      <c r="Y20" s="35">
        <v>81.81</v>
      </c>
      <c r="Z20" s="35">
        <v>57.67</v>
      </c>
      <c r="AA20" s="35">
        <v>41.1</v>
      </c>
      <c r="AB20" s="36">
        <f t="shared" si="0"/>
        <v>864.73</v>
      </c>
      <c r="AC20" s="37">
        <v>6</v>
      </c>
      <c r="AD20" s="91"/>
    </row>
    <row r="21" spans="2:30">
      <c r="B21" s="89">
        <v>46905</v>
      </c>
      <c r="C21" s="34" t="s">
        <v>32</v>
      </c>
      <c r="D21" s="35">
        <v>16.03</v>
      </c>
      <c r="E21" s="35">
        <v>13.1</v>
      </c>
      <c r="F21" s="35">
        <v>0</v>
      </c>
      <c r="G21" s="35">
        <v>0</v>
      </c>
      <c r="H21" s="35">
        <v>0</v>
      </c>
      <c r="I21" s="35">
        <v>0</v>
      </c>
      <c r="J21" s="35">
        <v>0.28000000000000003</v>
      </c>
      <c r="K21" s="35">
        <v>0</v>
      </c>
      <c r="L21" s="35">
        <v>3.59</v>
      </c>
      <c r="M21" s="35">
        <v>12.66</v>
      </c>
      <c r="N21" s="35">
        <v>18.38</v>
      </c>
      <c r="O21" s="35">
        <v>31.43</v>
      </c>
      <c r="P21" s="35">
        <v>36.86</v>
      </c>
      <c r="Q21" s="35">
        <v>36</v>
      </c>
      <c r="R21" s="35">
        <v>52.7</v>
      </c>
      <c r="S21" s="35">
        <v>54.15</v>
      </c>
      <c r="T21" s="35">
        <v>57.11</v>
      </c>
      <c r="U21" s="35">
        <v>82.43</v>
      </c>
      <c r="V21" s="35">
        <v>88.91</v>
      </c>
      <c r="W21" s="35">
        <v>95.76</v>
      </c>
      <c r="X21" s="35">
        <v>84.76</v>
      </c>
      <c r="Y21" s="35">
        <v>81.81</v>
      </c>
      <c r="Z21" s="35">
        <v>57.67</v>
      </c>
      <c r="AA21" s="35">
        <v>41.1</v>
      </c>
      <c r="AB21" s="36">
        <f t="shared" si="0"/>
        <v>864.73</v>
      </c>
      <c r="AC21" s="37">
        <v>20</v>
      </c>
      <c r="AD21" s="91">
        <f>+AB21*AC21+AB22*AC22+AB23*AC23</f>
        <v>25941.9</v>
      </c>
    </row>
    <row r="22" spans="2:30">
      <c r="B22" s="89"/>
      <c r="C22" s="34" t="s">
        <v>33</v>
      </c>
      <c r="D22" s="35">
        <v>16.03</v>
      </c>
      <c r="E22" s="35">
        <v>13.1</v>
      </c>
      <c r="F22" s="35">
        <v>0</v>
      </c>
      <c r="G22" s="35">
        <v>0</v>
      </c>
      <c r="H22" s="35">
        <v>0</v>
      </c>
      <c r="I22" s="35">
        <v>0</v>
      </c>
      <c r="J22" s="35">
        <v>0.28000000000000003</v>
      </c>
      <c r="K22" s="35">
        <v>0</v>
      </c>
      <c r="L22" s="35">
        <v>3.59</v>
      </c>
      <c r="M22" s="35">
        <v>12.66</v>
      </c>
      <c r="N22" s="35">
        <v>18.38</v>
      </c>
      <c r="O22" s="35">
        <v>31.43</v>
      </c>
      <c r="P22" s="35">
        <v>36.86</v>
      </c>
      <c r="Q22" s="35">
        <v>36</v>
      </c>
      <c r="R22" s="35">
        <v>52.7</v>
      </c>
      <c r="S22" s="35">
        <v>54.15</v>
      </c>
      <c r="T22" s="35">
        <v>57.11</v>
      </c>
      <c r="U22" s="35">
        <v>82.43</v>
      </c>
      <c r="V22" s="35">
        <v>88.91</v>
      </c>
      <c r="W22" s="35">
        <v>95.76</v>
      </c>
      <c r="X22" s="35">
        <v>84.76</v>
      </c>
      <c r="Y22" s="35">
        <v>81.81</v>
      </c>
      <c r="Z22" s="35">
        <v>57.67</v>
      </c>
      <c r="AA22" s="35">
        <v>41.1</v>
      </c>
      <c r="AB22" s="36">
        <f t="shared" si="0"/>
        <v>864.73</v>
      </c>
      <c r="AC22" s="37">
        <v>4</v>
      </c>
      <c r="AD22" s="91"/>
    </row>
    <row r="23" spans="2:30">
      <c r="B23" s="89"/>
      <c r="C23" s="34" t="s">
        <v>34</v>
      </c>
      <c r="D23" s="35">
        <v>16.03</v>
      </c>
      <c r="E23" s="35">
        <v>13.1</v>
      </c>
      <c r="F23" s="35">
        <v>0</v>
      </c>
      <c r="G23" s="35">
        <v>0</v>
      </c>
      <c r="H23" s="35">
        <v>0</v>
      </c>
      <c r="I23" s="35">
        <v>0</v>
      </c>
      <c r="J23" s="35">
        <v>0.28000000000000003</v>
      </c>
      <c r="K23" s="35">
        <v>0</v>
      </c>
      <c r="L23" s="35">
        <v>3.59</v>
      </c>
      <c r="M23" s="35">
        <v>12.66</v>
      </c>
      <c r="N23" s="35">
        <v>18.38</v>
      </c>
      <c r="O23" s="35">
        <v>31.43</v>
      </c>
      <c r="P23" s="35">
        <v>36.86</v>
      </c>
      <c r="Q23" s="35">
        <v>36</v>
      </c>
      <c r="R23" s="35">
        <v>52.7</v>
      </c>
      <c r="S23" s="35">
        <v>54.15</v>
      </c>
      <c r="T23" s="35">
        <v>57.11</v>
      </c>
      <c r="U23" s="35">
        <v>82.43</v>
      </c>
      <c r="V23" s="35">
        <v>88.91</v>
      </c>
      <c r="W23" s="35">
        <v>95.76</v>
      </c>
      <c r="X23" s="35">
        <v>84.76</v>
      </c>
      <c r="Y23" s="35">
        <v>81.81</v>
      </c>
      <c r="Z23" s="35">
        <v>57.67</v>
      </c>
      <c r="AA23" s="35">
        <v>41.1</v>
      </c>
      <c r="AB23" s="36">
        <f t="shared" si="0"/>
        <v>864.73</v>
      </c>
      <c r="AC23" s="37">
        <v>6</v>
      </c>
      <c r="AD23" s="91"/>
    </row>
    <row r="24" spans="2:30">
      <c r="B24" s="89">
        <v>46935</v>
      </c>
      <c r="C24" s="34" t="s">
        <v>32</v>
      </c>
      <c r="D24" s="35">
        <v>16.03</v>
      </c>
      <c r="E24" s="35">
        <v>13.1</v>
      </c>
      <c r="F24" s="35">
        <v>0</v>
      </c>
      <c r="G24" s="35">
        <v>0</v>
      </c>
      <c r="H24" s="35">
        <v>0</v>
      </c>
      <c r="I24" s="35">
        <v>0</v>
      </c>
      <c r="J24" s="35">
        <v>0.28000000000000003</v>
      </c>
      <c r="K24" s="35">
        <v>0</v>
      </c>
      <c r="L24" s="35">
        <v>3.59</v>
      </c>
      <c r="M24" s="35">
        <v>12.66</v>
      </c>
      <c r="N24" s="35">
        <v>18.38</v>
      </c>
      <c r="O24" s="35">
        <v>31.43</v>
      </c>
      <c r="P24" s="35">
        <v>36.86</v>
      </c>
      <c r="Q24" s="35">
        <v>36</v>
      </c>
      <c r="R24" s="35">
        <v>52.7</v>
      </c>
      <c r="S24" s="35">
        <v>54.15</v>
      </c>
      <c r="T24" s="35">
        <v>57.11</v>
      </c>
      <c r="U24" s="35">
        <v>82.43</v>
      </c>
      <c r="V24" s="35">
        <v>88.91</v>
      </c>
      <c r="W24" s="35">
        <v>95.76</v>
      </c>
      <c r="X24" s="35">
        <v>84.76</v>
      </c>
      <c r="Y24" s="35">
        <v>81.81</v>
      </c>
      <c r="Z24" s="35">
        <v>57.67</v>
      </c>
      <c r="AA24" s="35">
        <v>41.1</v>
      </c>
      <c r="AB24" s="36">
        <f t="shared" si="0"/>
        <v>864.73</v>
      </c>
      <c r="AC24" s="37">
        <v>19</v>
      </c>
      <c r="AD24" s="91">
        <f>+AB24*AC24+AB25*AC25+AB26*AC26</f>
        <v>26806.63</v>
      </c>
    </row>
    <row r="25" spans="2:30">
      <c r="B25" s="89"/>
      <c r="C25" s="34" t="s">
        <v>33</v>
      </c>
      <c r="D25" s="35">
        <v>16.03</v>
      </c>
      <c r="E25" s="35">
        <v>13.1</v>
      </c>
      <c r="F25" s="35">
        <v>0</v>
      </c>
      <c r="G25" s="35">
        <v>0</v>
      </c>
      <c r="H25" s="35">
        <v>0</v>
      </c>
      <c r="I25" s="35">
        <v>0</v>
      </c>
      <c r="J25" s="35">
        <v>0.28000000000000003</v>
      </c>
      <c r="K25" s="35">
        <v>0</v>
      </c>
      <c r="L25" s="35">
        <v>3.59</v>
      </c>
      <c r="M25" s="35">
        <v>12.66</v>
      </c>
      <c r="N25" s="35">
        <v>18.38</v>
      </c>
      <c r="O25" s="35">
        <v>31.43</v>
      </c>
      <c r="P25" s="35">
        <v>36.86</v>
      </c>
      <c r="Q25" s="35">
        <v>36</v>
      </c>
      <c r="R25" s="35">
        <v>52.7</v>
      </c>
      <c r="S25" s="35">
        <v>54.15</v>
      </c>
      <c r="T25" s="35">
        <v>57.11</v>
      </c>
      <c r="U25" s="35">
        <v>82.43</v>
      </c>
      <c r="V25" s="35">
        <v>88.91</v>
      </c>
      <c r="W25" s="35">
        <v>95.76</v>
      </c>
      <c r="X25" s="35">
        <v>84.76</v>
      </c>
      <c r="Y25" s="35">
        <v>81.81</v>
      </c>
      <c r="Z25" s="35">
        <v>57.67</v>
      </c>
      <c r="AA25" s="35">
        <v>41.1</v>
      </c>
      <c r="AB25" s="36">
        <f t="shared" si="0"/>
        <v>864.73</v>
      </c>
      <c r="AC25" s="37">
        <v>5</v>
      </c>
      <c r="AD25" s="91"/>
    </row>
    <row r="26" spans="2:30">
      <c r="B26" s="89"/>
      <c r="C26" s="34" t="s">
        <v>34</v>
      </c>
      <c r="D26" s="35">
        <v>16.03</v>
      </c>
      <c r="E26" s="35">
        <v>13.1</v>
      </c>
      <c r="F26" s="35">
        <v>0</v>
      </c>
      <c r="G26" s="35">
        <v>0</v>
      </c>
      <c r="H26" s="35">
        <v>0</v>
      </c>
      <c r="I26" s="35">
        <v>0</v>
      </c>
      <c r="J26" s="35">
        <v>0.28000000000000003</v>
      </c>
      <c r="K26" s="35">
        <v>0</v>
      </c>
      <c r="L26" s="35">
        <v>3.59</v>
      </c>
      <c r="M26" s="35">
        <v>12.66</v>
      </c>
      <c r="N26" s="35">
        <v>18.38</v>
      </c>
      <c r="O26" s="35">
        <v>31.43</v>
      </c>
      <c r="P26" s="35">
        <v>36.86</v>
      </c>
      <c r="Q26" s="35">
        <v>36</v>
      </c>
      <c r="R26" s="35">
        <v>52.7</v>
      </c>
      <c r="S26" s="35">
        <v>54.15</v>
      </c>
      <c r="T26" s="35">
        <v>57.11</v>
      </c>
      <c r="U26" s="35">
        <v>82.43</v>
      </c>
      <c r="V26" s="35">
        <v>88.91</v>
      </c>
      <c r="W26" s="35">
        <v>95.76</v>
      </c>
      <c r="X26" s="35">
        <v>84.76</v>
      </c>
      <c r="Y26" s="35">
        <v>81.81</v>
      </c>
      <c r="Z26" s="35">
        <v>57.67</v>
      </c>
      <c r="AA26" s="35">
        <v>41.1</v>
      </c>
      <c r="AB26" s="36">
        <f t="shared" si="0"/>
        <v>864.73</v>
      </c>
      <c r="AC26" s="37">
        <v>7</v>
      </c>
      <c r="AD26" s="91"/>
    </row>
    <row r="27" spans="2:30">
      <c r="B27" s="89">
        <v>46966</v>
      </c>
      <c r="C27" s="34" t="s">
        <v>32</v>
      </c>
      <c r="D27" s="35">
        <v>16.03</v>
      </c>
      <c r="E27" s="35">
        <v>13.1</v>
      </c>
      <c r="F27" s="35">
        <v>0</v>
      </c>
      <c r="G27" s="35">
        <v>0</v>
      </c>
      <c r="H27" s="35">
        <v>0</v>
      </c>
      <c r="I27" s="35">
        <v>0</v>
      </c>
      <c r="J27" s="35">
        <v>0.28000000000000003</v>
      </c>
      <c r="K27" s="35">
        <v>0</v>
      </c>
      <c r="L27" s="35">
        <v>3.59</v>
      </c>
      <c r="M27" s="35">
        <v>12.66</v>
      </c>
      <c r="N27" s="35">
        <v>18.38</v>
      </c>
      <c r="O27" s="35">
        <v>31.43</v>
      </c>
      <c r="P27" s="35">
        <v>36.86</v>
      </c>
      <c r="Q27" s="35">
        <v>36</v>
      </c>
      <c r="R27" s="35">
        <v>52.7</v>
      </c>
      <c r="S27" s="35">
        <v>54.15</v>
      </c>
      <c r="T27" s="35">
        <v>57.11</v>
      </c>
      <c r="U27" s="35">
        <v>82.43</v>
      </c>
      <c r="V27" s="35">
        <v>88.91</v>
      </c>
      <c r="W27" s="35">
        <v>95.76</v>
      </c>
      <c r="X27" s="35">
        <v>84.76</v>
      </c>
      <c r="Y27" s="35">
        <v>81.81</v>
      </c>
      <c r="Z27" s="35">
        <v>57.67</v>
      </c>
      <c r="AA27" s="35">
        <v>41.1</v>
      </c>
      <c r="AB27" s="36">
        <f t="shared" si="0"/>
        <v>864.73</v>
      </c>
      <c r="AC27" s="37">
        <v>21</v>
      </c>
      <c r="AD27" s="91">
        <f>+AB27*AC27+AB28*AC28+AB29*AC29</f>
        <v>26806.63</v>
      </c>
    </row>
    <row r="28" spans="2:30">
      <c r="B28" s="89"/>
      <c r="C28" s="34" t="s">
        <v>33</v>
      </c>
      <c r="D28" s="35">
        <v>16.03</v>
      </c>
      <c r="E28" s="35">
        <v>13.1</v>
      </c>
      <c r="F28" s="35">
        <v>0</v>
      </c>
      <c r="G28" s="35">
        <v>0</v>
      </c>
      <c r="H28" s="35">
        <v>0</v>
      </c>
      <c r="I28" s="35">
        <v>0</v>
      </c>
      <c r="J28" s="35">
        <v>0.28000000000000003</v>
      </c>
      <c r="K28" s="35">
        <v>0</v>
      </c>
      <c r="L28" s="35">
        <v>3.59</v>
      </c>
      <c r="M28" s="35">
        <v>12.66</v>
      </c>
      <c r="N28" s="35">
        <v>18.38</v>
      </c>
      <c r="O28" s="35">
        <v>31.43</v>
      </c>
      <c r="P28" s="35">
        <v>36.86</v>
      </c>
      <c r="Q28" s="35">
        <v>36</v>
      </c>
      <c r="R28" s="35">
        <v>52.7</v>
      </c>
      <c r="S28" s="35">
        <v>54.15</v>
      </c>
      <c r="T28" s="35">
        <v>57.11</v>
      </c>
      <c r="U28" s="35">
        <v>82.43</v>
      </c>
      <c r="V28" s="35">
        <v>88.91</v>
      </c>
      <c r="W28" s="35">
        <v>95.76</v>
      </c>
      <c r="X28" s="35">
        <v>84.76</v>
      </c>
      <c r="Y28" s="35">
        <v>81.81</v>
      </c>
      <c r="Z28" s="35">
        <v>57.67</v>
      </c>
      <c r="AA28" s="35">
        <v>41.1</v>
      </c>
      <c r="AB28" s="36">
        <f t="shared" si="0"/>
        <v>864.73</v>
      </c>
      <c r="AC28" s="37">
        <v>4</v>
      </c>
      <c r="AD28" s="91"/>
    </row>
    <row r="29" spans="2:30">
      <c r="B29" s="89"/>
      <c r="C29" s="34" t="s">
        <v>34</v>
      </c>
      <c r="D29" s="35">
        <v>16.03</v>
      </c>
      <c r="E29" s="35">
        <v>13.1</v>
      </c>
      <c r="F29" s="35">
        <v>0</v>
      </c>
      <c r="G29" s="35">
        <v>0</v>
      </c>
      <c r="H29" s="35">
        <v>0</v>
      </c>
      <c r="I29" s="35">
        <v>0</v>
      </c>
      <c r="J29" s="35">
        <v>0.28000000000000003</v>
      </c>
      <c r="K29" s="35">
        <v>0</v>
      </c>
      <c r="L29" s="35">
        <v>3.59</v>
      </c>
      <c r="M29" s="35">
        <v>12.66</v>
      </c>
      <c r="N29" s="35">
        <v>18.38</v>
      </c>
      <c r="O29" s="35">
        <v>31.43</v>
      </c>
      <c r="P29" s="35">
        <v>36.86</v>
      </c>
      <c r="Q29" s="35">
        <v>36</v>
      </c>
      <c r="R29" s="35">
        <v>52.7</v>
      </c>
      <c r="S29" s="35">
        <v>54.15</v>
      </c>
      <c r="T29" s="35">
        <v>57.11</v>
      </c>
      <c r="U29" s="35">
        <v>82.43</v>
      </c>
      <c r="V29" s="35">
        <v>88.91</v>
      </c>
      <c r="W29" s="35">
        <v>95.76</v>
      </c>
      <c r="X29" s="35">
        <v>84.76</v>
      </c>
      <c r="Y29" s="35">
        <v>81.81</v>
      </c>
      <c r="Z29" s="35">
        <v>57.67</v>
      </c>
      <c r="AA29" s="35">
        <v>41.1</v>
      </c>
      <c r="AB29" s="36">
        <f t="shared" si="0"/>
        <v>864.73</v>
      </c>
      <c r="AC29" s="37">
        <v>6</v>
      </c>
      <c r="AD29" s="91"/>
    </row>
    <row r="30" spans="2:30">
      <c r="B30" s="89">
        <v>46997</v>
      </c>
      <c r="C30" s="34" t="s">
        <v>32</v>
      </c>
      <c r="D30" s="35">
        <v>16.03</v>
      </c>
      <c r="E30" s="35">
        <v>13.1</v>
      </c>
      <c r="F30" s="35">
        <v>0</v>
      </c>
      <c r="G30" s="35">
        <v>0</v>
      </c>
      <c r="H30" s="35">
        <v>0</v>
      </c>
      <c r="I30" s="35">
        <v>0</v>
      </c>
      <c r="J30" s="35">
        <v>0.28000000000000003</v>
      </c>
      <c r="K30" s="35">
        <v>0</v>
      </c>
      <c r="L30" s="35">
        <v>3.59</v>
      </c>
      <c r="M30" s="35">
        <v>12.66</v>
      </c>
      <c r="N30" s="35">
        <v>18.38</v>
      </c>
      <c r="O30" s="35">
        <v>31.43</v>
      </c>
      <c r="P30" s="35">
        <v>36.86</v>
      </c>
      <c r="Q30" s="35">
        <v>36</v>
      </c>
      <c r="R30" s="35">
        <v>52.7</v>
      </c>
      <c r="S30" s="35">
        <v>54.15</v>
      </c>
      <c r="T30" s="35">
        <v>57.11</v>
      </c>
      <c r="U30" s="35">
        <v>82.43</v>
      </c>
      <c r="V30" s="35">
        <v>88.91</v>
      </c>
      <c r="W30" s="35">
        <v>95.76</v>
      </c>
      <c r="X30" s="35">
        <v>84.76</v>
      </c>
      <c r="Y30" s="35">
        <v>81.81</v>
      </c>
      <c r="Z30" s="35">
        <v>57.67</v>
      </c>
      <c r="AA30" s="35">
        <v>41.1</v>
      </c>
      <c r="AB30" s="36">
        <f t="shared" si="0"/>
        <v>864.73</v>
      </c>
      <c r="AC30" s="37">
        <v>21</v>
      </c>
      <c r="AD30" s="91">
        <f>+AB30*AC30+AB31*AC31+AB32*AC32</f>
        <v>25941.9</v>
      </c>
    </row>
    <row r="31" spans="2:30">
      <c r="B31" s="89"/>
      <c r="C31" s="34" t="s">
        <v>33</v>
      </c>
      <c r="D31" s="35">
        <v>16.03</v>
      </c>
      <c r="E31" s="35">
        <v>13.1</v>
      </c>
      <c r="F31" s="35">
        <v>0</v>
      </c>
      <c r="G31" s="35">
        <v>0</v>
      </c>
      <c r="H31" s="35">
        <v>0</v>
      </c>
      <c r="I31" s="35">
        <v>0</v>
      </c>
      <c r="J31" s="35">
        <v>0.28000000000000003</v>
      </c>
      <c r="K31" s="35">
        <v>0</v>
      </c>
      <c r="L31" s="35">
        <v>3.59</v>
      </c>
      <c r="M31" s="35">
        <v>12.66</v>
      </c>
      <c r="N31" s="35">
        <v>18.38</v>
      </c>
      <c r="O31" s="35">
        <v>31.43</v>
      </c>
      <c r="P31" s="35">
        <v>36.86</v>
      </c>
      <c r="Q31" s="35">
        <v>36</v>
      </c>
      <c r="R31" s="35">
        <v>52.7</v>
      </c>
      <c r="S31" s="35">
        <v>54.15</v>
      </c>
      <c r="T31" s="35">
        <v>57.11</v>
      </c>
      <c r="U31" s="35">
        <v>82.43</v>
      </c>
      <c r="V31" s="35">
        <v>88.91</v>
      </c>
      <c r="W31" s="35">
        <v>95.76</v>
      </c>
      <c r="X31" s="35">
        <v>84.76</v>
      </c>
      <c r="Y31" s="35">
        <v>81.81</v>
      </c>
      <c r="Z31" s="35">
        <v>57.67</v>
      </c>
      <c r="AA31" s="35">
        <v>41.1</v>
      </c>
      <c r="AB31" s="36">
        <f t="shared" si="0"/>
        <v>864.73</v>
      </c>
      <c r="AC31" s="37">
        <v>5</v>
      </c>
      <c r="AD31" s="91"/>
    </row>
    <row r="32" spans="2:30">
      <c r="B32" s="89"/>
      <c r="C32" s="34" t="s">
        <v>34</v>
      </c>
      <c r="D32" s="35">
        <v>16.03</v>
      </c>
      <c r="E32" s="35">
        <v>13.1</v>
      </c>
      <c r="F32" s="35">
        <v>0</v>
      </c>
      <c r="G32" s="35">
        <v>0</v>
      </c>
      <c r="H32" s="35">
        <v>0</v>
      </c>
      <c r="I32" s="35">
        <v>0</v>
      </c>
      <c r="J32" s="35">
        <v>0.28000000000000003</v>
      </c>
      <c r="K32" s="35">
        <v>0</v>
      </c>
      <c r="L32" s="35">
        <v>3.59</v>
      </c>
      <c r="M32" s="35">
        <v>12.66</v>
      </c>
      <c r="N32" s="35">
        <v>18.38</v>
      </c>
      <c r="O32" s="35">
        <v>31.43</v>
      </c>
      <c r="P32" s="35">
        <v>36.86</v>
      </c>
      <c r="Q32" s="35">
        <v>36</v>
      </c>
      <c r="R32" s="35">
        <v>52.7</v>
      </c>
      <c r="S32" s="35">
        <v>54.15</v>
      </c>
      <c r="T32" s="35">
        <v>57.11</v>
      </c>
      <c r="U32" s="35">
        <v>82.43</v>
      </c>
      <c r="V32" s="35">
        <v>88.91</v>
      </c>
      <c r="W32" s="35">
        <v>95.76</v>
      </c>
      <c r="X32" s="35">
        <v>84.76</v>
      </c>
      <c r="Y32" s="35">
        <v>81.81</v>
      </c>
      <c r="Z32" s="35">
        <v>57.67</v>
      </c>
      <c r="AA32" s="35">
        <v>41.1</v>
      </c>
      <c r="AB32" s="36">
        <f t="shared" si="0"/>
        <v>864.73</v>
      </c>
      <c r="AC32" s="37">
        <v>4</v>
      </c>
      <c r="AD32" s="91"/>
    </row>
    <row r="33" spans="2:30">
      <c r="B33" s="89">
        <v>47027</v>
      </c>
      <c r="C33" s="34" t="s">
        <v>32</v>
      </c>
      <c r="D33" s="35">
        <v>16.03</v>
      </c>
      <c r="E33" s="35">
        <v>13.1</v>
      </c>
      <c r="F33" s="35">
        <v>0</v>
      </c>
      <c r="G33" s="35">
        <v>0</v>
      </c>
      <c r="H33" s="35">
        <v>0</v>
      </c>
      <c r="I33" s="35">
        <v>0</v>
      </c>
      <c r="J33" s="35">
        <v>0.28000000000000003</v>
      </c>
      <c r="K33" s="35">
        <v>0</v>
      </c>
      <c r="L33" s="35">
        <v>3.59</v>
      </c>
      <c r="M33" s="35">
        <v>12.66</v>
      </c>
      <c r="N33" s="35">
        <v>18.38</v>
      </c>
      <c r="O33" s="35">
        <v>31.43</v>
      </c>
      <c r="P33" s="35">
        <v>36.86</v>
      </c>
      <c r="Q33" s="35">
        <v>36</v>
      </c>
      <c r="R33" s="35">
        <v>52.7</v>
      </c>
      <c r="S33" s="35">
        <v>54.15</v>
      </c>
      <c r="T33" s="35">
        <v>57.11</v>
      </c>
      <c r="U33" s="35">
        <v>82.43</v>
      </c>
      <c r="V33" s="35">
        <v>88.91</v>
      </c>
      <c r="W33" s="35">
        <v>95.76</v>
      </c>
      <c r="X33" s="35">
        <v>84.76</v>
      </c>
      <c r="Y33" s="35">
        <v>81.81</v>
      </c>
      <c r="Z33" s="35">
        <v>57.67</v>
      </c>
      <c r="AA33" s="35">
        <v>41.1</v>
      </c>
      <c r="AB33" s="36">
        <f t="shared" si="0"/>
        <v>864.73</v>
      </c>
      <c r="AC33" s="37">
        <v>21</v>
      </c>
      <c r="AD33" s="91">
        <f>+AB33*AC33+AB34*AC34+AB35*AC35</f>
        <v>26806.63</v>
      </c>
    </row>
    <row r="34" spans="2:30">
      <c r="B34" s="89"/>
      <c r="C34" s="34" t="s">
        <v>33</v>
      </c>
      <c r="D34" s="35">
        <v>16.03</v>
      </c>
      <c r="E34" s="35">
        <v>13.1</v>
      </c>
      <c r="F34" s="35">
        <v>0</v>
      </c>
      <c r="G34" s="35">
        <v>0</v>
      </c>
      <c r="H34" s="35">
        <v>0</v>
      </c>
      <c r="I34" s="35">
        <v>0</v>
      </c>
      <c r="J34" s="35">
        <v>0.28000000000000003</v>
      </c>
      <c r="K34" s="35">
        <v>0</v>
      </c>
      <c r="L34" s="35">
        <v>3.59</v>
      </c>
      <c r="M34" s="35">
        <v>12.66</v>
      </c>
      <c r="N34" s="35">
        <v>18.38</v>
      </c>
      <c r="O34" s="35">
        <v>31.43</v>
      </c>
      <c r="P34" s="35">
        <v>36.86</v>
      </c>
      <c r="Q34" s="35">
        <v>36</v>
      </c>
      <c r="R34" s="35">
        <v>52.7</v>
      </c>
      <c r="S34" s="35">
        <v>54.15</v>
      </c>
      <c r="T34" s="35">
        <v>57.11</v>
      </c>
      <c r="U34" s="35">
        <v>82.43</v>
      </c>
      <c r="V34" s="35">
        <v>88.91</v>
      </c>
      <c r="W34" s="35">
        <v>95.76</v>
      </c>
      <c r="X34" s="35">
        <v>84.76</v>
      </c>
      <c r="Y34" s="35">
        <v>81.81</v>
      </c>
      <c r="Z34" s="35">
        <v>57.67</v>
      </c>
      <c r="AA34" s="35">
        <v>41.1</v>
      </c>
      <c r="AB34" s="36">
        <f t="shared" si="0"/>
        <v>864.73</v>
      </c>
      <c r="AC34" s="37">
        <v>4</v>
      </c>
      <c r="AD34" s="91"/>
    </row>
    <row r="35" spans="2:30">
      <c r="B35" s="89"/>
      <c r="C35" s="34" t="s">
        <v>34</v>
      </c>
      <c r="D35" s="35">
        <v>16.03</v>
      </c>
      <c r="E35" s="35">
        <v>13.1</v>
      </c>
      <c r="F35" s="35">
        <v>0</v>
      </c>
      <c r="G35" s="35">
        <v>0</v>
      </c>
      <c r="H35" s="35">
        <v>0</v>
      </c>
      <c r="I35" s="35">
        <v>0</v>
      </c>
      <c r="J35" s="35">
        <v>0.28000000000000003</v>
      </c>
      <c r="K35" s="35">
        <v>0</v>
      </c>
      <c r="L35" s="35">
        <v>3.59</v>
      </c>
      <c r="M35" s="35">
        <v>12.66</v>
      </c>
      <c r="N35" s="35">
        <v>18.38</v>
      </c>
      <c r="O35" s="35">
        <v>31.43</v>
      </c>
      <c r="P35" s="35">
        <v>36.86</v>
      </c>
      <c r="Q35" s="35">
        <v>36</v>
      </c>
      <c r="R35" s="35">
        <v>52.7</v>
      </c>
      <c r="S35" s="35">
        <v>54.15</v>
      </c>
      <c r="T35" s="35">
        <v>57.11</v>
      </c>
      <c r="U35" s="35">
        <v>82.43</v>
      </c>
      <c r="V35" s="35">
        <v>88.91</v>
      </c>
      <c r="W35" s="35">
        <v>95.76</v>
      </c>
      <c r="X35" s="35">
        <v>84.76</v>
      </c>
      <c r="Y35" s="35">
        <v>81.81</v>
      </c>
      <c r="Z35" s="35">
        <v>57.67</v>
      </c>
      <c r="AA35" s="35">
        <v>41.1</v>
      </c>
      <c r="AB35" s="36">
        <f t="shared" si="0"/>
        <v>864.73</v>
      </c>
      <c r="AC35" s="37">
        <v>6</v>
      </c>
      <c r="AD35" s="91"/>
    </row>
    <row r="36" spans="2:30">
      <c r="B36" s="89">
        <v>47058</v>
      </c>
      <c r="C36" s="34" t="s">
        <v>32</v>
      </c>
      <c r="D36" s="35">
        <v>16.03</v>
      </c>
      <c r="E36" s="35">
        <v>13.1</v>
      </c>
      <c r="F36" s="35">
        <v>0</v>
      </c>
      <c r="G36" s="35">
        <v>0</v>
      </c>
      <c r="H36" s="35">
        <v>0</v>
      </c>
      <c r="I36" s="35">
        <v>0</v>
      </c>
      <c r="J36" s="35">
        <v>0.28000000000000003</v>
      </c>
      <c r="K36" s="35">
        <v>0</v>
      </c>
      <c r="L36" s="35">
        <v>3.59</v>
      </c>
      <c r="M36" s="35">
        <v>12.66</v>
      </c>
      <c r="N36" s="35">
        <v>18.38</v>
      </c>
      <c r="O36" s="35">
        <v>31.43</v>
      </c>
      <c r="P36" s="35">
        <v>36.86</v>
      </c>
      <c r="Q36" s="35">
        <v>36</v>
      </c>
      <c r="R36" s="35">
        <v>52.7</v>
      </c>
      <c r="S36" s="35">
        <v>54.15</v>
      </c>
      <c r="T36" s="35">
        <v>57.11</v>
      </c>
      <c r="U36" s="35">
        <v>82.43</v>
      </c>
      <c r="V36" s="35">
        <v>88.91</v>
      </c>
      <c r="W36" s="35">
        <v>95.76</v>
      </c>
      <c r="X36" s="35">
        <v>84.76</v>
      </c>
      <c r="Y36" s="35">
        <v>81.81</v>
      </c>
      <c r="Z36" s="35">
        <v>57.67</v>
      </c>
      <c r="AA36" s="35">
        <v>41.1</v>
      </c>
      <c r="AB36" s="36">
        <f t="shared" si="0"/>
        <v>864.73</v>
      </c>
      <c r="AC36" s="37">
        <v>20</v>
      </c>
      <c r="AD36" s="91">
        <f>+AB36*AC36+AB37*AC37+AB38*AC38</f>
        <v>25941.9</v>
      </c>
    </row>
    <row r="37" spans="2:30">
      <c r="B37" s="89"/>
      <c r="C37" s="34" t="s">
        <v>33</v>
      </c>
      <c r="D37" s="35">
        <v>16.03</v>
      </c>
      <c r="E37" s="35">
        <v>13.1</v>
      </c>
      <c r="F37" s="35">
        <v>0</v>
      </c>
      <c r="G37" s="35">
        <v>0</v>
      </c>
      <c r="H37" s="35">
        <v>0</v>
      </c>
      <c r="I37" s="35">
        <v>0</v>
      </c>
      <c r="J37" s="35">
        <v>0.28000000000000003</v>
      </c>
      <c r="K37" s="35">
        <v>0</v>
      </c>
      <c r="L37" s="35">
        <v>3.59</v>
      </c>
      <c r="M37" s="35">
        <v>12.66</v>
      </c>
      <c r="N37" s="35">
        <v>18.38</v>
      </c>
      <c r="O37" s="35">
        <v>31.43</v>
      </c>
      <c r="P37" s="35">
        <v>36.86</v>
      </c>
      <c r="Q37" s="35">
        <v>36</v>
      </c>
      <c r="R37" s="35">
        <v>52.7</v>
      </c>
      <c r="S37" s="35">
        <v>54.15</v>
      </c>
      <c r="T37" s="35">
        <v>57.11</v>
      </c>
      <c r="U37" s="35">
        <v>82.43</v>
      </c>
      <c r="V37" s="35">
        <v>88.91</v>
      </c>
      <c r="W37" s="35">
        <v>95.76</v>
      </c>
      <c r="X37" s="35">
        <v>84.76</v>
      </c>
      <c r="Y37" s="35">
        <v>81.81</v>
      </c>
      <c r="Z37" s="35">
        <v>57.67</v>
      </c>
      <c r="AA37" s="35">
        <v>41.1</v>
      </c>
      <c r="AB37" s="36">
        <f t="shared" si="0"/>
        <v>864.73</v>
      </c>
      <c r="AC37" s="37">
        <v>4</v>
      </c>
      <c r="AD37" s="91"/>
    </row>
    <row r="38" spans="2:30">
      <c r="B38" s="89"/>
      <c r="C38" s="34" t="s">
        <v>34</v>
      </c>
      <c r="D38" s="35">
        <v>16.03</v>
      </c>
      <c r="E38" s="35">
        <v>13.1</v>
      </c>
      <c r="F38" s="35">
        <v>0</v>
      </c>
      <c r="G38" s="35">
        <v>0</v>
      </c>
      <c r="H38" s="35">
        <v>0</v>
      </c>
      <c r="I38" s="35">
        <v>0</v>
      </c>
      <c r="J38" s="35">
        <v>0.28000000000000003</v>
      </c>
      <c r="K38" s="35">
        <v>0</v>
      </c>
      <c r="L38" s="35">
        <v>3.59</v>
      </c>
      <c r="M38" s="35">
        <v>12.66</v>
      </c>
      <c r="N38" s="35">
        <v>18.38</v>
      </c>
      <c r="O38" s="35">
        <v>31.43</v>
      </c>
      <c r="P38" s="35">
        <v>36.86</v>
      </c>
      <c r="Q38" s="35">
        <v>36</v>
      </c>
      <c r="R38" s="35">
        <v>52.7</v>
      </c>
      <c r="S38" s="35">
        <v>54.15</v>
      </c>
      <c r="T38" s="35">
        <v>57.11</v>
      </c>
      <c r="U38" s="35">
        <v>82.43</v>
      </c>
      <c r="V38" s="35">
        <v>88.91</v>
      </c>
      <c r="W38" s="35">
        <v>95.76</v>
      </c>
      <c r="X38" s="35">
        <v>84.76</v>
      </c>
      <c r="Y38" s="35">
        <v>81.81</v>
      </c>
      <c r="Z38" s="35">
        <v>57.67</v>
      </c>
      <c r="AA38" s="35">
        <v>41.1</v>
      </c>
      <c r="AB38" s="36">
        <f t="shared" si="0"/>
        <v>864.73</v>
      </c>
      <c r="AC38" s="37">
        <v>6</v>
      </c>
      <c r="AD38" s="91"/>
    </row>
    <row r="39" spans="2:30">
      <c r="B39" s="89">
        <v>47088</v>
      </c>
      <c r="C39" s="34" t="s">
        <v>32</v>
      </c>
      <c r="D39" s="35">
        <v>16.03</v>
      </c>
      <c r="E39" s="35">
        <v>13.1</v>
      </c>
      <c r="F39" s="35">
        <v>0</v>
      </c>
      <c r="G39" s="35">
        <v>0</v>
      </c>
      <c r="H39" s="35">
        <v>0</v>
      </c>
      <c r="I39" s="35">
        <v>0</v>
      </c>
      <c r="J39" s="35">
        <v>0.28000000000000003</v>
      </c>
      <c r="K39" s="35">
        <v>0</v>
      </c>
      <c r="L39" s="35">
        <v>3.59</v>
      </c>
      <c r="M39" s="35">
        <v>12.66</v>
      </c>
      <c r="N39" s="35">
        <v>18.38</v>
      </c>
      <c r="O39" s="35">
        <v>31.43</v>
      </c>
      <c r="P39" s="35">
        <v>36.86</v>
      </c>
      <c r="Q39" s="35">
        <v>36</v>
      </c>
      <c r="R39" s="35">
        <v>52.7</v>
      </c>
      <c r="S39" s="35">
        <v>54.15</v>
      </c>
      <c r="T39" s="35">
        <v>57.11</v>
      </c>
      <c r="U39" s="35">
        <v>82.43</v>
      </c>
      <c r="V39" s="35">
        <v>88.91</v>
      </c>
      <c r="W39" s="35">
        <v>95.76</v>
      </c>
      <c r="X39" s="35">
        <v>84.76</v>
      </c>
      <c r="Y39" s="35">
        <v>81.81</v>
      </c>
      <c r="Z39" s="35">
        <v>57.67</v>
      </c>
      <c r="AA39" s="35">
        <v>41.1</v>
      </c>
      <c r="AB39" s="36">
        <f t="shared" si="0"/>
        <v>864.73</v>
      </c>
      <c r="AC39" s="37">
        <v>19</v>
      </c>
      <c r="AD39" s="91">
        <f>+AB39*AC39+AB40*AC40+AB41*AC41</f>
        <v>26806.63</v>
      </c>
    </row>
    <row r="40" spans="2:30">
      <c r="B40" s="89"/>
      <c r="C40" s="34" t="s">
        <v>33</v>
      </c>
      <c r="D40" s="35">
        <v>16.03</v>
      </c>
      <c r="E40" s="35">
        <v>13.1</v>
      </c>
      <c r="F40" s="35">
        <v>0</v>
      </c>
      <c r="G40" s="35">
        <v>0</v>
      </c>
      <c r="H40" s="35">
        <v>0</v>
      </c>
      <c r="I40" s="35">
        <v>0</v>
      </c>
      <c r="J40" s="35">
        <v>0.28000000000000003</v>
      </c>
      <c r="K40" s="35">
        <v>0</v>
      </c>
      <c r="L40" s="35">
        <v>3.59</v>
      </c>
      <c r="M40" s="35">
        <v>12.66</v>
      </c>
      <c r="N40" s="35">
        <v>18.38</v>
      </c>
      <c r="O40" s="35">
        <v>31.43</v>
      </c>
      <c r="P40" s="35">
        <v>36.86</v>
      </c>
      <c r="Q40" s="35">
        <v>36</v>
      </c>
      <c r="R40" s="35">
        <v>52.7</v>
      </c>
      <c r="S40" s="35">
        <v>54.15</v>
      </c>
      <c r="T40" s="35">
        <v>57.11</v>
      </c>
      <c r="U40" s="35">
        <v>82.43</v>
      </c>
      <c r="V40" s="35">
        <v>88.91</v>
      </c>
      <c r="W40" s="35">
        <v>95.76</v>
      </c>
      <c r="X40" s="35">
        <v>84.76</v>
      </c>
      <c r="Y40" s="35">
        <v>81.81</v>
      </c>
      <c r="Z40" s="35">
        <v>57.67</v>
      </c>
      <c r="AA40" s="35">
        <v>41.1</v>
      </c>
      <c r="AB40" s="36">
        <f t="shared" si="0"/>
        <v>864.73</v>
      </c>
      <c r="AC40" s="37">
        <v>5</v>
      </c>
      <c r="AD40" s="91"/>
    </row>
    <row r="41" spans="2:30">
      <c r="B41" s="89"/>
      <c r="C41" s="34" t="s">
        <v>34</v>
      </c>
      <c r="D41" s="35">
        <v>16.03</v>
      </c>
      <c r="E41" s="35">
        <v>13.1</v>
      </c>
      <c r="F41" s="35">
        <v>0</v>
      </c>
      <c r="G41" s="35">
        <v>0</v>
      </c>
      <c r="H41" s="35">
        <v>0</v>
      </c>
      <c r="I41" s="35">
        <v>0</v>
      </c>
      <c r="J41" s="35">
        <v>0.28000000000000003</v>
      </c>
      <c r="K41" s="35">
        <v>0</v>
      </c>
      <c r="L41" s="35">
        <v>3.59</v>
      </c>
      <c r="M41" s="35">
        <v>12.66</v>
      </c>
      <c r="N41" s="35">
        <v>18.38</v>
      </c>
      <c r="O41" s="35">
        <v>31.43</v>
      </c>
      <c r="P41" s="35">
        <v>36.86</v>
      </c>
      <c r="Q41" s="35">
        <v>36</v>
      </c>
      <c r="R41" s="35">
        <v>52.7</v>
      </c>
      <c r="S41" s="35">
        <v>54.15</v>
      </c>
      <c r="T41" s="35">
        <v>57.11</v>
      </c>
      <c r="U41" s="35">
        <v>82.43</v>
      </c>
      <c r="V41" s="35">
        <v>88.91</v>
      </c>
      <c r="W41" s="35">
        <v>95.76</v>
      </c>
      <c r="X41" s="35">
        <v>84.76</v>
      </c>
      <c r="Y41" s="35">
        <v>81.81</v>
      </c>
      <c r="Z41" s="35">
        <v>57.67</v>
      </c>
      <c r="AA41" s="35">
        <v>41.1</v>
      </c>
      <c r="AB41" s="36">
        <f t="shared" si="0"/>
        <v>864.73</v>
      </c>
      <c r="AC41" s="37">
        <v>7</v>
      </c>
      <c r="AD41" s="91"/>
    </row>
    <row r="42" spans="2:30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86" t="s">
        <v>35</v>
      </c>
      <c r="AB42" s="87"/>
      <c r="AC42" s="88"/>
      <c r="AD42" s="39">
        <f>SUM(AD6:AD41)</f>
        <v>316491.18</v>
      </c>
    </row>
    <row r="43" spans="2:30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 spans="2:30" ht="23.25">
      <c r="B44" s="30" t="s">
        <v>78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40"/>
      <c r="AC44" s="40"/>
      <c r="AD44" s="38"/>
    </row>
    <row r="45" spans="2:30">
      <c r="B45" s="32" t="s">
        <v>3</v>
      </c>
      <c r="C45" s="32" t="s">
        <v>4</v>
      </c>
      <c r="D45" s="32" t="s">
        <v>5</v>
      </c>
      <c r="E45" s="32" t="s">
        <v>6</v>
      </c>
      <c r="F45" s="32" t="s">
        <v>7</v>
      </c>
      <c r="G45" s="32" t="s">
        <v>8</v>
      </c>
      <c r="H45" s="32" t="s">
        <v>9</v>
      </c>
      <c r="I45" s="32" t="s">
        <v>10</v>
      </c>
      <c r="J45" s="32" t="s">
        <v>11</v>
      </c>
      <c r="K45" s="32" t="s">
        <v>12</v>
      </c>
      <c r="L45" s="32" t="s">
        <v>13</v>
      </c>
      <c r="M45" s="32" t="s">
        <v>14</v>
      </c>
      <c r="N45" s="32" t="s">
        <v>15</v>
      </c>
      <c r="O45" s="32" t="s">
        <v>16</v>
      </c>
      <c r="P45" s="32" t="s">
        <v>17</v>
      </c>
      <c r="Q45" s="32" t="s">
        <v>18</v>
      </c>
      <c r="R45" s="32" t="s">
        <v>19</v>
      </c>
      <c r="S45" s="32" t="s">
        <v>20</v>
      </c>
      <c r="T45" s="32" t="s">
        <v>21</v>
      </c>
      <c r="U45" s="32" t="s">
        <v>22</v>
      </c>
      <c r="V45" s="32" t="s">
        <v>23</v>
      </c>
      <c r="W45" s="32" t="s">
        <v>24</v>
      </c>
      <c r="X45" s="32" t="s">
        <v>25</v>
      </c>
      <c r="Y45" s="32" t="s">
        <v>26</v>
      </c>
      <c r="Z45" s="32" t="s">
        <v>27</v>
      </c>
      <c r="AA45" s="32" t="s">
        <v>28</v>
      </c>
      <c r="AB45" s="33" t="s">
        <v>29</v>
      </c>
      <c r="AC45" s="33" t="s">
        <v>30</v>
      </c>
      <c r="AD45" s="32" t="s">
        <v>31</v>
      </c>
    </row>
    <row r="46" spans="2:30">
      <c r="B46" s="89">
        <v>47119</v>
      </c>
      <c r="C46" s="34" t="s">
        <v>32</v>
      </c>
      <c r="D46" s="35">
        <v>25.32</v>
      </c>
      <c r="E46" s="35">
        <v>12.35</v>
      </c>
      <c r="F46" s="35">
        <v>6.23</v>
      </c>
      <c r="G46" s="35">
        <v>4.1500000000000004</v>
      </c>
      <c r="H46" s="35">
        <v>5.25</v>
      </c>
      <c r="I46" s="35">
        <v>12.48</v>
      </c>
      <c r="J46" s="35">
        <v>8.58</v>
      </c>
      <c r="K46" s="35">
        <v>4.3899999999999997</v>
      </c>
      <c r="L46" s="35">
        <v>25.53</v>
      </c>
      <c r="M46" s="35">
        <v>33.909999999999997</v>
      </c>
      <c r="N46" s="35">
        <v>40.86</v>
      </c>
      <c r="O46" s="35">
        <v>58.14</v>
      </c>
      <c r="P46" s="35">
        <v>62.78</v>
      </c>
      <c r="Q46" s="35">
        <v>55.93</v>
      </c>
      <c r="R46" s="35">
        <v>71.599999999999994</v>
      </c>
      <c r="S46" s="35">
        <v>75.8</v>
      </c>
      <c r="T46" s="35">
        <v>79.13</v>
      </c>
      <c r="U46" s="35">
        <v>93.23</v>
      </c>
      <c r="V46" s="35">
        <v>110.7</v>
      </c>
      <c r="W46" s="35">
        <v>110.6</v>
      </c>
      <c r="X46" s="35">
        <v>110.35</v>
      </c>
      <c r="Y46" s="35">
        <v>96.34</v>
      </c>
      <c r="Z46" s="35">
        <v>72.73</v>
      </c>
      <c r="AA46" s="35">
        <v>49.38</v>
      </c>
      <c r="AB46" s="36">
        <f>SUM(D46:AA46)</f>
        <v>1225.76</v>
      </c>
      <c r="AC46" s="37">
        <v>21</v>
      </c>
      <c r="AD46" s="91">
        <f>+AB46*AC46+AB47*AC47+AB48*AC48</f>
        <v>31180.76</v>
      </c>
    </row>
    <row r="47" spans="2:30">
      <c r="B47" s="89"/>
      <c r="C47" s="34" t="s">
        <v>33</v>
      </c>
      <c r="D47" s="35">
        <v>33.979999999999997</v>
      </c>
      <c r="E47" s="35">
        <v>26.35</v>
      </c>
      <c r="F47" s="35">
        <v>4.05</v>
      </c>
      <c r="G47" s="35">
        <v>6.03</v>
      </c>
      <c r="H47" s="35">
        <v>9.41</v>
      </c>
      <c r="I47" s="35">
        <v>5.42</v>
      </c>
      <c r="J47" s="35">
        <v>0</v>
      </c>
      <c r="K47" s="35">
        <v>0</v>
      </c>
      <c r="L47" s="35">
        <v>9.61</v>
      </c>
      <c r="M47" s="35">
        <v>10.87</v>
      </c>
      <c r="N47" s="35">
        <v>13.96</v>
      </c>
      <c r="O47" s="35">
        <v>24.89</v>
      </c>
      <c r="P47" s="35">
        <v>30.04</v>
      </c>
      <c r="Q47" s="35">
        <v>22.48</v>
      </c>
      <c r="R47" s="35">
        <v>35.200000000000003</v>
      </c>
      <c r="S47" s="35">
        <v>36.26</v>
      </c>
      <c r="T47" s="35">
        <v>33.090000000000003</v>
      </c>
      <c r="U47" s="35">
        <v>59.26</v>
      </c>
      <c r="V47" s="35">
        <v>84.82</v>
      </c>
      <c r="W47" s="35">
        <v>87.32</v>
      </c>
      <c r="X47" s="35">
        <v>75.56</v>
      </c>
      <c r="Y47" s="35">
        <v>67.819999999999993</v>
      </c>
      <c r="Z47" s="35">
        <v>56.04</v>
      </c>
      <c r="AA47" s="35">
        <v>36.22</v>
      </c>
      <c r="AB47" s="36">
        <f t="shared" ref="AB47:AB81" si="1">SUM(D47:AA47)</f>
        <v>768.68</v>
      </c>
      <c r="AC47" s="37">
        <v>4</v>
      </c>
      <c r="AD47" s="91"/>
    </row>
    <row r="48" spans="2:30">
      <c r="B48" s="89"/>
      <c r="C48" s="34" t="s">
        <v>34</v>
      </c>
      <c r="D48" s="35">
        <v>17.02</v>
      </c>
      <c r="E48" s="35">
        <v>10.54</v>
      </c>
      <c r="F48" s="35">
        <v>2.23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7.25</v>
      </c>
      <c r="Q48" s="35">
        <v>11.95</v>
      </c>
      <c r="R48" s="35">
        <v>14.62</v>
      </c>
      <c r="S48" s="35">
        <v>12.19</v>
      </c>
      <c r="T48" s="35">
        <v>13.56</v>
      </c>
      <c r="U48" s="35">
        <v>21.89</v>
      </c>
      <c r="V48" s="35">
        <v>28.67</v>
      </c>
      <c r="W48" s="35">
        <v>49.02</v>
      </c>
      <c r="X48" s="35">
        <v>51.81</v>
      </c>
      <c r="Y48" s="35">
        <v>43.6</v>
      </c>
      <c r="Z48" s="35">
        <v>64.09</v>
      </c>
      <c r="AA48" s="35">
        <v>45.74</v>
      </c>
      <c r="AB48" s="36">
        <f t="shared" si="1"/>
        <v>394.18</v>
      </c>
      <c r="AC48" s="37">
        <v>6</v>
      </c>
      <c r="AD48" s="91"/>
    </row>
    <row r="49" spans="2:30">
      <c r="B49" s="89">
        <v>47150</v>
      </c>
      <c r="C49" s="34" t="s">
        <v>32</v>
      </c>
      <c r="D49" s="35">
        <v>22.17</v>
      </c>
      <c r="E49" s="35">
        <v>5.28</v>
      </c>
      <c r="F49" s="35">
        <v>0</v>
      </c>
      <c r="G49" s="35">
        <v>0</v>
      </c>
      <c r="H49" s="35">
        <v>0</v>
      </c>
      <c r="I49" s="35">
        <v>8.23</v>
      </c>
      <c r="J49" s="35">
        <v>1.66</v>
      </c>
      <c r="K49" s="35">
        <v>0.35</v>
      </c>
      <c r="L49" s="35">
        <v>20.54</v>
      </c>
      <c r="M49" s="35">
        <v>33.14</v>
      </c>
      <c r="N49" s="35">
        <v>39.96</v>
      </c>
      <c r="O49" s="35">
        <v>56.86</v>
      </c>
      <c r="P49" s="35">
        <v>59.93</v>
      </c>
      <c r="Q49" s="35">
        <v>50.16</v>
      </c>
      <c r="R49" s="35">
        <v>68.12</v>
      </c>
      <c r="S49" s="35">
        <v>69.12</v>
      </c>
      <c r="T49" s="35">
        <v>71.459999999999994</v>
      </c>
      <c r="U49" s="35">
        <v>86.61</v>
      </c>
      <c r="V49" s="35">
        <v>102.16</v>
      </c>
      <c r="W49" s="35">
        <v>98.45</v>
      </c>
      <c r="X49" s="35">
        <v>96.71</v>
      </c>
      <c r="Y49" s="35">
        <v>83.2</v>
      </c>
      <c r="Z49" s="35">
        <v>60.94</v>
      </c>
      <c r="AA49" s="35">
        <v>38.71</v>
      </c>
      <c r="AB49" s="36">
        <f t="shared" si="1"/>
        <v>1073.76</v>
      </c>
      <c r="AC49" s="37">
        <v>20</v>
      </c>
      <c r="AD49" s="91">
        <f>+AB49*AC49+AB50*AC50+AB51*AC51</f>
        <v>26105.4</v>
      </c>
    </row>
    <row r="50" spans="2:30">
      <c r="B50" s="89"/>
      <c r="C50" s="34" t="s">
        <v>33</v>
      </c>
      <c r="D50" s="35">
        <v>26.68</v>
      </c>
      <c r="E50" s="35">
        <v>19.71</v>
      </c>
      <c r="F50" s="35">
        <v>0.06</v>
      </c>
      <c r="G50" s="35">
        <v>0</v>
      </c>
      <c r="H50" s="35">
        <v>3.61</v>
      </c>
      <c r="I50" s="35">
        <v>1.75</v>
      </c>
      <c r="J50" s="35">
        <v>0</v>
      </c>
      <c r="K50" s="35">
        <v>0</v>
      </c>
      <c r="L50" s="35">
        <v>5.45</v>
      </c>
      <c r="M50" s="35">
        <v>13.11</v>
      </c>
      <c r="N50" s="35">
        <v>15.31</v>
      </c>
      <c r="O50" s="35">
        <v>26.76</v>
      </c>
      <c r="P50" s="35">
        <v>32.08</v>
      </c>
      <c r="Q50" s="35">
        <v>27.91</v>
      </c>
      <c r="R50" s="35">
        <v>37.33</v>
      </c>
      <c r="S50" s="35">
        <v>36.200000000000003</v>
      </c>
      <c r="T50" s="35">
        <v>35.53</v>
      </c>
      <c r="U50" s="35">
        <v>59.36</v>
      </c>
      <c r="V50" s="35">
        <v>86.97</v>
      </c>
      <c r="W50" s="35">
        <v>84.46</v>
      </c>
      <c r="X50" s="35">
        <v>75.31</v>
      </c>
      <c r="Y50" s="35">
        <v>66.8</v>
      </c>
      <c r="Z50" s="35">
        <v>56.3</v>
      </c>
      <c r="AA50" s="35">
        <v>39.9</v>
      </c>
      <c r="AB50" s="36">
        <f t="shared" si="1"/>
        <v>750.59</v>
      </c>
      <c r="AC50" s="37">
        <v>4</v>
      </c>
      <c r="AD50" s="91"/>
    </row>
    <row r="51" spans="2:30">
      <c r="B51" s="89"/>
      <c r="C51" s="34" t="s">
        <v>34</v>
      </c>
      <c r="D51" s="35">
        <v>14.69</v>
      </c>
      <c r="E51" s="35">
        <v>11.47</v>
      </c>
      <c r="F51" s="35">
        <v>0.9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7.12</v>
      </c>
      <c r="Q51" s="35">
        <v>13.81</v>
      </c>
      <c r="R51" s="35">
        <v>14.85</v>
      </c>
      <c r="S51" s="35">
        <v>16.71</v>
      </c>
      <c r="T51" s="35">
        <v>19.010000000000002</v>
      </c>
      <c r="U51" s="35">
        <v>24.8</v>
      </c>
      <c r="V51" s="35">
        <v>37.42</v>
      </c>
      <c r="W51" s="35">
        <v>57.96</v>
      </c>
      <c r="X51" s="35">
        <v>53.26</v>
      </c>
      <c r="Y51" s="35">
        <v>45.3</v>
      </c>
      <c r="Z51" s="35">
        <v>52.28</v>
      </c>
      <c r="AA51" s="35">
        <v>37.380000000000003</v>
      </c>
      <c r="AB51" s="36">
        <f t="shared" si="1"/>
        <v>406.96</v>
      </c>
      <c r="AC51" s="37">
        <v>4</v>
      </c>
      <c r="AD51" s="91"/>
    </row>
    <row r="52" spans="2:30">
      <c r="B52" s="89">
        <v>47178</v>
      </c>
      <c r="C52" s="34" t="s">
        <v>32</v>
      </c>
      <c r="D52" s="35">
        <v>23.95</v>
      </c>
      <c r="E52" s="35">
        <v>7.3</v>
      </c>
      <c r="F52" s="35">
        <v>0</v>
      </c>
      <c r="G52" s="35">
        <v>0.19</v>
      </c>
      <c r="H52" s="35">
        <v>0</v>
      </c>
      <c r="I52" s="35">
        <v>11.22</v>
      </c>
      <c r="J52" s="35">
        <v>3.75</v>
      </c>
      <c r="K52" s="35">
        <v>2.64</v>
      </c>
      <c r="L52" s="35">
        <v>23.44</v>
      </c>
      <c r="M52" s="35">
        <v>35.65</v>
      </c>
      <c r="N52" s="35">
        <v>42.28</v>
      </c>
      <c r="O52" s="35">
        <v>56.94</v>
      </c>
      <c r="P52" s="35">
        <v>59.25</v>
      </c>
      <c r="Q52" s="35">
        <v>50.39</v>
      </c>
      <c r="R52" s="35">
        <v>69.86</v>
      </c>
      <c r="S52" s="35">
        <v>72.16</v>
      </c>
      <c r="T52" s="35">
        <v>74.430000000000007</v>
      </c>
      <c r="U52" s="35">
        <v>90.36</v>
      </c>
      <c r="V52" s="35">
        <v>104.26</v>
      </c>
      <c r="W52" s="35">
        <v>101</v>
      </c>
      <c r="X52" s="35">
        <v>99.81</v>
      </c>
      <c r="Y52" s="35">
        <v>86.4</v>
      </c>
      <c r="Z52" s="35">
        <v>63.53</v>
      </c>
      <c r="AA52" s="35">
        <v>41.22</v>
      </c>
      <c r="AB52" s="36">
        <f t="shared" si="1"/>
        <v>1120.03</v>
      </c>
      <c r="AC52" s="37">
        <v>19</v>
      </c>
      <c r="AD52" s="91">
        <f>+AB52*AC52+AB53*AC53+AB54*AC54</f>
        <v>27796.2</v>
      </c>
    </row>
    <row r="53" spans="2:30">
      <c r="B53" s="89"/>
      <c r="C53" s="34" t="s">
        <v>33</v>
      </c>
      <c r="D53" s="35">
        <v>25.8</v>
      </c>
      <c r="E53" s="35">
        <v>8.0399999999999991</v>
      </c>
      <c r="F53" s="35">
        <v>0</v>
      </c>
      <c r="G53" s="35">
        <v>0</v>
      </c>
      <c r="H53" s="35">
        <v>1.06</v>
      </c>
      <c r="I53" s="35">
        <v>0</v>
      </c>
      <c r="J53" s="35">
        <v>0</v>
      </c>
      <c r="K53" s="35">
        <v>0</v>
      </c>
      <c r="L53" s="35">
        <v>5.71</v>
      </c>
      <c r="M53" s="35">
        <v>14.47</v>
      </c>
      <c r="N53" s="35">
        <v>16.73</v>
      </c>
      <c r="O53" s="35">
        <v>26.42</v>
      </c>
      <c r="P53" s="35">
        <v>32.01</v>
      </c>
      <c r="Q53" s="35">
        <v>30.39</v>
      </c>
      <c r="R53" s="35">
        <v>36.75</v>
      </c>
      <c r="S53" s="35">
        <v>35.979999999999997</v>
      </c>
      <c r="T53" s="35">
        <v>36.39</v>
      </c>
      <c r="U53" s="35">
        <v>58.36</v>
      </c>
      <c r="V53" s="35">
        <v>88.37</v>
      </c>
      <c r="W53" s="35">
        <v>82.18</v>
      </c>
      <c r="X53" s="35">
        <v>72.31</v>
      </c>
      <c r="Y53" s="35">
        <v>64.8</v>
      </c>
      <c r="Z53" s="35">
        <v>56.16</v>
      </c>
      <c r="AA53" s="35">
        <v>21.53</v>
      </c>
      <c r="AB53" s="36">
        <f t="shared" si="1"/>
        <v>713.46</v>
      </c>
      <c r="AC53" s="37">
        <v>5</v>
      </c>
      <c r="AD53" s="91"/>
    </row>
    <row r="54" spans="2:30">
      <c r="B54" s="89"/>
      <c r="C54" s="34" t="s">
        <v>34</v>
      </c>
      <c r="D54" s="35">
        <v>14.29</v>
      </c>
      <c r="E54" s="35">
        <v>9.85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6.61</v>
      </c>
      <c r="Q54" s="35">
        <v>13.36</v>
      </c>
      <c r="R54" s="35">
        <v>15.07</v>
      </c>
      <c r="S54" s="35">
        <v>17.36</v>
      </c>
      <c r="T54" s="35">
        <v>22.93</v>
      </c>
      <c r="U54" s="35">
        <v>28.54</v>
      </c>
      <c r="V54" s="35">
        <v>44.68</v>
      </c>
      <c r="W54" s="35">
        <v>57.73</v>
      </c>
      <c r="X54" s="35">
        <v>58.67</v>
      </c>
      <c r="Y54" s="35">
        <v>51.7</v>
      </c>
      <c r="Z54" s="35">
        <v>46.62</v>
      </c>
      <c r="AA54" s="35">
        <v>33.78</v>
      </c>
      <c r="AB54" s="36">
        <f t="shared" si="1"/>
        <v>421.19</v>
      </c>
      <c r="AC54" s="37">
        <v>7</v>
      </c>
      <c r="AD54" s="91"/>
    </row>
    <row r="55" spans="2:30">
      <c r="B55" s="89">
        <v>47209</v>
      </c>
      <c r="C55" s="34" t="s">
        <v>32</v>
      </c>
      <c r="D55" s="35">
        <v>23.49</v>
      </c>
      <c r="E55" s="35">
        <v>10.35</v>
      </c>
      <c r="F55" s="35">
        <v>1.91</v>
      </c>
      <c r="G55" s="35">
        <v>1.35</v>
      </c>
      <c r="H55" s="35">
        <v>1.2</v>
      </c>
      <c r="I55" s="35">
        <v>10.57</v>
      </c>
      <c r="J55" s="35">
        <v>2.21</v>
      </c>
      <c r="K55" s="35">
        <v>0.66</v>
      </c>
      <c r="L55" s="35">
        <v>22.96</v>
      </c>
      <c r="M55" s="35">
        <v>34.950000000000003</v>
      </c>
      <c r="N55" s="35">
        <v>41.14</v>
      </c>
      <c r="O55" s="35">
        <v>59.56</v>
      </c>
      <c r="P55" s="35">
        <v>63.01</v>
      </c>
      <c r="Q55" s="35">
        <v>53.53</v>
      </c>
      <c r="R55" s="35">
        <v>73.16</v>
      </c>
      <c r="S55" s="35">
        <v>75.959999999999994</v>
      </c>
      <c r="T55" s="35">
        <v>78.650000000000006</v>
      </c>
      <c r="U55" s="35">
        <v>94.12</v>
      </c>
      <c r="V55" s="35">
        <v>108.5</v>
      </c>
      <c r="W55" s="35">
        <v>105.69</v>
      </c>
      <c r="X55" s="35">
        <v>104.41</v>
      </c>
      <c r="Y55" s="35">
        <v>90.92</v>
      </c>
      <c r="Z55" s="35">
        <v>68.05</v>
      </c>
      <c r="AA55" s="35">
        <v>44.36</v>
      </c>
      <c r="AB55" s="36">
        <f t="shared" si="1"/>
        <v>1170.71</v>
      </c>
      <c r="AC55" s="37">
        <v>21</v>
      </c>
      <c r="AD55" s="91">
        <f>+AB55*AC55+AB56*AC56+AB57*AC57</f>
        <v>28487.41</v>
      </c>
    </row>
    <row r="56" spans="2:30">
      <c r="B56" s="89"/>
      <c r="C56" s="34" t="s">
        <v>33</v>
      </c>
      <c r="D56" s="35">
        <v>21.28</v>
      </c>
      <c r="E56" s="35">
        <v>18.600000000000001</v>
      </c>
      <c r="F56" s="35">
        <v>0.2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3.93</v>
      </c>
      <c r="M56" s="35">
        <v>13.97</v>
      </c>
      <c r="N56" s="35">
        <v>15.73</v>
      </c>
      <c r="O56" s="35">
        <v>26.14</v>
      </c>
      <c r="P56" s="35">
        <v>34.340000000000003</v>
      </c>
      <c r="Q56" s="35">
        <v>30.27</v>
      </c>
      <c r="R56" s="35">
        <v>36.590000000000003</v>
      </c>
      <c r="S56" s="35">
        <v>39.04</v>
      </c>
      <c r="T56" s="35">
        <v>36.69</v>
      </c>
      <c r="U56" s="35">
        <v>60.93</v>
      </c>
      <c r="V56" s="35">
        <v>84.98</v>
      </c>
      <c r="W56" s="35">
        <v>80.569999999999993</v>
      </c>
      <c r="X56" s="35">
        <v>71.41</v>
      </c>
      <c r="Y56" s="35">
        <v>64.42</v>
      </c>
      <c r="Z56" s="35">
        <v>56.14</v>
      </c>
      <c r="AA56" s="35">
        <v>13.87</v>
      </c>
      <c r="AB56" s="36">
        <f t="shared" si="1"/>
        <v>709.1</v>
      </c>
      <c r="AC56" s="37">
        <v>4</v>
      </c>
      <c r="AD56" s="91"/>
    </row>
    <row r="57" spans="2:30">
      <c r="B57" s="89"/>
      <c r="C57" s="34" t="s">
        <v>34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13.6</v>
      </c>
      <c r="R57" s="35">
        <v>14.23</v>
      </c>
      <c r="S57" s="35">
        <v>14.59</v>
      </c>
      <c r="T57" s="35">
        <v>18.41</v>
      </c>
      <c r="U57" s="35">
        <v>6.7</v>
      </c>
      <c r="V57" s="35">
        <v>14.34</v>
      </c>
      <c r="W57" s="35">
        <v>30.09</v>
      </c>
      <c r="X57" s="35">
        <v>28.03</v>
      </c>
      <c r="Y57" s="35">
        <v>15.65</v>
      </c>
      <c r="Z57" s="35">
        <v>26.06</v>
      </c>
      <c r="AA57" s="35">
        <v>31.52</v>
      </c>
      <c r="AB57" s="36">
        <f t="shared" si="1"/>
        <v>213.22</v>
      </c>
      <c r="AC57" s="37">
        <v>5</v>
      </c>
      <c r="AD57" s="91"/>
    </row>
    <row r="58" spans="2:30">
      <c r="B58" s="89">
        <v>47239</v>
      </c>
      <c r="C58" s="34" t="s">
        <v>32</v>
      </c>
      <c r="D58" s="35">
        <v>20.61</v>
      </c>
      <c r="E58" s="35">
        <v>8.61</v>
      </c>
      <c r="F58" s="35">
        <v>1.1299999999999999</v>
      </c>
      <c r="G58" s="35">
        <v>0.51</v>
      </c>
      <c r="H58" s="35">
        <v>0</v>
      </c>
      <c r="I58" s="35">
        <v>8.06</v>
      </c>
      <c r="J58" s="35">
        <v>0</v>
      </c>
      <c r="K58" s="35">
        <v>0</v>
      </c>
      <c r="L58" s="35">
        <v>21.92</v>
      </c>
      <c r="M58" s="35">
        <v>33.29</v>
      </c>
      <c r="N58" s="35">
        <v>39.700000000000003</v>
      </c>
      <c r="O58" s="35">
        <v>56.7</v>
      </c>
      <c r="P58" s="35">
        <v>58.2</v>
      </c>
      <c r="Q58" s="35">
        <v>51.11</v>
      </c>
      <c r="R58" s="35">
        <v>72.47</v>
      </c>
      <c r="S58" s="35">
        <v>75.73</v>
      </c>
      <c r="T58" s="35">
        <v>79.510000000000005</v>
      </c>
      <c r="U58" s="35">
        <v>92.98</v>
      </c>
      <c r="V58" s="35">
        <v>108.5</v>
      </c>
      <c r="W58" s="35">
        <v>105.3</v>
      </c>
      <c r="X58" s="35">
        <v>102.9</v>
      </c>
      <c r="Y58" s="35">
        <v>88.68</v>
      </c>
      <c r="Z58" s="35">
        <v>66.86</v>
      </c>
      <c r="AA58" s="35">
        <v>43.8</v>
      </c>
      <c r="AB58" s="36">
        <f t="shared" si="1"/>
        <v>1136.57</v>
      </c>
      <c r="AC58" s="37">
        <v>21</v>
      </c>
      <c r="AD58" s="91">
        <f>+AB58*AC58+AB59*AC59+AB60*AC60</f>
        <v>28381.77</v>
      </c>
    </row>
    <row r="59" spans="2:30">
      <c r="B59" s="89"/>
      <c r="C59" s="34" t="s">
        <v>33</v>
      </c>
      <c r="D59" s="35">
        <v>15.66</v>
      </c>
      <c r="E59" s="35">
        <v>14.06</v>
      </c>
      <c r="F59" s="35">
        <v>0</v>
      </c>
      <c r="G59" s="35">
        <v>0</v>
      </c>
      <c r="H59" s="35">
        <v>0</v>
      </c>
      <c r="I59" s="35">
        <v>1.41</v>
      </c>
      <c r="J59" s="35">
        <v>0</v>
      </c>
      <c r="K59" s="35">
        <v>0</v>
      </c>
      <c r="L59" s="35">
        <v>2.5</v>
      </c>
      <c r="M59" s="35">
        <v>10.84</v>
      </c>
      <c r="N59" s="35">
        <v>14.66</v>
      </c>
      <c r="O59" s="35">
        <v>24.02</v>
      </c>
      <c r="P59" s="35">
        <v>31.15</v>
      </c>
      <c r="Q59" s="35">
        <v>26.77</v>
      </c>
      <c r="R59" s="35">
        <v>37.700000000000003</v>
      </c>
      <c r="S59" s="35">
        <v>39.85</v>
      </c>
      <c r="T59" s="35">
        <v>37.090000000000003</v>
      </c>
      <c r="U59" s="35">
        <v>66.25</v>
      </c>
      <c r="V59" s="35">
        <v>85.03</v>
      </c>
      <c r="W59" s="35">
        <v>81.56</v>
      </c>
      <c r="X59" s="35">
        <v>73.12</v>
      </c>
      <c r="Y59" s="35">
        <v>65.91</v>
      </c>
      <c r="Z59" s="35">
        <v>53.24</v>
      </c>
      <c r="AA59" s="35">
        <v>18.09</v>
      </c>
      <c r="AB59" s="36">
        <f t="shared" si="1"/>
        <v>698.91</v>
      </c>
      <c r="AC59" s="37">
        <v>4</v>
      </c>
      <c r="AD59" s="91"/>
    </row>
    <row r="60" spans="2:30">
      <c r="B60" s="89"/>
      <c r="C60" s="34" t="s">
        <v>34</v>
      </c>
      <c r="D60" s="35">
        <v>3.65</v>
      </c>
      <c r="E60" s="35">
        <v>10.39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12.2</v>
      </c>
      <c r="R60" s="35">
        <v>17.96</v>
      </c>
      <c r="S60" s="35">
        <v>15.24</v>
      </c>
      <c r="T60" s="35">
        <v>19.73</v>
      </c>
      <c r="U60" s="35">
        <v>11.42</v>
      </c>
      <c r="V60" s="35">
        <v>19.79</v>
      </c>
      <c r="W60" s="35">
        <v>32.380000000000003</v>
      </c>
      <c r="X60" s="35">
        <v>35.5</v>
      </c>
      <c r="Y60" s="35">
        <v>28.17</v>
      </c>
      <c r="Z60" s="35">
        <v>40.29</v>
      </c>
      <c r="AA60" s="35">
        <v>39.64</v>
      </c>
      <c r="AB60" s="36">
        <f t="shared" si="1"/>
        <v>286.36</v>
      </c>
      <c r="AC60" s="37">
        <v>6</v>
      </c>
      <c r="AD60" s="91"/>
    </row>
    <row r="61" spans="2:30">
      <c r="B61" s="89">
        <v>47270</v>
      </c>
      <c r="C61" s="34" t="s">
        <v>32</v>
      </c>
      <c r="D61" s="35">
        <v>20.02</v>
      </c>
      <c r="E61" s="35">
        <v>10.94</v>
      </c>
      <c r="F61" s="35">
        <v>2.89</v>
      </c>
      <c r="G61" s="35">
        <v>1.34</v>
      </c>
      <c r="H61" s="35">
        <v>1.08</v>
      </c>
      <c r="I61" s="35">
        <v>8.94</v>
      </c>
      <c r="J61" s="35">
        <v>2.08</v>
      </c>
      <c r="K61" s="35">
        <v>1.91</v>
      </c>
      <c r="L61" s="35">
        <v>25.58</v>
      </c>
      <c r="M61" s="35">
        <v>37.229999999999997</v>
      </c>
      <c r="N61" s="35">
        <v>43.03</v>
      </c>
      <c r="O61" s="35">
        <v>60.18</v>
      </c>
      <c r="P61" s="35">
        <v>62.34</v>
      </c>
      <c r="Q61" s="35">
        <v>54.29</v>
      </c>
      <c r="R61" s="35">
        <v>72.7</v>
      </c>
      <c r="S61" s="35">
        <v>77.8</v>
      </c>
      <c r="T61" s="35">
        <v>81.040000000000006</v>
      </c>
      <c r="U61" s="35">
        <v>93.4</v>
      </c>
      <c r="V61" s="35">
        <v>108.78</v>
      </c>
      <c r="W61" s="35">
        <v>107.22</v>
      </c>
      <c r="X61" s="35">
        <v>105.98</v>
      </c>
      <c r="Y61" s="35">
        <v>91.4</v>
      </c>
      <c r="Z61" s="35">
        <v>68.849999999999994</v>
      </c>
      <c r="AA61" s="35">
        <v>46.06</v>
      </c>
      <c r="AB61" s="36">
        <f t="shared" si="1"/>
        <v>1185.08</v>
      </c>
      <c r="AC61" s="37">
        <v>19</v>
      </c>
      <c r="AD61" s="91">
        <f>+AB61*AC61+AB62*AC62+AB63*AC63</f>
        <v>27812.31</v>
      </c>
    </row>
    <row r="62" spans="2:30">
      <c r="B62" s="89"/>
      <c r="C62" s="34" t="s">
        <v>33</v>
      </c>
      <c r="D62" s="35">
        <v>15.21</v>
      </c>
      <c r="E62" s="35">
        <v>19.829999999999998</v>
      </c>
      <c r="F62" s="35">
        <v>0</v>
      </c>
      <c r="G62" s="35">
        <v>0</v>
      </c>
      <c r="H62" s="35">
        <v>2.48</v>
      </c>
      <c r="I62" s="35">
        <v>2.84</v>
      </c>
      <c r="J62" s="35">
        <v>0</v>
      </c>
      <c r="K62" s="35">
        <v>0</v>
      </c>
      <c r="L62" s="35">
        <v>4.25</v>
      </c>
      <c r="M62" s="35">
        <v>14.55</v>
      </c>
      <c r="N62" s="35">
        <v>16.510000000000002</v>
      </c>
      <c r="O62" s="35">
        <v>26.52</v>
      </c>
      <c r="P62" s="35">
        <v>32.94</v>
      </c>
      <c r="Q62" s="35">
        <v>29.28</v>
      </c>
      <c r="R62" s="35">
        <v>38.229999999999997</v>
      </c>
      <c r="S62" s="35">
        <v>38.44</v>
      </c>
      <c r="T62" s="35">
        <v>37.81</v>
      </c>
      <c r="U62" s="35">
        <v>61.6</v>
      </c>
      <c r="V62" s="35">
        <v>88.18</v>
      </c>
      <c r="W62" s="35">
        <v>80.150000000000006</v>
      </c>
      <c r="X62" s="35">
        <v>72.75</v>
      </c>
      <c r="Y62" s="35">
        <v>65.75</v>
      </c>
      <c r="Z62" s="35">
        <v>54.31</v>
      </c>
      <c r="AA62" s="35">
        <v>27.72</v>
      </c>
      <c r="AB62" s="36">
        <f t="shared" si="1"/>
        <v>729.35</v>
      </c>
      <c r="AC62" s="37">
        <v>5</v>
      </c>
      <c r="AD62" s="91"/>
    </row>
    <row r="63" spans="2:30">
      <c r="B63" s="89"/>
      <c r="C63" s="34" t="s">
        <v>34</v>
      </c>
      <c r="D63" s="35">
        <v>0</v>
      </c>
      <c r="E63" s="35">
        <v>2.02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2.73</v>
      </c>
      <c r="Q63" s="35">
        <v>12.59</v>
      </c>
      <c r="R63" s="35">
        <v>16.93</v>
      </c>
      <c r="S63" s="35">
        <v>13.7</v>
      </c>
      <c r="T63" s="35">
        <v>18.010000000000002</v>
      </c>
      <c r="U63" s="35">
        <v>11.71</v>
      </c>
      <c r="V63" s="35">
        <v>21.92</v>
      </c>
      <c r="W63" s="35">
        <v>33.89</v>
      </c>
      <c r="X63" s="35">
        <v>42.09</v>
      </c>
      <c r="Y63" s="35">
        <v>24.52</v>
      </c>
      <c r="Z63" s="35">
        <v>41.13</v>
      </c>
      <c r="AA63" s="35">
        <v>33.6</v>
      </c>
      <c r="AB63" s="36">
        <f t="shared" si="1"/>
        <v>274.83999999999997</v>
      </c>
      <c r="AC63" s="37">
        <v>6</v>
      </c>
      <c r="AD63" s="91"/>
    </row>
    <row r="64" spans="2:30">
      <c r="B64" s="89">
        <v>47300</v>
      </c>
      <c r="C64" s="34" t="s">
        <v>32</v>
      </c>
      <c r="D64" s="35">
        <v>24.62</v>
      </c>
      <c r="E64" s="35">
        <v>13.52</v>
      </c>
      <c r="F64" s="35">
        <v>4.91</v>
      </c>
      <c r="G64" s="35">
        <v>3.54</v>
      </c>
      <c r="H64" s="35">
        <v>3.54</v>
      </c>
      <c r="I64" s="35">
        <v>11.06</v>
      </c>
      <c r="J64" s="35">
        <v>4.93</v>
      </c>
      <c r="K64" s="35">
        <v>5.24</v>
      </c>
      <c r="L64" s="35">
        <v>29.27</v>
      </c>
      <c r="M64" s="35">
        <v>39.65</v>
      </c>
      <c r="N64" s="35">
        <v>47.66</v>
      </c>
      <c r="O64" s="35">
        <v>63.33</v>
      </c>
      <c r="P64" s="35">
        <v>66.180000000000007</v>
      </c>
      <c r="Q64" s="35">
        <v>57.42</v>
      </c>
      <c r="R64" s="35">
        <v>76.989999999999995</v>
      </c>
      <c r="S64" s="35">
        <v>82.92</v>
      </c>
      <c r="T64" s="35">
        <v>86.92</v>
      </c>
      <c r="U64" s="35">
        <v>99.89</v>
      </c>
      <c r="V64" s="35">
        <v>114.86</v>
      </c>
      <c r="W64" s="35">
        <v>113.95</v>
      </c>
      <c r="X64" s="35">
        <v>113.05</v>
      </c>
      <c r="Y64" s="35">
        <v>97.85</v>
      </c>
      <c r="Z64" s="35">
        <v>73.92</v>
      </c>
      <c r="AA64" s="35">
        <v>49.27</v>
      </c>
      <c r="AB64" s="36">
        <f t="shared" si="1"/>
        <v>1284.49</v>
      </c>
      <c r="AC64" s="37">
        <v>20</v>
      </c>
      <c r="AD64" s="91">
        <f>+AB64*AC64+AB65*AC65+AB66*AC66</f>
        <v>31117.77</v>
      </c>
    </row>
    <row r="65" spans="2:30">
      <c r="B65" s="89"/>
      <c r="C65" s="34" t="s">
        <v>33</v>
      </c>
      <c r="D65" s="35">
        <v>14.69</v>
      </c>
      <c r="E65" s="35">
        <v>20.76</v>
      </c>
      <c r="F65" s="35">
        <v>5.38</v>
      </c>
      <c r="G65" s="35">
        <v>3.87</v>
      </c>
      <c r="H65" s="35">
        <v>2.14</v>
      </c>
      <c r="I65" s="35">
        <v>4.0999999999999996</v>
      </c>
      <c r="J65" s="35">
        <v>0</v>
      </c>
      <c r="K65" s="35">
        <v>0</v>
      </c>
      <c r="L65" s="35">
        <v>5.17</v>
      </c>
      <c r="M65" s="35">
        <v>13.66</v>
      </c>
      <c r="N65" s="35">
        <v>17.59</v>
      </c>
      <c r="O65" s="35">
        <v>25.76</v>
      </c>
      <c r="P65" s="35">
        <v>32.979999999999997</v>
      </c>
      <c r="Q65" s="35">
        <v>30.01</v>
      </c>
      <c r="R65" s="35">
        <v>36.64</v>
      </c>
      <c r="S65" s="35">
        <v>36.17</v>
      </c>
      <c r="T65" s="35">
        <v>37.869999999999997</v>
      </c>
      <c r="U65" s="35">
        <v>61.31</v>
      </c>
      <c r="V65" s="35">
        <v>90.66</v>
      </c>
      <c r="W65" s="35">
        <v>83.56</v>
      </c>
      <c r="X65" s="35">
        <v>77.88</v>
      </c>
      <c r="Y65" s="35">
        <v>67.56</v>
      </c>
      <c r="Z65" s="35">
        <v>55.34</v>
      </c>
      <c r="AA65" s="35">
        <v>42.06</v>
      </c>
      <c r="AB65" s="36">
        <f t="shared" si="1"/>
        <v>765.16</v>
      </c>
      <c r="AC65" s="37">
        <v>4</v>
      </c>
      <c r="AD65" s="91"/>
    </row>
    <row r="66" spans="2:30">
      <c r="B66" s="89"/>
      <c r="C66" s="34" t="s">
        <v>34</v>
      </c>
      <c r="D66" s="35">
        <v>0</v>
      </c>
      <c r="E66" s="35">
        <v>9.85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2.2400000000000002</v>
      </c>
      <c r="Q66" s="35">
        <v>10.17</v>
      </c>
      <c r="R66" s="35">
        <v>14.26</v>
      </c>
      <c r="S66" s="35">
        <v>11.81</v>
      </c>
      <c r="T66" s="35">
        <v>17.690000000000001</v>
      </c>
      <c r="U66" s="35">
        <v>13.93</v>
      </c>
      <c r="V66" s="35">
        <v>30.41</v>
      </c>
      <c r="W66" s="35">
        <v>44.11</v>
      </c>
      <c r="X66" s="35">
        <v>47.17</v>
      </c>
      <c r="Y66" s="35">
        <v>43.32</v>
      </c>
      <c r="Z66" s="35">
        <v>50.04</v>
      </c>
      <c r="AA66" s="35">
        <v>43.19</v>
      </c>
      <c r="AB66" s="36">
        <f t="shared" si="1"/>
        <v>338.19</v>
      </c>
      <c r="AC66" s="37">
        <v>7</v>
      </c>
      <c r="AD66" s="91"/>
    </row>
    <row r="67" spans="2:30">
      <c r="B67" s="89">
        <v>47331</v>
      </c>
      <c r="C67" s="34" t="s">
        <v>32</v>
      </c>
      <c r="D67" s="35">
        <v>22.94</v>
      </c>
      <c r="E67" s="35">
        <v>11.33</v>
      </c>
      <c r="F67" s="35">
        <v>1.97</v>
      </c>
      <c r="G67" s="35">
        <v>3.38</v>
      </c>
      <c r="H67" s="35">
        <v>2.19</v>
      </c>
      <c r="I67" s="35">
        <v>12.47</v>
      </c>
      <c r="J67" s="35">
        <v>3.49</v>
      </c>
      <c r="K67" s="35">
        <v>4.34</v>
      </c>
      <c r="L67" s="35">
        <v>28.09</v>
      </c>
      <c r="M67" s="35">
        <v>40.590000000000003</v>
      </c>
      <c r="N67" s="35">
        <v>49.28</v>
      </c>
      <c r="O67" s="35">
        <v>66.62</v>
      </c>
      <c r="P67" s="35">
        <v>67.62</v>
      </c>
      <c r="Q67" s="35">
        <v>53.92</v>
      </c>
      <c r="R67" s="35">
        <v>77.69</v>
      </c>
      <c r="S67" s="35">
        <v>82.35</v>
      </c>
      <c r="T67" s="35">
        <v>85.73</v>
      </c>
      <c r="U67" s="35">
        <v>99.81</v>
      </c>
      <c r="V67" s="35">
        <v>114.77</v>
      </c>
      <c r="W67" s="35">
        <v>112.28</v>
      </c>
      <c r="X67" s="35">
        <v>111.61</v>
      </c>
      <c r="Y67" s="35">
        <v>95.96</v>
      </c>
      <c r="Z67" s="35">
        <v>70.81</v>
      </c>
      <c r="AA67" s="35">
        <v>45.96</v>
      </c>
      <c r="AB67" s="36">
        <f t="shared" si="1"/>
        <v>1265.2</v>
      </c>
      <c r="AC67" s="37">
        <v>21</v>
      </c>
      <c r="AD67" s="91">
        <f>+AB67*AC67+AB68*AC68+AB69*AC69</f>
        <v>31504.18</v>
      </c>
    </row>
    <row r="68" spans="2:30">
      <c r="B68" s="89"/>
      <c r="C68" s="34" t="s">
        <v>33</v>
      </c>
      <c r="D68" s="35">
        <v>15.07</v>
      </c>
      <c r="E68" s="35">
        <v>15.82</v>
      </c>
      <c r="F68" s="35">
        <v>0.22</v>
      </c>
      <c r="G68" s="35">
        <v>0</v>
      </c>
      <c r="H68" s="35">
        <v>0</v>
      </c>
      <c r="I68" s="35">
        <v>3.56</v>
      </c>
      <c r="J68" s="35">
        <v>0</v>
      </c>
      <c r="K68" s="35">
        <v>0</v>
      </c>
      <c r="L68" s="35">
        <v>4.26</v>
      </c>
      <c r="M68" s="35">
        <v>14.19</v>
      </c>
      <c r="N68" s="35">
        <v>18.59</v>
      </c>
      <c r="O68" s="35">
        <v>29.01</v>
      </c>
      <c r="P68" s="35">
        <v>33.71</v>
      </c>
      <c r="Q68" s="35">
        <v>29.84</v>
      </c>
      <c r="R68" s="35">
        <v>35.53</v>
      </c>
      <c r="S68" s="35">
        <v>35.700000000000003</v>
      </c>
      <c r="T68" s="35">
        <v>36.11</v>
      </c>
      <c r="U68" s="35">
        <v>59.92</v>
      </c>
      <c r="V68" s="35">
        <v>88.66</v>
      </c>
      <c r="W68" s="35">
        <v>90.27</v>
      </c>
      <c r="X68" s="35">
        <v>81.069999999999993</v>
      </c>
      <c r="Y68" s="35">
        <v>66.91</v>
      </c>
      <c r="Z68" s="35">
        <v>55.42</v>
      </c>
      <c r="AA68" s="35">
        <v>37.29</v>
      </c>
      <c r="AB68" s="36">
        <f t="shared" si="1"/>
        <v>751.15</v>
      </c>
      <c r="AC68" s="37">
        <v>4</v>
      </c>
      <c r="AD68" s="91"/>
    </row>
    <row r="69" spans="2:30">
      <c r="B69" s="89"/>
      <c r="C69" s="34" t="s">
        <v>34</v>
      </c>
      <c r="D69" s="35">
        <v>0</v>
      </c>
      <c r="E69" s="35">
        <v>6.11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5.13</v>
      </c>
      <c r="Q69" s="35">
        <v>8.81</v>
      </c>
      <c r="R69" s="35">
        <v>13.6</v>
      </c>
      <c r="S69" s="35">
        <v>12.08</v>
      </c>
      <c r="T69" s="35">
        <v>18.149999999999999</v>
      </c>
      <c r="U69" s="35">
        <v>12.26</v>
      </c>
      <c r="V69" s="35">
        <v>32.83</v>
      </c>
      <c r="W69" s="35">
        <v>41.59</v>
      </c>
      <c r="X69" s="35">
        <v>41.78</v>
      </c>
      <c r="Y69" s="35">
        <v>41.83</v>
      </c>
      <c r="Z69" s="35">
        <v>42.01</v>
      </c>
      <c r="AA69" s="35">
        <v>45.55</v>
      </c>
      <c r="AB69" s="36">
        <f t="shared" si="1"/>
        <v>321.73</v>
      </c>
      <c r="AC69" s="37">
        <v>6</v>
      </c>
      <c r="AD69" s="91"/>
    </row>
    <row r="70" spans="2:30">
      <c r="B70" s="89">
        <v>47362</v>
      </c>
      <c r="C70" s="34" t="s">
        <v>32</v>
      </c>
      <c r="D70" s="35">
        <v>25.65</v>
      </c>
      <c r="E70" s="35">
        <v>13.17</v>
      </c>
      <c r="F70" s="35">
        <v>3.13</v>
      </c>
      <c r="G70" s="35">
        <v>5.18</v>
      </c>
      <c r="H70" s="35">
        <v>4.5999999999999996</v>
      </c>
      <c r="I70" s="35">
        <v>15.14</v>
      </c>
      <c r="J70" s="35">
        <v>6.21</v>
      </c>
      <c r="K70" s="35">
        <v>5.96</v>
      </c>
      <c r="L70" s="35">
        <v>31.65</v>
      </c>
      <c r="M70" s="35">
        <v>43.33</v>
      </c>
      <c r="N70" s="35">
        <v>50.86</v>
      </c>
      <c r="O70" s="35">
        <v>67.88</v>
      </c>
      <c r="P70" s="35">
        <v>69.27</v>
      </c>
      <c r="Q70" s="35">
        <v>58.49</v>
      </c>
      <c r="R70" s="35">
        <v>84.17</v>
      </c>
      <c r="S70" s="35">
        <v>88.71</v>
      </c>
      <c r="T70" s="35">
        <v>91.64</v>
      </c>
      <c r="U70" s="35">
        <v>104.13</v>
      </c>
      <c r="V70" s="35">
        <v>118.99</v>
      </c>
      <c r="W70" s="35">
        <v>115.37</v>
      </c>
      <c r="X70" s="35">
        <v>114.95</v>
      </c>
      <c r="Y70" s="35">
        <v>99.12</v>
      </c>
      <c r="Z70" s="35">
        <v>73.819999999999993</v>
      </c>
      <c r="AA70" s="35">
        <v>47.72</v>
      </c>
      <c r="AB70" s="36">
        <f t="shared" si="1"/>
        <v>1339.14</v>
      </c>
      <c r="AC70" s="37">
        <v>20</v>
      </c>
      <c r="AD70" s="91">
        <f>+AB70*AC70+AB71*AC71+AB72*AC72</f>
        <v>32103.85</v>
      </c>
    </row>
    <row r="71" spans="2:30">
      <c r="B71" s="89"/>
      <c r="C71" s="34" t="s">
        <v>33</v>
      </c>
      <c r="D71" s="35">
        <v>15.83</v>
      </c>
      <c r="E71" s="35">
        <v>16.47</v>
      </c>
      <c r="F71" s="35">
        <v>0</v>
      </c>
      <c r="G71" s="35">
        <v>0</v>
      </c>
      <c r="H71" s="35">
        <v>0</v>
      </c>
      <c r="I71" s="35">
        <v>0.57999999999999996</v>
      </c>
      <c r="J71" s="35">
        <v>0</v>
      </c>
      <c r="K71" s="35">
        <v>0</v>
      </c>
      <c r="L71" s="35">
        <v>4.6500000000000004</v>
      </c>
      <c r="M71" s="35">
        <v>14.22</v>
      </c>
      <c r="N71" s="35">
        <v>18.190000000000001</v>
      </c>
      <c r="O71" s="35">
        <v>30.64</v>
      </c>
      <c r="P71" s="35">
        <v>32.51</v>
      </c>
      <c r="Q71" s="35">
        <v>32.299999999999997</v>
      </c>
      <c r="R71" s="35">
        <v>38.53</v>
      </c>
      <c r="S71" s="35">
        <v>37.86</v>
      </c>
      <c r="T71" s="35">
        <v>38.58</v>
      </c>
      <c r="U71" s="35">
        <v>59.19</v>
      </c>
      <c r="V71" s="35">
        <v>86.84</v>
      </c>
      <c r="W71" s="35">
        <v>92.93</v>
      </c>
      <c r="X71" s="35">
        <v>82.79</v>
      </c>
      <c r="Y71" s="35">
        <v>65.05</v>
      </c>
      <c r="Z71" s="35">
        <v>55.29</v>
      </c>
      <c r="AA71" s="35">
        <v>33.46</v>
      </c>
      <c r="AB71" s="36">
        <f t="shared" si="1"/>
        <v>755.91</v>
      </c>
      <c r="AC71" s="37">
        <v>5</v>
      </c>
      <c r="AD71" s="91"/>
    </row>
    <row r="72" spans="2:30">
      <c r="B72" s="89"/>
      <c r="C72" s="34" t="s">
        <v>34</v>
      </c>
      <c r="D72" s="35">
        <v>5.07</v>
      </c>
      <c r="E72" s="35">
        <v>4.84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4.55</v>
      </c>
      <c r="Q72" s="35">
        <v>11.01</v>
      </c>
      <c r="R72" s="35">
        <v>16.97</v>
      </c>
      <c r="S72" s="35">
        <v>17.18</v>
      </c>
      <c r="T72" s="35">
        <v>21.13</v>
      </c>
      <c r="U72" s="35">
        <v>14.81</v>
      </c>
      <c r="V72" s="35">
        <v>27.5</v>
      </c>
      <c r="W72" s="35">
        <v>46.94</v>
      </c>
      <c r="X72" s="35">
        <v>40.35</v>
      </c>
      <c r="Y72" s="35">
        <v>33.43</v>
      </c>
      <c r="Z72" s="35">
        <v>28.26</v>
      </c>
      <c r="AA72" s="35">
        <v>36.26</v>
      </c>
      <c r="AB72" s="36">
        <f t="shared" si="1"/>
        <v>308.3</v>
      </c>
      <c r="AC72" s="37">
        <v>5</v>
      </c>
      <c r="AD72" s="91"/>
    </row>
    <row r="73" spans="2:30">
      <c r="B73" s="89">
        <v>47392</v>
      </c>
      <c r="C73" s="34" t="s">
        <v>32</v>
      </c>
      <c r="D73" s="35">
        <v>22.23</v>
      </c>
      <c r="E73" s="35">
        <v>12.17</v>
      </c>
      <c r="F73" s="35">
        <v>2.96</v>
      </c>
      <c r="G73" s="35">
        <v>3.34</v>
      </c>
      <c r="H73" s="35">
        <v>2.23</v>
      </c>
      <c r="I73" s="35">
        <v>11.12</v>
      </c>
      <c r="J73" s="35">
        <v>2.23</v>
      </c>
      <c r="K73" s="35">
        <v>2.87</v>
      </c>
      <c r="L73" s="35">
        <v>29.44</v>
      </c>
      <c r="M73" s="35">
        <v>41.03</v>
      </c>
      <c r="N73" s="35">
        <v>49.89</v>
      </c>
      <c r="O73" s="35">
        <v>68.34</v>
      </c>
      <c r="P73" s="35">
        <v>72.400000000000006</v>
      </c>
      <c r="Q73" s="35">
        <v>60.37</v>
      </c>
      <c r="R73" s="35">
        <v>83.01</v>
      </c>
      <c r="S73" s="35">
        <v>85.69</v>
      </c>
      <c r="T73" s="35">
        <v>88.19</v>
      </c>
      <c r="U73" s="35">
        <v>101.93</v>
      </c>
      <c r="V73" s="35">
        <v>116.57</v>
      </c>
      <c r="W73" s="35">
        <v>112.18</v>
      </c>
      <c r="X73" s="35">
        <v>110.42</v>
      </c>
      <c r="Y73" s="35">
        <v>96.05</v>
      </c>
      <c r="Z73" s="35">
        <v>72.83</v>
      </c>
      <c r="AA73" s="35">
        <v>47.54</v>
      </c>
      <c r="AB73" s="36">
        <f t="shared" si="1"/>
        <v>1295.03</v>
      </c>
      <c r="AC73" s="37">
        <v>22</v>
      </c>
      <c r="AD73" s="91">
        <f>+AB73*AC73+AB74*AC74+AB75*AC75</f>
        <v>33411.370000000003</v>
      </c>
    </row>
    <row r="74" spans="2:30">
      <c r="B74" s="89"/>
      <c r="C74" s="34" t="s">
        <v>33</v>
      </c>
      <c r="D74" s="35">
        <v>16.690000000000001</v>
      </c>
      <c r="E74" s="35">
        <v>15.02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4.5599999999999996</v>
      </c>
      <c r="M74" s="35">
        <v>14.79</v>
      </c>
      <c r="N74" s="35">
        <v>20.82</v>
      </c>
      <c r="O74" s="35">
        <v>36.21</v>
      </c>
      <c r="P74" s="35">
        <v>37.049999999999997</v>
      </c>
      <c r="Q74" s="35">
        <v>34.99</v>
      </c>
      <c r="R74" s="35">
        <v>41.25</v>
      </c>
      <c r="S74" s="35">
        <v>38.03</v>
      </c>
      <c r="T74" s="35">
        <v>38.89</v>
      </c>
      <c r="U74" s="35">
        <v>59.76</v>
      </c>
      <c r="V74" s="35">
        <v>86.48</v>
      </c>
      <c r="W74" s="35">
        <v>92.95</v>
      </c>
      <c r="X74" s="35">
        <v>83.57</v>
      </c>
      <c r="Y74" s="35">
        <v>64.58</v>
      </c>
      <c r="Z74" s="35">
        <v>55.2</v>
      </c>
      <c r="AA74" s="35">
        <v>35.4</v>
      </c>
      <c r="AB74" s="36">
        <f t="shared" si="1"/>
        <v>776.24</v>
      </c>
      <c r="AC74" s="37">
        <v>4</v>
      </c>
      <c r="AD74" s="91"/>
    </row>
    <row r="75" spans="2:30">
      <c r="B75" s="89"/>
      <c r="C75" s="34" t="s">
        <v>34</v>
      </c>
      <c r="D75" s="35">
        <v>10.199999999999999</v>
      </c>
      <c r="E75" s="35">
        <v>16.37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2.23</v>
      </c>
      <c r="P75" s="35">
        <v>9.9600000000000009</v>
      </c>
      <c r="Q75" s="35">
        <v>15.45</v>
      </c>
      <c r="R75" s="35">
        <v>20.04</v>
      </c>
      <c r="S75" s="35">
        <v>16.489999999999998</v>
      </c>
      <c r="T75" s="35">
        <v>21.5</v>
      </c>
      <c r="U75" s="35">
        <v>18.190000000000001</v>
      </c>
      <c r="V75" s="35">
        <v>30.92</v>
      </c>
      <c r="W75" s="35">
        <v>45.17</v>
      </c>
      <c r="X75" s="35">
        <v>45.17</v>
      </c>
      <c r="Y75" s="35">
        <v>35.56</v>
      </c>
      <c r="Z75" s="35">
        <v>38.26</v>
      </c>
      <c r="AA75" s="35">
        <v>37.64</v>
      </c>
      <c r="AB75" s="36">
        <f t="shared" si="1"/>
        <v>363.15</v>
      </c>
      <c r="AC75" s="37">
        <v>5</v>
      </c>
      <c r="AD75" s="91"/>
    </row>
    <row r="76" spans="2:30">
      <c r="B76" s="89">
        <v>47423</v>
      </c>
      <c r="C76" s="34" t="s">
        <v>32</v>
      </c>
      <c r="D76" s="35">
        <v>20.49</v>
      </c>
      <c r="E76" s="35">
        <v>10.57</v>
      </c>
      <c r="F76" s="35">
        <v>1.45</v>
      </c>
      <c r="G76" s="35">
        <v>2.23</v>
      </c>
      <c r="H76" s="35">
        <v>0.77</v>
      </c>
      <c r="I76" s="35">
        <v>10.119999999999999</v>
      </c>
      <c r="J76" s="35">
        <v>1.21</v>
      </c>
      <c r="K76" s="35">
        <v>2.3199999999999998</v>
      </c>
      <c r="L76" s="35">
        <v>27.88</v>
      </c>
      <c r="M76" s="35">
        <v>39.89</v>
      </c>
      <c r="N76" s="35">
        <v>47.26</v>
      </c>
      <c r="O76" s="35">
        <v>63.38</v>
      </c>
      <c r="P76" s="35">
        <v>66.19</v>
      </c>
      <c r="Q76" s="35">
        <v>56.11</v>
      </c>
      <c r="R76" s="35">
        <v>81.19</v>
      </c>
      <c r="S76" s="35">
        <v>85.37</v>
      </c>
      <c r="T76" s="35">
        <v>88.05</v>
      </c>
      <c r="U76" s="35">
        <v>101.65</v>
      </c>
      <c r="V76" s="35">
        <v>116.59</v>
      </c>
      <c r="W76" s="35">
        <v>111.83</v>
      </c>
      <c r="X76" s="35">
        <v>109.78</v>
      </c>
      <c r="Y76" s="35">
        <v>94.89</v>
      </c>
      <c r="Z76" s="35">
        <v>71.52</v>
      </c>
      <c r="AA76" s="35">
        <v>45.46</v>
      </c>
      <c r="AB76" s="36">
        <f t="shared" si="1"/>
        <v>1256.2</v>
      </c>
      <c r="AC76" s="37">
        <v>20</v>
      </c>
      <c r="AD76" s="91">
        <f>+AB76*AC76+AB77*AC77+AB78*AC78</f>
        <v>30388.82</v>
      </c>
    </row>
    <row r="77" spans="2:30">
      <c r="B77" s="89"/>
      <c r="C77" s="34" t="s">
        <v>33</v>
      </c>
      <c r="D77" s="35">
        <v>16.68</v>
      </c>
      <c r="E77" s="35">
        <v>14.54</v>
      </c>
      <c r="F77" s="35">
        <v>0</v>
      </c>
      <c r="G77" s="35">
        <v>0</v>
      </c>
      <c r="H77" s="35">
        <v>0</v>
      </c>
      <c r="I77" s="35">
        <v>1.47</v>
      </c>
      <c r="J77" s="35">
        <v>0</v>
      </c>
      <c r="K77" s="35">
        <v>0</v>
      </c>
      <c r="L77" s="35">
        <v>4.26</v>
      </c>
      <c r="M77" s="35">
        <v>14.67</v>
      </c>
      <c r="N77" s="35">
        <v>18.2</v>
      </c>
      <c r="O77" s="35">
        <v>32.909999999999997</v>
      </c>
      <c r="P77" s="35">
        <v>31.99</v>
      </c>
      <c r="Q77" s="35">
        <v>30.7</v>
      </c>
      <c r="R77" s="35">
        <v>41.88</v>
      </c>
      <c r="S77" s="35">
        <v>39.94</v>
      </c>
      <c r="T77" s="35">
        <v>40.229999999999997</v>
      </c>
      <c r="U77" s="35">
        <v>59.84</v>
      </c>
      <c r="V77" s="35">
        <v>85.71</v>
      </c>
      <c r="W77" s="35">
        <v>94.44</v>
      </c>
      <c r="X77" s="35">
        <v>79.44</v>
      </c>
      <c r="Y77" s="35">
        <v>64.290000000000006</v>
      </c>
      <c r="Z77" s="35">
        <v>54.7</v>
      </c>
      <c r="AA77" s="35">
        <v>34.31</v>
      </c>
      <c r="AB77" s="36">
        <f t="shared" si="1"/>
        <v>760.2</v>
      </c>
      <c r="AC77" s="37">
        <v>4</v>
      </c>
      <c r="AD77" s="91"/>
    </row>
    <row r="78" spans="2:30">
      <c r="B78" s="89"/>
      <c r="C78" s="34" t="s">
        <v>34</v>
      </c>
      <c r="D78" s="35">
        <v>3.03</v>
      </c>
      <c r="E78" s="35">
        <v>2.16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6.56</v>
      </c>
      <c r="Q78" s="35">
        <v>13.48</v>
      </c>
      <c r="R78" s="35">
        <v>20.8</v>
      </c>
      <c r="S78" s="35">
        <v>17.09</v>
      </c>
      <c r="T78" s="35">
        <v>22.66</v>
      </c>
      <c r="U78" s="35">
        <v>20.94</v>
      </c>
      <c r="V78" s="35">
        <v>33.56</v>
      </c>
      <c r="W78" s="35">
        <v>51.13</v>
      </c>
      <c r="X78" s="35">
        <v>51.41</v>
      </c>
      <c r="Y78" s="35">
        <v>47.13</v>
      </c>
      <c r="Z78" s="35">
        <v>42.19</v>
      </c>
      <c r="AA78" s="35">
        <v>38.53</v>
      </c>
      <c r="AB78" s="36">
        <f t="shared" si="1"/>
        <v>370.67</v>
      </c>
      <c r="AC78" s="37">
        <v>6</v>
      </c>
      <c r="AD78" s="91"/>
    </row>
    <row r="79" spans="2:30">
      <c r="B79" s="89">
        <v>47453</v>
      </c>
      <c r="C79" s="34" t="s">
        <v>32</v>
      </c>
      <c r="D79" s="35">
        <v>25.96</v>
      </c>
      <c r="E79" s="35">
        <v>14.69</v>
      </c>
      <c r="F79" s="35">
        <v>6.14</v>
      </c>
      <c r="G79" s="35">
        <v>4.83</v>
      </c>
      <c r="H79" s="35">
        <v>5.46</v>
      </c>
      <c r="I79" s="35">
        <v>11.97</v>
      </c>
      <c r="J79" s="35">
        <v>8.7899999999999991</v>
      </c>
      <c r="K79" s="35">
        <v>5.96</v>
      </c>
      <c r="L79" s="35">
        <v>30.75</v>
      </c>
      <c r="M79" s="35">
        <v>41.29</v>
      </c>
      <c r="N79" s="35">
        <v>48.03</v>
      </c>
      <c r="O79" s="35">
        <v>64.16</v>
      </c>
      <c r="P79" s="35">
        <v>67.319999999999993</v>
      </c>
      <c r="Q79" s="35">
        <v>58.35</v>
      </c>
      <c r="R79" s="35">
        <v>78.989999999999995</v>
      </c>
      <c r="S79" s="35">
        <v>85.91</v>
      </c>
      <c r="T79" s="35">
        <v>90.28</v>
      </c>
      <c r="U79" s="35">
        <v>101.99</v>
      </c>
      <c r="V79" s="35">
        <v>118.33</v>
      </c>
      <c r="W79" s="35">
        <v>117.2</v>
      </c>
      <c r="X79" s="35">
        <v>116.37</v>
      </c>
      <c r="Y79" s="35">
        <v>101.05</v>
      </c>
      <c r="Z79" s="35">
        <v>77.760000000000005</v>
      </c>
      <c r="AA79" s="35">
        <v>52.07</v>
      </c>
      <c r="AB79" s="36">
        <f t="shared" si="1"/>
        <v>1333.65</v>
      </c>
      <c r="AC79" s="37">
        <v>20</v>
      </c>
      <c r="AD79" s="91">
        <f>+AB79*AC79+AB80*AC80+AB81*AC81</f>
        <v>32270.63</v>
      </c>
    </row>
    <row r="80" spans="2:30">
      <c r="B80" s="89"/>
      <c r="C80" s="34" t="s">
        <v>33</v>
      </c>
      <c r="D80" s="35">
        <v>15.4</v>
      </c>
      <c r="E80" s="35">
        <v>15.15</v>
      </c>
      <c r="F80" s="35">
        <v>0</v>
      </c>
      <c r="G80" s="35">
        <v>0</v>
      </c>
      <c r="H80" s="35">
        <v>0.37</v>
      </c>
      <c r="I80" s="35">
        <v>5.26</v>
      </c>
      <c r="J80" s="35">
        <v>0</v>
      </c>
      <c r="K80" s="35">
        <v>0</v>
      </c>
      <c r="L80" s="35">
        <v>4.05</v>
      </c>
      <c r="M80" s="35">
        <v>12.67</v>
      </c>
      <c r="N80" s="35">
        <v>16.41</v>
      </c>
      <c r="O80" s="35">
        <v>32.049999999999997</v>
      </c>
      <c r="P80" s="35">
        <v>29.4</v>
      </c>
      <c r="Q80" s="35">
        <v>25.92</v>
      </c>
      <c r="R80" s="35">
        <v>38.369999999999997</v>
      </c>
      <c r="S80" s="35">
        <v>36.93</v>
      </c>
      <c r="T80" s="35">
        <v>38.54</v>
      </c>
      <c r="U80" s="35">
        <v>59.86</v>
      </c>
      <c r="V80" s="35">
        <v>85.18</v>
      </c>
      <c r="W80" s="35">
        <v>92.1</v>
      </c>
      <c r="X80" s="35">
        <v>75</v>
      </c>
      <c r="Y80" s="35">
        <v>63.95</v>
      </c>
      <c r="Z80" s="35">
        <v>53.9</v>
      </c>
      <c r="AA80" s="35">
        <v>44.59</v>
      </c>
      <c r="AB80" s="36">
        <f t="shared" si="1"/>
        <v>745.1</v>
      </c>
      <c r="AC80" s="37">
        <v>4</v>
      </c>
      <c r="AD80" s="91"/>
    </row>
    <row r="81" spans="2:31">
      <c r="B81" s="89"/>
      <c r="C81" s="34" t="s">
        <v>34</v>
      </c>
      <c r="D81" s="35">
        <v>11.64</v>
      </c>
      <c r="E81" s="35">
        <v>19.68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6.23</v>
      </c>
      <c r="Q81" s="35">
        <v>12.52</v>
      </c>
      <c r="R81" s="35">
        <v>17.54</v>
      </c>
      <c r="S81" s="35">
        <v>14.42</v>
      </c>
      <c r="T81" s="35">
        <v>19.559999999999999</v>
      </c>
      <c r="U81" s="35">
        <v>19.68</v>
      </c>
      <c r="V81" s="35">
        <v>26.84</v>
      </c>
      <c r="W81" s="35">
        <v>47.34</v>
      </c>
      <c r="X81" s="35">
        <v>48.17</v>
      </c>
      <c r="Y81" s="35">
        <v>48.17</v>
      </c>
      <c r="Z81" s="35">
        <v>38.770000000000003</v>
      </c>
      <c r="AA81" s="35">
        <v>43.33</v>
      </c>
      <c r="AB81" s="36">
        <f t="shared" si="1"/>
        <v>373.89</v>
      </c>
      <c r="AC81" s="37">
        <v>7</v>
      </c>
      <c r="AD81" s="91"/>
    </row>
    <row r="82" spans="2:31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86" t="s">
        <v>35</v>
      </c>
      <c r="AB82" s="87"/>
      <c r="AC82" s="88"/>
      <c r="AD82" s="39">
        <f>SUM(AD46:AD81)</f>
        <v>360560.47</v>
      </c>
    </row>
    <row r="83" spans="2:31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</row>
    <row r="84" spans="2:31" ht="23.25">
      <c r="B84" s="30" t="s">
        <v>79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40"/>
      <c r="AC84" s="40"/>
      <c r="AD84" s="38"/>
    </row>
    <row r="85" spans="2:31">
      <c r="B85" s="32" t="s">
        <v>3</v>
      </c>
      <c r="C85" s="32" t="s">
        <v>4</v>
      </c>
      <c r="D85" s="32" t="s">
        <v>5</v>
      </c>
      <c r="E85" s="32" t="s">
        <v>6</v>
      </c>
      <c r="F85" s="32" t="s">
        <v>7</v>
      </c>
      <c r="G85" s="32" t="s">
        <v>8</v>
      </c>
      <c r="H85" s="32" t="s">
        <v>9</v>
      </c>
      <c r="I85" s="32" t="s">
        <v>10</v>
      </c>
      <c r="J85" s="32" t="s">
        <v>11</v>
      </c>
      <c r="K85" s="32" t="s">
        <v>12</v>
      </c>
      <c r="L85" s="32" t="s">
        <v>13</v>
      </c>
      <c r="M85" s="32" t="s">
        <v>14</v>
      </c>
      <c r="N85" s="32" t="s">
        <v>15</v>
      </c>
      <c r="O85" s="32" t="s">
        <v>16</v>
      </c>
      <c r="P85" s="32" t="s">
        <v>17</v>
      </c>
      <c r="Q85" s="32" t="s">
        <v>18</v>
      </c>
      <c r="R85" s="32" t="s">
        <v>19</v>
      </c>
      <c r="S85" s="32" t="s">
        <v>20</v>
      </c>
      <c r="T85" s="32" t="s">
        <v>21</v>
      </c>
      <c r="U85" s="32" t="s">
        <v>22</v>
      </c>
      <c r="V85" s="32" t="s">
        <v>23</v>
      </c>
      <c r="W85" s="32" t="s">
        <v>24</v>
      </c>
      <c r="X85" s="32" t="s">
        <v>25</v>
      </c>
      <c r="Y85" s="32" t="s">
        <v>26</v>
      </c>
      <c r="Z85" s="32" t="s">
        <v>27</v>
      </c>
      <c r="AA85" s="32" t="s">
        <v>28</v>
      </c>
      <c r="AB85" s="33" t="s">
        <v>29</v>
      </c>
      <c r="AC85" s="33" t="s">
        <v>30</v>
      </c>
      <c r="AD85" s="32" t="s">
        <v>31</v>
      </c>
    </row>
    <row r="86" spans="2:31">
      <c r="B86" s="89">
        <v>47484</v>
      </c>
      <c r="C86" s="34" t="s">
        <v>32</v>
      </c>
      <c r="D86" s="35">
        <v>14.38</v>
      </c>
      <c r="E86" s="35">
        <v>8.98</v>
      </c>
      <c r="F86" s="35">
        <v>6.43</v>
      </c>
      <c r="G86" s="35">
        <v>5.57</v>
      </c>
      <c r="H86" s="35">
        <v>6.02</v>
      </c>
      <c r="I86" s="35">
        <v>9.0299999999999994</v>
      </c>
      <c r="J86" s="35">
        <v>0</v>
      </c>
      <c r="K86" s="35">
        <v>0</v>
      </c>
      <c r="L86" s="35">
        <v>3.19</v>
      </c>
      <c r="M86" s="35">
        <v>6.74</v>
      </c>
      <c r="N86" s="35">
        <v>9.68</v>
      </c>
      <c r="O86" s="35">
        <v>16.89</v>
      </c>
      <c r="P86" s="35">
        <v>18.8</v>
      </c>
      <c r="Q86" s="35">
        <v>15.93</v>
      </c>
      <c r="R86" s="35">
        <v>22.44</v>
      </c>
      <c r="S86" s="35">
        <v>24.16</v>
      </c>
      <c r="T86" s="35">
        <v>25.5</v>
      </c>
      <c r="U86" s="35">
        <v>30.71</v>
      </c>
      <c r="V86" s="35">
        <v>47.17</v>
      </c>
      <c r="W86" s="35">
        <v>44.7</v>
      </c>
      <c r="X86" s="35">
        <v>47.02</v>
      </c>
      <c r="Y86" s="35">
        <v>41.19</v>
      </c>
      <c r="Z86" s="35">
        <v>33.840000000000003</v>
      </c>
      <c r="AA86" s="35">
        <v>24.11</v>
      </c>
      <c r="AB86" s="36">
        <f>SUM(D86:AA86)</f>
        <v>462.48</v>
      </c>
      <c r="AC86" s="37">
        <v>21</v>
      </c>
      <c r="AD86" s="91">
        <f>+AB86*AC86+AB87*AC87+AB88*AC88</f>
        <v>11511</v>
      </c>
    </row>
    <row r="87" spans="2:31">
      <c r="B87" s="89"/>
      <c r="C87" s="34" t="s">
        <v>33</v>
      </c>
      <c r="D87" s="35">
        <v>17.989999999999998</v>
      </c>
      <c r="E87" s="35">
        <v>14.81</v>
      </c>
      <c r="F87" s="35">
        <v>5.52</v>
      </c>
      <c r="G87" s="35">
        <v>6.35</v>
      </c>
      <c r="H87" s="35">
        <v>7.76</v>
      </c>
      <c r="I87" s="35">
        <v>6.09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3.04</v>
      </c>
      <c r="P87" s="35">
        <v>5.16</v>
      </c>
      <c r="Q87" s="35">
        <v>1.99</v>
      </c>
      <c r="R87" s="35">
        <v>7.28</v>
      </c>
      <c r="S87" s="35">
        <v>7.69</v>
      </c>
      <c r="T87" s="35">
        <v>6.32</v>
      </c>
      <c r="U87" s="35">
        <v>17.440000000000001</v>
      </c>
      <c r="V87" s="35">
        <v>32.86</v>
      </c>
      <c r="W87" s="35">
        <v>32.26</v>
      </c>
      <c r="X87" s="35">
        <v>29</v>
      </c>
      <c r="Y87" s="35">
        <v>25.78</v>
      </c>
      <c r="Z87" s="35">
        <v>26.88</v>
      </c>
      <c r="AA87" s="35">
        <v>18.63</v>
      </c>
      <c r="AB87" s="36">
        <f t="shared" ref="AB87:AB121" si="2">SUM(D87:AA87)</f>
        <v>272.85000000000002</v>
      </c>
      <c r="AC87" s="37">
        <v>4</v>
      </c>
      <c r="AD87" s="91"/>
    </row>
    <row r="88" spans="2:31">
      <c r="B88" s="89"/>
      <c r="C88" s="34" t="s">
        <v>34</v>
      </c>
      <c r="D88" s="35">
        <v>10.92</v>
      </c>
      <c r="E88" s="35">
        <v>8.23</v>
      </c>
      <c r="F88" s="35">
        <v>4.7699999999999996</v>
      </c>
      <c r="G88" s="35">
        <v>2.66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11.05</v>
      </c>
      <c r="V88" s="35">
        <v>0.1</v>
      </c>
      <c r="W88" s="35">
        <v>9.6</v>
      </c>
      <c r="X88" s="35">
        <v>10.57</v>
      </c>
      <c r="Y88" s="35">
        <v>7.19</v>
      </c>
      <c r="Z88" s="35">
        <v>30.24</v>
      </c>
      <c r="AA88" s="35">
        <v>22.59</v>
      </c>
      <c r="AB88" s="36">
        <f t="shared" si="2"/>
        <v>117.92</v>
      </c>
      <c r="AC88" s="37">
        <v>6</v>
      </c>
      <c r="AD88" s="91"/>
    </row>
    <row r="89" spans="2:31">
      <c r="B89" s="89">
        <v>47515</v>
      </c>
      <c r="C89" s="34" t="s">
        <v>32</v>
      </c>
      <c r="D89" s="35">
        <v>13.07</v>
      </c>
      <c r="E89" s="35">
        <v>6.03</v>
      </c>
      <c r="F89" s="35">
        <v>3.09</v>
      </c>
      <c r="G89" s="35">
        <v>3.29</v>
      </c>
      <c r="H89" s="35">
        <v>2.48</v>
      </c>
      <c r="I89" s="35">
        <v>7.27</v>
      </c>
      <c r="J89" s="35">
        <v>0</v>
      </c>
      <c r="K89" s="35">
        <v>0</v>
      </c>
      <c r="L89" s="35">
        <v>1.1200000000000001</v>
      </c>
      <c r="M89" s="35">
        <v>6.43</v>
      </c>
      <c r="N89" s="35">
        <v>9.32</v>
      </c>
      <c r="O89" s="35">
        <v>16.37</v>
      </c>
      <c r="P89" s="35">
        <v>17.63</v>
      </c>
      <c r="Q89" s="35">
        <v>13.53</v>
      </c>
      <c r="R89" s="35">
        <v>21.01</v>
      </c>
      <c r="S89" s="35">
        <v>21.39</v>
      </c>
      <c r="T89" s="35">
        <v>22.31</v>
      </c>
      <c r="U89" s="35">
        <v>28.49</v>
      </c>
      <c r="V89" s="35">
        <v>43</v>
      </c>
      <c r="W89" s="35">
        <v>39.26</v>
      </c>
      <c r="X89" s="35">
        <v>40.729999999999997</v>
      </c>
      <c r="Y89" s="35">
        <v>35.11</v>
      </c>
      <c r="Z89" s="35">
        <v>28.92</v>
      </c>
      <c r="AA89" s="35">
        <v>19.66</v>
      </c>
      <c r="AB89" s="36">
        <f t="shared" si="2"/>
        <v>399.51</v>
      </c>
      <c r="AC89" s="37">
        <v>20</v>
      </c>
      <c r="AD89" s="91">
        <f>+AB89*AC89+AB90*AC90+AB91*AC91</f>
        <v>9547.36</v>
      </c>
    </row>
    <row r="90" spans="2:31">
      <c r="B90" s="89"/>
      <c r="C90" s="34" t="s">
        <v>33</v>
      </c>
      <c r="D90" s="35">
        <v>14.95</v>
      </c>
      <c r="E90" s="35">
        <v>12.05</v>
      </c>
      <c r="F90" s="35">
        <v>3.86</v>
      </c>
      <c r="G90" s="35">
        <v>3.49</v>
      </c>
      <c r="H90" s="35">
        <v>5.34</v>
      </c>
      <c r="I90" s="35">
        <v>4.57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3.83</v>
      </c>
      <c r="P90" s="35">
        <v>6.03</v>
      </c>
      <c r="Q90" s="35">
        <v>4.2699999999999996</v>
      </c>
      <c r="R90" s="35">
        <v>8.18</v>
      </c>
      <c r="S90" s="35">
        <v>7.67</v>
      </c>
      <c r="T90" s="35">
        <v>7.35</v>
      </c>
      <c r="U90" s="35">
        <v>17.350000000000001</v>
      </c>
      <c r="V90" s="35">
        <v>33.83</v>
      </c>
      <c r="W90" s="35">
        <v>31.3</v>
      </c>
      <c r="X90" s="35">
        <v>28.97</v>
      </c>
      <c r="Y90" s="35">
        <v>25.43</v>
      </c>
      <c r="Z90" s="35">
        <v>26.99</v>
      </c>
      <c r="AA90" s="35">
        <v>20.16</v>
      </c>
      <c r="AB90" s="36">
        <f t="shared" si="2"/>
        <v>265.62</v>
      </c>
      <c r="AC90" s="37">
        <v>4</v>
      </c>
      <c r="AD90" s="91"/>
    </row>
    <row r="91" spans="2:31">
      <c r="B91" s="89"/>
      <c r="C91" s="34" t="s">
        <v>34</v>
      </c>
      <c r="D91" s="35">
        <v>9.9600000000000009</v>
      </c>
      <c r="E91" s="35">
        <v>8.61</v>
      </c>
      <c r="F91" s="35">
        <v>4.21</v>
      </c>
      <c r="G91" s="35">
        <v>1.54</v>
      </c>
      <c r="H91" s="35">
        <v>0</v>
      </c>
      <c r="I91" s="35">
        <v>0.69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0.46</v>
      </c>
      <c r="U91" s="35">
        <v>11.13</v>
      </c>
      <c r="V91" s="35">
        <v>6.12</v>
      </c>
      <c r="W91" s="35">
        <v>14.39</v>
      </c>
      <c r="X91" s="35">
        <v>12.71</v>
      </c>
      <c r="Y91" s="35">
        <v>9.42</v>
      </c>
      <c r="Z91" s="35">
        <v>25.32</v>
      </c>
      <c r="AA91" s="35">
        <v>19.11</v>
      </c>
      <c r="AB91" s="36">
        <f t="shared" si="2"/>
        <v>123.67</v>
      </c>
      <c r="AC91" s="37">
        <v>4</v>
      </c>
      <c r="AD91" s="91"/>
    </row>
    <row r="92" spans="2:31">
      <c r="B92" s="89">
        <v>47543</v>
      </c>
      <c r="C92" s="34" t="s">
        <v>32</v>
      </c>
      <c r="D92" s="35">
        <v>13.81</v>
      </c>
      <c r="E92" s="35">
        <v>6.88</v>
      </c>
      <c r="F92" s="35">
        <v>3.75</v>
      </c>
      <c r="G92" s="35">
        <v>3.92</v>
      </c>
      <c r="H92" s="35">
        <v>3.63</v>
      </c>
      <c r="I92" s="35">
        <v>8.51</v>
      </c>
      <c r="J92" s="35">
        <v>0</v>
      </c>
      <c r="K92" s="35">
        <v>0</v>
      </c>
      <c r="L92" s="35">
        <v>2.3199999999999998</v>
      </c>
      <c r="M92" s="35">
        <v>7.46</v>
      </c>
      <c r="N92" s="35">
        <v>10.26</v>
      </c>
      <c r="O92" s="35">
        <v>16.38</v>
      </c>
      <c r="P92" s="35">
        <v>17.329999999999998</v>
      </c>
      <c r="Q92" s="35">
        <v>13.61</v>
      </c>
      <c r="R92" s="35">
        <v>21.71</v>
      </c>
      <c r="S92" s="35">
        <v>22.64</v>
      </c>
      <c r="T92" s="35">
        <v>23.54</v>
      </c>
      <c r="U92" s="35">
        <v>29.57</v>
      </c>
      <c r="V92" s="35">
        <v>43.86</v>
      </c>
      <c r="W92" s="35">
        <v>40.25</v>
      </c>
      <c r="X92" s="35">
        <v>42.01</v>
      </c>
      <c r="Y92" s="35">
        <v>36.42</v>
      </c>
      <c r="Z92" s="35">
        <v>30</v>
      </c>
      <c r="AA92" s="35">
        <v>20.71</v>
      </c>
      <c r="AB92" s="36">
        <f t="shared" si="2"/>
        <v>418.57</v>
      </c>
      <c r="AC92" s="37">
        <v>20</v>
      </c>
      <c r="AD92" s="91">
        <f>+AB92*AC92+AB93*AC93+AB94*AC94</f>
        <v>10397.94</v>
      </c>
    </row>
    <row r="93" spans="2:31">
      <c r="B93" s="89"/>
      <c r="C93" s="34" t="s">
        <v>33</v>
      </c>
      <c r="D93" s="35">
        <v>14.58</v>
      </c>
      <c r="E93" s="35">
        <v>7.19</v>
      </c>
      <c r="F93" s="35">
        <v>3.52</v>
      </c>
      <c r="G93" s="35">
        <v>2.99</v>
      </c>
      <c r="H93" s="35">
        <v>4.28</v>
      </c>
      <c r="I93" s="35">
        <v>3.78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3.67</v>
      </c>
      <c r="P93" s="35">
        <v>5.99</v>
      </c>
      <c r="Q93" s="35">
        <v>5.29</v>
      </c>
      <c r="R93" s="35">
        <v>7.92</v>
      </c>
      <c r="S93" s="35">
        <v>7.57</v>
      </c>
      <c r="T93" s="35">
        <v>7.7</v>
      </c>
      <c r="U93" s="35">
        <v>17.14</v>
      </c>
      <c r="V93" s="35">
        <v>34.880000000000003</v>
      </c>
      <c r="W93" s="35">
        <v>30.71</v>
      </c>
      <c r="X93" s="35">
        <v>28.19</v>
      </c>
      <c r="Y93" s="35">
        <v>25.08</v>
      </c>
      <c r="Z93" s="35">
        <v>26.93</v>
      </c>
      <c r="AA93" s="35">
        <v>12.51</v>
      </c>
      <c r="AB93" s="36">
        <f t="shared" si="2"/>
        <v>249.92</v>
      </c>
      <c r="AC93" s="37">
        <v>5</v>
      </c>
      <c r="AD93" s="91"/>
    </row>
    <row r="94" spans="2:31">
      <c r="B94" s="89"/>
      <c r="C94" s="34" t="s">
        <v>34</v>
      </c>
      <c r="D94" s="35">
        <v>9.7899999999999991</v>
      </c>
      <c r="E94" s="35">
        <v>7.94</v>
      </c>
      <c r="F94" s="35">
        <v>1.05</v>
      </c>
      <c r="G94" s="35">
        <v>1.05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2.09</v>
      </c>
      <c r="U94" s="35">
        <v>12.92</v>
      </c>
      <c r="V94" s="35">
        <v>10.039999999999999</v>
      </c>
      <c r="W94" s="35">
        <v>15.2</v>
      </c>
      <c r="X94" s="35">
        <v>15.87</v>
      </c>
      <c r="Y94" s="35">
        <v>12.97</v>
      </c>
      <c r="Z94" s="35">
        <v>22.96</v>
      </c>
      <c r="AA94" s="35">
        <v>17.61</v>
      </c>
      <c r="AB94" s="36">
        <f t="shared" si="2"/>
        <v>129.49</v>
      </c>
      <c r="AC94" s="37">
        <v>6</v>
      </c>
      <c r="AD94" s="91"/>
    </row>
    <row r="95" spans="2:31">
      <c r="B95" s="89">
        <v>47574</v>
      </c>
      <c r="C95" s="34" t="s">
        <v>32</v>
      </c>
      <c r="D95" s="35">
        <v>13.62</v>
      </c>
      <c r="E95" s="35">
        <v>8.15</v>
      </c>
      <c r="F95" s="35">
        <v>4.63</v>
      </c>
      <c r="G95" s="35">
        <v>4.4000000000000004</v>
      </c>
      <c r="H95" s="35">
        <v>4.34</v>
      </c>
      <c r="I95" s="35">
        <v>8.24</v>
      </c>
      <c r="J95" s="35">
        <v>0</v>
      </c>
      <c r="K95" s="35">
        <v>0</v>
      </c>
      <c r="L95" s="35">
        <v>2.13</v>
      </c>
      <c r="M95" s="35">
        <v>7.18</v>
      </c>
      <c r="N95" s="35">
        <v>9.8000000000000007</v>
      </c>
      <c r="O95" s="35">
        <v>17.48</v>
      </c>
      <c r="P95" s="35">
        <v>18.91</v>
      </c>
      <c r="Q95" s="35">
        <v>14.93</v>
      </c>
      <c r="R95" s="35">
        <v>23.1</v>
      </c>
      <c r="S95" s="35">
        <v>24.23</v>
      </c>
      <c r="T95" s="35">
        <v>25.3</v>
      </c>
      <c r="U95" s="35">
        <v>31.08</v>
      </c>
      <c r="V95" s="35">
        <v>45.2</v>
      </c>
      <c r="W95" s="35">
        <v>41.73</v>
      </c>
      <c r="X95" s="35">
        <v>43.5</v>
      </c>
      <c r="Y95" s="35">
        <v>37.880000000000003</v>
      </c>
      <c r="Z95" s="35">
        <v>31.88</v>
      </c>
      <c r="AA95" s="35">
        <v>22.02</v>
      </c>
      <c r="AB95" s="36">
        <f t="shared" si="2"/>
        <v>439.73</v>
      </c>
      <c r="AC95" s="37">
        <v>20</v>
      </c>
      <c r="AD95" s="91">
        <f>+AB95*AC95+AB96*AC96+AB97*AC97</f>
        <v>10039.76</v>
      </c>
    </row>
    <row r="96" spans="2:31">
      <c r="B96" s="89"/>
      <c r="C96" s="34" t="s">
        <v>33</v>
      </c>
      <c r="D96" s="35">
        <v>12.7</v>
      </c>
      <c r="E96" s="35">
        <v>11.59</v>
      </c>
      <c r="F96" s="35">
        <v>3.92</v>
      </c>
      <c r="G96" s="35">
        <v>3.58</v>
      </c>
      <c r="H96" s="35">
        <v>2.8</v>
      </c>
      <c r="I96" s="35">
        <v>3.05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3.56</v>
      </c>
      <c r="P96" s="35">
        <v>6.96</v>
      </c>
      <c r="Q96" s="35">
        <v>5.24</v>
      </c>
      <c r="R96" s="35">
        <v>7.86</v>
      </c>
      <c r="S96" s="35">
        <v>8.85</v>
      </c>
      <c r="T96" s="35">
        <v>7.82</v>
      </c>
      <c r="U96" s="35">
        <v>19.02</v>
      </c>
      <c r="V96" s="35">
        <v>33.15</v>
      </c>
      <c r="W96" s="35">
        <v>29.78</v>
      </c>
      <c r="X96" s="35">
        <v>27.5</v>
      </c>
      <c r="Y96" s="35">
        <v>24.58</v>
      </c>
      <c r="Z96" s="35">
        <v>26.92</v>
      </c>
      <c r="AA96" s="35">
        <v>9.32</v>
      </c>
      <c r="AB96" s="36">
        <f t="shared" si="2"/>
        <v>248.2</v>
      </c>
      <c r="AC96" s="37">
        <v>4</v>
      </c>
      <c r="AD96" s="91"/>
    </row>
    <row r="97" spans="2:30">
      <c r="B97" s="89"/>
      <c r="C97" s="34" t="s">
        <v>34</v>
      </c>
      <c r="D97" s="35">
        <v>1.44</v>
      </c>
      <c r="E97" s="35">
        <v>1.67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6.41</v>
      </c>
      <c r="W97" s="35">
        <v>12.64</v>
      </c>
      <c r="X97" s="35">
        <v>12.53</v>
      </c>
      <c r="Y97" s="35">
        <v>7.37</v>
      </c>
      <c r="Z97" s="35">
        <v>0</v>
      </c>
      <c r="AA97" s="35">
        <v>0</v>
      </c>
      <c r="AB97" s="36">
        <f t="shared" si="2"/>
        <v>42.06</v>
      </c>
      <c r="AC97" s="37">
        <v>6</v>
      </c>
      <c r="AD97" s="91"/>
    </row>
    <row r="98" spans="2:30">
      <c r="B98" s="89">
        <v>47604</v>
      </c>
      <c r="C98" s="34" t="s">
        <v>32</v>
      </c>
      <c r="D98" s="35">
        <v>12.42</v>
      </c>
      <c r="E98" s="35">
        <v>7.42</v>
      </c>
      <c r="F98" s="35">
        <v>4.3099999999999996</v>
      </c>
      <c r="G98" s="35">
        <v>4.05</v>
      </c>
      <c r="H98" s="35">
        <v>3.55</v>
      </c>
      <c r="I98" s="35">
        <v>7.19</v>
      </c>
      <c r="J98" s="35">
        <v>0</v>
      </c>
      <c r="K98" s="35">
        <v>0</v>
      </c>
      <c r="L98" s="35">
        <v>1.69</v>
      </c>
      <c r="M98" s="35">
        <v>6.48</v>
      </c>
      <c r="N98" s="35">
        <v>9.1999999999999993</v>
      </c>
      <c r="O98" s="35">
        <v>16.29</v>
      </c>
      <c r="P98" s="35">
        <v>16.899999999999999</v>
      </c>
      <c r="Q98" s="35">
        <v>13.92</v>
      </c>
      <c r="R98" s="35">
        <v>22.8</v>
      </c>
      <c r="S98" s="35">
        <v>24.13</v>
      </c>
      <c r="T98" s="35">
        <v>25.66</v>
      </c>
      <c r="U98" s="35">
        <v>30.82</v>
      </c>
      <c r="V98" s="35">
        <v>45.73</v>
      </c>
      <c r="W98" s="35">
        <v>42.1</v>
      </c>
      <c r="X98" s="35">
        <v>43.4</v>
      </c>
      <c r="Y98" s="35">
        <v>37.47</v>
      </c>
      <c r="Z98" s="35">
        <v>28.17</v>
      </c>
      <c r="AA98" s="35">
        <v>21.78</v>
      </c>
      <c r="AB98" s="36">
        <f t="shared" si="2"/>
        <v>425.48</v>
      </c>
      <c r="AC98" s="37">
        <v>22</v>
      </c>
      <c r="AD98" s="91">
        <f>+AB98*AC98+AB99*AC99+AB100*AC100</f>
        <v>10702.73</v>
      </c>
    </row>
    <row r="99" spans="2:30">
      <c r="B99" s="89"/>
      <c r="C99" s="34" t="s">
        <v>33</v>
      </c>
      <c r="D99" s="35">
        <v>10.36</v>
      </c>
      <c r="E99" s="35">
        <v>9.69</v>
      </c>
      <c r="F99" s="35">
        <v>3.6</v>
      </c>
      <c r="G99" s="35">
        <v>3.07</v>
      </c>
      <c r="H99" s="35">
        <v>3.56</v>
      </c>
      <c r="I99" s="35">
        <v>4.42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2.67</v>
      </c>
      <c r="P99" s="35">
        <v>5.63</v>
      </c>
      <c r="Q99" s="35">
        <v>3.78</v>
      </c>
      <c r="R99" s="35">
        <v>8.32</v>
      </c>
      <c r="S99" s="35">
        <v>9.18</v>
      </c>
      <c r="T99" s="35">
        <v>7.99</v>
      </c>
      <c r="U99" s="35">
        <v>20.79</v>
      </c>
      <c r="V99" s="35">
        <v>34.049999999999997</v>
      </c>
      <c r="W99" s="35">
        <v>30.98</v>
      </c>
      <c r="X99" s="35">
        <v>29.09</v>
      </c>
      <c r="Y99" s="35">
        <v>26.09</v>
      </c>
      <c r="Z99" s="35">
        <v>19.489999999999998</v>
      </c>
      <c r="AA99" s="35">
        <v>11.07</v>
      </c>
      <c r="AB99" s="36">
        <f t="shared" si="2"/>
        <v>243.83</v>
      </c>
      <c r="AC99" s="37">
        <v>4</v>
      </c>
      <c r="AD99" s="91"/>
    </row>
    <row r="100" spans="2:30">
      <c r="B100" s="89"/>
      <c r="C100" s="34" t="s">
        <v>34</v>
      </c>
      <c r="D100" s="35">
        <v>5.36</v>
      </c>
      <c r="E100" s="35">
        <v>8.16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  <c r="U100" s="35">
        <v>9.77</v>
      </c>
      <c r="V100" s="35">
        <v>3.75</v>
      </c>
      <c r="W100" s="35">
        <v>8.75</v>
      </c>
      <c r="X100" s="35">
        <v>10.29</v>
      </c>
      <c r="Y100" s="35">
        <v>7.24</v>
      </c>
      <c r="Z100" s="35">
        <v>0</v>
      </c>
      <c r="AA100" s="35">
        <v>20.05</v>
      </c>
      <c r="AB100" s="36">
        <f t="shared" si="2"/>
        <v>73.37</v>
      </c>
      <c r="AC100" s="37">
        <v>5</v>
      </c>
      <c r="AD100" s="91"/>
    </row>
    <row r="101" spans="2:30">
      <c r="B101" s="89">
        <v>47635</v>
      </c>
      <c r="C101" s="34" t="s">
        <v>32</v>
      </c>
      <c r="D101" s="35">
        <v>12.18</v>
      </c>
      <c r="E101" s="35">
        <v>8.4</v>
      </c>
      <c r="F101" s="35">
        <v>5.04</v>
      </c>
      <c r="G101" s="35">
        <v>4.4000000000000004</v>
      </c>
      <c r="H101" s="35">
        <v>4.29</v>
      </c>
      <c r="I101" s="35">
        <v>7.56</v>
      </c>
      <c r="J101" s="35">
        <v>0</v>
      </c>
      <c r="K101" s="35">
        <v>0</v>
      </c>
      <c r="L101" s="35">
        <v>3.21</v>
      </c>
      <c r="M101" s="35">
        <v>8.1199999999999992</v>
      </c>
      <c r="N101" s="35">
        <v>10.58</v>
      </c>
      <c r="O101" s="35">
        <v>17.739999999999998</v>
      </c>
      <c r="P101" s="35">
        <v>18.63</v>
      </c>
      <c r="Q101" s="35">
        <v>15.25</v>
      </c>
      <c r="R101" s="35">
        <v>22.9</v>
      </c>
      <c r="S101" s="35">
        <v>24.99</v>
      </c>
      <c r="T101" s="35">
        <v>26.3</v>
      </c>
      <c r="U101" s="35">
        <v>30.78</v>
      </c>
      <c r="V101" s="35">
        <v>45.44</v>
      </c>
      <c r="W101" s="35">
        <v>42.43</v>
      </c>
      <c r="X101" s="35">
        <v>44.27</v>
      </c>
      <c r="Y101" s="35">
        <v>38.200000000000003</v>
      </c>
      <c r="Z101" s="35">
        <v>32.22</v>
      </c>
      <c r="AA101" s="35">
        <v>22.72</v>
      </c>
      <c r="AB101" s="36">
        <f t="shared" si="2"/>
        <v>445.65</v>
      </c>
      <c r="AC101" s="37">
        <v>18</v>
      </c>
      <c r="AD101" s="91">
        <f>+AB101*AC101+AB102*AC102+AB103*AC103</f>
        <v>9784.4699999999993</v>
      </c>
    </row>
    <row r="102" spans="2:30">
      <c r="B102" s="89"/>
      <c r="C102" s="34" t="s">
        <v>33</v>
      </c>
      <c r="D102" s="35">
        <v>10.17</v>
      </c>
      <c r="E102" s="35">
        <v>12.1</v>
      </c>
      <c r="F102" s="35">
        <v>3.69</v>
      </c>
      <c r="G102" s="35">
        <v>2.76</v>
      </c>
      <c r="H102" s="35">
        <v>4.87</v>
      </c>
      <c r="I102" s="35">
        <v>5.0199999999999996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3.72</v>
      </c>
      <c r="P102" s="35">
        <v>6.38</v>
      </c>
      <c r="Q102" s="35">
        <v>4.83</v>
      </c>
      <c r="R102" s="35">
        <v>8.5399999999999991</v>
      </c>
      <c r="S102" s="35">
        <v>8.6</v>
      </c>
      <c r="T102" s="35">
        <v>8.2899999999999991</v>
      </c>
      <c r="U102" s="35">
        <v>18.78</v>
      </c>
      <c r="V102" s="35">
        <v>34.57</v>
      </c>
      <c r="W102" s="35">
        <v>29.7</v>
      </c>
      <c r="X102" s="35">
        <v>28.14</v>
      </c>
      <c r="Y102" s="35">
        <v>25.23</v>
      </c>
      <c r="Z102" s="35">
        <v>26.16</v>
      </c>
      <c r="AA102" s="35">
        <v>15.09</v>
      </c>
      <c r="AB102" s="36">
        <f t="shared" si="2"/>
        <v>256.64</v>
      </c>
      <c r="AC102" s="37">
        <v>5</v>
      </c>
      <c r="AD102" s="91"/>
    </row>
    <row r="103" spans="2:30">
      <c r="B103" s="89"/>
      <c r="C103" s="34" t="s">
        <v>34</v>
      </c>
      <c r="D103" s="35">
        <v>1.9</v>
      </c>
      <c r="E103" s="35">
        <v>4.68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  <c r="U103" s="35">
        <v>9.8800000000000008</v>
      </c>
      <c r="V103" s="35">
        <v>5.09</v>
      </c>
      <c r="W103" s="35">
        <v>9.76</v>
      </c>
      <c r="X103" s="35">
        <v>13.49</v>
      </c>
      <c r="Y103" s="35">
        <v>6.17</v>
      </c>
      <c r="Z103" s="35">
        <v>0</v>
      </c>
      <c r="AA103" s="35">
        <v>17.54</v>
      </c>
      <c r="AB103" s="36">
        <f t="shared" si="2"/>
        <v>68.510000000000005</v>
      </c>
      <c r="AC103" s="37">
        <v>7</v>
      </c>
      <c r="AD103" s="91"/>
    </row>
    <row r="104" spans="2:30">
      <c r="B104" s="89">
        <v>47665</v>
      </c>
      <c r="C104" s="34" t="s">
        <v>32</v>
      </c>
      <c r="D104" s="35">
        <v>14.09</v>
      </c>
      <c r="E104" s="35">
        <v>9.4700000000000006</v>
      </c>
      <c r="F104" s="35">
        <v>5.88</v>
      </c>
      <c r="G104" s="35">
        <v>5.31</v>
      </c>
      <c r="H104" s="35">
        <v>5.31</v>
      </c>
      <c r="I104" s="35">
        <v>8.44</v>
      </c>
      <c r="J104" s="35">
        <v>0</v>
      </c>
      <c r="K104" s="35">
        <v>0</v>
      </c>
      <c r="L104" s="35">
        <v>4.75</v>
      </c>
      <c r="M104" s="35">
        <v>9.1300000000000008</v>
      </c>
      <c r="N104" s="35">
        <v>12.51</v>
      </c>
      <c r="O104" s="35">
        <v>19.05</v>
      </c>
      <c r="P104" s="35">
        <v>20.22</v>
      </c>
      <c r="Q104" s="35">
        <v>16.55</v>
      </c>
      <c r="R104" s="35">
        <v>24.69</v>
      </c>
      <c r="S104" s="35">
        <v>27.13</v>
      </c>
      <c r="T104" s="35">
        <v>28.75</v>
      </c>
      <c r="U104" s="35">
        <v>33.49</v>
      </c>
      <c r="V104" s="35">
        <v>48.61</v>
      </c>
      <c r="W104" s="35">
        <v>45.67</v>
      </c>
      <c r="X104" s="35">
        <v>47.86</v>
      </c>
      <c r="Y104" s="35">
        <v>41.53</v>
      </c>
      <c r="Z104" s="35">
        <v>34.33</v>
      </c>
      <c r="AA104" s="35">
        <v>24.06</v>
      </c>
      <c r="AB104" s="36">
        <f t="shared" si="2"/>
        <v>486.83</v>
      </c>
      <c r="AC104" s="37">
        <v>22</v>
      </c>
      <c r="AD104" s="91">
        <f>+AB104*AC104+AB105*AC105+AB106*AC106</f>
        <v>12094.28</v>
      </c>
    </row>
    <row r="105" spans="2:30">
      <c r="B105" s="89"/>
      <c r="C105" s="34" t="s">
        <v>33</v>
      </c>
      <c r="D105" s="35">
        <v>9.9600000000000009</v>
      </c>
      <c r="E105" s="35">
        <v>12.49</v>
      </c>
      <c r="F105" s="35">
        <v>6.08</v>
      </c>
      <c r="G105" s="35">
        <v>5.45</v>
      </c>
      <c r="H105" s="35">
        <v>4.7300000000000004</v>
      </c>
      <c r="I105" s="35">
        <v>5.55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3.4</v>
      </c>
      <c r="P105" s="35">
        <v>6.39</v>
      </c>
      <c r="Q105" s="35">
        <v>5.13</v>
      </c>
      <c r="R105" s="35">
        <v>7.88</v>
      </c>
      <c r="S105" s="35">
        <v>7.65</v>
      </c>
      <c r="T105" s="35">
        <v>8.31</v>
      </c>
      <c r="U105" s="35">
        <v>18.29</v>
      </c>
      <c r="V105" s="35">
        <v>35.5</v>
      </c>
      <c r="W105" s="35">
        <v>30.96</v>
      </c>
      <c r="X105" s="35">
        <v>30.18</v>
      </c>
      <c r="Y105" s="35">
        <v>25.88</v>
      </c>
      <c r="Z105" s="35">
        <v>26.59</v>
      </c>
      <c r="AA105" s="35">
        <v>21.06</v>
      </c>
      <c r="AB105" s="36">
        <f t="shared" si="2"/>
        <v>271.48</v>
      </c>
      <c r="AC105" s="37">
        <v>3</v>
      </c>
      <c r="AD105" s="91"/>
    </row>
    <row r="106" spans="2:30">
      <c r="B106" s="89"/>
      <c r="C106" s="34" t="s">
        <v>34</v>
      </c>
      <c r="D106" s="35">
        <v>2.84</v>
      </c>
      <c r="E106" s="35">
        <v>7.94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11.56</v>
      </c>
      <c r="V106" s="35">
        <v>2.2200000000000002</v>
      </c>
      <c r="W106" s="35">
        <v>7.66</v>
      </c>
      <c r="X106" s="35">
        <v>9.1999999999999993</v>
      </c>
      <c r="Y106" s="35">
        <v>7.6</v>
      </c>
      <c r="Z106" s="35">
        <v>24.38</v>
      </c>
      <c r="AA106" s="35">
        <v>21.53</v>
      </c>
      <c r="AB106" s="36">
        <f t="shared" si="2"/>
        <v>94.93</v>
      </c>
      <c r="AC106" s="37">
        <v>6</v>
      </c>
      <c r="AD106" s="91"/>
    </row>
    <row r="107" spans="2:30">
      <c r="B107" s="89">
        <v>47696</v>
      </c>
      <c r="C107" s="34" t="s">
        <v>32</v>
      </c>
      <c r="D107" s="35">
        <v>13.39</v>
      </c>
      <c r="E107" s="35">
        <v>8.56</v>
      </c>
      <c r="F107" s="35">
        <v>4.66</v>
      </c>
      <c r="G107" s="35">
        <v>5.25</v>
      </c>
      <c r="H107" s="35">
        <v>4.75</v>
      </c>
      <c r="I107" s="35">
        <v>9.0299999999999994</v>
      </c>
      <c r="J107" s="35">
        <v>0</v>
      </c>
      <c r="K107" s="35">
        <v>0</v>
      </c>
      <c r="L107" s="35">
        <v>4.26</v>
      </c>
      <c r="M107" s="35">
        <v>9.52</v>
      </c>
      <c r="N107" s="35">
        <v>13.18</v>
      </c>
      <c r="O107" s="35">
        <v>20.41</v>
      </c>
      <c r="P107" s="35">
        <v>20.82</v>
      </c>
      <c r="Q107" s="35">
        <v>15.09</v>
      </c>
      <c r="R107" s="35">
        <v>24.98</v>
      </c>
      <c r="S107" s="35">
        <v>26.89</v>
      </c>
      <c r="T107" s="35">
        <v>28.25</v>
      </c>
      <c r="U107" s="35">
        <v>33.450000000000003</v>
      </c>
      <c r="V107" s="35">
        <v>48.33</v>
      </c>
      <c r="W107" s="35">
        <v>44.78</v>
      </c>
      <c r="X107" s="35">
        <v>47.02</v>
      </c>
      <c r="Y107" s="35">
        <v>40.49</v>
      </c>
      <c r="Z107" s="35">
        <v>33.03</v>
      </c>
      <c r="AA107" s="35">
        <v>22.68</v>
      </c>
      <c r="AB107" s="36">
        <f t="shared" si="2"/>
        <v>478.82</v>
      </c>
      <c r="AC107" s="37">
        <v>20</v>
      </c>
      <c r="AD107" s="91">
        <f>+AB107*AC107+AB108*AC108+AB109*AC109</f>
        <v>11434.85</v>
      </c>
    </row>
    <row r="108" spans="2:30">
      <c r="B108" s="89"/>
      <c r="C108" s="34" t="s">
        <v>33</v>
      </c>
      <c r="D108" s="35">
        <v>10.119999999999999</v>
      </c>
      <c r="E108" s="35">
        <v>10.43</v>
      </c>
      <c r="F108" s="35">
        <v>3.93</v>
      </c>
      <c r="G108" s="35">
        <v>3.74</v>
      </c>
      <c r="H108" s="35">
        <v>3.67</v>
      </c>
      <c r="I108" s="35">
        <v>5.32</v>
      </c>
      <c r="J108" s="35">
        <v>0</v>
      </c>
      <c r="K108" s="35">
        <v>0</v>
      </c>
      <c r="L108" s="35">
        <v>0</v>
      </c>
      <c r="M108" s="35">
        <v>0</v>
      </c>
      <c r="N108" s="35">
        <v>0.39</v>
      </c>
      <c r="O108" s="35">
        <v>4.75</v>
      </c>
      <c r="P108" s="35">
        <v>6.7</v>
      </c>
      <c r="Q108" s="35">
        <v>5.0599999999999996</v>
      </c>
      <c r="R108" s="35">
        <v>7.42</v>
      </c>
      <c r="S108" s="35">
        <v>7.46</v>
      </c>
      <c r="T108" s="35">
        <v>7.58</v>
      </c>
      <c r="U108" s="35">
        <v>17.82</v>
      </c>
      <c r="V108" s="35">
        <v>34.67</v>
      </c>
      <c r="W108" s="35">
        <v>33.61</v>
      </c>
      <c r="X108" s="35">
        <v>31.51</v>
      </c>
      <c r="Y108" s="35">
        <v>25.61</v>
      </c>
      <c r="Z108" s="35">
        <v>26.63</v>
      </c>
      <c r="AA108" s="35">
        <v>19.07</v>
      </c>
      <c r="AB108" s="36">
        <f t="shared" si="2"/>
        <v>265.49</v>
      </c>
      <c r="AC108" s="37">
        <v>5</v>
      </c>
      <c r="AD108" s="91"/>
    </row>
    <row r="109" spans="2:30">
      <c r="B109" s="89"/>
      <c r="C109" s="34" t="s">
        <v>34</v>
      </c>
      <c r="D109" s="35">
        <v>1.89</v>
      </c>
      <c r="E109" s="35">
        <v>6.38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0.1</v>
      </c>
      <c r="U109" s="35">
        <v>11.6</v>
      </c>
      <c r="V109" s="35">
        <v>3.42</v>
      </c>
      <c r="W109" s="35">
        <v>7.24</v>
      </c>
      <c r="X109" s="35">
        <v>7.15</v>
      </c>
      <c r="Y109" s="35">
        <v>7.17</v>
      </c>
      <c r="Z109" s="35">
        <v>21.04</v>
      </c>
      <c r="AA109" s="35">
        <v>22.51</v>
      </c>
      <c r="AB109" s="36">
        <f t="shared" si="2"/>
        <v>88.5</v>
      </c>
      <c r="AC109" s="37">
        <v>6</v>
      </c>
      <c r="AD109" s="91"/>
    </row>
    <row r="110" spans="2:30">
      <c r="B110" s="89">
        <v>47727</v>
      </c>
      <c r="C110" s="34" t="s">
        <v>32</v>
      </c>
      <c r="D110" s="35">
        <v>14.52</v>
      </c>
      <c r="E110" s="35">
        <v>9.32</v>
      </c>
      <c r="F110" s="35">
        <v>5.14</v>
      </c>
      <c r="G110" s="35">
        <v>5.99</v>
      </c>
      <c r="H110" s="35">
        <v>5.75</v>
      </c>
      <c r="I110" s="35">
        <v>10.14</v>
      </c>
      <c r="J110" s="35">
        <v>0</v>
      </c>
      <c r="K110" s="35">
        <v>0</v>
      </c>
      <c r="L110" s="35">
        <v>5.74</v>
      </c>
      <c r="M110" s="35">
        <v>10.67</v>
      </c>
      <c r="N110" s="35">
        <v>13.85</v>
      </c>
      <c r="O110" s="35">
        <v>20.95</v>
      </c>
      <c r="P110" s="35">
        <v>21.51</v>
      </c>
      <c r="Q110" s="35">
        <v>17</v>
      </c>
      <c r="R110" s="35">
        <v>27.68</v>
      </c>
      <c r="S110" s="35">
        <v>29.54</v>
      </c>
      <c r="T110" s="35">
        <v>30.71</v>
      </c>
      <c r="U110" s="35">
        <v>35.25</v>
      </c>
      <c r="V110" s="35">
        <v>50.54</v>
      </c>
      <c r="W110" s="35">
        <v>46.41</v>
      </c>
      <c r="X110" s="35">
        <v>48.86</v>
      </c>
      <c r="Y110" s="35">
        <v>42.27</v>
      </c>
      <c r="Z110" s="35">
        <v>34.29</v>
      </c>
      <c r="AA110" s="35">
        <v>23.42</v>
      </c>
      <c r="AB110" s="36">
        <f t="shared" si="2"/>
        <v>509.55</v>
      </c>
      <c r="AC110" s="37">
        <v>21</v>
      </c>
      <c r="AD110" s="91">
        <f>+AB110*AC110+AB111*AC111+AB112*AC112</f>
        <v>12183.84</v>
      </c>
    </row>
    <row r="111" spans="2:30">
      <c r="B111" s="89"/>
      <c r="C111" s="34" t="s">
        <v>33</v>
      </c>
      <c r="D111" s="35">
        <v>10.43</v>
      </c>
      <c r="E111" s="35">
        <v>10.7</v>
      </c>
      <c r="F111" s="35">
        <v>3.65</v>
      </c>
      <c r="G111" s="35">
        <v>2.8</v>
      </c>
      <c r="H111" s="35">
        <v>3.56</v>
      </c>
      <c r="I111" s="35">
        <v>4.08</v>
      </c>
      <c r="J111" s="35">
        <v>0</v>
      </c>
      <c r="K111" s="35">
        <v>0</v>
      </c>
      <c r="L111" s="35">
        <v>0</v>
      </c>
      <c r="M111" s="35">
        <v>0</v>
      </c>
      <c r="N111" s="35">
        <v>0.24</v>
      </c>
      <c r="O111" s="35">
        <v>5.43</v>
      </c>
      <c r="P111" s="35">
        <v>6.2</v>
      </c>
      <c r="Q111" s="35">
        <v>6.08</v>
      </c>
      <c r="R111" s="35">
        <v>8.67</v>
      </c>
      <c r="S111" s="35">
        <v>8.36</v>
      </c>
      <c r="T111" s="35">
        <v>8.61</v>
      </c>
      <c r="U111" s="35">
        <v>17.899999999999999</v>
      </c>
      <c r="V111" s="35">
        <v>34.17</v>
      </c>
      <c r="W111" s="35">
        <v>34.89</v>
      </c>
      <c r="X111" s="35">
        <v>32.49</v>
      </c>
      <c r="Y111" s="35">
        <v>25.1</v>
      </c>
      <c r="Z111" s="35">
        <v>26.57</v>
      </c>
      <c r="AA111" s="35">
        <v>17.48</v>
      </c>
      <c r="AB111" s="36">
        <f t="shared" si="2"/>
        <v>267.41000000000003</v>
      </c>
      <c r="AC111" s="37">
        <v>4</v>
      </c>
      <c r="AD111" s="91"/>
    </row>
    <row r="112" spans="2:30">
      <c r="B112" s="89"/>
      <c r="C112" s="34" t="s">
        <v>34</v>
      </c>
      <c r="D112" s="35">
        <v>5.95</v>
      </c>
      <c r="E112" s="35">
        <v>5.85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1.34</v>
      </c>
      <c r="U112" s="35">
        <v>12.14</v>
      </c>
      <c r="V112" s="35">
        <v>1.9</v>
      </c>
      <c r="W112" s="35">
        <v>9.98</v>
      </c>
      <c r="X112" s="35">
        <v>7.25</v>
      </c>
      <c r="Y112" s="35">
        <v>4.37</v>
      </c>
      <c r="Z112" s="35">
        <v>15.31</v>
      </c>
      <c r="AA112" s="35">
        <v>18.64</v>
      </c>
      <c r="AB112" s="36">
        <f t="shared" si="2"/>
        <v>82.73</v>
      </c>
      <c r="AC112" s="37">
        <v>5</v>
      </c>
      <c r="AD112" s="91"/>
    </row>
    <row r="113" spans="2:32">
      <c r="B113" s="89">
        <v>47757</v>
      </c>
      <c r="C113" s="34" t="s">
        <v>32</v>
      </c>
      <c r="D113" s="35">
        <v>13.09</v>
      </c>
      <c r="E113" s="35">
        <v>8.91</v>
      </c>
      <c r="F113" s="35">
        <v>5.07</v>
      </c>
      <c r="G113" s="35">
        <v>5.23</v>
      </c>
      <c r="H113" s="35">
        <v>4.76</v>
      </c>
      <c r="I113" s="35">
        <v>8.4700000000000006</v>
      </c>
      <c r="J113" s="35">
        <v>0</v>
      </c>
      <c r="K113" s="35">
        <v>0</v>
      </c>
      <c r="L113" s="35">
        <v>4.82</v>
      </c>
      <c r="M113" s="35">
        <v>9.6999999999999993</v>
      </c>
      <c r="N113" s="35">
        <v>13.43</v>
      </c>
      <c r="O113" s="35">
        <v>21.13</v>
      </c>
      <c r="P113" s="35">
        <v>22.8</v>
      </c>
      <c r="Q113" s="35">
        <v>17.77</v>
      </c>
      <c r="R113" s="35">
        <v>27.19</v>
      </c>
      <c r="S113" s="35">
        <v>28.27</v>
      </c>
      <c r="T113" s="35">
        <v>29.27</v>
      </c>
      <c r="U113" s="35">
        <v>34.33</v>
      </c>
      <c r="V113" s="35">
        <v>48.79</v>
      </c>
      <c r="W113" s="35">
        <v>44.5</v>
      </c>
      <c r="X113" s="35">
        <v>46.3</v>
      </c>
      <c r="Y113" s="35">
        <v>40.25</v>
      </c>
      <c r="Z113" s="35">
        <v>33.869999999999997</v>
      </c>
      <c r="AA113" s="35">
        <v>23.34</v>
      </c>
      <c r="AB113" s="36">
        <f t="shared" si="2"/>
        <v>491.29</v>
      </c>
      <c r="AC113" s="37">
        <v>22</v>
      </c>
      <c r="AD113" s="91">
        <f>+AB113*AC113+AB114*AC114+AB115*AC115</f>
        <v>12438.56</v>
      </c>
    </row>
    <row r="114" spans="2:32">
      <c r="B114" s="89"/>
      <c r="C114" s="34" t="s">
        <v>33</v>
      </c>
      <c r="D114" s="35">
        <v>10.79</v>
      </c>
      <c r="E114" s="35">
        <v>10.09</v>
      </c>
      <c r="F114" s="35">
        <v>3.27</v>
      </c>
      <c r="G114" s="35">
        <v>3.04</v>
      </c>
      <c r="H114" s="35">
        <v>3.6</v>
      </c>
      <c r="I114" s="35">
        <v>3.79</v>
      </c>
      <c r="J114" s="35">
        <v>0</v>
      </c>
      <c r="K114" s="35">
        <v>0</v>
      </c>
      <c r="L114" s="35">
        <v>0</v>
      </c>
      <c r="M114" s="35">
        <v>0</v>
      </c>
      <c r="N114" s="35">
        <v>1.32</v>
      </c>
      <c r="O114" s="35">
        <v>7.75</v>
      </c>
      <c r="P114" s="35">
        <v>8.08</v>
      </c>
      <c r="Q114" s="35">
        <v>7.2</v>
      </c>
      <c r="R114" s="35">
        <v>9.7899999999999991</v>
      </c>
      <c r="S114" s="35">
        <v>8.42</v>
      </c>
      <c r="T114" s="35">
        <v>8.73</v>
      </c>
      <c r="U114" s="35">
        <v>18.23</v>
      </c>
      <c r="V114" s="35">
        <v>34.08</v>
      </c>
      <c r="W114" s="35">
        <v>34.950000000000003</v>
      </c>
      <c r="X114" s="35">
        <v>32.869999999999997</v>
      </c>
      <c r="Y114" s="35">
        <v>24.96</v>
      </c>
      <c r="Z114" s="35">
        <v>26.53</v>
      </c>
      <c r="AA114" s="35">
        <v>18.28</v>
      </c>
      <c r="AB114" s="36">
        <f t="shared" si="2"/>
        <v>275.77</v>
      </c>
      <c r="AC114" s="37">
        <v>4</v>
      </c>
      <c r="AD114" s="91"/>
    </row>
    <row r="115" spans="2:32">
      <c r="B115" s="89"/>
      <c r="C115" s="34" t="s">
        <v>34</v>
      </c>
      <c r="D115" s="35">
        <v>8.09</v>
      </c>
      <c r="E115" s="35">
        <v>10.66</v>
      </c>
      <c r="F115" s="35">
        <v>0.19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0.96</v>
      </c>
      <c r="S115" s="35">
        <v>0</v>
      </c>
      <c r="T115" s="35">
        <v>1.49</v>
      </c>
      <c r="U115" s="35">
        <v>12.45</v>
      </c>
      <c r="V115" s="35">
        <v>4.8</v>
      </c>
      <c r="W115" s="35">
        <v>10.6</v>
      </c>
      <c r="X115" s="35">
        <v>10.74</v>
      </c>
      <c r="Y115" s="35">
        <v>6.74</v>
      </c>
      <c r="Z115" s="35">
        <v>19.48</v>
      </c>
      <c r="AA115" s="35">
        <v>19.22</v>
      </c>
      <c r="AB115" s="36">
        <f t="shared" si="2"/>
        <v>105.42</v>
      </c>
      <c r="AC115" s="37">
        <v>5</v>
      </c>
      <c r="AD115" s="91"/>
    </row>
    <row r="116" spans="2:32">
      <c r="B116" s="89">
        <v>47788</v>
      </c>
      <c r="C116" s="34" t="s">
        <v>32</v>
      </c>
      <c r="D116" s="35">
        <v>12.37</v>
      </c>
      <c r="E116" s="35">
        <v>8.24</v>
      </c>
      <c r="F116" s="35">
        <v>4.4400000000000004</v>
      </c>
      <c r="G116" s="35">
        <v>4.7699999999999996</v>
      </c>
      <c r="H116" s="35">
        <v>4.16</v>
      </c>
      <c r="I116" s="35">
        <v>8.0500000000000007</v>
      </c>
      <c r="J116" s="35">
        <v>0</v>
      </c>
      <c r="K116" s="35">
        <v>0</v>
      </c>
      <c r="L116" s="35">
        <v>4.17</v>
      </c>
      <c r="M116" s="35">
        <v>9.23</v>
      </c>
      <c r="N116" s="35">
        <v>12.34</v>
      </c>
      <c r="O116" s="35">
        <v>19.07</v>
      </c>
      <c r="P116" s="35">
        <v>20.23</v>
      </c>
      <c r="Q116" s="35">
        <v>16</v>
      </c>
      <c r="R116" s="35">
        <v>26.43</v>
      </c>
      <c r="S116" s="35">
        <v>28.14</v>
      </c>
      <c r="T116" s="35">
        <v>29.21</v>
      </c>
      <c r="U116" s="35">
        <v>34.21</v>
      </c>
      <c r="V116" s="35">
        <v>48.64</v>
      </c>
      <c r="W116" s="35">
        <v>44.21</v>
      </c>
      <c r="X116" s="35">
        <v>45.81</v>
      </c>
      <c r="Y116" s="35">
        <v>39.6</v>
      </c>
      <c r="Z116" s="35">
        <v>33.33</v>
      </c>
      <c r="AA116" s="35">
        <v>22.47</v>
      </c>
      <c r="AB116" s="36">
        <f t="shared" si="2"/>
        <v>475.12</v>
      </c>
      <c r="AC116" s="37">
        <v>19</v>
      </c>
      <c r="AD116" s="91">
        <f>+AB116*AC116+AB117*AC117+AB118*AC118</f>
        <v>11024.12</v>
      </c>
    </row>
    <row r="117" spans="2:32">
      <c r="B117" s="89"/>
      <c r="C117" s="34" t="s">
        <v>33</v>
      </c>
      <c r="D117" s="35">
        <v>10.78</v>
      </c>
      <c r="E117" s="35">
        <v>9.89</v>
      </c>
      <c r="F117" s="35">
        <v>3.02</v>
      </c>
      <c r="G117" s="35">
        <v>2.78</v>
      </c>
      <c r="H117" s="35">
        <v>3.48</v>
      </c>
      <c r="I117" s="35">
        <v>4.45</v>
      </c>
      <c r="J117" s="35">
        <v>0</v>
      </c>
      <c r="K117" s="35">
        <v>0</v>
      </c>
      <c r="L117" s="35">
        <v>0</v>
      </c>
      <c r="M117" s="35">
        <v>0</v>
      </c>
      <c r="N117" s="35">
        <v>0.24</v>
      </c>
      <c r="O117" s="35">
        <v>6.38</v>
      </c>
      <c r="P117" s="35">
        <v>5.98</v>
      </c>
      <c r="Q117" s="35">
        <v>5.42</v>
      </c>
      <c r="R117" s="35">
        <v>10.06</v>
      </c>
      <c r="S117" s="35">
        <v>9.2200000000000006</v>
      </c>
      <c r="T117" s="35">
        <v>9.2899999999999991</v>
      </c>
      <c r="U117" s="35">
        <v>18.34</v>
      </c>
      <c r="V117" s="35">
        <v>33.85</v>
      </c>
      <c r="W117" s="35">
        <v>35.619999999999997</v>
      </c>
      <c r="X117" s="35">
        <v>31.24</v>
      </c>
      <c r="Y117" s="35">
        <v>24.93</v>
      </c>
      <c r="Z117" s="35">
        <v>26.32</v>
      </c>
      <c r="AA117" s="35">
        <v>17.829999999999998</v>
      </c>
      <c r="AB117" s="36">
        <f t="shared" si="2"/>
        <v>269.12</v>
      </c>
      <c r="AC117" s="37">
        <v>5</v>
      </c>
      <c r="AD117" s="91"/>
    </row>
    <row r="118" spans="2:32">
      <c r="B118" s="89"/>
      <c r="C118" s="34" t="s">
        <v>34</v>
      </c>
      <c r="D118" s="35">
        <v>5.0999999999999996</v>
      </c>
      <c r="E118" s="35">
        <v>4.74</v>
      </c>
      <c r="F118" s="35">
        <v>0</v>
      </c>
      <c r="G118" s="35">
        <v>0</v>
      </c>
      <c r="H118" s="35">
        <v>1.87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1.28</v>
      </c>
      <c r="S118" s="35">
        <v>0</v>
      </c>
      <c r="T118" s="35">
        <v>1.98</v>
      </c>
      <c r="U118" s="35">
        <v>12.59</v>
      </c>
      <c r="V118" s="35">
        <v>5.01</v>
      </c>
      <c r="W118" s="35">
        <v>12.15</v>
      </c>
      <c r="X118" s="35">
        <v>12.45</v>
      </c>
      <c r="Y118" s="35">
        <v>10.67</v>
      </c>
      <c r="Z118" s="35">
        <v>21.11</v>
      </c>
      <c r="AA118" s="35">
        <v>19.59</v>
      </c>
      <c r="AB118" s="36">
        <f t="shared" si="2"/>
        <v>108.54</v>
      </c>
      <c r="AC118" s="37">
        <v>6</v>
      </c>
      <c r="AD118" s="91"/>
    </row>
    <row r="119" spans="2:32">
      <c r="B119" s="89">
        <v>47818</v>
      </c>
      <c r="C119" s="34" t="s">
        <v>32</v>
      </c>
      <c r="D119" s="35">
        <v>14.65</v>
      </c>
      <c r="E119" s="35">
        <v>9.9600000000000009</v>
      </c>
      <c r="F119" s="35">
        <v>6.39</v>
      </c>
      <c r="G119" s="35">
        <v>5.85</v>
      </c>
      <c r="H119" s="35">
        <v>6.11</v>
      </c>
      <c r="I119" s="35">
        <v>8.82</v>
      </c>
      <c r="J119" s="35">
        <v>0</v>
      </c>
      <c r="K119" s="35">
        <v>0</v>
      </c>
      <c r="L119" s="35">
        <v>5.36</v>
      </c>
      <c r="M119" s="35">
        <v>9.81</v>
      </c>
      <c r="N119" s="35">
        <v>12.66</v>
      </c>
      <c r="O119" s="35">
        <v>19.39</v>
      </c>
      <c r="P119" s="35">
        <v>20.7</v>
      </c>
      <c r="Q119" s="35">
        <v>16.93</v>
      </c>
      <c r="R119" s="35">
        <v>25.52</v>
      </c>
      <c r="S119" s="35">
        <v>28.37</v>
      </c>
      <c r="T119" s="35">
        <v>30.14</v>
      </c>
      <c r="U119" s="35">
        <v>34.36</v>
      </c>
      <c r="V119" s="35">
        <v>50.53</v>
      </c>
      <c r="W119" s="35">
        <v>47.37</v>
      </c>
      <c r="X119" s="35">
        <v>49.72</v>
      </c>
      <c r="Y119" s="35">
        <v>43.34</v>
      </c>
      <c r="Z119" s="35">
        <v>35.93</v>
      </c>
      <c r="AA119" s="35">
        <v>25.23</v>
      </c>
      <c r="AB119" s="36">
        <f t="shared" si="2"/>
        <v>507.14</v>
      </c>
      <c r="AC119" s="37">
        <v>21</v>
      </c>
      <c r="AD119" s="91">
        <f>+AB119*AC119+AB120*AC120+AB121*AC121</f>
        <v>12361.18</v>
      </c>
    </row>
    <row r="120" spans="2:32">
      <c r="B120" s="89"/>
      <c r="C120" s="34" t="s">
        <v>33</v>
      </c>
      <c r="D120" s="35">
        <v>10.25</v>
      </c>
      <c r="E120" s="35">
        <v>10.15</v>
      </c>
      <c r="F120" s="35">
        <v>2.94</v>
      </c>
      <c r="G120" s="35">
        <v>2.44</v>
      </c>
      <c r="H120" s="35">
        <v>3.99</v>
      </c>
      <c r="I120" s="35">
        <v>6.03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6.02</v>
      </c>
      <c r="P120" s="35">
        <v>4.9000000000000004</v>
      </c>
      <c r="Q120" s="35">
        <v>3.42</v>
      </c>
      <c r="R120" s="35">
        <v>8.6</v>
      </c>
      <c r="S120" s="35">
        <v>7.97</v>
      </c>
      <c r="T120" s="35">
        <v>8.59</v>
      </c>
      <c r="U120" s="35">
        <v>18.27</v>
      </c>
      <c r="V120" s="35">
        <v>33.299999999999997</v>
      </c>
      <c r="W120" s="35">
        <v>34.409999999999997</v>
      </c>
      <c r="X120" s="35">
        <v>29.06</v>
      </c>
      <c r="Y120" s="35">
        <v>24.46</v>
      </c>
      <c r="Z120" s="35">
        <v>25.99</v>
      </c>
      <c r="AA120" s="35">
        <v>22.11</v>
      </c>
      <c r="AB120" s="36">
        <f t="shared" si="2"/>
        <v>262.89999999999998</v>
      </c>
      <c r="AC120" s="37">
        <v>4</v>
      </c>
      <c r="AD120" s="91"/>
    </row>
    <row r="121" spans="2:32">
      <c r="B121" s="89"/>
      <c r="C121" s="34" t="s">
        <v>34</v>
      </c>
      <c r="D121" s="35">
        <v>8.69</v>
      </c>
      <c r="E121" s="35">
        <v>12.03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0.68</v>
      </c>
      <c r="U121" s="35">
        <v>12.09</v>
      </c>
      <c r="V121" s="35">
        <v>2.2400000000000002</v>
      </c>
      <c r="W121" s="35">
        <v>10.68</v>
      </c>
      <c r="X121" s="35">
        <v>11.13</v>
      </c>
      <c r="Y121" s="35">
        <v>11.12</v>
      </c>
      <c r="Z121" s="35">
        <v>19.690000000000001</v>
      </c>
      <c r="AA121" s="35">
        <v>21.59</v>
      </c>
      <c r="AB121" s="36">
        <f t="shared" si="2"/>
        <v>109.94</v>
      </c>
      <c r="AC121" s="37">
        <v>6</v>
      </c>
      <c r="AD121" s="91"/>
    </row>
    <row r="122" spans="2:32"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86" t="s">
        <v>35</v>
      </c>
      <c r="AB122" s="87"/>
      <c r="AC122" s="88"/>
      <c r="AD122" s="39">
        <f>SUM(AD86:AD121)</f>
        <v>133520.09</v>
      </c>
    </row>
    <row r="123" spans="2:32"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spans="2:32" ht="23.25">
      <c r="B124" s="30" t="s">
        <v>80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40"/>
      <c r="AC124" s="40"/>
      <c r="AD124" s="38"/>
    </row>
    <row r="125" spans="2:32">
      <c r="B125" s="32" t="s">
        <v>3</v>
      </c>
      <c r="C125" s="32" t="s">
        <v>4</v>
      </c>
      <c r="D125" s="32" t="s">
        <v>5</v>
      </c>
      <c r="E125" s="32" t="s">
        <v>6</v>
      </c>
      <c r="F125" s="32" t="s">
        <v>7</v>
      </c>
      <c r="G125" s="32" t="s">
        <v>8</v>
      </c>
      <c r="H125" s="32" t="s">
        <v>9</v>
      </c>
      <c r="I125" s="32" t="s">
        <v>10</v>
      </c>
      <c r="J125" s="32" t="s">
        <v>11</v>
      </c>
      <c r="K125" s="32" t="s">
        <v>12</v>
      </c>
      <c r="L125" s="32" t="s">
        <v>13</v>
      </c>
      <c r="M125" s="32" t="s">
        <v>14</v>
      </c>
      <c r="N125" s="32" t="s">
        <v>15</v>
      </c>
      <c r="O125" s="32" t="s">
        <v>16</v>
      </c>
      <c r="P125" s="32" t="s">
        <v>17</v>
      </c>
      <c r="Q125" s="32" t="s">
        <v>18</v>
      </c>
      <c r="R125" s="32" t="s">
        <v>19</v>
      </c>
      <c r="S125" s="32" t="s">
        <v>20</v>
      </c>
      <c r="T125" s="32" t="s">
        <v>21</v>
      </c>
      <c r="U125" s="32" t="s">
        <v>22</v>
      </c>
      <c r="V125" s="32" t="s">
        <v>23</v>
      </c>
      <c r="W125" s="32" t="s">
        <v>24</v>
      </c>
      <c r="X125" s="32" t="s">
        <v>25</v>
      </c>
      <c r="Y125" s="32" t="s">
        <v>26</v>
      </c>
      <c r="Z125" s="32" t="s">
        <v>27</v>
      </c>
      <c r="AA125" s="32" t="s">
        <v>28</v>
      </c>
      <c r="AB125" s="33" t="s">
        <v>29</v>
      </c>
      <c r="AC125" s="33" t="s">
        <v>30</v>
      </c>
      <c r="AD125" s="32" t="s">
        <v>31</v>
      </c>
    </row>
    <row r="126" spans="2:32">
      <c r="B126" s="89">
        <v>47849</v>
      </c>
      <c r="C126" s="34" t="s">
        <v>32</v>
      </c>
      <c r="D126" s="35">
        <v>15.95</v>
      </c>
      <c r="E126" s="35">
        <v>9.2200000000000006</v>
      </c>
      <c r="F126" s="35">
        <v>6.05</v>
      </c>
      <c r="G126" s="35">
        <v>4.97</v>
      </c>
      <c r="H126" s="35">
        <v>5.54</v>
      </c>
      <c r="I126" s="35">
        <v>9.2899999999999991</v>
      </c>
      <c r="J126" s="35">
        <v>0</v>
      </c>
      <c r="K126" s="35">
        <v>0</v>
      </c>
      <c r="L126" s="35">
        <v>6.67</v>
      </c>
      <c r="M126" s="35">
        <v>11.17</v>
      </c>
      <c r="N126" s="35">
        <v>14.88</v>
      </c>
      <c r="O126" s="35">
        <v>23.87</v>
      </c>
      <c r="P126" s="35">
        <v>26.24</v>
      </c>
      <c r="Q126" s="35">
        <v>22.62</v>
      </c>
      <c r="R126" s="35">
        <v>30.72</v>
      </c>
      <c r="S126" s="35">
        <v>32.82</v>
      </c>
      <c r="T126" s="35">
        <v>34.42</v>
      </c>
      <c r="U126" s="35">
        <v>39.950000000000003</v>
      </c>
      <c r="V126" s="35">
        <v>53.55</v>
      </c>
      <c r="W126" s="35">
        <v>61.19</v>
      </c>
      <c r="X126" s="35">
        <v>57.72</v>
      </c>
      <c r="Y126" s="35">
        <v>50.45</v>
      </c>
      <c r="Z126" s="35">
        <v>38.21</v>
      </c>
      <c r="AA126" s="35">
        <v>27.62</v>
      </c>
      <c r="AB126" s="36">
        <f>SUM(D126:AA126)</f>
        <v>583.12</v>
      </c>
      <c r="AC126" s="37">
        <v>21</v>
      </c>
      <c r="AD126" s="91">
        <f>+AB126*AC126+AB127*AC127+AB128*AC128</f>
        <v>14547.98</v>
      </c>
    </row>
    <row r="127" spans="2:32">
      <c r="B127" s="89"/>
      <c r="C127" s="34" t="s">
        <v>33</v>
      </c>
      <c r="D127" s="35">
        <v>20.440000000000001</v>
      </c>
      <c r="E127" s="35">
        <v>16.48</v>
      </c>
      <c r="F127" s="35">
        <v>4.92</v>
      </c>
      <c r="G127" s="35">
        <v>5.94</v>
      </c>
      <c r="H127" s="35">
        <v>7.7</v>
      </c>
      <c r="I127" s="35">
        <v>5.63</v>
      </c>
      <c r="J127" s="35">
        <v>0</v>
      </c>
      <c r="K127" s="35">
        <v>0</v>
      </c>
      <c r="L127" s="35">
        <v>0</v>
      </c>
      <c r="M127" s="35">
        <v>0</v>
      </c>
      <c r="N127" s="35">
        <v>0.93</v>
      </c>
      <c r="O127" s="35">
        <v>6.63</v>
      </c>
      <c r="P127" s="35">
        <v>9.26</v>
      </c>
      <c r="Q127" s="35">
        <v>5.28</v>
      </c>
      <c r="R127" s="35">
        <v>11.84</v>
      </c>
      <c r="S127" s="35">
        <v>12.31</v>
      </c>
      <c r="T127" s="35">
        <v>10.54</v>
      </c>
      <c r="U127" s="35">
        <v>23.43</v>
      </c>
      <c r="V127" s="35">
        <v>39.450000000000003</v>
      </c>
      <c r="W127" s="35">
        <v>46.59</v>
      </c>
      <c r="X127" s="35">
        <v>37.86</v>
      </c>
      <c r="Y127" s="35">
        <v>33.85</v>
      </c>
      <c r="Z127" s="35">
        <v>26.64</v>
      </c>
      <c r="AA127" s="35">
        <v>20.8</v>
      </c>
      <c r="AB127" s="36">
        <f t="shared" ref="AB127:AB161" si="3">SUM(D127:AA127)</f>
        <v>346.52</v>
      </c>
      <c r="AC127" s="37">
        <v>4</v>
      </c>
      <c r="AD127" s="91"/>
    </row>
    <row r="128" spans="2:32">
      <c r="B128" s="89"/>
      <c r="C128" s="34" t="s">
        <v>34</v>
      </c>
      <c r="D128" s="35">
        <v>11.64</v>
      </c>
      <c r="E128" s="35">
        <v>8.2799999999999994</v>
      </c>
      <c r="F128" s="35">
        <v>3.97</v>
      </c>
      <c r="G128" s="35">
        <v>1.35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1.17</v>
      </c>
      <c r="S128" s="35">
        <v>0</v>
      </c>
      <c r="T128" s="35">
        <v>0.42</v>
      </c>
      <c r="U128" s="35">
        <v>15.47</v>
      </c>
      <c r="V128" s="35">
        <v>8.06</v>
      </c>
      <c r="W128" s="35">
        <v>21.78</v>
      </c>
      <c r="X128" s="35">
        <v>21.74</v>
      </c>
      <c r="Y128" s="35">
        <v>17.53</v>
      </c>
      <c r="Z128" s="35">
        <v>15.59</v>
      </c>
      <c r="AA128" s="35">
        <v>25.73</v>
      </c>
      <c r="AB128" s="36">
        <f t="shared" si="3"/>
        <v>152.72999999999999</v>
      </c>
      <c r="AC128" s="37">
        <v>6</v>
      </c>
      <c r="AD128" s="91"/>
    </row>
    <row r="129" spans="2:30">
      <c r="B129" s="89">
        <v>47880</v>
      </c>
      <c r="C129" s="34" t="s">
        <v>32</v>
      </c>
      <c r="D129" s="35">
        <v>14.31</v>
      </c>
      <c r="E129" s="35">
        <v>5.55</v>
      </c>
      <c r="F129" s="35">
        <v>1.89</v>
      </c>
      <c r="G129" s="35">
        <v>2.13</v>
      </c>
      <c r="H129" s="35">
        <v>1.1299999999999999</v>
      </c>
      <c r="I129" s="35">
        <v>7.09</v>
      </c>
      <c r="J129" s="35">
        <v>0</v>
      </c>
      <c r="K129" s="35">
        <v>0</v>
      </c>
      <c r="L129" s="35">
        <v>4.0999999999999996</v>
      </c>
      <c r="M129" s="35">
        <v>10.79</v>
      </c>
      <c r="N129" s="35">
        <v>14.45</v>
      </c>
      <c r="O129" s="35">
        <v>23.25</v>
      </c>
      <c r="P129" s="35">
        <v>24.8</v>
      </c>
      <c r="Q129" s="35">
        <v>19.66</v>
      </c>
      <c r="R129" s="35">
        <v>28.95</v>
      </c>
      <c r="S129" s="35">
        <v>29.37</v>
      </c>
      <c r="T129" s="35">
        <v>30.45</v>
      </c>
      <c r="U129" s="35">
        <v>37.18</v>
      </c>
      <c r="V129" s="35">
        <v>49.01</v>
      </c>
      <c r="W129" s="35">
        <v>54.04</v>
      </c>
      <c r="X129" s="35">
        <v>50.17</v>
      </c>
      <c r="Y129" s="35">
        <v>43.18</v>
      </c>
      <c r="Z129" s="35">
        <v>30.96</v>
      </c>
      <c r="AA129" s="35">
        <v>22.09</v>
      </c>
      <c r="AB129" s="36">
        <f t="shared" si="3"/>
        <v>504.55</v>
      </c>
      <c r="AC129" s="37">
        <v>20</v>
      </c>
      <c r="AD129" s="91">
        <f>+AB129*AC129+AB130*AC130+AB131*AC131</f>
        <v>12081.84</v>
      </c>
    </row>
    <row r="130" spans="2:30">
      <c r="B130" s="89"/>
      <c r="C130" s="34" t="s">
        <v>33</v>
      </c>
      <c r="D130" s="35">
        <v>16.649999999999999</v>
      </c>
      <c r="E130" s="35">
        <v>13.04</v>
      </c>
      <c r="F130" s="35">
        <v>2.85</v>
      </c>
      <c r="G130" s="35">
        <v>2.39</v>
      </c>
      <c r="H130" s="35">
        <v>4.6900000000000004</v>
      </c>
      <c r="I130" s="35">
        <v>3.72</v>
      </c>
      <c r="J130" s="35">
        <v>0</v>
      </c>
      <c r="K130" s="35">
        <v>0</v>
      </c>
      <c r="L130" s="35">
        <v>0</v>
      </c>
      <c r="M130" s="35">
        <v>0.41</v>
      </c>
      <c r="N130" s="35">
        <v>1.67</v>
      </c>
      <c r="O130" s="35">
        <v>7.64</v>
      </c>
      <c r="P130" s="35">
        <v>10.35</v>
      </c>
      <c r="Q130" s="35">
        <v>8.1199999999999992</v>
      </c>
      <c r="R130" s="35">
        <v>12.98</v>
      </c>
      <c r="S130" s="35">
        <v>12.3</v>
      </c>
      <c r="T130" s="35">
        <v>11.82</v>
      </c>
      <c r="U130" s="35">
        <v>23.31</v>
      </c>
      <c r="V130" s="35">
        <v>40.31</v>
      </c>
      <c r="W130" s="35">
        <v>44.84</v>
      </c>
      <c r="X130" s="35">
        <v>37.549999999999997</v>
      </c>
      <c r="Y130" s="35">
        <v>33.14</v>
      </c>
      <c r="Z130" s="35">
        <v>26.75</v>
      </c>
      <c r="AA130" s="35">
        <v>22.71</v>
      </c>
      <c r="AB130" s="36">
        <f t="shared" si="3"/>
        <v>337.24</v>
      </c>
      <c r="AC130" s="37">
        <v>4</v>
      </c>
      <c r="AD130" s="91"/>
    </row>
    <row r="131" spans="2:30">
      <c r="B131" s="89"/>
      <c r="C131" s="34" t="s">
        <v>34</v>
      </c>
      <c r="D131" s="35">
        <v>10.44</v>
      </c>
      <c r="E131" s="35">
        <v>8.77</v>
      </c>
      <c r="F131" s="35">
        <v>3.29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0.81</v>
      </c>
      <c r="R131" s="35">
        <v>1.32</v>
      </c>
      <c r="S131" s="35">
        <v>2.19</v>
      </c>
      <c r="T131" s="35">
        <v>3.25</v>
      </c>
      <c r="U131" s="35">
        <v>15.58</v>
      </c>
      <c r="V131" s="35">
        <v>13.54</v>
      </c>
      <c r="W131" s="35">
        <v>27.04</v>
      </c>
      <c r="X131" s="35">
        <v>22.85</v>
      </c>
      <c r="Y131" s="35">
        <v>18.75</v>
      </c>
      <c r="Z131" s="35">
        <v>11.24</v>
      </c>
      <c r="AA131" s="35">
        <v>21.4</v>
      </c>
      <c r="AB131" s="36">
        <f t="shared" si="3"/>
        <v>160.47</v>
      </c>
      <c r="AC131" s="37">
        <v>4</v>
      </c>
      <c r="AD131" s="91"/>
    </row>
    <row r="132" spans="2:30">
      <c r="B132" s="89">
        <v>47908</v>
      </c>
      <c r="C132" s="34" t="s">
        <v>32</v>
      </c>
      <c r="D132" s="35">
        <v>15.24</v>
      </c>
      <c r="E132" s="35">
        <v>6.6</v>
      </c>
      <c r="F132" s="35">
        <v>2.71</v>
      </c>
      <c r="G132" s="35">
        <v>2.92</v>
      </c>
      <c r="H132" s="35">
        <v>2.56</v>
      </c>
      <c r="I132" s="35">
        <v>8.6300000000000008</v>
      </c>
      <c r="J132" s="35">
        <v>0</v>
      </c>
      <c r="K132" s="35">
        <v>0</v>
      </c>
      <c r="L132" s="35">
        <v>5.58</v>
      </c>
      <c r="M132" s="35">
        <v>12.06</v>
      </c>
      <c r="N132" s="35">
        <v>15.61</v>
      </c>
      <c r="O132" s="35">
        <v>23.25</v>
      </c>
      <c r="P132" s="35">
        <v>24.41</v>
      </c>
      <c r="Q132" s="35">
        <v>19.739999999999998</v>
      </c>
      <c r="R132" s="35">
        <v>29.81</v>
      </c>
      <c r="S132" s="35">
        <v>30.92</v>
      </c>
      <c r="T132" s="35">
        <v>31.98</v>
      </c>
      <c r="U132" s="35">
        <v>38.53</v>
      </c>
      <c r="V132" s="35">
        <v>49.89</v>
      </c>
      <c r="W132" s="35">
        <v>55.31</v>
      </c>
      <c r="X132" s="35">
        <v>51.64</v>
      </c>
      <c r="Y132" s="35">
        <v>44.69</v>
      </c>
      <c r="Z132" s="35">
        <v>32.76</v>
      </c>
      <c r="AA132" s="35">
        <v>23.39</v>
      </c>
      <c r="AB132" s="36">
        <f t="shared" si="3"/>
        <v>528.23</v>
      </c>
      <c r="AC132" s="37">
        <v>20</v>
      </c>
      <c r="AD132" s="91">
        <f>+AB132*AC132+AB133*AC133+AB134*AC134</f>
        <v>13155.48</v>
      </c>
    </row>
    <row r="133" spans="2:30">
      <c r="B133" s="89"/>
      <c r="C133" s="34" t="s">
        <v>33</v>
      </c>
      <c r="D133" s="35">
        <v>16.2</v>
      </c>
      <c r="E133" s="35">
        <v>6.99</v>
      </c>
      <c r="F133" s="35">
        <v>2.4300000000000002</v>
      </c>
      <c r="G133" s="35">
        <v>1.76</v>
      </c>
      <c r="H133" s="35">
        <v>3.37</v>
      </c>
      <c r="I133" s="35">
        <v>2.75</v>
      </c>
      <c r="J133" s="35">
        <v>0</v>
      </c>
      <c r="K133" s="35">
        <v>0</v>
      </c>
      <c r="L133" s="35">
        <v>0</v>
      </c>
      <c r="M133" s="35">
        <v>1.08</v>
      </c>
      <c r="N133" s="35">
        <v>2.36</v>
      </c>
      <c r="O133" s="35">
        <v>7.42</v>
      </c>
      <c r="P133" s="35">
        <v>10.28</v>
      </c>
      <c r="Q133" s="35">
        <v>9.3699999999999992</v>
      </c>
      <c r="R133" s="35">
        <v>12.64</v>
      </c>
      <c r="S133" s="35">
        <v>12.16</v>
      </c>
      <c r="T133" s="35">
        <v>12.25</v>
      </c>
      <c r="U133" s="35">
        <v>23.05</v>
      </c>
      <c r="V133" s="35">
        <v>41.2</v>
      </c>
      <c r="W133" s="35">
        <v>43.82</v>
      </c>
      <c r="X133" s="35">
        <v>36.229999999999997</v>
      </c>
      <c r="Y133" s="35">
        <v>32.36</v>
      </c>
      <c r="Z133" s="35">
        <v>26.66</v>
      </c>
      <c r="AA133" s="35">
        <v>13.18</v>
      </c>
      <c r="AB133" s="36">
        <f t="shared" si="3"/>
        <v>317.56</v>
      </c>
      <c r="AC133" s="37">
        <v>5</v>
      </c>
      <c r="AD133" s="91"/>
    </row>
    <row r="134" spans="2:30">
      <c r="B134" s="89"/>
      <c r="C134" s="34" t="s">
        <v>34</v>
      </c>
      <c r="D134" s="35">
        <v>10.23</v>
      </c>
      <c r="E134" s="35">
        <v>7.93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0.54</v>
      </c>
      <c r="R134" s="35">
        <v>1.4</v>
      </c>
      <c r="S134" s="35">
        <v>2.5</v>
      </c>
      <c r="T134" s="35">
        <v>5.27</v>
      </c>
      <c r="U134" s="35">
        <v>17.79</v>
      </c>
      <c r="V134" s="35">
        <v>17.46</v>
      </c>
      <c r="W134" s="35">
        <v>27.39</v>
      </c>
      <c r="X134" s="35">
        <v>26.13</v>
      </c>
      <c r="Y134" s="35">
        <v>22.52</v>
      </c>
      <c r="Z134" s="35">
        <v>8.49</v>
      </c>
      <c r="AA134" s="35">
        <v>19.53</v>
      </c>
      <c r="AB134" s="36">
        <f t="shared" si="3"/>
        <v>167.18</v>
      </c>
      <c r="AC134" s="37">
        <v>6</v>
      </c>
      <c r="AD134" s="91"/>
    </row>
    <row r="135" spans="2:30">
      <c r="B135" s="89">
        <v>47939</v>
      </c>
      <c r="C135" s="34" t="s">
        <v>32</v>
      </c>
      <c r="D135" s="35">
        <v>15</v>
      </c>
      <c r="E135" s="35">
        <v>8.18</v>
      </c>
      <c r="F135" s="35">
        <v>3.81</v>
      </c>
      <c r="G135" s="35">
        <v>3.52</v>
      </c>
      <c r="H135" s="35">
        <v>3.44</v>
      </c>
      <c r="I135" s="35">
        <v>8.3000000000000007</v>
      </c>
      <c r="J135" s="35">
        <v>0</v>
      </c>
      <c r="K135" s="35">
        <v>0</v>
      </c>
      <c r="L135" s="35">
        <v>5.35</v>
      </c>
      <c r="M135" s="35">
        <v>11.72</v>
      </c>
      <c r="N135" s="35">
        <v>15.04</v>
      </c>
      <c r="O135" s="35">
        <v>24.62</v>
      </c>
      <c r="P135" s="35">
        <v>26.37</v>
      </c>
      <c r="Q135" s="35">
        <v>21.38</v>
      </c>
      <c r="R135" s="35">
        <v>31.54</v>
      </c>
      <c r="S135" s="35">
        <v>32.9</v>
      </c>
      <c r="T135" s="35">
        <v>34.17</v>
      </c>
      <c r="U135" s="35">
        <v>40.4</v>
      </c>
      <c r="V135" s="35">
        <v>51.52</v>
      </c>
      <c r="W135" s="35">
        <v>57.45</v>
      </c>
      <c r="X135" s="35">
        <v>53.59</v>
      </c>
      <c r="Y135" s="35">
        <v>46.6</v>
      </c>
      <c r="Z135" s="35">
        <v>34.74</v>
      </c>
      <c r="AA135" s="35">
        <v>25.02</v>
      </c>
      <c r="AB135" s="36">
        <f t="shared" si="3"/>
        <v>554.66</v>
      </c>
      <c r="AC135" s="37">
        <v>20</v>
      </c>
      <c r="AD135" s="91">
        <f>+AB135*AC135+AB136*AC136+AB137*AC137</f>
        <v>12711.2</v>
      </c>
    </row>
    <row r="136" spans="2:30">
      <c r="B136" s="89"/>
      <c r="C136" s="34" t="s">
        <v>33</v>
      </c>
      <c r="D136" s="35">
        <v>13.85</v>
      </c>
      <c r="E136" s="35">
        <v>12.46</v>
      </c>
      <c r="F136" s="35">
        <v>2.92</v>
      </c>
      <c r="G136" s="35">
        <v>2.5</v>
      </c>
      <c r="H136" s="35">
        <v>1.53</v>
      </c>
      <c r="I136" s="35">
        <v>1.84</v>
      </c>
      <c r="J136" s="35">
        <v>0</v>
      </c>
      <c r="K136" s="35">
        <v>0</v>
      </c>
      <c r="L136" s="35">
        <v>0</v>
      </c>
      <c r="M136" s="35">
        <v>0.84</v>
      </c>
      <c r="N136" s="35">
        <v>1.87</v>
      </c>
      <c r="O136" s="35">
        <v>7.29</v>
      </c>
      <c r="P136" s="35">
        <v>11.51</v>
      </c>
      <c r="Q136" s="35">
        <v>9.32</v>
      </c>
      <c r="R136" s="35">
        <v>12.58</v>
      </c>
      <c r="S136" s="35">
        <v>13.76</v>
      </c>
      <c r="T136" s="35">
        <v>12.41</v>
      </c>
      <c r="U136" s="35">
        <v>25.39</v>
      </c>
      <c r="V136" s="35">
        <v>39.61</v>
      </c>
      <c r="W136" s="35">
        <v>42.98</v>
      </c>
      <c r="X136" s="35">
        <v>35.799999999999997</v>
      </c>
      <c r="Y136" s="35">
        <v>32.17</v>
      </c>
      <c r="Z136" s="35">
        <v>25.68</v>
      </c>
      <c r="AA136" s="35">
        <v>9.2100000000000009</v>
      </c>
      <c r="AB136" s="36">
        <f t="shared" si="3"/>
        <v>315.52</v>
      </c>
      <c r="AC136" s="37">
        <v>4</v>
      </c>
      <c r="AD136" s="91"/>
    </row>
    <row r="137" spans="2:30">
      <c r="B137" s="89"/>
      <c r="C137" s="34" t="s">
        <v>34</v>
      </c>
      <c r="D137" s="35">
        <v>0</v>
      </c>
      <c r="E137" s="35">
        <v>0.12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0.68</v>
      </c>
      <c r="R137" s="35">
        <v>0.98</v>
      </c>
      <c r="S137" s="35">
        <v>1.08</v>
      </c>
      <c r="T137" s="35">
        <v>2.93</v>
      </c>
      <c r="U137" s="35">
        <v>4.7300000000000004</v>
      </c>
      <c r="V137" s="35">
        <v>2.84</v>
      </c>
      <c r="W137" s="35">
        <v>12.66</v>
      </c>
      <c r="X137" s="35">
        <v>10.68</v>
      </c>
      <c r="Y137" s="35">
        <v>4.26</v>
      </c>
      <c r="Z137" s="35">
        <v>0</v>
      </c>
      <c r="AA137" s="35">
        <v>18.36</v>
      </c>
      <c r="AB137" s="36">
        <f t="shared" si="3"/>
        <v>59.32</v>
      </c>
      <c r="AC137" s="37">
        <v>6</v>
      </c>
      <c r="AD137" s="91"/>
    </row>
    <row r="138" spans="2:30">
      <c r="B138" s="89">
        <v>47969</v>
      </c>
      <c r="C138" s="34" t="s">
        <v>32</v>
      </c>
      <c r="D138" s="35">
        <v>13.5</v>
      </c>
      <c r="E138" s="35">
        <v>7.28</v>
      </c>
      <c r="F138" s="35">
        <v>3.4</v>
      </c>
      <c r="G138" s="35">
        <v>3.08</v>
      </c>
      <c r="H138" s="35">
        <v>2.46</v>
      </c>
      <c r="I138" s="35">
        <v>7</v>
      </c>
      <c r="J138" s="35">
        <v>0</v>
      </c>
      <c r="K138" s="35">
        <v>0</v>
      </c>
      <c r="L138" s="35">
        <v>4.8</v>
      </c>
      <c r="M138" s="35">
        <v>10.85</v>
      </c>
      <c r="N138" s="35">
        <v>14.29</v>
      </c>
      <c r="O138" s="35">
        <v>23.13</v>
      </c>
      <c r="P138" s="35">
        <v>23.88</v>
      </c>
      <c r="Q138" s="35">
        <v>20.12</v>
      </c>
      <c r="R138" s="35">
        <v>31.16</v>
      </c>
      <c r="S138" s="35">
        <v>32.770000000000003</v>
      </c>
      <c r="T138" s="35">
        <v>34.6</v>
      </c>
      <c r="U138" s="35">
        <v>40.08</v>
      </c>
      <c r="V138" s="35">
        <v>51.32</v>
      </c>
      <c r="W138" s="35">
        <v>57.01</v>
      </c>
      <c r="X138" s="35">
        <v>52.58</v>
      </c>
      <c r="Y138" s="35">
        <v>45.21</v>
      </c>
      <c r="Z138" s="35">
        <v>33.630000000000003</v>
      </c>
      <c r="AA138" s="35">
        <v>24.73</v>
      </c>
      <c r="AB138" s="36">
        <f t="shared" si="3"/>
        <v>536.88</v>
      </c>
      <c r="AC138" s="37">
        <v>20</v>
      </c>
      <c r="AD138" s="91">
        <f>+AB138*AC138+AB139*AC139+AB140*AC140</f>
        <v>12874.18</v>
      </c>
    </row>
    <row r="139" spans="2:30">
      <c r="B139" s="89"/>
      <c r="C139" s="34" t="s">
        <v>33</v>
      </c>
      <c r="D139" s="35">
        <v>10.94</v>
      </c>
      <c r="E139" s="35">
        <v>10.11</v>
      </c>
      <c r="F139" s="35">
        <v>2.52</v>
      </c>
      <c r="G139" s="35">
        <v>1.87</v>
      </c>
      <c r="H139" s="35">
        <v>2.4700000000000002</v>
      </c>
      <c r="I139" s="35">
        <v>3.55</v>
      </c>
      <c r="J139" s="35">
        <v>0</v>
      </c>
      <c r="K139" s="35">
        <v>0</v>
      </c>
      <c r="L139" s="35">
        <v>0</v>
      </c>
      <c r="M139" s="35">
        <v>0</v>
      </c>
      <c r="N139" s="35">
        <v>1.3</v>
      </c>
      <c r="O139" s="35">
        <v>6.18</v>
      </c>
      <c r="P139" s="35">
        <v>9.85</v>
      </c>
      <c r="Q139" s="35">
        <v>7.5</v>
      </c>
      <c r="R139" s="35">
        <v>13.13</v>
      </c>
      <c r="S139" s="35">
        <v>14.16</v>
      </c>
      <c r="T139" s="35">
        <v>12.61</v>
      </c>
      <c r="U139" s="35">
        <v>27.59</v>
      </c>
      <c r="V139" s="35">
        <v>39.17</v>
      </c>
      <c r="W139" s="35">
        <v>43.02</v>
      </c>
      <c r="X139" s="35">
        <v>36.18</v>
      </c>
      <c r="Y139" s="35">
        <v>32.44</v>
      </c>
      <c r="Z139" s="35">
        <v>24.23</v>
      </c>
      <c r="AA139" s="35">
        <v>11.4</v>
      </c>
      <c r="AB139" s="36">
        <f t="shared" si="3"/>
        <v>310.22000000000003</v>
      </c>
      <c r="AC139" s="37">
        <v>5</v>
      </c>
      <c r="AD139" s="91"/>
    </row>
    <row r="140" spans="2:30">
      <c r="B140" s="89"/>
      <c r="C140" s="34" t="s">
        <v>34</v>
      </c>
      <c r="D140" s="35">
        <v>4.71</v>
      </c>
      <c r="E140" s="35">
        <v>8.1999999999999993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2.9</v>
      </c>
      <c r="S140" s="35">
        <v>1.41</v>
      </c>
      <c r="T140" s="35">
        <v>3.6</v>
      </c>
      <c r="U140" s="35">
        <v>13.44</v>
      </c>
      <c r="V140" s="35">
        <v>4.8899999999999997</v>
      </c>
      <c r="W140" s="35">
        <v>12.79</v>
      </c>
      <c r="X140" s="35">
        <v>13.44</v>
      </c>
      <c r="Y140" s="35">
        <v>9.6300000000000008</v>
      </c>
      <c r="Z140" s="35">
        <v>0</v>
      </c>
      <c r="AA140" s="35">
        <v>22.57</v>
      </c>
      <c r="AB140" s="36">
        <f t="shared" si="3"/>
        <v>97.58</v>
      </c>
      <c r="AC140" s="37">
        <v>6</v>
      </c>
      <c r="AD140" s="91"/>
    </row>
    <row r="141" spans="2:30">
      <c r="B141" s="89">
        <v>48000</v>
      </c>
      <c r="C141" s="34" t="s">
        <v>32</v>
      </c>
      <c r="D141" s="35">
        <v>13.2</v>
      </c>
      <c r="E141" s="35">
        <v>8.49</v>
      </c>
      <c r="F141" s="35">
        <v>4.3099999999999996</v>
      </c>
      <c r="G141" s="35">
        <v>3.51</v>
      </c>
      <c r="H141" s="35">
        <v>3.38</v>
      </c>
      <c r="I141" s="35">
        <v>7.45</v>
      </c>
      <c r="J141" s="35">
        <v>0</v>
      </c>
      <c r="K141" s="35">
        <v>0</v>
      </c>
      <c r="L141" s="35">
        <v>6.7</v>
      </c>
      <c r="M141" s="35">
        <v>12.89</v>
      </c>
      <c r="N141" s="35">
        <v>16.02</v>
      </c>
      <c r="O141" s="35">
        <v>24.94</v>
      </c>
      <c r="P141" s="35">
        <v>26.03</v>
      </c>
      <c r="Q141" s="35">
        <v>21.78</v>
      </c>
      <c r="R141" s="35">
        <v>31.29</v>
      </c>
      <c r="S141" s="35">
        <v>33.85</v>
      </c>
      <c r="T141" s="35">
        <v>35.409999999999997</v>
      </c>
      <c r="U141" s="35">
        <v>40.03</v>
      </c>
      <c r="V141" s="35">
        <v>51.76</v>
      </c>
      <c r="W141" s="35">
        <v>58.4</v>
      </c>
      <c r="X141" s="35">
        <v>54.52</v>
      </c>
      <c r="Y141" s="35">
        <v>46.96</v>
      </c>
      <c r="Z141" s="35">
        <v>35.270000000000003</v>
      </c>
      <c r="AA141" s="35">
        <v>25.9</v>
      </c>
      <c r="AB141" s="36">
        <f t="shared" si="3"/>
        <v>562.09</v>
      </c>
      <c r="AC141" s="37">
        <v>18</v>
      </c>
      <c r="AD141" s="91">
        <f>+AB141*AC141+AB142*AC142+AB143*AC143</f>
        <v>12153.5</v>
      </c>
    </row>
    <row r="142" spans="2:30">
      <c r="B142" s="89"/>
      <c r="C142" s="34" t="s">
        <v>33</v>
      </c>
      <c r="D142" s="35">
        <v>10.71</v>
      </c>
      <c r="E142" s="35">
        <v>13.1</v>
      </c>
      <c r="F142" s="35">
        <v>2.64</v>
      </c>
      <c r="G142" s="35">
        <v>1.47</v>
      </c>
      <c r="H142" s="35">
        <v>4.1100000000000003</v>
      </c>
      <c r="I142" s="35">
        <v>4.29</v>
      </c>
      <c r="J142" s="35">
        <v>0</v>
      </c>
      <c r="K142" s="35">
        <v>0</v>
      </c>
      <c r="L142" s="35">
        <v>0</v>
      </c>
      <c r="M142" s="35">
        <v>1.1299999999999999</v>
      </c>
      <c r="N142" s="35">
        <v>2.2599999999999998</v>
      </c>
      <c r="O142" s="35">
        <v>7.49</v>
      </c>
      <c r="P142" s="35">
        <v>10.78</v>
      </c>
      <c r="Q142" s="35">
        <v>8.81</v>
      </c>
      <c r="R142" s="35">
        <v>13.42</v>
      </c>
      <c r="S142" s="35">
        <v>13.44</v>
      </c>
      <c r="T142" s="35">
        <v>12.99</v>
      </c>
      <c r="U142" s="35">
        <v>25.08</v>
      </c>
      <c r="V142" s="35">
        <v>40.98</v>
      </c>
      <c r="W142" s="35">
        <v>42.57</v>
      </c>
      <c r="X142" s="35">
        <v>36.31</v>
      </c>
      <c r="Y142" s="35">
        <v>32.68</v>
      </c>
      <c r="Z142" s="35">
        <v>25.2</v>
      </c>
      <c r="AA142" s="35">
        <v>16.39</v>
      </c>
      <c r="AB142" s="36">
        <f t="shared" si="3"/>
        <v>325.85000000000002</v>
      </c>
      <c r="AC142" s="37">
        <v>4</v>
      </c>
      <c r="AD142" s="91"/>
    </row>
    <row r="143" spans="2:30">
      <c r="B143" s="89"/>
      <c r="C143" s="34" t="s">
        <v>34</v>
      </c>
      <c r="D143" s="35">
        <v>0.41</v>
      </c>
      <c r="E143" s="35">
        <v>3.86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0.16</v>
      </c>
      <c r="R143" s="35">
        <v>2.38</v>
      </c>
      <c r="S143" s="35">
        <v>0.61</v>
      </c>
      <c r="T143" s="35">
        <v>2.72</v>
      </c>
      <c r="U143" s="35">
        <v>14.8</v>
      </c>
      <c r="V143" s="35">
        <v>6.63</v>
      </c>
      <c r="W143" s="35">
        <v>14.4</v>
      </c>
      <c r="X143" s="35">
        <v>17.63</v>
      </c>
      <c r="Y143" s="35">
        <v>8.52</v>
      </c>
      <c r="Z143" s="35">
        <v>0</v>
      </c>
      <c r="AA143" s="35">
        <v>19.440000000000001</v>
      </c>
      <c r="AB143" s="36">
        <f t="shared" si="3"/>
        <v>91.56</v>
      </c>
      <c r="AC143" s="37">
        <v>8</v>
      </c>
      <c r="AD143" s="91"/>
    </row>
    <row r="144" spans="2:30">
      <c r="B144" s="89">
        <v>48030</v>
      </c>
      <c r="C144" s="34" t="s">
        <v>32</v>
      </c>
      <c r="D144" s="35">
        <v>15.58</v>
      </c>
      <c r="E144" s="35">
        <v>9.83</v>
      </c>
      <c r="F144" s="35">
        <v>5.36</v>
      </c>
      <c r="G144" s="35">
        <v>4.6500000000000004</v>
      </c>
      <c r="H144" s="35">
        <v>4.6500000000000004</v>
      </c>
      <c r="I144" s="35">
        <v>8.5500000000000007</v>
      </c>
      <c r="J144" s="35">
        <v>0</v>
      </c>
      <c r="K144" s="35">
        <v>0</v>
      </c>
      <c r="L144" s="35">
        <v>8.6</v>
      </c>
      <c r="M144" s="35">
        <v>14.14</v>
      </c>
      <c r="N144" s="35">
        <v>18.399999999999999</v>
      </c>
      <c r="O144" s="35">
        <v>26.57</v>
      </c>
      <c r="P144" s="35">
        <v>28</v>
      </c>
      <c r="Q144" s="35">
        <v>23.39</v>
      </c>
      <c r="R144" s="35">
        <v>33.520000000000003</v>
      </c>
      <c r="S144" s="35">
        <v>36.51</v>
      </c>
      <c r="T144" s="35">
        <v>38.450000000000003</v>
      </c>
      <c r="U144" s="35">
        <v>43.4</v>
      </c>
      <c r="V144" s="35">
        <v>55.28</v>
      </c>
      <c r="W144" s="35">
        <v>62.73</v>
      </c>
      <c r="X144" s="35">
        <v>58.83</v>
      </c>
      <c r="Y144" s="35">
        <v>50.95</v>
      </c>
      <c r="Z144" s="35">
        <v>38.54</v>
      </c>
      <c r="AA144" s="35">
        <v>27.56</v>
      </c>
      <c r="AB144" s="36">
        <f t="shared" si="3"/>
        <v>613.49</v>
      </c>
      <c r="AC144" s="37">
        <v>23</v>
      </c>
      <c r="AD144" s="91">
        <f>+AB144*AC144+AB145*AC145+AB146*AC146</f>
        <v>15983.15</v>
      </c>
    </row>
    <row r="145" spans="2:30">
      <c r="B145" s="89"/>
      <c r="C145" s="34" t="s">
        <v>33</v>
      </c>
      <c r="D145" s="35">
        <v>10.44</v>
      </c>
      <c r="E145" s="35">
        <v>13.58</v>
      </c>
      <c r="F145" s="35">
        <v>5.61</v>
      </c>
      <c r="G145" s="35">
        <v>4.82</v>
      </c>
      <c r="H145" s="35">
        <v>3.93</v>
      </c>
      <c r="I145" s="35">
        <v>4.95</v>
      </c>
      <c r="J145" s="35">
        <v>0</v>
      </c>
      <c r="K145" s="35">
        <v>0</v>
      </c>
      <c r="L145" s="35">
        <v>0</v>
      </c>
      <c r="M145" s="35">
        <v>0.67</v>
      </c>
      <c r="N145" s="35">
        <v>2.81</v>
      </c>
      <c r="O145" s="35">
        <v>7.09</v>
      </c>
      <c r="P145" s="35">
        <v>10.79</v>
      </c>
      <c r="Q145" s="35">
        <v>9.18</v>
      </c>
      <c r="R145" s="35">
        <v>12.6</v>
      </c>
      <c r="S145" s="35">
        <v>12.26</v>
      </c>
      <c r="T145" s="35">
        <v>13.02</v>
      </c>
      <c r="U145" s="35">
        <v>24.48</v>
      </c>
      <c r="V145" s="35">
        <v>41.97</v>
      </c>
      <c r="W145" s="35">
        <v>44.22</v>
      </c>
      <c r="X145" s="35">
        <v>38.76</v>
      </c>
      <c r="Y145" s="35">
        <v>33.409999999999997</v>
      </c>
      <c r="Z145" s="35">
        <v>25.98</v>
      </c>
      <c r="AA145" s="35">
        <v>23.83</v>
      </c>
      <c r="AB145" s="36">
        <f t="shared" si="3"/>
        <v>344.4</v>
      </c>
      <c r="AC145" s="37">
        <v>4</v>
      </c>
      <c r="AD145" s="91"/>
    </row>
    <row r="146" spans="2:30">
      <c r="B146" s="89"/>
      <c r="C146" s="34" t="s">
        <v>34</v>
      </c>
      <c r="D146" s="35">
        <v>1.58</v>
      </c>
      <c r="E146" s="35">
        <v>7.92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0.99</v>
      </c>
      <c r="S146" s="35">
        <v>0</v>
      </c>
      <c r="T146" s="35">
        <v>2.56</v>
      </c>
      <c r="U146" s="35">
        <v>16.100000000000001</v>
      </c>
      <c r="V146" s="35">
        <v>10.15</v>
      </c>
      <c r="W146" s="35">
        <v>18.87</v>
      </c>
      <c r="X146" s="35">
        <v>19.68</v>
      </c>
      <c r="Y146" s="35">
        <v>17.68</v>
      </c>
      <c r="Z146" s="35">
        <v>3.88</v>
      </c>
      <c r="AA146" s="35">
        <v>24.41</v>
      </c>
      <c r="AB146" s="36">
        <f t="shared" si="3"/>
        <v>123.82</v>
      </c>
      <c r="AC146" s="37">
        <v>4</v>
      </c>
      <c r="AD146" s="91"/>
    </row>
    <row r="147" spans="2:30">
      <c r="B147" s="89">
        <v>48061</v>
      </c>
      <c r="C147" s="34" t="s">
        <v>32</v>
      </c>
      <c r="D147" s="35">
        <v>14.71</v>
      </c>
      <c r="E147" s="35">
        <v>8.69</v>
      </c>
      <c r="F147" s="35">
        <v>3.84</v>
      </c>
      <c r="G147" s="35">
        <v>4.57</v>
      </c>
      <c r="H147" s="35">
        <v>3.96</v>
      </c>
      <c r="I147" s="35">
        <v>9.2799999999999994</v>
      </c>
      <c r="J147" s="35">
        <v>0</v>
      </c>
      <c r="K147" s="35">
        <v>0</v>
      </c>
      <c r="L147" s="35">
        <v>8</v>
      </c>
      <c r="M147" s="35">
        <v>14.62</v>
      </c>
      <c r="N147" s="35">
        <v>19.239999999999998</v>
      </c>
      <c r="O147" s="35">
        <v>28.26</v>
      </c>
      <c r="P147" s="35">
        <v>28.75</v>
      </c>
      <c r="Q147" s="35">
        <v>21.58</v>
      </c>
      <c r="R147" s="35">
        <v>33.89</v>
      </c>
      <c r="S147" s="35">
        <v>36.21</v>
      </c>
      <c r="T147" s="35">
        <v>37.840000000000003</v>
      </c>
      <c r="U147" s="35">
        <v>43.35</v>
      </c>
      <c r="V147" s="35">
        <v>55.01</v>
      </c>
      <c r="W147" s="35">
        <v>61.57</v>
      </c>
      <c r="X147" s="35">
        <v>57.84</v>
      </c>
      <c r="Y147" s="35">
        <v>49.72</v>
      </c>
      <c r="Z147" s="35">
        <v>36.68</v>
      </c>
      <c r="AA147" s="35">
        <v>25.85</v>
      </c>
      <c r="AB147" s="36">
        <f t="shared" si="3"/>
        <v>603.46</v>
      </c>
      <c r="AC147" s="37">
        <v>19</v>
      </c>
      <c r="AD147" s="91">
        <f>+AB147*AC147+AB148*AC148+AB149*AC149</f>
        <v>13962</v>
      </c>
    </row>
    <row r="148" spans="2:30">
      <c r="B148" s="89"/>
      <c r="C148" s="34" t="s">
        <v>33</v>
      </c>
      <c r="D148" s="35">
        <v>10.63</v>
      </c>
      <c r="E148" s="35">
        <v>11.02</v>
      </c>
      <c r="F148" s="35">
        <v>2.93</v>
      </c>
      <c r="G148" s="35">
        <v>2.7</v>
      </c>
      <c r="H148" s="35">
        <v>2.61</v>
      </c>
      <c r="I148" s="35">
        <v>4.66</v>
      </c>
      <c r="J148" s="35">
        <v>0</v>
      </c>
      <c r="K148" s="35">
        <v>0</v>
      </c>
      <c r="L148" s="35">
        <v>0</v>
      </c>
      <c r="M148" s="35">
        <v>0.93</v>
      </c>
      <c r="N148" s="35">
        <v>3.32</v>
      </c>
      <c r="O148" s="35">
        <v>8.76</v>
      </c>
      <c r="P148" s="35">
        <v>11.17</v>
      </c>
      <c r="Q148" s="35">
        <v>9.1</v>
      </c>
      <c r="R148" s="35">
        <v>12.02</v>
      </c>
      <c r="S148" s="35">
        <v>12.02</v>
      </c>
      <c r="T148" s="35">
        <v>12.11</v>
      </c>
      <c r="U148" s="35">
        <v>23.89</v>
      </c>
      <c r="V148" s="35">
        <v>40.99</v>
      </c>
      <c r="W148" s="35">
        <v>47.88</v>
      </c>
      <c r="X148" s="35">
        <v>40.380000000000003</v>
      </c>
      <c r="Y148" s="35">
        <v>33.04</v>
      </c>
      <c r="Z148" s="35">
        <v>25.86</v>
      </c>
      <c r="AA148" s="35">
        <v>21.35</v>
      </c>
      <c r="AB148" s="36">
        <f t="shared" si="3"/>
        <v>337.37</v>
      </c>
      <c r="AC148" s="37">
        <v>5</v>
      </c>
      <c r="AD148" s="91"/>
    </row>
    <row r="149" spans="2:30">
      <c r="B149" s="89"/>
      <c r="C149" s="34" t="s">
        <v>34</v>
      </c>
      <c r="D149" s="35">
        <v>0.4</v>
      </c>
      <c r="E149" s="35">
        <v>5.98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0.65</v>
      </c>
      <c r="S149" s="35">
        <v>0</v>
      </c>
      <c r="T149" s="35">
        <v>2.8</v>
      </c>
      <c r="U149" s="35">
        <v>15.37</v>
      </c>
      <c r="V149" s="35">
        <v>11.71</v>
      </c>
      <c r="W149" s="35">
        <v>18.46</v>
      </c>
      <c r="X149" s="35">
        <v>17.3</v>
      </c>
      <c r="Y149" s="35">
        <v>17.329999999999998</v>
      </c>
      <c r="Z149" s="35">
        <v>0</v>
      </c>
      <c r="AA149" s="35">
        <v>25.63</v>
      </c>
      <c r="AB149" s="36">
        <f t="shared" si="3"/>
        <v>115.63</v>
      </c>
      <c r="AC149" s="37">
        <v>7</v>
      </c>
      <c r="AD149" s="91"/>
    </row>
    <row r="150" spans="2:30">
      <c r="B150" s="89">
        <v>48092</v>
      </c>
      <c r="C150" s="34" t="s">
        <v>32</v>
      </c>
      <c r="D150" s="35">
        <v>16.12</v>
      </c>
      <c r="E150" s="35">
        <v>9.65</v>
      </c>
      <c r="F150" s="35">
        <v>4.4400000000000004</v>
      </c>
      <c r="G150" s="35">
        <v>5.5</v>
      </c>
      <c r="H150" s="35">
        <v>5.2</v>
      </c>
      <c r="I150" s="35">
        <v>10.67</v>
      </c>
      <c r="J150" s="35">
        <v>0</v>
      </c>
      <c r="K150" s="35">
        <v>0</v>
      </c>
      <c r="L150" s="35">
        <v>9.84</v>
      </c>
      <c r="M150" s="35">
        <v>16.059999999999999</v>
      </c>
      <c r="N150" s="35">
        <v>20.07</v>
      </c>
      <c r="O150" s="35">
        <v>28.94</v>
      </c>
      <c r="P150" s="35">
        <v>29.62</v>
      </c>
      <c r="Q150" s="35">
        <v>23.96</v>
      </c>
      <c r="R150" s="35">
        <v>37.25</v>
      </c>
      <c r="S150" s="35">
        <v>39.51</v>
      </c>
      <c r="T150" s="35">
        <v>40.89</v>
      </c>
      <c r="U150" s="35">
        <v>45.59</v>
      </c>
      <c r="V150" s="35">
        <v>57.45</v>
      </c>
      <c r="W150" s="35">
        <v>63.72</v>
      </c>
      <c r="X150" s="35">
        <v>60.03</v>
      </c>
      <c r="Y150" s="35">
        <v>51.82</v>
      </c>
      <c r="Z150" s="35">
        <v>38.69</v>
      </c>
      <c r="AA150" s="35">
        <v>26.76</v>
      </c>
      <c r="AB150" s="36">
        <f t="shared" si="3"/>
        <v>641.78</v>
      </c>
      <c r="AC150" s="37">
        <v>22</v>
      </c>
      <c r="AD150" s="91">
        <f>+AB150*AC150+AB151*AC151+AB152*AC152</f>
        <v>15915.8</v>
      </c>
    </row>
    <row r="151" spans="2:30">
      <c r="B151" s="89"/>
      <c r="C151" s="34" t="s">
        <v>33</v>
      </c>
      <c r="D151" s="35">
        <v>11.02</v>
      </c>
      <c r="E151" s="35">
        <v>11.36</v>
      </c>
      <c r="F151" s="35">
        <v>2.58</v>
      </c>
      <c r="G151" s="35">
        <v>1.53</v>
      </c>
      <c r="H151" s="35">
        <v>2.4700000000000002</v>
      </c>
      <c r="I151" s="35">
        <v>3.12</v>
      </c>
      <c r="J151" s="35">
        <v>0</v>
      </c>
      <c r="K151" s="35">
        <v>0</v>
      </c>
      <c r="L151" s="35">
        <v>0</v>
      </c>
      <c r="M151" s="35">
        <v>0.96</v>
      </c>
      <c r="N151" s="35">
        <v>3.14</v>
      </c>
      <c r="O151" s="35">
        <v>9.6199999999999992</v>
      </c>
      <c r="P151" s="35">
        <v>10.56</v>
      </c>
      <c r="Q151" s="35">
        <v>10.37</v>
      </c>
      <c r="R151" s="35">
        <v>13.58</v>
      </c>
      <c r="S151" s="35">
        <v>13.14</v>
      </c>
      <c r="T151" s="35">
        <v>13.38</v>
      </c>
      <c r="U151" s="35">
        <v>24</v>
      </c>
      <c r="V151" s="35">
        <v>40.44</v>
      </c>
      <c r="W151" s="35">
        <v>49.69</v>
      </c>
      <c r="X151" s="35">
        <v>41.63</v>
      </c>
      <c r="Y151" s="35">
        <v>32.43</v>
      </c>
      <c r="Z151" s="35">
        <v>25.66</v>
      </c>
      <c r="AA151" s="35">
        <v>19.37</v>
      </c>
      <c r="AB151" s="36">
        <f t="shared" si="3"/>
        <v>340.05</v>
      </c>
      <c r="AC151" s="37">
        <v>4</v>
      </c>
      <c r="AD151" s="91"/>
    </row>
    <row r="152" spans="2:30">
      <c r="B152" s="89"/>
      <c r="C152" s="34" t="s">
        <v>34</v>
      </c>
      <c r="D152" s="35">
        <v>5.44</v>
      </c>
      <c r="E152" s="35">
        <v>5.33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2.4</v>
      </c>
      <c r="S152" s="35">
        <v>2.41</v>
      </c>
      <c r="T152" s="35">
        <v>4.34</v>
      </c>
      <c r="U152" s="35">
        <v>9.3000000000000007</v>
      </c>
      <c r="V152" s="35">
        <v>8.92</v>
      </c>
      <c r="W152" s="35">
        <v>21.14</v>
      </c>
      <c r="X152" s="35">
        <v>16.3</v>
      </c>
      <c r="Y152" s="35">
        <v>12.71</v>
      </c>
      <c r="Z152" s="35">
        <v>0</v>
      </c>
      <c r="AA152" s="35">
        <v>20.82</v>
      </c>
      <c r="AB152" s="36">
        <f t="shared" si="3"/>
        <v>109.11</v>
      </c>
      <c r="AC152" s="37">
        <v>4</v>
      </c>
      <c r="AD152" s="91"/>
    </row>
    <row r="153" spans="2:30">
      <c r="B153" s="89">
        <v>48122</v>
      </c>
      <c r="C153" s="34" t="s">
        <v>32</v>
      </c>
      <c r="D153" s="35">
        <v>14.34</v>
      </c>
      <c r="E153" s="35">
        <v>9.1300000000000008</v>
      </c>
      <c r="F153" s="35">
        <v>4.3499999999999996</v>
      </c>
      <c r="G153" s="35">
        <v>4.55</v>
      </c>
      <c r="H153" s="35">
        <v>3.97</v>
      </c>
      <c r="I153" s="35">
        <v>8.58</v>
      </c>
      <c r="J153" s="35">
        <v>0</v>
      </c>
      <c r="K153" s="35">
        <v>0</v>
      </c>
      <c r="L153" s="35">
        <v>8.69</v>
      </c>
      <c r="M153" s="35">
        <v>14.85</v>
      </c>
      <c r="N153" s="35">
        <v>19.55</v>
      </c>
      <c r="O153" s="35">
        <v>29.14</v>
      </c>
      <c r="P153" s="35">
        <v>31.21</v>
      </c>
      <c r="Q153" s="35">
        <v>24.91</v>
      </c>
      <c r="R153" s="35">
        <v>36.619999999999997</v>
      </c>
      <c r="S153" s="35">
        <v>37.93</v>
      </c>
      <c r="T153" s="35">
        <v>39.1</v>
      </c>
      <c r="U153" s="35">
        <v>44.45</v>
      </c>
      <c r="V153" s="35">
        <v>55.61</v>
      </c>
      <c r="W153" s="35">
        <v>61.24</v>
      </c>
      <c r="X153" s="35">
        <v>56.94</v>
      </c>
      <c r="Y153" s="35">
        <v>49.49</v>
      </c>
      <c r="Z153" s="35">
        <v>37.450000000000003</v>
      </c>
      <c r="AA153" s="35">
        <v>26.67</v>
      </c>
      <c r="AB153" s="36">
        <f t="shared" si="3"/>
        <v>618.77</v>
      </c>
      <c r="AC153" s="37">
        <v>22</v>
      </c>
      <c r="AD153" s="91">
        <f>+AB153*AC153+AB154*AC154+AB155*AC155</f>
        <v>15700.54</v>
      </c>
    </row>
    <row r="154" spans="2:30">
      <c r="B154" s="89"/>
      <c r="C154" s="34" t="s">
        <v>33</v>
      </c>
      <c r="D154" s="35">
        <v>11.47</v>
      </c>
      <c r="E154" s="35">
        <v>10.61</v>
      </c>
      <c r="F154" s="35">
        <v>2.11</v>
      </c>
      <c r="G154" s="35">
        <v>1.83</v>
      </c>
      <c r="H154" s="35">
        <v>2.52</v>
      </c>
      <c r="I154" s="35">
        <v>2.76</v>
      </c>
      <c r="J154" s="35">
        <v>0</v>
      </c>
      <c r="K154" s="35">
        <v>0</v>
      </c>
      <c r="L154" s="35">
        <v>0</v>
      </c>
      <c r="M154" s="35">
        <v>1.24</v>
      </c>
      <c r="N154" s="35">
        <v>4.47</v>
      </c>
      <c r="O154" s="35">
        <v>12.49</v>
      </c>
      <c r="P154" s="35">
        <v>12.88</v>
      </c>
      <c r="Q154" s="35">
        <v>11.75</v>
      </c>
      <c r="R154" s="35">
        <v>14.97</v>
      </c>
      <c r="S154" s="35">
        <v>13.22</v>
      </c>
      <c r="T154" s="35">
        <v>13.54</v>
      </c>
      <c r="U154" s="35">
        <v>24.4</v>
      </c>
      <c r="V154" s="35">
        <v>40.29</v>
      </c>
      <c r="W154" s="35">
        <v>49.73</v>
      </c>
      <c r="X154" s="35">
        <v>42.06</v>
      </c>
      <c r="Y154" s="35">
        <v>32.21</v>
      </c>
      <c r="Z154" s="35">
        <v>25.53</v>
      </c>
      <c r="AA154" s="35">
        <v>20.37</v>
      </c>
      <c r="AB154" s="36">
        <f t="shared" si="3"/>
        <v>350.45</v>
      </c>
      <c r="AC154" s="37">
        <v>4</v>
      </c>
      <c r="AD154" s="91"/>
    </row>
    <row r="155" spans="2:30">
      <c r="B155" s="89"/>
      <c r="C155" s="34" t="s">
        <v>34</v>
      </c>
      <c r="D155" s="35">
        <v>8.11</v>
      </c>
      <c r="E155" s="35">
        <v>11.31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1.61</v>
      </c>
      <c r="R155" s="35">
        <v>3.97</v>
      </c>
      <c r="S155" s="35">
        <v>2.0499999999999998</v>
      </c>
      <c r="T155" s="35">
        <v>4.5199999999999996</v>
      </c>
      <c r="U155" s="35">
        <v>17.149999999999999</v>
      </c>
      <c r="V155" s="35">
        <v>11.39</v>
      </c>
      <c r="W155" s="35">
        <v>21.07</v>
      </c>
      <c r="X155" s="35">
        <v>19.71</v>
      </c>
      <c r="Y155" s="35">
        <v>14.73</v>
      </c>
      <c r="Z155" s="35">
        <v>0</v>
      </c>
      <c r="AA155" s="35">
        <v>21.54</v>
      </c>
      <c r="AB155" s="36">
        <f t="shared" si="3"/>
        <v>137.16</v>
      </c>
      <c r="AC155" s="37">
        <v>5</v>
      </c>
      <c r="AD155" s="91"/>
    </row>
    <row r="156" spans="2:30">
      <c r="B156" s="89">
        <v>48153</v>
      </c>
      <c r="C156" s="34" t="s">
        <v>32</v>
      </c>
      <c r="D156" s="35">
        <v>13.44</v>
      </c>
      <c r="E156" s="35">
        <v>8.3000000000000007</v>
      </c>
      <c r="F156" s="35">
        <v>3.57</v>
      </c>
      <c r="G156" s="35">
        <v>3.97</v>
      </c>
      <c r="H156" s="35">
        <v>3.22</v>
      </c>
      <c r="I156" s="35">
        <v>8.07</v>
      </c>
      <c r="J156" s="35">
        <v>0</v>
      </c>
      <c r="K156" s="35">
        <v>0</v>
      </c>
      <c r="L156" s="35">
        <v>7.89</v>
      </c>
      <c r="M156" s="35">
        <v>14.27</v>
      </c>
      <c r="N156" s="35">
        <v>18.2</v>
      </c>
      <c r="O156" s="35">
        <v>26.6</v>
      </c>
      <c r="P156" s="35">
        <v>28.02</v>
      </c>
      <c r="Q156" s="35">
        <v>22.72</v>
      </c>
      <c r="R156" s="35">
        <v>35.68</v>
      </c>
      <c r="S156" s="35">
        <v>37.76</v>
      </c>
      <c r="T156" s="35">
        <v>39.03</v>
      </c>
      <c r="U156" s="35">
        <v>44.3</v>
      </c>
      <c r="V156" s="35">
        <v>55.47</v>
      </c>
      <c r="W156" s="35">
        <v>60.88</v>
      </c>
      <c r="X156" s="35">
        <v>56.45</v>
      </c>
      <c r="Y156" s="35">
        <v>48.72</v>
      </c>
      <c r="Z156" s="35">
        <v>36.61</v>
      </c>
      <c r="AA156" s="35">
        <v>25.59</v>
      </c>
      <c r="AB156" s="36">
        <f t="shared" si="3"/>
        <v>598.76</v>
      </c>
      <c r="AC156" s="37">
        <v>18</v>
      </c>
      <c r="AD156" s="91">
        <f>+AB156*AC156+AB157*AC157+AB158*AC158</f>
        <v>13478.14</v>
      </c>
    </row>
    <row r="157" spans="2:30">
      <c r="B157" s="89"/>
      <c r="C157" s="34" t="s">
        <v>33</v>
      </c>
      <c r="D157" s="35">
        <v>11.47</v>
      </c>
      <c r="E157" s="35">
        <v>10.36</v>
      </c>
      <c r="F157" s="35">
        <v>1.8</v>
      </c>
      <c r="G157" s="35">
        <v>1.5</v>
      </c>
      <c r="H157" s="35">
        <v>2.37</v>
      </c>
      <c r="I157" s="35">
        <v>3.58</v>
      </c>
      <c r="J157" s="35">
        <v>0</v>
      </c>
      <c r="K157" s="35">
        <v>0</v>
      </c>
      <c r="L157" s="35">
        <v>0</v>
      </c>
      <c r="M157" s="35">
        <v>1.19</v>
      </c>
      <c r="N157" s="35">
        <v>3.13</v>
      </c>
      <c r="O157" s="35">
        <v>10.8</v>
      </c>
      <c r="P157" s="35">
        <v>10.28</v>
      </c>
      <c r="Q157" s="35">
        <v>9.5399999999999991</v>
      </c>
      <c r="R157" s="35">
        <v>15.3</v>
      </c>
      <c r="S157" s="35">
        <v>14.21</v>
      </c>
      <c r="T157" s="35">
        <v>14.23</v>
      </c>
      <c r="U157" s="35">
        <v>24.53</v>
      </c>
      <c r="V157" s="35">
        <v>40.03</v>
      </c>
      <c r="W157" s="35">
        <v>50.66</v>
      </c>
      <c r="X157" s="35">
        <v>40.04</v>
      </c>
      <c r="Y157" s="35">
        <v>32.18</v>
      </c>
      <c r="Z157" s="35">
        <v>25.29</v>
      </c>
      <c r="AA157" s="35">
        <v>19.809999999999999</v>
      </c>
      <c r="AB157" s="36">
        <f t="shared" si="3"/>
        <v>342.3</v>
      </c>
      <c r="AC157" s="37">
        <v>5</v>
      </c>
      <c r="AD157" s="91"/>
    </row>
    <row r="158" spans="2:30">
      <c r="B158" s="89"/>
      <c r="C158" s="34" t="s">
        <v>34</v>
      </c>
      <c r="D158" s="35">
        <v>4.3899999999999997</v>
      </c>
      <c r="E158" s="35">
        <v>3.94</v>
      </c>
      <c r="F158" s="35">
        <v>0</v>
      </c>
      <c r="G158" s="35">
        <v>0</v>
      </c>
      <c r="H158" s="35">
        <v>0.37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0.61</v>
      </c>
      <c r="R158" s="35">
        <v>4.37</v>
      </c>
      <c r="S158" s="35">
        <v>2.36</v>
      </c>
      <c r="T158" s="35">
        <v>5.12</v>
      </c>
      <c r="U158" s="35">
        <v>17.39</v>
      </c>
      <c r="V158" s="35">
        <v>12.07</v>
      </c>
      <c r="W158" s="35">
        <v>23.7</v>
      </c>
      <c r="X158" s="35">
        <v>22.3</v>
      </c>
      <c r="Y158" s="35">
        <v>20.079999999999998</v>
      </c>
      <c r="Z158" s="35">
        <v>2.58</v>
      </c>
      <c r="AA158" s="35">
        <v>22</v>
      </c>
      <c r="AB158" s="36">
        <f t="shared" si="3"/>
        <v>141.28</v>
      </c>
      <c r="AC158" s="37">
        <v>7</v>
      </c>
      <c r="AD158" s="91"/>
    </row>
    <row r="159" spans="2:30">
      <c r="B159" s="89">
        <v>48183</v>
      </c>
      <c r="C159" s="34" t="s">
        <v>32</v>
      </c>
      <c r="D159" s="35">
        <v>16.28</v>
      </c>
      <c r="E159" s="35">
        <v>10.44</v>
      </c>
      <c r="F159" s="35">
        <v>6</v>
      </c>
      <c r="G159" s="35">
        <v>5.32</v>
      </c>
      <c r="H159" s="35">
        <v>5.65</v>
      </c>
      <c r="I159" s="35">
        <v>9.02</v>
      </c>
      <c r="J159" s="35">
        <v>0</v>
      </c>
      <c r="K159" s="35">
        <v>0</v>
      </c>
      <c r="L159" s="35">
        <v>9.3699999999999992</v>
      </c>
      <c r="M159" s="35">
        <v>14.98</v>
      </c>
      <c r="N159" s="35">
        <v>18.59</v>
      </c>
      <c r="O159" s="35">
        <v>26.99</v>
      </c>
      <c r="P159" s="35">
        <v>28.6</v>
      </c>
      <c r="Q159" s="35">
        <v>23.87</v>
      </c>
      <c r="R159" s="35">
        <v>34.549999999999997</v>
      </c>
      <c r="S159" s="35">
        <v>38.049999999999997</v>
      </c>
      <c r="T159" s="35">
        <v>40.19</v>
      </c>
      <c r="U159" s="35">
        <v>44.48</v>
      </c>
      <c r="V159" s="35">
        <v>57.37</v>
      </c>
      <c r="W159" s="35">
        <v>64.989999999999995</v>
      </c>
      <c r="X159" s="35">
        <v>61.02</v>
      </c>
      <c r="Y159" s="35">
        <v>53.08</v>
      </c>
      <c r="Z159" s="35">
        <v>41</v>
      </c>
      <c r="AA159" s="35">
        <v>29.02</v>
      </c>
      <c r="AB159" s="36">
        <f t="shared" si="3"/>
        <v>638.86</v>
      </c>
      <c r="AC159" s="37">
        <v>21</v>
      </c>
      <c r="AD159" s="91">
        <f>+AB159*AC159+AB160*AC160+AB161*AC161</f>
        <v>15611.86</v>
      </c>
    </row>
    <row r="160" spans="2:30">
      <c r="B160" s="89"/>
      <c r="C160" s="34" t="s">
        <v>33</v>
      </c>
      <c r="D160" s="35">
        <v>10.8</v>
      </c>
      <c r="E160" s="35">
        <v>10.68</v>
      </c>
      <c r="F160" s="35">
        <v>1.71</v>
      </c>
      <c r="G160" s="35">
        <v>1.08</v>
      </c>
      <c r="H160" s="35">
        <v>3.01</v>
      </c>
      <c r="I160" s="35">
        <v>5.55</v>
      </c>
      <c r="J160" s="35">
        <v>0</v>
      </c>
      <c r="K160" s="35">
        <v>0</v>
      </c>
      <c r="L160" s="35">
        <v>0</v>
      </c>
      <c r="M160" s="35">
        <v>0.15</v>
      </c>
      <c r="N160" s="35">
        <v>2.19</v>
      </c>
      <c r="O160" s="35">
        <v>10.34</v>
      </c>
      <c r="P160" s="35">
        <v>8.93</v>
      </c>
      <c r="Q160" s="35">
        <v>7.06</v>
      </c>
      <c r="R160" s="35">
        <v>13.48</v>
      </c>
      <c r="S160" s="35">
        <v>12.65</v>
      </c>
      <c r="T160" s="35">
        <v>13.36</v>
      </c>
      <c r="U160" s="35">
        <v>24.45</v>
      </c>
      <c r="V160" s="35">
        <v>39.770000000000003</v>
      </c>
      <c r="W160" s="35">
        <v>49.37</v>
      </c>
      <c r="X160" s="35">
        <v>37.72</v>
      </c>
      <c r="Y160" s="35">
        <v>31.99</v>
      </c>
      <c r="Z160" s="35">
        <v>24.96</v>
      </c>
      <c r="AA160" s="35">
        <v>25.14</v>
      </c>
      <c r="AB160" s="36">
        <f t="shared" si="3"/>
        <v>334.39</v>
      </c>
      <c r="AC160" s="37">
        <v>4</v>
      </c>
      <c r="AD160" s="91"/>
    </row>
    <row r="161" spans="2:31">
      <c r="B161" s="89"/>
      <c r="C161" s="34" t="s">
        <v>34</v>
      </c>
      <c r="D161" s="35">
        <v>8.86</v>
      </c>
      <c r="E161" s="35">
        <v>13.02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0.11</v>
      </c>
      <c r="R161" s="35">
        <v>2.68</v>
      </c>
      <c r="S161" s="35">
        <v>0.98</v>
      </c>
      <c r="T161" s="35">
        <v>3.52</v>
      </c>
      <c r="U161" s="35">
        <v>16.760000000000002</v>
      </c>
      <c r="V161" s="35">
        <v>8.8699999999999992</v>
      </c>
      <c r="W161" s="35">
        <v>21.65</v>
      </c>
      <c r="X161" s="35">
        <v>20.65</v>
      </c>
      <c r="Y161" s="35">
        <v>20.65</v>
      </c>
      <c r="Z161" s="35">
        <v>0.81</v>
      </c>
      <c r="AA161" s="35">
        <v>24.48</v>
      </c>
      <c r="AB161" s="36">
        <f t="shared" si="3"/>
        <v>143.04</v>
      </c>
      <c r="AC161" s="37">
        <v>6</v>
      </c>
      <c r="AD161" s="91"/>
    </row>
    <row r="162" spans="2:31"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86" t="s">
        <v>35</v>
      </c>
      <c r="AB162" s="87"/>
      <c r="AC162" s="88"/>
      <c r="AD162" s="39">
        <f>SUM(AD126:AD161)</f>
        <v>168175.67</v>
      </c>
    </row>
    <row r="163" spans="2:31"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</row>
    <row r="164" spans="2:31" ht="23.25">
      <c r="B164" s="30" t="s">
        <v>81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40"/>
      <c r="AC164" s="40"/>
      <c r="AD164" s="38"/>
    </row>
    <row r="165" spans="2:31">
      <c r="B165" s="32" t="s">
        <v>3</v>
      </c>
      <c r="C165" s="32" t="s">
        <v>4</v>
      </c>
      <c r="D165" s="32" t="s">
        <v>5</v>
      </c>
      <c r="E165" s="32" t="s">
        <v>6</v>
      </c>
      <c r="F165" s="32" t="s">
        <v>7</v>
      </c>
      <c r="G165" s="32" t="s">
        <v>8</v>
      </c>
      <c r="H165" s="32" t="s">
        <v>9</v>
      </c>
      <c r="I165" s="32" t="s">
        <v>10</v>
      </c>
      <c r="J165" s="32" t="s">
        <v>11</v>
      </c>
      <c r="K165" s="32" t="s">
        <v>12</v>
      </c>
      <c r="L165" s="32" t="s">
        <v>13</v>
      </c>
      <c r="M165" s="32" t="s">
        <v>14</v>
      </c>
      <c r="N165" s="32" t="s">
        <v>15</v>
      </c>
      <c r="O165" s="32" t="s">
        <v>16</v>
      </c>
      <c r="P165" s="32" t="s">
        <v>17</v>
      </c>
      <c r="Q165" s="32" t="s">
        <v>18</v>
      </c>
      <c r="R165" s="32" t="s">
        <v>19</v>
      </c>
      <c r="S165" s="32" t="s">
        <v>20</v>
      </c>
      <c r="T165" s="32" t="s">
        <v>21</v>
      </c>
      <c r="U165" s="32" t="s">
        <v>22</v>
      </c>
      <c r="V165" s="32" t="s">
        <v>23</v>
      </c>
      <c r="W165" s="32" t="s">
        <v>24</v>
      </c>
      <c r="X165" s="32" t="s">
        <v>25</v>
      </c>
      <c r="Y165" s="32" t="s">
        <v>26</v>
      </c>
      <c r="Z165" s="32" t="s">
        <v>27</v>
      </c>
      <c r="AA165" s="32" t="s">
        <v>28</v>
      </c>
      <c r="AB165" s="33" t="s">
        <v>29</v>
      </c>
      <c r="AC165" s="33" t="s">
        <v>30</v>
      </c>
      <c r="AD165" s="32" t="s">
        <v>31</v>
      </c>
    </row>
    <row r="166" spans="2:31">
      <c r="B166" s="89">
        <v>48214</v>
      </c>
      <c r="C166" s="34" t="s">
        <v>32</v>
      </c>
      <c r="D166" s="35">
        <v>16.64</v>
      </c>
      <c r="E166" s="35">
        <v>8.77</v>
      </c>
      <c r="F166" s="35">
        <v>5.0599999999999996</v>
      </c>
      <c r="G166" s="35">
        <v>3.79</v>
      </c>
      <c r="H166" s="35">
        <v>4.46</v>
      </c>
      <c r="I166" s="35">
        <v>8.85</v>
      </c>
      <c r="J166" s="35">
        <v>0</v>
      </c>
      <c r="K166" s="35">
        <v>0</v>
      </c>
      <c r="L166" s="35">
        <v>10.68</v>
      </c>
      <c r="M166" s="35">
        <v>16.010000000000002</v>
      </c>
      <c r="N166" s="35">
        <v>20.41</v>
      </c>
      <c r="O166" s="35">
        <v>30.96</v>
      </c>
      <c r="P166" s="35">
        <v>33.71</v>
      </c>
      <c r="Q166" s="35">
        <v>29.44</v>
      </c>
      <c r="R166" s="35">
        <v>38.92</v>
      </c>
      <c r="S166" s="35">
        <v>41.34</v>
      </c>
      <c r="T166" s="35">
        <v>43.17</v>
      </c>
      <c r="U166" s="35">
        <v>47.89</v>
      </c>
      <c r="V166" s="35">
        <v>66.34</v>
      </c>
      <c r="W166" s="35">
        <v>63</v>
      </c>
      <c r="X166" s="35">
        <v>66.13</v>
      </c>
      <c r="Y166" s="35">
        <v>57.62</v>
      </c>
      <c r="Z166" s="35">
        <v>44.03</v>
      </c>
      <c r="AA166" s="35">
        <v>29.85</v>
      </c>
      <c r="AB166" s="36">
        <f>SUM(D166:AA166)</f>
        <v>687.07</v>
      </c>
      <c r="AC166" s="37">
        <v>20</v>
      </c>
      <c r="AD166" s="91">
        <f>+AB166*AC166+AB167*AC167+AB168*AC168</f>
        <v>16892.580000000002</v>
      </c>
    </row>
    <row r="167" spans="2:31">
      <c r="B167" s="89"/>
      <c r="C167" s="34" t="s">
        <v>33</v>
      </c>
      <c r="D167" s="35">
        <v>21.91</v>
      </c>
      <c r="E167" s="35">
        <v>17.27</v>
      </c>
      <c r="F167" s="35">
        <v>3.73</v>
      </c>
      <c r="G167" s="35">
        <v>4.93</v>
      </c>
      <c r="H167" s="35">
        <v>6.99</v>
      </c>
      <c r="I167" s="35">
        <v>4.5599999999999996</v>
      </c>
      <c r="J167" s="35">
        <v>0</v>
      </c>
      <c r="K167" s="35">
        <v>0</v>
      </c>
      <c r="L167" s="35">
        <v>1.01</v>
      </c>
      <c r="M167" s="35">
        <v>2.02</v>
      </c>
      <c r="N167" s="35">
        <v>4.07</v>
      </c>
      <c r="O167" s="35">
        <v>10.77</v>
      </c>
      <c r="P167" s="35">
        <v>13.83</v>
      </c>
      <c r="Q167" s="35">
        <v>9.1300000000000008</v>
      </c>
      <c r="R167" s="35">
        <v>16.809999999999999</v>
      </c>
      <c r="S167" s="35">
        <v>17.329999999999998</v>
      </c>
      <c r="T167" s="35">
        <v>15.21</v>
      </c>
      <c r="U167" s="35">
        <v>25.68</v>
      </c>
      <c r="V167" s="35">
        <v>49.05</v>
      </c>
      <c r="W167" s="35">
        <v>48.15</v>
      </c>
      <c r="X167" s="35">
        <v>43.43</v>
      </c>
      <c r="Y167" s="35">
        <v>38.729999999999997</v>
      </c>
      <c r="Z167" s="35">
        <v>33.89</v>
      </c>
      <c r="AA167" s="35">
        <v>21.86</v>
      </c>
      <c r="AB167" s="36">
        <f t="shared" ref="AB167:AB201" si="4">SUM(D167:AA167)</f>
        <v>410.36</v>
      </c>
      <c r="AC167" s="37">
        <v>5</v>
      </c>
      <c r="AD167" s="91"/>
    </row>
    <row r="168" spans="2:31">
      <c r="B168" s="89"/>
      <c r="C168" s="34" t="s">
        <v>34</v>
      </c>
      <c r="D168" s="35">
        <v>11.6</v>
      </c>
      <c r="E168" s="35">
        <v>7.67</v>
      </c>
      <c r="F168" s="35">
        <v>2.62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2.74</v>
      </c>
      <c r="R168" s="35">
        <v>4.3099999999999996</v>
      </c>
      <c r="S168" s="35">
        <v>2.71</v>
      </c>
      <c r="T168" s="35">
        <v>3.35</v>
      </c>
      <c r="U168" s="35">
        <v>0.12</v>
      </c>
      <c r="V168" s="35">
        <v>10.87</v>
      </c>
      <c r="W168" s="35">
        <v>23.49</v>
      </c>
      <c r="X168" s="35">
        <v>26.13</v>
      </c>
      <c r="Y168" s="35">
        <v>21.2</v>
      </c>
      <c r="Z168" s="35">
        <v>38.78</v>
      </c>
      <c r="AA168" s="35">
        <v>27.64</v>
      </c>
      <c r="AB168" s="36">
        <f t="shared" si="4"/>
        <v>183.23</v>
      </c>
      <c r="AC168" s="37">
        <v>6</v>
      </c>
      <c r="AD168" s="91"/>
    </row>
    <row r="169" spans="2:31">
      <c r="B169" s="89">
        <v>48245</v>
      </c>
      <c r="C169" s="34" t="s">
        <v>32</v>
      </c>
      <c r="D169" s="35">
        <v>14.49</v>
      </c>
      <c r="E169" s="35">
        <v>4.2300000000000004</v>
      </c>
      <c r="F169" s="35">
        <v>0</v>
      </c>
      <c r="G169" s="35">
        <v>0.23</v>
      </c>
      <c r="H169" s="35">
        <v>0</v>
      </c>
      <c r="I169" s="35">
        <v>6.03</v>
      </c>
      <c r="J169" s="35">
        <v>0</v>
      </c>
      <c r="K169" s="35">
        <v>0</v>
      </c>
      <c r="L169" s="35">
        <v>7.41</v>
      </c>
      <c r="M169" s="35">
        <v>15.32</v>
      </c>
      <c r="N169" s="35">
        <v>19.66</v>
      </c>
      <c r="O169" s="35">
        <v>29.98</v>
      </c>
      <c r="P169" s="35">
        <v>31.78</v>
      </c>
      <c r="Q169" s="35">
        <v>25.72</v>
      </c>
      <c r="R169" s="35">
        <v>36.58</v>
      </c>
      <c r="S169" s="35">
        <v>37.049999999999997</v>
      </c>
      <c r="T169" s="35">
        <v>38.270000000000003</v>
      </c>
      <c r="U169" s="35">
        <v>42.8</v>
      </c>
      <c r="V169" s="35">
        <v>60.08</v>
      </c>
      <c r="W169" s="35">
        <v>55.03</v>
      </c>
      <c r="X169" s="35">
        <v>56.77</v>
      </c>
      <c r="Y169" s="35">
        <v>48.58</v>
      </c>
      <c r="Z169" s="35">
        <v>36.659999999999997</v>
      </c>
      <c r="AA169" s="35">
        <v>23.16</v>
      </c>
      <c r="AB169" s="36">
        <f t="shared" si="4"/>
        <v>589.83000000000004</v>
      </c>
      <c r="AC169" s="37">
        <v>20</v>
      </c>
      <c r="AD169" s="91">
        <f>+AB169*AC169+AB170*AC170+AB171*AC171</f>
        <v>14305.85</v>
      </c>
    </row>
    <row r="170" spans="2:31">
      <c r="B170" s="89"/>
      <c r="C170" s="34" t="s">
        <v>33</v>
      </c>
      <c r="D170" s="35">
        <v>17.23</v>
      </c>
      <c r="E170" s="35">
        <v>13</v>
      </c>
      <c r="F170" s="35">
        <v>1.06</v>
      </c>
      <c r="G170" s="35">
        <v>0.53</v>
      </c>
      <c r="H170" s="35">
        <v>3.22</v>
      </c>
      <c r="I170" s="35">
        <v>2.09</v>
      </c>
      <c r="J170" s="35">
        <v>0</v>
      </c>
      <c r="K170" s="35">
        <v>0</v>
      </c>
      <c r="L170" s="35">
        <v>0</v>
      </c>
      <c r="M170" s="35">
        <v>3.16</v>
      </c>
      <c r="N170" s="35">
        <v>4.68</v>
      </c>
      <c r="O170" s="35">
        <v>11.7</v>
      </c>
      <c r="P170" s="35">
        <v>14.86</v>
      </c>
      <c r="Q170" s="35">
        <v>12.21</v>
      </c>
      <c r="R170" s="35">
        <v>17.89</v>
      </c>
      <c r="S170" s="35">
        <v>17.059999999999999</v>
      </c>
      <c r="T170" s="35">
        <v>16.45</v>
      </c>
      <c r="U170" s="35">
        <v>25.18</v>
      </c>
      <c r="V170" s="35">
        <v>49.79</v>
      </c>
      <c r="W170" s="35">
        <v>46</v>
      </c>
      <c r="X170" s="35">
        <v>42.71</v>
      </c>
      <c r="Y170" s="35">
        <v>37.56</v>
      </c>
      <c r="Z170" s="35">
        <v>33.840000000000003</v>
      </c>
      <c r="AA170" s="35">
        <v>23.88</v>
      </c>
      <c r="AB170" s="36">
        <f t="shared" si="4"/>
        <v>394.1</v>
      </c>
      <c r="AC170" s="37">
        <v>4</v>
      </c>
      <c r="AD170" s="91"/>
    </row>
    <row r="171" spans="2:31">
      <c r="B171" s="89"/>
      <c r="C171" s="34" t="s">
        <v>34</v>
      </c>
      <c r="D171" s="35">
        <v>9.9499999999999993</v>
      </c>
      <c r="E171" s="35">
        <v>8</v>
      </c>
      <c r="F171" s="35">
        <v>1.58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3.64</v>
      </c>
      <c r="R171" s="35">
        <v>4.24</v>
      </c>
      <c r="S171" s="35">
        <v>5.22</v>
      </c>
      <c r="T171" s="35">
        <v>6.41</v>
      </c>
      <c r="U171" s="35">
        <v>1.2</v>
      </c>
      <c r="V171" s="35">
        <v>16.71</v>
      </c>
      <c r="W171" s="35">
        <v>28.02</v>
      </c>
      <c r="X171" s="35">
        <v>26.33</v>
      </c>
      <c r="Y171" s="35">
        <v>21.52</v>
      </c>
      <c r="Z171" s="35">
        <v>31.4</v>
      </c>
      <c r="AA171" s="35">
        <v>22.35</v>
      </c>
      <c r="AB171" s="36">
        <f t="shared" si="4"/>
        <v>186.57</v>
      </c>
      <c r="AC171" s="37">
        <v>5</v>
      </c>
      <c r="AD171" s="91"/>
    </row>
    <row r="172" spans="2:31">
      <c r="B172" s="89">
        <v>48274</v>
      </c>
      <c r="C172" s="34" t="s">
        <v>32</v>
      </c>
      <c r="D172" s="35">
        <v>15.62</v>
      </c>
      <c r="E172" s="35">
        <v>5.5</v>
      </c>
      <c r="F172" s="35">
        <v>0.95</v>
      </c>
      <c r="G172" s="35">
        <v>1.19</v>
      </c>
      <c r="H172" s="35">
        <v>0.77</v>
      </c>
      <c r="I172" s="35">
        <v>7.88</v>
      </c>
      <c r="J172" s="35">
        <v>0</v>
      </c>
      <c r="K172" s="35">
        <v>0</v>
      </c>
      <c r="L172" s="35">
        <v>9.19</v>
      </c>
      <c r="M172" s="35">
        <v>16.84</v>
      </c>
      <c r="N172" s="35">
        <v>21.04</v>
      </c>
      <c r="O172" s="35">
        <v>30</v>
      </c>
      <c r="P172" s="35">
        <v>31.34</v>
      </c>
      <c r="Q172" s="35">
        <v>25.84</v>
      </c>
      <c r="R172" s="35">
        <v>37.630000000000003</v>
      </c>
      <c r="S172" s="35">
        <v>38.9</v>
      </c>
      <c r="T172" s="35">
        <v>40.090000000000003</v>
      </c>
      <c r="U172" s="35">
        <v>45.17</v>
      </c>
      <c r="V172" s="35">
        <v>61.46</v>
      </c>
      <c r="W172" s="35">
        <v>56.7</v>
      </c>
      <c r="X172" s="35">
        <v>58.75</v>
      </c>
      <c r="Y172" s="35">
        <v>50.61</v>
      </c>
      <c r="Z172" s="35">
        <v>38.26</v>
      </c>
      <c r="AA172" s="35">
        <v>24.72</v>
      </c>
      <c r="AB172" s="36">
        <f t="shared" si="4"/>
        <v>618.45000000000005</v>
      </c>
      <c r="AC172" s="37">
        <v>20</v>
      </c>
      <c r="AD172" s="91">
        <f>+AB172*AC172+AB173*AC173+AB174*AC174</f>
        <v>15227.24</v>
      </c>
    </row>
    <row r="173" spans="2:31">
      <c r="B173" s="89"/>
      <c r="C173" s="34" t="s">
        <v>33</v>
      </c>
      <c r="D173" s="35">
        <v>16.739999999999998</v>
      </c>
      <c r="E173" s="35">
        <v>5.96</v>
      </c>
      <c r="F173" s="35">
        <v>0.61</v>
      </c>
      <c r="G173" s="35">
        <v>0</v>
      </c>
      <c r="H173" s="35">
        <v>1.71</v>
      </c>
      <c r="I173" s="35">
        <v>0.99</v>
      </c>
      <c r="J173" s="35">
        <v>0</v>
      </c>
      <c r="K173" s="35">
        <v>0</v>
      </c>
      <c r="L173" s="35">
        <v>0</v>
      </c>
      <c r="M173" s="35">
        <v>3.98</v>
      </c>
      <c r="N173" s="35">
        <v>5.52</v>
      </c>
      <c r="O173" s="35">
        <v>11.46</v>
      </c>
      <c r="P173" s="35">
        <v>14.8</v>
      </c>
      <c r="Q173" s="35">
        <v>13.7</v>
      </c>
      <c r="R173" s="35">
        <v>17.52</v>
      </c>
      <c r="S173" s="35">
        <v>16.93</v>
      </c>
      <c r="T173" s="35">
        <v>16.989999999999998</v>
      </c>
      <c r="U173" s="35">
        <v>24.88</v>
      </c>
      <c r="V173" s="35">
        <v>50.95</v>
      </c>
      <c r="W173" s="35">
        <v>44.96</v>
      </c>
      <c r="X173" s="35">
        <v>41.2</v>
      </c>
      <c r="Y173" s="35">
        <v>36.67</v>
      </c>
      <c r="Z173" s="35">
        <v>33.79</v>
      </c>
      <c r="AA173" s="35">
        <v>12.76</v>
      </c>
      <c r="AB173" s="36">
        <f t="shared" si="4"/>
        <v>372.12</v>
      </c>
      <c r="AC173" s="37">
        <v>4</v>
      </c>
      <c r="AD173" s="91"/>
    </row>
    <row r="174" spans="2:31">
      <c r="B174" s="89"/>
      <c r="C174" s="34" t="s">
        <v>34</v>
      </c>
      <c r="D174" s="35">
        <v>9.75</v>
      </c>
      <c r="E174" s="35">
        <v>7.05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3.36</v>
      </c>
      <c r="R174" s="35">
        <v>4.3600000000000003</v>
      </c>
      <c r="S174" s="35">
        <v>5.62</v>
      </c>
      <c r="T174" s="35">
        <v>8.82</v>
      </c>
      <c r="U174" s="35">
        <v>3.68</v>
      </c>
      <c r="V174" s="35">
        <v>21.33</v>
      </c>
      <c r="W174" s="35">
        <v>28.08</v>
      </c>
      <c r="X174" s="35">
        <v>29.83</v>
      </c>
      <c r="Y174" s="35">
        <v>25.6</v>
      </c>
      <c r="Z174" s="35">
        <v>28</v>
      </c>
      <c r="AA174" s="35">
        <v>20.2</v>
      </c>
      <c r="AB174" s="36">
        <f t="shared" si="4"/>
        <v>195.68</v>
      </c>
      <c r="AC174" s="37">
        <v>7</v>
      </c>
      <c r="AD174" s="91"/>
    </row>
    <row r="175" spans="2:31">
      <c r="B175" s="89">
        <v>48305</v>
      </c>
      <c r="C175" s="34" t="s">
        <v>32</v>
      </c>
      <c r="D175" s="35">
        <v>15.62</v>
      </c>
      <c r="E175" s="35">
        <v>7.64</v>
      </c>
      <c r="F175" s="35">
        <v>2.52</v>
      </c>
      <c r="G175" s="35">
        <v>2.1800000000000002</v>
      </c>
      <c r="H175" s="35">
        <v>2.09</v>
      </c>
      <c r="I175" s="35">
        <v>7.78</v>
      </c>
      <c r="J175" s="35">
        <v>0</v>
      </c>
      <c r="K175" s="35">
        <v>0</v>
      </c>
      <c r="L175" s="35">
        <v>9.24</v>
      </c>
      <c r="M175" s="35">
        <v>16.77</v>
      </c>
      <c r="N175" s="35">
        <v>20.7</v>
      </c>
      <c r="O175" s="35">
        <v>31.95</v>
      </c>
      <c r="P175" s="35">
        <v>33.979999999999997</v>
      </c>
      <c r="Q175" s="35">
        <v>28.1</v>
      </c>
      <c r="R175" s="35">
        <v>39.979999999999997</v>
      </c>
      <c r="S175" s="35">
        <v>41.55</v>
      </c>
      <c r="T175" s="35">
        <v>42.99</v>
      </c>
      <c r="U175" s="35">
        <v>47.31</v>
      </c>
      <c r="V175" s="35">
        <v>63.89</v>
      </c>
      <c r="W175" s="35">
        <v>59.17</v>
      </c>
      <c r="X175" s="35">
        <v>61.41</v>
      </c>
      <c r="Y175" s="35">
        <v>53.22</v>
      </c>
      <c r="Z175" s="35">
        <v>41.26</v>
      </c>
      <c r="AA175" s="35">
        <v>26.88</v>
      </c>
      <c r="AB175" s="36">
        <f t="shared" si="4"/>
        <v>656.23</v>
      </c>
      <c r="AC175" s="37">
        <v>22</v>
      </c>
      <c r="AD175" s="91">
        <f>+AB175*AC175+AB176*AC176+AB177*AC177</f>
        <v>16251.02</v>
      </c>
    </row>
    <row r="176" spans="2:31">
      <c r="B176" s="89"/>
      <c r="C176" s="34" t="s">
        <v>33</v>
      </c>
      <c r="D176" s="35">
        <v>14.28</v>
      </c>
      <c r="E176" s="35">
        <v>12.65</v>
      </c>
      <c r="F176" s="35">
        <v>1.48</v>
      </c>
      <c r="G176" s="35">
        <v>0.98</v>
      </c>
      <c r="H176" s="35">
        <v>0</v>
      </c>
      <c r="I176" s="35">
        <v>0.21</v>
      </c>
      <c r="J176" s="35">
        <v>0</v>
      </c>
      <c r="K176" s="35">
        <v>0</v>
      </c>
      <c r="L176" s="35">
        <v>0</v>
      </c>
      <c r="M176" s="35">
        <v>4.03</v>
      </c>
      <c r="N176" s="35">
        <v>5.27</v>
      </c>
      <c r="O176" s="35">
        <v>11.66</v>
      </c>
      <c r="P176" s="35">
        <v>16.57</v>
      </c>
      <c r="Q176" s="35">
        <v>13.97</v>
      </c>
      <c r="R176" s="35">
        <v>17.78</v>
      </c>
      <c r="S176" s="35">
        <v>19.13</v>
      </c>
      <c r="T176" s="35">
        <v>17.5</v>
      </c>
      <c r="U176" s="35">
        <v>26.92</v>
      </c>
      <c r="V176" s="35">
        <v>49.37</v>
      </c>
      <c r="W176" s="35">
        <v>44.47</v>
      </c>
      <c r="X176" s="35">
        <v>41.14</v>
      </c>
      <c r="Y176" s="35">
        <v>36.89</v>
      </c>
      <c r="Z176" s="35">
        <v>34.03</v>
      </c>
      <c r="AA176" s="35">
        <v>8.3699999999999992</v>
      </c>
      <c r="AB176" s="36">
        <f t="shared" si="4"/>
        <v>376.7</v>
      </c>
      <c r="AC176" s="37">
        <v>4</v>
      </c>
      <c r="AD176" s="91"/>
    </row>
    <row r="177" spans="2:30">
      <c r="B177" s="89"/>
      <c r="C177" s="34" t="s">
        <v>34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  <c r="U177" s="35">
        <v>0</v>
      </c>
      <c r="V177" s="35">
        <v>12.85</v>
      </c>
      <c r="W177" s="35">
        <v>12.77</v>
      </c>
      <c r="X177" s="35">
        <v>11.92</v>
      </c>
      <c r="Y177" s="35">
        <v>4.4000000000000004</v>
      </c>
      <c r="Z177" s="35">
        <v>15.77</v>
      </c>
      <c r="AA177" s="35">
        <v>19.079999999999998</v>
      </c>
      <c r="AB177" s="36">
        <f t="shared" si="4"/>
        <v>76.790000000000006</v>
      </c>
      <c r="AC177" s="37">
        <v>4</v>
      </c>
      <c r="AD177" s="91"/>
    </row>
    <row r="178" spans="2:30">
      <c r="B178" s="89">
        <v>48335</v>
      </c>
      <c r="C178" s="34" t="s">
        <v>32</v>
      </c>
      <c r="D178" s="35">
        <v>14.04</v>
      </c>
      <c r="E178" s="35">
        <v>6.75</v>
      </c>
      <c r="F178" s="35">
        <v>2.21</v>
      </c>
      <c r="G178" s="35">
        <v>1.83</v>
      </c>
      <c r="H178" s="35">
        <v>1.1000000000000001</v>
      </c>
      <c r="I178" s="35">
        <v>6.42</v>
      </c>
      <c r="J178" s="35">
        <v>0</v>
      </c>
      <c r="K178" s="35">
        <v>0</v>
      </c>
      <c r="L178" s="35">
        <v>8.7799999999999994</v>
      </c>
      <c r="M178" s="35">
        <v>15.93</v>
      </c>
      <c r="N178" s="35">
        <v>20</v>
      </c>
      <c r="O178" s="35">
        <v>30.39</v>
      </c>
      <c r="P178" s="35">
        <v>31.24</v>
      </c>
      <c r="Q178" s="35">
        <v>26.81</v>
      </c>
      <c r="R178" s="35">
        <v>39.74</v>
      </c>
      <c r="S178" s="35">
        <v>41.59</v>
      </c>
      <c r="T178" s="35">
        <v>43.68</v>
      </c>
      <c r="U178" s="35">
        <v>46.57</v>
      </c>
      <c r="V178" s="35">
        <v>63.85</v>
      </c>
      <c r="W178" s="35">
        <v>58.9</v>
      </c>
      <c r="X178" s="35">
        <v>60.45</v>
      </c>
      <c r="Y178" s="35">
        <v>51.81</v>
      </c>
      <c r="Z178" s="35">
        <v>40.69</v>
      </c>
      <c r="AA178" s="35">
        <v>26.68</v>
      </c>
      <c r="AB178" s="36">
        <f t="shared" si="4"/>
        <v>639.46</v>
      </c>
      <c r="AC178" s="37">
        <v>19</v>
      </c>
      <c r="AD178" s="91">
        <f>+AB178*AC178+AB179*AC179+AB180*AC180</f>
        <v>14652.9</v>
      </c>
    </row>
    <row r="179" spans="2:30">
      <c r="B179" s="89"/>
      <c r="C179" s="34" t="s">
        <v>33</v>
      </c>
      <c r="D179" s="35">
        <v>11.03</v>
      </c>
      <c r="E179" s="35">
        <v>10.06</v>
      </c>
      <c r="F179" s="35">
        <v>1.17</v>
      </c>
      <c r="G179" s="35">
        <v>0.41</v>
      </c>
      <c r="H179" s="35">
        <v>1.1100000000000001</v>
      </c>
      <c r="I179" s="35">
        <v>2.38</v>
      </c>
      <c r="J179" s="35">
        <v>0</v>
      </c>
      <c r="K179" s="35">
        <v>0</v>
      </c>
      <c r="L179" s="35">
        <v>0</v>
      </c>
      <c r="M179" s="35">
        <v>2.2999999999999998</v>
      </c>
      <c r="N179" s="35">
        <v>4.8</v>
      </c>
      <c r="O179" s="35">
        <v>10.54</v>
      </c>
      <c r="P179" s="35">
        <v>14.81</v>
      </c>
      <c r="Q179" s="35">
        <v>12.03</v>
      </c>
      <c r="R179" s="35">
        <v>18.62</v>
      </c>
      <c r="S179" s="35">
        <v>19.79</v>
      </c>
      <c r="T179" s="35">
        <v>17.920000000000002</v>
      </c>
      <c r="U179" s="35">
        <v>30.03</v>
      </c>
      <c r="V179" s="35">
        <v>49.28</v>
      </c>
      <c r="W179" s="35">
        <v>44.93</v>
      </c>
      <c r="X179" s="35">
        <v>42.05</v>
      </c>
      <c r="Y179" s="35">
        <v>37.68</v>
      </c>
      <c r="Z179" s="35">
        <v>32.42</v>
      </c>
      <c r="AA179" s="35">
        <v>11.07</v>
      </c>
      <c r="AB179" s="36">
        <f t="shared" si="4"/>
        <v>374.43</v>
      </c>
      <c r="AC179" s="37">
        <v>4</v>
      </c>
      <c r="AD179" s="91"/>
    </row>
    <row r="180" spans="2:30">
      <c r="B180" s="89"/>
      <c r="C180" s="34" t="s">
        <v>34</v>
      </c>
      <c r="D180" s="35">
        <v>3.74</v>
      </c>
      <c r="E180" s="35">
        <v>7.83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  <c r="U180" s="35">
        <v>11.45</v>
      </c>
      <c r="V180" s="35">
        <v>11.45</v>
      </c>
      <c r="W180" s="35">
        <v>14.07</v>
      </c>
      <c r="X180" s="35">
        <v>16.440000000000001</v>
      </c>
      <c r="Y180" s="35">
        <v>11.98</v>
      </c>
      <c r="Z180" s="35">
        <v>24.56</v>
      </c>
      <c r="AA180" s="35">
        <v>24.16</v>
      </c>
      <c r="AB180" s="36">
        <f t="shared" si="4"/>
        <v>125.68</v>
      </c>
      <c r="AC180" s="37">
        <v>8</v>
      </c>
      <c r="AD180" s="91"/>
    </row>
    <row r="181" spans="2:30">
      <c r="B181" s="89">
        <v>48366</v>
      </c>
      <c r="C181" s="34" t="s">
        <v>32</v>
      </c>
      <c r="D181" s="35">
        <v>13.06</v>
      </c>
      <c r="E181" s="35">
        <v>7.54</v>
      </c>
      <c r="F181" s="35">
        <v>2.65</v>
      </c>
      <c r="G181" s="35">
        <v>1.71</v>
      </c>
      <c r="H181" s="35">
        <v>1.55</v>
      </c>
      <c r="I181" s="35">
        <v>6.33</v>
      </c>
      <c r="J181" s="35">
        <v>0</v>
      </c>
      <c r="K181" s="35">
        <v>0</v>
      </c>
      <c r="L181" s="35">
        <v>10.3</v>
      </c>
      <c r="M181" s="35">
        <v>17.61</v>
      </c>
      <c r="N181" s="35">
        <v>21.31</v>
      </c>
      <c r="O181" s="35">
        <v>31.79</v>
      </c>
      <c r="P181" s="35">
        <v>33.04</v>
      </c>
      <c r="Q181" s="35">
        <v>28.03</v>
      </c>
      <c r="R181" s="35">
        <v>39.17</v>
      </c>
      <c r="S181" s="35">
        <v>42.14</v>
      </c>
      <c r="T181" s="35">
        <v>43.91</v>
      </c>
      <c r="U181" s="35">
        <v>46.41</v>
      </c>
      <c r="V181" s="35">
        <v>63.6</v>
      </c>
      <c r="W181" s="35">
        <v>59.63</v>
      </c>
      <c r="X181" s="35">
        <v>61.9</v>
      </c>
      <c r="Y181" s="35">
        <v>53.04</v>
      </c>
      <c r="Z181" s="35">
        <v>41.34</v>
      </c>
      <c r="AA181" s="35">
        <v>27.5</v>
      </c>
      <c r="AB181" s="36">
        <f t="shared" si="4"/>
        <v>653.55999999999995</v>
      </c>
      <c r="AC181" s="37">
        <v>21</v>
      </c>
      <c r="AD181" s="91">
        <f>+AB181*AC181+AB182*AC182+AB183*AC183</f>
        <v>15752.46</v>
      </c>
    </row>
    <row r="182" spans="2:30">
      <c r="B182" s="89"/>
      <c r="C182" s="34" t="s">
        <v>33</v>
      </c>
      <c r="D182" s="35">
        <v>10.130000000000001</v>
      </c>
      <c r="E182" s="35">
        <v>12.94</v>
      </c>
      <c r="F182" s="35">
        <v>0.68</v>
      </c>
      <c r="G182" s="35">
        <v>0</v>
      </c>
      <c r="H182" s="35">
        <v>2.4</v>
      </c>
      <c r="I182" s="35">
        <v>2.62</v>
      </c>
      <c r="J182" s="35">
        <v>0</v>
      </c>
      <c r="K182" s="35">
        <v>0</v>
      </c>
      <c r="L182" s="35">
        <v>0</v>
      </c>
      <c r="M182" s="35">
        <v>3.84</v>
      </c>
      <c r="N182" s="35">
        <v>5.2</v>
      </c>
      <c r="O182" s="35">
        <v>11.34</v>
      </c>
      <c r="P182" s="35">
        <v>15.18</v>
      </c>
      <c r="Q182" s="35">
        <v>12.84</v>
      </c>
      <c r="R182" s="35">
        <v>18.23</v>
      </c>
      <c r="S182" s="35">
        <v>18.23</v>
      </c>
      <c r="T182" s="35">
        <v>17.66</v>
      </c>
      <c r="U182" s="35">
        <v>26.3</v>
      </c>
      <c r="V182" s="35">
        <v>50.29</v>
      </c>
      <c r="W182" s="35">
        <v>43.3</v>
      </c>
      <c r="X182" s="35">
        <v>40.92</v>
      </c>
      <c r="Y182" s="35">
        <v>36.67</v>
      </c>
      <c r="Z182" s="35">
        <v>32.51</v>
      </c>
      <c r="AA182" s="35">
        <v>16.37</v>
      </c>
      <c r="AB182" s="36">
        <f t="shared" si="4"/>
        <v>377.65</v>
      </c>
      <c r="AC182" s="37">
        <v>4</v>
      </c>
      <c r="AD182" s="91"/>
    </row>
    <row r="183" spans="2:30">
      <c r="B183" s="89"/>
      <c r="C183" s="34" t="s">
        <v>34</v>
      </c>
      <c r="D183" s="35">
        <v>0</v>
      </c>
      <c r="E183" s="35">
        <v>2.12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  <c r="U183" s="35">
        <v>8.06</v>
      </c>
      <c r="V183" s="35">
        <v>8.06</v>
      </c>
      <c r="W183" s="35">
        <v>13.58</v>
      </c>
      <c r="X183" s="35">
        <v>18.91</v>
      </c>
      <c r="Y183" s="35">
        <v>8.24</v>
      </c>
      <c r="Z183" s="35">
        <v>24.51</v>
      </c>
      <c r="AA183" s="35">
        <v>19.940000000000001</v>
      </c>
      <c r="AB183" s="36">
        <f t="shared" si="4"/>
        <v>103.42</v>
      </c>
      <c r="AC183" s="37">
        <v>5</v>
      </c>
      <c r="AD183" s="91"/>
    </row>
    <row r="184" spans="2:30">
      <c r="B184" s="89">
        <v>48396</v>
      </c>
      <c r="C184" s="34" t="s">
        <v>32</v>
      </c>
      <c r="D184" s="35">
        <v>15.71</v>
      </c>
      <c r="E184" s="35">
        <v>8.9700000000000006</v>
      </c>
      <c r="F184" s="35">
        <v>3.74</v>
      </c>
      <c r="G184" s="35">
        <v>2.91</v>
      </c>
      <c r="H184" s="35">
        <v>2.91</v>
      </c>
      <c r="I184" s="35">
        <v>7.48</v>
      </c>
      <c r="J184" s="35">
        <v>0</v>
      </c>
      <c r="K184" s="35">
        <v>0</v>
      </c>
      <c r="L184" s="35">
        <v>12.37</v>
      </c>
      <c r="M184" s="35">
        <v>18.91</v>
      </c>
      <c r="N184" s="35">
        <v>23.94</v>
      </c>
      <c r="O184" s="35">
        <v>33.520000000000003</v>
      </c>
      <c r="P184" s="35">
        <v>35.18</v>
      </c>
      <c r="Q184" s="35">
        <v>29.75</v>
      </c>
      <c r="R184" s="35">
        <v>41.6</v>
      </c>
      <c r="S184" s="35">
        <v>45.08</v>
      </c>
      <c r="T184" s="35">
        <v>47.32</v>
      </c>
      <c r="U184" s="35">
        <v>50.92</v>
      </c>
      <c r="V184" s="35">
        <v>67.86</v>
      </c>
      <c r="W184" s="35">
        <v>64.02</v>
      </c>
      <c r="X184" s="35">
        <v>66.760000000000005</v>
      </c>
      <c r="Y184" s="35">
        <v>57.53</v>
      </c>
      <c r="Z184" s="35">
        <v>44.3</v>
      </c>
      <c r="AA184" s="35">
        <v>29.33</v>
      </c>
      <c r="AB184" s="36">
        <f t="shared" si="4"/>
        <v>710.11</v>
      </c>
      <c r="AC184" s="37">
        <v>20</v>
      </c>
      <c r="AD184" s="91">
        <f>+AB184*AC184+AB185*AC185+AB186*AC186</f>
        <v>17006.48</v>
      </c>
    </row>
    <row r="185" spans="2:30">
      <c r="B185" s="89"/>
      <c r="C185" s="34" t="s">
        <v>33</v>
      </c>
      <c r="D185" s="35">
        <v>9.68</v>
      </c>
      <c r="E185" s="35">
        <v>13.37</v>
      </c>
      <c r="F185" s="35">
        <v>4.03</v>
      </c>
      <c r="G185" s="35">
        <v>3.11</v>
      </c>
      <c r="H185" s="35">
        <v>2.06</v>
      </c>
      <c r="I185" s="35">
        <v>3.25</v>
      </c>
      <c r="J185" s="35">
        <v>0</v>
      </c>
      <c r="K185" s="35">
        <v>0</v>
      </c>
      <c r="L185" s="35">
        <v>0</v>
      </c>
      <c r="M185" s="35">
        <v>3.13</v>
      </c>
      <c r="N185" s="35">
        <v>5.68</v>
      </c>
      <c r="O185" s="35">
        <v>10.7</v>
      </c>
      <c r="P185" s="35">
        <v>15.02</v>
      </c>
      <c r="Q185" s="35">
        <v>13.11</v>
      </c>
      <c r="R185" s="35">
        <v>17.100000000000001</v>
      </c>
      <c r="S185" s="35">
        <v>16.690000000000001</v>
      </c>
      <c r="T185" s="35">
        <v>17.53</v>
      </c>
      <c r="U185" s="35">
        <v>25.8</v>
      </c>
      <c r="V185" s="35">
        <v>51.47</v>
      </c>
      <c r="W185" s="35">
        <v>44.97</v>
      </c>
      <c r="X185" s="35">
        <v>43.71</v>
      </c>
      <c r="Y185" s="35">
        <v>37.450000000000003</v>
      </c>
      <c r="Z185" s="35">
        <v>33.01</v>
      </c>
      <c r="AA185" s="35">
        <v>24.95</v>
      </c>
      <c r="AB185" s="36">
        <f t="shared" si="4"/>
        <v>395.82</v>
      </c>
      <c r="AC185" s="37">
        <v>5</v>
      </c>
      <c r="AD185" s="91"/>
    </row>
    <row r="186" spans="2:30">
      <c r="B186" s="89"/>
      <c r="C186" s="34" t="s">
        <v>34</v>
      </c>
      <c r="D186" s="35">
        <v>0</v>
      </c>
      <c r="E186" s="35">
        <v>6.74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  <c r="U186" s="35">
        <v>5.15</v>
      </c>
      <c r="V186" s="35">
        <v>11.26</v>
      </c>
      <c r="W186" s="35">
        <v>18.399999999999999</v>
      </c>
      <c r="X186" s="35">
        <v>21.44</v>
      </c>
      <c r="Y186" s="35">
        <v>19.100000000000001</v>
      </c>
      <c r="Z186" s="35">
        <v>29.8</v>
      </c>
      <c r="AA186" s="35">
        <v>25.64</v>
      </c>
      <c r="AB186" s="36">
        <f t="shared" si="4"/>
        <v>137.53</v>
      </c>
      <c r="AC186" s="37">
        <v>6</v>
      </c>
      <c r="AD186" s="91"/>
    </row>
    <row r="187" spans="2:30">
      <c r="B187" s="89">
        <v>48427</v>
      </c>
      <c r="C187" s="34" t="s">
        <v>32</v>
      </c>
      <c r="D187" s="35">
        <v>15.55</v>
      </c>
      <c r="E187" s="35">
        <v>8.5</v>
      </c>
      <c r="F187" s="35">
        <v>2.82</v>
      </c>
      <c r="G187" s="35">
        <v>3.67</v>
      </c>
      <c r="H187" s="35">
        <v>2.95</v>
      </c>
      <c r="I187" s="35">
        <v>9.19</v>
      </c>
      <c r="J187" s="35">
        <v>0</v>
      </c>
      <c r="K187" s="35">
        <v>0</v>
      </c>
      <c r="L187" s="35">
        <v>12.64</v>
      </c>
      <c r="M187" s="35">
        <v>20.47</v>
      </c>
      <c r="N187" s="35">
        <v>25.93</v>
      </c>
      <c r="O187" s="35">
        <v>36.520000000000003</v>
      </c>
      <c r="P187" s="35">
        <v>37.06</v>
      </c>
      <c r="Q187" s="35">
        <v>28.63</v>
      </c>
      <c r="R187" s="35">
        <v>43.03</v>
      </c>
      <c r="S187" s="35">
        <v>45.72</v>
      </c>
      <c r="T187" s="35">
        <v>47.57</v>
      </c>
      <c r="U187" s="35">
        <v>51.71</v>
      </c>
      <c r="V187" s="35">
        <v>68.650000000000006</v>
      </c>
      <c r="W187" s="35">
        <v>63.81</v>
      </c>
      <c r="X187" s="35">
        <v>66.73</v>
      </c>
      <c r="Y187" s="35">
        <v>57.22</v>
      </c>
      <c r="Z187" s="35">
        <v>43.17</v>
      </c>
      <c r="AA187" s="35">
        <v>28.08</v>
      </c>
      <c r="AB187" s="36">
        <f t="shared" si="4"/>
        <v>719.62</v>
      </c>
      <c r="AC187" s="37">
        <v>21</v>
      </c>
      <c r="AD187" s="91">
        <f>+AB187*AC187+AB188*AC188+AB189*AC189</f>
        <v>17380.47</v>
      </c>
    </row>
    <row r="188" spans="2:30">
      <c r="B188" s="89"/>
      <c r="C188" s="34" t="s">
        <v>33</v>
      </c>
      <c r="D188" s="35">
        <v>10.77</v>
      </c>
      <c r="E188" s="35">
        <v>11.23</v>
      </c>
      <c r="F188" s="35">
        <v>1.75</v>
      </c>
      <c r="G188" s="35">
        <v>1.49</v>
      </c>
      <c r="H188" s="35">
        <v>1.38</v>
      </c>
      <c r="I188" s="35">
        <v>3.78</v>
      </c>
      <c r="J188" s="35">
        <v>0</v>
      </c>
      <c r="K188" s="35">
        <v>0</v>
      </c>
      <c r="L188" s="35">
        <v>0</v>
      </c>
      <c r="M188" s="35">
        <v>4.4400000000000004</v>
      </c>
      <c r="N188" s="35">
        <v>7.29</v>
      </c>
      <c r="O188" s="35">
        <v>13.68</v>
      </c>
      <c r="P188" s="35">
        <v>16.47</v>
      </c>
      <c r="Q188" s="35">
        <v>14</v>
      </c>
      <c r="R188" s="35">
        <v>17.420000000000002</v>
      </c>
      <c r="S188" s="35">
        <v>17.39</v>
      </c>
      <c r="T188" s="35">
        <v>17.440000000000001</v>
      </c>
      <c r="U188" s="35">
        <v>26.24</v>
      </c>
      <c r="V188" s="35">
        <v>51.55</v>
      </c>
      <c r="W188" s="35">
        <v>50</v>
      </c>
      <c r="X188" s="35">
        <v>46.94</v>
      </c>
      <c r="Y188" s="35">
        <v>38.340000000000003</v>
      </c>
      <c r="Z188" s="35">
        <v>33.83</v>
      </c>
      <c r="AA188" s="35">
        <v>22.82</v>
      </c>
      <c r="AB188" s="36">
        <f t="shared" si="4"/>
        <v>408.25</v>
      </c>
      <c r="AC188" s="37">
        <v>3</v>
      </c>
      <c r="AD188" s="91"/>
    </row>
    <row r="189" spans="2:30">
      <c r="B189" s="89"/>
      <c r="C189" s="34" t="s">
        <v>34</v>
      </c>
      <c r="D189" s="35">
        <v>0</v>
      </c>
      <c r="E189" s="35">
        <v>5.33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  <c r="U189" s="35">
        <v>10.64</v>
      </c>
      <c r="V189" s="35">
        <v>16.07</v>
      </c>
      <c r="W189" s="35">
        <v>20.52</v>
      </c>
      <c r="X189" s="35">
        <v>21.5</v>
      </c>
      <c r="Y189" s="35">
        <v>21.53</v>
      </c>
      <c r="Z189" s="35">
        <v>25.68</v>
      </c>
      <c r="AA189" s="35">
        <v>27.83</v>
      </c>
      <c r="AB189" s="36">
        <f t="shared" si="4"/>
        <v>149.1</v>
      </c>
      <c r="AC189" s="37">
        <v>7</v>
      </c>
      <c r="AD189" s="91"/>
    </row>
    <row r="190" spans="2:30">
      <c r="B190" s="89">
        <v>48458</v>
      </c>
      <c r="C190" s="34" t="s">
        <v>32</v>
      </c>
      <c r="D190" s="35">
        <v>17.46</v>
      </c>
      <c r="E190" s="35">
        <v>9.89</v>
      </c>
      <c r="F190" s="35">
        <v>3.79</v>
      </c>
      <c r="G190" s="35">
        <v>5.04</v>
      </c>
      <c r="H190" s="35">
        <v>4.68</v>
      </c>
      <c r="I190" s="35">
        <v>11.08</v>
      </c>
      <c r="J190" s="35">
        <v>0</v>
      </c>
      <c r="K190" s="35">
        <v>0</v>
      </c>
      <c r="L190" s="35">
        <v>15.12</v>
      </c>
      <c r="M190" s="35">
        <v>22.47</v>
      </c>
      <c r="N190" s="35">
        <v>27.23</v>
      </c>
      <c r="O190" s="35">
        <v>37.630000000000003</v>
      </c>
      <c r="P190" s="35">
        <v>38.4</v>
      </c>
      <c r="Q190" s="35">
        <v>31.74</v>
      </c>
      <c r="R190" s="35">
        <v>47.29</v>
      </c>
      <c r="S190" s="35">
        <v>49.9</v>
      </c>
      <c r="T190" s="35">
        <v>51.47</v>
      </c>
      <c r="U190" s="35">
        <v>55.22</v>
      </c>
      <c r="V190" s="35">
        <v>72.09</v>
      </c>
      <c r="W190" s="35">
        <v>66.39</v>
      </c>
      <c r="X190" s="35">
        <v>69.650000000000006</v>
      </c>
      <c r="Y190" s="35">
        <v>60.03</v>
      </c>
      <c r="Z190" s="35">
        <v>45.24</v>
      </c>
      <c r="AA190" s="35">
        <v>29.4</v>
      </c>
      <c r="AB190" s="36">
        <f t="shared" si="4"/>
        <v>771.21</v>
      </c>
      <c r="AC190" s="37">
        <v>22</v>
      </c>
      <c r="AD190" s="91">
        <f>+AB190*AC190+AB191*AC191+AB192*AC192</f>
        <v>19228.38</v>
      </c>
    </row>
    <row r="191" spans="2:30">
      <c r="B191" s="89"/>
      <c r="C191" s="34" t="s">
        <v>33</v>
      </c>
      <c r="D191" s="35">
        <v>11.5</v>
      </c>
      <c r="E191" s="35">
        <v>11.89</v>
      </c>
      <c r="F191" s="35">
        <v>1.62</v>
      </c>
      <c r="G191" s="35">
        <v>0.38</v>
      </c>
      <c r="H191" s="35">
        <v>1.48</v>
      </c>
      <c r="I191" s="35">
        <v>2.2400000000000002</v>
      </c>
      <c r="J191" s="35">
        <v>0</v>
      </c>
      <c r="K191" s="35">
        <v>0</v>
      </c>
      <c r="L191" s="35">
        <v>0</v>
      </c>
      <c r="M191" s="35">
        <v>4.79</v>
      </c>
      <c r="N191" s="35">
        <v>7.39</v>
      </c>
      <c r="O191" s="35">
        <v>15.01</v>
      </c>
      <c r="P191" s="35">
        <v>16.079999999999998</v>
      </c>
      <c r="Q191" s="35">
        <v>15.83</v>
      </c>
      <c r="R191" s="35">
        <v>19.57</v>
      </c>
      <c r="S191" s="35">
        <v>19.02</v>
      </c>
      <c r="T191" s="35">
        <v>19.25</v>
      </c>
      <c r="U191" s="35">
        <v>26.63</v>
      </c>
      <c r="V191" s="35">
        <v>51.28</v>
      </c>
      <c r="W191" s="35">
        <v>52.29</v>
      </c>
      <c r="X191" s="35">
        <v>48.82</v>
      </c>
      <c r="Y191" s="35">
        <v>38.04</v>
      </c>
      <c r="Z191" s="35">
        <v>33.99</v>
      </c>
      <c r="AA191" s="35">
        <v>20.73</v>
      </c>
      <c r="AB191" s="36">
        <f t="shared" si="4"/>
        <v>417.83</v>
      </c>
      <c r="AC191" s="37">
        <v>4</v>
      </c>
      <c r="AD191" s="91"/>
    </row>
    <row r="192" spans="2:30">
      <c r="B192" s="89"/>
      <c r="C192" s="34" t="s">
        <v>34</v>
      </c>
      <c r="D192" s="35">
        <v>4.97</v>
      </c>
      <c r="E192" s="35">
        <v>4.83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  <c r="U192" s="35">
        <v>17.82</v>
      </c>
      <c r="V192" s="35">
        <v>17.82</v>
      </c>
      <c r="W192" s="35">
        <v>24.06</v>
      </c>
      <c r="X192" s="35">
        <v>21.15</v>
      </c>
      <c r="Y192" s="35">
        <v>16.95</v>
      </c>
      <c r="Z192" s="35">
        <v>17.57</v>
      </c>
      <c r="AA192" s="35">
        <v>22.44</v>
      </c>
      <c r="AB192" s="36">
        <f t="shared" si="4"/>
        <v>147.61000000000001</v>
      </c>
      <c r="AC192" s="37">
        <v>4</v>
      </c>
      <c r="AD192" s="91"/>
    </row>
    <row r="193" spans="2:32">
      <c r="B193" s="89">
        <v>48488</v>
      </c>
      <c r="C193" s="34" t="s">
        <v>32</v>
      </c>
      <c r="D193" s="35">
        <v>15.39</v>
      </c>
      <c r="E193" s="35">
        <v>9.2899999999999991</v>
      </c>
      <c r="F193" s="35">
        <v>3.7</v>
      </c>
      <c r="G193" s="35">
        <v>3.93</v>
      </c>
      <c r="H193" s="35">
        <v>3.25</v>
      </c>
      <c r="I193" s="35">
        <v>8.65</v>
      </c>
      <c r="J193" s="35">
        <v>0</v>
      </c>
      <c r="K193" s="35">
        <v>0</v>
      </c>
      <c r="L193" s="35">
        <v>13.77</v>
      </c>
      <c r="M193" s="35">
        <v>21.06</v>
      </c>
      <c r="N193" s="35">
        <v>26.62</v>
      </c>
      <c r="O193" s="35">
        <v>37.880000000000003</v>
      </c>
      <c r="P193" s="35">
        <v>40.28</v>
      </c>
      <c r="Q193" s="35">
        <v>32.86</v>
      </c>
      <c r="R193" s="35">
        <v>46.57</v>
      </c>
      <c r="S193" s="35">
        <v>48.06</v>
      </c>
      <c r="T193" s="35">
        <v>49.38</v>
      </c>
      <c r="U193" s="35">
        <v>53.03</v>
      </c>
      <c r="V193" s="35">
        <v>69.77</v>
      </c>
      <c r="W193" s="35">
        <v>63.79</v>
      </c>
      <c r="X193" s="35">
        <v>66.040000000000006</v>
      </c>
      <c r="Y193" s="35">
        <v>57.31</v>
      </c>
      <c r="Z193" s="35">
        <v>44.65</v>
      </c>
      <c r="AA193" s="35">
        <v>29.29</v>
      </c>
      <c r="AB193" s="36">
        <f t="shared" si="4"/>
        <v>744.57</v>
      </c>
      <c r="AC193" s="37">
        <v>20</v>
      </c>
      <c r="AD193" s="91">
        <f>+AB193*AC193+AB194*AC194+AB195*AC195</f>
        <v>18127.560000000001</v>
      </c>
    </row>
    <row r="194" spans="2:32">
      <c r="B194" s="89"/>
      <c r="C194" s="34" t="s">
        <v>33</v>
      </c>
      <c r="D194" s="35">
        <v>12.03</v>
      </c>
      <c r="E194" s="35">
        <v>11.02</v>
      </c>
      <c r="F194" s="35">
        <v>1.07</v>
      </c>
      <c r="G194" s="35">
        <v>0.74</v>
      </c>
      <c r="H194" s="35">
        <v>1.55</v>
      </c>
      <c r="I194" s="35">
        <v>1.82</v>
      </c>
      <c r="J194" s="35">
        <v>0</v>
      </c>
      <c r="K194" s="35">
        <v>0</v>
      </c>
      <c r="L194" s="35">
        <v>0</v>
      </c>
      <c r="M194" s="35">
        <v>5.12</v>
      </c>
      <c r="N194" s="35">
        <v>8.9700000000000006</v>
      </c>
      <c r="O194" s="35">
        <v>18.37</v>
      </c>
      <c r="P194" s="35">
        <v>18.82</v>
      </c>
      <c r="Q194" s="35">
        <v>17.440000000000001</v>
      </c>
      <c r="R194" s="35">
        <v>21.2</v>
      </c>
      <c r="S194" s="35">
        <v>19.12</v>
      </c>
      <c r="T194" s="35">
        <v>19.440000000000001</v>
      </c>
      <c r="U194" s="35">
        <v>27.02</v>
      </c>
      <c r="V194" s="35">
        <v>51.09</v>
      </c>
      <c r="W194" s="35">
        <v>52.33</v>
      </c>
      <c r="X194" s="35">
        <v>49.33</v>
      </c>
      <c r="Y194" s="35">
        <v>37.799999999999997</v>
      </c>
      <c r="Z194" s="35">
        <v>33.94</v>
      </c>
      <c r="AA194" s="35">
        <v>21.92</v>
      </c>
      <c r="AB194" s="36">
        <f t="shared" si="4"/>
        <v>430.14</v>
      </c>
      <c r="AC194" s="37">
        <v>5</v>
      </c>
      <c r="AD194" s="91"/>
    </row>
    <row r="195" spans="2:32">
      <c r="B195" s="89"/>
      <c r="C195" s="34" t="s">
        <v>34</v>
      </c>
      <c r="D195" s="35">
        <v>8.09</v>
      </c>
      <c r="E195" s="35">
        <v>11.84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2.36</v>
      </c>
      <c r="Q195" s="35">
        <v>5.58</v>
      </c>
      <c r="R195" s="35">
        <v>8.32</v>
      </c>
      <c r="S195" s="35">
        <v>6.04</v>
      </c>
      <c r="T195" s="35">
        <v>8.8800000000000008</v>
      </c>
      <c r="U195" s="35">
        <v>0.3</v>
      </c>
      <c r="V195" s="35">
        <v>15.88</v>
      </c>
      <c r="W195" s="35">
        <v>23.45</v>
      </c>
      <c r="X195" s="35">
        <v>24.53</v>
      </c>
      <c r="Y195" s="35">
        <v>18.7</v>
      </c>
      <c r="Z195" s="35">
        <v>23.66</v>
      </c>
      <c r="AA195" s="35">
        <v>23.28</v>
      </c>
      <c r="AB195" s="36">
        <f t="shared" si="4"/>
        <v>180.91</v>
      </c>
      <c r="AC195" s="37">
        <v>6</v>
      </c>
      <c r="AD195" s="91"/>
    </row>
    <row r="196" spans="2:32">
      <c r="B196" s="89">
        <v>48519</v>
      </c>
      <c r="C196" s="34" t="s">
        <v>32</v>
      </c>
      <c r="D196" s="35">
        <v>14.33</v>
      </c>
      <c r="E196" s="35">
        <v>8.31</v>
      </c>
      <c r="F196" s="35">
        <v>2.77</v>
      </c>
      <c r="G196" s="35">
        <v>3.25</v>
      </c>
      <c r="H196" s="35">
        <v>2.36</v>
      </c>
      <c r="I196" s="35">
        <v>8.0399999999999991</v>
      </c>
      <c r="J196" s="35">
        <v>0</v>
      </c>
      <c r="K196" s="35">
        <v>0</v>
      </c>
      <c r="L196" s="35">
        <v>12.83</v>
      </c>
      <c r="M196" s="35">
        <v>20.38</v>
      </c>
      <c r="N196" s="35">
        <v>25.04</v>
      </c>
      <c r="O196" s="35">
        <v>34.89</v>
      </c>
      <c r="P196" s="35">
        <v>36.53</v>
      </c>
      <c r="Q196" s="35">
        <v>30.29</v>
      </c>
      <c r="R196" s="35">
        <v>45.47</v>
      </c>
      <c r="S196" s="35">
        <v>47.87</v>
      </c>
      <c r="T196" s="35">
        <v>49.29</v>
      </c>
      <c r="U196" s="35">
        <v>52.66</v>
      </c>
      <c r="V196" s="35">
        <v>69.59</v>
      </c>
      <c r="W196" s="35">
        <v>63.41</v>
      </c>
      <c r="X196" s="35">
        <v>65.45</v>
      </c>
      <c r="Y196" s="35">
        <v>56.41</v>
      </c>
      <c r="Z196" s="35">
        <v>43.85</v>
      </c>
      <c r="AA196" s="35">
        <v>28.02</v>
      </c>
      <c r="AB196" s="36">
        <f t="shared" si="4"/>
        <v>721.04</v>
      </c>
      <c r="AC196" s="37">
        <v>20</v>
      </c>
      <c r="AD196" s="91">
        <f>+AB196*AC196+AB197*AC197+AB198*AC198</f>
        <v>17214.3</v>
      </c>
    </row>
    <row r="197" spans="2:32">
      <c r="B197" s="89"/>
      <c r="C197" s="34" t="s">
        <v>33</v>
      </c>
      <c r="D197" s="35">
        <v>12.02</v>
      </c>
      <c r="E197" s="35">
        <v>10.72</v>
      </c>
      <c r="F197" s="35">
        <v>0.7</v>
      </c>
      <c r="G197" s="35">
        <v>0.35</v>
      </c>
      <c r="H197" s="35">
        <v>1.37</v>
      </c>
      <c r="I197" s="35">
        <v>2.79</v>
      </c>
      <c r="J197" s="35">
        <v>0</v>
      </c>
      <c r="K197" s="35">
        <v>0</v>
      </c>
      <c r="L197" s="35">
        <v>0</v>
      </c>
      <c r="M197" s="35">
        <v>5.0599999999999996</v>
      </c>
      <c r="N197" s="35">
        <v>7.39</v>
      </c>
      <c r="O197" s="35">
        <v>16.39</v>
      </c>
      <c r="P197" s="35">
        <v>15.77</v>
      </c>
      <c r="Q197" s="35">
        <v>14.85</v>
      </c>
      <c r="R197" s="35">
        <v>21.6</v>
      </c>
      <c r="S197" s="35">
        <v>20.28</v>
      </c>
      <c r="T197" s="35">
        <v>20.25</v>
      </c>
      <c r="U197" s="35">
        <v>27.19</v>
      </c>
      <c r="V197" s="35">
        <v>50.76</v>
      </c>
      <c r="W197" s="35">
        <v>53.31</v>
      </c>
      <c r="X197" s="35">
        <v>46.95</v>
      </c>
      <c r="Y197" s="35">
        <v>37.75</v>
      </c>
      <c r="Z197" s="35">
        <v>33.630000000000003</v>
      </c>
      <c r="AA197" s="35">
        <v>21.25</v>
      </c>
      <c r="AB197" s="36">
        <f t="shared" si="4"/>
        <v>420.38</v>
      </c>
      <c r="AC197" s="37">
        <v>4</v>
      </c>
      <c r="AD197" s="91"/>
    </row>
    <row r="198" spans="2:32">
      <c r="B198" s="89"/>
      <c r="C198" s="34" t="s">
        <v>34</v>
      </c>
      <c r="D198" s="35">
        <v>3.73</v>
      </c>
      <c r="E198" s="35">
        <v>3.21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0.32</v>
      </c>
      <c r="Q198" s="35">
        <v>4.4000000000000004</v>
      </c>
      <c r="R198" s="35">
        <v>8.8000000000000007</v>
      </c>
      <c r="S198" s="35">
        <v>6.4</v>
      </c>
      <c r="T198" s="35">
        <v>9.58</v>
      </c>
      <c r="U198" s="35">
        <v>1.69</v>
      </c>
      <c r="V198" s="35">
        <v>17.21</v>
      </c>
      <c r="W198" s="35">
        <v>26.65</v>
      </c>
      <c r="X198" s="35">
        <v>28.05</v>
      </c>
      <c r="Y198" s="35">
        <v>25.45</v>
      </c>
      <c r="Z198" s="35">
        <v>26.03</v>
      </c>
      <c r="AA198" s="35">
        <v>23.81</v>
      </c>
      <c r="AB198" s="36">
        <f t="shared" si="4"/>
        <v>185.33</v>
      </c>
      <c r="AC198" s="37">
        <v>6</v>
      </c>
      <c r="AD198" s="91"/>
    </row>
    <row r="199" spans="2:32">
      <c r="B199" s="89">
        <v>48549</v>
      </c>
      <c r="C199" s="34" t="s">
        <v>32</v>
      </c>
      <c r="D199" s="35">
        <v>17.38</v>
      </c>
      <c r="E199" s="35">
        <v>10.53</v>
      </c>
      <c r="F199" s="35">
        <v>5.34</v>
      </c>
      <c r="G199" s="35">
        <v>4.55</v>
      </c>
      <c r="H199" s="35">
        <v>4.93</v>
      </c>
      <c r="I199" s="35">
        <v>8.8800000000000008</v>
      </c>
      <c r="J199" s="35">
        <v>0</v>
      </c>
      <c r="K199" s="35">
        <v>0</v>
      </c>
      <c r="L199" s="35">
        <v>14.24</v>
      </c>
      <c r="M199" s="35">
        <v>20.89</v>
      </c>
      <c r="N199" s="35">
        <v>25.16</v>
      </c>
      <c r="O199" s="35">
        <v>35.020000000000003</v>
      </c>
      <c r="P199" s="35">
        <v>36.880000000000003</v>
      </c>
      <c r="Q199" s="35">
        <v>31.3</v>
      </c>
      <c r="R199" s="35">
        <v>43.8</v>
      </c>
      <c r="S199" s="35">
        <v>47.87</v>
      </c>
      <c r="T199" s="35">
        <v>50.33</v>
      </c>
      <c r="U199" s="35">
        <v>53.87</v>
      </c>
      <c r="V199" s="35">
        <v>71.64</v>
      </c>
      <c r="W199" s="35">
        <v>67.400000000000006</v>
      </c>
      <c r="X199" s="35">
        <v>70.45</v>
      </c>
      <c r="Y199" s="35">
        <v>61.15</v>
      </c>
      <c r="Z199" s="35">
        <v>47.39</v>
      </c>
      <c r="AA199" s="35">
        <v>31.79</v>
      </c>
      <c r="AB199" s="36">
        <f t="shared" si="4"/>
        <v>760.79</v>
      </c>
      <c r="AC199" s="37">
        <v>22</v>
      </c>
      <c r="AD199" s="91">
        <f>+AB199*AC199+AB200*AC200+AB201*AC201</f>
        <v>19033.22</v>
      </c>
    </row>
    <row r="200" spans="2:32">
      <c r="B200" s="89"/>
      <c r="C200" s="34" t="s">
        <v>33</v>
      </c>
      <c r="D200" s="35">
        <v>10.97</v>
      </c>
      <c r="E200" s="35">
        <v>10.82</v>
      </c>
      <c r="F200" s="35">
        <v>0.31</v>
      </c>
      <c r="G200" s="35">
        <v>0</v>
      </c>
      <c r="H200" s="35">
        <v>1.84</v>
      </c>
      <c r="I200" s="35">
        <v>4.8099999999999996</v>
      </c>
      <c r="J200" s="35">
        <v>0</v>
      </c>
      <c r="K200" s="35">
        <v>0</v>
      </c>
      <c r="L200" s="35">
        <v>0</v>
      </c>
      <c r="M200" s="35">
        <v>3.51</v>
      </c>
      <c r="N200" s="35">
        <v>5.96</v>
      </c>
      <c r="O200" s="35">
        <v>15.52</v>
      </c>
      <c r="P200" s="35">
        <v>13.85</v>
      </c>
      <c r="Q200" s="35">
        <v>11.61</v>
      </c>
      <c r="R200" s="35">
        <v>19.13</v>
      </c>
      <c r="S200" s="35">
        <v>18.13</v>
      </c>
      <c r="T200" s="35">
        <v>18.899999999999999</v>
      </c>
      <c r="U200" s="35">
        <v>26.68</v>
      </c>
      <c r="V200" s="35">
        <v>49.91</v>
      </c>
      <c r="W200" s="35">
        <v>51.49</v>
      </c>
      <c r="X200" s="35">
        <v>43.72</v>
      </c>
      <c r="Y200" s="35">
        <v>37.01</v>
      </c>
      <c r="Z200" s="35">
        <v>32.9</v>
      </c>
      <c r="AA200" s="35">
        <v>27.25</v>
      </c>
      <c r="AB200" s="36">
        <f t="shared" si="4"/>
        <v>404.32</v>
      </c>
      <c r="AC200" s="37">
        <v>3</v>
      </c>
      <c r="AD200" s="91"/>
    </row>
    <row r="201" spans="2:32">
      <c r="B201" s="89"/>
      <c r="C201" s="34" t="s">
        <v>34</v>
      </c>
      <c r="D201" s="35">
        <v>8.68</v>
      </c>
      <c r="E201" s="35">
        <v>13.56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3.48</v>
      </c>
      <c r="R201" s="35">
        <v>6.49</v>
      </c>
      <c r="S201" s="35">
        <v>4.46</v>
      </c>
      <c r="T201" s="35">
        <v>7.38</v>
      </c>
      <c r="U201" s="35">
        <v>0.02</v>
      </c>
      <c r="V201" s="35">
        <v>12.22</v>
      </c>
      <c r="W201" s="35">
        <v>23.65</v>
      </c>
      <c r="X201" s="35">
        <v>25.18</v>
      </c>
      <c r="Y201" s="35">
        <v>25.17</v>
      </c>
      <c r="Z201" s="35">
        <v>23.71</v>
      </c>
      <c r="AA201" s="35">
        <v>26.48</v>
      </c>
      <c r="AB201" s="36">
        <f t="shared" si="4"/>
        <v>180.48</v>
      </c>
      <c r="AC201" s="37">
        <v>6</v>
      </c>
      <c r="AD201" s="91"/>
    </row>
    <row r="202" spans="2:32"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86" t="s">
        <v>35</v>
      </c>
      <c r="AB202" s="87"/>
      <c r="AC202" s="88"/>
      <c r="AD202" s="39">
        <f>SUM(AD166:AD201)</f>
        <v>201072.46</v>
      </c>
    </row>
    <row r="203" spans="2:32"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</row>
    <row r="204" spans="2:32" ht="23.25">
      <c r="B204" s="41" t="s">
        <v>82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40"/>
      <c r="AC204" s="40"/>
      <c r="AD204" s="38"/>
    </row>
    <row r="205" spans="2:32">
      <c r="B205" s="42" t="s">
        <v>3</v>
      </c>
      <c r="C205" s="42" t="s">
        <v>4</v>
      </c>
      <c r="D205" s="42" t="s">
        <v>5</v>
      </c>
      <c r="E205" s="42" t="s">
        <v>6</v>
      </c>
      <c r="F205" s="42" t="s">
        <v>7</v>
      </c>
      <c r="G205" s="42" t="s">
        <v>8</v>
      </c>
      <c r="H205" s="42" t="s">
        <v>9</v>
      </c>
      <c r="I205" s="42" t="s">
        <v>10</v>
      </c>
      <c r="J205" s="42" t="s">
        <v>11</v>
      </c>
      <c r="K205" s="42" t="s">
        <v>12</v>
      </c>
      <c r="L205" s="42" t="s">
        <v>13</v>
      </c>
      <c r="M205" s="42" t="s">
        <v>14</v>
      </c>
      <c r="N205" s="42" t="s">
        <v>15</v>
      </c>
      <c r="O205" s="42" t="s">
        <v>16</v>
      </c>
      <c r="P205" s="42" t="s">
        <v>17</v>
      </c>
      <c r="Q205" s="42" t="s">
        <v>18</v>
      </c>
      <c r="R205" s="42" t="s">
        <v>19</v>
      </c>
      <c r="S205" s="42" t="s">
        <v>20</v>
      </c>
      <c r="T205" s="42" t="s">
        <v>21</v>
      </c>
      <c r="U205" s="42" t="s">
        <v>22</v>
      </c>
      <c r="V205" s="42" t="s">
        <v>23</v>
      </c>
      <c r="W205" s="42" t="s">
        <v>24</v>
      </c>
      <c r="X205" s="42" t="s">
        <v>25</v>
      </c>
      <c r="Y205" s="42" t="s">
        <v>26</v>
      </c>
      <c r="Z205" s="42" t="s">
        <v>27</v>
      </c>
      <c r="AA205" s="42" t="s">
        <v>28</v>
      </c>
      <c r="AB205" s="36" t="s">
        <v>29</v>
      </c>
      <c r="AC205" s="43" t="s">
        <v>30</v>
      </c>
      <c r="AD205" s="42" t="s">
        <v>31</v>
      </c>
    </row>
    <row r="206" spans="2:32">
      <c r="B206" s="90">
        <v>48580</v>
      </c>
      <c r="C206" s="44" t="s">
        <v>32</v>
      </c>
      <c r="D206" s="35">
        <v>13.85</v>
      </c>
      <c r="E206" s="35">
        <v>6.92</v>
      </c>
      <c r="F206" s="35">
        <v>3.65</v>
      </c>
      <c r="G206" s="35">
        <v>2.54</v>
      </c>
      <c r="H206" s="35">
        <v>3.13</v>
      </c>
      <c r="I206" s="35">
        <v>6.99</v>
      </c>
      <c r="J206" s="35">
        <v>5.73</v>
      </c>
      <c r="K206" s="35">
        <v>3.65</v>
      </c>
      <c r="L206" s="35">
        <v>14.98</v>
      </c>
      <c r="M206" s="35">
        <v>19.5</v>
      </c>
      <c r="N206" s="35">
        <v>23.24</v>
      </c>
      <c r="O206" s="35">
        <v>32.479999999999997</v>
      </c>
      <c r="P206" s="35">
        <v>34.950000000000003</v>
      </c>
      <c r="Q206" s="35">
        <v>31.29</v>
      </c>
      <c r="R206" s="35">
        <v>39.64</v>
      </c>
      <c r="S206" s="35">
        <v>41.87</v>
      </c>
      <c r="T206" s="35">
        <v>43.62</v>
      </c>
      <c r="U206" s="35">
        <v>50.74</v>
      </c>
      <c r="V206" s="35">
        <v>59.25</v>
      </c>
      <c r="W206" s="35">
        <v>62.61</v>
      </c>
      <c r="X206" s="35">
        <v>59.04</v>
      </c>
      <c r="Y206" s="35">
        <v>51.55</v>
      </c>
      <c r="Z206" s="35">
        <v>38.94</v>
      </c>
      <c r="AA206" s="35">
        <v>26.46</v>
      </c>
      <c r="AB206" s="45">
        <f>SUM(D206:AA206)</f>
        <v>676.62</v>
      </c>
      <c r="AC206" s="37">
        <v>19</v>
      </c>
      <c r="AD206" s="92">
        <f>+AB206*AC206+AB207*AC207+AB208*AC208</f>
        <v>16415.62</v>
      </c>
    </row>
    <row r="207" spans="2:32">
      <c r="B207" s="90"/>
      <c r="C207" s="44" t="s">
        <v>33</v>
      </c>
      <c r="D207" s="35">
        <v>18.48</v>
      </c>
      <c r="E207" s="35">
        <v>14.4</v>
      </c>
      <c r="F207" s="35">
        <v>2.48</v>
      </c>
      <c r="G207" s="35">
        <v>3.54</v>
      </c>
      <c r="H207" s="35">
        <v>5.35</v>
      </c>
      <c r="I207" s="35">
        <v>3.22</v>
      </c>
      <c r="J207" s="35">
        <v>0</v>
      </c>
      <c r="K207" s="35">
        <v>0</v>
      </c>
      <c r="L207" s="35">
        <v>6.47</v>
      </c>
      <c r="M207" s="35">
        <v>7.19</v>
      </c>
      <c r="N207" s="35">
        <v>8.86</v>
      </c>
      <c r="O207" s="35">
        <v>14.71</v>
      </c>
      <c r="P207" s="35">
        <v>17.45</v>
      </c>
      <c r="Q207" s="35">
        <v>13.41</v>
      </c>
      <c r="R207" s="35">
        <v>20.190000000000001</v>
      </c>
      <c r="S207" s="35">
        <v>20.74</v>
      </c>
      <c r="T207" s="35">
        <v>19.010000000000002</v>
      </c>
      <c r="U207" s="35">
        <v>33.71</v>
      </c>
      <c r="V207" s="35">
        <v>45.46</v>
      </c>
      <c r="W207" s="35">
        <v>49.51</v>
      </c>
      <c r="X207" s="35">
        <v>40.51</v>
      </c>
      <c r="Y207" s="35">
        <v>37.44</v>
      </c>
      <c r="Z207" s="35">
        <v>30.01</v>
      </c>
      <c r="AA207" s="35">
        <v>19.420000000000002</v>
      </c>
      <c r="AB207" s="45">
        <f t="shared" ref="AB207:AB241" si="5">SUM(D207:AA207)</f>
        <v>431.56</v>
      </c>
      <c r="AC207" s="37">
        <v>4</v>
      </c>
      <c r="AD207" s="92"/>
    </row>
    <row r="208" spans="2:32">
      <c r="B208" s="90"/>
      <c r="C208" s="44" t="s">
        <v>34</v>
      </c>
      <c r="D208" s="35">
        <v>9.41</v>
      </c>
      <c r="E208" s="35">
        <v>5.95</v>
      </c>
      <c r="F208" s="35">
        <v>1.51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0.64</v>
      </c>
      <c r="Q208" s="35">
        <v>3.15</v>
      </c>
      <c r="R208" s="35">
        <v>4.5599999999999996</v>
      </c>
      <c r="S208" s="35">
        <v>3.24</v>
      </c>
      <c r="T208" s="35">
        <v>3.94</v>
      </c>
      <c r="U208" s="35">
        <v>20.88</v>
      </c>
      <c r="V208" s="35">
        <v>22.59</v>
      </c>
      <c r="W208" s="35">
        <v>36.06</v>
      </c>
      <c r="X208" s="35">
        <v>36.020000000000003</v>
      </c>
      <c r="Y208" s="35">
        <v>31.69</v>
      </c>
      <c r="Z208" s="35">
        <v>29.68</v>
      </c>
      <c r="AA208" s="35">
        <v>19.88</v>
      </c>
      <c r="AB208" s="45">
        <f t="shared" si="5"/>
        <v>229.2</v>
      </c>
      <c r="AC208" s="37">
        <v>8</v>
      </c>
      <c r="AD208" s="92"/>
    </row>
    <row r="209" spans="2:30">
      <c r="B209" s="90">
        <v>48611</v>
      </c>
      <c r="C209" s="44" t="s">
        <v>32</v>
      </c>
      <c r="D209" s="35">
        <v>12.17</v>
      </c>
      <c r="E209" s="35">
        <v>3.14</v>
      </c>
      <c r="F209" s="35">
        <v>0</v>
      </c>
      <c r="G209" s="35">
        <v>0</v>
      </c>
      <c r="H209" s="35">
        <v>0</v>
      </c>
      <c r="I209" s="35">
        <v>4.72</v>
      </c>
      <c r="J209" s="35">
        <v>2.0299999999999998</v>
      </c>
      <c r="K209" s="35">
        <v>1.48</v>
      </c>
      <c r="L209" s="35">
        <v>12.32</v>
      </c>
      <c r="M209" s="35">
        <v>19.079999999999998</v>
      </c>
      <c r="N209" s="35">
        <v>22.76</v>
      </c>
      <c r="O209" s="35">
        <v>31.79</v>
      </c>
      <c r="P209" s="35">
        <v>33.42</v>
      </c>
      <c r="Q209" s="35">
        <v>28.19</v>
      </c>
      <c r="R209" s="35">
        <v>37.78</v>
      </c>
      <c r="S209" s="35">
        <v>38.29</v>
      </c>
      <c r="T209" s="35">
        <v>39.51</v>
      </c>
      <c r="U209" s="35">
        <v>47.88</v>
      </c>
      <c r="V209" s="35">
        <v>54.53</v>
      </c>
      <c r="W209" s="35">
        <v>55.61</v>
      </c>
      <c r="X209" s="35">
        <v>51.61</v>
      </c>
      <c r="Y209" s="35">
        <v>45.22</v>
      </c>
      <c r="Z209" s="35">
        <v>32.630000000000003</v>
      </c>
      <c r="AA209" s="35">
        <v>20.75</v>
      </c>
      <c r="AB209" s="45">
        <f t="shared" si="5"/>
        <v>594.91</v>
      </c>
      <c r="AC209" s="37">
        <v>20</v>
      </c>
      <c r="AD209" s="92">
        <f>+AB209*AC209+AB210*AC210+AB211*AC211</f>
        <v>14534.52</v>
      </c>
    </row>
    <row r="210" spans="2:30">
      <c r="B210" s="90"/>
      <c r="C210" s="44" t="s">
        <v>33</v>
      </c>
      <c r="D210" s="35">
        <v>14.58</v>
      </c>
      <c r="E210" s="35">
        <v>10.85</v>
      </c>
      <c r="F210" s="35">
        <v>0.35</v>
      </c>
      <c r="G210" s="35">
        <v>0</v>
      </c>
      <c r="H210" s="35">
        <v>2.25</v>
      </c>
      <c r="I210" s="35">
        <v>1.25</v>
      </c>
      <c r="J210" s="35">
        <v>0</v>
      </c>
      <c r="K210" s="35">
        <v>0</v>
      </c>
      <c r="L210" s="35">
        <v>4.25</v>
      </c>
      <c r="M210" s="35">
        <v>8.3800000000000008</v>
      </c>
      <c r="N210" s="35">
        <v>9.58</v>
      </c>
      <c r="O210" s="35">
        <v>15.7</v>
      </c>
      <c r="P210" s="35">
        <v>18.53</v>
      </c>
      <c r="Q210" s="35">
        <v>16.3</v>
      </c>
      <c r="R210" s="35">
        <v>21.33</v>
      </c>
      <c r="S210" s="35">
        <v>20.7</v>
      </c>
      <c r="T210" s="35">
        <v>20.309999999999999</v>
      </c>
      <c r="U210" s="35">
        <v>33.6</v>
      </c>
      <c r="V210" s="35">
        <v>46.83</v>
      </c>
      <c r="W210" s="35">
        <v>48.11</v>
      </c>
      <c r="X210" s="35">
        <v>40.590000000000003</v>
      </c>
      <c r="Y210" s="35">
        <v>36.74</v>
      </c>
      <c r="Z210" s="35">
        <v>30.15</v>
      </c>
      <c r="AA210" s="35">
        <v>21.39</v>
      </c>
      <c r="AB210" s="45">
        <f t="shared" si="5"/>
        <v>421.77</v>
      </c>
      <c r="AC210" s="37">
        <v>4</v>
      </c>
      <c r="AD210" s="92"/>
    </row>
    <row r="211" spans="2:30">
      <c r="B211" s="90"/>
      <c r="C211" s="44" t="s">
        <v>34</v>
      </c>
      <c r="D211" s="35">
        <v>8.17</v>
      </c>
      <c r="E211" s="35">
        <v>6.45</v>
      </c>
      <c r="F211" s="35">
        <v>0.8</v>
      </c>
      <c r="G211" s="35">
        <v>0</v>
      </c>
      <c r="H211" s="35">
        <v>0</v>
      </c>
      <c r="I211" s="35">
        <v>0</v>
      </c>
      <c r="J211" s="35">
        <v>0.27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1.1499999999999999</v>
      </c>
      <c r="Q211" s="35">
        <v>4.71</v>
      </c>
      <c r="R211" s="35">
        <v>5.26</v>
      </c>
      <c r="S211" s="35">
        <v>6.23</v>
      </c>
      <c r="T211" s="35">
        <v>7.43</v>
      </c>
      <c r="U211" s="35">
        <v>21.57</v>
      </c>
      <c r="V211" s="35">
        <v>27.46</v>
      </c>
      <c r="W211" s="35">
        <v>40.24</v>
      </c>
      <c r="X211" s="35">
        <v>35.93</v>
      </c>
      <c r="Y211" s="35">
        <v>31.7</v>
      </c>
      <c r="Z211" s="35">
        <v>23.95</v>
      </c>
      <c r="AA211" s="35">
        <v>15.99</v>
      </c>
      <c r="AB211" s="45">
        <f t="shared" si="5"/>
        <v>237.31</v>
      </c>
      <c r="AC211" s="37">
        <v>4</v>
      </c>
      <c r="AD211" s="92"/>
    </row>
    <row r="212" spans="2:30">
      <c r="B212" s="90">
        <v>48639</v>
      </c>
      <c r="C212" s="44" t="s">
        <v>32</v>
      </c>
      <c r="D212" s="35">
        <v>13.12</v>
      </c>
      <c r="E212" s="35">
        <v>4.22</v>
      </c>
      <c r="F212" s="35">
        <v>0.21</v>
      </c>
      <c r="G212" s="35">
        <v>0.42</v>
      </c>
      <c r="H212" s="35">
        <v>0.05</v>
      </c>
      <c r="I212" s="35">
        <v>6.32</v>
      </c>
      <c r="J212" s="35">
        <v>3.16</v>
      </c>
      <c r="K212" s="35">
        <v>2.71</v>
      </c>
      <c r="L212" s="35">
        <v>13.86</v>
      </c>
      <c r="M212" s="35">
        <v>20.420000000000002</v>
      </c>
      <c r="N212" s="35">
        <v>23.99</v>
      </c>
      <c r="O212" s="35">
        <v>31.83</v>
      </c>
      <c r="P212" s="35">
        <v>33.06</v>
      </c>
      <c r="Q212" s="35">
        <v>28.31</v>
      </c>
      <c r="R212" s="35">
        <v>38.71</v>
      </c>
      <c r="S212" s="35">
        <v>39.909999999999997</v>
      </c>
      <c r="T212" s="35">
        <v>41.1</v>
      </c>
      <c r="U212" s="35">
        <v>49.27</v>
      </c>
      <c r="V212" s="35">
        <v>55.86</v>
      </c>
      <c r="W212" s="35">
        <v>57.26</v>
      </c>
      <c r="X212" s="35">
        <v>53.48</v>
      </c>
      <c r="Y212" s="35">
        <v>46.32</v>
      </c>
      <c r="Z212" s="35">
        <v>34.01</v>
      </c>
      <c r="AA212" s="35">
        <v>22.09</v>
      </c>
      <c r="AB212" s="45">
        <f t="shared" si="5"/>
        <v>619.69000000000005</v>
      </c>
      <c r="AC212" s="37">
        <v>22</v>
      </c>
      <c r="AD212" s="92">
        <f>+AB212*AC212+AB213*AC213+AB214*AC214</f>
        <v>16307.98</v>
      </c>
    </row>
    <row r="213" spans="2:30">
      <c r="B213" s="90"/>
      <c r="C213" s="44" t="s">
        <v>33</v>
      </c>
      <c r="D213" s="35">
        <v>14.11</v>
      </c>
      <c r="E213" s="35">
        <v>4.62</v>
      </c>
      <c r="F213" s="35">
        <v>0</v>
      </c>
      <c r="G213" s="35">
        <v>0</v>
      </c>
      <c r="H213" s="35">
        <v>0.88</v>
      </c>
      <c r="I213" s="35">
        <v>0.25</v>
      </c>
      <c r="J213" s="35">
        <v>0</v>
      </c>
      <c r="K213" s="35">
        <v>0</v>
      </c>
      <c r="L213" s="35">
        <v>4.3899999999999997</v>
      </c>
      <c r="M213" s="35">
        <v>9.1</v>
      </c>
      <c r="N213" s="35">
        <v>10.33</v>
      </c>
      <c r="O213" s="35">
        <v>15.52</v>
      </c>
      <c r="P213" s="35">
        <v>18.510000000000002</v>
      </c>
      <c r="Q213" s="35">
        <v>17.63</v>
      </c>
      <c r="R213" s="35">
        <v>21.01</v>
      </c>
      <c r="S213" s="35">
        <v>20.58</v>
      </c>
      <c r="T213" s="35">
        <v>20.77</v>
      </c>
      <c r="U213" s="35">
        <v>33.33</v>
      </c>
      <c r="V213" s="35">
        <v>47.52</v>
      </c>
      <c r="W213" s="35">
        <v>46.77</v>
      </c>
      <c r="X213" s="35">
        <v>38.94</v>
      </c>
      <c r="Y213" s="35">
        <v>35.950000000000003</v>
      </c>
      <c r="Z213" s="35">
        <v>30.08</v>
      </c>
      <c r="AA213" s="35">
        <v>11.57</v>
      </c>
      <c r="AB213" s="45">
        <f t="shared" si="5"/>
        <v>401.86</v>
      </c>
      <c r="AC213" s="37">
        <v>3</v>
      </c>
      <c r="AD213" s="92"/>
    </row>
    <row r="214" spans="2:30">
      <c r="B214" s="90"/>
      <c r="C214" s="44" t="s">
        <v>34</v>
      </c>
      <c r="D214" s="35">
        <v>7.96</v>
      </c>
      <c r="E214" s="35">
        <v>5.58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0.81</v>
      </c>
      <c r="Q214" s="35">
        <v>4.4000000000000004</v>
      </c>
      <c r="R214" s="35">
        <v>5.3</v>
      </c>
      <c r="S214" s="35">
        <v>6.5</v>
      </c>
      <c r="T214" s="35">
        <v>9.4499999999999993</v>
      </c>
      <c r="U214" s="35">
        <v>23.78</v>
      </c>
      <c r="V214" s="35">
        <v>31.56</v>
      </c>
      <c r="W214" s="35">
        <v>40.33</v>
      </c>
      <c r="X214" s="35">
        <v>39.04</v>
      </c>
      <c r="Y214" s="35">
        <v>35.32</v>
      </c>
      <c r="Z214" s="35">
        <v>20.85</v>
      </c>
      <c r="AA214" s="35">
        <v>13.99</v>
      </c>
      <c r="AB214" s="45">
        <f t="shared" si="5"/>
        <v>244.87</v>
      </c>
      <c r="AC214" s="37">
        <v>6</v>
      </c>
      <c r="AD214" s="92"/>
    </row>
    <row r="215" spans="2:30">
      <c r="B215" s="90">
        <v>48670</v>
      </c>
      <c r="C215" s="44" t="s">
        <v>32</v>
      </c>
      <c r="D215" s="35">
        <v>12.87</v>
      </c>
      <c r="E215" s="35">
        <v>5.85</v>
      </c>
      <c r="F215" s="35">
        <v>1.34</v>
      </c>
      <c r="G215" s="35">
        <v>1.04</v>
      </c>
      <c r="H215" s="35">
        <v>0.96</v>
      </c>
      <c r="I215" s="35">
        <v>5.97</v>
      </c>
      <c r="J215" s="35">
        <v>2.33</v>
      </c>
      <c r="K215" s="35">
        <v>1.66</v>
      </c>
      <c r="L215" s="35">
        <v>13.62</v>
      </c>
      <c r="M215" s="35">
        <v>20.059999999999999</v>
      </c>
      <c r="N215" s="35">
        <v>23.4</v>
      </c>
      <c r="O215" s="35">
        <v>33.24</v>
      </c>
      <c r="P215" s="35">
        <v>35.07</v>
      </c>
      <c r="Q215" s="35">
        <v>29.99</v>
      </c>
      <c r="R215" s="35">
        <v>40.479999999999997</v>
      </c>
      <c r="S215" s="35">
        <v>41.94</v>
      </c>
      <c r="T215" s="35">
        <v>43.35</v>
      </c>
      <c r="U215" s="35">
        <v>51.2</v>
      </c>
      <c r="V215" s="35">
        <v>58.05</v>
      </c>
      <c r="W215" s="35">
        <v>59.84</v>
      </c>
      <c r="X215" s="35">
        <v>55.86</v>
      </c>
      <c r="Y215" s="35">
        <v>48.66</v>
      </c>
      <c r="Z215" s="35">
        <v>36.43</v>
      </c>
      <c r="AA215" s="35">
        <v>23.77</v>
      </c>
      <c r="AB215" s="45">
        <f t="shared" si="5"/>
        <v>646.98</v>
      </c>
      <c r="AC215" s="37">
        <v>19</v>
      </c>
      <c r="AD215" s="92">
        <f>+AB215*AC215+AB216*AC216+AB217*AC217</f>
        <v>15084.77</v>
      </c>
    </row>
    <row r="216" spans="2:30">
      <c r="B216" s="90"/>
      <c r="C216" s="44" t="s">
        <v>33</v>
      </c>
      <c r="D216" s="35">
        <v>11.7</v>
      </c>
      <c r="E216" s="35">
        <v>10.26</v>
      </c>
      <c r="F216" s="35">
        <v>0.43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3.45</v>
      </c>
      <c r="M216" s="35">
        <v>8.85</v>
      </c>
      <c r="N216" s="35">
        <v>9.82</v>
      </c>
      <c r="O216" s="35">
        <v>15.38</v>
      </c>
      <c r="P216" s="35">
        <v>19.75</v>
      </c>
      <c r="Q216" s="35">
        <v>17.559999999999999</v>
      </c>
      <c r="R216" s="35">
        <v>20.93</v>
      </c>
      <c r="S216" s="35">
        <v>22.22</v>
      </c>
      <c r="T216" s="35">
        <v>20.93</v>
      </c>
      <c r="U216" s="35">
        <v>35.729999999999997</v>
      </c>
      <c r="V216" s="35">
        <v>45.11</v>
      </c>
      <c r="W216" s="35">
        <v>45.26</v>
      </c>
      <c r="X216" s="35">
        <v>37.86</v>
      </c>
      <c r="Y216" s="35">
        <v>36.76</v>
      </c>
      <c r="Z216" s="35">
        <v>30.07</v>
      </c>
      <c r="AA216" s="35">
        <v>7.48</v>
      </c>
      <c r="AB216" s="45">
        <f t="shared" si="5"/>
        <v>399.55</v>
      </c>
      <c r="AC216" s="37">
        <v>5</v>
      </c>
      <c r="AD216" s="92"/>
    </row>
    <row r="217" spans="2:30">
      <c r="B217" s="90"/>
      <c r="C217" s="44" t="s">
        <v>34</v>
      </c>
      <c r="D217" s="35">
        <v>0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0.09</v>
      </c>
      <c r="S217" s="35">
        <v>0.25</v>
      </c>
      <c r="T217" s="35">
        <v>2.2599999999999998</v>
      </c>
      <c r="U217" s="35">
        <v>10.66</v>
      </c>
      <c r="V217" s="35">
        <v>21.76</v>
      </c>
      <c r="W217" s="35">
        <v>31.65</v>
      </c>
      <c r="X217" s="35">
        <v>29.61</v>
      </c>
      <c r="Y217" s="35">
        <v>23</v>
      </c>
      <c r="Z217" s="35">
        <v>5.0999999999999996</v>
      </c>
      <c r="AA217" s="35">
        <v>8.02</v>
      </c>
      <c r="AB217" s="45">
        <f t="shared" si="5"/>
        <v>132.4</v>
      </c>
      <c r="AC217" s="37">
        <v>6</v>
      </c>
      <c r="AD217" s="92"/>
    </row>
    <row r="218" spans="2:30">
      <c r="B218" s="90">
        <v>48700</v>
      </c>
      <c r="C218" s="44" t="s">
        <v>32</v>
      </c>
      <c r="D218" s="35">
        <v>11.33</v>
      </c>
      <c r="E218" s="35">
        <v>4.92</v>
      </c>
      <c r="F218" s="35">
        <v>0.92</v>
      </c>
      <c r="G218" s="35">
        <v>0.59</v>
      </c>
      <c r="H218" s="35">
        <v>0</v>
      </c>
      <c r="I218" s="35">
        <v>4.63</v>
      </c>
      <c r="J218" s="35">
        <v>1.02</v>
      </c>
      <c r="K218" s="35">
        <v>0.43</v>
      </c>
      <c r="L218" s="35">
        <v>13.07</v>
      </c>
      <c r="M218" s="35">
        <v>19.18</v>
      </c>
      <c r="N218" s="35">
        <v>22.63</v>
      </c>
      <c r="O218" s="35">
        <v>31.71</v>
      </c>
      <c r="P218" s="35">
        <v>32.520000000000003</v>
      </c>
      <c r="Q218" s="35">
        <v>28.71</v>
      </c>
      <c r="R218" s="35">
        <v>40.1</v>
      </c>
      <c r="S218" s="35">
        <v>41.82</v>
      </c>
      <c r="T218" s="35">
        <v>43.8</v>
      </c>
      <c r="U218" s="35">
        <v>50.87</v>
      </c>
      <c r="V218" s="35">
        <v>58.31</v>
      </c>
      <c r="W218" s="35">
        <v>59.88</v>
      </c>
      <c r="X218" s="35">
        <v>55.32</v>
      </c>
      <c r="Y218" s="35">
        <v>47.74</v>
      </c>
      <c r="Z218" s="35">
        <v>35.79</v>
      </c>
      <c r="AA218" s="35">
        <v>23.47</v>
      </c>
      <c r="AB218" s="45">
        <f t="shared" si="5"/>
        <v>628.76</v>
      </c>
      <c r="AC218" s="37">
        <v>20</v>
      </c>
      <c r="AD218" s="92">
        <f>+AB218*AC218+AB219*AC219+AB220*AC220</f>
        <v>15356.42</v>
      </c>
    </row>
    <row r="219" spans="2:30">
      <c r="B219" s="90"/>
      <c r="C219" s="44" t="s">
        <v>33</v>
      </c>
      <c r="D219" s="35">
        <v>8.69</v>
      </c>
      <c r="E219" s="35">
        <v>7.84</v>
      </c>
      <c r="F219" s="35">
        <v>0.01</v>
      </c>
      <c r="G219" s="35">
        <v>0</v>
      </c>
      <c r="H219" s="35">
        <v>0</v>
      </c>
      <c r="I219" s="35">
        <v>1.07</v>
      </c>
      <c r="J219" s="35">
        <v>0</v>
      </c>
      <c r="K219" s="35">
        <v>0</v>
      </c>
      <c r="L219" s="35">
        <v>2.69</v>
      </c>
      <c r="M219" s="35">
        <v>7.18</v>
      </c>
      <c r="N219" s="35">
        <v>9.25</v>
      </c>
      <c r="O219" s="35">
        <v>14.25</v>
      </c>
      <c r="P219" s="35">
        <v>18.059999999999999</v>
      </c>
      <c r="Q219" s="35">
        <v>15.7</v>
      </c>
      <c r="R219" s="35">
        <v>21.52</v>
      </c>
      <c r="S219" s="35">
        <v>22.64</v>
      </c>
      <c r="T219" s="35">
        <v>21.13</v>
      </c>
      <c r="U219" s="35">
        <v>38</v>
      </c>
      <c r="V219" s="35">
        <v>45.51</v>
      </c>
      <c r="W219" s="35">
        <v>46.2</v>
      </c>
      <c r="X219" s="35">
        <v>39.15</v>
      </c>
      <c r="Y219" s="35">
        <v>36.99</v>
      </c>
      <c r="Z219" s="35">
        <v>28.52</v>
      </c>
      <c r="AA219" s="35">
        <v>9.73</v>
      </c>
      <c r="AB219" s="45">
        <f t="shared" si="5"/>
        <v>394.13</v>
      </c>
      <c r="AC219" s="37">
        <v>4</v>
      </c>
      <c r="AD219" s="92"/>
    </row>
    <row r="220" spans="2:30">
      <c r="B220" s="90"/>
      <c r="C220" s="44" t="s">
        <v>34</v>
      </c>
      <c r="D220" s="35">
        <v>2.27</v>
      </c>
      <c r="E220" s="35">
        <v>5.87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0.28999999999999998</v>
      </c>
      <c r="R220" s="35">
        <v>3.34</v>
      </c>
      <c r="S220" s="35">
        <v>1.87</v>
      </c>
      <c r="T220" s="35">
        <v>4.2300000000000004</v>
      </c>
      <c r="U220" s="35">
        <v>13.03</v>
      </c>
      <c r="V220" s="35">
        <v>23.25</v>
      </c>
      <c r="W220" s="35">
        <v>30.98</v>
      </c>
      <c r="X220" s="35">
        <v>31.65</v>
      </c>
      <c r="Y220" s="35">
        <v>27.73</v>
      </c>
      <c r="Z220" s="35">
        <v>13.97</v>
      </c>
      <c r="AA220" s="35">
        <v>13.62</v>
      </c>
      <c r="AB220" s="45">
        <f t="shared" si="5"/>
        <v>172.1</v>
      </c>
      <c r="AC220" s="37">
        <v>7</v>
      </c>
      <c r="AD220" s="92"/>
    </row>
    <row r="221" spans="2:30">
      <c r="B221" s="90">
        <v>48731</v>
      </c>
      <c r="C221" s="44" t="s">
        <v>32</v>
      </c>
      <c r="D221" s="35">
        <v>11.02</v>
      </c>
      <c r="E221" s="35">
        <v>6.17</v>
      </c>
      <c r="F221" s="35">
        <v>1.86</v>
      </c>
      <c r="G221" s="35">
        <v>1.04</v>
      </c>
      <c r="H221" s="35">
        <v>0.9</v>
      </c>
      <c r="I221" s="35">
        <v>5.0999999999999996</v>
      </c>
      <c r="J221" s="35">
        <v>2.27</v>
      </c>
      <c r="K221" s="35">
        <v>2.3199999999999998</v>
      </c>
      <c r="L221" s="35">
        <v>15.01</v>
      </c>
      <c r="M221" s="35">
        <v>21.27</v>
      </c>
      <c r="N221" s="35">
        <v>24.4</v>
      </c>
      <c r="O221" s="35">
        <v>33.56</v>
      </c>
      <c r="P221" s="35">
        <v>34.72</v>
      </c>
      <c r="Q221" s="35">
        <v>30.4</v>
      </c>
      <c r="R221" s="35">
        <v>40.22</v>
      </c>
      <c r="S221" s="35">
        <v>42.93</v>
      </c>
      <c r="T221" s="35">
        <v>44.63</v>
      </c>
      <c r="U221" s="35">
        <v>50.82</v>
      </c>
      <c r="V221" s="35">
        <v>58.2</v>
      </c>
      <c r="W221" s="35">
        <v>60.7</v>
      </c>
      <c r="X221" s="35">
        <v>56.7</v>
      </c>
      <c r="Y221" s="35">
        <v>48.91</v>
      </c>
      <c r="Z221" s="35">
        <v>36.86</v>
      </c>
      <c r="AA221" s="35">
        <v>24.68</v>
      </c>
      <c r="AB221" s="45">
        <f t="shared" si="5"/>
        <v>654.69000000000005</v>
      </c>
      <c r="AC221" s="37">
        <v>19</v>
      </c>
      <c r="AD221" s="92">
        <f>+AB221*AC221+AB222*AC222+AB223*AC223</f>
        <v>15241.59</v>
      </c>
    </row>
    <row r="222" spans="2:30">
      <c r="B222" s="90"/>
      <c r="C222" s="44" t="s">
        <v>33</v>
      </c>
      <c r="D222" s="35">
        <v>8.4499999999999993</v>
      </c>
      <c r="E222" s="35">
        <v>10.92</v>
      </c>
      <c r="F222" s="35">
        <v>0.13</v>
      </c>
      <c r="G222" s="35">
        <v>0</v>
      </c>
      <c r="H222" s="35">
        <v>1.65</v>
      </c>
      <c r="I222" s="35">
        <v>1.84</v>
      </c>
      <c r="J222" s="35">
        <v>0</v>
      </c>
      <c r="K222" s="35">
        <v>0</v>
      </c>
      <c r="L222" s="35">
        <v>3.61</v>
      </c>
      <c r="M222" s="35">
        <v>9.15</v>
      </c>
      <c r="N222" s="35">
        <v>10.220000000000001</v>
      </c>
      <c r="O222" s="35">
        <v>15.57</v>
      </c>
      <c r="P222" s="35">
        <v>19</v>
      </c>
      <c r="Q222" s="35">
        <v>17.04</v>
      </c>
      <c r="R222" s="35">
        <v>21.8</v>
      </c>
      <c r="S222" s="35">
        <v>21.89</v>
      </c>
      <c r="T222" s="35">
        <v>21.52</v>
      </c>
      <c r="U222" s="35">
        <v>35.42</v>
      </c>
      <c r="V222" s="35">
        <v>47.11</v>
      </c>
      <c r="W222" s="35">
        <v>45.31</v>
      </c>
      <c r="X222" s="35">
        <v>38.86</v>
      </c>
      <c r="Y222" s="35">
        <v>36.799999999999997</v>
      </c>
      <c r="Z222" s="35">
        <v>29.09</v>
      </c>
      <c r="AA222" s="35">
        <v>14.88</v>
      </c>
      <c r="AB222" s="45">
        <f t="shared" si="5"/>
        <v>410.26</v>
      </c>
      <c r="AC222" s="37">
        <v>4</v>
      </c>
      <c r="AD222" s="92"/>
    </row>
    <row r="223" spans="2:30">
      <c r="B223" s="90"/>
      <c r="C223" s="44" t="s">
        <v>34</v>
      </c>
      <c r="D223" s="35">
        <v>0</v>
      </c>
      <c r="E223" s="35">
        <v>1.4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0.79</v>
      </c>
      <c r="R223" s="35">
        <v>3.09</v>
      </c>
      <c r="S223" s="35">
        <v>1.34</v>
      </c>
      <c r="T223" s="35">
        <v>3.61</v>
      </c>
      <c r="U223" s="35">
        <v>14.86</v>
      </c>
      <c r="V223" s="35">
        <v>23.95</v>
      </c>
      <c r="W223" s="35">
        <v>31.41</v>
      </c>
      <c r="X223" s="35">
        <v>34.729999999999997</v>
      </c>
      <c r="Y223" s="35">
        <v>25.34</v>
      </c>
      <c r="Z223" s="35">
        <v>14.71</v>
      </c>
      <c r="AA223" s="35">
        <v>10.69</v>
      </c>
      <c r="AB223" s="45">
        <f t="shared" si="5"/>
        <v>165.92</v>
      </c>
      <c r="AC223" s="37">
        <v>7</v>
      </c>
      <c r="AD223" s="92"/>
    </row>
    <row r="224" spans="2:30">
      <c r="B224" s="90">
        <v>48761</v>
      </c>
      <c r="C224" s="44" t="s">
        <v>32</v>
      </c>
      <c r="D224" s="35">
        <v>13.48</v>
      </c>
      <c r="E224" s="35">
        <v>7.54</v>
      </c>
      <c r="F224" s="35">
        <v>2.94</v>
      </c>
      <c r="G224" s="35">
        <v>2.21</v>
      </c>
      <c r="H224" s="35">
        <v>2.21</v>
      </c>
      <c r="I224" s="35">
        <v>6.23</v>
      </c>
      <c r="J224" s="35">
        <v>3.78</v>
      </c>
      <c r="K224" s="35">
        <v>4.0999999999999996</v>
      </c>
      <c r="L224" s="35">
        <v>16.98</v>
      </c>
      <c r="M224" s="35">
        <v>22.57</v>
      </c>
      <c r="N224" s="35">
        <v>26.87</v>
      </c>
      <c r="O224" s="35">
        <v>35.26</v>
      </c>
      <c r="P224" s="35">
        <v>36.770000000000003</v>
      </c>
      <c r="Q224" s="35">
        <v>32.08</v>
      </c>
      <c r="R224" s="35">
        <v>42.53</v>
      </c>
      <c r="S224" s="35">
        <v>45.68</v>
      </c>
      <c r="T224" s="35">
        <v>47.77</v>
      </c>
      <c r="U224" s="35">
        <v>54.29</v>
      </c>
      <c r="V224" s="35">
        <v>61.45</v>
      </c>
      <c r="W224" s="35">
        <v>64.510000000000005</v>
      </c>
      <c r="X224" s="35">
        <v>60.48</v>
      </c>
      <c r="Y224" s="35">
        <v>52.36</v>
      </c>
      <c r="Z224" s="35">
        <v>39.57</v>
      </c>
      <c r="AA224" s="35">
        <v>26.39</v>
      </c>
      <c r="AB224" s="45">
        <f t="shared" si="5"/>
        <v>708.05</v>
      </c>
      <c r="AC224" s="37">
        <v>19</v>
      </c>
      <c r="AD224" s="92">
        <f>+AB224*AC224+AB225*AC225+AB226*AC226</f>
        <v>16998.009999999998</v>
      </c>
    </row>
    <row r="225" spans="2:30">
      <c r="B225" s="90"/>
      <c r="C225" s="44" t="s">
        <v>33</v>
      </c>
      <c r="D225" s="35">
        <v>8.17</v>
      </c>
      <c r="E225" s="35">
        <v>11.42</v>
      </c>
      <c r="F225" s="35">
        <v>3.2</v>
      </c>
      <c r="G225" s="35">
        <v>2.39</v>
      </c>
      <c r="H225" s="35">
        <v>1.47</v>
      </c>
      <c r="I225" s="35">
        <v>2.5099999999999998</v>
      </c>
      <c r="J225" s="35">
        <v>0</v>
      </c>
      <c r="K225" s="35">
        <v>0</v>
      </c>
      <c r="L225" s="35">
        <v>4.0999999999999996</v>
      </c>
      <c r="M225" s="35">
        <v>8.68</v>
      </c>
      <c r="N225" s="35">
        <v>10.8</v>
      </c>
      <c r="O225" s="35">
        <v>15.18</v>
      </c>
      <c r="P225" s="35">
        <v>19.03</v>
      </c>
      <c r="Q225" s="35">
        <v>17.43</v>
      </c>
      <c r="R225" s="35">
        <v>20.97</v>
      </c>
      <c r="S225" s="35">
        <v>20.69</v>
      </c>
      <c r="T225" s="35">
        <v>21.56</v>
      </c>
      <c r="U225" s="35">
        <v>34.799999999999997</v>
      </c>
      <c r="V225" s="35">
        <v>48.58</v>
      </c>
      <c r="W225" s="35">
        <v>47.39</v>
      </c>
      <c r="X225" s="35">
        <v>41.75</v>
      </c>
      <c r="Y225" s="35">
        <v>37.299999999999997</v>
      </c>
      <c r="Z225" s="35">
        <v>29.64</v>
      </c>
      <c r="AA225" s="35">
        <v>22.54</v>
      </c>
      <c r="AB225" s="45">
        <f t="shared" si="5"/>
        <v>429.6</v>
      </c>
      <c r="AC225" s="37">
        <v>5</v>
      </c>
      <c r="AD225" s="92"/>
    </row>
    <row r="226" spans="2:30">
      <c r="B226" s="90"/>
      <c r="C226" s="44" t="s">
        <v>34</v>
      </c>
      <c r="D226" s="35">
        <v>0</v>
      </c>
      <c r="E226" s="35">
        <v>5.58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0.2</v>
      </c>
      <c r="R226" s="35">
        <v>2.38</v>
      </c>
      <c r="S226" s="35">
        <v>1.04</v>
      </c>
      <c r="T226" s="35">
        <v>4.1500000000000004</v>
      </c>
      <c r="U226" s="35">
        <v>15.51</v>
      </c>
      <c r="V226" s="35">
        <v>27.51</v>
      </c>
      <c r="W226" s="35">
        <v>35.64</v>
      </c>
      <c r="X226" s="35">
        <v>36.46</v>
      </c>
      <c r="Y226" s="35">
        <v>34.409999999999997</v>
      </c>
      <c r="Z226" s="35">
        <v>20.18</v>
      </c>
      <c r="AA226" s="35">
        <v>16.52</v>
      </c>
      <c r="AB226" s="45">
        <f t="shared" si="5"/>
        <v>199.58</v>
      </c>
      <c r="AC226" s="37">
        <v>7</v>
      </c>
      <c r="AD226" s="92"/>
    </row>
    <row r="227" spans="2:30">
      <c r="B227" s="90">
        <v>48792</v>
      </c>
      <c r="C227" s="44" t="s">
        <v>32</v>
      </c>
      <c r="D227" s="35">
        <v>12.58</v>
      </c>
      <c r="E227" s="35">
        <v>6.38</v>
      </c>
      <c r="F227" s="35">
        <v>1.37</v>
      </c>
      <c r="G227" s="35">
        <v>2.13</v>
      </c>
      <c r="H227" s="35">
        <v>1.49</v>
      </c>
      <c r="I227" s="35">
        <v>6.98</v>
      </c>
      <c r="J227" s="35">
        <v>3.01</v>
      </c>
      <c r="K227" s="35">
        <v>3.62</v>
      </c>
      <c r="L227" s="35">
        <v>16.350000000000001</v>
      </c>
      <c r="M227" s="35">
        <v>23.06</v>
      </c>
      <c r="N227" s="35">
        <v>27.73</v>
      </c>
      <c r="O227" s="35">
        <v>37</v>
      </c>
      <c r="P227" s="35">
        <v>37.54</v>
      </c>
      <c r="Q227" s="35">
        <v>30.22</v>
      </c>
      <c r="R227" s="35">
        <v>42.91</v>
      </c>
      <c r="S227" s="35">
        <v>45.37</v>
      </c>
      <c r="T227" s="35">
        <v>47.14</v>
      </c>
      <c r="U227" s="35">
        <v>54.25</v>
      </c>
      <c r="V227" s="35">
        <v>61.4</v>
      </c>
      <c r="W227" s="35">
        <v>63.56</v>
      </c>
      <c r="X227" s="35">
        <v>59.71</v>
      </c>
      <c r="Y227" s="35">
        <v>51.35</v>
      </c>
      <c r="Z227" s="35">
        <v>37.909999999999997</v>
      </c>
      <c r="AA227" s="35">
        <v>24.63</v>
      </c>
      <c r="AB227" s="45">
        <f t="shared" si="5"/>
        <v>697.69</v>
      </c>
      <c r="AC227" s="37">
        <v>22</v>
      </c>
      <c r="AD227" s="92">
        <f>+AB227*AC227+AB228*AC228+AB229*AC229</f>
        <v>17994.48</v>
      </c>
    </row>
    <row r="228" spans="2:30">
      <c r="B228" s="90"/>
      <c r="C228" s="44" t="s">
        <v>33</v>
      </c>
      <c r="D228" s="35">
        <v>8.3800000000000008</v>
      </c>
      <c r="E228" s="35">
        <v>8.77</v>
      </c>
      <c r="F228" s="35">
        <v>0.44</v>
      </c>
      <c r="G228" s="35">
        <v>0.2</v>
      </c>
      <c r="H228" s="35">
        <v>0.11</v>
      </c>
      <c r="I228" s="35">
        <v>2.2200000000000002</v>
      </c>
      <c r="J228" s="35">
        <v>0</v>
      </c>
      <c r="K228" s="35">
        <v>0</v>
      </c>
      <c r="L228" s="35">
        <v>3.62</v>
      </c>
      <c r="M228" s="35">
        <v>8.9499999999999993</v>
      </c>
      <c r="N228" s="35">
        <v>11.32</v>
      </c>
      <c r="O228" s="35">
        <v>16.899999999999999</v>
      </c>
      <c r="P228" s="35">
        <v>19.41</v>
      </c>
      <c r="Q228" s="35">
        <v>17.350000000000001</v>
      </c>
      <c r="R228" s="35">
        <v>20.38</v>
      </c>
      <c r="S228" s="35">
        <v>20.43</v>
      </c>
      <c r="T228" s="35">
        <v>20.62</v>
      </c>
      <c r="U228" s="35">
        <v>34.19</v>
      </c>
      <c r="V228" s="35">
        <v>47.53</v>
      </c>
      <c r="W228" s="35">
        <v>51.2</v>
      </c>
      <c r="X228" s="35">
        <v>43.48</v>
      </c>
      <c r="Y228" s="35">
        <v>37.08</v>
      </c>
      <c r="Z228" s="35">
        <v>29.68</v>
      </c>
      <c r="AA228" s="35">
        <v>19.989999999999998</v>
      </c>
      <c r="AB228" s="45">
        <f t="shared" si="5"/>
        <v>422.25</v>
      </c>
      <c r="AC228" s="37">
        <v>4</v>
      </c>
      <c r="AD228" s="92"/>
    </row>
    <row r="229" spans="2:30">
      <c r="B229" s="90"/>
      <c r="C229" s="44" t="s">
        <v>34</v>
      </c>
      <c r="D229" s="35">
        <v>0</v>
      </c>
      <c r="E229" s="35">
        <v>3.58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1.64</v>
      </c>
      <c r="S229" s="35">
        <v>0.79</v>
      </c>
      <c r="T229" s="35">
        <v>4</v>
      </c>
      <c r="U229" s="35">
        <v>15.4</v>
      </c>
      <c r="V229" s="35">
        <v>29.35</v>
      </c>
      <c r="W229" s="35">
        <v>35.32</v>
      </c>
      <c r="X229" s="35">
        <v>34.130000000000003</v>
      </c>
      <c r="Y229" s="35">
        <v>34.159999999999997</v>
      </c>
      <c r="Z229" s="35">
        <v>15.5</v>
      </c>
      <c r="AA229" s="35">
        <v>17.39</v>
      </c>
      <c r="AB229" s="45">
        <f t="shared" si="5"/>
        <v>191.26</v>
      </c>
      <c r="AC229" s="37">
        <v>5</v>
      </c>
      <c r="AD229" s="92"/>
    </row>
    <row r="230" spans="2:30">
      <c r="B230" s="90">
        <v>48823</v>
      </c>
      <c r="C230" s="44" t="s">
        <v>32</v>
      </c>
      <c r="D230" s="35">
        <v>14.03</v>
      </c>
      <c r="E230" s="35">
        <v>7.36</v>
      </c>
      <c r="F230" s="35">
        <v>1.99</v>
      </c>
      <c r="G230" s="35">
        <v>3.09</v>
      </c>
      <c r="H230" s="35">
        <v>2.78</v>
      </c>
      <c r="I230" s="35">
        <v>8.41</v>
      </c>
      <c r="J230" s="35">
        <v>4.47</v>
      </c>
      <c r="K230" s="35">
        <v>4.5</v>
      </c>
      <c r="L230" s="35">
        <v>18.25</v>
      </c>
      <c r="M230" s="35">
        <v>24.53</v>
      </c>
      <c r="N230" s="35">
        <v>28.58</v>
      </c>
      <c r="O230" s="35">
        <v>37.68</v>
      </c>
      <c r="P230" s="35">
        <v>38.42</v>
      </c>
      <c r="Q230" s="35">
        <v>32.65</v>
      </c>
      <c r="R230" s="35">
        <v>46.36</v>
      </c>
      <c r="S230" s="35">
        <v>48.75</v>
      </c>
      <c r="T230" s="35">
        <v>50.28</v>
      </c>
      <c r="U230" s="35">
        <v>56.55</v>
      </c>
      <c r="V230" s="35">
        <v>63.65</v>
      </c>
      <c r="W230" s="35">
        <v>65.31</v>
      </c>
      <c r="X230" s="35">
        <v>61.5</v>
      </c>
      <c r="Y230" s="35">
        <v>53.04</v>
      </c>
      <c r="Z230" s="35">
        <v>39.51</v>
      </c>
      <c r="AA230" s="35">
        <v>25.57</v>
      </c>
      <c r="AB230" s="45">
        <f t="shared" si="5"/>
        <v>737.26</v>
      </c>
      <c r="AC230" s="37">
        <v>22</v>
      </c>
      <c r="AD230" s="92">
        <f>+AB230*AC230+AB231*AC231+AB232*AC232</f>
        <v>18656.080000000002</v>
      </c>
    </row>
    <row r="231" spans="2:30">
      <c r="B231" s="90"/>
      <c r="C231" s="44" t="s">
        <v>33</v>
      </c>
      <c r="D231" s="35">
        <v>8.7799999999999994</v>
      </c>
      <c r="E231" s="35">
        <v>9.1199999999999992</v>
      </c>
      <c r="F231" s="35">
        <v>0.08</v>
      </c>
      <c r="G231" s="35">
        <v>0</v>
      </c>
      <c r="H231" s="35">
        <v>0</v>
      </c>
      <c r="I231" s="35">
        <v>0.63</v>
      </c>
      <c r="J231" s="35">
        <v>0</v>
      </c>
      <c r="K231" s="35">
        <v>0</v>
      </c>
      <c r="L231" s="35">
        <v>3.82</v>
      </c>
      <c r="M231" s="35">
        <v>8.9700000000000006</v>
      </c>
      <c r="N231" s="35">
        <v>11.12</v>
      </c>
      <c r="O231" s="35">
        <v>17.78</v>
      </c>
      <c r="P231" s="35">
        <v>18.77</v>
      </c>
      <c r="Q231" s="35">
        <v>18.649999999999999</v>
      </c>
      <c r="R231" s="35">
        <v>21.96</v>
      </c>
      <c r="S231" s="35">
        <v>21.58</v>
      </c>
      <c r="T231" s="35">
        <v>21.93</v>
      </c>
      <c r="U231" s="35">
        <v>34.299999999999997</v>
      </c>
      <c r="V231" s="35">
        <v>46.41</v>
      </c>
      <c r="W231" s="35">
        <v>52.56</v>
      </c>
      <c r="X231" s="35">
        <v>44.25</v>
      </c>
      <c r="Y231" s="35">
        <v>36.6</v>
      </c>
      <c r="Z231" s="35">
        <v>29.61</v>
      </c>
      <c r="AA231" s="35">
        <v>17.95</v>
      </c>
      <c r="AB231" s="45">
        <f t="shared" si="5"/>
        <v>424.87</v>
      </c>
      <c r="AC231" s="37">
        <v>4</v>
      </c>
      <c r="AD231" s="92"/>
    </row>
    <row r="232" spans="2:30">
      <c r="B232" s="90"/>
      <c r="C232" s="44" t="s">
        <v>34</v>
      </c>
      <c r="D232" s="35">
        <v>3.03</v>
      </c>
      <c r="E232" s="35">
        <v>2.91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0.51</v>
      </c>
      <c r="R232" s="35">
        <v>3.68</v>
      </c>
      <c r="S232" s="35">
        <v>3.76</v>
      </c>
      <c r="T232" s="35">
        <v>2.9</v>
      </c>
      <c r="U232" s="35">
        <v>20.14</v>
      </c>
      <c r="V232" s="35">
        <v>26.08</v>
      </c>
      <c r="W232" s="35">
        <v>37.93</v>
      </c>
      <c r="X232" s="35">
        <v>32.950000000000003</v>
      </c>
      <c r="Y232" s="35">
        <v>29.25</v>
      </c>
      <c r="Z232" s="35">
        <v>8.4</v>
      </c>
      <c r="AA232" s="35">
        <v>12.68</v>
      </c>
      <c r="AB232" s="45">
        <f t="shared" si="5"/>
        <v>184.22</v>
      </c>
      <c r="AC232" s="37">
        <v>4</v>
      </c>
      <c r="AD232" s="92"/>
    </row>
    <row r="233" spans="2:30">
      <c r="B233" s="90">
        <v>48853</v>
      </c>
      <c r="C233" s="44" t="s">
        <v>32</v>
      </c>
      <c r="D233" s="35">
        <v>12.2</v>
      </c>
      <c r="E233" s="35">
        <v>6.83</v>
      </c>
      <c r="F233" s="35">
        <v>1.9</v>
      </c>
      <c r="G233" s="35">
        <v>2.11</v>
      </c>
      <c r="H233" s="35">
        <v>1.51</v>
      </c>
      <c r="I233" s="35">
        <v>6.26</v>
      </c>
      <c r="J233" s="35">
        <v>2.35</v>
      </c>
      <c r="K233" s="35">
        <v>2.84</v>
      </c>
      <c r="L233" s="35">
        <v>17.07</v>
      </c>
      <c r="M233" s="35">
        <v>23.3</v>
      </c>
      <c r="N233" s="35">
        <v>28.05</v>
      </c>
      <c r="O233" s="35">
        <v>37.9</v>
      </c>
      <c r="P233" s="35">
        <v>40.06</v>
      </c>
      <c r="Q233" s="35">
        <v>33.64</v>
      </c>
      <c r="R233" s="35">
        <v>45.73</v>
      </c>
      <c r="S233" s="35">
        <v>47.13</v>
      </c>
      <c r="T233" s="35">
        <v>48.44</v>
      </c>
      <c r="U233" s="35">
        <v>55.37</v>
      </c>
      <c r="V233" s="35">
        <v>62.36</v>
      </c>
      <c r="W233" s="35">
        <v>63.5</v>
      </c>
      <c r="X233" s="35">
        <v>59.08</v>
      </c>
      <c r="Y233" s="35">
        <v>51.39</v>
      </c>
      <c r="Z233" s="35">
        <v>38.979999999999997</v>
      </c>
      <c r="AA233" s="35">
        <v>25.47</v>
      </c>
      <c r="AB233" s="45">
        <f t="shared" si="5"/>
        <v>713.47</v>
      </c>
      <c r="AC233" s="37">
        <v>19</v>
      </c>
      <c r="AD233" s="92">
        <f>+AB233*AC233+AB234*AC234+AB235*AC235</f>
        <v>17227.740000000002</v>
      </c>
    </row>
    <row r="234" spans="2:30">
      <c r="B234" s="90"/>
      <c r="C234" s="44" t="s">
        <v>33</v>
      </c>
      <c r="D234" s="35">
        <v>9.24</v>
      </c>
      <c r="E234" s="35">
        <v>8.35</v>
      </c>
      <c r="F234" s="35">
        <v>0</v>
      </c>
      <c r="G234" s="35">
        <v>0</v>
      </c>
      <c r="H234" s="35">
        <v>0.02</v>
      </c>
      <c r="I234" s="35">
        <v>0.26</v>
      </c>
      <c r="J234" s="35">
        <v>0</v>
      </c>
      <c r="K234" s="35">
        <v>0</v>
      </c>
      <c r="L234" s="35">
        <v>3.78</v>
      </c>
      <c r="M234" s="35">
        <v>9.27</v>
      </c>
      <c r="N234" s="35">
        <v>12.51</v>
      </c>
      <c r="O234" s="35">
        <v>20.74</v>
      </c>
      <c r="P234" s="35">
        <v>21.18</v>
      </c>
      <c r="Q234" s="35">
        <v>20.07</v>
      </c>
      <c r="R234" s="35">
        <v>23.4</v>
      </c>
      <c r="S234" s="35">
        <v>21.66</v>
      </c>
      <c r="T234" s="35">
        <v>22.09</v>
      </c>
      <c r="U234" s="35">
        <v>34.71</v>
      </c>
      <c r="V234" s="35">
        <v>46.19</v>
      </c>
      <c r="W234" s="35">
        <v>52.54</v>
      </c>
      <c r="X234" s="35">
        <v>44.63</v>
      </c>
      <c r="Y234" s="35">
        <v>36.450000000000003</v>
      </c>
      <c r="Z234" s="35">
        <v>29.56</v>
      </c>
      <c r="AA234" s="35">
        <v>18.98</v>
      </c>
      <c r="AB234" s="45">
        <f t="shared" si="5"/>
        <v>435.63</v>
      </c>
      <c r="AC234" s="37">
        <v>5</v>
      </c>
      <c r="AD234" s="92"/>
    </row>
    <row r="235" spans="2:30">
      <c r="B235" s="90"/>
      <c r="C235" s="44" t="s">
        <v>34</v>
      </c>
      <c r="D235" s="35">
        <v>5.77</v>
      </c>
      <c r="E235" s="35">
        <v>9.07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2.57</v>
      </c>
      <c r="P235" s="35">
        <v>0.4</v>
      </c>
      <c r="Q235" s="35">
        <v>3.33</v>
      </c>
      <c r="R235" s="35">
        <v>5.77</v>
      </c>
      <c r="S235" s="35">
        <v>3.86</v>
      </c>
      <c r="T235" s="35">
        <v>6.5</v>
      </c>
      <c r="U235" s="35">
        <v>21</v>
      </c>
      <c r="V235" s="35">
        <v>26.97</v>
      </c>
      <c r="W235" s="35">
        <v>35.99</v>
      </c>
      <c r="X235" s="35">
        <v>34.590000000000003</v>
      </c>
      <c r="Y235" s="35">
        <v>29.45</v>
      </c>
      <c r="Z235" s="35">
        <v>14.22</v>
      </c>
      <c r="AA235" s="35">
        <v>13.89</v>
      </c>
      <c r="AB235" s="45">
        <f t="shared" si="5"/>
        <v>213.38</v>
      </c>
      <c r="AC235" s="37">
        <v>7</v>
      </c>
      <c r="AD235" s="92"/>
    </row>
    <row r="236" spans="2:30">
      <c r="B236" s="90">
        <v>48884</v>
      </c>
      <c r="C236" s="44" t="s">
        <v>32</v>
      </c>
      <c r="D236" s="35">
        <v>11.27</v>
      </c>
      <c r="E236" s="35">
        <v>5.97</v>
      </c>
      <c r="F236" s="35">
        <v>1.1000000000000001</v>
      </c>
      <c r="G236" s="35">
        <v>1.51</v>
      </c>
      <c r="H236" s="35">
        <v>0.73</v>
      </c>
      <c r="I236" s="35">
        <v>5.73</v>
      </c>
      <c r="J236" s="35">
        <v>1.8</v>
      </c>
      <c r="K236" s="35">
        <v>2.5499999999999998</v>
      </c>
      <c r="L236" s="35">
        <v>16.239999999999998</v>
      </c>
      <c r="M236" s="35">
        <v>22.69</v>
      </c>
      <c r="N236" s="35">
        <v>26.65</v>
      </c>
      <c r="O236" s="35">
        <v>35.270000000000003</v>
      </c>
      <c r="P236" s="35">
        <v>36.770000000000003</v>
      </c>
      <c r="Q236" s="35">
        <v>31.37</v>
      </c>
      <c r="R236" s="35">
        <v>44.75</v>
      </c>
      <c r="S236" s="35">
        <v>46.96</v>
      </c>
      <c r="T236" s="35">
        <v>48.36</v>
      </c>
      <c r="U236" s="35">
        <v>55.22</v>
      </c>
      <c r="V236" s="35">
        <v>62.37</v>
      </c>
      <c r="W236" s="35">
        <v>63.31</v>
      </c>
      <c r="X236" s="35">
        <v>58.74</v>
      </c>
      <c r="Y236" s="35">
        <v>50.78</v>
      </c>
      <c r="Z236" s="35">
        <v>38.29</v>
      </c>
      <c r="AA236" s="35">
        <v>24.36</v>
      </c>
      <c r="AB236" s="45">
        <f t="shared" si="5"/>
        <v>692.79</v>
      </c>
      <c r="AC236" s="37">
        <v>19</v>
      </c>
      <c r="AD236" s="92">
        <f>+AB236*AC236+AB237*AC237+AB238*AC238</f>
        <v>16394.990000000002</v>
      </c>
    </row>
    <row r="237" spans="2:30">
      <c r="B237" s="90"/>
      <c r="C237" s="44" t="s">
        <v>33</v>
      </c>
      <c r="D237" s="35">
        <v>9.23</v>
      </c>
      <c r="E237" s="35">
        <v>8.09</v>
      </c>
      <c r="F237" s="35">
        <v>0</v>
      </c>
      <c r="G237" s="35">
        <v>0</v>
      </c>
      <c r="H237" s="35">
        <v>0</v>
      </c>
      <c r="I237" s="35">
        <v>1.1100000000000001</v>
      </c>
      <c r="J237" s="35">
        <v>0</v>
      </c>
      <c r="K237" s="35">
        <v>0</v>
      </c>
      <c r="L237" s="35">
        <v>3.62</v>
      </c>
      <c r="M237" s="35">
        <v>9.2100000000000009</v>
      </c>
      <c r="N237" s="35">
        <v>11.12</v>
      </c>
      <c r="O237" s="35">
        <v>18.989999999999998</v>
      </c>
      <c r="P237" s="35">
        <v>18.489999999999998</v>
      </c>
      <c r="Q237" s="35">
        <v>17.79</v>
      </c>
      <c r="R237" s="35">
        <v>23.74</v>
      </c>
      <c r="S237" s="35">
        <v>22.68</v>
      </c>
      <c r="T237" s="35">
        <v>22.8</v>
      </c>
      <c r="U237" s="35">
        <v>34.85</v>
      </c>
      <c r="V237" s="35">
        <v>45.69</v>
      </c>
      <c r="W237" s="35">
        <v>53.3</v>
      </c>
      <c r="X237" s="35">
        <v>42.35</v>
      </c>
      <c r="Y237" s="35">
        <v>36.4</v>
      </c>
      <c r="Z237" s="35">
        <v>29.3</v>
      </c>
      <c r="AA237" s="35">
        <v>18.399999999999999</v>
      </c>
      <c r="AB237" s="45">
        <f t="shared" si="5"/>
        <v>427.16</v>
      </c>
      <c r="AC237" s="37">
        <v>4</v>
      </c>
      <c r="AD237" s="92"/>
    </row>
    <row r="238" spans="2:30">
      <c r="B238" s="90"/>
      <c r="C238" s="44" t="s">
        <v>34</v>
      </c>
      <c r="D238" s="35">
        <v>1.94</v>
      </c>
      <c r="E238" s="35">
        <v>1.48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1.1499999999999999</v>
      </c>
      <c r="P238" s="35">
        <v>0</v>
      </c>
      <c r="Q238" s="35">
        <v>2.84</v>
      </c>
      <c r="R238" s="35">
        <v>6.73</v>
      </c>
      <c r="S238" s="35">
        <v>4.72</v>
      </c>
      <c r="T238" s="35">
        <v>7.67</v>
      </c>
      <c r="U238" s="35">
        <v>20.9</v>
      </c>
      <c r="V238" s="35">
        <v>27.66</v>
      </c>
      <c r="W238" s="35">
        <v>38.64</v>
      </c>
      <c r="X238" s="35">
        <v>37.200000000000003</v>
      </c>
      <c r="Y238" s="35">
        <v>34.909999999999997</v>
      </c>
      <c r="Z238" s="35">
        <v>16.87</v>
      </c>
      <c r="AA238" s="35">
        <v>14.91</v>
      </c>
      <c r="AB238" s="45">
        <f t="shared" si="5"/>
        <v>217.62</v>
      </c>
      <c r="AC238" s="37">
        <v>7</v>
      </c>
      <c r="AD238" s="92"/>
    </row>
    <row r="239" spans="2:30">
      <c r="B239" s="90">
        <v>48914</v>
      </c>
      <c r="C239" s="44" t="s">
        <v>32</v>
      </c>
      <c r="D239" s="35">
        <v>14.19</v>
      </c>
      <c r="E239" s="35">
        <v>8.17</v>
      </c>
      <c r="F239" s="35">
        <v>3.6</v>
      </c>
      <c r="G239" s="35">
        <v>2.9</v>
      </c>
      <c r="H239" s="35">
        <v>3.24</v>
      </c>
      <c r="I239" s="35">
        <v>6.72</v>
      </c>
      <c r="J239" s="35">
        <v>5.85</v>
      </c>
      <c r="K239" s="35">
        <v>4.49</v>
      </c>
      <c r="L239" s="35">
        <v>17.77</v>
      </c>
      <c r="M239" s="35">
        <v>23.44</v>
      </c>
      <c r="N239" s="35">
        <v>27.06</v>
      </c>
      <c r="O239" s="35">
        <v>35.69</v>
      </c>
      <c r="P239" s="35">
        <v>37.380000000000003</v>
      </c>
      <c r="Q239" s="35">
        <v>32.57</v>
      </c>
      <c r="R239" s="35">
        <v>43.59</v>
      </c>
      <c r="S239" s="35">
        <v>47.26</v>
      </c>
      <c r="T239" s="35">
        <v>49.56</v>
      </c>
      <c r="U239" s="35">
        <v>55.41</v>
      </c>
      <c r="V239" s="35">
        <v>63.3</v>
      </c>
      <c r="W239" s="35">
        <v>66.34</v>
      </c>
      <c r="X239" s="35">
        <v>62.25</v>
      </c>
      <c r="Y239" s="35">
        <v>54.07</v>
      </c>
      <c r="Z239" s="35">
        <v>41.62</v>
      </c>
      <c r="AA239" s="35">
        <v>27.89</v>
      </c>
      <c r="AB239" s="45">
        <f t="shared" si="5"/>
        <v>734.36</v>
      </c>
      <c r="AC239" s="37">
        <v>21</v>
      </c>
      <c r="AD239" s="92">
        <f>+AB239*AC239+AB240*AC240+AB241*AC241</f>
        <v>18613.41</v>
      </c>
    </row>
    <row r="240" spans="2:30">
      <c r="B240" s="90"/>
      <c r="C240" s="44" t="s">
        <v>33</v>
      </c>
      <c r="D240" s="35">
        <v>8.5500000000000007</v>
      </c>
      <c r="E240" s="35">
        <v>8.42</v>
      </c>
      <c r="F240" s="35">
        <v>0</v>
      </c>
      <c r="G240" s="35">
        <v>0</v>
      </c>
      <c r="H240" s="35">
        <v>0.52</v>
      </c>
      <c r="I240" s="35">
        <v>3.13</v>
      </c>
      <c r="J240" s="35">
        <v>0</v>
      </c>
      <c r="K240" s="35">
        <v>0</v>
      </c>
      <c r="L240" s="35">
        <v>3.5</v>
      </c>
      <c r="M240" s="35">
        <v>8.14</v>
      </c>
      <c r="N240" s="35">
        <v>10.16</v>
      </c>
      <c r="O240" s="35">
        <v>18.53</v>
      </c>
      <c r="P240" s="35">
        <v>17.11</v>
      </c>
      <c r="Q240" s="35">
        <v>15.24</v>
      </c>
      <c r="R240" s="35">
        <v>21.88</v>
      </c>
      <c r="S240" s="35">
        <v>21.09</v>
      </c>
      <c r="T240" s="35">
        <v>21.91</v>
      </c>
      <c r="U240" s="35">
        <v>34.76</v>
      </c>
      <c r="V240" s="35">
        <v>45.38</v>
      </c>
      <c r="W240" s="35">
        <v>51.94</v>
      </c>
      <c r="X240" s="35">
        <v>39.93</v>
      </c>
      <c r="Y240" s="35">
        <v>36.11</v>
      </c>
      <c r="Z240" s="35">
        <v>28.87</v>
      </c>
      <c r="AA240" s="35">
        <v>23.9</v>
      </c>
      <c r="AB240" s="45">
        <f t="shared" si="5"/>
        <v>419.07</v>
      </c>
      <c r="AC240" s="37">
        <v>5</v>
      </c>
      <c r="AD240" s="92"/>
    </row>
    <row r="241" spans="2:37">
      <c r="B241" s="90"/>
      <c r="C241" s="44" t="s">
        <v>34</v>
      </c>
      <c r="D241" s="35">
        <v>6.54</v>
      </c>
      <c r="E241" s="35">
        <v>10.84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1.32</v>
      </c>
      <c r="P241" s="35">
        <v>0</v>
      </c>
      <c r="Q241" s="35">
        <v>2.3199999999999998</v>
      </c>
      <c r="R241" s="35">
        <v>4.9800000000000004</v>
      </c>
      <c r="S241" s="35">
        <v>3.29</v>
      </c>
      <c r="T241" s="35">
        <v>6</v>
      </c>
      <c r="U241" s="35">
        <v>20.04</v>
      </c>
      <c r="V241" s="35">
        <v>24.07</v>
      </c>
      <c r="W241" s="35">
        <v>36.5</v>
      </c>
      <c r="X241" s="35">
        <v>35.47</v>
      </c>
      <c r="Y241" s="35">
        <v>35.46</v>
      </c>
      <c r="Z241" s="35">
        <v>15.02</v>
      </c>
      <c r="AA241" s="35">
        <v>17.45</v>
      </c>
      <c r="AB241" s="45">
        <f t="shared" si="5"/>
        <v>219.3</v>
      </c>
      <c r="AC241" s="37">
        <v>5</v>
      </c>
      <c r="AD241" s="92"/>
    </row>
    <row r="242" spans="2:37"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86" t="s">
        <v>35</v>
      </c>
      <c r="AB242" s="87"/>
      <c r="AC242" s="88"/>
      <c r="AD242" s="39">
        <f>SUM(AD206:AD241)</f>
        <v>198825.61</v>
      </c>
    </row>
    <row r="243" spans="2:37"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</row>
    <row r="244" spans="2:37" ht="23.25">
      <c r="B244" s="41" t="s">
        <v>83</v>
      </c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40"/>
      <c r="AC244" s="40"/>
      <c r="AD244" s="38"/>
    </row>
    <row r="245" spans="2:37">
      <c r="B245" s="42" t="s">
        <v>3</v>
      </c>
      <c r="C245" s="42" t="s">
        <v>4</v>
      </c>
      <c r="D245" s="42" t="s">
        <v>5</v>
      </c>
      <c r="E245" s="42" t="s">
        <v>6</v>
      </c>
      <c r="F245" s="42" t="s">
        <v>7</v>
      </c>
      <c r="G245" s="42" t="s">
        <v>8</v>
      </c>
      <c r="H245" s="42" t="s">
        <v>9</v>
      </c>
      <c r="I245" s="42" t="s">
        <v>10</v>
      </c>
      <c r="J245" s="42" t="s">
        <v>11</v>
      </c>
      <c r="K245" s="42" t="s">
        <v>12</v>
      </c>
      <c r="L245" s="42" t="s">
        <v>13</v>
      </c>
      <c r="M245" s="42" t="s">
        <v>14</v>
      </c>
      <c r="N245" s="42" t="s">
        <v>15</v>
      </c>
      <c r="O245" s="42" t="s">
        <v>16</v>
      </c>
      <c r="P245" s="42" t="s">
        <v>17</v>
      </c>
      <c r="Q245" s="42" t="s">
        <v>18</v>
      </c>
      <c r="R245" s="42" t="s">
        <v>19</v>
      </c>
      <c r="S245" s="42" t="s">
        <v>20</v>
      </c>
      <c r="T245" s="42" t="s">
        <v>21</v>
      </c>
      <c r="U245" s="42" t="s">
        <v>22</v>
      </c>
      <c r="V245" s="42" t="s">
        <v>23</v>
      </c>
      <c r="W245" s="42" t="s">
        <v>24</v>
      </c>
      <c r="X245" s="42" t="s">
        <v>25</v>
      </c>
      <c r="Y245" s="42" t="s">
        <v>26</v>
      </c>
      <c r="Z245" s="42" t="s">
        <v>27</v>
      </c>
      <c r="AA245" s="42" t="s">
        <v>28</v>
      </c>
      <c r="AB245" s="36" t="s">
        <v>29</v>
      </c>
      <c r="AC245" s="43" t="s">
        <v>30</v>
      </c>
      <c r="AD245" s="42" t="s">
        <v>31</v>
      </c>
    </row>
    <row r="246" spans="2:37">
      <c r="B246" s="90">
        <v>48945</v>
      </c>
      <c r="C246" s="44" t="s">
        <v>32</v>
      </c>
      <c r="D246" s="35">
        <v>14.09</v>
      </c>
      <c r="E246" s="35">
        <v>7.13</v>
      </c>
      <c r="F246" s="35">
        <v>3.86</v>
      </c>
      <c r="G246" s="35">
        <v>2.74</v>
      </c>
      <c r="H246" s="35">
        <v>3.33</v>
      </c>
      <c r="I246" s="35">
        <v>7.21</v>
      </c>
      <c r="J246" s="35">
        <v>5.84</v>
      </c>
      <c r="K246" s="35">
        <v>3.75</v>
      </c>
      <c r="L246" s="35">
        <v>15.12</v>
      </c>
      <c r="M246" s="35">
        <v>19.66</v>
      </c>
      <c r="N246" s="35">
        <v>23.41</v>
      </c>
      <c r="O246" s="35">
        <v>32.68</v>
      </c>
      <c r="P246" s="35">
        <v>35.159999999999997</v>
      </c>
      <c r="Q246" s="35">
        <v>31.49</v>
      </c>
      <c r="R246" s="35">
        <v>39.869999999999997</v>
      </c>
      <c r="S246" s="35">
        <v>42.11</v>
      </c>
      <c r="T246" s="35">
        <v>43.86</v>
      </c>
      <c r="U246" s="35">
        <v>51.01</v>
      </c>
      <c r="V246" s="35">
        <v>59.63</v>
      </c>
      <c r="W246" s="35">
        <v>63.03</v>
      </c>
      <c r="X246" s="35">
        <v>59.44</v>
      </c>
      <c r="Y246" s="35">
        <v>51.93</v>
      </c>
      <c r="Z246" s="35">
        <v>39.270000000000003</v>
      </c>
      <c r="AA246" s="35">
        <v>26.74</v>
      </c>
      <c r="AB246" s="45">
        <f>SUM(D246:AA246)</f>
        <v>682.36</v>
      </c>
      <c r="AC246" s="37">
        <v>21</v>
      </c>
      <c r="AD246" s="92">
        <f>+AB246*AC246+AB247*AC247+AB248*AC248</f>
        <v>17475.580000000002</v>
      </c>
    </row>
    <row r="247" spans="2:37">
      <c r="B247" s="90"/>
      <c r="C247" s="44" t="s">
        <v>33</v>
      </c>
      <c r="D247" s="35">
        <v>18.739999999999998</v>
      </c>
      <c r="E247" s="35">
        <v>14.65</v>
      </c>
      <c r="F247" s="35">
        <v>2.68</v>
      </c>
      <c r="G247" s="35">
        <v>3.75</v>
      </c>
      <c r="H247" s="35">
        <v>5.56</v>
      </c>
      <c r="I247" s="35">
        <v>3.42</v>
      </c>
      <c r="J247" s="35">
        <v>0</v>
      </c>
      <c r="K247" s="35">
        <v>0</v>
      </c>
      <c r="L247" s="35">
        <v>6.58</v>
      </c>
      <c r="M247" s="35">
        <v>7.3</v>
      </c>
      <c r="N247" s="35">
        <v>8.98</v>
      </c>
      <c r="O247" s="35">
        <v>14.85</v>
      </c>
      <c r="P247" s="35">
        <v>17.600000000000001</v>
      </c>
      <c r="Q247" s="35">
        <v>13.54</v>
      </c>
      <c r="R247" s="35">
        <v>20.350000000000001</v>
      </c>
      <c r="S247" s="35">
        <v>20.9</v>
      </c>
      <c r="T247" s="35">
        <v>19.16</v>
      </c>
      <c r="U247" s="35">
        <v>33.92</v>
      </c>
      <c r="V247" s="35">
        <v>45.87</v>
      </c>
      <c r="W247" s="35">
        <v>49.94</v>
      </c>
      <c r="X247" s="35">
        <v>40.9</v>
      </c>
      <c r="Y247" s="35">
        <v>37.770000000000003</v>
      </c>
      <c r="Z247" s="35">
        <v>30.31</v>
      </c>
      <c r="AA247" s="35">
        <v>19.68</v>
      </c>
      <c r="AB247" s="45">
        <f t="shared" ref="AB247:AB281" si="6">SUM(D247:AA247)</f>
        <v>436.45</v>
      </c>
      <c r="AC247" s="37">
        <v>4</v>
      </c>
      <c r="AD247" s="92"/>
    </row>
    <row r="248" spans="2:37">
      <c r="B248" s="90"/>
      <c r="C248" s="44" t="s">
        <v>34</v>
      </c>
      <c r="D248" s="35">
        <v>9.64</v>
      </c>
      <c r="E248" s="35">
        <v>6.17</v>
      </c>
      <c r="F248" s="35">
        <v>1.71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0.82</v>
      </c>
      <c r="Q248" s="35">
        <v>3.34</v>
      </c>
      <c r="R248" s="35">
        <v>4.75</v>
      </c>
      <c r="S248" s="35">
        <v>3.43</v>
      </c>
      <c r="T248" s="35">
        <v>4.13</v>
      </c>
      <c r="U248" s="35">
        <v>21.14</v>
      </c>
      <c r="V248" s="35">
        <v>22.95</v>
      </c>
      <c r="W248" s="35">
        <v>36.47</v>
      </c>
      <c r="X248" s="35">
        <v>36.44</v>
      </c>
      <c r="Y248" s="35">
        <v>32.08</v>
      </c>
      <c r="Z248" s="35">
        <v>30.07</v>
      </c>
      <c r="AA248" s="35">
        <v>20.23</v>
      </c>
      <c r="AB248" s="45">
        <f t="shared" si="6"/>
        <v>233.37</v>
      </c>
      <c r="AC248" s="37">
        <v>6</v>
      </c>
      <c r="AD248" s="92"/>
    </row>
    <row r="249" spans="2:37">
      <c r="B249" s="90">
        <v>48976</v>
      </c>
      <c r="C249" s="44" t="s">
        <v>32</v>
      </c>
      <c r="D249" s="35">
        <v>12.4</v>
      </c>
      <c r="E249" s="35">
        <v>3.34</v>
      </c>
      <c r="F249" s="35">
        <v>0</v>
      </c>
      <c r="G249" s="35">
        <v>0</v>
      </c>
      <c r="H249" s="35">
        <v>0</v>
      </c>
      <c r="I249" s="35">
        <v>4.93</v>
      </c>
      <c r="J249" s="35">
        <v>2.13</v>
      </c>
      <c r="K249" s="35">
        <v>1.57</v>
      </c>
      <c r="L249" s="35">
        <v>12.45</v>
      </c>
      <c r="M249" s="35">
        <v>19.239999999999998</v>
      </c>
      <c r="N249" s="35">
        <v>22.93</v>
      </c>
      <c r="O249" s="35">
        <v>31.99</v>
      </c>
      <c r="P249" s="35">
        <v>33.630000000000003</v>
      </c>
      <c r="Q249" s="35">
        <v>28.38</v>
      </c>
      <c r="R249" s="35">
        <v>38.01</v>
      </c>
      <c r="S249" s="35">
        <v>38.520000000000003</v>
      </c>
      <c r="T249" s="35">
        <v>39.74</v>
      </c>
      <c r="U249" s="35">
        <v>48.14</v>
      </c>
      <c r="V249" s="35">
        <v>55.1</v>
      </c>
      <c r="W249" s="35">
        <v>56.19</v>
      </c>
      <c r="X249" s="35">
        <v>52.18</v>
      </c>
      <c r="Y249" s="35">
        <v>45.58</v>
      </c>
      <c r="Z249" s="35">
        <v>32.94</v>
      </c>
      <c r="AA249" s="35">
        <v>21.02</v>
      </c>
      <c r="AB249" s="45">
        <f t="shared" si="6"/>
        <v>600.41</v>
      </c>
      <c r="AC249" s="37">
        <v>20</v>
      </c>
      <c r="AD249" s="92">
        <f>+AB249*AC249+AB250*AC250+AB251*AC251</f>
        <v>14680.72</v>
      </c>
    </row>
    <row r="250" spans="2:37">
      <c r="B250" s="90"/>
      <c r="C250" s="44" t="s">
        <v>33</v>
      </c>
      <c r="D250" s="35">
        <v>14.82</v>
      </c>
      <c r="E250" s="35">
        <v>11.08</v>
      </c>
      <c r="F250" s="35">
        <v>0.54</v>
      </c>
      <c r="G250" s="35">
        <v>7.0000000000000007E-2</v>
      </c>
      <c r="H250" s="35">
        <v>2.4500000000000002</v>
      </c>
      <c r="I250" s="35">
        <v>1.45</v>
      </c>
      <c r="J250" s="35">
        <v>0</v>
      </c>
      <c r="K250" s="35">
        <v>0</v>
      </c>
      <c r="L250" s="35">
        <v>4.3499999999999996</v>
      </c>
      <c r="M250" s="35">
        <v>8.5</v>
      </c>
      <c r="N250" s="35">
        <v>9.6999999999999993</v>
      </c>
      <c r="O250" s="35">
        <v>15.85</v>
      </c>
      <c r="P250" s="35">
        <v>18.690000000000001</v>
      </c>
      <c r="Q250" s="35">
        <v>16.45</v>
      </c>
      <c r="R250" s="35">
        <v>21.49</v>
      </c>
      <c r="S250" s="35">
        <v>20.86</v>
      </c>
      <c r="T250" s="35">
        <v>20.47</v>
      </c>
      <c r="U250" s="35">
        <v>33.81</v>
      </c>
      <c r="V250" s="35">
        <v>47.28</v>
      </c>
      <c r="W250" s="35">
        <v>48.57</v>
      </c>
      <c r="X250" s="35">
        <v>41.03</v>
      </c>
      <c r="Y250" s="35">
        <v>37.06</v>
      </c>
      <c r="Z250" s="35">
        <v>30.45</v>
      </c>
      <c r="AA250" s="35">
        <v>21.66</v>
      </c>
      <c r="AB250" s="45">
        <f t="shared" si="6"/>
        <v>426.63</v>
      </c>
      <c r="AC250" s="37">
        <v>4</v>
      </c>
      <c r="AD250" s="92"/>
    </row>
    <row r="251" spans="2:37">
      <c r="B251" s="90"/>
      <c r="C251" s="44" t="s">
        <v>34</v>
      </c>
      <c r="D251" s="35">
        <v>8.39</v>
      </c>
      <c r="E251" s="35">
        <v>6.66</v>
      </c>
      <c r="F251" s="35">
        <v>1</v>
      </c>
      <c r="G251" s="35">
        <v>0</v>
      </c>
      <c r="H251" s="35">
        <v>0</v>
      </c>
      <c r="I251" s="35">
        <v>0</v>
      </c>
      <c r="J251" s="35">
        <v>0.36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1.32</v>
      </c>
      <c r="Q251" s="35">
        <v>4.9000000000000004</v>
      </c>
      <c r="R251" s="35">
        <v>5.45</v>
      </c>
      <c r="S251" s="35">
        <v>6.42</v>
      </c>
      <c r="T251" s="35">
        <v>7.63</v>
      </c>
      <c r="U251" s="35">
        <v>21.82</v>
      </c>
      <c r="V251" s="35">
        <v>27.84</v>
      </c>
      <c r="W251" s="35">
        <v>40.659999999999997</v>
      </c>
      <c r="X251" s="35">
        <v>36.33</v>
      </c>
      <c r="Y251" s="35">
        <v>32.090000000000003</v>
      </c>
      <c r="Z251" s="35">
        <v>24.31</v>
      </c>
      <c r="AA251" s="35">
        <v>16.32</v>
      </c>
      <c r="AB251" s="45">
        <f t="shared" si="6"/>
        <v>241.5</v>
      </c>
      <c r="AC251" s="37">
        <v>4</v>
      </c>
      <c r="AD251" s="92"/>
    </row>
    <row r="252" spans="2:37">
      <c r="B252" s="90">
        <v>49004</v>
      </c>
      <c r="C252" s="44" t="s">
        <v>32</v>
      </c>
      <c r="D252" s="35">
        <v>13.36</v>
      </c>
      <c r="E252" s="35">
        <v>4.43</v>
      </c>
      <c r="F252" s="35">
        <v>0.4</v>
      </c>
      <c r="G252" s="35">
        <v>0.62</v>
      </c>
      <c r="H252" s="35">
        <v>0.24</v>
      </c>
      <c r="I252" s="35">
        <v>6.53</v>
      </c>
      <c r="J252" s="35">
        <v>3.25</v>
      </c>
      <c r="K252" s="35">
        <v>2.8</v>
      </c>
      <c r="L252" s="35">
        <v>14</v>
      </c>
      <c r="M252" s="35">
        <v>20.58</v>
      </c>
      <c r="N252" s="35">
        <v>24.16</v>
      </c>
      <c r="O252" s="35">
        <v>32.03</v>
      </c>
      <c r="P252" s="35">
        <v>33.270000000000003</v>
      </c>
      <c r="Q252" s="35">
        <v>28.5</v>
      </c>
      <c r="R252" s="35">
        <v>38.93</v>
      </c>
      <c r="S252" s="35">
        <v>40.15</v>
      </c>
      <c r="T252" s="35">
        <v>41.33</v>
      </c>
      <c r="U252" s="35">
        <v>49.54</v>
      </c>
      <c r="V252" s="35">
        <v>56.25</v>
      </c>
      <c r="W252" s="35">
        <v>57.66</v>
      </c>
      <c r="X252" s="35">
        <v>53.86</v>
      </c>
      <c r="Y252" s="35">
        <v>46.68</v>
      </c>
      <c r="Z252" s="35">
        <v>34.33</v>
      </c>
      <c r="AA252" s="35">
        <v>22.36</v>
      </c>
      <c r="AB252" s="45">
        <f t="shared" si="6"/>
        <v>625.26</v>
      </c>
      <c r="AC252" s="37">
        <v>22</v>
      </c>
      <c r="AD252" s="92">
        <f>+AB252*AC252+AB253*AC253+AB254*AC254</f>
        <v>16628.72</v>
      </c>
    </row>
    <row r="253" spans="2:37">
      <c r="B253" s="90"/>
      <c r="C253" s="44" t="s">
        <v>33</v>
      </c>
      <c r="D253" s="35">
        <v>14.35</v>
      </c>
      <c r="E253" s="35">
        <v>4.83</v>
      </c>
      <c r="F253" s="35">
        <v>0.11</v>
      </c>
      <c r="G253" s="35">
        <v>0</v>
      </c>
      <c r="H253" s="35">
        <v>1.08</v>
      </c>
      <c r="I253" s="35">
        <v>0.44</v>
      </c>
      <c r="J253" s="35">
        <v>0</v>
      </c>
      <c r="K253" s="35">
        <v>0</v>
      </c>
      <c r="L253" s="35">
        <v>4.49</v>
      </c>
      <c r="M253" s="35">
        <v>9.2200000000000006</v>
      </c>
      <c r="N253" s="35">
        <v>10.46</v>
      </c>
      <c r="O253" s="35">
        <v>15.66</v>
      </c>
      <c r="P253" s="35">
        <v>18.66</v>
      </c>
      <c r="Q253" s="35">
        <v>17.78</v>
      </c>
      <c r="R253" s="35">
        <v>21.17</v>
      </c>
      <c r="S253" s="35">
        <v>20.74</v>
      </c>
      <c r="T253" s="35">
        <v>20.93</v>
      </c>
      <c r="U253" s="35">
        <v>33.53</v>
      </c>
      <c r="V253" s="35">
        <v>48.04</v>
      </c>
      <c r="W253" s="35">
        <v>47.38</v>
      </c>
      <c r="X253" s="35">
        <v>39.42</v>
      </c>
      <c r="Y253" s="35">
        <v>36.270000000000003</v>
      </c>
      <c r="Z253" s="35">
        <v>30.38</v>
      </c>
      <c r="AA253" s="35">
        <v>11.81</v>
      </c>
      <c r="AB253" s="45">
        <f t="shared" si="6"/>
        <v>406.75</v>
      </c>
      <c r="AC253" s="37">
        <v>4</v>
      </c>
      <c r="AD253" s="92"/>
    </row>
    <row r="254" spans="2:37">
      <c r="B254" s="90"/>
      <c r="C254" s="44" t="s">
        <v>34</v>
      </c>
      <c r="D254" s="35">
        <v>8.18</v>
      </c>
      <c r="E254" s="35">
        <v>5.8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1</v>
      </c>
      <c r="Q254" s="35">
        <v>4.6100000000000003</v>
      </c>
      <c r="R254" s="35">
        <v>5.51</v>
      </c>
      <c r="S254" s="35">
        <v>6.72</v>
      </c>
      <c r="T254" s="35">
        <v>9.68</v>
      </c>
      <c r="U254" s="35">
        <v>24.06</v>
      </c>
      <c r="V254" s="35">
        <v>31.98</v>
      </c>
      <c r="W254" s="35">
        <v>40.869999999999997</v>
      </c>
      <c r="X254" s="35">
        <v>39.479999999999997</v>
      </c>
      <c r="Y254" s="35">
        <v>35.74</v>
      </c>
      <c r="Z254" s="35">
        <v>21.23</v>
      </c>
      <c r="AA254" s="35">
        <v>14.34</v>
      </c>
      <c r="AB254" s="45">
        <f t="shared" si="6"/>
        <v>249.2</v>
      </c>
      <c r="AC254" s="37">
        <v>5</v>
      </c>
      <c r="AD254" s="92"/>
    </row>
    <row r="255" spans="2:37">
      <c r="B255" s="90">
        <v>49035</v>
      </c>
      <c r="C255" s="44" t="s">
        <v>32</v>
      </c>
      <c r="D255" s="35">
        <v>13.11</v>
      </c>
      <c r="E255" s="35">
        <v>6.06</v>
      </c>
      <c r="F255" s="35">
        <v>1.53</v>
      </c>
      <c r="G255" s="35">
        <v>1.24</v>
      </c>
      <c r="H255" s="35">
        <v>1.1599999999999999</v>
      </c>
      <c r="I255" s="35">
        <v>6.18</v>
      </c>
      <c r="J255" s="35">
        <v>2.4300000000000002</v>
      </c>
      <c r="K255" s="35">
        <v>1.75</v>
      </c>
      <c r="L255" s="35">
        <v>13.76</v>
      </c>
      <c r="M255" s="35">
        <v>20.22</v>
      </c>
      <c r="N255" s="35">
        <v>23.57</v>
      </c>
      <c r="O255" s="35">
        <v>33.44</v>
      </c>
      <c r="P255" s="35">
        <v>35.29</v>
      </c>
      <c r="Q255" s="35">
        <v>30.19</v>
      </c>
      <c r="R255" s="35">
        <v>40.71</v>
      </c>
      <c r="S255" s="35">
        <v>42.18</v>
      </c>
      <c r="T255" s="35">
        <v>43.6</v>
      </c>
      <c r="U255" s="35">
        <v>51.48</v>
      </c>
      <c r="V255" s="35">
        <v>58.45</v>
      </c>
      <c r="W255" s="35">
        <v>60.35</v>
      </c>
      <c r="X255" s="35">
        <v>56.26</v>
      </c>
      <c r="Y255" s="35">
        <v>49.02</v>
      </c>
      <c r="Z255" s="35">
        <v>36.75</v>
      </c>
      <c r="AA255" s="35">
        <v>24.05</v>
      </c>
      <c r="AB255" s="45">
        <f t="shared" si="6"/>
        <v>652.78</v>
      </c>
      <c r="AC255" s="37">
        <v>18</v>
      </c>
      <c r="AD255" s="92">
        <f>+AB255*AC255+AB256*AC256+AB257*AC257</f>
        <v>14725.06</v>
      </c>
    </row>
    <row r="256" spans="2:37">
      <c r="B256" s="90"/>
      <c r="C256" s="44" t="s">
        <v>33</v>
      </c>
      <c r="D256" s="35">
        <v>11.93</v>
      </c>
      <c r="E256" s="35">
        <v>10.49</v>
      </c>
      <c r="F256" s="35">
        <v>0.62</v>
      </c>
      <c r="G256" s="35">
        <v>0.18</v>
      </c>
      <c r="H256" s="35">
        <v>0</v>
      </c>
      <c r="I256" s="35">
        <v>0</v>
      </c>
      <c r="J256" s="35">
        <v>0</v>
      </c>
      <c r="K256" s="35">
        <v>0</v>
      </c>
      <c r="L256" s="35">
        <v>3.54</v>
      </c>
      <c r="M256" s="35">
        <v>8.9700000000000006</v>
      </c>
      <c r="N256" s="35">
        <v>9.94</v>
      </c>
      <c r="O256" s="35">
        <v>15.52</v>
      </c>
      <c r="P256" s="35">
        <v>19.91</v>
      </c>
      <c r="Q256" s="35">
        <v>17.71</v>
      </c>
      <c r="R256" s="35">
        <v>21.1</v>
      </c>
      <c r="S256" s="35">
        <v>22.38</v>
      </c>
      <c r="T256" s="35">
        <v>21.09</v>
      </c>
      <c r="U256" s="35">
        <v>35.950000000000003</v>
      </c>
      <c r="V256" s="35">
        <v>45.65</v>
      </c>
      <c r="W256" s="35">
        <v>45.8</v>
      </c>
      <c r="X256" s="35">
        <v>38.380000000000003</v>
      </c>
      <c r="Y256" s="35">
        <v>37.08</v>
      </c>
      <c r="Z256" s="35">
        <v>30.37</v>
      </c>
      <c r="AA256" s="35">
        <v>7.7</v>
      </c>
      <c r="AB256" s="45">
        <f t="shared" si="6"/>
        <v>404.31</v>
      </c>
      <c r="AC256" s="37">
        <v>5</v>
      </c>
      <c r="AD256" s="92"/>
    </row>
    <row r="257" spans="2:30">
      <c r="B257" s="90"/>
      <c r="C257" s="44" t="s">
        <v>34</v>
      </c>
      <c r="D257" s="35">
        <v>0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0.32</v>
      </c>
      <c r="S257" s="35">
        <v>0.48</v>
      </c>
      <c r="T257" s="35">
        <v>2.5</v>
      </c>
      <c r="U257" s="35">
        <v>11.37</v>
      </c>
      <c r="V257" s="35">
        <v>22.17</v>
      </c>
      <c r="W257" s="35">
        <v>32.090000000000003</v>
      </c>
      <c r="X257" s="35">
        <v>30.05</v>
      </c>
      <c r="Y257" s="35">
        <v>23.41</v>
      </c>
      <c r="Z257" s="35">
        <v>5.45</v>
      </c>
      <c r="AA257" s="35">
        <v>8.3699999999999992</v>
      </c>
      <c r="AB257" s="45">
        <f t="shared" si="6"/>
        <v>136.21</v>
      </c>
      <c r="AC257" s="37">
        <v>7</v>
      </c>
      <c r="AD257" s="92"/>
    </row>
    <row r="258" spans="2:30">
      <c r="B258" s="90">
        <v>49065</v>
      </c>
      <c r="C258" s="44" t="s">
        <v>32</v>
      </c>
      <c r="D258" s="35">
        <v>11.57</v>
      </c>
      <c r="E258" s="35">
        <v>5.13</v>
      </c>
      <c r="F258" s="35">
        <v>1.1200000000000001</v>
      </c>
      <c r="G258" s="35">
        <v>0.78</v>
      </c>
      <c r="H258" s="35">
        <v>0.14000000000000001</v>
      </c>
      <c r="I258" s="35">
        <v>4.83</v>
      </c>
      <c r="J258" s="35">
        <v>1.1100000000000001</v>
      </c>
      <c r="K258" s="35">
        <v>0.52</v>
      </c>
      <c r="L258" s="35">
        <v>13.2</v>
      </c>
      <c r="M258" s="35">
        <v>19.329999999999998</v>
      </c>
      <c r="N258" s="35">
        <v>22.8</v>
      </c>
      <c r="O258" s="35">
        <v>31.91</v>
      </c>
      <c r="P258" s="35">
        <v>32.72</v>
      </c>
      <c r="Q258" s="35">
        <v>28.9</v>
      </c>
      <c r="R258" s="35">
        <v>40.33</v>
      </c>
      <c r="S258" s="35">
        <v>42.06</v>
      </c>
      <c r="T258" s="35">
        <v>44.05</v>
      </c>
      <c r="U258" s="35">
        <v>51.14</v>
      </c>
      <c r="V258" s="35">
        <v>58.73</v>
      </c>
      <c r="W258" s="35">
        <v>60.24</v>
      </c>
      <c r="X258" s="35">
        <v>55.73</v>
      </c>
      <c r="Y258" s="35">
        <v>48.1</v>
      </c>
      <c r="Z258" s="35">
        <v>36.11</v>
      </c>
      <c r="AA258" s="35">
        <v>23.75</v>
      </c>
      <c r="AB258" s="45">
        <f t="shared" si="6"/>
        <v>634.29999999999995</v>
      </c>
      <c r="AC258" s="37">
        <v>21</v>
      </c>
      <c r="AD258" s="92">
        <f>+AB258*AC258+AB259*AC259+AB260*AC260</f>
        <v>15972.14</v>
      </c>
    </row>
    <row r="259" spans="2:30">
      <c r="B259" s="90"/>
      <c r="C259" s="44" t="s">
        <v>33</v>
      </c>
      <c r="D259" s="35">
        <v>8.91</v>
      </c>
      <c r="E259" s="35">
        <v>8.0500000000000007</v>
      </c>
      <c r="F259" s="35">
        <v>0.2</v>
      </c>
      <c r="G259" s="35">
        <v>0</v>
      </c>
      <c r="H259" s="35">
        <v>0.15</v>
      </c>
      <c r="I259" s="35">
        <v>1.27</v>
      </c>
      <c r="J259" s="35">
        <v>0</v>
      </c>
      <c r="K259" s="35">
        <v>0</v>
      </c>
      <c r="L259" s="35">
        <v>2.78</v>
      </c>
      <c r="M259" s="35">
        <v>7.3</v>
      </c>
      <c r="N259" s="35">
        <v>9.3699999999999992</v>
      </c>
      <c r="O259" s="35">
        <v>14.39</v>
      </c>
      <c r="P259" s="35">
        <v>18.21</v>
      </c>
      <c r="Q259" s="35">
        <v>15.84</v>
      </c>
      <c r="R259" s="35">
        <v>21.68</v>
      </c>
      <c r="S259" s="35">
        <v>22.81</v>
      </c>
      <c r="T259" s="35">
        <v>21.3</v>
      </c>
      <c r="U259" s="35">
        <v>38.229999999999997</v>
      </c>
      <c r="V259" s="35">
        <v>46</v>
      </c>
      <c r="W259" s="35">
        <v>46.69</v>
      </c>
      <c r="X259" s="35">
        <v>39.61</v>
      </c>
      <c r="Y259" s="35">
        <v>37.31</v>
      </c>
      <c r="Z259" s="35">
        <v>28.81</v>
      </c>
      <c r="AA259" s="35">
        <v>9.9600000000000009</v>
      </c>
      <c r="AB259" s="45">
        <f t="shared" si="6"/>
        <v>398.87</v>
      </c>
      <c r="AC259" s="37">
        <v>4</v>
      </c>
      <c r="AD259" s="92"/>
    </row>
    <row r="260" spans="2:30">
      <c r="B260" s="90"/>
      <c r="C260" s="44" t="s">
        <v>34</v>
      </c>
      <c r="D260" s="35">
        <v>2.4700000000000002</v>
      </c>
      <c r="E260" s="35">
        <v>6.08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0.48</v>
      </c>
      <c r="R260" s="35">
        <v>3.55</v>
      </c>
      <c r="S260" s="35">
        <v>2.0699999999999998</v>
      </c>
      <c r="T260" s="35">
        <v>4.4400000000000004</v>
      </c>
      <c r="U260" s="35">
        <v>13.46</v>
      </c>
      <c r="V260" s="35">
        <v>23.63</v>
      </c>
      <c r="W260" s="35">
        <v>31.4</v>
      </c>
      <c r="X260" s="35">
        <v>32.06</v>
      </c>
      <c r="Y260" s="35">
        <v>28.13</v>
      </c>
      <c r="Z260" s="35">
        <v>14.32</v>
      </c>
      <c r="AA260" s="35">
        <v>13.97</v>
      </c>
      <c r="AB260" s="45">
        <f t="shared" si="6"/>
        <v>176.06</v>
      </c>
      <c r="AC260" s="37">
        <v>6</v>
      </c>
      <c r="AD260" s="92"/>
    </row>
    <row r="261" spans="2:30">
      <c r="B261" s="90">
        <v>49096</v>
      </c>
      <c r="C261" s="44" t="s">
        <v>32</v>
      </c>
      <c r="D261" s="35">
        <v>11.25</v>
      </c>
      <c r="E261" s="35">
        <v>6.38</v>
      </c>
      <c r="F261" s="35">
        <v>2.06</v>
      </c>
      <c r="G261" s="35">
        <v>1.23</v>
      </c>
      <c r="H261" s="35">
        <v>1.0900000000000001</v>
      </c>
      <c r="I261" s="35">
        <v>5.31</v>
      </c>
      <c r="J261" s="35">
        <v>2.36</v>
      </c>
      <c r="K261" s="35">
        <v>2.42</v>
      </c>
      <c r="L261" s="35">
        <v>15.15</v>
      </c>
      <c r="M261" s="35">
        <v>21.43</v>
      </c>
      <c r="N261" s="35">
        <v>24.57</v>
      </c>
      <c r="O261" s="35">
        <v>33.770000000000003</v>
      </c>
      <c r="P261" s="35">
        <v>34.93</v>
      </c>
      <c r="Q261" s="35">
        <v>30.6</v>
      </c>
      <c r="R261" s="35">
        <v>40.46</v>
      </c>
      <c r="S261" s="35">
        <v>43.17</v>
      </c>
      <c r="T261" s="35">
        <v>44.87</v>
      </c>
      <c r="U261" s="35">
        <v>51.09</v>
      </c>
      <c r="V261" s="35">
        <v>58.6</v>
      </c>
      <c r="W261" s="35">
        <v>61.11</v>
      </c>
      <c r="X261" s="35">
        <v>57.1</v>
      </c>
      <c r="Y261" s="35">
        <v>49.28</v>
      </c>
      <c r="Z261" s="35">
        <v>37.18</v>
      </c>
      <c r="AA261" s="35">
        <v>24.96</v>
      </c>
      <c r="AB261" s="45">
        <f t="shared" si="6"/>
        <v>660.37</v>
      </c>
      <c r="AC261" s="37">
        <v>20</v>
      </c>
      <c r="AD261" s="92">
        <f>+AB261*AC261+AB262*AC262+AB263*AC263</f>
        <v>15886.76</v>
      </c>
    </row>
    <row r="262" spans="2:30">
      <c r="B262" s="90"/>
      <c r="C262" s="44" t="s">
        <v>33</v>
      </c>
      <c r="D262" s="35">
        <v>8.67</v>
      </c>
      <c r="E262" s="35">
        <v>11.15</v>
      </c>
      <c r="F262" s="35">
        <v>0.33</v>
      </c>
      <c r="G262" s="35">
        <v>0</v>
      </c>
      <c r="H262" s="35">
        <v>1.84</v>
      </c>
      <c r="I262" s="35">
        <v>2.0299999999999998</v>
      </c>
      <c r="J262" s="35">
        <v>0</v>
      </c>
      <c r="K262" s="35">
        <v>0</v>
      </c>
      <c r="L262" s="35">
        <v>3.71</v>
      </c>
      <c r="M262" s="35">
        <v>9.27</v>
      </c>
      <c r="N262" s="35">
        <v>10.35</v>
      </c>
      <c r="O262" s="35">
        <v>15.71</v>
      </c>
      <c r="P262" s="35">
        <v>19.16</v>
      </c>
      <c r="Q262" s="35">
        <v>17.18</v>
      </c>
      <c r="R262" s="35">
        <v>21.97</v>
      </c>
      <c r="S262" s="35">
        <v>22.06</v>
      </c>
      <c r="T262" s="35">
        <v>21.68</v>
      </c>
      <c r="U262" s="35">
        <v>35.630000000000003</v>
      </c>
      <c r="V262" s="35">
        <v>47.6</v>
      </c>
      <c r="W262" s="35">
        <v>45.79</v>
      </c>
      <c r="X262" s="35">
        <v>39.32</v>
      </c>
      <c r="Y262" s="35">
        <v>37.130000000000003</v>
      </c>
      <c r="Z262" s="35">
        <v>29.38</v>
      </c>
      <c r="AA262" s="35">
        <v>15.12</v>
      </c>
      <c r="AB262" s="45">
        <f t="shared" si="6"/>
        <v>415.08</v>
      </c>
      <c r="AC262" s="37">
        <v>4</v>
      </c>
      <c r="AD262" s="92"/>
    </row>
    <row r="263" spans="2:30">
      <c r="B263" s="90"/>
      <c r="C263" s="44" t="s">
        <v>34</v>
      </c>
      <c r="D263" s="35">
        <v>0</v>
      </c>
      <c r="E263" s="35">
        <v>1.59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1</v>
      </c>
      <c r="R263" s="35">
        <v>3.31</v>
      </c>
      <c r="S263" s="35">
        <v>1.55</v>
      </c>
      <c r="T263" s="35">
        <v>3.83</v>
      </c>
      <c r="U263" s="35">
        <v>15.34</v>
      </c>
      <c r="V263" s="35">
        <v>24.35</v>
      </c>
      <c r="W263" s="35">
        <v>31.83</v>
      </c>
      <c r="X263" s="35">
        <v>35.17</v>
      </c>
      <c r="Y263" s="35">
        <v>25.75</v>
      </c>
      <c r="Z263" s="35">
        <v>15.08</v>
      </c>
      <c r="AA263" s="35">
        <v>11.04</v>
      </c>
      <c r="AB263" s="45">
        <f t="shared" si="6"/>
        <v>169.84</v>
      </c>
      <c r="AC263" s="37">
        <v>6</v>
      </c>
      <c r="AD263" s="92"/>
    </row>
    <row r="264" spans="2:30">
      <c r="B264" s="90">
        <v>49126</v>
      </c>
      <c r="C264" s="44" t="s">
        <v>32</v>
      </c>
      <c r="D264" s="35">
        <v>13.72</v>
      </c>
      <c r="E264" s="35">
        <v>7.76</v>
      </c>
      <c r="F264" s="35">
        <v>3.14</v>
      </c>
      <c r="G264" s="35">
        <v>2.41</v>
      </c>
      <c r="H264" s="35">
        <v>2.41</v>
      </c>
      <c r="I264" s="35">
        <v>6.44</v>
      </c>
      <c r="J264" s="35">
        <v>3.89</v>
      </c>
      <c r="K264" s="35">
        <v>4.2</v>
      </c>
      <c r="L264" s="35">
        <v>17.13</v>
      </c>
      <c r="M264" s="35">
        <v>22.74</v>
      </c>
      <c r="N264" s="35">
        <v>27.05</v>
      </c>
      <c r="O264" s="35">
        <v>35.47</v>
      </c>
      <c r="P264" s="35">
        <v>36.99</v>
      </c>
      <c r="Q264" s="35">
        <v>32.28</v>
      </c>
      <c r="R264" s="35">
        <v>42.77</v>
      </c>
      <c r="S264" s="35">
        <v>45.93</v>
      </c>
      <c r="T264" s="35">
        <v>48.03</v>
      </c>
      <c r="U264" s="35">
        <v>54.58</v>
      </c>
      <c r="V264" s="35">
        <v>61.86</v>
      </c>
      <c r="W264" s="35">
        <v>64.930000000000007</v>
      </c>
      <c r="X264" s="35">
        <v>60.89</v>
      </c>
      <c r="Y264" s="35">
        <v>52.74</v>
      </c>
      <c r="Z264" s="35">
        <v>39.9</v>
      </c>
      <c r="AA264" s="35">
        <v>26.68</v>
      </c>
      <c r="AB264" s="45">
        <f t="shared" si="6"/>
        <v>713.94</v>
      </c>
      <c r="AC264" s="37">
        <v>19</v>
      </c>
      <c r="AD264" s="92">
        <f>+AB264*AC264+AB265*AC265+AB266*AC266</f>
        <v>17162.64</v>
      </c>
    </row>
    <row r="265" spans="2:30">
      <c r="B265" s="90"/>
      <c r="C265" s="44" t="s">
        <v>33</v>
      </c>
      <c r="D265" s="35">
        <v>8.39</v>
      </c>
      <c r="E265" s="35">
        <v>11.65</v>
      </c>
      <c r="F265" s="35">
        <v>3.4</v>
      </c>
      <c r="G265" s="35">
        <v>2.59</v>
      </c>
      <c r="H265" s="35">
        <v>1.66</v>
      </c>
      <c r="I265" s="35">
        <v>2.71</v>
      </c>
      <c r="J265" s="35">
        <v>0</v>
      </c>
      <c r="K265" s="35">
        <v>0</v>
      </c>
      <c r="L265" s="35">
        <v>4.2</v>
      </c>
      <c r="M265" s="35">
        <v>8.8000000000000007</v>
      </c>
      <c r="N265" s="35">
        <v>10.92</v>
      </c>
      <c r="O265" s="35">
        <v>15.32</v>
      </c>
      <c r="P265" s="35">
        <v>19.18</v>
      </c>
      <c r="Q265" s="35">
        <v>17.579999999999998</v>
      </c>
      <c r="R265" s="35">
        <v>21.13</v>
      </c>
      <c r="S265" s="35">
        <v>20.85</v>
      </c>
      <c r="T265" s="35">
        <v>21.72</v>
      </c>
      <c r="U265" s="35">
        <v>35.01</v>
      </c>
      <c r="V265" s="35">
        <v>49.01</v>
      </c>
      <c r="W265" s="35">
        <v>47.81</v>
      </c>
      <c r="X265" s="35">
        <v>42.15</v>
      </c>
      <c r="Y265" s="35">
        <v>37.619999999999997</v>
      </c>
      <c r="Z265" s="35">
        <v>29.94</v>
      </c>
      <c r="AA265" s="35">
        <v>22.82</v>
      </c>
      <c r="AB265" s="45">
        <f t="shared" si="6"/>
        <v>434.46</v>
      </c>
      <c r="AC265" s="37">
        <v>5</v>
      </c>
      <c r="AD265" s="92"/>
    </row>
    <row r="266" spans="2:30">
      <c r="B266" s="90"/>
      <c r="C266" s="44" t="s">
        <v>34</v>
      </c>
      <c r="D266" s="35">
        <v>0</v>
      </c>
      <c r="E266" s="35">
        <v>5.79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0.41</v>
      </c>
      <c r="R266" s="35">
        <v>2.6</v>
      </c>
      <c r="S266" s="35">
        <v>1.26</v>
      </c>
      <c r="T266" s="35">
        <v>4.38</v>
      </c>
      <c r="U266" s="35">
        <v>15.99</v>
      </c>
      <c r="V266" s="35">
        <v>27.92</v>
      </c>
      <c r="W266" s="35">
        <v>36.08</v>
      </c>
      <c r="X266" s="35">
        <v>36.909999999999997</v>
      </c>
      <c r="Y266" s="35">
        <v>34.840000000000003</v>
      </c>
      <c r="Z266" s="35">
        <v>20.57</v>
      </c>
      <c r="AA266" s="35">
        <v>16.89</v>
      </c>
      <c r="AB266" s="45">
        <f t="shared" si="6"/>
        <v>203.64</v>
      </c>
      <c r="AC266" s="37">
        <v>7</v>
      </c>
      <c r="AD266" s="92"/>
    </row>
    <row r="267" spans="2:30">
      <c r="B267" s="90">
        <v>49157</v>
      </c>
      <c r="C267" s="44" t="s">
        <v>32</v>
      </c>
      <c r="D267" s="35">
        <v>12.82</v>
      </c>
      <c r="E267" s="35">
        <v>6.59</v>
      </c>
      <c r="F267" s="35">
        <v>1.57</v>
      </c>
      <c r="G267" s="35">
        <v>2.33</v>
      </c>
      <c r="H267" s="35">
        <v>1.69</v>
      </c>
      <c r="I267" s="35">
        <v>7.2</v>
      </c>
      <c r="J267" s="35">
        <v>3.11</v>
      </c>
      <c r="K267" s="35">
        <v>3.72</v>
      </c>
      <c r="L267" s="35">
        <v>16.5</v>
      </c>
      <c r="M267" s="35">
        <v>23.23</v>
      </c>
      <c r="N267" s="35">
        <v>27.92</v>
      </c>
      <c r="O267" s="35">
        <v>37.22</v>
      </c>
      <c r="P267" s="35">
        <v>37.76</v>
      </c>
      <c r="Q267" s="35">
        <v>30.41</v>
      </c>
      <c r="R267" s="35">
        <v>43.15</v>
      </c>
      <c r="S267" s="35">
        <v>45.62</v>
      </c>
      <c r="T267" s="35">
        <v>47.4</v>
      </c>
      <c r="U267" s="35">
        <v>54.53</v>
      </c>
      <c r="V267" s="35">
        <v>61.82</v>
      </c>
      <c r="W267" s="35">
        <v>63.98</v>
      </c>
      <c r="X267" s="35">
        <v>60.12</v>
      </c>
      <c r="Y267" s="35">
        <v>51.72</v>
      </c>
      <c r="Z267" s="35">
        <v>38.229999999999997</v>
      </c>
      <c r="AA267" s="35">
        <v>24.91</v>
      </c>
      <c r="AB267" s="45">
        <f t="shared" si="6"/>
        <v>703.55</v>
      </c>
      <c r="AC267" s="37">
        <v>21</v>
      </c>
      <c r="AD267" s="92">
        <f>+AB267*AC267+AB268*AC268+AB269*AC269</f>
        <v>17654.810000000001</v>
      </c>
    </row>
    <row r="268" spans="2:30">
      <c r="B268" s="90"/>
      <c r="C268" s="44" t="s">
        <v>33</v>
      </c>
      <c r="D268" s="35">
        <v>8.6</v>
      </c>
      <c r="E268" s="35">
        <v>9</v>
      </c>
      <c r="F268" s="35">
        <v>0.63</v>
      </c>
      <c r="G268" s="35">
        <v>0.39</v>
      </c>
      <c r="H268" s="35">
        <v>0.3</v>
      </c>
      <c r="I268" s="35">
        <v>2.42</v>
      </c>
      <c r="J268" s="35">
        <v>0</v>
      </c>
      <c r="K268" s="35">
        <v>0</v>
      </c>
      <c r="L268" s="35">
        <v>3.72</v>
      </c>
      <c r="M268" s="35">
        <v>9.07</v>
      </c>
      <c r="N268" s="35">
        <v>11.45</v>
      </c>
      <c r="O268" s="35">
        <v>17.05</v>
      </c>
      <c r="P268" s="35">
        <v>19.57</v>
      </c>
      <c r="Q268" s="35">
        <v>17.5</v>
      </c>
      <c r="R268" s="35">
        <v>20.54</v>
      </c>
      <c r="S268" s="35">
        <v>20.6</v>
      </c>
      <c r="T268" s="35">
        <v>20.78</v>
      </c>
      <c r="U268" s="35">
        <v>34.4</v>
      </c>
      <c r="V268" s="35">
        <v>47.95</v>
      </c>
      <c r="W268" s="35">
        <v>51.63</v>
      </c>
      <c r="X268" s="35">
        <v>43.88</v>
      </c>
      <c r="Y268" s="35">
        <v>37.409999999999997</v>
      </c>
      <c r="Z268" s="35">
        <v>29.98</v>
      </c>
      <c r="AA268" s="35">
        <v>20.260000000000002</v>
      </c>
      <c r="AB268" s="45">
        <f t="shared" si="6"/>
        <v>427.13</v>
      </c>
      <c r="AC268" s="37">
        <v>4</v>
      </c>
      <c r="AD268" s="92"/>
    </row>
    <row r="269" spans="2:30">
      <c r="B269" s="90"/>
      <c r="C269" s="44" t="s">
        <v>34</v>
      </c>
      <c r="D269" s="35">
        <v>0</v>
      </c>
      <c r="E269" s="35">
        <v>3.79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1.85</v>
      </c>
      <c r="S269" s="35">
        <v>1.01</v>
      </c>
      <c r="T269" s="35">
        <v>4.2300000000000004</v>
      </c>
      <c r="U269" s="35">
        <v>16.079999999999998</v>
      </c>
      <c r="V269" s="35">
        <v>29.77</v>
      </c>
      <c r="W269" s="35">
        <v>35.770000000000003</v>
      </c>
      <c r="X269" s="35">
        <v>34.57</v>
      </c>
      <c r="Y269" s="35">
        <v>34.590000000000003</v>
      </c>
      <c r="Z269" s="35">
        <v>15.87</v>
      </c>
      <c r="AA269" s="35">
        <v>17.760000000000002</v>
      </c>
      <c r="AB269" s="45">
        <f t="shared" si="6"/>
        <v>195.29</v>
      </c>
      <c r="AC269" s="37">
        <v>6</v>
      </c>
      <c r="AD269" s="92"/>
    </row>
    <row r="270" spans="2:30">
      <c r="B270" s="90">
        <v>49188</v>
      </c>
      <c r="C270" s="44" t="s">
        <v>32</v>
      </c>
      <c r="D270" s="35">
        <v>14.27</v>
      </c>
      <c r="E270" s="35">
        <v>7.58</v>
      </c>
      <c r="F270" s="35">
        <v>2.19</v>
      </c>
      <c r="G270" s="35">
        <v>3.29</v>
      </c>
      <c r="H270" s="35">
        <v>2.98</v>
      </c>
      <c r="I270" s="35">
        <v>8.6300000000000008</v>
      </c>
      <c r="J270" s="35">
        <v>4.58</v>
      </c>
      <c r="K270" s="35">
        <v>4.5999999999999996</v>
      </c>
      <c r="L270" s="35">
        <v>18.41</v>
      </c>
      <c r="M270" s="35">
        <v>24.71</v>
      </c>
      <c r="N270" s="35">
        <v>28.77</v>
      </c>
      <c r="O270" s="35">
        <v>37.909999999999997</v>
      </c>
      <c r="P270" s="35">
        <v>38.64</v>
      </c>
      <c r="Q270" s="35">
        <v>32.85</v>
      </c>
      <c r="R270" s="35">
        <v>46.62</v>
      </c>
      <c r="S270" s="35">
        <v>49.02</v>
      </c>
      <c r="T270" s="35">
        <v>50.55</v>
      </c>
      <c r="U270" s="35">
        <v>56.84</v>
      </c>
      <c r="V270" s="35">
        <v>64.08</v>
      </c>
      <c r="W270" s="35">
        <v>65.739999999999995</v>
      </c>
      <c r="X270" s="35">
        <v>61.91</v>
      </c>
      <c r="Y270" s="35">
        <v>53.42</v>
      </c>
      <c r="Z270" s="35">
        <v>39.85</v>
      </c>
      <c r="AA270" s="35">
        <v>25.85</v>
      </c>
      <c r="AB270" s="45">
        <f t="shared" si="6"/>
        <v>743.29</v>
      </c>
      <c r="AC270" s="37">
        <v>21</v>
      </c>
      <c r="AD270" s="92">
        <f>+AB270*AC270+AB271*AC271+AB272*AC272</f>
        <v>18510.54</v>
      </c>
    </row>
    <row r="271" spans="2:30">
      <c r="B271" s="90"/>
      <c r="C271" s="44" t="s">
        <v>33</v>
      </c>
      <c r="D271" s="35">
        <v>9</v>
      </c>
      <c r="E271" s="35">
        <v>9.34</v>
      </c>
      <c r="F271" s="35">
        <v>0.27</v>
      </c>
      <c r="G271" s="35">
        <v>0</v>
      </c>
      <c r="H271" s="35">
        <v>0.15</v>
      </c>
      <c r="I271" s="35">
        <v>0.82</v>
      </c>
      <c r="J271" s="35">
        <v>0</v>
      </c>
      <c r="K271" s="35">
        <v>0</v>
      </c>
      <c r="L271" s="35">
        <v>3.92</v>
      </c>
      <c r="M271" s="35">
        <v>9.09</v>
      </c>
      <c r="N271" s="35">
        <v>11.25</v>
      </c>
      <c r="O271" s="35">
        <v>17.93</v>
      </c>
      <c r="P271" s="35">
        <v>18.93</v>
      </c>
      <c r="Q271" s="35">
        <v>18.8</v>
      </c>
      <c r="R271" s="35">
        <v>22.13</v>
      </c>
      <c r="S271" s="35">
        <v>21.74</v>
      </c>
      <c r="T271" s="35">
        <v>22.09</v>
      </c>
      <c r="U271" s="35">
        <v>34.51</v>
      </c>
      <c r="V271" s="35">
        <v>46.91</v>
      </c>
      <c r="W271" s="35">
        <v>53.08</v>
      </c>
      <c r="X271" s="35">
        <v>44.74</v>
      </c>
      <c r="Y271" s="35">
        <v>36.92</v>
      </c>
      <c r="Z271" s="35">
        <v>29.91</v>
      </c>
      <c r="AA271" s="35">
        <v>18.2</v>
      </c>
      <c r="AB271" s="45">
        <f t="shared" si="6"/>
        <v>429.73</v>
      </c>
      <c r="AC271" s="37">
        <v>5</v>
      </c>
      <c r="AD271" s="92"/>
    </row>
    <row r="272" spans="2:30">
      <c r="B272" s="90"/>
      <c r="C272" s="44" t="s">
        <v>34</v>
      </c>
      <c r="D272" s="35">
        <v>3.23</v>
      </c>
      <c r="E272" s="35">
        <v>3.11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0.7</v>
      </c>
      <c r="R272" s="35">
        <v>3.88</v>
      </c>
      <c r="S272" s="35">
        <v>3.97</v>
      </c>
      <c r="T272" s="35">
        <v>6.05</v>
      </c>
      <c r="U272" s="35">
        <v>17.649999999999999</v>
      </c>
      <c r="V272" s="35">
        <v>26.47</v>
      </c>
      <c r="W272" s="35">
        <v>38.369999999999997</v>
      </c>
      <c r="X272" s="35">
        <v>33.369999999999997</v>
      </c>
      <c r="Y272" s="35">
        <v>29.65</v>
      </c>
      <c r="Z272" s="35">
        <v>8.73</v>
      </c>
      <c r="AA272" s="35">
        <v>13.02</v>
      </c>
      <c r="AB272" s="45">
        <f t="shared" si="6"/>
        <v>188.2</v>
      </c>
      <c r="AC272" s="37">
        <v>4</v>
      </c>
      <c r="AD272" s="92"/>
    </row>
    <row r="273" spans="2:30">
      <c r="B273" s="90">
        <v>49218</v>
      </c>
      <c r="C273" s="44" t="s">
        <v>32</v>
      </c>
      <c r="D273" s="35">
        <v>12.43</v>
      </c>
      <c r="E273" s="35">
        <v>7.04</v>
      </c>
      <c r="F273" s="35">
        <v>2.1</v>
      </c>
      <c r="G273" s="35">
        <v>2.31</v>
      </c>
      <c r="H273" s="35">
        <v>1.71</v>
      </c>
      <c r="I273" s="35">
        <v>6.47</v>
      </c>
      <c r="J273" s="35">
        <v>2.4500000000000002</v>
      </c>
      <c r="K273" s="35">
        <v>2.94</v>
      </c>
      <c r="L273" s="35">
        <v>17.22</v>
      </c>
      <c r="M273" s="35">
        <v>23.47</v>
      </c>
      <c r="N273" s="35">
        <v>28.24</v>
      </c>
      <c r="O273" s="35">
        <v>38.130000000000003</v>
      </c>
      <c r="P273" s="35">
        <v>40.299999999999997</v>
      </c>
      <c r="Q273" s="35">
        <v>33.840000000000003</v>
      </c>
      <c r="R273" s="35">
        <v>45.98</v>
      </c>
      <c r="S273" s="35">
        <v>47.39</v>
      </c>
      <c r="T273" s="35">
        <v>48.7</v>
      </c>
      <c r="U273" s="35">
        <v>55.66</v>
      </c>
      <c r="V273" s="35">
        <v>62.78</v>
      </c>
      <c r="W273" s="35">
        <v>63.93</v>
      </c>
      <c r="X273" s="35">
        <v>59.48</v>
      </c>
      <c r="Y273" s="35">
        <v>51.77</v>
      </c>
      <c r="Z273" s="35">
        <v>39.32</v>
      </c>
      <c r="AA273" s="35">
        <v>25.75</v>
      </c>
      <c r="AB273" s="45">
        <f t="shared" si="6"/>
        <v>719.41</v>
      </c>
      <c r="AC273" s="37">
        <v>21</v>
      </c>
      <c r="AD273" s="92">
        <f>+AB273*AC273+AB274*AC274+AB275*AC275</f>
        <v>18174.689999999999</v>
      </c>
    </row>
    <row r="274" spans="2:30">
      <c r="B274" s="90"/>
      <c r="C274" s="44" t="s">
        <v>33</v>
      </c>
      <c r="D274" s="35">
        <v>9.4700000000000006</v>
      </c>
      <c r="E274" s="35">
        <v>8.57</v>
      </c>
      <c r="F274" s="35">
        <v>0</v>
      </c>
      <c r="G274" s="35">
        <v>0</v>
      </c>
      <c r="H274" s="35">
        <v>0.21</v>
      </c>
      <c r="I274" s="35">
        <v>0.45</v>
      </c>
      <c r="J274" s="35">
        <v>0</v>
      </c>
      <c r="K274" s="35">
        <v>0</v>
      </c>
      <c r="L274" s="35">
        <v>3.88</v>
      </c>
      <c r="M274" s="35">
        <v>9.39</v>
      </c>
      <c r="N274" s="35">
        <v>12.64</v>
      </c>
      <c r="O274" s="35">
        <v>20.9</v>
      </c>
      <c r="P274" s="35">
        <v>21.34</v>
      </c>
      <c r="Q274" s="35">
        <v>20.23</v>
      </c>
      <c r="R274" s="35">
        <v>23.58</v>
      </c>
      <c r="S274" s="35">
        <v>21.83</v>
      </c>
      <c r="T274" s="35">
        <v>22.26</v>
      </c>
      <c r="U274" s="35">
        <v>34.92</v>
      </c>
      <c r="V274" s="35">
        <v>46.73</v>
      </c>
      <c r="W274" s="35">
        <v>53.11</v>
      </c>
      <c r="X274" s="35">
        <v>45.17</v>
      </c>
      <c r="Y274" s="35">
        <v>36.770000000000003</v>
      </c>
      <c r="Z274" s="35">
        <v>29.86</v>
      </c>
      <c r="AA274" s="35">
        <v>19.239999999999998</v>
      </c>
      <c r="AB274" s="45">
        <f t="shared" si="6"/>
        <v>440.55</v>
      </c>
      <c r="AC274" s="37">
        <v>4</v>
      </c>
      <c r="AD274" s="92"/>
    </row>
    <row r="275" spans="2:30">
      <c r="B275" s="90"/>
      <c r="C275" s="44" t="s">
        <v>34</v>
      </c>
      <c r="D275" s="35">
        <v>5.98</v>
      </c>
      <c r="E275" s="35">
        <v>9.2899999999999991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2.67</v>
      </c>
      <c r="P275" s="35">
        <v>0.59</v>
      </c>
      <c r="Q275" s="35">
        <v>3.53</v>
      </c>
      <c r="R275" s="35">
        <v>5.98</v>
      </c>
      <c r="S275" s="35">
        <v>4.0599999999999996</v>
      </c>
      <c r="T275" s="35">
        <v>6.71</v>
      </c>
      <c r="U275" s="35">
        <v>21.26</v>
      </c>
      <c r="V275" s="35">
        <v>27.36</v>
      </c>
      <c r="W275" s="35">
        <v>36.409999999999997</v>
      </c>
      <c r="X275" s="35">
        <v>35</v>
      </c>
      <c r="Y275" s="35">
        <v>29.85</v>
      </c>
      <c r="Z275" s="35">
        <v>14.56</v>
      </c>
      <c r="AA275" s="35">
        <v>14.23</v>
      </c>
      <c r="AB275" s="45">
        <f t="shared" si="6"/>
        <v>217.48</v>
      </c>
      <c r="AC275" s="37">
        <v>6</v>
      </c>
      <c r="AD275" s="92"/>
    </row>
    <row r="276" spans="2:30">
      <c r="B276" s="90">
        <v>49249</v>
      </c>
      <c r="C276" s="44" t="s">
        <v>32</v>
      </c>
      <c r="D276" s="35">
        <v>11.5</v>
      </c>
      <c r="E276" s="35">
        <v>6.18</v>
      </c>
      <c r="F276" s="35">
        <v>1.29</v>
      </c>
      <c r="G276" s="35">
        <v>1.71</v>
      </c>
      <c r="H276" s="35">
        <v>0.93</v>
      </c>
      <c r="I276" s="35">
        <v>5.94</v>
      </c>
      <c r="J276" s="35">
        <v>1.89</v>
      </c>
      <c r="K276" s="35">
        <v>2.64</v>
      </c>
      <c r="L276" s="35">
        <v>16.39</v>
      </c>
      <c r="M276" s="35">
        <v>22.86</v>
      </c>
      <c r="N276" s="35">
        <v>26.83</v>
      </c>
      <c r="O276" s="35">
        <v>35.479999999999997</v>
      </c>
      <c r="P276" s="35">
        <v>36.99</v>
      </c>
      <c r="Q276" s="35">
        <v>31.57</v>
      </c>
      <c r="R276" s="35">
        <v>45</v>
      </c>
      <c r="S276" s="35">
        <v>47.21</v>
      </c>
      <c r="T276" s="35">
        <v>48.62</v>
      </c>
      <c r="U276" s="35">
        <v>55.51</v>
      </c>
      <c r="V276" s="35">
        <v>62.79</v>
      </c>
      <c r="W276" s="35">
        <v>63.73</v>
      </c>
      <c r="X276" s="35">
        <v>59.14</v>
      </c>
      <c r="Y276" s="35">
        <v>51.15</v>
      </c>
      <c r="Z276" s="35">
        <v>38.619999999999997</v>
      </c>
      <c r="AA276" s="35">
        <v>24.64</v>
      </c>
      <c r="AB276" s="45">
        <f t="shared" si="6"/>
        <v>698.61</v>
      </c>
      <c r="AC276" s="37">
        <v>20</v>
      </c>
      <c r="AD276" s="92">
        <f>+AB276*AC276+AB277*AC277+AB278*AC278</f>
        <v>17030.52</v>
      </c>
    </row>
    <row r="277" spans="2:30">
      <c r="B277" s="90"/>
      <c r="C277" s="44" t="s">
        <v>33</v>
      </c>
      <c r="D277" s="35">
        <v>9.4600000000000009</v>
      </c>
      <c r="E277" s="35">
        <v>8.31</v>
      </c>
      <c r="F277" s="35">
        <v>0</v>
      </c>
      <c r="G277" s="35">
        <v>0</v>
      </c>
      <c r="H277" s="35">
        <v>0.05</v>
      </c>
      <c r="I277" s="35">
        <v>1.3</v>
      </c>
      <c r="J277" s="35">
        <v>0</v>
      </c>
      <c r="K277" s="35">
        <v>0</v>
      </c>
      <c r="L277" s="35">
        <v>3.71</v>
      </c>
      <c r="M277" s="35">
        <v>9.33</v>
      </c>
      <c r="N277" s="35">
        <v>11.24</v>
      </c>
      <c r="O277" s="35">
        <v>19.14</v>
      </c>
      <c r="P277" s="35">
        <v>18.64</v>
      </c>
      <c r="Q277" s="35">
        <v>17.940000000000001</v>
      </c>
      <c r="R277" s="35">
        <v>23.91</v>
      </c>
      <c r="S277" s="35">
        <v>22.85</v>
      </c>
      <c r="T277" s="35">
        <v>22.97</v>
      </c>
      <c r="U277" s="35">
        <v>35.06</v>
      </c>
      <c r="V277" s="35">
        <v>46.28</v>
      </c>
      <c r="W277" s="35">
        <v>53.92</v>
      </c>
      <c r="X277" s="35">
        <v>42.92</v>
      </c>
      <c r="Y277" s="35">
        <v>36.72</v>
      </c>
      <c r="Z277" s="35">
        <v>29.59</v>
      </c>
      <c r="AA277" s="35">
        <v>18.66</v>
      </c>
      <c r="AB277" s="45">
        <f t="shared" si="6"/>
        <v>432</v>
      </c>
      <c r="AC277" s="37">
        <v>4</v>
      </c>
      <c r="AD277" s="92"/>
    </row>
    <row r="278" spans="2:30">
      <c r="B278" s="90"/>
      <c r="C278" s="44" t="s">
        <v>34</v>
      </c>
      <c r="D278" s="35">
        <v>2.14</v>
      </c>
      <c r="E278" s="35">
        <v>1.67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1.24</v>
      </c>
      <c r="P278" s="35">
        <v>0</v>
      </c>
      <c r="Q278" s="35">
        <v>3.04</v>
      </c>
      <c r="R278" s="35">
        <v>6.94</v>
      </c>
      <c r="S278" s="35">
        <v>4.92</v>
      </c>
      <c r="T278" s="35">
        <v>7.88</v>
      </c>
      <c r="U278" s="35">
        <v>21.34</v>
      </c>
      <c r="V278" s="35">
        <v>28.05</v>
      </c>
      <c r="W278" s="35">
        <v>39.07</v>
      </c>
      <c r="X278" s="35">
        <v>37.619999999999997</v>
      </c>
      <c r="Y278" s="35">
        <v>35.33</v>
      </c>
      <c r="Z278" s="35">
        <v>17.22</v>
      </c>
      <c r="AA278" s="35">
        <v>15.26</v>
      </c>
      <c r="AB278" s="45">
        <f t="shared" si="6"/>
        <v>221.72</v>
      </c>
      <c r="AC278" s="37">
        <v>6</v>
      </c>
      <c r="AD278" s="92"/>
    </row>
    <row r="279" spans="2:30">
      <c r="B279" s="90">
        <v>49279</v>
      </c>
      <c r="C279" s="44" t="s">
        <v>32</v>
      </c>
      <c r="D279" s="35">
        <v>14.44</v>
      </c>
      <c r="E279" s="35">
        <v>8.39</v>
      </c>
      <c r="F279" s="35">
        <v>3.8</v>
      </c>
      <c r="G279" s="35">
        <v>3.1</v>
      </c>
      <c r="H279" s="35">
        <v>3.44</v>
      </c>
      <c r="I279" s="35">
        <v>6.93</v>
      </c>
      <c r="J279" s="35">
        <v>5.96</v>
      </c>
      <c r="K279" s="35">
        <v>4.59</v>
      </c>
      <c r="L279" s="35">
        <v>17.920000000000002</v>
      </c>
      <c r="M279" s="35">
        <v>23.61</v>
      </c>
      <c r="N279" s="35">
        <v>27.25</v>
      </c>
      <c r="O279" s="35">
        <v>35.9</v>
      </c>
      <c r="P279" s="35">
        <v>37.6</v>
      </c>
      <c r="Q279" s="35">
        <v>32.78</v>
      </c>
      <c r="R279" s="35">
        <v>43.84</v>
      </c>
      <c r="S279" s="35">
        <v>47.52</v>
      </c>
      <c r="T279" s="35">
        <v>49.83</v>
      </c>
      <c r="U279" s="35">
        <v>55.7</v>
      </c>
      <c r="V279" s="35">
        <v>63.72</v>
      </c>
      <c r="W279" s="35">
        <v>66.77</v>
      </c>
      <c r="X279" s="35">
        <v>62.67</v>
      </c>
      <c r="Y279" s="35">
        <v>54.46</v>
      </c>
      <c r="Z279" s="35">
        <v>41.96</v>
      </c>
      <c r="AA279" s="35">
        <v>28.18</v>
      </c>
      <c r="AB279" s="45">
        <f t="shared" si="6"/>
        <v>740.36</v>
      </c>
      <c r="AC279" s="37">
        <v>19</v>
      </c>
      <c r="AD279" s="92">
        <f>+AB279*AC279+AB280*AC280+AB281*AC281</f>
        <v>17750.18</v>
      </c>
    </row>
    <row r="280" spans="2:30">
      <c r="B280" s="90"/>
      <c r="C280" s="44" t="s">
        <v>33</v>
      </c>
      <c r="D280" s="35">
        <v>8.77</v>
      </c>
      <c r="E280" s="35">
        <v>8.64</v>
      </c>
      <c r="F280" s="35">
        <v>0</v>
      </c>
      <c r="G280" s="35">
        <v>0</v>
      </c>
      <c r="H280" s="35">
        <v>0.71</v>
      </c>
      <c r="I280" s="35">
        <v>3.33</v>
      </c>
      <c r="J280" s="35">
        <v>0</v>
      </c>
      <c r="K280" s="35">
        <v>0</v>
      </c>
      <c r="L280" s="35">
        <v>3.6</v>
      </c>
      <c r="M280" s="35">
        <v>8.26</v>
      </c>
      <c r="N280" s="35">
        <v>10.28</v>
      </c>
      <c r="O280" s="35">
        <v>18.68</v>
      </c>
      <c r="P280" s="35">
        <v>17.260000000000002</v>
      </c>
      <c r="Q280" s="35">
        <v>15.38</v>
      </c>
      <c r="R280" s="35">
        <v>22.04</v>
      </c>
      <c r="S280" s="35">
        <v>21.25</v>
      </c>
      <c r="T280" s="35">
        <v>22.07</v>
      </c>
      <c r="U280" s="35">
        <v>34.979999999999997</v>
      </c>
      <c r="V280" s="35">
        <v>45.92</v>
      </c>
      <c r="W280" s="35">
        <v>52.5</v>
      </c>
      <c r="X280" s="35">
        <v>40.450000000000003</v>
      </c>
      <c r="Y280" s="35">
        <v>36.43</v>
      </c>
      <c r="Z280" s="35">
        <v>29.16</v>
      </c>
      <c r="AA280" s="35">
        <v>24.17</v>
      </c>
      <c r="AB280" s="45">
        <f t="shared" si="6"/>
        <v>423.88</v>
      </c>
      <c r="AC280" s="37">
        <v>5</v>
      </c>
      <c r="AD280" s="92"/>
    </row>
    <row r="281" spans="2:30">
      <c r="B281" s="90"/>
      <c r="C281" s="44" t="s">
        <v>34</v>
      </c>
      <c r="D281" s="35">
        <v>6.76</v>
      </c>
      <c r="E281" s="35">
        <v>11.07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1.41</v>
      </c>
      <c r="P281" s="35">
        <v>0</v>
      </c>
      <c r="Q281" s="35">
        <v>2.5099999999999998</v>
      </c>
      <c r="R281" s="35">
        <v>5.19</v>
      </c>
      <c r="S281" s="35">
        <v>3.49</v>
      </c>
      <c r="T281" s="35">
        <v>6.21</v>
      </c>
      <c r="U281" s="35">
        <v>20.48</v>
      </c>
      <c r="V281" s="35">
        <v>24.44</v>
      </c>
      <c r="W281" s="35">
        <v>36.92</v>
      </c>
      <c r="X281" s="35">
        <v>35.89</v>
      </c>
      <c r="Y281" s="35">
        <v>35.880000000000003</v>
      </c>
      <c r="Z281" s="35">
        <v>15.36</v>
      </c>
      <c r="AA281" s="35">
        <v>17.809999999999999</v>
      </c>
      <c r="AB281" s="45">
        <f t="shared" si="6"/>
        <v>223.42</v>
      </c>
      <c r="AC281" s="37">
        <v>7</v>
      </c>
      <c r="AD281" s="92"/>
    </row>
    <row r="282" spans="2:30"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86" t="s">
        <v>35</v>
      </c>
      <c r="AB282" s="87"/>
      <c r="AC282" s="88"/>
      <c r="AD282" s="39">
        <f>SUM(AD246:AD281)</f>
        <v>201652.36</v>
      </c>
    </row>
    <row r="283" spans="2:30"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 spans="2:30" ht="23.25">
      <c r="B284" s="41" t="s">
        <v>84</v>
      </c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40"/>
      <c r="AC284" s="40"/>
      <c r="AD284" s="38"/>
    </row>
    <row r="285" spans="2:30">
      <c r="B285" s="42" t="s">
        <v>3</v>
      </c>
      <c r="C285" s="42" t="s">
        <v>4</v>
      </c>
      <c r="D285" s="42" t="s">
        <v>5</v>
      </c>
      <c r="E285" s="42" t="s">
        <v>6</v>
      </c>
      <c r="F285" s="42" t="s">
        <v>7</v>
      </c>
      <c r="G285" s="42" t="s">
        <v>8</v>
      </c>
      <c r="H285" s="42" t="s">
        <v>9</v>
      </c>
      <c r="I285" s="42" t="s">
        <v>10</v>
      </c>
      <c r="J285" s="42" t="s">
        <v>11</v>
      </c>
      <c r="K285" s="42" t="s">
        <v>12</v>
      </c>
      <c r="L285" s="42" t="s">
        <v>13</v>
      </c>
      <c r="M285" s="42" t="s">
        <v>14</v>
      </c>
      <c r="N285" s="42" t="s">
        <v>15</v>
      </c>
      <c r="O285" s="42" t="s">
        <v>16</v>
      </c>
      <c r="P285" s="42" t="s">
        <v>17</v>
      </c>
      <c r="Q285" s="42" t="s">
        <v>18</v>
      </c>
      <c r="R285" s="42" t="s">
        <v>19</v>
      </c>
      <c r="S285" s="42" t="s">
        <v>20</v>
      </c>
      <c r="T285" s="42" t="s">
        <v>21</v>
      </c>
      <c r="U285" s="42" t="s">
        <v>22</v>
      </c>
      <c r="V285" s="42" t="s">
        <v>23</v>
      </c>
      <c r="W285" s="42" t="s">
        <v>24</v>
      </c>
      <c r="X285" s="42" t="s">
        <v>25</v>
      </c>
      <c r="Y285" s="42" t="s">
        <v>26</v>
      </c>
      <c r="Z285" s="42" t="s">
        <v>27</v>
      </c>
      <c r="AA285" s="42" t="s">
        <v>28</v>
      </c>
      <c r="AB285" s="36" t="s">
        <v>29</v>
      </c>
      <c r="AC285" s="43" t="s">
        <v>30</v>
      </c>
      <c r="AD285" s="42" t="s">
        <v>31</v>
      </c>
    </row>
    <row r="286" spans="2:30">
      <c r="B286" s="90">
        <v>49310</v>
      </c>
      <c r="C286" s="44" t="s">
        <v>32</v>
      </c>
      <c r="D286" s="35">
        <v>14.31</v>
      </c>
      <c r="E286" s="35">
        <v>7.33</v>
      </c>
      <c r="F286" s="35">
        <v>4.04</v>
      </c>
      <c r="G286" s="35">
        <v>2.92</v>
      </c>
      <c r="H286" s="35">
        <v>3.51</v>
      </c>
      <c r="I286" s="35">
        <v>7.4</v>
      </c>
      <c r="J286" s="35">
        <v>6.06</v>
      </c>
      <c r="K286" s="35">
        <v>3.96</v>
      </c>
      <c r="L286" s="35">
        <v>15.38</v>
      </c>
      <c r="M286" s="35">
        <v>19.93</v>
      </c>
      <c r="N286" s="35">
        <v>23.69</v>
      </c>
      <c r="O286" s="35">
        <v>32.99</v>
      </c>
      <c r="P286" s="35">
        <v>35.479999999999997</v>
      </c>
      <c r="Q286" s="35">
        <v>31.79</v>
      </c>
      <c r="R286" s="35">
        <v>40.21</v>
      </c>
      <c r="S286" s="35">
        <v>42.45</v>
      </c>
      <c r="T286" s="35">
        <v>44.21</v>
      </c>
      <c r="U286" s="35">
        <v>51.38</v>
      </c>
      <c r="V286" s="35">
        <v>59.99</v>
      </c>
      <c r="W286" s="35">
        <v>63.4</v>
      </c>
      <c r="X286" s="35">
        <v>59.81</v>
      </c>
      <c r="Y286" s="35">
        <v>52.27</v>
      </c>
      <c r="Z286" s="35">
        <v>39.56</v>
      </c>
      <c r="AA286" s="35">
        <v>27</v>
      </c>
      <c r="AB286" s="45">
        <f>SUM(D286:AA286)</f>
        <v>689.07</v>
      </c>
      <c r="AC286" s="37">
        <v>21</v>
      </c>
      <c r="AD286" s="92">
        <f>+AB286*AC286+AB287*AC287+AB288*AC288</f>
        <v>17671.689999999999</v>
      </c>
    </row>
    <row r="287" spans="2:30">
      <c r="B287" s="90"/>
      <c r="C287" s="44" t="s">
        <v>33</v>
      </c>
      <c r="D287" s="35">
        <v>18.97</v>
      </c>
      <c r="E287" s="35">
        <v>14.87</v>
      </c>
      <c r="F287" s="35">
        <v>2.86</v>
      </c>
      <c r="G287" s="35">
        <v>3.93</v>
      </c>
      <c r="H287" s="35">
        <v>5.75</v>
      </c>
      <c r="I287" s="35">
        <v>3.6</v>
      </c>
      <c r="J287" s="35">
        <v>0</v>
      </c>
      <c r="K287" s="35">
        <v>0</v>
      </c>
      <c r="L287" s="35">
        <v>6.81</v>
      </c>
      <c r="M287" s="35">
        <v>7.53</v>
      </c>
      <c r="N287" s="35">
        <v>9.2200000000000006</v>
      </c>
      <c r="O287" s="35">
        <v>15.1</v>
      </c>
      <c r="P287" s="35">
        <v>17.86</v>
      </c>
      <c r="Q287" s="35">
        <v>13.79</v>
      </c>
      <c r="R287" s="35">
        <v>20.62</v>
      </c>
      <c r="S287" s="35">
        <v>21.17</v>
      </c>
      <c r="T287" s="35">
        <v>19.43</v>
      </c>
      <c r="U287" s="35">
        <v>34.24</v>
      </c>
      <c r="V287" s="35">
        <v>46.33</v>
      </c>
      <c r="W287" s="35">
        <v>50.41</v>
      </c>
      <c r="X287" s="35">
        <v>41.34</v>
      </c>
      <c r="Y287" s="35">
        <v>38.06</v>
      </c>
      <c r="Z287" s="35">
        <v>30.58</v>
      </c>
      <c r="AA287" s="35">
        <v>19.920000000000002</v>
      </c>
      <c r="AB287" s="45">
        <f t="shared" ref="AB287:AB321" si="7">SUM(D287:AA287)</f>
        <v>442.39</v>
      </c>
      <c r="AC287" s="37">
        <v>4</v>
      </c>
      <c r="AD287" s="92"/>
    </row>
    <row r="288" spans="2:30">
      <c r="B288" s="90"/>
      <c r="C288" s="44" t="s">
        <v>34</v>
      </c>
      <c r="D288" s="35">
        <v>9.84</v>
      </c>
      <c r="E288" s="35">
        <v>6.36</v>
      </c>
      <c r="F288" s="35">
        <v>1.88</v>
      </c>
      <c r="G288" s="35">
        <v>0</v>
      </c>
      <c r="H288" s="35">
        <v>0</v>
      </c>
      <c r="I288" s="35">
        <v>0</v>
      </c>
      <c r="J288" s="35">
        <v>0.04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1.17</v>
      </c>
      <c r="Q288" s="35">
        <v>3.69</v>
      </c>
      <c r="R288" s="35">
        <v>5.1100000000000003</v>
      </c>
      <c r="S288" s="35">
        <v>3.79</v>
      </c>
      <c r="T288" s="35">
        <v>4.49</v>
      </c>
      <c r="U288" s="35">
        <v>21.55</v>
      </c>
      <c r="V288" s="35">
        <v>23.33</v>
      </c>
      <c r="W288" s="35">
        <v>36.9</v>
      </c>
      <c r="X288" s="35">
        <v>36.869999999999997</v>
      </c>
      <c r="Y288" s="35">
        <v>32.5</v>
      </c>
      <c r="Z288" s="35">
        <v>30.48</v>
      </c>
      <c r="AA288" s="35">
        <v>20.61</v>
      </c>
      <c r="AB288" s="45">
        <f t="shared" si="7"/>
        <v>238.61</v>
      </c>
      <c r="AC288" s="37">
        <v>6</v>
      </c>
      <c r="AD288" s="92"/>
    </row>
    <row r="289" spans="2:30">
      <c r="B289" s="90">
        <v>49341</v>
      </c>
      <c r="C289" s="44" t="s">
        <v>32</v>
      </c>
      <c r="D289" s="35">
        <v>12.61</v>
      </c>
      <c r="E289" s="35">
        <v>3.52</v>
      </c>
      <c r="F289" s="35">
        <v>0</v>
      </c>
      <c r="G289" s="35">
        <v>0</v>
      </c>
      <c r="H289" s="35">
        <v>0</v>
      </c>
      <c r="I289" s="35">
        <v>5.1100000000000003</v>
      </c>
      <c r="J289" s="35">
        <v>2.34</v>
      </c>
      <c r="K289" s="35">
        <v>1.78</v>
      </c>
      <c r="L289" s="35">
        <v>12.69</v>
      </c>
      <c r="M289" s="35">
        <v>19.5</v>
      </c>
      <c r="N289" s="35">
        <v>23.2</v>
      </c>
      <c r="O289" s="35">
        <v>32.299999999999997</v>
      </c>
      <c r="P289" s="35">
        <v>33.94</v>
      </c>
      <c r="Q289" s="35">
        <v>28.67</v>
      </c>
      <c r="R289" s="35">
        <v>38.33</v>
      </c>
      <c r="S289" s="35">
        <v>38.85</v>
      </c>
      <c r="T289" s="35">
        <v>40.07</v>
      </c>
      <c r="U289" s="35">
        <v>48.5</v>
      </c>
      <c r="V289" s="35">
        <v>55.62</v>
      </c>
      <c r="W289" s="35">
        <v>56.71</v>
      </c>
      <c r="X289" s="35">
        <v>52.69</v>
      </c>
      <c r="Y289" s="35">
        <v>45.9</v>
      </c>
      <c r="Z289" s="35">
        <v>33.22</v>
      </c>
      <c r="AA289" s="35">
        <v>21.26</v>
      </c>
      <c r="AB289" s="45">
        <f t="shared" si="7"/>
        <v>606.80999999999995</v>
      </c>
      <c r="AC289" s="37">
        <v>20</v>
      </c>
      <c r="AD289" s="92">
        <f>+AB289*AC289+AB290*AC290+AB291*AC291</f>
        <v>14853.2</v>
      </c>
    </row>
    <row r="290" spans="2:30">
      <c r="B290" s="90"/>
      <c r="C290" s="44" t="s">
        <v>33</v>
      </c>
      <c r="D290" s="35">
        <v>15.04</v>
      </c>
      <c r="E290" s="35">
        <v>11.29</v>
      </c>
      <c r="F290" s="35">
        <v>0.71</v>
      </c>
      <c r="G290" s="35">
        <v>0.24</v>
      </c>
      <c r="H290" s="35">
        <v>2.63</v>
      </c>
      <c r="I290" s="35">
        <v>1.63</v>
      </c>
      <c r="J290" s="35">
        <v>0.04</v>
      </c>
      <c r="K290" s="35">
        <v>0</v>
      </c>
      <c r="L290" s="35">
        <v>4.57</v>
      </c>
      <c r="M290" s="35">
        <v>8.73</v>
      </c>
      <c r="N290" s="35">
        <v>9.93</v>
      </c>
      <c r="O290" s="35">
        <v>16.100000000000001</v>
      </c>
      <c r="P290" s="35">
        <v>18.95</v>
      </c>
      <c r="Q290" s="35">
        <v>16.7</v>
      </c>
      <c r="R290" s="35">
        <v>21.76</v>
      </c>
      <c r="S290" s="35">
        <v>21.13</v>
      </c>
      <c r="T290" s="35">
        <v>20.74</v>
      </c>
      <c r="U290" s="35">
        <v>34.119999999999997</v>
      </c>
      <c r="V290" s="35">
        <v>47.73</v>
      </c>
      <c r="W290" s="35">
        <v>49.02</v>
      </c>
      <c r="X290" s="35">
        <v>41.45</v>
      </c>
      <c r="Y290" s="35">
        <v>37.35</v>
      </c>
      <c r="Z290" s="35">
        <v>30.72</v>
      </c>
      <c r="AA290" s="35">
        <v>21.9</v>
      </c>
      <c r="AB290" s="45">
        <f t="shared" si="7"/>
        <v>432.48</v>
      </c>
      <c r="AC290" s="37">
        <v>4</v>
      </c>
      <c r="AD290" s="92"/>
    </row>
    <row r="291" spans="2:30">
      <c r="B291" s="90"/>
      <c r="C291" s="44" t="s">
        <v>34</v>
      </c>
      <c r="D291" s="35">
        <v>8.59</v>
      </c>
      <c r="E291" s="35">
        <v>6.86</v>
      </c>
      <c r="F291" s="35">
        <v>1.17</v>
      </c>
      <c r="G291" s="35">
        <v>0</v>
      </c>
      <c r="H291" s="35">
        <v>0</v>
      </c>
      <c r="I291" s="35">
        <v>0</v>
      </c>
      <c r="J291" s="35">
        <v>0.56000000000000005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1.65</v>
      </c>
      <c r="Q291" s="35">
        <v>5.25</v>
      </c>
      <c r="R291" s="35">
        <v>5.8</v>
      </c>
      <c r="S291" s="35">
        <v>6.77</v>
      </c>
      <c r="T291" s="35">
        <v>7.98</v>
      </c>
      <c r="U291" s="35">
        <v>22.22</v>
      </c>
      <c r="V291" s="35">
        <v>28.23</v>
      </c>
      <c r="W291" s="35">
        <v>41.09</v>
      </c>
      <c r="X291" s="35">
        <v>36.75</v>
      </c>
      <c r="Y291" s="35">
        <v>32.49</v>
      </c>
      <c r="Z291" s="35">
        <v>24.69</v>
      </c>
      <c r="AA291" s="35">
        <v>16.670000000000002</v>
      </c>
      <c r="AB291" s="45">
        <f t="shared" si="7"/>
        <v>246.77</v>
      </c>
      <c r="AC291" s="37">
        <v>4</v>
      </c>
      <c r="AD291" s="92"/>
    </row>
    <row r="292" spans="2:30">
      <c r="B292" s="90">
        <v>49369</v>
      </c>
      <c r="C292" s="44" t="s">
        <v>32</v>
      </c>
      <c r="D292" s="35">
        <v>13.57</v>
      </c>
      <c r="E292" s="35">
        <v>4.6100000000000003</v>
      </c>
      <c r="F292" s="35">
        <v>0.56999999999999995</v>
      </c>
      <c r="G292" s="35">
        <v>0.79</v>
      </c>
      <c r="H292" s="35">
        <v>0.42</v>
      </c>
      <c r="I292" s="35">
        <v>6.72</v>
      </c>
      <c r="J292" s="35">
        <v>3.47</v>
      </c>
      <c r="K292" s="35">
        <v>3.02</v>
      </c>
      <c r="L292" s="35">
        <v>14.25</v>
      </c>
      <c r="M292" s="35">
        <v>20.85</v>
      </c>
      <c r="N292" s="35">
        <v>24.44</v>
      </c>
      <c r="O292" s="35">
        <v>32.340000000000003</v>
      </c>
      <c r="P292" s="35">
        <v>33.58</v>
      </c>
      <c r="Q292" s="35">
        <v>28.8</v>
      </c>
      <c r="R292" s="35">
        <v>39.26</v>
      </c>
      <c r="S292" s="35">
        <v>40.479999999999997</v>
      </c>
      <c r="T292" s="35">
        <v>41.67</v>
      </c>
      <c r="U292" s="35">
        <v>49.9</v>
      </c>
      <c r="V292" s="35">
        <v>56.61</v>
      </c>
      <c r="W292" s="35">
        <v>58.01</v>
      </c>
      <c r="X292" s="35">
        <v>54.21</v>
      </c>
      <c r="Y292" s="35">
        <v>47</v>
      </c>
      <c r="Z292" s="35">
        <v>34.61</v>
      </c>
      <c r="AA292" s="35">
        <v>22.61</v>
      </c>
      <c r="AB292" s="45">
        <f t="shared" si="7"/>
        <v>631.79</v>
      </c>
      <c r="AC292" s="37">
        <v>19</v>
      </c>
      <c r="AD292" s="92">
        <f>+AB292*AC292+AB293*AC293+AB294*AC294</f>
        <v>15846.85</v>
      </c>
    </row>
    <row r="293" spans="2:30">
      <c r="B293" s="90"/>
      <c r="C293" s="44" t="s">
        <v>33</v>
      </c>
      <c r="D293" s="35">
        <v>14.57</v>
      </c>
      <c r="E293" s="35">
        <v>5.01</v>
      </c>
      <c r="F293" s="35">
        <v>0.28000000000000003</v>
      </c>
      <c r="G293" s="35">
        <v>0</v>
      </c>
      <c r="H293" s="35">
        <v>1.25</v>
      </c>
      <c r="I293" s="35">
        <v>0.61</v>
      </c>
      <c r="J293" s="35">
        <v>0.08</v>
      </c>
      <c r="K293" s="35">
        <v>0</v>
      </c>
      <c r="L293" s="35">
        <v>4.71</v>
      </c>
      <c r="M293" s="35">
        <v>9.4600000000000009</v>
      </c>
      <c r="N293" s="35">
        <v>10.69</v>
      </c>
      <c r="O293" s="35">
        <v>15.92</v>
      </c>
      <c r="P293" s="35">
        <v>18.920000000000002</v>
      </c>
      <c r="Q293" s="35">
        <v>18.04</v>
      </c>
      <c r="R293" s="35">
        <v>21.44</v>
      </c>
      <c r="S293" s="35">
        <v>21.01</v>
      </c>
      <c r="T293" s="35">
        <v>21.2</v>
      </c>
      <c r="U293" s="35">
        <v>33.85</v>
      </c>
      <c r="V293" s="35">
        <v>48.53</v>
      </c>
      <c r="W293" s="35">
        <v>47.77</v>
      </c>
      <c r="X293" s="35">
        <v>39.89</v>
      </c>
      <c r="Y293" s="35">
        <v>36.56</v>
      </c>
      <c r="Z293" s="35">
        <v>30.65</v>
      </c>
      <c r="AA293" s="35">
        <v>12.01</v>
      </c>
      <c r="AB293" s="45">
        <f t="shared" si="7"/>
        <v>412.45</v>
      </c>
      <c r="AC293" s="37">
        <v>5</v>
      </c>
      <c r="AD293" s="92"/>
    </row>
    <row r="294" spans="2:30">
      <c r="B294" s="90"/>
      <c r="C294" s="44" t="s">
        <v>34</v>
      </c>
      <c r="D294" s="35">
        <v>8.3800000000000008</v>
      </c>
      <c r="E294" s="35">
        <v>5.98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1.37</v>
      </c>
      <c r="Q294" s="35">
        <v>4.99</v>
      </c>
      <c r="R294" s="35">
        <v>5.89</v>
      </c>
      <c r="S294" s="35">
        <v>7.1</v>
      </c>
      <c r="T294" s="35">
        <v>10.07</v>
      </c>
      <c r="U294" s="35">
        <v>24.5</v>
      </c>
      <c r="V294" s="35">
        <v>32.409999999999997</v>
      </c>
      <c r="W294" s="35">
        <v>41.23</v>
      </c>
      <c r="X294" s="35">
        <v>39.93</v>
      </c>
      <c r="Y294" s="35">
        <v>36.19</v>
      </c>
      <c r="Z294" s="35">
        <v>21.62</v>
      </c>
      <c r="AA294" s="35">
        <v>14.71</v>
      </c>
      <c r="AB294" s="45">
        <f t="shared" si="7"/>
        <v>254.37</v>
      </c>
      <c r="AC294" s="37">
        <v>7</v>
      </c>
      <c r="AD294" s="92"/>
    </row>
    <row r="295" spans="2:30">
      <c r="B295" s="90">
        <v>49400</v>
      </c>
      <c r="C295" s="44" t="s">
        <v>32</v>
      </c>
      <c r="D295" s="35">
        <v>13.32</v>
      </c>
      <c r="E295" s="35">
        <v>6.25</v>
      </c>
      <c r="F295" s="35">
        <v>1.71</v>
      </c>
      <c r="G295" s="35">
        <v>1.41</v>
      </c>
      <c r="H295" s="35">
        <v>1.33</v>
      </c>
      <c r="I295" s="35">
        <v>6.37</v>
      </c>
      <c r="J295" s="35">
        <v>2.64</v>
      </c>
      <c r="K295" s="35">
        <v>1.96</v>
      </c>
      <c r="L295" s="35">
        <v>14</v>
      </c>
      <c r="M295" s="35">
        <v>20.49</v>
      </c>
      <c r="N295" s="35">
        <v>23.85</v>
      </c>
      <c r="O295" s="35">
        <v>33.75</v>
      </c>
      <c r="P295" s="35">
        <v>35.61</v>
      </c>
      <c r="Q295" s="35">
        <v>30.49</v>
      </c>
      <c r="R295" s="35">
        <v>41.05</v>
      </c>
      <c r="S295" s="35">
        <v>42.52</v>
      </c>
      <c r="T295" s="35">
        <v>43.94</v>
      </c>
      <c r="U295" s="35">
        <v>51.85</v>
      </c>
      <c r="V295" s="35">
        <v>58.81</v>
      </c>
      <c r="W295" s="35">
        <v>60.61</v>
      </c>
      <c r="X295" s="35">
        <v>56.61</v>
      </c>
      <c r="Y295" s="35">
        <v>49.35</v>
      </c>
      <c r="Z295" s="35">
        <v>37.04</v>
      </c>
      <c r="AA295" s="35">
        <v>24.3</v>
      </c>
      <c r="AB295" s="45">
        <f t="shared" si="7"/>
        <v>659.26</v>
      </c>
      <c r="AC295" s="37">
        <v>21</v>
      </c>
      <c r="AD295" s="92">
        <f>+AB295*AC295+AB296*AC296+AB297*AC297</f>
        <v>16190.33</v>
      </c>
    </row>
    <row r="296" spans="2:30">
      <c r="B296" s="90"/>
      <c r="C296" s="44" t="s">
        <v>33</v>
      </c>
      <c r="D296" s="35">
        <v>12.14</v>
      </c>
      <c r="E296" s="35">
        <v>10.69</v>
      </c>
      <c r="F296" s="35">
        <v>0.79</v>
      </c>
      <c r="G296" s="35">
        <v>0.35</v>
      </c>
      <c r="H296" s="35">
        <v>0</v>
      </c>
      <c r="I296" s="35">
        <v>0</v>
      </c>
      <c r="J296" s="35">
        <v>0</v>
      </c>
      <c r="K296" s="35">
        <v>0</v>
      </c>
      <c r="L296" s="35">
        <v>3.76</v>
      </c>
      <c r="M296" s="35">
        <v>9.1999999999999993</v>
      </c>
      <c r="N296" s="35">
        <v>10.17</v>
      </c>
      <c r="O296" s="35">
        <v>15.77</v>
      </c>
      <c r="P296" s="35">
        <v>20.18</v>
      </c>
      <c r="Q296" s="35">
        <v>17.97</v>
      </c>
      <c r="R296" s="35">
        <v>21.37</v>
      </c>
      <c r="S296" s="35">
        <v>22.66</v>
      </c>
      <c r="T296" s="35">
        <v>21.36</v>
      </c>
      <c r="U296" s="35">
        <v>36.270000000000003</v>
      </c>
      <c r="V296" s="35">
        <v>46.22</v>
      </c>
      <c r="W296" s="35">
        <v>46.37</v>
      </c>
      <c r="X296" s="35">
        <v>38.92</v>
      </c>
      <c r="Y296" s="35">
        <v>37.369999999999997</v>
      </c>
      <c r="Z296" s="35">
        <v>30.63</v>
      </c>
      <c r="AA296" s="35">
        <v>7.89</v>
      </c>
      <c r="AB296" s="45">
        <f t="shared" si="7"/>
        <v>410.08</v>
      </c>
      <c r="AC296" s="37">
        <v>4</v>
      </c>
      <c r="AD296" s="92"/>
    </row>
    <row r="297" spans="2:30">
      <c r="B297" s="90"/>
      <c r="C297" s="44" t="s">
        <v>34</v>
      </c>
      <c r="D297" s="35">
        <v>0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0.37</v>
      </c>
      <c r="R297" s="35">
        <v>0.71</v>
      </c>
      <c r="S297" s="35">
        <v>0.87</v>
      </c>
      <c r="T297" s="35">
        <v>2.89</v>
      </c>
      <c r="U297" s="35">
        <v>12.2</v>
      </c>
      <c r="V297" s="35">
        <v>22.6</v>
      </c>
      <c r="W297" s="35">
        <v>32.549999999999997</v>
      </c>
      <c r="X297" s="35">
        <v>30.5</v>
      </c>
      <c r="Y297" s="35">
        <v>23.84</v>
      </c>
      <c r="Z297" s="35">
        <v>5.82</v>
      </c>
      <c r="AA297" s="35">
        <v>8.76</v>
      </c>
      <c r="AB297" s="45">
        <f t="shared" si="7"/>
        <v>141.11000000000001</v>
      </c>
      <c r="AC297" s="37">
        <v>5</v>
      </c>
      <c r="AD297" s="92"/>
    </row>
    <row r="298" spans="2:30">
      <c r="B298" s="90">
        <v>49430</v>
      </c>
      <c r="C298" s="44" t="s">
        <v>32</v>
      </c>
      <c r="D298" s="35">
        <v>11.77</v>
      </c>
      <c r="E298" s="35">
        <v>5.32</v>
      </c>
      <c r="F298" s="35">
        <v>1.29</v>
      </c>
      <c r="G298" s="35">
        <v>0.96</v>
      </c>
      <c r="H298" s="35">
        <v>0.31</v>
      </c>
      <c r="I298" s="35">
        <v>5.0199999999999996</v>
      </c>
      <c r="J298" s="35">
        <v>1.32</v>
      </c>
      <c r="K298" s="35">
        <v>0.72</v>
      </c>
      <c r="L298" s="35">
        <v>13.45</v>
      </c>
      <c r="M298" s="35">
        <v>19.600000000000001</v>
      </c>
      <c r="N298" s="35">
        <v>23.08</v>
      </c>
      <c r="O298" s="35">
        <v>32.22</v>
      </c>
      <c r="P298" s="35">
        <v>33.03</v>
      </c>
      <c r="Q298" s="35">
        <v>29.2</v>
      </c>
      <c r="R298" s="35">
        <v>40.67</v>
      </c>
      <c r="S298" s="35">
        <v>42.4</v>
      </c>
      <c r="T298" s="35">
        <v>44.39</v>
      </c>
      <c r="U298" s="35">
        <v>51.51</v>
      </c>
      <c r="V298" s="35">
        <v>59.09</v>
      </c>
      <c r="W298" s="35">
        <v>60.67</v>
      </c>
      <c r="X298" s="35">
        <v>56.08</v>
      </c>
      <c r="Y298" s="35">
        <v>48.43</v>
      </c>
      <c r="Z298" s="35">
        <v>36.4</v>
      </c>
      <c r="AA298" s="35">
        <v>23.99</v>
      </c>
      <c r="AB298" s="45">
        <f t="shared" si="7"/>
        <v>640.91999999999996</v>
      </c>
      <c r="AC298" s="37">
        <v>20</v>
      </c>
      <c r="AD298" s="92">
        <f>+AB298*AC298+AB299*AC299+AB300*AC300</f>
        <v>15704.73</v>
      </c>
    </row>
    <row r="299" spans="2:30">
      <c r="B299" s="90"/>
      <c r="C299" s="44" t="s">
        <v>33</v>
      </c>
      <c r="D299" s="35">
        <v>9.11</v>
      </c>
      <c r="E299" s="35">
        <v>8.25</v>
      </c>
      <c r="F299" s="35">
        <v>0.37</v>
      </c>
      <c r="G299" s="35">
        <v>0</v>
      </c>
      <c r="H299" s="35">
        <v>0.32</v>
      </c>
      <c r="I299" s="35">
        <v>1.44</v>
      </c>
      <c r="J299" s="35">
        <v>0</v>
      </c>
      <c r="K299" s="35">
        <v>0</v>
      </c>
      <c r="L299" s="35">
        <v>2.99</v>
      </c>
      <c r="M299" s="35">
        <v>7.52</v>
      </c>
      <c r="N299" s="35">
        <v>9.6</v>
      </c>
      <c r="O299" s="35">
        <v>14.64</v>
      </c>
      <c r="P299" s="35">
        <v>18.47</v>
      </c>
      <c r="Q299" s="35">
        <v>16.100000000000001</v>
      </c>
      <c r="R299" s="35">
        <v>21.96</v>
      </c>
      <c r="S299" s="35">
        <v>23.09</v>
      </c>
      <c r="T299" s="35">
        <v>21.57</v>
      </c>
      <c r="U299" s="35">
        <v>38.549999999999997</v>
      </c>
      <c r="V299" s="35">
        <v>46.51</v>
      </c>
      <c r="W299" s="35">
        <v>47.21</v>
      </c>
      <c r="X299" s="35">
        <v>40.1</v>
      </c>
      <c r="Y299" s="35">
        <v>37.6</v>
      </c>
      <c r="Z299" s="35">
        <v>29.08</v>
      </c>
      <c r="AA299" s="35">
        <v>10.16</v>
      </c>
      <c r="AB299" s="45">
        <f t="shared" si="7"/>
        <v>404.64</v>
      </c>
      <c r="AC299" s="37">
        <v>4</v>
      </c>
      <c r="AD299" s="92"/>
    </row>
    <row r="300" spans="2:30">
      <c r="B300" s="90"/>
      <c r="C300" s="44" t="s">
        <v>34</v>
      </c>
      <c r="D300" s="35">
        <v>2.65</v>
      </c>
      <c r="E300" s="35">
        <v>6.27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0.84</v>
      </c>
      <c r="R300" s="35">
        <v>3.92</v>
      </c>
      <c r="S300" s="35">
        <v>2.44</v>
      </c>
      <c r="T300" s="35">
        <v>4.8099999999999996</v>
      </c>
      <c r="U300" s="35">
        <v>14.23</v>
      </c>
      <c r="V300" s="35">
        <v>24.04</v>
      </c>
      <c r="W300" s="35">
        <v>31.83</v>
      </c>
      <c r="X300" s="35">
        <v>32.49</v>
      </c>
      <c r="Y300" s="35">
        <v>28.55</v>
      </c>
      <c r="Z300" s="35">
        <v>14.7</v>
      </c>
      <c r="AA300" s="35">
        <v>14.34</v>
      </c>
      <c r="AB300" s="45">
        <f t="shared" si="7"/>
        <v>181.11</v>
      </c>
      <c r="AC300" s="37">
        <v>7</v>
      </c>
      <c r="AD300" s="92"/>
    </row>
    <row r="301" spans="2:30">
      <c r="B301" s="90">
        <v>49461</v>
      </c>
      <c r="C301" s="44" t="s">
        <v>32</v>
      </c>
      <c r="D301" s="35">
        <v>11.46</v>
      </c>
      <c r="E301" s="35">
        <v>6.57</v>
      </c>
      <c r="F301" s="35">
        <v>2.2400000000000002</v>
      </c>
      <c r="G301" s="35">
        <v>1.41</v>
      </c>
      <c r="H301" s="35">
        <v>1.26</v>
      </c>
      <c r="I301" s="35">
        <v>5.5</v>
      </c>
      <c r="J301" s="35">
        <v>2.57</v>
      </c>
      <c r="K301" s="35">
        <v>2.63</v>
      </c>
      <c r="L301" s="35">
        <v>15.4</v>
      </c>
      <c r="M301" s="35">
        <v>21.7</v>
      </c>
      <c r="N301" s="35">
        <v>24.86</v>
      </c>
      <c r="O301" s="35">
        <v>34.08</v>
      </c>
      <c r="P301" s="35">
        <v>35.25</v>
      </c>
      <c r="Q301" s="35">
        <v>30.9</v>
      </c>
      <c r="R301" s="35">
        <v>40.79</v>
      </c>
      <c r="S301" s="35">
        <v>43.51</v>
      </c>
      <c r="T301" s="35">
        <v>45.22</v>
      </c>
      <c r="U301" s="35">
        <v>51.46</v>
      </c>
      <c r="V301" s="35">
        <v>58.96</v>
      </c>
      <c r="W301" s="35">
        <v>61.48</v>
      </c>
      <c r="X301" s="35">
        <v>57.46</v>
      </c>
      <c r="Y301" s="35">
        <v>49.61</v>
      </c>
      <c r="Z301" s="35">
        <v>37.47</v>
      </c>
      <c r="AA301" s="35">
        <v>25.21</v>
      </c>
      <c r="AB301" s="45">
        <f t="shared" si="7"/>
        <v>667</v>
      </c>
      <c r="AC301" s="37">
        <v>21</v>
      </c>
      <c r="AD301" s="92">
        <f>+AB301*AC301+AB302*AC302+AB303*AC303</f>
        <v>16811.02</v>
      </c>
    </row>
    <row r="302" spans="2:30">
      <c r="B302" s="90"/>
      <c r="C302" s="44" t="s">
        <v>33</v>
      </c>
      <c r="D302" s="35">
        <v>8.8699999999999992</v>
      </c>
      <c r="E302" s="35">
        <v>11.35</v>
      </c>
      <c r="F302" s="35">
        <v>0.5</v>
      </c>
      <c r="G302" s="35">
        <v>0</v>
      </c>
      <c r="H302" s="35">
        <v>2.02</v>
      </c>
      <c r="I302" s="35">
        <v>2.21</v>
      </c>
      <c r="J302" s="35">
        <v>0</v>
      </c>
      <c r="K302" s="35">
        <v>0</v>
      </c>
      <c r="L302" s="35">
        <v>3.93</v>
      </c>
      <c r="M302" s="35">
        <v>9.5</v>
      </c>
      <c r="N302" s="35">
        <v>10.58</v>
      </c>
      <c r="O302" s="35">
        <v>15.97</v>
      </c>
      <c r="P302" s="35">
        <v>19.420000000000002</v>
      </c>
      <c r="Q302" s="35">
        <v>17.440000000000001</v>
      </c>
      <c r="R302" s="35">
        <v>22.24</v>
      </c>
      <c r="S302" s="35">
        <v>22.33</v>
      </c>
      <c r="T302" s="35">
        <v>21.96</v>
      </c>
      <c r="U302" s="35">
        <v>35.950000000000003</v>
      </c>
      <c r="V302" s="35">
        <v>48.11</v>
      </c>
      <c r="W302" s="35">
        <v>46.3</v>
      </c>
      <c r="X302" s="35">
        <v>39.81</v>
      </c>
      <c r="Y302" s="35">
        <v>37.42</v>
      </c>
      <c r="Z302" s="35">
        <v>29.65</v>
      </c>
      <c r="AA302" s="35">
        <v>15.34</v>
      </c>
      <c r="AB302" s="45">
        <f t="shared" si="7"/>
        <v>420.9</v>
      </c>
      <c r="AC302" s="37">
        <v>5</v>
      </c>
      <c r="AD302" s="92"/>
    </row>
    <row r="303" spans="2:30">
      <c r="B303" s="90"/>
      <c r="C303" s="44" t="s">
        <v>34</v>
      </c>
      <c r="D303" s="35">
        <v>0</v>
      </c>
      <c r="E303" s="35">
        <v>1.77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1.38</v>
      </c>
      <c r="R303" s="35">
        <v>3.7</v>
      </c>
      <c r="S303" s="35">
        <v>1.93</v>
      </c>
      <c r="T303" s="35">
        <v>4.22</v>
      </c>
      <c r="U303" s="35">
        <v>16.13</v>
      </c>
      <c r="V303" s="35">
        <v>24.77</v>
      </c>
      <c r="W303" s="35">
        <v>32.28</v>
      </c>
      <c r="X303" s="35">
        <v>35.630000000000003</v>
      </c>
      <c r="Y303" s="35">
        <v>26.18</v>
      </c>
      <c r="Z303" s="35">
        <v>15.47</v>
      </c>
      <c r="AA303" s="35">
        <v>11.42</v>
      </c>
      <c r="AB303" s="45">
        <f t="shared" si="7"/>
        <v>174.88</v>
      </c>
      <c r="AC303" s="37">
        <v>4</v>
      </c>
      <c r="AD303" s="92"/>
    </row>
    <row r="304" spans="2:30">
      <c r="B304" s="90">
        <v>49491</v>
      </c>
      <c r="C304" s="44" t="s">
        <v>32</v>
      </c>
      <c r="D304" s="35">
        <v>13.93</v>
      </c>
      <c r="E304" s="35">
        <v>7.96</v>
      </c>
      <c r="F304" s="35">
        <v>3.32</v>
      </c>
      <c r="G304" s="35">
        <v>2.59</v>
      </c>
      <c r="H304" s="35">
        <v>2.59</v>
      </c>
      <c r="I304" s="35">
        <v>6.63</v>
      </c>
      <c r="J304" s="35">
        <v>4.0999999999999996</v>
      </c>
      <c r="K304" s="35">
        <v>4.42</v>
      </c>
      <c r="L304" s="35">
        <v>17.39</v>
      </c>
      <c r="M304" s="35">
        <v>23.01</v>
      </c>
      <c r="N304" s="35">
        <v>27.34</v>
      </c>
      <c r="O304" s="35">
        <v>35.79</v>
      </c>
      <c r="P304" s="35">
        <v>37.31</v>
      </c>
      <c r="Q304" s="35">
        <v>32.590000000000003</v>
      </c>
      <c r="R304" s="35">
        <v>43.11</v>
      </c>
      <c r="S304" s="35">
        <v>46.28</v>
      </c>
      <c r="T304" s="35">
        <v>48.39</v>
      </c>
      <c r="U304" s="35">
        <v>54.96</v>
      </c>
      <c r="V304" s="35">
        <v>62.23</v>
      </c>
      <c r="W304" s="35">
        <v>65.31</v>
      </c>
      <c r="X304" s="35">
        <v>61.26</v>
      </c>
      <c r="Y304" s="35">
        <v>53.08</v>
      </c>
      <c r="Z304" s="35">
        <v>40.200000000000003</v>
      </c>
      <c r="AA304" s="35">
        <v>26.94</v>
      </c>
      <c r="AB304" s="45">
        <f t="shared" si="7"/>
        <v>720.73</v>
      </c>
      <c r="AC304" s="37">
        <v>20</v>
      </c>
      <c r="AD304" s="92">
        <f>+AB304*AC304+AB305*AC305+AB306*AC306</f>
        <v>17637.39</v>
      </c>
    </row>
    <row r="305" spans="2:30">
      <c r="B305" s="90"/>
      <c r="C305" s="44" t="s">
        <v>33</v>
      </c>
      <c r="D305" s="35">
        <v>8.59</v>
      </c>
      <c r="E305" s="35">
        <v>11.86</v>
      </c>
      <c r="F305" s="35">
        <v>3.58</v>
      </c>
      <c r="G305" s="35">
        <v>2.77</v>
      </c>
      <c r="H305" s="35">
        <v>1.84</v>
      </c>
      <c r="I305" s="35">
        <v>2.89</v>
      </c>
      <c r="J305" s="35">
        <v>0</v>
      </c>
      <c r="K305" s="35">
        <v>0</v>
      </c>
      <c r="L305" s="35">
        <v>4.42</v>
      </c>
      <c r="M305" s="35">
        <v>9.0299999999999994</v>
      </c>
      <c r="N305" s="35">
        <v>11.16</v>
      </c>
      <c r="O305" s="35">
        <v>15.57</v>
      </c>
      <c r="P305" s="35">
        <v>19.45</v>
      </c>
      <c r="Q305" s="35">
        <v>17.84</v>
      </c>
      <c r="R305" s="35">
        <v>21.4</v>
      </c>
      <c r="S305" s="35">
        <v>21.12</v>
      </c>
      <c r="T305" s="35">
        <v>21.99</v>
      </c>
      <c r="U305" s="35">
        <v>35.33</v>
      </c>
      <c r="V305" s="35">
        <v>49.47</v>
      </c>
      <c r="W305" s="35">
        <v>48.27</v>
      </c>
      <c r="X305" s="35">
        <v>42.6</v>
      </c>
      <c r="Y305" s="35">
        <v>37.909999999999997</v>
      </c>
      <c r="Z305" s="35">
        <v>30.2</v>
      </c>
      <c r="AA305" s="35">
        <v>23.06</v>
      </c>
      <c r="AB305" s="45">
        <f t="shared" si="7"/>
        <v>440.35</v>
      </c>
      <c r="AC305" s="37">
        <v>4</v>
      </c>
      <c r="AD305" s="92"/>
    </row>
    <row r="306" spans="2:30">
      <c r="B306" s="90"/>
      <c r="C306" s="44" t="s">
        <v>34</v>
      </c>
      <c r="D306" s="35">
        <v>0</v>
      </c>
      <c r="E306" s="35">
        <v>5.98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0.79</v>
      </c>
      <c r="R306" s="35">
        <v>2.98</v>
      </c>
      <c r="S306" s="35">
        <v>1.64</v>
      </c>
      <c r="T306" s="35">
        <v>4.76</v>
      </c>
      <c r="U306" s="35">
        <v>16.79</v>
      </c>
      <c r="V306" s="35">
        <v>28.35</v>
      </c>
      <c r="W306" s="35">
        <v>36.54</v>
      </c>
      <c r="X306" s="35">
        <v>37.369999999999997</v>
      </c>
      <c r="Y306" s="35">
        <v>35.299999999999997</v>
      </c>
      <c r="Z306" s="35">
        <v>20.98</v>
      </c>
      <c r="AA306" s="35">
        <v>17.29</v>
      </c>
      <c r="AB306" s="45">
        <f t="shared" si="7"/>
        <v>208.77</v>
      </c>
      <c r="AC306" s="37">
        <v>7</v>
      </c>
      <c r="AD306" s="92"/>
    </row>
    <row r="307" spans="2:30">
      <c r="B307" s="90">
        <v>49522</v>
      </c>
      <c r="C307" s="44" t="s">
        <v>32</v>
      </c>
      <c r="D307" s="35">
        <v>13.03</v>
      </c>
      <c r="E307" s="35">
        <v>6.78</v>
      </c>
      <c r="F307" s="35">
        <v>1.75</v>
      </c>
      <c r="G307" s="35">
        <v>2.5</v>
      </c>
      <c r="H307" s="35">
        <v>1.86</v>
      </c>
      <c r="I307" s="35">
        <v>7.39</v>
      </c>
      <c r="J307" s="35">
        <v>3.33</v>
      </c>
      <c r="K307" s="35">
        <v>3.94</v>
      </c>
      <c r="L307" s="35">
        <v>16.760000000000002</v>
      </c>
      <c r="M307" s="35">
        <v>23.51</v>
      </c>
      <c r="N307" s="35">
        <v>28.21</v>
      </c>
      <c r="O307" s="35">
        <v>37.54</v>
      </c>
      <c r="P307" s="35">
        <v>38.08</v>
      </c>
      <c r="Q307" s="35">
        <v>30.71</v>
      </c>
      <c r="R307" s="35">
        <v>43.5</v>
      </c>
      <c r="S307" s="35">
        <v>45.97</v>
      </c>
      <c r="T307" s="35">
        <v>47.75</v>
      </c>
      <c r="U307" s="35">
        <v>54.91</v>
      </c>
      <c r="V307" s="35">
        <v>62.19</v>
      </c>
      <c r="W307" s="35">
        <v>64.36</v>
      </c>
      <c r="X307" s="35">
        <v>60.49</v>
      </c>
      <c r="Y307" s="35">
        <v>52.06</v>
      </c>
      <c r="Z307" s="35">
        <v>38.53</v>
      </c>
      <c r="AA307" s="35">
        <v>25.16</v>
      </c>
      <c r="AB307" s="45">
        <f t="shared" si="7"/>
        <v>710.31</v>
      </c>
      <c r="AC307" s="37">
        <v>21</v>
      </c>
      <c r="AD307" s="92">
        <f>+AB307*AC307+AB308*AC308+AB309*AC309</f>
        <v>17850.87</v>
      </c>
    </row>
    <row r="308" spans="2:30">
      <c r="B308" s="90"/>
      <c r="C308" s="44" t="s">
        <v>33</v>
      </c>
      <c r="D308" s="35">
        <v>8.8000000000000007</v>
      </c>
      <c r="E308" s="35">
        <v>9.1999999999999993</v>
      </c>
      <c r="F308" s="35">
        <v>0.8</v>
      </c>
      <c r="G308" s="35">
        <v>0.56999999999999995</v>
      </c>
      <c r="H308" s="35">
        <v>0.47</v>
      </c>
      <c r="I308" s="35">
        <v>2.6</v>
      </c>
      <c r="J308" s="35">
        <v>0</v>
      </c>
      <c r="K308" s="35">
        <v>0</v>
      </c>
      <c r="L308" s="35">
        <v>3.93</v>
      </c>
      <c r="M308" s="35">
        <v>9.31</v>
      </c>
      <c r="N308" s="35">
        <v>11.69</v>
      </c>
      <c r="O308" s="35">
        <v>17.309999999999999</v>
      </c>
      <c r="P308" s="35">
        <v>19.84</v>
      </c>
      <c r="Q308" s="35">
        <v>17.760000000000002</v>
      </c>
      <c r="R308" s="35">
        <v>20.81</v>
      </c>
      <c r="S308" s="35">
        <v>20.87</v>
      </c>
      <c r="T308" s="35">
        <v>21.05</v>
      </c>
      <c r="U308" s="35">
        <v>34.72</v>
      </c>
      <c r="V308" s="35">
        <v>48.41</v>
      </c>
      <c r="W308" s="35">
        <v>52.11</v>
      </c>
      <c r="X308" s="35">
        <v>44.33</v>
      </c>
      <c r="Y308" s="35">
        <v>37.700000000000003</v>
      </c>
      <c r="Z308" s="35">
        <v>30.25</v>
      </c>
      <c r="AA308" s="35">
        <v>20.49</v>
      </c>
      <c r="AB308" s="45">
        <f t="shared" si="7"/>
        <v>433.02</v>
      </c>
      <c r="AC308" s="37">
        <v>4</v>
      </c>
      <c r="AD308" s="92"/>
    </row>
    <row r="309" spans="2:30">
      <c r="B309" s="90"/>
      <c r="C309" s="44" t="s">
        <v>34</v>
      </c>
      <c r="D309" s="35">
        <v>0</v>
      </c>
      <c r="E309" s="35">
        <v>3.97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2.23</v>
      </c>
      <c r="S309" s="35">
        <v>1.38</v>
      </c>
      <c r="T309" s="35">
        <v>4.62</v>
      </c>
      <c r="U309" s="35">
        <v>17.260000000000002</v>
      </c>
      <c r="V309" s="35">
        <v>30.21</v>
      </c>
      <c r="W309" s="35">
        <v>36.22</v>
      </c>
      <c r="X309" s="35">
        <v>35.020000000000003</v>
      </c>
      <c r="Y309" s="35">
        <v>35.049999999999997</v>
      </c>
      <c r="Z309" s="35">
        <v>16.260000000000002</v>
      </c>
      <c r="AA309" s="35">
        <v>18.16</v>
      </c>
      <c r="AB309" s="45">
        <f t="shared" si="7"/>
        <v>200.38</v>
      </c>
      <c r="AC309" s="37">
        <v>6</v>
      </c>
      <c r="AD309" s="92"/>
    </row>
    <row r="310" spans="2:30">
      <c r="B310" s="90">
        <v>49553</v>
      </c>
      <c r="C310" s="44" t="s">
        <v>32</v>
      </c>
      <c r="D310" s="35">
        <v>14.48</v>
      </c>
      <c r="E310" s="35">
        <v>7.77</v>
      </c>
      <c r="F310" s="35">
        <v>2.37</v>
      </c>
      <c r="G310" s="35">
        <v>3.47</v>
      </c>
      <c r="H310" s="35">
        <v>3.16</v>
      </c>
      <c r="I310" s="35">
        <v>8.83</v>
      </c>
      <c r="J310" s="35">
        <v>4.79</v>
      </c>
      <c r="K310" s="35">
        <v>4.82</v>
      </c>
      <c r="L310" s="35">
        <v>18.670000000000002</v>
      </c>
      <c r="M310" s="35">
        <v>24.99</v>
      </c>
      <c r="N310" s="35">
        <v>29.07</v>
      </c>
      <c r="O310" s="35">
        <v>38.229999999999997</v>
      </c>
      <c r="P310" s="35">
        <v>38.97</v>
      </c>
      <c r="Q310" s="35">
        <v>33.159999999999997</v>
      </c>
      <c r="R310" s="35">
        <v>46.97</v>
      </c>
      <c r="S310" s="35">
        <v>49.38</v>
      </c>
      <c r="T310" s="35">
        <v>50.92</v>
      </c>
      <c r="U310" s="35">
        <v>57.23</v>
      </c>
      <c r="V310" s="35">
        <v>64.45</v>
      </c>
      <c r="W310" s="35">
        <v>66.12</v>
      </c>
      <c r="X310" s="35">
        <v>62.28</v>
      </c>
      <c r="Y310" s="35">
        <v>53.76</v>
      </c>
      <c r="Z310" s="35">
        <v>40.15</v>
      </c>
      <c r="AA310" s="35">
        <v>26.11</v>
      </c>
      <c r="AB310" s="45">
        <f t="shared" si="7"/>
        <v>750.15</v>
      </c>
      <c r="AC310" s="37">
        <v>20</v>
      </c>
      <c r="AD310" s="92">
        <f>+AB310*AC310+AB311*AC311+AB312*AC312</f>
        <v>18147.5</v>
      </c>
    </row>
    <row r="311" spans="2:30">
      <c r="B311" s="90"/>
      <c r="C311" s="44" t="s">
        <v>33</v>
      </c>
      <c r="D311" s="35">
        <v>9.1999999999999993</v>
      </c>
      <c r="E311" s="35">
        <v>9.5500000000000007</v>
      </c>
      <c r="F311" s="35">
        <v>0.44</v>
      </c>
      <c r="G311" s="35">
        <v>0</v>
      </c>
      <c r="H311" s="35">
        <v>0.32</v>
      </c>
      <c r="I311" s="35">
        <v>1</v>
      </c>
      <c r="J311" s="35">
        <v>0</v>
      </c>
      <c r="K311" s="35">
        <v>0</v>
      </c>
      <c r="L311" s="35">
        <v>4.1399999999999997</v>
      </c>
      <c r="M311" s="35">
        <v>9.32</v>
      </c>
      <c r="N311" s="35">
        <v>11.49</v>
      </c>
      <c r="O311" s="35">
        <v>18.190000000000001</v>
      </c>
      <c r="P311" s="35">
        <v>19.190000000000001</v>
      </c>
      <c r="Q311" s="35">
        <v>19.07</v>
      </c>
      <c r="R311" s="35">
        <v>22.41</v>
      </c>
      <c r="S311" s="35">
        <v>22.02</v>
      </c>
      <c r="T311" s="35">
        <v>22.37</v>
      </c>
      <c r="U311" s="35">
        <v>34.82</v>
      </c>
      <c r="V311" s="35">
        <v>47.42</v>
      </c>
      <c r="W311" s="35">
        <v>53.61</v>
      </c>
      <c r="X311" s="35">
        <v>45.24</v>
      </c>
      <c r="Y311" s="35">
        <v>37.21</v>
      </c>
      <c r="Z311" s="35">
        <v>30.18</v>
      </c>
      <c r="AA311" s="35">
        <v>18.43</v>
      </c>
      <c r="AB311" s="45">
        <f t="shared" si="7"/>
        <v>435.62</v>
      </c>
      <c r="AC311" s="37">
        <v>5</v>
      </c>
      <c r="AD311" s="92"/>
    </row>
    <row r="312" spans="2:30">
      <c r="B312" s="90"/>
      <c r="C312" s="44" t="s">
        <v>34</v>
      </c>
      <c r="D312" s="35">
        <v>3.41</v>
      </c>
      <c r="E312" s="35">
        <v>3.29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1.06</v>
      </c>
      <c r="R312" s="35">
        <v>4.26</v>
      </c>
      <c r="S312" s="35">
        <v>4.34</v>
      </c>
      <c r="T312" s="35">
        <v>6.43</v>
      </c>
      <c r="U312" s="35">
        <v>18.43</v>
      </c>
      <c r="V312" s="35">
        <v>26.89</v>
      </c>
      <c r="W312" s="35">
        <v>38.82</v>
      </c>
      <c r="X312" s="35">
        <v>33.799999999999997</v>
      </c>
      <c r="Y312" s="35">
        <v>30.08</v>
      </c>
      <c r="Z312" s="35">
        <v>9.08</v>
      </c>
      <c r="AA312" s="35">
        <v>13.39</v>
      </c>
      <c r="AB312" s="45">
        <f t="shared" si="7"/>
        <v>193.28</v>
      </c>
      <c r="AC312" s="37">
        <v>5</v>
      </c>
      <c r="AD312" s="92"/>
    </row>
    <row r="313" spans="2:30">
      <c r="B313" s="90">
        <v>49583</v>
      </c>
      <c r="C313" s="44" t="s">
        <v>32</v>
      </c>
      <c r="D313" s="35">
        <v>12.64</v>
      </c>
      <c r="E313" s="35">
        <v>7.24</v>
      </c>
      <c r="F313" s="35">
        <v>2.2799999999999998</v>
      </c>
      <c r="G313" s="35">
        <v>2.48</v>
      </c>
      <c r="H313" s="35">
        <v>1.88</v>
      </c>
      <c r="I313" s="35">
        <v>6.67</v>
      </c>
      <c r="J313" s="35">
        <v>2.66</v>
      </c>
      <c r="K313" s="35">
        <v>3.15</v>
      </c>
      <c r="L313" s="35">
        <v>17.48</v>
      </c>
      <c r="M313" s="35">
        <v>23.75</v>
      </c>
      <c r="N313" s="35">
        <v>28.53</v>
      </c>
      <c r="O313" s="35">
        <v>38.450000000000003</v>
      </c>
      <c r="P313" s="35">
        <v>40.630000000000003</v>
      </c>
      <c r="Q313" s="35">
        <v>34.159999999999997</v>
      </c>
      <c r="R313" s="35">
        <v>46.33</v>
      </c>
      <c r="S313" s="35">
        <v>47.75</v>
      </c>
      <c r="T313" s="35">
        <v>49.06</v>
      </c>
      <c r="U313" s="35">
        <v>56.04</v>
      </c>
      <c r="V313" s="35">
        <v>63.15</v>
      </c>
      <c r="W313" s="35">
        <v>64.3</v>
      </c>
      <c r="X313" s="35">
        <v>59.84</v>
      </c>
      <c r="Y313" s="35">
        <v>52.11</v>
      </c>
      <c r="Z313" s="35">
        <v>39.61</v>
      </c>
      <c r="AA313" s="35">
        <v>26.01</v>
      </c>
      <c r="AB313" s="45">
        <f t="shared" si="7"/>
        <v>726.2</v>
      </c>
      <c r="AC313" s="37">
        <v>22</v>
      </c>
      <c r="AD313" s="92">
        <f>+AB313*AC313+AB314*AC314+AB315*AC315</f>
        <v>18875.439999999999</v>
      </c>
    </row>
    <row r="314" spans="2:30">
      <c r="B314" s="90"/>
      <c r="C314" s="44" t="s">
        <v>33</v>
      </c>
      <c r="D314" s="35">
        <v>9.67</v>
      </c>
      <c r="E314" s="35">
        <v>8.77</v>
      </c>
      <c r="F314" s="35">
        <v>0</v>
      </c>
      <c r="G314" s="35">
        <v>0</v>
      </c>
      <c r="H314" s="35">
        <v>0.38</v>
      </c>
      <c r="I314" s="35">
        <v>0.62</v>
      </c>
      <c r="J314" s="35">
        <v>0</v>
      </c>
      <c r="K314" s="35">
        <v>0</v>
      </c>
      <c r="L314" s="35">
        <v>4.09</v>
      </c>
      <c r="M314" s="35">
        <v>9.6300000000000008</v>
      </c>
      <c r="N314" s="35">
        <v>12.89</v>
      </c>
      <c r="O314" s="35">
        <v>21.17</v>
      </c>
      <c r="P314" s="35">
        <v>21.61</v>
      </c>
      <c r="Q314" s="35">
        <v>20.5</v>
      </c>
      <c r="R314" s="35">
        <v>23.86</v>
      </c>
      <c r="S314" s="35">
        <v>22.1</v>
      </c>
      <c r="T314" s="35">
        <v>22.53</v>
      </c>
      <c r="U314" s="35">
        <v>35.24</v>
      </c>
      <c r="V314" s="35">
        <v>47.3</v>
      </c>
      <c r="W314" s="35">
        <v>53.7</v>
      </c>
      <c r="X314" s="35">
        <v>45.74</v>
      </c>
      <c r="Y314" s="35">
        <v>37.06</v>
      </c>
      <c r="Z314" s="35">
        <v>30.13</v>
      </c>
      <c r="AA314" s="35">
        <v>19.47</v>
      </c>
      <c r="AB314" s="45">
        <f t="shared" si="7"/>
        <v>446.46</v>
      </c>
      <c r="AC314" s="37">
        <v>4</v>
      </c>
      <c r="AD314" s="92"/>
    </row>
    <row r="315" spans="2:30">
      <c r="B315" s="90"/>
      <c r="C315" s="44" t="s">
        <v>34</v>
      </c>
      <c r="D315" s="35">
        <v>6.17</v>
      </c>
      <c r="E315" s="35">
        <v>9.49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2.88</v>
      </c>
      <c r="P315" s="35">
        <v>0.93</v>
      </c>
      <c r="Q315" s="35">
        <v>3.88</v>
      </c>
      <c r="R315" s="35">
        <v>6.34</v>
      </c>
      <c r="S315" s="35">
        <v>4.41</v>
      </c>
      <c r="T315" s="35">
        <v>7.08</v>
      </c>
      <c r="U315" s="35">
        <v>21.67</v>
      </c>
      <c r="V315" s="35">
        <v>27.76</v>
      </c>
      <c r="W315" s="35">
        <v>36.840000000000003</v>
      </c>
      <c r="X315" s="35">
        <v>35.43</v>
      </c>
      <c r="Y315" s="35">
        <v>30.26</v>
      </c>
      <c r="Z315" s="35">
        <v>14.92</v>
      </c>
      <c r="AA315" s="35">
        <v>14.58</v>
      </c>
      <c r="AB315" s="45">
        <f t="shared" si="7"/>
        <v>222.64</v>
      </c>
      <c r="AC315" s="37">
        <v>5</v>
      </c>
      <c r="AD315" s="92"/>
    </row>
    <row r="316" spans="2:30">
      <c r="B316" s="90">
        <v>49614</v>
      </c>
      <c r="C316" s="44" t="s">
        <v>32</v>
      </c>
      <c r="D316" s="35">
        <v>11.71</v>
      </c>
      <c r="E316" s="35">
        <v>6.37</v>
      </c>
      <c r="F316" s="35">
        <v>1.47</v>
      </c>
      <c r="G316" s="35">
        <v>1.88</v>
      </c>
      <c r="H316" s="35">
        <v>1.1000000000000001</v>
      </c>
      <c r="I316" s="35">
        <v>6.13</v>
      </c>
      <c r="J316" s="35">
        <v>2.1</v>
      </c>
      <c r="K316" s="35">
        <v>2.85</v>
      </c>
      <c r="L316" s="35">
        <v>16.64</v>
      </c>
      <c r="M316" s="35">
        <v>23.13</v>
      </c>
      <c r="N316" s="35">
        <v>27.12</v>
      </c>
      <c r="O316" s="35">
        <v>35.799999999999997</v>
      </c>
      <c r="P316" s="35">
        <v>37.31</v>
      </c>
      <c r="Q316" s="35">
        <v>31.87</v>
      </c>
      <c r="R316" s="35">
        <v>45.34</v>
      </c>
      <c r="S316" s="35">
        <v>47.57</v>
      </c>
      <c r="T316" s="35">
        <v>48.98</v>
      </c>
      <c r="U316" s="35">
        <v>55.89</v>
      </c>
      <c r="V316" s="35">
        <v>63.16</v>
      </c>
      <c r="W316" s="35">
        <v>64.11</v>
      </c>
      <c r="X316" s="35">
        <v>59.5</v>
      </c>
      <c r="Y316" s="35">
        <v>51.49</v>
      </c>
      <c r="Z316" s="35">
        <v>38.909999999999997</v>
      </c>
      <c r="AA316" s="35">
        <v>24.89</v>
      </c>
      <c r="AB316" s="45">
        <f t="shared" si="7"/>
        <v>705.32</v>
      </c>
      <c r="AC316" s="37">
        <v>20</v>
      </c>
      <c r="AD316" s="92">
        <f>+AB316*AC316+AB317*AC317+AB318*AC318</f>
        <v>17219.580000000002</v>
      </c>
    </row>
    <row r="317" spans="2:30">
      <c r="B317" s="90"/>
      <c r="C317" s="44" t="s">
        <v>33</v>
      </c>
      <c r="D317" s="35">
        <v>9.66</v>
      </c>
      <c r="E317" s="35">
        <v>8.51</v>
      </c>
      <c r="F317" s="35">
        <v>0</v>
      </c>
      <c r="G317" s="35">
        <v>0</v>
      </c>
      <c r="H317" s="35">
        <v>0.22</v>
      </c>
      <c r="I317" s="35">
        <v>1.48</v>
      </c>
      <c r="J317" s="35">
        <v>0</v>
      </c>
      <c r="K317" s="35">
        <v>0</v>
      </c>
      <c r="L317" s="35">
        <v>3.93</v>
      </c>
      <c r="M317" s="35">
        <v>9.56</v>
      </c>
      <c r="N317" s="35">
        <v>11.48</v>
      </c>
      <c r="O317" s="35">
        <v>19.41</v>
      </c>
      <c r="P317" s="35">
        <v>18.91</v>
      </c>
      <c r="Q317" s="35">
        <v>18.2</v>
      </c>
      <c r="R317" s="35">
        <v>24.19</v>
      </c>
      <c r="S317" s="35">
        <v>23.12</v>
      </c>
      <c r="T317" s="35">
        <v>23.25</v>
      </c>
      <c r="U317" s="35">
        <v>35.380000000000003</v>
      </c>
      <c r="V317" s="35">
        <v>46.85</v>
      </c>
      <c r="W317" s="35">
        <v>54.51</v>
      </c>
      <c r="X317" s="35">
        <v>43.48</v>
      </c>
      <c r="Y317" s="35">
        <v>37.01</v>
      </c>
      <c r="Z317" s="35">
        <v>29.86</v>
      </c>
      <c r="AA317" s="35">
        <v>18.89</v>
      </c>
      <c r="AB317" s="45">
        <f t="shared" si="7"/>
        <v>437.9</v>
      </c>
      <c r="AC317" s="37">
        <v>4</v>
      </c>
      <c r="AD317" s="92"/>
    </row>
    <row r="318" spans="2:30">
      <c r="B318" s="90"/>
      <c r="C318" s="44" t="s">
        <v>34</v>
      </c>
      <c r="D318" s="35">
        <v>2.3199999999999998</v>
      </c>
      <c r="E318" s="35">
        <v>1.85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1.45</v>
      </c>
      <c r="P318" s="35">
        <v>0</v>
      </c>
      <c r="Q318" s="35">
        <v>3.39</v>
      </c>
      <c r="R318" s="35">
        <v>7.31</v>
      </c>
      <c r="S318" s="35">
        <v>5.28</v>
      </c>
      <c r="T318" s="35">
        <v>8.25</v>
      </c>
      <c r="U318" s="35">
        <v>22.1</v>
      </c>
      <c r="V318" s="35">
        <v>28.45</v>
      </c>
      <c r="W318" s="35">
        <v>39.51</v>
      </c>
      <c r="X318" s="35">
        <v>38.06</v>
      </c>
      <c r="Y318" s="35">
        <v>35.75</v>
      </c>
      <c r="Z318" s="35">
        <v>17.59</v>
      </c>
      <c r="AA318" s="35">
        <v>15.62</v>
      </c>
      <c r="AB318" s="45">
        <f t="shared" si="7"/>
        <v>226.93</v>
      </c>
      <c r="AC318" s="37">
        <v>6</v>
      </c>
      <c r="AD318" s="92"/>
    </row>
    <row r="319" spans="2:30">
      <c r="B319" s="90">
        <v>49644</v>
      </c>
      <c r="C319" s="44" t="s">
        <v>32</v>
      </c>
      <c r="D319" s="35">
        <v>14.65</v>
      </c>
      <c r="E319" s="35">
        <v>8.59</v>
      </c>
      <c r="F319" s="35">
        <v>3.99</v>
      </c>
      <c r="G319" s="35">
        <v>3.28</v>
      </c>
      <c r="H319" s="35">
        <v>3.62</v>
      </c>
      <c r="I319" s="35">
        <v>7.12</v>
      </c>
      <c r="J319" s="35">
        <v>6.18</v>
      </c>
      <c r="K319" s="35">
        <v>4.8099999999999996</v>
      </c>
      <c r="L319" s="35">
        <v>18.18</v>
      </c>
      <c r="M319" s="35">
        <v>23.89</v>
      </c>
      <c r="N319" s="35">
        <v>27.54</v>
      </c>
      <c r="O319" s="35">
        <v>36.22</v>
      </c>
      <c r="P319" s="35">
        <v>37.93</v>
      </c>
      <c r="Q319" s="35">
        <v>33.090000000000003</v>
      </c>
      <c r="R319" s="35">
        <v>44.18</v>
      </c>
      <c r="S319" s="35">
        <v>47.88</v>
      </c>
      <c r="T319" s="35">
        <v>50.19</v>
      </c>
      <c r="U319" s="35">
        <v>56.08</v>
      </c>
      <c r="V319" s="35">
        <v>64.099999999999994</v>
      </c>
      <c r="W319" s="35">
        <v>67.16</v>
      </c>
      <c r="X319" s="35">
        <v>63.04</v>
      </c>
      <c r="Y319" s="35">
        <v>54.8</v>
      </c>
      <c r="Z319" s="35">
        <v>42.27</v>
      </c>
      <c r="AA319" s="35">
        <v>28.45</v>
      </c>
      <c r="AB319" s="45">
        <f t="shared" si="7"/>
        <v>747.24</v>
      </c>
      <c r="AC319" s="37">
        <v>20</v>
      </c>
      <c r="AD319" s="92">
        <f>+AB319*AC319+AB320*AC320+AB321*AC321</f>
        <v>18263.93</v>
      </c>
    </row>
    <row r="320" spans="2:30">
      <c r="B320" s="90"/>
      <c r="C320" s="44" t="s">
        <v>33</v>
      </c>
      <c r="D320" s="35">
        <v>8.9700000000000006</v>
      </c>
      <c r="E320" s="35">
        <v>8.84</v>
      </c>
      <c r="F320" s="35">
        <v>0</v>
      </c>
      <c r="G320" s="35">
        <v>0</v>
      </c>
      <c r="H320" s="35">
        <v>0.88</v>
      </c>
      <c r="I320" s="35">
        <v>3.52</v>
      </c>
      <c r="J320" s="35">
        <v>0</v>
      </c>
      <c r="K320" s="35">
        <v>0</v>
      </c>
      <c r="L320" s="35">
        <v>3.82</v>
      </c>
      <c r="M320" s="35">
        <v>8.49</v>
      </c>
      <c r="N320" s="35">
        <v>10.52</v>
      </c>
      <c r="O320" s="35">
        <v>18.940000000000001</v>
      </c>
      <c r="P320" s="35">
        <v>17.52</v>
      </c>
      <c r="Q320" s="35">
        <v>15.63</v>
      </c>
      <c r="R320" s="35">
        <v>22.32</v>
      </c>
      <c r="S320" s="35">
        <v>21.52</v>
      </c>
      <c r="T320" s="35">
        <v>22.35</v>
      </c>
      <c r="U320" s="35">
        <v>35.29</v>
      </c>
      <c r="V320" s="35">
        <v>46.48</v>
      </c>
      <c r="W320" s="35">
        <v>53.09</v>
      </c>
      <c r="X320" s="35">
        <v>41</v>
      </c>
      <c r="Y320" s="35">
        <v>36.72</v>
      </c>
      <c r="Z320" s="35">
        <v>29.43</v>
      </c>
      <c r="AA320" s="35">
        <v>24.42</v>
      </c>
      <c r="AB320" s="45">
        <f t="shared" si="7"/>
        <v>429.75</v>
      </c>
      <c r="AC320" s="37">
        <v>4</v>
      </c>
      <c r="AD320" s="92"/>
    </row>
    <row r="321" spans="2:30">
      <c r="B321" s="90"/>
      <c r="C321" s="44" t="s">
        <v>34</v>
      </c>
      <c r="D321" s="35">
        <v>6.95</v>
      </c>
      <c r="E321" s="35">
        <v>11.27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1.61</v>
      </c>
      <c r="P321" s="35">
        <v>0</v>
      </c>
      <c r="Q321" s="35">
        <v>2.86</v>
      </c>
      <c r="R321" s="35">
        <v>5.55</v>
      </c>
      <c r="S321" s="35">
        <v>3.84</v>
      </c>
      <c r="T321" s="35">
        <v>6.57</v>
      </c>
      <c r="U321" s="35">
        <v>21.24</v>
      </c>
      <c r="V321" s="35">
        <v>24.83</v>
      </c>
      <c r="W321" s="35">
        <v>37.35</v>
      </c>
      <c r="X321" s="35">
        <v>36.31</v>
      </c>
      <c r="Y321" s="35">
        <v>36.31</v>
      </c>
      <c r="Z321" s="35">
        <v>15.72</v>
      </c>
      <c r="AA321" s="35">
        <v>18.18</v>
      </c>
      <c r="AB321" s="45">
        <f t="shared" si="7"/>
        <v>228.59</v>
      </c>
      <c r="AC321" s="37">
        <v>7</v>
      </c>
      <c r="AD321" s="92"/>
    </row>
    <row r="322" spans="2:30"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86" t="s">
        <v>35</v>
      </c>
      <c r="AB322" s="87"/>
      <c r="AC322" s="88"/>
      <c r="AD322" s="39">
        <f>SUM(AD286:AD321)</f>
        <v>205072.53</v>
      </c>
    </row>
    <row r="323" spans="2:30"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 spans="2:30" ht="23.25">
      <c r="B324" s="41" t="s">
        <v>85</v>
      </c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40"/>
      <c r="AC324" s="40"/>
      <c r="AD324" s="38"/>
    </row>
    <row r="325" spans="2:30">
      <c r="B325" s="42" t="s">
        <v>3</v>
      </c>
      <c r="C325" s="42" t="s">
        <v>4</v>
      </c>
      <c r="D325" s="42" t="s">
        <v>5</v>
      </c>
      <c r="E325" s="42" t="s">
        <v>6</v>
      </c>
      <c r="F325" s="42" t="s">
        <v>7</v>
      </c>
      <c r="G325" s="42" t="s">
        <v>8</v>
      </c>
      <c r="H325" s="42" t="s">
        <v>9</v>
      </c>
      <c r="I325" s="42" t="s">
        <v>10</v>
      </c>
      <c r="J325" s="42" t="s">
        <v>11</v>
      </c>
      <c r="K325" s="42" t="s">
        <v>12</v>
      </c>
      <c r="L325" s="42" t="s">
        <v>13</v>
      </c>
      <c r="M325" s="42" t="s">
        <v>14</v>
      </c>
      <c r="N325" s="42" t="s">
        <v>15</v>
      </c>
      <c r="O325" s="42" t="s">
        <v>16</v>
      </c>
      <c r="P325" s="42" t="s">
        <v>17</v>
      </c>
      <c r="Q325" s="42" t="s">
        <v>18</v>
      </c>
      <c r="R325" s="42" t="s">
        <v>19</v>
      </c>
      <c r="S325" s="42" t="s">
        <v>20</v>
      </c>
      <c r="T325" s="42" t="s">
        <v>21</v>
      </c>
      <c r="U325" s="42" t="s">
        <v>22</v>
      </c>
      <c r="V325" s="42" t="s">
        <v>23</v>
      </c>
      <c r="W325" s="42" t="s">
        <v>24</v>
      </c>
      <c r="X325" s="42" t="s">
        <v>25</v>
      </c>
      <c r="Y325" s="42" t="s">
        <v>26</v>
      </c>
      <c r="Z325" s="42" t="s">
        <v>27</v>
      </c>
      <c r="AA325" s="42" t="s">
        <v>28</v>
      </c>
      <c r="AB325" s="36" t="s">
        <v>29</v>
      </c>
      <c r="AC325" s="43" t="s">
        <v>30</v>
      </c>
      <c r="AD325" s="42" t="s">
        <v>31</v>
      </c>
    </row>
    <row r="326" spans="2:30">
      <c r="B326" s="90">
        <v>49675</v>
      </c>
      <c r="C326" s="44" t="s">
        <v>32</v>
      </c>
      <c r="D326" s="35">
        <v>14.47</v>
      </c>
      <c r="E326" s="35">
        <v>7.47</v>
      </c>
      <c r="F326" s="35">
        <v>4.17</v>
      </c>
      <c r="G326" s="35">
        <v>3.05</v>
      </c>
      <c r="H326" s="35">
        <v>3.64</v>
      </c>
      <c r="I326" s="35">
        <v>7.54</v>
      </c>
      <c r="J326" s="35">
        <v>6.23</v>
      </c>
      <c r="K326" s="35">
        <v>4.12</v>
      </c>
      <c r="L326" s="35">
        <v>15.56</v>
      </c>
      <c r="M326" s="35">
        <v>20.12</v>
      </c>
      <c r="N326" s="35">
        <v>23.9</v>
      </c>
      <c r="O326" s="35">
        <v>33.22</v>
      </c>
      <c r="P326" s="35">
        <v>35.71</v>
      </c>
      <c r="Q326" s="35">
        <v>32.01</v>
      </c>
      <c r="R326" s="35">
        <v>40.450000000000003</v>
      </c>
      <c r="S326" s="35">
        <v>42.7</v>
      </c>
      <c r="T326" s="35">
        <v>44.46</v>
      </c>
      <c r="U326" s="35">
        <v>51.65</v>
      </c>
      <c r="V326" s="35">
        <v>60.26</v>
      </c>
      <c r="W326" s="35">
        <v>63.68</v>
      </c>
      <c r="X326" s="35">
        <v>60.07</v>
      </c>
      <c r="Y326" s="35">
        <v>52.52</v>
      </c>
      <c r="Z326" s="35">
        <v>39.78</v>
      </c>
      <c r="AA326" s="35">
        <v>27.19</v>
      </c>
      <c r="AB326" s="45">
        <f>SUM(D326:AA326)</f>
        <v>693.97</v>
      </c>
      <c r="AC326" s="37">
        <v>21</v>
      </c>
      <c r="AD326" s="92">
        <f>+AB326*AC326+AB327*AC327+AB328*AC328</f>
        <v>17814.79</v>
      </c>
    </row>
    <row r="327" spans="2:30">
      <c r="B327" s="90"/>
      <c r="C327" s="44" t="s">
        <v>33</v>
      </c>
      <c r="D327" s="35">
        <v>19.14</v>
      </c>
      <c r="E327" s="35">
        <v>15.03</v>
      </c>
      <c r="F327" s="35">
        <v>2.99</v>
      </c>
      <c r="G327" s="35">
        <v>4.0599999999999996</v>
      </c>
      <c r="H327" s="35">
        <v>5.89</v>
      </c>
      <c r="I327" s="35">
        <v>3.73</v>
      </c>
      <c r="J327" s="35">
        <v>0</v>
      </c>
      <c r="K327" s="35">
        <v>0</v>
      </c>
      <c r="L327" s="35">
        <v>6.97</v>
      </c>
      <c r="M327" s="35">
        <v>7.69</v>
      </c>
      <c r="N327" s="35">
        <v>9.39</v>
      </c>
      <c r="O327" s="35">
        <v>15.28</v>
      </c>
      <c r="P327" s="35">
        <v>18.05</v>
      </c>
      <c r="Q327" s="35">
        <v>13.97</v>
      </c>
      <c r="R327" s="35">
        <v>20.81</v>
      </c>
      <c r="S327" s="35">
        <v>21.37</v>
      </c>
      <c r="T327" s="35">
        <v>19.62</v>
      </c>
      <c r="U327" s="35">
        <v>34.47</v>
      </c>
      <c r="V327" s="35">
        <v>46.66</v>
      </c>
      <c r="W327" s="35">
        <v>50.75</v>
      </c>
      <c r="X327" s="35">
        <v>41.66</v>
      </c>
      <c r="Y327" s="35">
        <v>38.28</v>
      </c>
      <c r="Z327" s="35">
        <v>30.78</v>
      </c>
      <c r="AA327" s="35">
        <v>20.09</v>
      </c>
      <c r="AB327" s="45">
        <f t="shared" ref="AB327:AB361" si="8">SUM(D327:AA327)</f>
        <v>446.68</v>
      </c>
      <c r="AC327" s="37">
        <v>4</v>
      </c>
      <c r="AD327" s="92"/>
    </row>
    <row r="328" spans="2:30">
      <c r="B328" s="90"/>
      <c r="C328" s="44" t="s">
        <v>34</v>
      </c>
      <c r="D328" s="35">
        <v>9.99</v>
      </c>
      <c r="E328" s="35">
        <v>6.5</v>
      </c>
      <c r="F328" s="35">
        <v>2.0099999999999998</v>
      </c>
      <c r="G328" s="35">
        <v>0</v>
      </c>
      <c r="H328" s="35">
        <v>0</v>
      </c>
      <c r="I328" s="35">
        <v>0</v>
      </c>
      <c r="J328" s="35">
        <v>0.19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1.41</v>
      </c>
      <c r="Q328" s="35">
        <v>3.95</v>
      </c>
      <c r="R328" s="35">
        <v>5.36</v>
      </c>
      <c r="S328" s="35">
        <v>4.04</v>
      </c>
      <c r="T328" s="35">
        <v>4.74</v>
      </c>
      <c r="U328" s="35">
        <v>21.84</v>
      </c>
      <c r="V328" s="35">
        <v>23.61</v>
      </c>
      <c r="W328" s="35">
        <v>37.21</v>
      </c>
      <c r="X328" s="35">
        <v>37.17</v>
      </c>
      <c r="Y328" s="35">
        <v>32.79</v>
      </c>
      <c r="Z328" s="35">
        <v>30.77</v>
      </c>
      <c r="AA328" s="35">
        <v>20.87</v>
      </c>
      <c r="AB328" s="45">
        <f t="shared" si="8"/>
        <v>242.45</v>
      </c>
      <c r="AC328" s="37">
        <v>6</v>
      </c>
      <c r="AD328" s="92"/>
    </row>
    <row r="329" spans="2:30">
      <c r="B329" s="90">
        <v>49706</v>
      </c>
      <c r="C329" s="44" t="s">
        <v>32</v>
      </c>
      <c r="D329" s="35">
        <v>12.77</v>
      </c>
      <c r="E329" s="35">
        <v>3.66</v>
      </c>
      <c r="F329" s="35">
        <v>0</v>
      </c>
      <c r="G329" s="35">
        <v>0.1</v>
      </c>
      <c r="H329" s="35">
        <v>0</v>
      </c>
      <c r="I329" s="35">
        <v>5.25</v>
      </c>
      <c r="J329" s="35">
        <v>2.4900000000000002</v>
      </c>
      <c r="K329" s="35">
        <v>1.93</v>
      </c>
      <c r="L329" s="35">
        <v>12.87</v>
      </c>
      <c r="M329" s="35">
        <v>19.7</v>
      </c>
      <c r="N329" s="35">
        <v>23.41</v>
      </c>
      <c r="O329" s="35">
        <v>32.520000000000003</v>
      </c>
      <c r="P329" s="35">
        <v>34.17</v>
      </c>
      <c r="Q329" s="35">
        <v>28.89</v>
      </c>
      <c r="R329" s="35">
        <v>38.57</v>
      </c>
      <c r="S329" s="35">
        <v>39.090000000000003</v>
      </c>
      <c r="T329" s="35">
        <v>40.32</v>
      </c>
      <c r="U329" s="35">
        <v>48.77</v>
      </c>
      <c r="V329" s="35">
        <v>55.97</v>
      </c>
      <c r="W329" s="35">
        <v>57.06</v>
      </c>
      <c r="X329" s="35">
        <v>53.03</v>
      </c>
      <c r="Y329" s="35">
        <v>46.13</v>
      </c>
      <c r="Z329" s="35">
        <v>33.42</v>
      </c>
      <c r="AA329" s="35">
        <v>21.43</v>
      </c>
      <c r="AB329" s="45">
        <f t="shared" si="8"/>
        <v>611.54999999999995</v>
      </c>
      <c r="AC329" s="37">
        <v>21</v>
      </c>
      <c r="AD329" s="92">
        <f>+AB329*AC329+AB330*AC330+AB331*AC331</f>
        <v>15592.31</v>
      </c>
    </row>
    <row r="330" spans="2:30">
      <c r="B330" s="90"/>
      <c r="C330" s="44" t="s">
        <v>33</v>
      </c>
      <c r="D330" s="35">
        <v>15.2</v>
      </c>
      <c r="E330" s="35">
        <v>11.44</v>
      </c>
      <c r="F330" s="35">
        <v>0.84</v>
      </c>
      <c r="G330" s="35">
        <v>0.37</v>
      </c>
      <c r="H330" s="35">
        <v>2.76</v>
      </c>
      <c r="I330" s="35">
        <v>1.75</v>
      </c>
      <c r="J330" s="35">
        <v>0.19</v>
      </c>
      <c r="K330" s="35">
        <v>0</v>
      </c>
      <c r="L330" s="35">
        <v>4.7300000000000004</v>
      </c>
      <c r="M330" s="35">
        <v>8.9</v>
      </c>
      <c r="N330" s="35">
        <v>10.11</v>
      </c>
      <c r="O330" s="35">
        <v>16.29</v>
      </c>
      <c r="P330" s="35">
        <v>19.14</v>
      </c>
      <c r="Q330" s="35">
        <v>16.89</v>
      </c>
      <c r="R330" s="35">
        <v>21.96</v>
      </c>
      <c r="S330" s="35">
        <v>21.33</v>
      </c>
      <c r="T330" s="35">
        <v>20.94</v>
      </c>
      <c r="U330" s="35">
        <v>34.35</v>
      </c>
      <c r="V330" s="35">
        <v>48.02</v>
      </c>
      <c r="W330" s="35">
        <v>49.32</v>
      </c>
      <c r="X330" s="35">
        <v>41.73</v>
      </c>
      <c r="Y330" s="35">
        <v>37.56</v>
      </c>
      <c r="Z330" s="35">
        <v>30.92</v>
      </c>
      <c r="AA330" s="35">
        <v>22.07</v>
      </c>
      <c r="AB330" s="45">
        <f t="shared" si="8"/>
        <v>436.81</v>
      </c>
      <c r="AC330" s="37">
        <v>4</v>
      </c>
      <c r="AD330" s="92"/>
    </row>
    <row r="331" spans="2:30">
      <c r="B331" s="90"/>
      <c r="C331" s="44" t="s">
        <v>34</v>
      </c>
      <c r="D331" s="35">
        <v>8.74</v>
      </c>
      <c r="E331" s="35">
        <v>7</v>
      </c>
      <c r="F331" s="35">
        <v>1.3</v>
      </c>
      <c r="G331" s="35">
        <v>0</v>
      </c>
      <c r="H331" s="35">
        <v>0</v>
      </c>
      <c r="I331" s="35">
        <v>0</v>
      </c>
      <c r="J331" s="35">
        <v>0.71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1.9</v>
      </c>
      <c r="Q331" s="35">
        <v>5.5</v>
      </c>
      <c r="R331" s="35">
        <v>6.05</v>
      </c>
      <c r="S331" s="35">
        <v>7.03</v>
      </c>
      <c r="T331" s="35">
        <v>8.24</v>
      </c>
      <c r="U331" s="35">
        <v>22.51</v>
      </c>
      <c r="V331" s="35">
        <v>28.51</v>
      </c>
      <c r="W331" s="35">
        <v>41.41</v>
      </c>
      <c r="X331" s="35">
        <v>37.049999999999997</v>
      </c>
      <c r="Y331" s="35">
        <v>32.78</v>
      </c>
      <c r="Z331" s="35">
        <v>24.97</v>
      </c>
      <c r="AA331" s="35">
        <v>16.93</v>
      </c>
      <c r="AB331" s="45">
        <f t="shared" si="8"/>
        <v>250.63</v>
      </c>
      <c r="AC331" s="37">
        <v>4</v>
      </c>
      <c r="AD331" s="92"/>
    </row>
    <row r="332" spans="2:30">
      <c r="B332" s="90">
        <v>49735</v>
      </c>
      <c r="C332" s="44" t="s">
        <v>32</v>
      </c>
      <c r="D332" s="35">
        <v>13.73</v>
      </c>
      <c r="E332" s="35">
        <v>4.75</v>
      </c>
      <c r="F332" s="35">
        <v>0.7</v>
      </c>
      <c r="G332" s="35">
        <v>0.92</v>
      </c>
      <c r="H332" s="35">
        <v>0.54</v>
      </c>
      <c r="I332" s="35">
        <v>6.86</v>
      </c>
      <c r="J332" s="35">
        <v>3.62</v>
      </c>
      <c r="K332" s="35">
        <v>3.17</v>
      </c>
      <c r="L332" s="35">
        <v>14.43</v>
      </c>
      <c r="M332" s="35">
        <v>21.05</v>
      </c>
      <c r="N332" s="35">
        <v>24.65</v>
      </c>
      <c r="O332" s="35">
        <v>32.57</v>
      </c>
      <c r="P332" s="35">
        <v>33.81</v>
      </c>
      <c r="Q332" s="35">
        <v>29.01</v>
      </c>
      <c r="R332" s="35">
        <v>39.5</v>
      </c>
      <c r="S332" s="35">
        <v>40.72</v>
      </c>
      <c r="T332" s="35">
        <v>41.92</v>
      </c>
      <c r="U332" s="35">
        <v>50.17</v>
      </c>
      <c r="V332" s="35">
        <v>56.87</v>
      </c>
      <c r="W332" s="35">
        <v>58.28</v>
      </c>
      <c r="X332" s="35">
        <v>54.46</v>
      </c>
      <c r="Y332" s="35">
        <v>47.23</v>
      </c>
      <c r="Z332" s="35">
        <v>34.82</v>
      </c>
      <c r="AA332" s="35">
        <v>22.79</v>
      </c>
      <c r="AB332" s="45">
        <f t="shared" si="8"/>
        <v>636.57000000000005</v>
      </c>
      <c r="AC332" s="37">
        <v>20</v>
      </c>
      <c r="AD332" s="92">
        <f>+AB332*AC332+AB333*AC333+AB334*AC334</f>
        <v>16364.66</v>
      </c>
    </row>
    <row r="333" spans="2:30">
      <c r="B333" s="90"/>
      <c r="C333" s="44" t="s">
        <v>33</v>
      </c>
      <c r="D333" s="35">
        <v>14.73</v>
      </c>
      <c r="E333" s="35">
        <v>5.15</v>
      </c>
      <c r="F333" s="35">
        <v>0.4</v>
      </c>
      <c r="G333" s="35">
        <v>0</v>
      </c>
      <c r="H333" s="35">
        <v>1.38</v>
      </c>
      <c r="I333" s="35">
        <v>0.74</v>
      </c>
      <c r="J333" s="35">
        <v>0.23</v>
      </c>
      <c r="K333" s="35">
        <v>0</v>
      </c>
      <c r="L333" s="35">
        <v>4.87</v>
      </c>
      <c r="M333" s="35">
        <v>9.6300000000000008</v>
      </c>
      <c r="N333" s="35">
        <v>10.87</v>
      </c>
      <c r="O333" s="35">
        <v>16.11</v>
      </c>
      <c r="P333" s="35">
        <v>19.12</v>
      </c>
      <c r="Q333" s="35">
        <v>18.23</v>
      </c>
      <c r="R333" s="35">
        <v>21.64</v>
      </c>
      <c r="S333" s="35">
        <v>21.21</v>
      </c>
      <c r="T333" s="35">
        <v>21.4</v>
      </c>
      <c r="U333" s="35">
        <v>34.08</v>
      </c>
      <c r="V333" s="35">
        <v>48.86</v>
      </c>
      <c r="W333" s="35">
        <v>48.1</v>
      </c>
      <c r="X333" s="35">
        <v>40.200000000000003</v>
      </c>
      <c r="Y333" s="35">
        <v>36.770000000000003</v>
      </c>
      <c r="Z333" s="35">
        <v>30.85</v>
      </c>
      <c r="AA333" s="35">
        <v>12.17</v>
      </c>
      <c r="AB333" s="45">
        <f t="shared" si="8"/>
        <v>416.74</v>
      </c>
      <c r="AC333" s="37">
        <v>5</v>
      </c>
      <c r="AD333" s="92"/>
    </row>
    <row r="334" spans="2:30">
      <c r="B334" s="90"/>
      <c r="C334" s="44" t="s">
        <v>34</v>
      </c>
      <c r="D334" s="35">
        <v>8.52</v>
      </c>
      <c r="E334" s="35">
        <v>6.12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1.63</v>
      </c>
      <c r="Q334" s="35">
        <v>5.26</v>
      </c>
      <c r="R334" s="35">
        <v>6.17</v>
      </c>
      <c r="S334" s="35">
        <v>7.38</v>
      </c>
      <c r="T334" s="35">
        <v>10.36</v>
      </c>
      <c r="U334" s="35">
        <v>24.82</v>
      </c>
      <c r="V334" s="35">
        <v>32.729999999999997</v>
      </c>
      <c r="W334" s="35">
        <v>41.57</v>
      </c>
      <c r="X334" s="35">
        <v>40.270000000000003</v>
      </c>
      <c r="Y334" s="35">
        <v>36.520000000000003</v>
      </c>
      <c r="Z334" s="35">
        <v>21.92</v>
      </c>
      <c r="AA334" s="35">
        <v>14.99</v>
      </c>
      <c r="AB334" s="45">
        <f t="shared" si="8"/>
        <v>258.26</v>
      </c>
      <c r="AC334" s="37">
        <v>6</v>
      </c>
      <c r="AD334" s="92"/>
    </row>
    <row r="335" spans="2:30">
      <c r="B335" s="90">
        <v>49766</v>
      </c>
      <c r="C335" s="44" t="s">
        <v>32</v>
      </c>
      <c r="D335" s="35">
        <v>13.48</v>
      </c>
      <c r="E335" s="35">
        <v>6.39</v>
      </c>
      <c r="F335" s="35">
        <v>1.84</v>
      </c>
      <c r="G335" s="35">
        <v>1.54</v>
      </c>
      <c r="H335" s="35">
        <v>1.46</v>
      </c>
      <c r="I335" s="35">
        <v>6.51</v>
      </c>
      <c r="J335" s="35">
        <v>2.79</v>
      </c>
      <c r="K335" s="35">
        <v>2.12</v>
      </c>
      <c r="L335" s="35">
        <v>14.18</v>
      </c>
      <c r="M335" s="35">
        <v>20.69</v>
      </c>
      <c r="N335" s="35">
        <v>24.05</v>
      </c>
      <c r="O335" s="35">
        <v>33.979999999999997</v>
      </c>
      <c r="P335" s="35">
        <v>35.840000000000003</v>
      </c>
      <c r="Q335" s="35">
        <v>30.71</v>
      </c>
      <c r="R335" s="35">
        <v>41.29</v>
      </c>
      <c r="S335" s="35">
        <v>42.77</v>
      </c>
      <c r="T335" s="35">
        <v>44.19</v>
      </c>
      <c r="U335" s="35">
        <v>52.12</v>
      </c>
      <c r="V335" s="35">
        <v>59.07</v>
      </c>
      <c r="W335" s="35">
        <v>60.88</v>
      </c>
      <c r="X335" s="35">
        <v>56.87</v>
      </c>
      <c r="Y335" s="35">
        <v>49.59</v>
      </c>
      <c r="Z335" s="35">
        <v>37.26</v>
      </c>
      <c r="AA335" s="35">
        <v>24.48</v>
      </c>
      <c r="AB335" s="45">
        <f t="shared" si="8"/>
        <v>664.1</v>
      </c>
      <c r="AC335" s="37">
        <v>20</v>
      </c>
      <c r="AD335" s="92">
        <f>+AB335*AC335+AB336*AC336+AB337*AC337</f>
        <v>15807.84</v>
      </c>
    </row>
    <row r="336" spans="2:30">
      <c r="B336" s="90"/>
      <c r="C336" s="44" t="s">
        <v>33</v>
      </c>
      <c r="D336" s="35">
        <v>12.29</v>
      </c>
      <c r="E336" s="35">
        <v>10.84</v>
      </c>
      <c r="F336" s="35">
        <v>0.92</v>
      </c>
      <c r="G336" s="35">
        <v>0.48</v>
      </c>
      <c r="H336" s="35">
        <v>0</v>
      </c>
      <c r="I336" s="35">
        <v>0</v>
      </c>
      <c r="J336" s="35">
        <v>0</v>
      </c>
      <c r="K336" s="35">
        <v>0</v>
      </c>
      <c r="L336" s="35">
        <v>3.92</v>
      </c>
      <c r="M336" s="35">
        <v>9.3699999999999992</v>
      </c>
      <c r="N336" s="35">
        <v>10.35</v>
      </c>
      <c r="O336" s="35">
        <v>15.96</v>
      </c>
      <c r="P336" s="35">
        <v>20.37</v>
      </c>
      <c r="Q336" s="35">
        <v>18.16</v>
      </c>
      <c r="R336" s="35">
        <v>21.57</v>
      </c>
      <c r="S336" s="35">
        <v>22.86</v>
      </c>
      <c r="T336" s="35">
        <v>21.56</v>
      </c>
      <c r="U336" s="35">
        <v>36.5</v>
      </c>
      <c r="V336" s="35">
        <v>46.64</v>
      </c>
      <c r="W336" s="35">
        <v>46.79</v>
      </c>
      <c r="X336" s="35">
        <v>39.32</v>
      </c>
      <c r="Y336" s="35">
        <v>37.590000000000003</v>
      </c>
      <c r="Z336" s="35">
        <v>30.83</v>
      </c>
      <c r="AA336" s="35">
        <v>8.0299999999999994</v>
      </c>
      <c r="AB336" s="45">
        <f t="shared" si="8"/>
        <v>414.35</v>
      </c>
      <c r="AC336" s="37">
        <v>4</v>
      </c>
      <c r="AD336" s="92"/>
    </row>
    <row r="337" spans="2:30">
      <c r="B337" s="90"/>
      <c r="C337" s="44" t="s">
        <v>34</v>
      </c>
      <c r="D337" s="35">
        <v>0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0.66</v>
      </c>
      <c r="R337" s="35">
        <v>0.99</v>
      </c>
      <c r="S337" s="35">
        <v>1.1599999999999999</v>
      </c>
      <c r="T337" s="35">
        <v>3.19</v>
      </c>
      <c r="U337" s="35">
        <v>12.8</v>
      </c>
      <c r="V337" s="35">
        <v>22.91</v>
      </c>
      <c r="W337" s="35">
        <v>32.89</v>
      </c>
      <c r="X337" s="35">
        <v>30.84</v>
      </c>
      <c r="Y337" s="35">
        <v>24.16</v>
      </c>
      <c r="Z337" s="35">
        <v>6.1</v>
      </c>
      <c r="AA337" s="35">
        <v>9.0399999999999991</v>
      </c>
      <c r="AB337" s="45">
        <f t="shared" si="8"/>
        <v>144.74</v>
      </c>
      <c r="AC337" s="37">
        <v>6</v>
      </c>
      <c r="AD337" s="92"/>
    </row>
    <row r="338" spans="2:30">
      <c r="B338" s="90">
        <v>49796</v>
      </c>
      <c r="C338" s="44" t="s">
        <v>32</v>
      </c>
      <c r="D338" s="35">
        <v>11.93</v>
      </c>
      <c r="E338" s="35">
        <v>5.46</v>
      </c>
      <c r="F338" s="35">
        <v>1.42</v>
      </c>
      <c r="G338" s="35">
        <v>1.08</v>
      </c>
      <c r="H338" s="35">
        <v>0.44</v>
      </c>
      <c r="I338" s="35">
        <v>5.16</v>
      </c>
      <c r="J338" s="35">
        <v>1.47</v>
      </c>
      <c r="K338" s="35">
        <v>0.87</v>
      </c>
      <c r="L338" s="35">
        <v>13.63</v>
      </c>
      <c r="M338" s="35">
        <v>19.79</v>
      </c>
      <c r="N338" s="35">
        <v>23.28</v>
      </c>
      <c r="O338" s="35">
        <v>32.450000000000003</v>
      </c>
      <c r="P338" s="35">
        <v>33.26</v>
      </c>
      <c r="Q338" s="35">
        <v>29.41</v>
      </c>
      <c r="R338" s="35">
        <v>40.909999999999997</v>
      </c>
      <c r="S338" s="35">
        <v>42.65</v>
      </c>
      <c r="T338" s="35">
        <v>44.65</v>
      </c>
      <c r="U338" s="35">
        <v>51.78</v>
      </c>
      <c r="V338" s="35">
        <v>59.35</v>
      </c>
      <c r="W338" s="35">
        <v>60.94</v>
      </c>
      <c r="X338" s="35">
        <v>56.34</v>
      </c>
      <c r="Y338" s="35">
        <v>48.67</v>
      </c>
      <c r="Z338" s="35">
        <v>36.61</v>
      </c>
      <c r="AA338" s="35">
        <v>24.18</v>
      </c>
      <c r="AB338" s="45">
        <f t="shared" si="8"/>
        <v>645.73</v>
      </c>
      <c r="AC338" s="37">
        <v>20</v>
      </c>
      <c r="AD338" s="92">
        <f>+AB338*AC338+AB339*AC339+AB340*AC340</f>
        <v>16068.13</v>
      </c>
    </row>
    <row r="339" spans="2:30">
      <c r="B339" s="90"/>
      <c r="C339" s="44" t="s">
        <v>33</v>
      </c>
      <c r="D339" s="35">
        <v>9.26</v>
      </c>
      <c r="E339" s="35">
        <v>8.4</v>
      </c>
      <c r="F339" s="35">
        <v>0.5</v>
      </c>
      <c r="G339" s="35">
        <v>0</v>
      </c>
      <c r="H339" s="35">
        <v>0.45</v>
      </c>
      <c r="I339" s="35">
        <v>1.57</v>
      </c>
      <c r="J339" s="35">
        <v>0</v>
      </c>
      <c r="K339" s="35">
        <v>0</v>
      </c>
      <c r="L339" s="35">
        <v>3.15</v>
      </c>
      <c r="M339" s="35">
        <v>7.69</v>
      </c>
      <c r="N339" s="35">
        <v>9.77</v>
      </c>
      <c r="O339" s="35">
        <v>14.82</v>
      </c>
      <c r="P339" s="35">
        <v>18.66</v>
      </c>
      <c r="Q339" s="35">
        <v>16.28</v>
      </c>
      <c r="R339" s="35">
        <v>22.16</v>
      </c>
      <c r="S339" s="35">
        <v>23.29</v>
      </c>
      <c r="T339" s="35">
        <v>21.77</v>
      </c>
      <c r="U339" s="35">
        <v>38.79</v>
      </c>
      <c r="V339" s="35">
        <v>46.89</v>
      </c>
      <c r="W339" s="35">
        <v>47.59</v>
      </c>
      <c r="X339" s="35">
        <v>40.47</v>
      </c>
      <c r="Y339" s="35">
        <v>37.82</v>
      </c>
      <c r="Z339" s="35">
        <v>29.27</v>
      </c>
      <c r="AA339" s="35">
        <v>10.31</v>
      </c>
      <c r="AB339" s="45">
        <f t="shared" si="8"/>
        <v>408.91</v>
      </c>
      <c r="AC339" s="37">
        <v>5</v>
      </c>
      <c r="AD339" s="92"/>
    </row>
    <row r="340" spans="2:30">
      <c r="B340" s="90"/>
      <c r="C340" s="44" t="s">
        <v>34</v>
      </c>
      <c r="D340" s="35">
        <v>2.78</v>
      </c>
      <c r="E340" s="35">
        <v>6.41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1.1100000000000001</v>
      </c>
      <c r="R340" s="35">
        <v>4.2</v>
      </c>
      <c r="S340" s="35">
        <v>2.71</v>
      </c>
      <c r="T340" s="35">
        <v>5.09</v>
      </c>
      <c r="U340" s="35">
        <v>14.79</v>
      </c>
      <c r="V340" s="35">
        <v>24.34</v>
      </c>
      <c r="W340" s="35">
        <v>32.14</v>
      </c>
      <c r="X340" s="35">
        <v>32.81</v>
      </c>
      <c r="Y340" s="35">
        <v>28.86</v>
      </c>
      <c r="Z340" s="35">
        <v>14.97</v>
      </c>
      <c r="AA340" s="35">
        <v>14.62</v>
      </c>
      <c r="AB340" s="45">
        <f t="shared" si="8"/>
        <v>184.83</v>
      </c>
      <c r="AC340" s="37">
        <v>6</v>
      </c>
      <c r="AD340" s="92"/>
    </row>
    <row r="341" spans="2:30">
      <c r="B341" s="90">
        <v>49827</v>
      </c>
      <c r="C341" s="44" t="s">
        <v>32</v>
      </c>
      <c r="D341" s="35">
        <v>11.61</v>
      </c>
      <c r="E341" s="35">
        <v>6.71</v>
      </c>
      <c r="F341" s="35">
        <v>2.37</v>
      </c>
      <c r="G341" s="35">
        <v>1.53</v>
      </c>
      <c r="H341" s="35">
        <v>1.39</v>
      </c>
      <c r="I341" s="35">
        <v>5.63</v>
      </c>
      <c r="J341" s="35">
        <v>2.73</v>
      </c>
      <c r="K341" s="35">
        <v>2.78</v>
      </c>
      <c r="L341" s="35">
        <v>15.59</v>
      </c>
      <c r="M341" s="35">
        <v>21.9</v>
      </c>
      <c r="N341" s="35">
        <v>25.06</v>
      </c>
      <c r="O341" s="35">
        <v>34.31</v>
      </c>
      <c r="P341" s="35">
        <v>35.479999999999997</v>
      </c>
      <c r="Q341" s="35">
        <v>31.12</v>
      </c>
      <c r="R341" s="35">
        <v>41.04</v>
      </c>
      <c r="S341" s="35">
        <v>43.76</v>
      </c>
      <c r="T341" s="35">
        <v>45.48</v>
      </c>
      <c r="U341" s="35">
        <v>51.73</v>
      </c>
      <c r="V341" s="35">
        <v>59.23</v>
      </c>
      <c r="W341" s="35">
        <v>61.75</v>
      </c>
      <c r="X341" s="35">
        <v>57.72</v>
      </c>
      <c r="Y341" s="35">
        <v>49.85</v>
      </c>
      <c r="Z341" s="35">
        <v>37.69</v>
      </c>
      <c r="AA341" s="35">
        <v>25.4</v>
      </c>
      <c r="AB341" s="45">
        <f t="shared" si="8"/>
        <v>671.86</v>
      </c>
      <c r="AC341" s="37">
        <v>19</v>
      </c>
      <c r="AD341" s="92">
        <f>+AB341*AC341+AB342*AC342+AB343*AC343</f>
        <v>15716.23</v>
      </c>
    </row>
    <row r="342" spans="2:30">
      <c r="B342" s="90"/>
      <c r="C342" s="44" t="s">
        <v>33</v>
      </c>
      <c r="D342" s="35">
        <v>9.02</v>
      </c>
      <c r="E342" s="35">
        <v>11.51</v>
      </c>
      <c r="F342" s="35">
        <v>0.62</v>
      </c>
      <c r="G342" s="35">
        <v>0</v>
      </c>
      <c r="H342" s="35">
        <v>2.15</v>
      </c>
      <c r="I342" s="35">
        <v>2.34</v>
      </c>
      <c r="J342" s="35">
        <v>0</v>
      </c>
      <c r="K342" s="35">
        <v>0</v>
      </c>
      <c r="L342" s="35">
        <v>4.08</v>
      </c>
      <c r="M342" s="35">
        <v>9.67</v>
      </c>
      <c r="N342" s="35">
        <v>10.76</v>
      </c>
      <c r="O342" s="35">
        <v>16.149999999999999</v>
      </c>
      <c r="P342" s="35">
        <v>19.62</v>
      </c>
      <c r="Q342" s="35">
        <v>17.63</v>
      </c>
      <c r="R342" s="35">
        <v>22.44</v>
      </c>
      <c r="S342" s="35">
        <v>22.53</v>
      </c>
      <c r="T342" s="35">
        <v>22.16</v>
      </c>
      <c r="U342" s="35">
        <v>36.19</v>
      </c>
      <c r="V342" s="35">
        <v>48.49</v>
      </c>
      <c r="W342" s="35">
        <v>46.68</v>
      </c>
      <c r="X342" s="35">
        <v>40.17</v>
      </c>
      <c r="Y342" s="35">
        <v>37.630000000000003</v>
      </c>
      <c r="Z342" s="35">
        <v>29.85</v>
      </c>
      <c r="AA342" s="35">
        <v>15.5</v>
      </c>
      <c r="AB342" s="45">
        <f t="shared" si="8"/>
        <v>425.19</v>
      </c>
      <c r="AC342" s="37">
        <v>4</v>
      </c>
      <c r="AD342" s="92"/>
    </row>
    <row r="343" spans="2:30">
      <c r="B343" s="90"/>
      <c r="C343" s="44" t="s">
        <v>34</v>
      </c>
      <c r="D343" s="35">
        <v>0</v>
      </c>
      <c r="E343" s="35">
        <v>1.9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1.66</v>
      </c>
      <c r="R343" s="35">
        <v>3.98</v>
      </c>
      <c r="S343" s="35">
        <v>2.21</v>
      </c>
      <c r="T343" s="35">
        <v>4.5</v>
      </c>
      <c r="U343" s="35">
        <v>16.72</v>
      </c>
      <c r="V343" s="35">
        <v>25.09</v>
      </c>
      <c r="W343" s="35">
        <v>32.61</v>
      </c>
      <c r="X343" s="35">
        <v>35.97</v>
      </c>
      <c r="Y343" s="35">
        <v>26.49</v>
      </c>
      <c r="Z343" s="35">
        <v>15.76</v>
      </c>
      <c r="AA343" s="35">
        <v>11.7</v>
      </c>
      <c r="AB343" s="45">
        <f t="shared" si="8"/>
        <v>178.59</v>
      </c>
      <c r="AC343" s="37">
        <v>7</v>
      </c>
      <c r="AD343" s="92"/>
    </row>
    <row r="344" spans="2:30">
      <c r="B344" s="90">
        <v>49857</v>
      </c>
      <c r="C344" s="44" t="s">
        <v>32</v>
      </c>
      <c r="D344" s="35">
        <v>14.09</v>
      </c>
      <c r="E344" s="35">
        <v>8.1</v>
      </c>
      <c r="F344" s="35">
        <v>3.46</v>
      </c>
      <c r="G344" s="35">
        <v>2.72</v>
      </c>
      <c r="H344" s="35">
        <v>2.72</v>
      </c>
      <c r="I344" s="35">
        <v>6.78</v>
      </c>
      <c r="J344" s="35">
        <v>4.26</v>
      </c>
      <c r="K344" s="35">
        <v>4.58</v>
      </c>
      <c r="L344" s="35">
        <v>17.579999999999998</v>
      </c>
      <c r="M344" s="35">
        <v>23.22</v>
      </c>
      <c r="N344" s="35">
        <v>27.56</v>
      </c>
      <c r="O344" s="35">
        <v>36.020000000000003</v>
      </c>
      <c r="P344" s="35">
        <v>37.549999999999997</v>
      </c>
      <c r="Q344" s="35">
        <v>32.82</v>
      </c>
      <c r="R344" s="35">
        <v>43.36</v>
      </c>
      <c r="S344" s="35">
        <v>46.54</v>
      </c>
      <c r="T344" s="35">
        <v>48.65</v>
      </c>
      <c r="U344" s="35">
        <v>55.24</v>
      </c>
      <c r="V344" s="35">
        <v>62.51</v>
      </c>
      <c r="W344" s="35">
        <v>65.59</v>
      </c>
      <c r="X344" s="35">
        <v>61.53</v>
      </c>
      <c r="Y344" s="35">
        <v>53.33</v>
      </c>
      <c r="Z344" s="35">
        <v>40.42</v>
      </c>
      <c r="AA344" s="35">
        <v>27.13</v>
      </c>
      <c r="AB344" s="45">
        <f t="shared" si="8"/>
        <v>725.76</v>
      </c>
      <c r="AC344" s="37">
        <v>23</v>
      </c>
      <c r="AD344" s="92">
        <f>+AB344*AC344+AB345*AC345+AB346*AC346</f>
        <v>19321.52</v>
      </c>
    </row>
    <row r="345" spans="2:30">
      <c r="B345" s="90"/>
      <c r="C345" s="44" t="s">
        <v>33</v>
      </c>
      <c r="D345" s="35">
        <v>8.74</v>
      </c>
      <c r="E345" s="35">
        <v>12.01</v>
      </c>
      <c r="F345" s="35">
        <v>3.71</v>
      </c>
      <c r="G345" s="35">
        <v>2.9</v>
      </c>
      <c r="H345" s="35">
        <v>1.97</v>
      </c>
      <c r="I345" s="35">
        <v>3.02</v>
      </c>
      <c r="J345" s="35">
        <v>0</v>
      </c>
      <c r="K345" s="35">
        <v>0</v>
      </c>
      <c r="L345" s="35">
        <v>4.58</v>
      </c>
      <c r="M345" s="35">
        <v>9.1999999999999993</v>
      </c>
      <c r="N345" s="35">
        <v>11.34</v>
      </c>
      <c r="O345" s="35">
        <v>15.76</v>
      </c>
      <c r="P345" s="35">
        <v>19.64</v>
      </c>
      <c r="Q345" s="35">
        <v>18.03</v>
      </c>
      <c r="R345" s="35">
        <v>21.6</v>
      </c>
      <c r="S345" s="35">
        <v>21.32</v>
      </c>
      <c r="T345" s="35">
        <v>22.2</v>
      </c>
      <c r="U345" s="35">
        <v>35.56</v>
      </c>
      <c r="V345" s="35">
        <v>49.81</v>
      </c>
      <c r="W345" s="35">
        <v>48.61</v>
      </c>
      <c r="X345" s="35">
        <v>42.92</v>
      </c>
      <c r="Y345" s="35">
        <v>38.130000000000003</v>
      </c>
      <c r="Z345" s="35">
        <v>30.4</v>
      </c>
      <c r="AA345" s="35">
        <v>23.24</v>
      </c>
      <c r="AB345" s="45">
        <f t="shared" si="8"/>
        <v>444.69</v>
      </c>
      <c r="AC345" s="37">
        <v>4</v>
      </c>
      <c r="AD345" s="92"/>
    </row>
    <row r="346" spans="2:30">
      <c r="B346" s="90"/>
      <c r="C346" s="44" t="s">
        <v>34</v>
      </c>
      <c r="D346" s="35">
        <v>0</v>
      </c>
      <c r="E346" s="35">
        <v>6.12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1.07</v>
      </c>
      <c r="R346" s="35">
        <v>3.27</v>
      </c>
      <c r="S346" s="35">
        <v>1.92</v>
      </c>
      <c r="T346" s="35">
        <v>5.05</v>
      </c>
      <c r="U346" s="35">
        <v>17.38</v>
      </c>
      <c r="V346" s="35">
        <v>28.67</v>
      </c>
      <c r="W346" s="35">
        <v>36.880000000000003</v>
      </c>
      <c r="X346" s="35">
        <v>37.71</v>
      </c>
      <c r="Y346" s="35">
        <v>35.64</v>
      </c>
      <c r="Z346" s="35">
        <v>21.28</v>
      </c>
      <c r="AA346" s="35">
        <v>17.579999999999998</v>
      </c>
      <c r="AB346" s="45">
        <f t="shared" si="8"/>
        <v>212.57</v>
      </c>
      <c r="AC346" s="37">
        <v>4</v>
      </c>
      <c r="AD346" s="92"/>
    </row>
    <row r="347" spans="2:30">
      <c r="B347" s="90">
        <v>49888</v>
      </c>
      <c r="C347" s="44" t="s">
        <v>32</v>
      </c>
      <c r="D347" s="35">
        <v>13.19</v>
      </c>
      <c r="E347" s="35">
        <v>6.92</v>
      </c>
      <c r="F347" s="35">
        <v>1.88</v>
      </c>
      <c r="G347" s="35">
        <v>2.64</v>
      </c>
      <c r="H347" s="35">
        <v>1.99</v>
      </c>
      <c r="I347" s="35">
        <v>7.54</v>
      </c>
      <c r="J347" s="35">
        <v>3.48</v>
      </c>
      <c r="K347" s="35">
        <v>4.0999999999999996</v>
      </c>
      <c r="L347" s="35">
        <v>16.95</v>
      </c>
      <c r="M347" s="35">
        <v>23.72</v>
      </c>
      <c r="N347" s="35">
        <v>28.43</v>
      </c>
      <c r="O347" s="35">
        <v>37.78</v>
      </c>
      <c r="P347" s="35">
        <v>38.32</v>
      </c>
      <c r="Q347" s="35">
        <v>30.94</v>
      </c>
      <c r="R347" s="35">
        <v>43.75</v>
      </c>
      <c r="S347" s="35">
        <v>46.23</v>
      </c>
      <c r="T347" s="35">
        <v>48.02</v>
      </c>
      <c r="U347" s="35">
        <v>55.19</v>
      </c>
      <c r="V347" s="35">
        <v>62.46</v>
      </c>
      <c r="W347" s="35">
        <v>64.64</v>
      </c>
      <c r="X347" s="35">
        <v>60.76</v>
      </c>
      <c r="Y347" s="35">
        <v>52.31</v>
      </c>
      <c r="Z347" s="35">
        <v>38.74</v>
      </c>
      <c r="AA347" s="35">
        <v>25.34</v>
      </c>
      <c r="AB347" s="45">
        <f t="shared" si="8"/>
        <v>715.32</v>
      </c>
      <c r="AC347" s="37">
        <v>19</v>
      </c>
      <c r="AD347" s="92">
        <f>+AB347*AC347+AB348*AC348+AB349*AC349</f>
        <v>17206.78</v>
      </c>
    </row>
    <row r="348" spans="2:30">
      <c r="B348" s="90"/>
      <c r="C348" s="44" t="s">
        <v>33</v>
      </c>
      <c r="D348" s="35">
        <v>8.94</v>
      </c>
      <c r="E348" s="35">
        <v>9.34</v>
      </c>
      <c r="F348" s="35">
        <v>0.93</v>
      </c>
      <c r="G348" s="35">
        <v>0.69</v>
      </c>
      <c r="H348" s="35">
        <v>0.6</v>
      </c>
      <c r="I348" s="35">
        <v>2.73</v>
      </c>
      <c r="J348" s="35">
        <v>0</v>
      </c>
      <c r="K348" s="35">
        <v>0</v>
      </c>
      <c r="L348" s="35">
        <v>4.09</v>
      </c>
      <c r="M348" s="35">
        <v>9.48</v>
      </c>
      <c r="N348" s="35">
        <v>11.87</v>
      </c>
      <c r="O348" s="35">
        <v>17.5</v>
      </c>
      <c r="P348" s="35">
        <v>20.03</v>
      </c>
      <c r="Q348" s="35">
        <v>17.95</v>
      </c>
      <c r="R348" s="35">
        <v>21.01</v>
      </c>
      <c r="S348" s="35">
        <v>21.06</v>
      </c>
      <c r="T348" s="35">
        <v>21.25</v>
      </c>
      <c r="U348" s="35">
        <v>34.950000000000003</v>
      </c>
      <c r="V348" s="35">
        <v>48.75</v>
      </c>
      <c r="W348" s="35">
        <v>52.46</v>
      </c>
      <c r="X348" s="35">
        <v>44.66</v>
      </c>
      <c r="Y348" s="35">
        <v>37.92</v>
      </c>
      <c r="Z348" s="35">
        <v>30.45</v>
      </c>
      <c r="AA348" s="35">
        <v>20.67</v>
      </c>
      <c r="AB348" s="45">
        <f t="shared" si="8"/>
        <v>437.33</v>
      </c>
      <c r="AC348" s="37">
        <v>5</v>
      </c>
      <c r="AD348" s="92"/>
    </row>
    <row r="349" spans="2:30">
      <c r="B349" s="90"/>
      <c r="C349" s="44" t="s">
        <v>34</v>
      </c>
      <c r="D349" s="35">
        <v>0</v>
      </c>
      <c r="E349" s="35">
        <v>4.0999999999999996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0.01</v>
      </c>
      <c r="P349" s="35">
        <v>0</v>
      </c>
      <c r="Q349" s="35">
        <v>0</v>
      </c>
      <c r="R349" s="35">
        <v>2.5099999999999998</v>
      </c>
      <c r="S349" s="35">
        <v>1.66</v>
      </c>
      <c r="T349" s="35">
        <v>4.9000000000000004</v>
      </c>
      <c r="U349" s="35">
        <v>18.13</v>
      </c>
      <c r="V349" s="35">
        <v>30.53</v>
      </c>
      <c r="W349" s="35">
        <v>36.56</v>
      </c>
      <c r="X349" s="35">
        <v>35.36</v>
      </c>
      <c r="Y349" s="35">
        <v>35.380000000000003</v>
      </c>
      <c r="Z349" s="35">
        <v>16.55</v>
      </c>
      <c r="AA349" s="35">
        <v>18.46</v>
      </c>
      <c r="AB349" s="45">
        <f t="shared" si="8"/>
        <v>204.15</v>
      </c>
      <c r="AC349" s="37">
        <v>7</v>
      </c>
      <c r="AD349" s="92"/>
    </row>
    <row r="350" spans="2:30">
      <c r="B350" s="90">
        <v>49919</v>
      </c>
      <c r="C350" s="44" t="s">
        <v>32</v>
      </c>
      <c r="D350" s="35">
        <v>14.64</v>
      </c>
      <c r="E350" s="35">
        <v>7.92</v>
      </c>
      <c r="F350" s="35">
        <v>2.5</v>
      </c>
      <c r="G350" s="35">
        <v>3.6</v>
      </c>
      <c r="H350" s="35">
        <v>3.29</v>
      </c>
      <c r="I350" s="35">
        <v>8.9700000000000006</v>
      </c>
      <c r="J350" s="35">
        <v>4.95</v>
      </c>
      <c r="K350" s="35">
        <v>4.9800000000000004</v>
      </c>
      <c r="L350" s="35">
        <v>18.86</v>
      </c>
      <c r="M350" s="35">
        <v>25.2</v>
      </c>
      <c r="N350" s="35">
        <v>29.28</v>
      </c>
      <c r="O350" s="35">
        <v>38.47</v>
      </c>
      <c r="P350" s="35">
        <v>39.21</v>
      </c>
      <c r="Q350" s="35">
        <v>33.39</v>
      </c>
      <c r="R350" s="35">
        <v>47.23</v>
      </c>
      <c r="S350" s="35">
        <v>49.64</v>
      </c>
      <c r="T350" s="35">
        <v>51.19</v>
      </c>
      <c r="U350" s="35">
        <v>57.52</v>
      </c>
      <c r="V350" s="35">
        <v>64.73</v>
      </c>
      <c r="W350" s="35">
        <v>66.400000000000006</v>
      </c>
      <c r="X350" s="35">
        <v>62.56</v>
      </c>
      <c r="Y350" s="35">
        <v>54.02</v>
      </c>
      <c r="Z350" s="35">
        <v>40.369999999999997</v>
      </c>
      <c r="AA350" s="35">
        <v>26.29</v>
      </c>
      <c r="AB350" s="45">
        <f t="shared" si="8"/>
        <v>755.21</v>
      </c>
      <c r="AC350" s="37">
        <v>22</v>
      </c>
      <c r="AD350" s="92">
        <f>+AB350*AC350+AB351*AC351+AB352*AC352</f>
        <v>19162.54</v>
      </c>
    </row>
    <row r="351" spans="2:30">
      <c r="B351" s="90"/>
      <c r="C351" s="44" t="s">
        <v>33</v>
      </c>
      <c r="D351" s="35">
        <v>9.35</v>
      </c>
      <c r="E351" s="35">
        <v>9.69</v>
      </c>
      <c r="F351" s="35">
        <v>0.56999999999999995</v>
      </c>
      <c r="G351" s="35">
        <v>0</v>
      </c>
      <c r="H351" s="35">
        <v>0.45</v>
      </c>
      <c r="I351" s="35">
        <v>1.1200000000000001</v>
      </c>
      <c r="J351" s="35">
        <v>0</v>
      </c>
      <c r="K351" s="35">
        <v>0</v>
      </c>
      <c r="L351" s="35">
        <v>4.3</v>
      </c>
      <c r="M351" s="35">
        <v>9.5</v>
      </c>
      <c r="N351" s="35">
        <v>11.66</v>
      </c>
      <c r="O351" s="35">
        <v>18.38</v>
      </c>
      <c r="P351" s="35">
        <v>19.39</v>
      </c>
      <c r="Q351" s="35">
        <v>19.260000000000002</v>
      </c>
      <c r="R351" s="35">
        <v>22.61</v>
      </c>
      <c r="S351" s="35">
        <v>22.22</v>
      </c>
      <c r="T351" s="35">
        <v>22.57</v>
      </c>
      <c r="U351" s="35">
        <v>35.049999999999997</v>
      </c>
      <c r="V351" s="35">
        <v>47.8</v>
      </c>
      <c r="W351" s="35">
        <v>54</v>
      </c>
      <c r="X351" s="35">
        <v>45.62</v>
      </c>
      <c r="Y351" s="35">
        <v>37.42</v>
      </c>
      <c r="Z351" s="35">
        <v>30.38</v>
      </c>
      <c r="AA351" s="35">
        <v>18.600000000000001</v>
      </c>
      <c r="AB351" s="45">
        <f t="shared" si="8"/>
        <v>439.94</v>
      </c>
      <c r="AC351" s="37">
        <v>4</v>
      </c>
      <c r="AD351" s="92"/>
    </row>
    <row r="352" spans="2:30">
      <c r="B352" s="90"/>
      <c r="C352" s="44" t="s">
        <v>34</v>
      </c>
      <c r="D352" s="35">
        <v>3.54</v>
      </c>
      <c r="E352" s="35">
        <v>3.42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0.06</v>
      </c>
      <c r="P352" s="35">
        <v>0</v>
      </c>
      <c r="Q352" s="35">
        <v>1.33</v>
      </c>
      <c r="R352" s="35">
        <v>4.53</v>
      </c>
      <c r="S352" s="35">
        <v>4.6100000000000003</v>
      </c>
      <c r="T352" s="35">
        <v>6.71</v>
      </c>
      <c r="U352" s="35">
        <v>18.989999999999998</v>
      </c>
      <c r="V352" s="35">
        <v>27.19</v>
      </c>
      <c r="W352" s="35">
        <v>39.15</v>
      </c>
      <c r="X352" s="35">
        <v>34.119999999999997</v>
      </c>
      <c r="Y352" s="35">
        <v>30.39</v>
      </c>
      <c r="Z352" s="35">
        <v>9.34</v>
      </c>
      <c r="AA352" s="35">
        <v>13.66</v>
      </c>
      <c r="AB352" s="45">
        <f t="shared" si="8"/>
        <v>197.04</v>
      </c>
      <c r="AC352" s="37">
        <v>4</v>
      </c>
      <c r="AD352" s="92"/>
    </row>
    <row r="353" spans="2:30">
      <c r="B353" s="90">
        <v>49949</v>
      </c>
      <c r="C353" s="44" t="s">
        <v>32</v>
      </c>
      <c r="D353" s="35">
        <v>12.8</v>
      </c>
      <c r="E353" s="35">
        <v>7.38</v>
      </c>
      <c r="F353" s="35">
        <v>2.41</v>
      </c>
      <c r="G353" s="35">
        <v>2.61</v>
      </c>
      <c r="H353" s="35">
        <v>2.0099999999999998</v>
      </c>
      <c r="I353" s="35">
        <v>6.81</v>
      </c>
      <c r="J353" s="35">
        <v>2.81</v>
      </c>
      <c r="K353" s="35">
        <v>3.3</v>
      </c>
      <c r="L353" s="35">
        <v>17.670000000000002</v>
      </c>
      <c r="M353" s="35">
        <v>23.95</v>
      </c>
      <c r="N353" s="35">
        <v>28.75</v>
      </c>
      <c r="O353" s="35">
        <v>38.69</v>
      </c>
      <c r="P353" s="35">
        <v>40.880000000000003</v>
      </c>
      <c r="Q353" s="35">
        <v>34.39</v>
      </c>
      <c r="R353" s="35">
        <v>46.59</v>
      </c>
      <c r="S353" s="35">
        <v>48.01</v>
      </c>
      <c r="T353" s="35">
        <v>49.33</v>
      </c>
      <c r="U353" s="35">
        <v>56.33</v>
      </c>
      <c r="V353" s="35">
        <v>63.43</v>
      </c>
      <c r="W353" s="35">
        <v>64.58</v>
      </c>
      <c r="X353" s="35">
        <v>60.11</v>
      </c>
      <c r="Y353" s="35">
        <v>52.36</v>
      </c>
      <c r="Z353" s="35">
        <v>39.83</v>
      </c>
      <c r="AA353" s="35">
        <v>26.19</v>
      </c>
      <c r="AB353" s="45">
        <f t="shared" si="8"/>
        <v>731.22</v>
      </c>
      <c r="AC353" s="37">
        <v>22</v>
      </c>
      <c r="AD353" s="92">
        <f>+AB353*AC353+AB354*AC354+AB355*AC355</f>
        <v>19022.400000000001</v>
      </c>
    </row>
    <row r="354" spans="2:30">
      <c r="B354" s="90"/>
      <c r="C354" s="44" t="s">
        <v>33</v>
      </c>
      <c r="D354" s="35">
        <v>9.81</v>
      </c>
      <c r="E354" s="35">
        <v>8.91</v>
      </c>
      <c r="F354" s="35">
        <v>0.08</v>
      </c>
      <c r="G354" s="35">
        <v>0</v>
      </c>
      <c r="H354" s="35">
        <v>0.5</v>
      </c>
      <c r="I354" s="35">
        <v>0.75</v>
      </c>
      <c r="J354" s="35">
        <v>0</v>
      </c>
      <c r="K354" s="35">
        <v>0</v>
      </c>
      <c r="L354" s="35">
        <v>4.25</v>
      </c>
      <c r="M354" s="35">
        <v>9.8000000000000007</v>
      </c>
      <c r="N354" s="35">
        <v>13.07</v>
      </c>
      <c r="O354" s="35">
        <v>21.37</v>
      </c>
      <c r="P354" s="35">
        <v>21.81</v>
      </c>
      <c r="Q354" s="35">
        <v>20.69</v>
      </c>
      <c r="R354" s="35">
        <v>24.06</v>
      </c>
      <c r="S354" s="35">
        <v>22.3</v>
      </c>
      <c r="T354" s="35">
        <v>22.73</v>
      </c>
      <c r="U354" s="35">
        <v>35.47</v>
      </c>
      <c r="V354" s="35">
        <v>47.7</v>
      </c>
      <c r="W354" s="35">
        <v>54.11</v>
      </c>
      <c r="X354" s="35">
        <v>46.13</v>
      </c>
      <c r="Y354" s="35">
        <v>37.28</v>
      </c>
      <c r="Z354" s="35">
        <v>30.33</v>
      </c>
      <c r="AA354" s="35">
        <v>19.64</v>
      </c>
      <c r="AB354" s="45">
        <f t="shared" si="8"/>
        <v>450.79</v>
      </c>
      <c r="AC354" s="37">
        <v>4</v>
      </c>
      <c r="AD354" s="92"/>
    </row>
    <row r="355" spans="2:30">
      <c r="B355" s="90"/>
      <c r="C355" s="44" t="s">
        <v>34</v>
      </c>
      <c r="D355" s="35">
        <v>6.31</v>
      </c>
      <c r="E355" s="35">
        <v>9.64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3.03</v>
      </c>
      <c r="P355" s="35">
        <v>1.19</v>
      </c>
      <c r="Q355" s="35">
        <v>4.1500000000000004</v>
      </c>
      <c r="R355" s="35">
        <v>6.61</v>
      </c>
      <c r="S355" s="35">
        <v>4.68</v>
      </c>
      <c r="T355" s="35">
        <v>7.35</v>
      </c>
      <c r="U355" s="35">
        <v>21.98</v>
      </c>
      <c r="V355" s="35">
        <v>28.05</v>
      </c>
      <c r="W355" s="35">
        <v>37.159999999999997</v>
      </c>
      <c r="X355" s="35">
        <v>35.74</v>
      </c>
      <c r="Y355" s="35">
        <v>30.56</v>
      </c>
      <c r="Z355" s="35">
        <v>15.18</v>
      </c>
      <c r="AA355" s="35">
        <v>14.85</v>
      </c>
      <c r="AB355" s="45">
        <f t="shared" si="8"/>
        <v>226.48</v>
      </c>
      <c r="AC355" s="37">
        <v>5</v>
      </c>
      <c r="AD355" s="92"/>
    </row>
    <row r="356" spans="2:30">
      <c r="B356" s="90">
        <v>49980</v>
      </c>
      <c r="C356" s="44" t="s">
        <v>32</v>
      </c>
      <c r="D356" s="35">
        <v>11.86</v>
      </c>
      <c r="E356" s="35">
        <v>6.51</v>
      </c>
      <c r="F356" s="35">
        <v>1.6</v>
      </c>
      <c r="G356" s="35">
        <v>2.0099999999999998</v>
      </c>
      <c r="H356" s="35">
        <v>1.23</v>
      </c>
      <c r="I356" s="35">
        <v>6.27</v>
      </c>
      <c r="J356" s="35">
        <v>2.2599999999999998</v>
      </c>
      <c r="K356" s="35">
        <v>3.01</v>
      </c>
      <c r="L356" s="35">
        <v>16.829999999999998</v>
      </c>
      <c r="M356" s="35">
        <v>23.34</v>
      </c>
      <c r="N356" s="35">
        <v>27.34</v>
      </c>
      <c r="O356" s="35">
        <v>36.04</v>
      </c>
      <c r="P356" s="35">
        <v>37.549999999999997</v>
      </c>
      <c r="Q356" s="35">
        <v>32.1</v>
      </c>
      <c r="R356" s="35">
        <v>45.6</v>
      </c>
      <c r="S356" s="35">
        <v>47.83</v>
      </c>
      <c r="T356" s="35">
        <v>49.24</v>
      </c>
      <c r="U356" s="35">
        <v>56.17</v>
      </c>
      <c r="V356" s="35">
        <v>63.44</v>
      </c>
      <c r="W356" s="35">
        <v>64.38</v>
      </c>
      <c r="X356" s="35">
        <v>59.77</v>
      </c>
      <c r="Y356" s="35">
        <v>51.73</v>
      </c>
      <c r="Z356" s="35">
        <v>39.130000000000003</v>
      </c>
      <c r="AA356" s="35">
        <v>25.07</v>
      </c>
      <c r="AB356" s="45">
        <f t="shared" si="8"/>
        <v>710.31</v>
      </c>
      <c r="AC356" s="37">
        <v>18</v>
      </c>
      <c r="AD356" s="92">
        <f>+AB356*AC356+AB357*AC357+AB358*AC358</f>
        <v>16612.12</v>
      </c>
    </row>
    <row r="357" spans="2:30">
      <c r="B357" s="90"/>
      <c r="C357" s="44" t="s">
        <v>33</v>
      </c>
      <c r="D357" s="35">
        <v>9.81</v>
      </c>
      <c r="E357" s="35">
        <v>8.65</v>
      </c>
      <c r="F357" s="35">
        <v>0</v>
      </c>
      <c r="G357" s="35">
        <v>0</v>
      </c>
      <c r="H357" s="35">
        <v>0.34</v>
      </c>
      <c r="I357" s="35">
        <v>1.61</v>
      </c>
      <c r="J357" s="35">
        <v>0</v>
      </c>
      <c r="K357" s="35">
        <v>0</v>
      </c>
      <c r="L357" s="35">
        <v>4.09</v>
      </c>
      <c r="M357" s="35">
        <v>9.74</v>
      </c>
      <c r="N357" s="35">
        <v>11.66</v>
      </c>
      <c r="O357" s="35">
        <v>19.600000000000001</v>
      </c>
      <c r="P357" s="35">
        <v>19.100000000000001</v>
      </c>
      <c r="Q357" s="35">
        <v>18.39</v>
      </c>
      <c r="R357" s="35">
        <v>24.4</v>
      </c>
      <c r="S357" s="35">
        <v>23.33</v>
      </c>
      <c r="T357" s="35">
        <v>23.45</v>
      </c>
      <c r="U357" s="35">
        <v>35.61</v>
      </c>
      <c r="V357" s="35">
        <v>47.27</v>
      </c>
      <c r="W357" s="35">
        <v>54.95</v>
      </c>
      <c r="X357" s="35">
        <v>43.89</v>
      </c>
      <c r="Y357" s="35">
        <v>37.22</v>
      </c>
      <c r="Z357" s="35">
        <v>30.06</v>
      </c>
      <c r="AA357" s="35">
        <v>19.059999999999999</v>
      </c>
      <c r="AB357" s="45">
        <f t="shared" si="8"/>
        <v>442.23</v>
      </c>
      <c r="AC357" s="37">
        <v>5</v>
      </c>
      <c r="AD357" s="92"/>
    </row>
    <row r="358" spans="2:30">
      <c r="B358" s="90"/>
      <c r="C358" s="44" t="s">
        <v>34</v>
      </c>
      <c r="D358" s="35">
        <v>2.4500000000000002</v>
      </c>
      <c r="E358" s="35">
        <v>1.98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1.6</v>
      </c>
      <c r="P358" s="35">
        <v>0</v>
      </c>
      <c r="Q358" s="35">
        <v>3.65</v>
      </c>
      <c r="R358" s="35">
        <v>7.58</v>
      </c>
      <c r="S358" s="35">
        <v>5.55</v>
      </c>
      <c r="T358" s="35">
        <v>8.5299999999999994</v>
      </c>
      <c r="U358" s="35">
        <v>22.66</v>
      </c>
      <c r="V358" s="35">
        <v>28.75</v>
      </c>
      <c r="W358" s="35">
        <v>39.83</v>
      </c>
      <c r="X358" s="35">
        <v>38.380000000000003</v>
      </c>
      <c r="Y358" s="35">
        <v>36.07</v>
      </c>
      <c r="Z358" s="35">
        <v>17.86</v>
      </c>
      <c r="AA358" s="35">
        <v>15.88</v>
      </c>
      <c r="AB358" s="45">
        <f t="shared" si="8"/>
        <v>230.77</v>
      </c>
      <c r="AC358" s="37">
        <v>7</v>
      </c>
      <c r="AD358" s="92"/>
    </row>
    <row r="359" spans="2:30">
      <c r="B359" s="90">
        <v>50010</v>
      </c>
      <c r="C359" s="44" t="s">
        <v>32</v>
      </c>
      <c r="D359" s="35">
        <v>14.81</v>
      </c>
      <c r="E359" s="35">
        <v>8.73</v>
      </c>
      <c r="F359" s="35">
        <v>4.12</v>
      </c>
      <c r="G359" s="35">
        <v>3.42</v>
      </c>
      <c r="H359" s="35">
        <v>3.75</v>
      </c>
      <c r="I359" s="35">
        <v>7.27</v>
      </c>
      <c r="J359" s="35">
        <v>6.34</v>
      </c>
      <c r="K359" s="35">
        <v>4.97</v>
      </c>
      <c r="L359" s="35">
        <v>18.38</v>
      </c>
      <c r="M359" s="35">
        <v>24.09</v>
      </c>
      <c r="N359" s="35">
        <v>27.75</v>
      </c>
      <c r="O359" s="35">
        <v>36.46</v>
      </c>
      <c r="P359" s="35">
        <v>38.159999999999997</v>
      </c>
      <c r="Q359" s="35">
        <v>33.31</v>
      </c>
      <c r="R359" s="35">
        <v>44.44</v>
      </c>
      <c r="S359" s="35">
        <v>48.14</v>
      </c>
      <c r="T359" s="35">
        <v>50.46</v>
      </c>
      <c r="U359" s="35">
        <v>56.36</v>
      </c>
      <c r="V359" s="35">
        <v>64.38</v>
      </c>
      <c r="W359" s="35">
        <v>67.45</v>
      </c>
      <c r="X359" s="35">
        <v>63.32</v>
      </c>
      <c r="Y359" s="35">
        <v>55.06</v>
      </c>
      <c r="Z359" s="35">
        <v>42.49</v>
      </c>
      <c r="AA359" s="35">
        <v>28.64</v>
      </c>
      <c r="AB359" s="45">
        <f t="shared" si="8"/>
        <v>752.3</v>
      </c>
      <c r="AC359" s="37">
        <v>21</v>
      </c>
      <c r="AD359" s="92">
        <f>+AB359*AC359+AB360*AC360+AB361*AC361</f>
        <v>18929.16</v>
      </c>
    </row>
    <row r="360" spans="2:30">
      <c r="B360" s="90"/>
      <c r="C360" s="44" t="s">
        <v>33</v>
      </c>
      <c r="D360" s="35">
        <v>9.1199999999999992</v>
      </c>
      <c r="E360" s="35">
        <v>8.98</v>
      </c>
      <c r="F360" s="35">
        <v>0</v>
      </c>
      <c r="G360" s="35">
        <v>0</v>
      </c>
      <c r="H360" s="35">
        <v>1.01</v>
      </c>
      <c r="I360" s="35">
        <v>3.65</v>
      </c>
      <c r="J360" s="35">
        <v>0</v>
      </c>
      <c r="K360" s="35">
        <v>0</v>
      </c>
      <c r="L360" s="35">
        <v>3.98</v>
      </c>
      <c r="M360" s="35">
        <v>8.66</v>
      </c>
      <c r="N360" s="35">
        <v>10.69</v>
      </c>
      <c r="O360" s="35">
        <v>19.14</v>
      </c>
      <c r="P360" s="35">
        <v>17.71</v>
      </c>
      <c r="Q360" s="35">
        <v>15.82</v>
      </c>
      <c r="R360" s="35">
        <v>22.52</v>
      </c>
      <c r="S360" s="35">
        <v>21.72</v>
      </c>
      <c r="T360" s="35">
        <v>22.55</v>
      </c>
      <c r="U360" s="35">
        <v>35.53</v>
      </c>
      <c r="V360" s="35">
        <v>46.9</v>
      </c>
      <c r="W360" s="35">
        <v>53.53</v>
      </c>
      <c r="X360" s="35">
        <v>41.41</v>
      </c>
      <c r="Y360" s="35">
        <v>36.93</v>
      </c>
      <c r="Z360" s="35">
        <v>29.62</v>
      </c>
      <c r="AA360" s="35">
        <v>24.6</v>
      </c>
      <c r="AB360" s="45">
        <f t="shared" si="8"/>
        <v>434.07</v>
      </c>
      <c r="AC360" s="37">
        <v>4</v>
      </c>
      <c r="AD360" s="92"/>
    </row>
    <row r="361" spans="2:30">
      <c r="B361" s="90"/>
      <c r="C361" s="44" t="s">
        <v>34</v>
      </c>
      <c r="D361" s="35">
        <v>7.09</v>
      </c>
      <c r="E361" s="35">
        <v>11.42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1.77</v>
      </c>
      <c r="P361" s="35">
        <v>0</v>
      </c>
      <c r="Q361" s="35">
        <v>3.12</v>
      </c>
      <c r="R361" s="35">
        <v>5.81</v>
      </c>
      <c r="S361" s="35">
        <v>4.1100000000000003</v>
      </c>
      <c r="T361" s="35">
        <v>6.84</v>
      </c>
      <c r="U361" s="35">
        <v>21.79</v>
      </c>
      <c r="V361" s="35">
        <v>25.12</v>
      </c>
      <c r="W361" s="35">
        <v>37.67</v>
      </c>
      <c r="X361" s="35">
        <v>36.630000000000003</v>
      </c>
      <c r="Y361" s="35">
        <v>36.619999999999997</v>
      </c>
      <c r="Z361" s="35">
        <v>15.99</v>
      </c>
      <c r="AA361" s="35">
        <v>18.45</v>
      </c>
      <c r="AB361" s="45">
        <f t="shared" si="8"/>
        <v>232.43</v>
      </c>
      <c r="AC361" s="37">
        <v>6</v>
      </c>
      <c r="AD361" s="92"/>
    </row>
    <row r="362" spans="2:30"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86" t="s">
        <v>35</v>
      </c>
      <c r="AB362" s="87"/>
      <c r="AC362" s="88"/>
      <c r="AD362" s="39">
        <f>SUM(AD326:AD361)</f>
        <v>207618.48</v>
      </c>
    </row>
    <row r="363" spans="2:30"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 spans="2:30" ht="23.25">
      <c r="B364" s="41" t="s">
        <v>86</v>
      </c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40"/>
      <c r="AC364" s="40"/>
      <c r="AD364" s="38"/>
    </row>
    <row r="365" spans="2:30">
      <c r="B365" s="42" t="s">
        <v>3</v>
      </c>
      <c r="C365" s="42" t="s">
        <v>4</v>
      </c>
      <c r="D365" s="42" t="s">
        <v>5</v>
      </c>
      <c r="E365" s="42" t="s">
        <v>6</v>
      </c>
      <c r="F365" s="42" t="s">
        <v>7</v>
      </c>
      <c r="G365" s="42" t="s">
        <v>8</v>
      </c>
      <c r="H365" s="42" t="s">
        <v>9</v>
      </c>
      <c r="I365" s="42" t="s">
        <v>10</v>
      </c>
      <c r="J365" s="42" t="s">
        <v>11</v>
      </c>
      <c r="K365" s="42" t="s">
        <v>12</v>
      </c>
      <c r="L365" s="42" t="s">
        <v>13</v>
      </c>
      <c r="M365" s="42" t="s">
        <v>14</v>
      </c>
      <c r="N365" s="42" t="s">
        <v>15</v>
      </c>
      <c r="O365" s="42" t="s">
        <v>16</v>
      </c>
      <c r="P365" s="42" t="s">
        <v>17</v>
      </c>
      <c r="Q365" s="42" t="s">
        <v>18</v>
      </c>
      <c r="R365" s="42" t="s">
        <v>19</v>
      </c>
      <c r="S365" s="42" t="s">
        <v>20</v>
      </c>
      <c r="T365" s="42" t="s">
        <v>21</v>
      </c>
      <c r="U365" s="42" t="s">
        <v>22</v>
      </c>
      <c r="V365" s="42" t="s">
        <v>23</v>
      </c>
      <c r="W365" s="42" t="s">
        <v>24</v>
      </c>
      <c r="X365" s="42" t="s">
        <v>25</v>
      </c>
      <c r="Y365" s="42" t="s">
        <v>26</v>
      </c>
      <c r="Z365" s="42" t="s">
        <v>27</v>
      </c>
      <c r="AA365" s="42" t="s">
        <v>28</v>
      </c>
      <c r="AB365" s="36" t="s">
        <v>29</v>
      </c>
      <c r="AC365" s="43" t="s">
        <v>30</v>
      </c>
      <c r="AD365" s="42" t="s">
        <v>31</v>
      </c>
    </row>
    <row r="366" spans="2:30">
      <c r="B366" s="90">
        <v>50041</v>
      </c>
      <c r="C366" s="44" t="s">
        <v>32</v>
      </c>
      <c r="D366" s="35">
        <v>22.02</v>
      </c>
      <c r="E366" s="35">
        <v>14.24</v>
      </c>
      <c r="F366" s="35">
        <v>10.57</v>
      </c>
      <c r="G366" s="35">
        <v>9.32</v>
      </c>
      <c r="H366" s="35">
        <v>9.98</v>
      </c>
      <c r="I366" s="35">
        <v>14.32</v>
      </c>
      <c r="J366" s="35">
        <v>13.98</v>
      </c>
      <c r="K366" s="35">
        <v>11.64</v>
      </c>
      <c r="L366" s="35">
        <v>24.37</v>
      </c>
      <c r="M366" s="35">
        <v>29.44</v>
      </c>
      <c r="N366" s="35">
        <v>33.65</v>
      </c>
      <c r="O366" s="35">
        <v>44.02</v>
      </c>
      <c r="P366" s="35">
        <v>46.79</v>
      </c>
      <c r="Q366" s="35">
        <v>42.68</v>
      </c>
      <c r="R366" s="35">
        <v>52.07</v>
      </c>
      <c r="S366" s="35">
        <v>54.57</v>
      </c>
      <c r="T366" s="35">
        <v>56.53</v>
      </c>
      <c r="U366" s="35">
        <v>64.53</v>
      </c>
      <c r="V366" s="35">
        <v>72.98</v>
      </c>
      <c r="W366" s="35">
        <v>76.790000000000006</v>
      </c>
      <c r="X366" s="35">
        <v>72.78</v>
      </c>
      <c r="Y366" s="35">
        <v>64.37</v>
      </c>
      <c r="Z366" s="35">
        <v>50.2</v>
      </c>
      <c r="AA366" s="35">
        <v>36.18</v>
      </c>
      <c r="AB366" s="45">
        <f>SUM(D366:AA366)</f>
        <v>928.02</v>
      </c>
      <c r="AC366" s="37">
        <v>20</v>
      </c>
      <c r="AD366" s="92">
        <f>+AB366*AC366+AB367*AC367+AB368*AC368</f>
        <v>24377.64</v>
      </c>
    </row>
    <row r="367" spans="2:30">
      <c r="B367" s="90"/>
      <c r="C367" s="44" t="s">
        <v>33</v>
      </c>
      <c r="D367" s="35">
        <v>27.22</v>
      </c>
      <c r="E367" s="35">
        <v>22.65</v>
      </c>
      <c r="F367" s="35">
        <v>9.25</v>
      </c>
      <c r="G367" s="35">
        <v>10.45</v>
      </c>
      <c r="H367" s="35">
        <v>12.48</v>
      </c>
      <c r="I367" s="35">
        <v>10.08</v>
      </c>
      <c r="J367" s="35">
        <v>6.94</v>
      </c>
      <c r="K367" s="35">
        <v>4.55</v>
      </c>
      <c r="L367" s="35">
        <v>14.81</v>
      </c>
      <c r="M367" s="35">
        <v>15.61</v>
      </c>
      <c r="N367" s="35">
        <v>17.5</v>
      </c>
      <c r="O367" s="35">
        <v>24.06</v>
      </c>
      <c r="P367" s="35">
        <v>27.14</v>
      </c>
      <c r="Q367" s="35">
        <v>22.6</v>
      </c>
      <c r="R367" s="35">
        <v>30.21</v>
      </c>
      <c r="S367" s="35">
        <v>30.83</v>
      </c>
      <c r="T367" s="35">
        <v>28.89</v>
      </c>
      <c r="U367" s="35">
        <v>45.41</v>
      </c>
      <c r="V367" s="35">
        <v>58.72</v>
      </c>
      <c r="W367" s="35">
        <v>63.27</v>
      </c>
      <c r="X367" s="35">
        <v>53.16</v>
      </c>
      <c r="Y367" s="35">
        <v>48.52</v>
      </c>
      <c r="Z367" s="35">
        <v>40.17</v>
      </c>
      <c r="AA367" s="35">
        <v>28.28</v>
      </c>
      <c r="AB367" s="45">
        <f t="shared" ref="AB367:AB401" si="9">SUM(D367:AA367)</f>
        <v>652.79999999999995</v>
      </c>
      <c r="AC367" s="37">
        <v>5</v>
      </c>
      <c r="AD367" s="92"/>
    </row>
    <row r="368" spans="2:30">
      <c r="B368" s="90"/>
      <c r="C368" s="44" t="s">
        <v>34</v>
      </c>
      <c r="D368" s="35">
        <v>17.04</v>
      </c>
      <c r="E368" s="35">
        <v>13.15</v>
      </c>
      <c r="F368" s="35">
        <v>8.17</v>
      </c>
      <c r="G368" s="35">
        <v>5.13</v>
      </c>
      <c r="H368" s="35">
        <v>0</v>
      </c>
      <c r="I368" s="35">
        <v>0</v>
      </c>
      <c r="J368" s="35">
        <v>7.26</v>
      </c>
      <c r="K368" s="35">
        <v>0</v>
      </c>
      <c r="L368" s="35">
        <v>0</v>
      </c>
      <c r="M368" s="35">
        <v>0</v>
      </c>
      <c r="N368" s="35">
        <v>1.66</v>
      </c>
      <c r="O368" s="35">
        <v>4.78</v>
      </c>
      <c r="P368" s="35">
        <v>13.46</v>
      </c>
      <c r="Q368" s="35">
        <v>16.28</v>
      </c>
      <c r="R368" s="35">
        <v>17.86</v>
      </c>
      <c r="S368" s="35">
        <v>16.39</v>
      </c>
      <c r="T368" s="35">
        <v>17.170000000000002</v>
      </c>
      <c r="U368" s="35">
        <v>36.200000000000003</v>
      </c>
      <c r="V368" s="35">
        <v>31.5</v>
      </c>
      <c r="W368" s="35">
        <v>46.63</v>
      </c>
      <c r="X368" s="35">
        <v>46.6</v>
      </c>
      <c r="Y368" s="35">
        <v>47.26</v>
      </c>
      <c r="Z368" s="35">
        <v>45.01</v>
      </c>
      <c r="AA368" s="35">
        <v>33.99</v>
      </c>
      <c r="AB368" s="45">
        <f t="shared" si="9"/>
        <v>425.54</v>
      </c>
      <c r="AC368" s="37">
        <v>6</v>
      </c>
      <c r="AD368" s="92"/>
    </row>
    <row r="369" spans="2:30">
      <c r="B369" s="90">
        <v>50072</v>
      </c>
      <c r="C369" s="44" t="s">
        <v>32</v>
      </c>
      <c r="D369" s="35">
        <v>20.13</v>
      </c>
      <c r="E369" s="35">
        <v>9.99</v>
      </c>
      <c r="F369" s="35">
        <v>5.75</v>
      </c>
      <c r="G369" s="35">
        <v>6.03</v>
      </c>
      <c r="H369" s="35">
        <v>4.87</v>
      </c>
      <c r="I369" s="35">
        <v>11.77</v>
      </c>
      <c r="J369" s="35">
        <v>9.83</v>
      </c>
      <c r="K369" s="35">
        <v>9.2100000000000009</v>
      </c>
      <c r="L369" s="35">
        <v>21.38</v>
      </c>
      <c r="M369" s="35">
        <v>28.98</v>
      </c>
      <c r="N369" s="35">
        <v>33.1</v>
      </c>
      <c r="O369" s="35">
        <v>43.24</v>
      </c>
      <c r="P369" s="35">
        <v>45.08</v>
      </c>
      <c r="Q369" s="35">
        <v>39.200000000000003</v>
      </c>
      <c r="R369" s="35">
        <v>49.98</v>
      </c>
      <c r="S369" s="35">
        <v>50.55</v>
      </c>
      <c r="T369" s="35">
        <v>51.92</v>
      </c>
      <c r="U369" s="35">
        <v>61.32</v>
      </c>
      <c r="V369" s="35">
        <v>68.62</v>
      </c>
      <c r="W369" s="35">
        <v>69.84</v>
      </c>
      <c r="X369" s="35">
        <v>65.349999999999994</v>
      </c>
      <c r="Y369" s="35">
        <v>57.26</v>
      </c>
      <c r="Z369" s="35">
        <v>43.12</v>
      </c>
      <c r="AA369" s="35">
        <v>29.78</v>
      </c>
      <c r="AB369" s="45">
        <f t="shared" si="9"/>
        <v>836.3</v>
      </c>
      <c r="AC369" s="37">
        <v>20</v>
      </c>
      <c r="AD369" s="92">
        <f>+AB369*AC369+AB370*AC370+AB371*AC371</f>
        <v>21031.919999999998</v>
      </c>
    </row>
    <row r="370" spans="2:30">
      <c r="B370" s="90"/>
      <c r="C370" s="44" t="s">
        <v>33</v>
      </c>
      <c r="D370" s="35">
        <v>22.84</v>
      </c>
      <c r="E370" s="35">
        <v>18.66</v>
      </c>
      <c r="F370" s="35">
        <v>6.86</v>
      </c>
      <c r="G370" s="35">
        <v>6.33</v>
      </c>
      <c r="H370" s="35">
        <v>8.99</v>
      </c>
      <c r="I370" s="35">
        <v>7.88</v>
      </c>
      <c r="J370" s="35">
        <v>7.26</v>
      </c>
      <c r="K370" s="35">
        <v>5.66</v>
      </c>
      <c r="L370" s="35">
        <v>12.32</v>
      </c>
      <c r="M370" s="35">
        <v>16.96</v>
      </c>
      <c r="N370" s="35">
        <v>18.3</v>
      </c>
      <c r="O370" s="35">
        <v>25.18</v>
      </c>
      <c r="P370" s="35">
        <v>28.36</v>
      </c>
      <c r="Q370" s="35">
        <v>25.85</v>
      </c>
      <c r="R370" s="35">
        <v>31.49</v>
      </c>
      <c r="S370" s="35">
        <v>30.79</v>
      </c>
      <c r="T370" s="35">
        <v>30.36</v>
      </c>
      <c r="U370" s="35">
        <v>45.28</v>
      </c>
      <c r="V370" s="35">
        <v>59.82</v>
      </c>
      <c r="W370" s="35">
        <v>61.27</v>
      </c>
      <c r="X370" s="35">
        <v>52.83</v>
      </c>
      <c r="Y370" s="35">
        <v>47.73</v>
      </c>
      <c r="Z370" s="35">
        <v>40.33</v>
      </c>
      <c r="AA370" s="35">
        <v>30.49</v>
      </c>
      <c r="AB370" s="45">
        <f t="shared" si="9"/>
        <v>641.84</v>
      </c>
      <c r="AC370" s="37">
        <v>4</v>
      </c>
      <c r="AD370" s="92"/>
    </row>
    <row r="371" spans="2:30">
      <c r="B371" s="90"/>
      <c r="C371" s="44" t="s">
        <v>34</v>
      </c>
      <c r="D371" s="35">
        <v>15.65</v>
      </c>
      <c r="E371" s="35">
        <v>13.71</v>
      </c>
      <c r="F371" s="35">
        <v>7.37</v>
      </c>
      <c r="G371" s="35">
        <v>3.52</v>
      </c>
      <c r="H371" s="35">
        <v>0</v>
      </c>
      <c r="I371" s="35">
        <v>2.29</v>
      </c>
      <c r="J371" s="35">
        <v>7.84</v>
      </c>
      <c r="K371" s="35">
        <v>0</v>
      </c>
      <c r="L371" s="35">
        <v>0</v>
      </c>
      <c r="M371" s="35">
        <v>0</v>
      </c>
      <c r="N371" s="35">
        <v>2.86</v>
      </c>
      <c r="O371" s="35">
        <v>6.46</v>
      </c>
      <c r="P371" s="35">
        <v>13.38</v>
      </c>
      <c r="Q371" s="35">
        <v>17.38</v>
      </c>
      <c r="R371" s="35">
        <v>18</v>
      </c>
      <c r="S371" s="35">
        <v>19.09</v>
      </c>
      <c r="T371" s="35">
        <v>20.43</v>
      </c>
      <c r="U371" s="35">
        <v>36.32</v>
      </c>
      <c r="V371" s="35">
        <v>37.659999999999997</v>
      </c>
      <c r="W371" s="35">
        <v>52.01</v>
      </c>
      <c r="X371" s="35">
        <v>47.16</v>
      </c>
      <c r="Y371" s="35">
        <v>46.62</v>
      </c>
      <c r="Z371" s="35">
        <v>37.92</v>
      </c>
      <c r="AA371" s="35">
        <v>28.97</v>
      </c>
      <c r="AB371" s="45">
        <f t="shared" si="9"/>
        <v>434.64</v>
      </c>
      <c r="AC371" s="37">
        <v>4</v>
      </c>
      <c r="AD371" s="92"/>
    </row>
    <row r="372" spans="2:30">
      <c r="B372" s="90">
        <v>50100</v>
      </c>
      <c r="C372" s="44" t="s">
        <v>32</v>
      </c>
      <c r="D372" s="35">
        <v>21.2</v>
      </c>
      <c r="E372" s="35">
        <v>11.21</v>
      </c>
      <c r="F372" s="35">
        <v>6.7</v>
      </c>
      <c r="G372" s="35">
        <v>6.94</v>
      </c>
      <c r="H372" s="35">
        <v>6.53</v>
      </c>
      <c r="I372" s="35">
        <v>13.56</v>
      </c>
      <c r="J372" s="35">
        <v>11.09</v>
      </c>
      <c r="K372" s="35">
        <v>10.58</v>
      </c>
      <c r="L372" s="35">
        <v>23.11</v>
      </c>
      <c r="M372" s="35">
        <v>30.48</v>
      </c>
      <c r="N372" s="35">
        <v>34.49</v>
      </c>
      <c r="O372" s="35">
        <v>43.29</v>
      </c>
      <c r="P372" s="35">
        <v>44.67</v>
      </c>
      <c r="Q372" s="35">
        <v>39.340000000000003</v>
      </c>
      <c r="R372" s="35">
        <v>51.01</v>
      </c>
      <c r="S372" s="35">
        <v>52.37</v>
      </c>
      <c r="T372" s="35">
        <v>53.7</v>
      </c>
      <c r="U372" s="35">
        <v>62.88</v>
      </c>
      <c r="V372" s="35">
        <v>69.31</v>
      </c>
      <c r="W372" s="35">
        <v>70.78</v>
      </c>
      <c r="X372" s="35">
        <v>66.53</v>
      </c>
      <c r="Y372" s="35">
        <v>58.49</v>
      </c>
      <c r="Z372" s="35">
        <v>44.67</v>
      </c>
      <c r="AA372" s="35">
        <v>31.28</v>
      </c>
      <c r="AB372" s="45">
        <f t="shared" si="9"/>
        <v>864.21</v>
      </c>
      <c r="AC372" s="37">
        <v>21</v>
      </c>
      <c r="AD372" s="92">
        <f>+AB372*AC372+AB373*AC373+AB374*AC374</f>
        <v>23285.05</v>
      </c>
    </row>
    <row r="373" spans="2:30">
      <c r="B373" s="90"/>
      <c r="C373" s="44" t="s">
        <v>33</v>
      </c>
      <c r="D373" s="35">
        <v>22.31</v>
      </c>
      <c r="E373" s="35">
        <v>11.66</v>
      </c>
      <c r="F373" s="35">
        <v>6.37</v>
      </c>
      <c r="G373" s="35">
        <v>5.61</v>
      </c>
      <c r="H373" s="35">
        <v>7.46</v>
      </c>
      <c r="I373" s="35">
        <v>6.75</v>
      </c>
      <c r="J373" s="35">
        <v>7.31</v>
      </c>
      <c r="K373" s="35">
        <v>5.36</v>
      </c>
      <c r="L373" s="35">
        <v>12.47</v>
      </c>
      <c r="M373" s="35">
        <v>17.77</v>
      </c>
      <c r="N373" s="35">
        <v>19.149999999999999</v>
      </c>
      <c r="O373" s="35">
        <v>24.97</v>
      </c>
      <c r="P373" s="35">
        <v>28.33</v>
      </c>
      <c r="Q373" s="35">
        <v>27.34</v>
      </c>
      <c r="R373" s="35">
        <v>31.14</v>
      </c>
      <c r="S373" s="35">
        <v>30.66</v>
      </c>
      <c r="T373" s="35">
        <v>30.86</v>
      </c>
      <c r="U373" s="35">
        <v>44.97</v>
      </c>
      <c r="V373" s="35">
        <v>60.96</v>
      </c>
      <c r="W373" s="35">
        <v>60.12</v>
      </c>
      <c r="X373" s="35">
        <v>51.33</v>
      </c>
      <c r="Y373" s="35">
        <v>46.84</v>
      </c>
      <c r="Z373" s="35">
        <v>40.25</v>
      </c>
      <c r="AA373" s="35">
        <v>19.46</v>
      </c>
      <c r="AB373" s="45">
        <f t="shared" si="9"/>
        <v>619.45000000000005</v>
      </c>
      <c r="AC373" s="37">
        <v>4</v>
      </c>
      <c r="AD373" s="92"/>
    </row>
    <row r="374" spans="2:30">
      <c r="B374" s="90"/>
      <c r="C374" s="44" t="s">
        <v>34</v>
      </c>
      <c r="D374" s="35">
        <v>15.41</v>
      </c>
      <c r="E374" s="35">
        <v>12.74</v>
      </c>
      <c r="F374" s="35">
        <v>2.81</v>
      </c>
      <c r="G374" s="35">
        <v>2.81</v>
      </c>
      <c r="H374" s="35">
        <v>0.03</v>
      </c>
      <c r="I374" s="35">
        <v>0.94</v>
      </c>
      <c r="J374" s="35">
        <v>6.9</v>
      </c>
      <c r="K374" s="35">
        <v>0</v>
      </c>
      <c r="L374" s="35">
        <v>0</v>
      </c>
      <c r="M374" s="35">
        <v>0</v>
      </c>
      <c r="N374" s="35">
        <v>3.83</v>
      </c>
      <c r="O374" s="35">
        <v>6.32</v>
      </c>
      <c r="P374" s="35">
        <v>13.08</v>
      </c>
      <c r="Q374" s="35">
        <v>17.12</v>
      </c>
      <c r="R374" s="35">
        <v>18.13</v>
      </c>
      <c r="S374" s="35">
        <v>19.47</v>
      </c>
      <c r="T374" s="35">
        <v>22.79</v>
      </c>
      <c r="U374" s="35">
        <v>38.880000000000003</v>
      </c>
      <c r="V374" s="35">
        <v>43.85</v>
      </c>
      <c r="W374" s="35">
        <v>53.69</v>
      </c>
      <c r="X374" s="35">
        <v>52.24</v>
      </c>
      <c r="Y374" s="35">
        <v>50.77</v>
      </c>
      <c r="Z374" s="35">
        <v>34.520000000000003</v>
      </c>
      <c r="AA374" s="35">
        <v>26.81</v>
      </c>
      <c r="AB374" s="45">
        <f t="shared" si="9"/>
        <v>443.14</v>
      </c>
      <c r="AC374" s="37">
        <v>6</v>
      </c>
      <c r="AD374" s="92"/>
    </row>
    <row r="375" spans="2:30">
      <c r="B375" s="90">
        <v>50131</v>
      </c>
      <c r="C375" s="44" t="s">
        <v>32</v>
      </c>
      <c r="D375" s="35">
        <v>20.92</v>
      </c>
      <c r="E375" s="35">
        <v>13.04</v>
      </c>
      <c r="F375" s="35">
        <v>7.97</v>
      </c>
      <c r="G375" s="35">
        <v>7.64</v>
      </c>
      <c r="H375" s="35">
        <v>7.55</v>
      </c>
      <c r="I375" s="35">
        <v>13.17</v>
      </c>
      <c r="J375" s="35">
        <v>10.16</v>
      </c>
      <c r="K375" s="35">
        <v>9.41</v>
      </c>
      <c r="L375" s="35">
        <v>22.84</v>
      </c>
      <c r="M375" s="35">
        <v>30.08</v>
      </c>
      <c r="N375" s="35">
        <v>33.82</v>
      </c>
      <c r="O375" s="35">
        <v>44.87</v>
      </c>
      <c r="P375" s="35">
        <v>46.94</v>
      </c>
      <c r="Q375" s="35">
        <v>41.23</v>
      </c>
      <c r="R375" s="35">
        <v>53</v>
      </c>
      <c r="S375" s="35">
        <v>54.65</v>
      </c>
      <c r="T375" s="35">
        <v>56.23</v>
      </c>
      <c r="U375" s="35">
        <v>65.05</v>
      </c>
      <c r="V375" s="35">
        <v>71.66</v>
      </c>
      <c r="W375" s="35">
        <v>73.67</v>
      </c>
      <c r="X375" s="35">
        <v>69.209999999999994</v>
      </c>
      <c r="Y375" s="35">
        <v>61.11</v>
      </c>
      <c r="Z375" s="35">
        <v>47.38</v>
      </c>
      <c r="AA375" s="35">
        <v>33.17</v>
      </c>
      <c r="AB375" s="45">
        <f t="shared" si="9"/>
        <v>894.77</v>
      </c>
      <c r="AC375" s="37">
        <v>20</v>
      </c>
      <c r="AD375" s="92">
        <f>+AB375*AC375+AB376*AC376+AB377*AC377</f>
        <v>22262.720000000001</v>
      </c>
    </row>
    <row r="376" spans="2:30">
      <c r="B376" s="90"/>
      <c r="C376" s="44" t="s">
        <v>33</v>
      </c>
      <c r="D376" s="35">
        <v>19.600000000000001</v>
      </c>
      <c r="E376" s="35">
        <v>17.989999999999998</v>
      </c>
      <c r="F376" s="35">
        <v>6.94</v>
      </c>
      <c r="G376" s="35">
        <v>6.45</v>
      </c>
      <c r="H376" s="35">
        <v>5.33</v>
      </c>
      <c r="I376" s="35">
        <v>5.7</v>
      </c>
      <c r="J376" s="35">
        <v>6.96</v>
      </c>
      <c r="K376" s="35">
        <v>1.1599999999999999</v>
      </c>
      <c r="L376" s="35">
        <v>11.41</v>
      </c>
      <c r="M376" s="35">
        <v>17.48</v>
      </c>
      <c r="N376" s="35">
        <v>18.57</v>
      </c>
      <c r="O376" s="35">
        <v>24.81</v>
      </c>
      <c r="P376" s="35">
        <v>29.72</v>
      </c>
      <c r="Q376" s="35">
        <v>27.27</v>
      </c>
      <c r="R376" s="35">
        <v>31.05</v>
      </c>
      <c r="S376" s="35">
        <v>32.49</v>
      </c>
      <c r="T376" s="35">
        <v>31.05</v>
      </c>
      <c r="U376" s="35">
        <v>47.67</v>
      </c>
      <c r="V376" s="35">
        <v>60.09</v>
      </c>
      <c r="W376" s="35">
        <v>60.26</v>
      </c>
      <c r="X376" s="35">
        <v>51.95</v>
      </c>
      <c r="Y376" s="35">
        <v>47.75</v>
      </c>
      <c r="Z376" s="35">
        <v>40.24</v>
      </c>
      <c r="AA376" s="35">
        <v>14.87</v>
      </c>
      <c r="AB376" s="45">
        <f t="shared" si="9"/>
        <v>616.80999999999995</v>
      </c>
      <c r="AC376" s="37">
        <v>4</v>
      </c>
      <c r="AD376" s="92"/>
    </row>
    <row r="377" spans="2:30">
      <c r="B377" s="90"/>
      <c r="C377" s="44" t="s">
        <v>34</v>
      </c>
      <c r="D377" s="35">
        <v>3.37</v>
      </c>
      <c r="E377" s="35">
        <v>3.7</v>
      </c>
      <c r="F377" s="35">
        <v>0</v>
      </c>
      <c r="G377" s="35">
        <v>0</v>
      </c>
      <c r="H377" s="35">
        <v>0</v>
      </c>
      <c r="I377" s="35">
        <v>0</v>
      </c>
      <c r="J377" s="35">
        <v>5.07</v>
      </c>
      <c r="K377" s="35">
        <v>0</v>
      </c>
      <c r="L377" s="35">
        <v>0</v>
      </c>
      <c r="M377" s="35">
        <v>0</v>
      </c>
      <c r="N377" s="35">
        <v>0</v>
      </c>
      <c r="O377" s="35">
        <v>1.04</v>
      </c>
      <c r="P377" s="35">
        <v>8.36</v>
      </c>
      <c r="Q377" s="35">
        <v>17.260000000000002</v>
      </c>
      <c r="R377" s="35">
        <v>17.63</v>
      </c>
      <c r="S377" s="35">
        <v>17.809999999999999</v>
      </c>
      <c r="T377" s="35">
        <v>20.07</v>
      </c>
      <c r="U377" s="35">
        <v>38.93</v>
      </c>
      <c r="V377" s="35">
        <v>24.47</v>
      </c>
      <c r="W377" s="35">
        <v>35.67</v>
      </c>
      <c r="X377" s="35">
        <v>33.380000000000003</v>
      </c>
      <c r="Y377" s="35">
        <v>42.28</v>
      </c>
      <c r="Z377" s="35">
        <v>22.18</v>
      </c>
      <c r="AA377" s="35">
        <v>25.46</v>
      </c>
      <c r="AB377" s="45">
        <f t="shared" si="9"/>
        <v>316.68</v>
      </c>
      <c r="AC377" s="37">
        <v>6</v>
      </c>
      <c r="AD377" s="92"/>
    </row>
    <row r="378" spans="2:30">
      <c r="B378" s="90">
        <v>50161</v>
      </c>
      <c r="C378" s="44" t="s">
        <v>32</v>
      </c>
      <c r="D378" s="35">
        <v>19.2</v>
      </c>
      <c r="E378" s="35">
        <v>12</v>
      </c>
      <c r="F378" s="35">
        <v>7.5</v>
      </c>
      <c r="G378" s="35">
        <v>7.13</v>
      </c>
      <c r="H378" s="35">
        <v>6.41</v>
      </c>
      <c r="I378" s="35">
        <v>11.66</v>
      </c>
      <c r="J378" s="35">
        <v>8.69</v>
      </c>
      <c r="K378" s="35">
        <v>8.02</v>
      </c>
      <c r="L378" s="35">
        <v>22.22</v>
      </c>
      <c r="M378" s="35">
        <v>29.08</v>
      </c>
      <c r="N378" s="35">
        <v>32.96</v>
      </c>
      <c r="O378" s="35">
        <v>43.16</v>
      </c>
      <c r="P378" s="35">
        <v>44.06</v>
      </c>
      <c r="Q378" s="35">
        <v>39.79</v>
      </c>
      <c r="R378" s="35">
        <v>52.58</v>
      </c>
      <c r="S378" s="35">
        <v>54.51</v>
      </c>
      <c r="T378" s="35">
        <v>56.74</v>
      </c>
      <c r="U378" s="35">
        <v>64.680000000000007</v>
      </c>
      <c r="V378" s="35">
        <v>71.98</v>
      </c>
      <c r="W378" s="35">
        <v>73.739999999999995</v>
      </c>
      <c r="X378" s="35">
        <v>68.62</v>
      </c>
      <c r="Y378" s="35">
        <v>60.08</v>
      </c>
      <c r="Z378" s="35">
        <v>46.67</v>
      </c>
      <c r="AA378" s="35">
        <v>32.83</v>
      </c>
      <c r="AB378" s="45">
        <f t="shared" si="9"/>
        <v>874.31</v>
      </c>
      <c r="AC378" s="37">
        <v>19</v>
      </c>
      <c r="AD378" s="92">
        <f>+AB378*AC378+AB379*AC379+AB380*AC380</f>
        <v>22195.09</v>
      </c>
    </row>
    <row r="379" spans="2:30">
      <c r="B379" s="90"/>
      <c r="C379" s="44" t="s">
        <v>33</v>
      </c>
      <c r="D379" s="35">
        <v>16.23</v>
      </c>
      <c r="E379" s="35">
        <v>15.27</v>
      </c>
      <c r="F379" s="35">
        <v>6.48</v>
      </c>
      <c r="G379" s="35">
        <v>5.72</v>
      </c>
      <c r="H379" s="35">
        <v>6.42</v>
      </c>
      <c r="I379" s="35">
        <v>7.67</v>
      </c>
      <c r="J379" s="35">
        <v>6.36</v>
      </c>
      <c r="K379" s="35">
        <v>3.83</v>
      </c>
      <c r="L379" s="35">
        <v>10.56</v>
      </c>
      <c r="M379" s="35">
        <v>15.61</v>
      </c>
      <c r="N379" s="35">
        <v>17.93</v>
      </c>
      <c r="O379" s="35">
        <v>23.54</v>
      </c>
      <c r="P379" s="35">
        <v>27.82</v>
      </c>
      <c r="Q379" s="35">
        <v>25.17</v>
      </c>
      <c r="R379" s="35">
        <v>31.71</v>
      </c>
      <c r="S379" s="35">
        <v>32.97</v>
      </c>
      <c r="T379" s="35">
        <v>31.2</v>
      </c>
      <c r="U379" s="35">
        <v>50.22</v>
      </c>
      <c r="V379" s="35">
        <v>59.48</v>
      </c>
      <c r="W379" s="35">
        <v>60.25</v>
      </c>
      <c r="X379" s="35">
        <v>52.33</v>
      </c>
      <c r="Y379" s="35">
        <v>48.01</v>
      </c>
      <c r="Z379" s="35">
        <v>38.5</v>
      </c>
      <c r="AA379" s="35">
        <v>17.399999999999999</v>
      </c>
      <c r="AB379" s="45">
        <f t="shared" si="9"/>
        <v>610.67999999999995</v>
      </c>
      <c r="AC379" s="37">
        <v>5</v>
      </c>
      <c r="AD379" s="92"/>
    </row>
    <row r="380" spans="2:30">
      <c r="B380" s="90"/>
      <c r="C380" s="44" t="s">
        <v>34</v>
      </c>
      <c r="D380" s="35">
        <v>9.02</v>
      </c>
      <c r="E380" s="35">
        <v>13.06</v>
      </c>
      <c r="F380" s="35">
        <v>0</v>
      </c>
      <c r="G380" s="35">
        <v>0</v>
      </c>
      <c r="H380" s="35">
        <v>0</v>
      </c>
      <c r="I380" s="35">
        <v>0</v>
      </c>
      <c r="J380" s="35">
        <v>3.46</v>
      </c>
      <c r="K380" s="35">
        <v>0</v>
      </c>
      <c r="L380" s="35">
        <v>0</v>
      </c>
      <c r="M380" s="35">
        <v>0</v>
      </c>
      <c r="N380" s="35">
        <v>1.2</v>
      </c>
      <c r="O380" s="35">
        <v>1.39</v>
      </c>
      <c r="P380" s="35">
        <v>8.7100000000000009</v>
      </c>
      <c r="Q380" s="35">
        <v>16.43</v>
      </c>
      <c r="R380" s="35">
        <v>19.86</v>
      </c>
      <c r="S380" s="35">
        <v>18.2</v>
      </c>
      <c r="T380" s="35">
        <v>20.85</v>
      </c>
      <c r="U380" s="35">
        <v>38.130000000000003</v>
      </c>
      <c r="V380" s="35">
        <v>28.58</v>
      </c>
      <c r="W380" s="35">
        <v>37.270000000000003</v>
      </c>
      <c r="X380" s="35">
        <v>38.01</v>
      </c>
      <c r="Y380" s="35">
        <v>46.17</v>
      </c>
      <c r="Z380" s="35">
        <v>30.73</v>
      </c>
      <c r="AA380" s="35">
        <v>30.33</v>
      </c>
      <c r="AB380" s="45">
        <f t="shared" si="9"/>
        <v>361.4</v>
      </c>
      <c r="AC380" s="37">
        <v>7</v>
      </c>
      <c r="AD380" s="92"/>
    </row>
    <row r="381" spans="2:30">
      <c r="B381" s="90">
        <v>50192</v>
      </c>
      <c r="C381" s="44" t="s">
        <v>32</v>
      </c>
      <c r="D381" s="35">
        <v>18.850000000000001</v>
      </c>
      <c r="E381" s="35">
        <v>13.4</v>
      </c>
      <c r="F381" s="35">
        <v>8.56</v>
      </c>
      <c r="G381" s="35">
        <v>7.63</v>
      </c>
      <c r="H381" s="35">
        <v>7.47</v>
      </c>
      <c r="I381" s="35">
        <v>12.19</v>
      </c>
      <c r="J381" s="35">
        <v>10.09</v>
      </c>
      <c r="K381" s="35">
        <v>10.15</v>
      </c>
      <c r="L381" s="35">
        <v>24.4</v>
      </c>
      <c r="M381" s="35">
        <v>31.43</v>
      </c>
      <c r="N381" s="35">
        <v>34.94</v>
      </c>
      <c r="O381" s="35">
        <v>45.24</v>
      </c>
      <c r="P381" s="35">
        <v>46.53</v>
      </c>
      <c r="Q381" s="35">
        <v>41.69</v>
      </c>
      <c r="R381" s="35">
        <v>52.72</v>
      </c>
      <c r="S381" s="35">
        <v>55.75</v>
      </c>
      <c r="T381" s="35">
        <v>57.66</v>
      </c>
      <c r="U381" s="35">
        <v>64.62</v>
      </c>
      <c r="V381" s="35">
        <v>71.83</v>
      </c>
      <c r="W381" s="35">
        <v>74.64</v>
      </c>
      <c r="X381" s="35">
        <v>70.150000000000006</v>
      </c>
      <c r="Y381" s="35">
        <v>61.4</v>
      </c>
      <c r="Z381" s="35">
        <v>47.86</v>
      </c>
      <c r="AA381" s="35">
        <v>34.19</v>
      </c>
      <c r="AB381" s="45">
        <f t="shared" si="9"/>
        <v>903.39</v>
      </c>
      <c r="AC381" s="37">
        <v>20</v>
      </c>
      <c r="AD381" s="92">
        <f>+AB381*AC381+AB382*AC382+AB383*AC383</f>
        <v>22710.34</v>
      </c>
    </row>
    <row r="382" spans="2:30">
      <c r="B382" s="90"/>
      <c r="C382" s="44" t="s">
        <v>33</v>
      </c>
      <c r="D382" s="35">
        <v>15.96</v>
      </c>
      <c r="E382" s="35">
        <v>18.73</v>
      </c>
      <c r="F382" s="35">
        <v>6.62</v>
      </c>
      <c r="G382" s="35">
        <v>5.27</v>
      </c>
      <c r="H382" s="35">
        <v>8.32</v>
      </c>
      <c r="I382" s="35">
        <v>8.5299999999999994</v>
      </c>
      <c r="J382" s="35">
        <v>6.46</v>
      </c>
      <c r="K382" s="35">
        <v>4.18</v>
      </c>
      <c r="L382" s="35">
        <v>11.6</v>
      </c>
      <c r="M382" s="35">
        <v>17.809999999999999</v>
      </c>
      <c r="N382" s="35">
        <v>19.02</v>
      </c>
      <c r="O382" s="35">
        <v>25.03</v>
      </c>
      <c r="P382" s="35">
        <v>28.88</v>
      </c>
      <c r="Q382" s="35">
        <v>26.68</v>
      </c>
      <c r="R382" s="35">
        <v>32.03</v>
      </c>
      <c r="S382" s="35">
        <v>32.130000000000003</v>
      </c>
      <c r="T382" s="35">
        <v>31.71</v>
      </c>
      <c r="U382" s="35">
        <v>47.32</v>
      </c>
      <c r="V382" s="35">
        <v>61.26</v>
      </c>
      <c r="W382" s="35">
        <v>59.24</v>
      </c>
      <c r="X382" s="35">
        <v>52</v>
      </c>
      <c r="Y382" s="35">
        <v>47.8</v>
      </c>
      <c r="Z382" s="35">
        <v>39.14</v>
      </c>
      <c r="AA382" s="35">
        <v>23.18</v>
      </c>
      <c r="AB382" s="45">
        <f t="shared" si="9"/>
        <v>628.9</v>
      </c>
      <c r="AC382" s="37">
        <v>4</v>
      </c>
      <c r="AD382" s="92"/>
    </row>
    <row r="383" spans="2:30">
      <c r="B383" s="90"/>
      <c r="C383" s="44" t="s">
        <v>34</v>
      </c>
      <c r="D383" s="35">
        <v>4.04</v>
      </c>
      <c r="E383" s="35">
        <v>8.0399999999999991</v>
      </c>
      <c r="F383" s="35">
        <v>0</v>
      </c>
      <c r="G383" s="35">
        <v>0</v>
      </c>
      <c r="H383" s="35">
        <v>0</v>
      </c>
      <c r="I383" s="35">
        <v>0</v>
      </c>
      <c r="J383" s="35">
        <v>3.36</v>
      </c>
      <c r="K383" s="35">
        <v>0</v>
      </c>
      <c r="L383" s="35">
        <v>0</v>
      </c>
      <c r="M383" s="35">
        <v>0</v>
      </c>
      <c r="N383" s="35">
        <v>0</v>
      </c>
      <c r="O383" s="35">
        <v>4.08</v>
      </c>
      <c r="P383" s="35">
        <v>10.75</v>
      </c>
      <c r="Q383" s="35">
        <v>16.66</v>
      </c>
      <c r="R383" s="35">
        <v>19.25</v>
      </c>
      <c r="S383" s="35">
        <v>17.28</v>
      </c>
      <c r="T383" s="35">
        <v>19.829999999999998</v>
      </c>
      <c r="U383" s="35">
        <v>37.49</v>
      </c>
      <c r="V383" s="35">
        <v>30.71</v>
      </c>
      <c r="W383" s="35">
        <v>39.08</v>
      </c>
      <c r="X383" s="35">
        <v>42.82</v>
      </c>
      <c r="Y383" s="35">
        <v>43.16</v>
      </c>
      <c r="Z383" s="35">
        <v>31.23</v>
      </c>
      <c r="AA383" s="35">
        <v>26.71</v>
      </c>
      <c r="AB383" s="45">
        <f t="shared" si="9"/>
        <v>354.49</v>
      </c>
      <c r="AC383" s="37">
        <v>6</v>
      </c>
      <c r="AD383" s="92"/>
    </row>
    <row r="384" spans="2:30">
      <c r="B384" s="90">
        <v>50222</v>
      </c>
      <c r="C384" s="44" t="s">
        <v>32</v>
      </c>
      <c r="D384" s="35">
        <v>21.6</v>
      </c>
      <c r="E384" s="35">
        <v>14.94</v>
      </c>
      <c r="F384" s="35">
        <v>9.77</v>
      </c>
      <c r="G384" s="35">
        <v>8.9499999999999993</v>
      </c>
      <c r="H384" s="35">
        <v>8.9499999999999993</v>
      </c>
      <c r="I384" s="35">
        <v>13.46</v>
      </c>
      <c r="J384" s="35">
        <v>11.79</v>
      </c>
      <c r="K384" s="35">
        <v>12.15</v>
      </c>
      <c r="L384" s="35">
        <v>26.61</v>
      </c>
      <c r="M384" s="35">
        <v>32.89</v>
      </c>
      <c r="N384" s="35">
        <v>37.72</v>
      </c>
      <c r="O384" s="35">
        <v>47.14</v>
      </c>
      <c r="P384" s="35">
        <v>48.84</v>
      </c>
      <c r="Q384" s="35">
        <v>43.57</v>
      </c>
      <c r="R384" s="35">
        <v>55.31</v>
      </c>
      <c r="S384" s="35">
        <v>58.84</v>
      </c>
      <c r="T384" s="35">
        <v>61.2</v>
      </c>
      <c r="U384" s="35">
        <v>68.52</v>
      </c>
      <c r="V384" s="35">
        <v>75.48</v>
      </c>
      <c r="W384" s="35">
        <v>78.92</v>
      </c>
      <c r="X384" s="35">
        <v>74.400000000000006</v>
      </c>
      <c r="Y384" s="35">
        <v>65.27</v>
      </c>
      <c r="Z384" s="35">
        <v>50.91</v>
      </c>
      <c r="AA384" s="35">
        <v>36.11</v>
      </c>
      <c r="AB384" s="45">
        <f t="shared" si="9"/>
        <v>963.34</v>
      </c>
      <c r="AC384" s="37">
        <v>22</v>
      </c>
      <c r="AD384" s="92">
        <f>+AB384*AC384+AB385*AC385+AB386*AC386</f>
        <v>25757.24</v>
      </c>
    </row>
    <row r="385" spans="2:30">
      <c r="B385" s="90"/>
      <c r="C385" s="44" t="s">
        <v>33</v>
      </c>
      <c r="D385" s="35">
        <v>15.65</v>
      </c>
      <c r="E385" s="35">
        <v>19.29</v>
      </c>
      <c r="F385" s="35">
        <v>10.06</v>
      </c>
      <c r="G385" s="35">
        <v>9.15</v>
      </c>
      <c r="H385" s="35">
        <v>8.11</v>
      </c>
      <c r="I385" s="35">
        <v>9.2899999999999991</v>
      </c>
      <c r="J385" s="35">
        <v>6.73</v>
      </c>
      <c r="K385" s="35">
        <v>4.79</v>
      </c>
      <c r="L385" s="35">
        <v>12.15</v>
      </c>
      <c r="M385" s="35">
        <v>17.29</v>
      </c>
      <c r="N385" s="35">
        <v>19.670000000000002</v>
      </c>
      <c r="O385" s="35">
        <v>24.59</v>
      </c>
      <c r="P385" s="35">
        <v>28.91</v>
      </c>
      <c r="Q385" s="35">
        <v>27.12</v>
      </c>
      <c r="R385" s="35">
        <v>31.09</v>
      </c>
      <c r="S385" s="35">
        <v>30.78</v>
      </c>
      <c r="T385" s="35">
        <v>31.75</v>
      </c>
      <c r="U385" s="35">
        <v>46.62</v>
      </c>
      <c r="V385" s="35">
        <v>62.22</v>
      </c>
      <c r="W385" s="35">
        <v>60.88</v>
      </c>
      <c r="X385" s="35">
        <v>54.55</v>
      </c>
      <c r="Y385" s="35">
        <v>48.36</v>
      </c>
      <c r="Z385" s="35">
        <v>39.75</v>
      </c>
      <c r="AA385" s="35">
        <v>31.79</v>
      </c>
      <c r="AB385" s="45">
        <f t="shared" si="9"/>
        <v>650.59</v>
      </c>
      <c r="AC385" s="37">
        <v>4</v>
      </c>
      <c r="AD385" s="92"/>
    </row>
    <row r="386" spans="2:30">
      <c r="B386" s="90"/>
      <c r="C386" s="44" t="s">
        <v>34</v>
      </c>
      <c r="D386" s="35">
        <v>5.39</v>
      </c>
      <c r="E386" s="35">
        <v>12.74</v>
      </c>
      <c r="F386" s="35">
        <v>0</v>
      </c>
      <c r="G386" s="35">
        <v>0</v>
      </c>
      <c r="H386" s="35">
        <v>0</v>
      </c>
      <c r="I386" s="35">
        <v>0</v>
      </c>
      <c r="J386" s="35">
        <v>4.4800000000000004</v>
      </c>
      <c r="K386" s="35">
        <v>0</v>
      </c>
      <c r="L386" s="35">
        <v>0</v>
      </c>
      <c r="M386" s="35">
        <v>0</v>
      </c>
      <c r="N386" s="35">
        <v>1.71</v>
      </c>
      <c r="O386" s="35">
        <v>4.12</v>
      </c>
      <c r="P386" s="35">
        <v>10.46</v>
      </c>
      <c r="Q386" s="35">
        <v>15.21</v>
      </c>
      <c r="R386" s="35">
        <v>17.66</v>
      </c>
      <c r="S386" s="35">
        <v>16.16</v>
      </c>
      <c r="T386" s="35">
        <v>19.64</v>
      </c>
      <c r="U386" s="35">
        <v>36.93</v>
      </c>
      <c r="V386" s="35">
        <v>35.659999999999997</v>
      </c>
      <c r="W386" s="35">
        <v>44.8</v>
      </c>
      <c r="X386" s="35">
        <v>45.73</v>
      </c>
      <c r="Y386" s="35">
        <v>52.55</v>
      </c>
      <c r="Z386" s="35">
        <v>36.58</v>
      </c>
      <c r="AA386" s="35">
        <v>32.46</v>
      </c>
      <c r="AB386" s="45">
        <f t="shared" si="9"/>
        <v>392.28</v>
      </c>
      <c r="AC386" s="37">
        <v>5</v>
      </c>
      <c r="AD386" s="92"/>
    </row>
    <row r="387" spans="2:30">
      <c r="B387" s="90">
        <v>50253</v>
      </c>
      <c r="C387" s="44" t="s">
        <v>32</v>
      </c>
      <c r="D387" s="35">
        <v>20.6</v>
      </c>
      <c r="E387" s="35">
        <v>13.63</v>
      </c>
      <c r="F387" s="35">
        <v>8.01</v>
      </c>
      <c r="G387" s="35">
        <v>8.86</v>
      </c>
      <c r="H387" s="35">
        <v>8.14</v>
      </c>
      <c r="I387" s="35">
        <v>14.31</v>
      </c>
      <c r="J387" s="35">
        <v>10.93</v>
      </c>
      <c r="K387" s="35">
        <v>11.61</v>
      </c>
      <c r="L387" s="35">
        <v>25.91</v>
      </c>
      <c r="M387" s="35">
        <v>33.44</v>
      </c>
      <c r="N387" s="35">
        <v>38.69</v>
      </c>
      <c r="O387" s="35">
        <v>49.1</v>
      </c>
      <c r="P387" s="35">
        <v>49.7</v>
      </c>
      <c r="Q387" s="35">
        <v>41.48</v>
      </c>
      <c r="R387" s="35">
        <v>55.74</v>
      </c>
      <c r="S387" s="35">
        <v>58.5</v>
      </c>
      <c r="T387" s="35">
        <v>60.49</v>
      </c>
      <c r="U387" s="35">
        <v>68.47</v>
      </c>
      <c r="V387" s="35">
        <v>75.430000000000007</v>
      </c>
      <c r="W387" s="35">
        <v>77.849999999999994</v>
      </c>
      <c r="X387" s="35">
        <v>73.53</v>
      </c>
      <c r="Y387" s="35">
        <v>64.14</v>
      </c>
      <c r="Z387" s="35">
        <v>49.04</v>
      </c>
      <c r="AA387" s="35">
        <v>34.130000000000003</v>
      </c>
      <c r="AB387" s="45">
        <f t="shared" si="9"/>
        <v>951.73</v>
      </c>
      <c r="AC387" s="37">
        <v>19</v>
      </c>
      <c r="AD387" s="92">
        <f>+AB387*AC387+AB388*AC388+AB389*AC389</f>
        <v>23975.09</v>
      </c>
    </row>
    <row r="388" spans="2:30">
      <c r="B388" s="90"/>
      <c r="C388" s="44" t="s">
        <v>33</v>
      </c>
      <c r="D388" s="35">
        <v>15.87</v>
      </c>
      <c r="E388" s="35">
        <v>16.32</v>
      </c>
      <c r="F388" s="35">
        <v>6.96</v>
      </c>
      <c r="G388" s="35">
        <v>6.69</v>
      </c>
      <c r="H388" s="35">
        <v>6.59</v>
      </c>
      <c r="I388" s="35">
        <v>8.9600000000000009</v>
      </c>
      <c r="J388" s="35">
        <v>6.72</v>
      </c>
      <c r="K388" s="35">
        <v>4.4000000000000004</v>
      </c>
      <c r="L388" s="35">
        <v>11.61</v>
      </c>
      <c r="M388" s="35">
        <v>17.600000000000001</v>
      </c>
      <c r="N388" s="35">
        <v>20.260000000000002</v>
      </c>
      <c r="O388" s="35">
        <v>26.52</v>
      </c>
      <c r="P388" s="35">
        <v>29.35</v>
      </c>
      <c r="Q388" s="35">
        <v>27.03</v>
      </c>
      <c r="R388" s="35">
        <v>30.43</v>
      </c>
      <c r="S388" s="35">
        <v>30.49</v>
      </c>
      <c r="T388" s="35">
        <v>30.7</v>
      </c>
      <c r="U388" s="35">
        <v>45.94</v>
      </c>
      <c r="V388" s="35">
        <v>61.17</v>
      </c>
      <c r="W388" s="35">
        <v>65.290000000000006</v>
      </c>
      <c r="X388" s="35">
        <v>56.62</v>
      </c>
      <c r="Y388" s="35">
        <v>48.12</v>
      </c>
      <c r="Z388" s="35">
        <v>39.81</v>
      </c>
      <c r="AA388" s="35">
        <v>28.92</v>
      </c>
      <c r="AB388" s="45">
        <f t="shared" si="9"/>
        <v>642.37</v>
      </c>
      <c r="AC388" s="37">
        <v>5</v>
      </c>
      <c r="AD388" s="92"/>
    </row>
    <row r="389" spans="2:30">
      <c r="B389" s="90"/>
      <c r="C389" s="44" t="s">
        <v>34</v>
      </c>
      <c r="D389" s="35">
        <v>4.0199999999999996</v>
      </c>
      <c r="E389" s="35">
        <v>10.49</v>
      </c>
      <c r="F389" s="35">
        <v>0</v>
      </c>
      <c r="G389" s="35">
        <v>0</v>
      </c>
      <c r="H389" s="35">
        <v>0</v>
      </c>
      <c r="I389" s="35">
        <v>0</v>
      </c>
      <c r="J389" s="35">
        <v>4.78</v>
      </c>
      <c r="K389" s="35">
        <v>0</v>
      </c>
      <c r="L389" s="35">
        <v>0</v>
      </c>
      <c r="M389" s="35">
        <v>0</v>
      </c>
      <c r="N389" s="35">
        <v>3.32</v>
      </c>
      <c r="O389" s="35">
        <v>7.07</v>
      </c>
      <c r="P389" s="35">
        <v>12.19</v>
      </c>
      <c r="Q389" s="35">
        <v>14.4</v>
      </c>
      <c r="R389" s="35">
        <v>17.260000000000002</v>
      </c>
      <c r="S389" s="35">
        <v>16.32</v>
      </c>
      <c r="T389" s="35">
        <v>19.920000000000002</v>
      </c>
      <c r="U389" s="35">
        <v>36.979999999999997</v>
      </c>
      <c r="V389" s="35">
        <v>35.24</v>
      </c>
      <c r="W389" s="35">
        <v>41.96</v>
      </c>
      <c r="X389" s="35">
        <v>40.619999999999997</v>
      </c>
      <c r="Y389" s="35">
        <v>52.71</v>
      </c>
      <c r="Z389" s="35">
        <v>31.75</v>
      </c>
      <c r="AA389" s="35">
        <v>33.880000000000003</v>
      </c>
      <c r="AB389" s="45">
        <f t="shared" si="9"/>
        <v>382.91</v>
      </c>
      <c r="AC389" s="37">
        <v>7</v>
      </c>
      <c r="AD389" s="92"/>
    </row>
    <row r="390" spans="2:30">
      <c r="B390" s="90">
        <v>50284</v>
      </c>
      <c r="C390" s="44" t="s">
        <v>32</v>
      </c>
      <c r="D390" s="35">
        <v>22.22</v>
      </c>
      <c r="E390" s="35">
        <v>14.73</v>
      </c>
      <c r="F390" s="35">
        <v>8.6999999999999993</v>
      </c>
      <c r="G390" s="35">
        <v>9.94</v>
      </c>
      <c r="H390" s="35">
        <v>9.59</v>
      </c>
      <c r="I390" s="35">
        <v>15.91</v>
      </c>
      <c r="J390" s="35">
        <v>12.56</v>
      </c>
      <c r="K390" s="35">
        <v>12.59</v>
      </c>
      <c r="L390" s="35">
        <v>28.04</v>
      </c>
      <c r="M390" s="35">
        <v>35.1</v>
      </c>
      <c r="N390" s="35">
        <v>39.64</v>
      </c>
      <c r="O390" s="35">
        <v>49.87</v>
      </c>
      <c r="P390" s="35">
        <v>50.69</v>
      </c>
      <c r="Q390" s="35">
        <v>44.21</v>
      </c>
      <c r="R390" s="35">
        <v>59.61</v>
      </c>
      <c r="S390" s="35">
        <v>62.3</v>
      </c>
      <c r="T390" s="35">
        <v>64.010000000000005</v>
      </c>
      <c r="U390" s="35">
        <v>71.06</v>
      </c>
      <c r="V390" s="35">
        <v>77.959999999999994</v>
      </c>
      <c r="W390" s="35">
        <v>79.819999999999993</v>
      </c>
      <c r="X390" s="35">
        <v>75.540000000000006</v>
      </c>
      <c r="Y390" s="35">
        <v>66.040000000000006</v>
      </c>
      <c r="Z390" s="35">
        <v>50.85</v>
      </c>
      <c r="AA390" s="35">
        <v>35.18</v>
      </c>
      <c r="AB390" s="45">
        <f t="shared" si="9"/>
        <v>996.16</v>
      </c>
      <c r="AC390" s="37">
        <v>22</v>
      </c>
      <c r="AD390" s="92">
        <f>+AB390*AC390+AB391*AC391+AB392*AC392</f>
        <v>25996.68</v>
      </c>
    </row>
    <row r="391" spans="2:30">
      <c r="B391" s="90"/>
      <c r="C391" s="44" t="s">
        <v>33</v>
      </c>
      <c r="D391" s="35">
        <v>16.329999999999998</v>
      </c>
      <c r="E391" s="35">
        <v>16.71</v>
      </c>
      <c r="F391" s="35">
        <v>6.55</v>
      </c>
      <c r="G391" s="35">
        <v>5.34</v>
      </c>
      <c r="H391" s="35">
        <v>6.42</v>
      </c>
      <c r="I391" s="35">
        <v>7.17</v>
      </c>
      <c r="J391" s="35">
        <v>6.51</v>
      </c>
      <c r="K391" s="35">
        <v>3.59</v>
      </c>
      <c r="L391" s="35">
        <v>11.83</v>
      </c>
      <c r="M391" s="35">
        <v>17.62</v>
      </c>
      <c r="N391" s="35">
        <v>20.03</v>
      </c>
      <c r="O391" s="35">
        <v>27.51</v>
      </c>
      <c r="P391" s="35">
        <v>28.63</v>
      </c>
      <c r="Q391" s="35">
        <v>28.49</v>
      </c>
      <c r="R391" s="35">
        <v>32.21</v>
      </c>
      <c r="S391" s="35">
        <v>31.78</v>
      </c>
      <c r="T391" s="35">
        <v>32.17</v>
      </c>
      <c r="U391" s="35">
        <v>46.06</v>
      </c>
      <c r="V391" s="35">
        <v>60.65</v>
      </c>
      <c r="W391" s="35">
        <v>67.55</v>
      </c>
      <c r="X391" s="35">
        <v>58.22</v>
      </c>
      <c r="Y391" s="35">
        <v>47.57</v>
      </c>
      <c r="Z391" s="35">
        <v>39.729999999999997</v>
      </c>
      <c r="AA391" s="35">
        <v>26.62</v>
      </c>
      <c r="AB391" s="45">
        <f t="shared" si="9"/>
        <v>645.29</v>
      </c>
      <c r="AC391" s="37">
        <v>4</v>
      </c>
      <c r="AD391" s="92"/>
    </row>
    <row r="392" spans="2:30">
      <c r="B392" s="90"/>
      <c r="C392" s="44" t="s">
        <v>34</v>
      </c>
      <c r="D392" s="35">
        <v>9.8699999999999992</v>
      </c>
      <c r="E392" s="35">
        <v>9.73</v>
      </c>
      <c r="F392" s="35">
        <v>0</v>
      </c>
      <c r="G392" s="35">
        <v>0</v>
      </c>
      <c r="H392" s="35">
        <v>0</v>
      </c>
      <c r="I392" s="35">
        <v>0</v>
      </c>
      <c r="J392" s="35">
        <v>1.95</v>
      </c>
      <c r="K392" s="35">
        <v>0</v>
      </c>
      <c r="L392" s="35">
        <v>0</v>
      </c>
      <c r="M392" s="35">
        <v>0</v>
      </c>
      <c r="N392" s="35">
        <v>2.39</v>
      </c>
      <c r="O392" s="35">
        <v>7.11</v>
      </c>
      <c r="P392" s="35">
        <v>11.84</v>
      </c>
      <c r="Q392" s="35">
        <v>15.71</v>
      </c>
      <c r="R392" s="35">
        <v>19.27</v>
      </c>
      <c r="S392" s="35">
        <v>19.36</v>
      </c>
      <c r="T392" s="35">
        <v>21.7</v>
      </c>
      <c r="U392" s="35">
        <v>37.76</v>
      </c>
      <c r="V392" s="35">
        <v>32.85</v>
      </c>
      <c r="W392" s="35">
        <v>46.16</v>
      </c>
      <c r="X392" s="35">
        <v>40.57</v>
      </c>
      <c r="Y392" s="35">
        <v>46.92</v>
      </c>
      <c r="Z392" s="35">
        <v>23.5</v>
      </c>
      <c r="AA392" s="35">
        <v>28.31</v>
      </c>
      <c r="AB392" s="45">
        <f t="shared" si="9"/>
        <v>375</v>
      </c>
      <c r="AC392" s="37">
        <v>4</v>
      </c>
      <c r="AD392" s="92"/>
    </row>
    <row r="393" spans="2:30">
      <c r="B393" s="90">
        <v>50314</v>
      </c>
      <c r="C393" s="44" t="s">
        <v>32</v>
      </c>
      <c r="D393" s="35">
        <v>20.170000000000002</v>
      </c>
      <c r="E393" s="35">
        <v>14.13</v>
      </c>
      <c r="F393" s="35">
        <v>8.61</v>
      </c>
      <c r="G393" s="35">
        <v>8.83</v>
      </c>
      <c r="H393" s="35">
        <v>8.16</v>
      </c>
      <c r="I393" s="35">
        <v>13.5</v>
      </c>
      <c r="J393" s="35">
        <v>10.18</v>
      </c>
      <c r="K393" s="35">
        <v>10.73</v>
      </c>
      <c r="L393" s="35">
        <v>26.72</v>
      </c>
      <c r="M393" s="35">
        <v>33.71</v>
      </c>
      <c r="N393" s="35">
        <v>39.04</v>
      </c>
      <c r="O393" s="35">
        <v>50.11</v>
      </c>
      <c r="P393" s="35">
        <v>52.54</v>
      </c>
      <c r="Q393" s="35">
        <v>45.32</v>
      </c>
      <c r="R393" s="35">
        <v>58.9</v>
      </c>
      <c r="S393" s="35">
        <v>60.48</v>
      </c>
      <c r="T393" s="35">
        <v>61.95</v>
      </c>
      <c r="U393" s="35">
        <v>69.73</v>
      </c>
      <c r="V393" s="35">
        <v>76.510000000000005</v>
      </c>
      <c r="W393" s="35">
        <v>77.790000000000006</v>
      </c>
      <c r="X393" s="35">
        <v>72.819999999999993</v>
      </c>
      <c r="Y393" s="35">
        <v>64.19</v>
      </c>
      <c r="Z393" s="35">
        <v>50.25</v>
      </c>
      <c r="AA393" s="35">
        <v>35.07</v>
      </c>
      <c r="AB393" s="45">
        <f t="shared" si="9"/>
        <v>969.44</v>
      </c>
      <c r="AC393" s="37">
        <v>21</v>
      </c>
      <c r="AD393" s="92">
        <f>+AB393*AC393+AB394*AC394+AB395*AC395</f>
        <v>25683.84</v>
      </c>
    </row>
    <row r="394" spans="2:30">
      <c r="B394" s="90"/>
      <c r="C394" s="44" t="s">
        <v>33</v>
      </c>
      <c r="D394" s="35">
        <v>16.850000000000001</v>
      </c>
      <c r="E394" s="35">
        <v>15.84</v>
      </c>
      <c r="F394" s="35">
        <v>6.01</v>
      </c>
      <c r="G394" s="35">
        <v>5.68</v>
      </c>
      <c r="H394" s="35">
        <v>6.49</v>
      </c>
      <c r="I394" s="35">
        <v>6.75</v>
      </c>
      <c r="J394" s="35">
        <v>5.98</v>
      </c>
      <c r="K394" s="35">
        <v>3.72</v>
      </c>
      <c r="L394" s="35">
        <v>11.78</v>
      </c>
      <c r="M394" s="35">
        <v>17.96</v>
      </c>
      <c r="N394" s="35">
        <v>21.59</v>
      </c>
      <c r="O394" s="35">
        <v>30.83</v>
      </c>
      <c r="P394" s="35">
        <v>31.32</v>
      </c>
      <c r="Q394" s="35">
        <v>30.08</v>
      </c>
      <c r="R394" s="35">
        <v>33.83</v>
      </c>
      <c r="S394" s="35">
        <v>31.87</v>
      </c>
      <c r="T394" s="35">
        <v>32.35</v>
      </c>
      <c r="U394" s="35">
        <v>46.52</v>
      </c>
      <c r="V394" s="35">
        <v>60.55</v>
      </c>
      <c r="W394" s="35">
        <v>67.680000000000007</v>
      </c>
      <c r="X394" s="35">
        <v>58.8</v>
      </c>
      <c r="Y394" s="35">
        <v>47.41</v>
      </c>
      <c r="Z394" s="35">
        <v>39.67</v>
      </c>
      <c r="AA394" s="35">
        <v>27.79</v>
      </c>
      <c r="AB394" s="45">
        <f t="shared" si="9"/>
        <v>657.35</v>
      </c>
      <c r="AC394" s="37">
        <v>5</v>
      </c>
      <c r="AD394" s="92"/>
    </row>
    <row r="395" spans="2:30">
      <c r="B395" s="90"/>
      <c r="C395" s="44" t="s">
        <v>34</v>
      </c>
      <c r="D395" s="35">
        <v>12.95</v>
      </c>
      <c r="E395" s="35">
        <v>16.649999999999999</v>
      </c>
      <c r="F395" s="35">
        <v>1.57</v>
      </c>
      <c r="G395" s="35">
        <v>0</v>
      </c>
      <c r="H395" s="35">
        <v>0</v>
      </c>
      <c r="I395" s="35">
        <v>0</v>
      </c>
      <c r="J395" s="35">
        <v>0.85</v>
      </c>
      <c r="K395" s="35">
        <v>0</v>
      </c>
      <c r="L395" s="35">
        <v>0</v>
      </c>
      <c r="M395" s="35">
        <v>0</v>
      </c>
      <c r="N395" s="35">
        <v>4.4400000000000004</v>
      </c>
      <c r="O395" s="35">
        <v>10.43</v>
      </c>
      <c r="P395" s="35">
        <v>15.06</v>
      </c>
      <c r="Q395" s="35">
        <v>18.350000000000001</v>
      </c>
      <c r="R395" s="35">
        <v>21.1</v>
      </c>
      <c r="S395" s="35">
        <v>18.940000000000001</v>
      </c>
      <c r="T395" s="35">
        <v>21.92</v>
      </c>
      <c r="U395" s="35">
        <v>38.200000000000003</v>
      </c>
      <c r="V395" s="35">
        <v>34.450000000000003</v>
      </c>
      <c r="W395" s="35">
        <v>44.58</v>
      </c>
      <c r="X395" s="35">
        <v>43.01</v>
      </c>
      <c r="Y395" s="35">
        <v>46.62</v>
      </c>
      <c r="Z395" s="35">
        <v>29.51</v>
      </c>
      <c r="AA395" s="35">
        <v>29.14</v>
      </c>
      <c r="AB395" s="45">
        <f t="shared" si="9"/>
        <v>407.77</v>
      </c>
      <c r="AC395" s="37">
        <v>5</v>
      </c>
      <c r="AD395" s="92"/>
    </row>
    <row r="396" spans="2:30">
      <c r="B396" s="90">
        <v>50345</v>
      </c>
      <c r="C396" s="44" t="s">
        <v>32</v>
      </c>
      <c r="D396" s="35">
        <v>19.12</v>
      </c>
      <c r="E396" s="35">
        <v>13.17</v>
      </c>
      <c r="F396" s="35">
        <v>7.7</v>
      </c>
      <c r="G396" s="35">
        <v>8.17</v>
      </c>
      <c r="H396" s="35">
        <v>7.29</v>
      </c>
      <c r="I396" s="35">
        <v>12.9</v>
      </c>
      <c r="J396" s="35">
        <v>9.57</v>
      </c>
      <c r="K396" s="35">
        <v>10.4</v>
      </c>
      <c r="L396" s="35">
        <v>25.78</v>
      </c>
      <c r="M396" s="35">
        <v>33.020000000000003</v>
      </c>
      <c r="N396" s="35">
        <v>37.47</v>
      </c>
      <c r="O396" s="35">
        <v>47.15</v>
      </c>
      <c r="P396" s="35">
        <v>48.84</v>
      </c>
      <c r="Q396" s="35">
        <v>42.77</v>
      </c>
      <c r="R396" s="35">
        <v>57.8</v>
      </c>
      <c r="S396" s="35">
        <v>60.28</v>
      </c>
      <c r="T396" s="35">
        <v>61.85</v>
      </c>
      <c r="U396" s="35">
        <v>69.56</v>
      </c>
      <c r="V396" s="35">
        <v>76.52</v>
      </c>
      <c r="W396" s="35">
        <v>77.569999999999993</v>
      </c>
      <c r="X396" s="35">
        <v>72.44</v>
      </c>
      <c r="Y396" s="35">
        <v>63.5</v>
      </c>
      <c r="Z396" s="35">
        <v>49.47</v>
      </c>
      <c r="AA396" s="35">
        <v>33.83</v>
      </c>
      <c r="AB396" s="45">
        <f t="shared" si="9"/>
        <v>946.17</v>
      </c>
      <c r="AC396" s="37">
        <v>19</v>
      </c>
      <c r="AD396" s="92">
        <f>+AB396*AC396+AB397*AC397+AB398*AC398</f>
        <v>23456.38</v>
      </c>
    </row>
    <row r="397" spans="2:30">
      <c r="B397" s="90"/>
      <c r="C397" s="44" t="s">
        <v>33</v>
      </c>
      <c r="D397" s="35">
        <v>16.84</v>
      </c>
      <c r="E397" s="35">
        <v>15.55</v>
      </c>
      <c r="F397" s="35">
        <v>5.65</v>
      </c>
      <c r="G397" s="35">
        <v>5.3</v>
      </c>
      <c r="H397" s="35">
        <v>6.31</v>
      </c>
      <c r="I397" s="35">
        <v>7.71</v>
      </c>
      <c r="J397" s="35">
        <v>6.03</v>
      </c>
      <c r="K397" s="35">
        <v>3.96</v>
      </c>
      <c r="L397" s="35">
        <v>11.6</v>
      </c>
      <c r="M397" s="35">
        <v>17.89</v>
      </c>
      <c r="N397" s="35">
        <v>20.03</v>
      </c>
      <c r="O397" s="35">
        <v>28.87</v>
      </c>
      <c r="P397" s="35">
        <v>28.31</v>
      </c>
      <c r="Q397" s="35">
        <v>27.52</v>
      </c>
      <c r="R397" s="35">
        <v>34.21</v>
      </c>
      <c r="S397" s="35">
        <v>33.01</v>
      </c>
      <c r="T397" s="35">
        <v>33.15</v>
      </c>
      <c r="U397" s="35">
        <v>46.68</v>
      </c>
      <c r="V397" s="35">
        <v>60.2</v>
      </c>
      <c r="W397" s="35">
        <v>68.75</v>
      </c>
      <c r="X397" s="35">
        <v>56.44</v>
      </c>
      <c r="Y397" s="35">
        <v>47.35</v>
      </c>
      <c r="Z397" s="35">
        <v>39.369999999999997</v>
      </c>
      <c r="AA397" s="35">
        <v>27.13</v>
      </c>
      <c r="AB397" s="45">
        <f t="shared" si="9"/>
        <v>647.86</v>
      </c>
      <c r="AC397" s="37">
        <v>4</v>
      </c>
      <c r="AD397" s="92"/>
    </row>
    <row r="398" spans="2:30">
      <c r="B398" s="90"/>
      <c r="C398" s="44" t="s">
        <v>34</v>
      </c>
      <c r="D398" s="35">
        <v>8.65</v>
      </c>
      <c r="E398" s="35">
        <v>8.1300000000000008</v>
      </c>
      <c r="F398" s="35">
        <v>0.57999999999999996</v>
      </c>
      <c r="G398" s="35">
        <v>0</v>
      </c>
      <c r="H398" s="35">
        <v>4</v>
      </c>
      <c r="I398" s="35">
        <v>0</v>
      </c>
      <c r="J398" s="35">
        <v>1.64</v>
      </c>
      <c r="K398" s="35">
        <v>0</v>
      </c>
      <c r="L398" s="35">
        <v>0</v>
      </c>
      <c r="M398" s="35">
        <v>0</v>
      </c>
      <c r="N398" s="35">
        <v>3.39</v>
      </c>
      <c r="O398" s="35">
        <v>8.84</v>
      </c>
      <c r="P398" s="35">
        <v>13.04</v>
      </c>
      <c r="Q398" s="35">
        <v>17.18</v>
      </c>
      <c r="R398" s="35">
        <v>21.55</v>
      </c>
      <c r="S398" s="35">
        <v>19.29</v>
      </c>
      <c r="T398" s="35">
        <v>22.61</v>
      </c>
      <c r="U398" s="35">
        <v>38.409999999999997</v>
      </c>
      <c r="V398" s="35">
        <v>36.17</v>
      </c>
      <c r="W398" s="35">
        <v>48.5</v>
      </c>
      <c r="X398" s="35">
        <v>46.89</v>
      </c>
      <c r="Y398" s="35">
        <v>52.13</v>
      </c>
      <c r="Z398" s="35">
        <v>31.86</v>
      </c>
      <c r="AA398" s="35">
        <v>29.67</v>
      </c>
      <c r="AB398" s="45">
        <f t="shared" si="9"/>
        <v>412.53</v>
      </c>
      <c r="AC398" s="37">
        <v>7</v>
      </c>
      <c r="AD398" s="92"/>
    </row>
    <row r="399" spans="2:30">
      <c r="B399" s="90">
        <v>50375</v>
      </c>
      <c r="C399" s="44" t="s">
        <v>32</v>
      </c>
      <c r="D399" s="35">
        <v>22.41</v>
      </c>
      <c r="E399" s="35">
        <v>15.64</v>
      </c>
      <c r="F399" s="35">
        <v>10.51</v>
      </c>
      <c r="G399" s="35">
        <v>9.73</v>
      </c>
      <c r="H399" s="35">
        <v>10.1</v>
      </c>
      <c r="I399" s="35">
        <v>14.01</v>
      </c>
      <c r="J399" s="35">
        <v>14.11</v>
      </c>
      <c r="K399" s="35">
        <v>12.58</v>
      </c>
      <c r="L399" s="35">
        <v>27.5</v>
      </c>
      <c r="M399" s="35">
        <v>33.86</v>
      </c>
      <c r="N399" s="35">
        <v>37.94</v>
      </c>
      <c r="O399" s="35">
        <v>47.62</v>
      </c>
      <c r="P399" s="35">
        <v>49.52</v>
      </c>
      <c r="Q399" s="35">
        <v>44.12</v>
      </c>
      <c r="R399" s="35">
        <v>56.5</v>
      </c>
      <c r="S399" s="35">
        <v>60.62</v>
      </c>
      <c r="T399" s="35">
        <v>63.21</v>
      </c>
      <c r="U399" s="35">
        <v>69.77</v>
      </c>
      <c r="V399" s="35">
        <v>77.569999999999993</v>
      </c>
      <c r="W399" s="35">
        <v>80.98</v>
      </c>
      <c r="X399" s="35">
        <v>76.39</v>
      </c>
      <c r="Y399" s="35">
        <v>67.2</v>
      </c>
      <c r="Z399" s="35">
        <v>53.21</v>
      </c>
      <c r="AA399" s="35">
        <v>37.79</v>
      </c>
      <c r="AB399" s="45">
        <f t="shared" si="9"/>
        <v>992.89</v>
      </c>
      <c r="AC399" s="37">
        <v>21</v>
      </c>
      <c r="AD399" s="92">
        <f>+AB399*AC399+AB400*AC400+AB401*AC401</f>
        <v>25892.15</v>
      </c>
    </row>
    <row r="400" spans="2:30">
      <c r="B400" s="90"/>
      <c r="C400" s="44" t="s">
        <v>33</v>
      </c>
      <c r="D400" s="35">
        <v>16.07</v>
      </c>
      <c r="E400" s="35">
        <v>15.92</v>
      </c>
      <c r="F400" s="35">
        <v>5.54</v>
      </c>
      <c r="G400" s="35">
        <v>4.8099999999999996</v>
      </c>
      <c r="H400" s="35">
        <v>7.05</v>
      </c>
      <c r="I400" s="35">
        <v>9.99</v>
      </c>
      <c r="J400" s="35">
        <v>6.72</v>
      </c>
      <c r="K400" s="35">
        <v>3.92</v>
      </c>
      <c r="L400" s="35">
        <v>11.48</v>
      </c>
      <c r="M400" s="35">
        <v>16.690000000000001</v>
      </c>
      <c r="N400" s="35">
        <v>18.95</v>
      </c>
      <c r="O400" s="35">
        <v>28.35</v>
      </c>
      <c r="P400" s="35">
        <v>26.76</v>
      </c>
      <c r="Q400" s="35">
        <v>24.66</v>
      </c>
      <c r="R400" s="35">
        <v>32.11</v>
      </c>
      <c r="S400" s="35">
        <v>31.23</v>
      </c>
      <c r="T400" s="35">
        <v>32.15</v>
      </c>
      <c r="U400" s="35">
        <v>46.59</v>
      </c>
      <c r="V400" s="35">
        <v>59.77</v>
      </c>
      <c r="W400" s="35">
        <v>67.14</v>
      </c>
      <c r="X400" s="35">
        <v>53.66</v>
      </c>
      <c r="Y400" s="35">
        <v>47.02</v>
      </c>
      <c r="Z400" s="35">
        <v>38.89</v>
      </c>
      <c r="AA400" s="35">
        <v>33.31</v>
      </c>
      <c r="AB400" s="45">
        <f t="shared" si="9"/>
        <v>638.78</v>
      </c>
      <c r="AC400" s="37">
        <v>4</v>
      </c>
      <c r="AD400" s="92"/>
    </row>
    <row r="401" spans="2:30">
      <c r="B401" s="90"/>
      <c r="C401" s="44" t="s">
        <v>34</v>
      </c>
      <c r="D401" s="35">
        <v>13.82</v>
      </c>
      <c r="E401" s="35">
        <v>18.64</v>
      </c>
      <c r="F401" s="35">
        <v>0</v>
      </c>
      <c r="G401" s="35">
        <v>0</v>
      </c>
      <c r="H401" s="35">
        <v>0</v>
      </c>
      <c r="I401" s="35">
        <v>0</v>
      </c>
      <c r="J401" s="35">
        <v>4.25</v>
      </c>
      <c r="K401" s="35">
        <v>0</v>
      </c>
      <c r="L401" s="35">
        <v>0</v>
      </c>
      <c r="M401" s="35">
        <v>0</v>
      </c>
      <c r="N401" s="35">
        <v>3.16</v>
      </c>
      <c r="O401" s="35">
        <v>9.02</v>
      </c>
      <c r="P401" s="35">
        <v>12.85</v>
      </c>
      <c r="Q401" s="35">
        <v>16.62</v>
      </c>
      <c r="R401" s="35">
        <v>19.62</v>
      </c>
      <c r="S401" s="35">
        <v>17.71</v>
      </c>
      <c r="T401" s="35">
        <v>20.75</v>
      </c>
      <c r="U401" s="35">
        <v>37.69</v>
      </c>
      <c r="V401" s="35">
        <v>32.79</v>
      </c>
      <c r="W401" s="35">
        <v>46.75</v>
      </c>
      <c r="X401" s="35">
        <v>45.59</v>
      </c>
      <c r="Y401" s="35">
        <v>52.77</v>
      </c>
      <c r="Z401" s="35">
        <v>29.81</v>
      </c>
      <c r="AA401" s="35">
        <v>32.549999999999997</v>
      </c>
      <c r="AB401" s="45">
        <f t="shared" si="9"/>
        <v>414.39</v>
      </c>
      <c r="AC401" s="37">
        <v>6</v>
      </c>
      <c r="AD401" s="92"/>
    </row>
    <row r="402" spans="2:30"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86" t="s">
        <v>35</v>
      </c>
      <c r="AB402" s="87"/>
      <c r="AC402" s="88"/>
      <c r="AD402" s="39">
        <f>SUM(AD366:AD401)</f>
        <v>286624.14</v>
      </c>
    </row>
  </sheetData>
  <mergeCells count="250">
    <mergeCell ref="AD390:AD392"/>
    <mergeCell ref="AD393:AD395"/>
    <mergeCell ref="AD396:AD398"/>
    <mergeCell ref="AD399:AD401"/>
    <mergeCell ref="AD359:AD361"/>
    <mergeCell ref="AD366:AD368"/>
    <mergeCell ref="AD369:AD371"/>
    <mergeCell ref="AD372:AD374"/>
    <mergeCell ref="AD375:AD377"/>
    <mergeCell ref="AD378:AD380"/>
    <mergeCell ref="AD381:AD383"/>
    <mergeCell ref="AD384:AD386"/>
    <mergeCell ref="AD387:AD389"/>
    <mergeCell ref="AD332:AD334"/>
    <mergeCell ref="AD335:AD337"/>
    <mergeCell ref="AD338:AD340"/>
    <mergeCell ref="AD341:AD343"/>
    <mergeCell ref="AD344:AD346"/>
    <mergeCell ref="AD347:AD349"/>
    <mergeCell ref="AD350:AD352"/>
    <mergeCell ref="AD353:AD355"/>
    <mergeCell ref="AD356:AD358"/>
    <mergeCell ref="AD301:AD303"/>
    <mergeCell ref="AD304:AD306"/>
    <mergeCell ref="AD307:AD309"/>
    <mergeCell ref="AD310:AD312"/>
    <mergeCell ref="AD313:AD315"/>
    <mergeCell ref="AD316:AD318"/>
    <mergeCell ref="AD319:AD321"/>
    <mergeCell ref="AD326:AD328"/>
    <mergeCell ref="AD329:AD331"/>
    <mergeCell ref="AD270:AD272"/>
    <mergeCell ref="AD273:AD275"/>
    <mergeCell ref="AD276:AD278"/>
    <mergeCell ref="AD279:AD281"/>
    <mergeCell ref="AD286:AD288"/>
    <mergeCell ref="AD289:AD291"/>
    <mergeCell ref="AD292:AD294"/>
    <mergeCell ref="AD295:AD297"/>
    <mergeCell ref="AD298:AD300"/>
    <mergeCell ref="AD239:AD241"/>
    <mergeCell ref="AD246:AD248"/>
    <mergeCell ref="AD249:AD251"/>
    <mergeCell ref="AD252:AD254"/>
    <mergeCell ref="AD255:AD257"/>
    <mergeCell ref="AD258:AD260"/>
    <mergeCell ref="AD261:AD263"/>
    <mergeCell ref="AD264:AD266"/>
    <mergeCell ref="AD267:AD269"/>
    <mergeCell ref="AD212:AD214"/>
    <mergeCell ref="AD215:AD217"/>
    <mergeCell ref="AD218:AD220"/>
    <mergeCell ref="AD221:AD223"/>
    <mergeCell ref="AD224:AD226"/>
    <mergeCell ref="AD227:AD229"/>
    <mergeCell ref="AD230:AD232"/>
    <mergeCell ref="AD233:AD235"/>
    <mergeCell ref="AD236:AD238"/>
    <mergeCell ref="AD181:AD183"/>
    <mergeCell ref="AD184:AD186"/>
    <mergeCell ref="AD187:AD189"/>
    <mergeCell ref="AD190:AD192"/>
    <mergeCell ref="AD193:AD195"/>
    <mergeCell ref="AD196:AD198"/>
    <mergeCell ref="AD199:AD201"/>
    <mergeCell ref="AD206:AD208"/>
    <mergeCell ref="AD209:AD211"/>
    <mergeCell ref="AD150:AD152"/>
    <mergeCell ref="AD153:AD155"/>
    <mergeCell ref="AD156:AD158"/>
    <mergeCell ref="AD159:AD161"/>
    <mergeCell ref="AD166:AD168"/>
    <mergeCell ref="AD169:AD171"/>
    <mergeCell ref="AD172:AD174"/>
    <mergeCell ref="AD175:AD177"/>
    <mergeCell ref="AD178:AD180"/>
    <mergeCell ref="AD119:AD121"/>
    <mergeCell ref="AD126:AD128"/>
    <mergeCell ref="AD129:AD131"/>
    <mergeCell ref="AD132:AD134"/>
    <mergeCell ref="AD135:AD137"/>
    <mergeCell ref="AD138:AD140"/>
    <mergeCell ref="AD141:AD143"/>
    <mergeCell ref="AD144:AD146"/>
    <mergeCell ref="AD147:AD149"/>
    <mergeCell ref="AD92:AD94"/>
    <mergeCell ref="AD95:AD97"/>
    <mergeCell ref="AD98:AD100"/>
    <mergeCell ref="AD101:AD103"/>
    <mergeCell ref="AD104:AD106"/>
    <mergeCell ref="AD107:AD109"/>
    <mergeCell ref="AD110:AD112"/>
    <mergeCell ref="AD113:AD115"/>
    <mergeCell ref="AD116:AD118"/>
    <mergeCell ref="AD61:AD63"/>
    <mergeCell ref="AD64:AD66"/>
    <mergeCell ref="AD67:AD69"/>
    <mergeCell ref="AD70:AD72"/>
    <mergeCell ref="AD73:AD75"/>
    <mergeCell ref="AD76:AD78"/>
    <mergeCell ref="AD79:AD81"/>
    <mergeCell ref="AD86:AD88"/>
    <mergeCell ref="AD89:AD91"/>
    <mergeCell ref="B381:B383"/>
    <mergeCell ref="B384:B386"/>
    <mergeCell ref="B387:B389"/>
    <mergeCell ref="B390:B392"/>
    <mergeCell ref="B393:B395"/>
    <mergeCell ref="B396:B398"/>
    <mergeCell ref="B399:B401"/>
    <mergeCell ref="AD6:AD8"/>
    <mergeCell ref="AD9:AD11"/>
    <mergeCell ref="AD12:AD14"/>
    <mergeCell ref="AD15:AD17"/>
    <mergeCell ref="AD18:AD20"/>
    <mergeCell ref="AD21:AD23"/>
    <mergeCell ref="AD24:AD26"/>
    <mergeCell ref="AD27:AD29"/>
    <mergeCell ref="AD30:AD32"/>
    <mergeCell ref="AD33:AD35"/>
    <mergeCell ref="AD36:AD38"/>
    <mergeCell ref="AD39:AD41"/>
    <mergeCell ref="AD46:AD48"/>
    <mergeCell ref="AD49:AD51"/>
    <mergeCell ref="AD52:AD54"/>
    <mergeCell ref="AD55:AD57"/>
    <mergeCell ref="AD58:AD60"/>
    <mergeCell ref="B350:B352"/>
    <mergeCell ref="B353:B355"/>
    <mergeCell ref="B356:B358"/>
    <mergeCell ref="B359:B361"/>
    <mergeCell ref="B366:B368"/>
    <mergeCell ref="B369:B371"/>
    <mergeCell ref="B372:B374"/>
    <mergeCell ref="B375:B377"/>
    <mergeCell ref="B378:B380"/>
    <mergeCell ref="B319:B321"/>
    <mergeCell ref="B326:B328"/>
    <mergeCell ref="B329:B331"/>
    <mergeCell ref="B332:B334"/>
    <mergeCell ref="B335:B337"/>
    <mergeCell ref="B338:B340"/>
    <mergeCell ref="B341:B343"/>
    <mergeCell ref="B344:B346"/>
    <mergeCell ref="B347:B349"/>
    <mergeCell ref="B292:B294"/>
    <mergeCell ref="B295:B297"/>
    <mergeCell ref="B298:B300"/>
    <mergeCell ref="B301:B303"/>
    <mergeCell ref="B304:B306"/>
    <mergeCell ref="B307:B309"/>
    <mergeCell ref="B310:B312"/>
    <mergeCell ref="B313:B315"/>
    <mergeCell ref="B316:B318"/>
    <mergeCell ref="B261:B263"/>
    <mergeCell ref="B264:B266"/>
    <mergeCell ref="B267:B269"/>
    <mergeCell ref="B270:B272"/>
    <mergeCell ref="B273:B275"/>
    <mergeCell ref="B276:B278"/>
    <mergeCell ref="B279:B281"/>
    <mergeCell ref="B286:B288"/>
    <mergeCell ref="B289:B291"/>
    <mergeCell ref="B230:B232"/>
    <mergeCell ref="B233:B235"/>
    <mergeCell ref="B236:B238"/>
    <mergeCell ref="B239:B241"/>
    <mergeCell ref="B246:B248"/>
    <mergeCell ref="B249:B251"/>
    <mergeCell ref="B252:B254"/>
    <mergeCell ref="B255:B257"/>
    <mergeCell ref="B258:B260"/>
    <mergeCell ref="B199:B201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172:B174"/>
    <mergeCell ref="B175:B177"/>
    <mergeCell ref="B178:B180"/>
    <mergeCell ref="B181:B183"/>
    <mergeCell ref="B184:B186"/>
    <mergeCell ref="B187:B189"/>
    <mergeCell ref="B190:B192"/>
    <mergeCell ref="B193:B195"/>
    <mergeCell ref="B196:B198"/>
    <mergeCell ref="B141:B143"/>
    <mergeCell ref="B144:B146"/>
    <mergeCell ref="B147:B149"/>
    <mergeCell ref="B150:B152"/>
    <mergeCell ref="B153:B155"/>
    <mergeCell ref="B156:B158"/>
    <mergeCell ref="B159:B161"/>
    <mergeCell ref="B166:B168"/>
    <mergeCell ref="B169:B171"/>
    <mergeCell ref="B110:B112"/>
    <mergeCell ref="B113:B115"/>
    <mergeCell ref="B116:B118"/>
    <mergeCell ref="B119:B121"/>
    <mergeCell ref="B126:B128"/>
    <mergeCell ref="B129:B131"/>
    <mergeCell ref="B132:B134"/>
    <mergeCell ref="B135:B137"/>
    <mergeCell ref="B138:B140"/>
    <mergeCell ref="B79:B81"/>
    <mergeCell ref="B86:B88"/>
    <mergeCell ref="B89:B91"/>
    <mergeCell ref="B92:B94"/>
    <mergeCell ref="B95:B97"/>
    <mergeCell ref="B98:B100"/>
    <mergeCell ref="B101:B103"/>
    <mergeCell ref="B104:B106"/>
    <mergeCell ref="B107:B109"/>
    <mergeCell ref="AA402:AC402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AA42:AC42"/>
    <mergeCell ref="AA82:AC82"/>
    <mergeCell ref="AA122:AC122"/>
    <mergeCell ref="AA162:AC162"/>
    <mergeCell ref="AA202:AC202"/>
    <mergeCell ref="AA242:AC242"/>
    <mergeCell ref="AA282:AC282"/>
    <mergeCell ref="AA322:AC322"/>
    <mergeCell ref="AA362:AC362"/>
  </mergeCells>
  <conditionalFormatting sqref="D6:AA41">
    <cfRule type="cellIs" dxfId="19" priority="43" operator="lessThan">
      <formula>0</formula>
    </cfRule>
    <cfRule type="cellIs" dxfId="18" priority="44" operator="equal">
      <formula>"&gt;0"</formula>
    </cfRule>
  </conditionalFormatting>
  <conditionalFormatting sqref="D46:AA81">
    <cfRule type="cellIs" dxfId="17" priority="41" operator="lessThan">
      <formula>0</formula>
    </cfRule>
    <cfRule type="cellIs" dxfId="16" priority="42" operator="equal">
      <formula>"&gt;0"</formula>
    </cfRule>
  </conditionalFormatting>
  <conditionalFormatting sqref="D86:AA121">
    <cfRule type="cellIs" dxfId="15" priority="24" operator="lessThan">
      <formula>0</formula>
    </cfRule>
    <cfRule type="cellIs" dxfId="14" priority="25" operator="equal">
      <formula>"&gt;0"</formula>
    </cfRule>
  </conditionalFormatting>
  <conditionalFormatting sqref="D126:AA161">
    <cfRule type="cellIs" dxfId="13" priority="37" operator="lessThan">
      <formula>0</formula>
    </cfRule>
    <cfRule type="cellIs" dxfId="12" priority="38" operator="equal">
      <formula>"&gt;0"</formula>
    </cfRule>
  </conditionalFormatting>
  <conditionalFormatting sqref="D166:AA201">
    <cfRule type="cellIs" dxfId="11" priority="19" operator="lessThan">
      <formula>0</formula>
    </cfRule>
    <cfRule type="cellIs" dxfId="10" priority="20" operator="equal">
      <formula>"&gt;0"</formula>
    </cfRule>
  </conditionalFormatting>
  <conditionalFormatting sqref="D206:AA241">
    <cfRule type="cellIs" dxfId="9" priority="17" operator="lessThan">
      <formula>0</formula>
    </cfRule>
    <cfRule type="cellIs" dxfId="8" priority="18" operator="equal">
      <formula>"&gt;0"</formula>
    </cfRule>
  </conditionalFormatting>
  <conditionalFormatting sqref="D246:AA281">
    <cfRule type="cellIs" dxfId="7" priority="15" operator="lessThan">
      <formula>0</formula>
    </cfRule>
    <cfRule type="cellIs" dxfId="6" priority="16" operator="equal">
      <formula>"&gt;0"</formula>
    </cfRule>
  </conditionalFormatting>
  <conditionalFormatting sqref="D286:AA321">
    <cfRule type="cellIs" dxfId="5" priority="13" operator="lessThan">
      <formula>0</formula>
    </cfRule>
    <cfRule type="cellIs" dxfId="4" priority="14" operator="equal">
      <formula>"&gt;0"</formula>
    </cfRule>
  </conditionalFormatting>
  <conditionalFormatting sqref="D326:AA361">
    <cfRule type="cellIs" dxfId="3" priority="11" operator="lessThan">
      <formula>0</formula>
    </cfRule>
    <cfRule type="cellIs" dxfId="2" priority="12" operator="equal">
      <formula>"&gt;0"</formula>
    </cfRule>
  </conditionalFormatting>
  <conditionalFormatting sqref="D366:AA401">
    <cfRule type="cellIs" dxfId="1" priority="9" operator="lessThan">
      <formula>0</formula>
    </cfRule>
    <cfRule type="cellIs" dxfId="0" priority="10" operator="equal">
      <formula>"&gt;0"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FB9D"/>
  </sheetPr>
  <dimension ref="B2:N35"/>
  <sheetViews>
    <sheetView showGridLines="0" zoomScale="80" zoomScaleNormal="80" workbookViewId="0">
      <selection activeCell="C34" sqref="C34"/>
    </sheetView>
  </sheetViews>
  <sheetFormatPr baseColWidth="10" defaultColWidth="10.88671875" defaultRowHeight="15"/>
  <cols>
    <col min="1" max="2" width="10.88671875" style="1"/>
    <col min="3" max="3" width="3.33203125" style="1" customWidth="1"/>
    <col min="4" max="5" width="12.21875" style="1" customWidth="1"/>
    <col min="6" max="6" width="13.21875" style="1" customWidth="1"/>
    <col min="7" max="7" width="12.5546875" style="1" customWidth="1"/>
    <col min="8" max="8" width="8.21875" style="1" customWidth="1"/>
    <col min="9" max="9" width="9" style="1" customWidth="1"/>
    <col min="10" max="16384" width="10.88671875" style="1"/>
  </cols>
  <sheetData>
    <row r="2" spans="2:9" ht="18">
      <c r="B2" s="2"/>
      <c r="C2" s="3"/>
      <c r="D2" s="4" t="s">
        <v>46</v>
      </c>
      <c r="E2" s="3"/>
      <c r="F2" s="3"/>
      <c r="G2" s="3"/>
      <c r="H2" s="3"/>
      <c r="I2" s="5"/>
    </row>
    <row r="3" spans="2:9" ht="18">
      <c r="B3" s="6"/>
      <c r="D3" s="7" t="s">
        <v>47</v>
      </c>
      <c r="I3" s="8"/>
    </row>
    <row r="4" spans="2:9" ht="18">
      <c r="B4" s="6"/>
      <c r="D4" s="7" t="s">
        <v>48</v>
      </c>
      <c r="I4" s="8"/>
    </row>
    <row r="5" spans="2:9" ht="18">
      <c r="B5" s="6"/>
      <c r="D5" s="7"/>
      <c r="I5" s="8"/>
    </row>
    <row r="6" spans="2:9" ht="18">
      <c r="B6" s="6"/>
      <c r="D6" s="7" t="s">
        <v>49</v>
      </c>
      <c r="I6" s="8"/>
    </row>
    <row r="7" spans="2:9">
      <c r="B7" s="6"/>
      <c r="I7" s="8"/>
    </row>
    <row r="8" spans="2:9" ht="18">
      <c r="B8" s="6"/>
      <c r="D8" s="9" t="s">
        <v>87</v>
      </c>
      <c r="I8" s="8"/>
    </row>
    <row r="9" spans="2:9">
      <c r="B9" s="6"/>
      <c r="I9" s="8"/>
    </row>
    <row r="10" spans="2:9" ht="15.75">
      <c r="B10" s="6"/>
      <c r="D10" s="10"/>
      <c r="I10" s="11"/>
    </row>
    <row r="11" spans="2:9" ht="45">
      <c r="B11" s="12"/>
      <c r="C11"/>
      <c r="D11" s="13" t="s">
        <v>50</v>
      </c>
      <c r="E11" s="13" t="s">
        <v>51</v>
      </c>
      <c r="F11" s="13" t="s">
        <v>52</v>
      </c>
      <c r="G11" s="14" t="s">
        <v>53</v>
      </c>
      <c r="H11" s="15"/>
      <c r="I11" s="11"/>
    </row>
    <row r="12" spans="2:9" ht="15.75">
      <c r="B12" s="12"/>
      <c r="C12"/>
      <c r="D12" s="16">
        <v>2028</v>
      </c>
      <c r="E12" s="17">
        <f>'P5_ANEXO 1 -2028 a 2037'!AD42</f>
        <v>316491.18</v>
      </c>
      <c r="F12" s="85"/>
      <c r="G12" s="18"/>
      <c r="H12" s="19"/>
      <c r="I12" s="11"/>
    </row>
    <row r="13" spans="2:9" ht="15.75">
      <c r="B13" s="12"/>
      <c r="C13"/>
      <c r="D13" s="16">
        <v>2029</v>
      </c>
      <c r="E13" s="17">
        <f>'P5_ANEXO 1 -2028 a 2037'!AD82</f>
        <v>360560.47</v>
      </c>
      <c r="F13" s="85"/>
      <c r="G13" s="18"/>
      <c r="H13" s="19"/>
      <c r="I13" s="11"/>
    </row>
    <row r="14" spans="2:9" ht="15.75">
      <c r="B14" s="12"/>
      <c r="C14"/>
      <c r="D14" s="16">
        <v>2030</v>
      </c>
      <c r="E14" s="17">
        <f>'P5_ANEXO 1 -2028 a 2037'!AD122</f>
        <v>133520.09</v>
      </c>
      <c r="F14" s="85"/>
      <c r="G14" s="18"/>
      <c r="H14" s="19"/>
      <c r="I14" s="11"/>
    </row>
    <row r="15" spans="2:9" ht="15.75">
      <c r="B15" s="12"/>
      <c r="C15"/>
      <c r="D15" s="16">
        <v>2031</v>
      </c>
      <c r="E15" s="17">
        <f>'P5_ANEXO 1 -2028 a 2037'!AD162</f>
        <v>168175.67</v>
      </c>
      <c r="F15" s="85"/>
      <c r="G15" s="18"/>
      <c r="H15" s="19"/>
      <c r="I15" s="11"/>
    </row>
    <row r="16" spans="2:9" ht="15.75">
      <c r="B16" s="12"/>
      <c r="C16"/>
      <c r="D16" s="16">
        <v>2032</v>
      </c>
      <c r="E16" s="17">
        <f>'P5_ANEXO 1 -2028 a 2037'!AD202</f>
        <v>201072.46</v>
      </c>
      <c r="F16" s="85"/>
      <c r="G16" s="18"/>
      <c r="H16" s="19"/>
      <c r="I16" s="11"/>
    </row>
    <row r="17" spans="2:14" ht="15.75">
      <c r="B17" s="12"/>
      <c r="C17"/>
      <c r="D17" s="16">
        <v>2033</v>
      </c>
      <c r="E17" s="17">
        <f>'P5_ANEXO 1 -2028 a 2037'!AD242</f>
        <v>198825.61</v>
      </c>
      <c r="F17" s="85"/>
      <c r="G17" s="18"/>
      <c r="H17" s="19"/>
      <c r="I17" s="11"/>
    </row>
    <row r="18" spans="2:14" ht="15.75">
      <c r="B18" s="12"/>
      <c r="C18"/>
      <c r="D18" s="16">
        <v>2034</v>
      </c>
      <c r="E18" s="17">
        <f>'P5_ANEXO 1 -2028 a 2037'!AD282</f>
        <v>201652.36</v>
      </c>
      <c r="F18" s="85"/>
      <c r="G18" s="18"/>
      <c r="H18" s="19"/>
      <c r="I18" s="11"/>
    </row>
    <row r="19" spans="2:14" ht="15.75">
      <c r="B19" s="12"/>
      <c r="C19"/>
      <c r="D19" s="16">
        <v>2035</v>
      </c>
      <c r="E19" s="17">
        <f>'P5_ANEXO 1 -2028 a 2037'!AD322</f>
        <v>205072.53</v>
      </c>
      <c r="F19" s="85"/>
      <c r="G19" s="18"/>
      <c r="H19" s="19"/>
      <c r="I19" s="11"/>
    </row>
    <row r="20" spans="2:14" ht="15.75">
      <c r="B20" s="12"/>
      <c r="C20"/>
      <c r="D20" s="16">
        <v>2036</v>
      </c>
      <c r="E20" s="17">
        <f>'P5_ANEXO 1 -2028 a 2037'!AD362</f>
        <v>207618.48</v>
      </c>
      <c r="F20" s="85"/>
      <c r="G20" s="18"/>
      <c r="H20" s="20"/>
      <c r="I20" s="11"/>
    </row>
    <row r="21" spans="2:14" ht="15.75">
      <c r="B21" s="12"/>
      <c r="C21"/>
      <c r="D21" s="16">
        <v>2037</v>
      </c>
      <c r="E21" s="17">
        <f>'P5_ANEXO 1 -2028 a 2037'!AD402</f>
        <v>286624.14</v>
      </c>
      <c r="F21" s="85"/>
      <c r="G21" s="18"/>
      <c r="H21" s="20"/>
      <c r="I21" s="11"/>
    </row>
    <row r="22" spans="2:14" ht="15.75">
      <c r="B22" s="12"/>
      <c r="C22"/>
      <c r="D22" s="21" t="s">
        <v>54</v>
      </c>
      <c r="E22" s="22">
        <f>SUM(E12:E21)</f>
        <v>2279612.9899999998</v>
      </c>
      <c r="I22" s="11"/>
    </row>
    <row r="23" spans="2:14" ht="15.75">
      <c r="B23" s="6"/>
      <c r="I23" s="11"/>
    </row>
    <row r="24" spans="2:14">
      <c r="B24" s="6"/>
      <c r="I24" s="8"/>
    </row>
    <row r="25" spans="2:14" ht="15.75">
      <c r="B25" s="6"/>
      <c r="C25" s="23" t="s">
        <v>55</v>
      </c>
      <c r="D25" s="24"/>
      <c r="I25" s="8"/>
      <c r="N25" s="25"/>
    </row>
    <row r="26" spans="2:14">
      <c r="B26" s="6"/>
      <c r="C26" s="26">
        <v>1</v>
      </c>
      <c r="D26" s="84" t="s">
        <v>88</v>
      </c>
      <c r="E26" s="84"/>
      <c r="F26" s="84"/>
      <c r="G26" s="84"/>
      <c r="H26" s="84"/>
      <c r="I26" s="8"/>
    </row>
    <row r="27" spans="2:14">
      <c r="B27" s="6"/>
      <c r="C27" s="26">
        <v>2</v>
      </c>
      <c r="D27" s="84" t="s">
        <v>89</v>
      </c>
      <c r="E27" s="84"/>
      <c r="F27" s="84"/>
      <c r="G27" s="84"/>
      <c r="H27" s="84"/>
      <c r="I27" s="8"/>
    </row>
    <row r="28" spans="2:14" ht="30.6" customHeight="1">
      <c r="B28" s="6"/>
      <c r="C28" s="26">
        <v>3</v>
      </c>
      <c r="D28" s="84" t="s">
        <v>58</v>
      </c>
      <c r="E28" s="84"/>
      <c r="F28" s="84"/>
      <c r="G28" s="84"/>
      <c r="H28" s="84"/>
      <c r="I28" s="8"/>
    </row>
    <row r="29" spans="2:14">
      <c r="B29" s="6"/>
      <c r="C29" s="26">
        <v>4</v>
      </c>
      <c r="D29" s="84" t="s">
        <v>59</v>
      </c>
      <c r="E29" s="84"/>
      <c r="F29" s="84"/>
      <c r="G29" s="84"/>
      <c r="H29" s="84"/>
      <c r="I29" s="8"/>
    </row>
    <row r="30" spans="2:14">
      <c r="B30" s="6"/>
      <c r="C30" s="26">
        <v>5</v>
      </c>
      <c r="D30" s="84" t="s">
        <v>90</v>
      </c>
      <c r="E30" s="84"/>
      <c r="F30" s="84"/>
      <c r="G30" s="84"/>
      <c r="H30" s="84"/>
      <c r="I30" s="8"/>
    </row>
    <row r="31" spans="2:14">
      <c r="B31" s="6"/>
      <c r="C31" s="20"/>
      <c r="D31" s="82"/>
      <c r="E31" s="82"/>
      <c r="F31" s="82"/>
      <c r="G31" s="82"/>
      <c r="H31" s="82"/>
      <c r="I31" s="8"/>
    </row>
    <row r="32" spans="2:14">
      <c r="B32" s="6"/>
      <c r="C32" s="83" t="s">
        <v>107</v>
      </c>
      <c r="D32" s="82"/>
      <c r="E32" s="82"/>
      <c r="F32" s="82"/>
      <c r="G32" s="82"/>
      <c r="H32" s="82"/>
      <c r="I32" s="8"/>
    </row>
    <row r="33" spans="2:9">
      <c r="B33" s="6"/>
      <c r="C33" s="83" t="s">
        <v>108</v>
      </c>
      <c r="D33" s="82"/>
      <c r="E33" s="82"/>
      <c r="F33" s="82"/>
      <c r="G33" s="82"/>
      <c r="H33" s="82"/>
      <c r="I33" s="8"/>
    </row>
    <row r="34" spans="2:9">
      <c r="B34" s="6"/>
      <c r="C34" s="1" t="s">
        <v>109</v>
      </c>
      <c r="D34" s="24"/>
      <c r="I34" s="8"/>
    </row>
    <row r="35" spans="2:9">
      <c r="B35" s="27"/>
      <c r="C35" s="28"/>
      <c r="D35" s="28"/>
      <c r="E35" s="28"/>
      <c r="F35" s="28"/>
      <c r="G35" s="28"/>
      <c r="H35" s="28"/>
      <c r="I35" s="29"/>
    </row>
  </sheetData>
  <mergeCells count="6">
    <mergeCell ref="D30:H30"/>
    <mergeCell ref="F12:F21"/>
    <mergeCell ref="D26:H26"/>
    <mergeCell ref="D27:H27"/>
    <mergeCell ref="D28:H28"/>
    <mergeCell ref="D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P1_ANEXO 1 -2027 a 2037</vt:lpstr>
      <vt:lpstr>P1_ANEXO_2 - 2027 al 2037</vt:lpstr>
      <vt:lpstr>P2_ANEXO 1 -2028 a 2032</vt:lpstr>
      <vt:lpstr>P2_ANEXO_2 - 2028 al 2037</vt:lpstr>
      <vt:lpstr>P3_ANEXO 1 -2033 a 2037</vt:lpstr>
      <vt:lpstr>P3_ANEXO_2 - 2033 al 2037</vt:lpstr>
      <vt:lpstr>P4_ANEXO 1 -2033 a 2037</vt:lpstr>
      <vt:lpstr>P4_ANEXO_2 - 2033 al 2037</vt:lpstr>
      <vt:lpstr>P5_ANEXO 1 -2028 a 2037</vt:lpstr>
      <vt:lpstr>P5_ANEXO_2 - 2028 al 2037</vt:lpstr>
      <vt:lpstr>'P1_ANEXO_2 - 2027 al 2037'!Área_de_impresión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Vergara Cortes</dc:creator>
  <cp:lastModifiedBy>Andres Vergara Cortes</cp:lastModifiedBy>
  <cp:lastPrinted>2025-06-09T01:04:00Z</cp:lastPrinted>
  <dcterms:created xsi:type="dcterms:W3CDTF">2024-08-27T20:16:00Z</dcterms:created>
  <dcterms:modified xsi:type="dcterms:W3CDTF">2026-07-03T18:55:43Z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B7543066B2B74D43AB43A5D96DDFFAE8_13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