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itoqueesp1-my.sharepoint.com/personal/dsolano_ruitoqueenergia_com/Documents/Mercado Mayorista - One Drive/10.SICEP-CONVOCATORIAS/Convocatorias 2026/CP-RTQC2026-003/Pliego de condiciones de consulta/"/>
    </mc:Choice>
  </mc:AlternateContent>
  <xr:revisionPtr revIDLastSave="1928" documentId="13_ncr:1_{11F35ADC-379E-4BD7-8991-7E8EB018DC3C}" xr6:coauthVersionLast="47" xr6:coauthVersionMax="47" xr10:uidLastSave="{9DEBEB66-1414-4DED-9EE4-2B20CE331F70}"/>
  <bookViews>
    <workbookView xWindow="-110" yWindow="-110" windowWidth="19420" windowHeight="10300" firstSheet="3" activeTab="5" xr2:uid="{117BC80B-6DD0-4D14-894B-3D9BEC6851BA}"/>
  </bookViews>
  <sheets>
    <sheet name="Producto 1 Curvo 26" sheetId="18" r:id="rId1"/>
    <sheet name="Anexo 2 Producto 1" sheetId="21" r:id="rId2"/>
    <sheet name="Producto 2 Curvo 27" sheetId="37" r:id="rId3"/>
    <sheet name="Anexo 2 Producto 2" sheetId="38" r:id="rId4"/>
    <sheet name="Producto 3 Plano 27" sheetId="45" r:id="rId5"/>
    <sheet name="Anexo 2 Producto 3" sheetId="46" r:id="rId6"/>
  </sheets>
  <definedNames>
    <definedName name="_xlnm._FilterDatabase" localSheetId="0" hidden="1">'Producto 1 Curvo 26'!$B$2:$B$5</definedName>
    <definedName name="_xlnm._FilterDatabase" localSheetId="2" hidden="1">'Producto 2 Curvo 27'!$B$2:$B$5</definedName>
    <definedName name="_xlnm._FilterDatabase" localSheetId="4" hidden="1">'Producto 3 Plano 27'!$B$2:$B$5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46" l="1"/>
  <c r="B11" i="46" s="1"/>
  <c r="B12" i="46" s="1"/>
  <c r="B13" i="46" s="1"/>
  <c r="B14" i="46" s="1"/>
  <c r="B15" i="46" s="1"/>
  <c r="AE17" i="45"/>
  <c r="AE16" i="45"/>
  <c r="AE15" i="45"/>
  <c r="AE14" i="45"/>
  <c r="AE13" i="45"/>
  <c r="B12" i="38"/>
  <c r="B13" i="38" s="1"/>
  <c r="B14" i="38" s="1"/>
  <c r="B15" i="38" s="1"/>
  <c r="B16" i="38" s="1"/>
  <c r="B17" i="38" s="1"/>
  <c r="AE16" i="37" l="1"/>
  <c r="AE15" i="37"/>
  <c r="AB21" i="37"/>
  <c r="AB20" i="37"/>
  <c r="AB19" i="37"/>
  <c r="AB18" i="37"/>
  <c r="AD18" i="37" s="1"/>
  <c r="AE9" i="37" s="1"/>
  <c r="D14" i="38" s="1"/>
  <c r="F14" i="38" s="1"/>
  <c r="AB15" i="37"/>
  <c r="AB14" i="37"/>
  <c r="AB13" i="37"/>
  <c r="AE14" i="37"/>
  <c r="AE13" i="37"/>
  <c r="AB10" i="37"/>
  <c r="AB17" i="37"/>
  <c r="AB16" i="37"/>
  <c r="AB11" i="37"/>
  <c r="AE17" i="37"/>
  <c r="AD14" i="37"/>
  <c r="AE8" i="37" s="1"/>
  <c r="D13" i="38" s="1"/>
  <c r="F13" i="38" s="1"/>
  <c r="AB12" i="37" l="1"/>
  <c r="AD10" i="37"/>
  <c r="AE7" i="37" s="1"/>
  <c r="D12" i="38" s="1"/>
  <c r="F12" i="38" s="1"/>
  <c r="AB6" i="37"/>
  <c r="AB7" i="37"/>
  <c r="AB8" i="37"/>
  <c r="AB9" i="37"/>
  <c r="AD6" i="37" l="1"/>
  <c r="AB9" i="18"/>
  <c r="AB8" i="18"/>
  <c r="AB7" i="18"/>
  <c r="AB6" i="18"/>
  <c r="AE6" i="37" l="1"/>
  <c r="D11" i="38" s="1"/>
  <c r="F11" i="38" s="1"/>
  <c r="AD6" i="18"/>
  <c r="D11" i="21" s="1"/>
  <c r="AD10" i="18" l="1"/>
  <c r="D12" i="21" l="1"/>
  <c r="I12" i="21" s="1"/>
  <c r="F11" i="21"/>
  <c r="H11" i="21"/>
  <c r="I11" i="21" s="1"/>
  <c r="AB33" i="37" l="1"/>
  <c r="AB32" i="37"/>
  <c r="AB31" i="37"/>
  <c r="AB30" i="37"/>
  <c r="AD30" i="37" s="1"/>
  <c r="AE12" i="37" s="1"/>
  <c r="D17" i="38" s="1"/>
  <c r="F17" i="38" s="1"/>
  <c r="AB29" i="37"/>
  <c r="AB28" i="37"/>
  <c r="AB27" i="37"/>
  <c r="AB24" i="37"/>
  <c r="AB23" i="37"/>
  <c r="AB22" i="37"/>
  <c r="AB26" i="37"/>
  <c r="AD26" i="37" s="1"/>
  <c r="AB25" i="37" l="1"/>
  <c r="AD22" i="37" s="1"/>
  <c r="AE10" i="37" s="1"/>
  <c r="D15" i="38" s="1"/>
  <c r="F15" i="38" s="1"/>
  <c r="AD34" i="37"/>
  <c r="AE11" i="37"/>
  <c r="D16" i="38" s="1"/>
  <c r="F16" i="38" l="1"/>
  <c r="F18" i="38" s="1"/>
  <c r="D18" i="38"/>
  <c r="AB33" i="45" l="1"/>
  <c r="AB32" i="45"/>
  <c r="AB31" i="45"/>
  <c r="AB6" i="45"/>
  <c r="AB7" i="45" l="1"/>
  <c r="AB21" i="45"/>
  <c r="AB20" i="45"/>
  <c r="AB19" i="45"/>
  <c r="AB17" i="45"/>
  <c r="AB15" i="45"/>
  <c r="AB18" i="45"/>
  <c r="AB16" i="45"/>
  <c r="AB14" i="45"/>
  <c r="AB13" i="45"/>
  <c r="AB12" i="45"/>
  <c r="AB11" i="45"/>
  <c r="AB9" i="45"/>
  <c r="AB10" i="45"/>
  <c r="AB8" i="45"/>
  <c r="AB25" i="45" l="1"/>
  <c r="AB28" i="45"/>
  <c r="AB24" i="45"/>
  <c r="AD6" i="45"/>
  <c r="AE6" i="45" s="1"/>
  <c r="D9" i="46" s="1"/>
  <c r="F9" i="46" s="1"/>
  <c r="AB22" i="45"/>
  <c r="AB23" i="45"/>
  <c r="AD14" i="45"/>
  <c r="AE8" i="45" s="1"/>
  <c r="D11" i="46" s="1"/>
  <c r="F11" i="46" s="1"/>
  <c r="AB30" i="45"/>
  <c r="AD30" i="45" s="1"/>
  <c r="AE12" i="45" s="1"/>
  <c r="D15" i="46" s="1"/>
  <c r="F15" i="46" s="1"/>
  <c r="AD18" i="45"/>
  <c r="AE9" i="45" s="1"/>
  <c r="D12" i="46" s="1"/>
  <c r="F12" i="46" s="1"/>
  <c r="AD10" i="45"/>
  <c r="AB29" i="45"/>
  <c r="AB27" i="45"/>
  <c r="AB26" i="45"/>
  <c r="AD26" i="45" l="1"/>
  <c r="AE11" i="45" s="1"/>
  <c r="D14" i="46" s="1"/>
  <c r="F14" i="46" s="1"/>
  <c r="AD22" i="45"/>
  <c r="AE7" i="45"/>
  <c r="D10" i="46" s="1"/>
  <c r="F10" i="46" s="1"/>
  <c r="AE10" i="45" l="1"/>
  <c r="D13" i="46" s="1"/>
  <c r="AD34" i="45"/>
  <c r="F13" i="46" l="1"/>
  <c r="D16" i="46"/>
</calcChain>
</file>

<file path=xl/sharedStrings.xml><?xml version="1.0" encoding="utf-8"?>
<sst xmlns="http://schemas.openxmlformats.org/spreadsheetml/2006/main" count="140" uniqueCount="42">
  <si>
    <t>ANEXO 1 - CANTIDADES DE  ENERGÍA SOLICITADA EN kWh</t>
  </si>
  <si>
    <t>DIA</t>
  </si>
  <si>
    <t>Total</t>
  </si>
  <si>
    <t>No. DÍAS</t>
  </si>
  <si>
    <t>domingo</t>
  </si>
  <si>
    <t>Hábil</t>
  </si>
  <si>
    <t>Sábado</t>
  </si>
  <si>
    <t>Domingo</t>
  </si>
  <si>
    <t>Festivo</t>
  </si>
  <si>
    <t>NOMBRE DEL OFERENTE</t>
  </si>
  <si>
    <t xml:space="preserve"> PRECIOS Y CANTIDADES DE ENERGIA OFERTADA</t>
  </si>
  <si>
    <t>PRODUCTO  1</t>
  </si>
  <si>
    <t>AÑO</t>
  </si>
  <si>
    <t>MES</t>
  </si>
  <si>
    <t>E. Solicitada
[kWh]</t>
  </si>
  <si>
    <t>% E. Ofertado</t>
  </si>
  <si>
    <t>E. Ofertada
[kWh]</t>
  </si>
  <si>
    <t>$/kWh</t>
  </si>
  <si>
    <t>Junio</t>
  </si>
  <si>
    <t>Julio</t>
  </si>
  <si>
    <t>Diciembre</t>
  </si>
  <si>
    <t>Enero</t>
  </si>
  <si>
    <t>Febrero</t>
  </si>
  <si>
    <t>Marzo</t>
  </si>
  <si>
    <t>Abril</t>
  </si>
  <si>
    <t>Mayo</t>
  </si>
  <si>
    <t>E. Solicitada = Energía solicitada por RUITOQUE para el producto.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</si>
  <si>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</si>
  <si>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</si>
  <si>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mes.</t>
  </si>
  <si>
    <t>PRODUCTO 1</t>
  </si>
  <si>
    <t>Total Producto 1</t>
  </si>
  <si>
    <t>ANEXO 2 - OFERTA PRODUCTO 1</t>
  </si>
  <si>
    <t>PERIODO 2026</t>
  </si>
  <si>
    <t>PRODUCTO 2</t>
  </si>
  <si>
    <t>ANEXO 2 - OFERTA PRODUCTO 2</t>
  </si>
  <si>
    <t>PRODUCTO 3</t>
  </si>
  <si>
    <t>ANEXO 2 - OFERTA PRODUCTO 3</t>
  </si>
  <si>
    <t>Total Producto 2</t>
  </si>
  <si>
    <t>PERIODO 17 DE DICIEMBRE DEL 2026 A DICIEMBRE 31 DE 2026</t>
  </si>
  <si>
    <t>EN PESOS DE DICIEMBRE 2026</t>
  </si>
  <si>
    <t>PERIODO  01 DE ENERO DEL 2027 A JULIO 31 DE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</si>
</sst>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_-* #,##0.00_-;\-* #,##0.00_-;_-* &quot;-&quot;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DIN-Regular"/>
      <family val="2"/>
    </font>
    <font>
      <b/>
      <sz val="10"/>
      <color theme="0"/>
      <name val="DIN-Regular"/>
    </font>
    <font>
      <sz val="10"/>
      <name val="DIN-Regular"/>
      <family val="2"/>
    </font>
    <font>
      <b/>
      <sz val="10"/>
      <color theme="1"/>
      <name val="DIN-Regula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DIN-Regular"/>
    </font>
    <font>
      <sz val="10"/>
      <name val="DIN-Regula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3">
    <xf numFmtId="0" fontId="0" fillId="0" borderId="0" xfId="0"/>
    <xf numFmtId="41" fontId="0" fillId="0" borderId="1" xfId="1" applyFont="1" applyBorder="1"/>
    <xf numFmtId="41" fontId="0" fillId="0" borderId="4" xfId="1" applyFont="1" applyBorder="1"/>
    <xf numFmtId="41" fontId="0" fillId="0" borderId="11" xfId="1" applyFont="1" applyBorder="1"/>
    <xf numFmtId="41" fontId="0" fillId="0" borderId="3" xfId="1" applyFont="1" applyBorder="1"/>
    <xf numFmtId="41" fontId="0" fillId="0" borderId="7" xfId="1" applyFont="1" applyBorder="1"/>
    <xf numFmtId="41" fontId="0" fillId="0" borderId="10" xfId="1" applyFont="1" applyBorder="1"/>
    <xf numFmtId="3" fontId="2" fillId="0" borderId="13" xfId="0" applyNumberFormat="1" applyFont="1" applyBorder="1"/>
    <xf numFmtId="0" fontId="0" fillId="8" borderId="0" xfId="0" applyFill="1"/>
    <xf numFmtId="0" fontId="5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1" fontId="7" fillId="0" borderId="33" xfId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41" fontId="2" fillId="0" borderId="28" xfId="1" applyFont="1" applyBorder="1"/>
    <xf numFmtId="165" fontId="0" fillId="8" borderId="0" xfId="9" applyNumberFormat="1" applyFont="1" applyFill="1"/>
    <xf numFmtId="0" fontId="9" fillId="0" borderId="0" xfId="0" applyFont="1"/>
    <xf numFmtId="3" fontId="9" fillId="0" borderId="0" xfId="0" applyNumberFormat="1" applyFont="1"/>
    <xf numFmtId="165" fontId="9" fillId="0" borderId="0" xfId="9" applyNumberFormat="1" applyFont="1"/>
    <xf numFmtId="0" fontId="9" fillId="8" borderId="0" xfId="0" applyFont="1" applyFill="1"/>
    <xf numFmtId="165" fontId="9" fillId="8" borderId="0" xfId="9" applyNumberFormat="1" applyFont="1" applyFill="1"/>
    <xf numFmtId="41" fontId="0" fillId="8" borderId="0" xfId="0" applyNumberFormat="1" applyFill="1"/>
    <xf numFmtId="41" fontId="9" fillId="0" borderId="0" xfId="0" applyNumberFormat="1" applyFont="1"/>
    <xf numFmtId="43" fontId="0" fillId="0" borderId="0" xfId="9" applyFont="1"/>
    <xf numFmtId="43" fontId="0" fillId="8" borderId="0" xfId="9" applyFont="1" applyFill="1"/>
    <xf numFmtId="4" fontId="10" fillId="2" borderId="14" xfId="0" applyNumberFormat="1" applyFont="1" applyFill="1" applyBorder="1" applyAlignment="1">
      <alignment horizontal="center" vertical="center"/>
    </xf>
    <xf numFmtId="4" fontId="10" fillId="2" borderId="15" xfId="0" applyNumberFormat="1" applyFont="1" applyFill="1" applyBorder="1" applyAlignment="1">
      <alignment horizontal="center" vertical="center"/>
    </xf>
    <xf numFmtId="3" fontId="10" fillId="3" borderId="15" xfId="0" applyNumberFormat="1" applyFont="1" applyFill="1" applyBorder="1" applyAlignment="1">
      <alignment horizontal="center" vertical="center"/>
    </xf>
    <xf numFmtId="3" fontId="11" fillId="4" borderId="15" xfId="0" applyNumberFormat="1" applyFont="1" applyFill="1" applyBorder="1" applyAlignment="1">
      <alignment horizontal="center" vertical="center"/>
    </xf>
    <xf numFmtId="3" fontId="11" fillId="5" borderId="15" xfId="0" applyNumberFormat="1" applyFont="1" applyFill="1" applyBorder="1" applyAlignment="1">
      <alignment horizontal="center" vertical="center"/>
    </xf>
    <xf numFmtId="3" fontId="10" fillId="3" borderId="36" xfId="0" applyNumberFormat="1" applyFont="1" applyFill="1" applyBorder="1" applyAlignment="1">
      <alignment horizontal="center" vertical="center"/>
    </xf>
    <xf numFmtId="3" fontId="10" fillId="6" borderId="14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7" fontId="10" fillId="0" borderId="11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1" fontId="14" fillId="0" borderId="35" xfId="1" applyFont="1" applyBorder="1" applyAlignment="1">
      <alignment horizontal="center" vertical="center"/>
    </xf>
    <xf numFmtId="43" fontId="14" fillId="0" borderId="4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0" borderId="32" xfId="1" applyFont="1" applyBorder="1" applyAlignment="1">
      <alignment horizontal="center" vertical="center"/>
    </xf>
    <xf numFmtId="43" fontId="14" fillId="0" borderId="1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" fontId="0" fillId="8" borderId="0" xfId="0" applyNumberFormat="1" applyFill="1"/>
    <xf numFmtId="3" fontId="0" fillId="8" borderId="0" xfId="0" applyNumberFormat="1" applyFill="1"/>
    <xf numFmtId="9" fontId="0" fillId="8" borderId="0" xfId="8" applyFont="1" applyFill="1"/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1" fontId="14" fillId="0" borderId="33" xfId="1" applyFont="1" applyBorder="1" applyAlignment="1">
      <alignment horizontal="center" vertical="center"/>
    </xf>
    <xf numFmtId="43" fontId="14" fillId="0" borderId="11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9" fontId="0" fillId="8" borderId="0" xfId="0" applyNumberFormat="1" applyFill="1"/>
    <xf numFmtId="43" fontId="7" fillId="0" borderId="34" xfId="9" applyFont="1" applyBorder="1" applyAlignment="1">
      <alignment horizontal="center" vertical="center"/>
    </xf>
    <xf numFmtId="41" fontId="0" fillId="0" borderId="0" xfId="0" applyNumberFormat="1"/>
    <xf numFmtId="3" fontId="2" fillId="0" borderId="13" xfId="0" applyNumberFormat="1" applyFont="1" applyBorder="1" applyAlignment="1">
      <alignment horizontal="center"/>
    </xf>
    <xf numFmtId="166" fontId="0" fillId="0" borderId="0" xfId="0" applyNumberFormat="1"/>
    <xf numFmtId="9" fontId="8" fillId="10" borderId="28" xfId="8" applyFont="1" applyFill="1" applyBorder="1" applyAlignment="1">
      <alignment vertical="center"/>
    </xf>
    <xf numFmtId="17" fontId="10" fillId="0" borderId="2" xfId="0" applyNumberFormat="1" applyFont="1" applyBorder="1" applyAlignment="1">
      <alignment horizontal="center" vertical="center" wrapText="1"/>
    </xf>
    <xf numFmtId="17" fontId="10" fillId="0" borderId="6" xfId="0" applyNumberFormat="1" applyFont="1" applyBorder="1" applyAlignment="1">
      <alignment horizontal="center" vertical="center" wrapText="1"/>
    </xf>
    <xf numFmtId="17" fontId="10" fillId="0" borderId="9" xfId="0" applyNumberFormat="1" applyFont="1" applyBorder="1" applyAlignment="1">
      <alignment horizontal="center" vertical="center" wrapText="1"/>
    </xf>
    <xf numFmtId="3" fontId="10" fillId="7" borderId="5" xfId="0" applyNumberFormat="1" applyFont="1" applyFill="1" applyBorder="1" applyAlignment="1">
      <alignment horizontal="center" vertical="center"/>
    </xf>
    <xf numFmtId="3" fontId="10" fillId="7" borderId="8" xfId="0" applyNumberFormat="1" applyFont="1" applyFill="1" applyBorder="1" applyAlignment="1">
      <alignment horizontal="center" vertical="center"/>
    </xf>
    <xf numFmtId="3" fontId="10" fillId="7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5" fillId="0" borderId="21" xfId="0" applyNumberFormat="1" applyFont="1" applyBorder="1" applyAlignment="1">
      <alignment horizontal="center" vertical="center"/>
    </xf>
    <xf numFmtId="17" fontId="5" fillId="0" borderId="22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6" fillId="11" borderId="24" xfId="0" applyFont="1" applyFill="1" applyBorder="1" applyAlignment="1">
      <alignment horizontal="center" vertical="center"/>
    </xf>
    <xf numFmtId="0" fontId="6" fillId="11" borderId="25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7" fontId="13" fillId="0" borderId="21" xfId="0" applyNumberFormat="1" applyFont="1" applyBorder="1" applyAlignment="1">
      <alignment horizontal="center" vertical="center"/>
    </xf>
    <xf numFmtId="17" fontId="13" fillId="0" borderId="22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9" borderId="19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9" borderId="20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2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9" fontId="8" fillId="10" borderId="14" xfId="8" applyFont="1" applyFill="1" applyBorder="1" applyAlignment="1">
      <alignment horizontal="center" vertical="center"/>
    </xf>
    <xf numFmtId="9" fontId="8" fillId="10" borderId="37" xfId="8" applyFont="1" applyFill="1" applyBorder="1" applyAlignment="1">
      <alignment horizontal="center" vertical="center"/>
    </xf>
    <xf numFmtId="9" fontId="8" fillId="10" borderId="38" xfId="8" applyFont="1" applyFill="1" applyBorder="1" applyAlignment="1">
      <alignment horizontal="center" vertical="center"/>
    </xf>
    <xf numFmtId="9" fontId="8" fillId="10" borderId="14" xfId="8" applyFont="1" applyFill="1" applyBorder="1" applyAlignment="1">
      <alignment vertical="center"/>
    </xf>
    <xf numFmtId="9" fontId="8" fillId="10" borderId="37" xfId="8" applyFont="1" applyFill="1" applyBorder="1" applyAlignment="1">
      <alignment vertical="center"/>
    </xf>
    <xf numFmtId="9" fontId="8" fillId="10" borderId="38" xfId="8" applyFont="1" applyFill="1" applyBorder="1" applyAlignment="1">
      <alignment vertical="center"/>
    </xf>
    <xf numFmtId="165" fontId="14" fillId="0" borderId="4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11" xfId="0" applyNumberFormat="1" applyFont="1" applyBorder="1" applyAlignment="1">
      <alignment horizontal="center" vertical="center"/>
    </xf>
  </cellXfs>
  <cellStyles count="11">
    <cellStyle name="Millares" xfId="9" builtinId="3"/>
    <cellStyle name="Millares [0]" xfId="1" builtinId="6"/>
    <cellStyle name="Millares [0] 2" xfId="2" xr:uid="{93D7F860-1C75-4263-816A-682942E58CDA}"/>
    <cellStyle name="Millares [0] 7" xfId="6" xr:uid="{BE9FF9FF-1DFD-4DF0-A618-BAF44101473C}"/>
    <cellStyle name="Millares 2" xfId="4" xr:uid="{35D2CDD0-437D-4DCC-A7AB-A40A1DEC75AF}"/>
    <cellStyle name="Moneda 2" xfId="10" xr:uid="{2AA553C9-4FC6-45EB-AA21-F42F23335B5E}"/>
    <cellStyle name="Normal" xfId="0" builtinId="0"/>
    <cellStyle name="Normal 2" xfId="3" xr:uid="{A42F6DA4-C1E6-4FB1-818D-8A2216579E1C}"/>
    <cellStyle name="Normal 2 2" xfId="7" xr:uid="{3AD0BB55-2400-427C-878A-EDFD953A55F8}"/>
    <cellStyle name="Normal 8" xfId="5" xr:uid="{A206338F-67B4-40FF-B862-7F1FD294666E}"/>
    <cellStyle name="Porcentaje" xfId="8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8CCD243-25BF-BAFF-19FC-9E9D975E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3655" cy="6219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74082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8018342C-711A-4E02-BA0C-EF2134DAD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65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74082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6EF1EB1E-D0A7-4CE4-9C75-A624F08E0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328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2768-C87A-4B8F-8A46-5C28EF066F4A}">
  <dimension ref="B2:BH10"/>
  <sheetViews>
    <sheetView showGridLines="0" topLeftCell="C1" zoomScale="70" zoomScaleNormal="70" workbookViewId="0">
      <pane ySplit="5" topLeftCell="A6" activePane="bottomLeft" state="frozen"/>
      <selection activeCell="L45" sqref="L45"/>
      <selection pane="bottomLeft" activeCell="M16" sqref="M16"/>
    </sheetView>
  </sheetViews>
  <sheetFormatPr baseColWidth="10" defaultRowHeight="14.5"/>
  <cols>
    <col min="1" max="1" width="1.81640625" customWidth="1"/>
    <col min="2" max="2" width="10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19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>
      <c r="B2" s="73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3" spans="2:60">
      <c r="B3" s="73" t="s">
        <v>30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60" ht="15" thickBot="1">
      <c r="B4" s="74" t="s">
        <v>39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2:60" ht="25.5" customHeight="1" thickBot="1">
      <c r="B5" s="28"/>
      <c r="C5" s="29" t="s">
        <v>1</v>
      </c>
      <c r="D5" s="30">
        <v>1</v>
      </c>
      <c r="E5" s="30">
        <v>2</v>
      </c>
      <c r="F5" s="30">
        <v>3</v>
      </c>
      <c r="G5" s="30">
        <v>4</v>
      </c>
      <c r="H5" s="30">
        <v>5</v>
      </c>
      <c r="I5" s="30">
        <v>6</v>
      </c>
      <c r="J5" s="31">
        <v>7</v>
      </c>
      <c r="K5" s="31">
        <v>8</v>
      </c>
      <c r="L5" s="31">
        <v>9</v>
      </c>
      <c r="M5" s="31">
        <v>10</v>
      </c>
      <c r="N5" s="31">
        <v>11</v>
      </c>
      <c r="O5" s="31">
        <v>12</v>
      </c>
      <c r="P5" s="31">
        <v>13</v>
      </c>
      <c r="Q5" s="31">
        <v>14</v>
      </c>
      <c r="R5" s="31">
        <v>15</v>
      </c>
      <c r="S5" s="31">
        <v>16</v>
      </c>
      <c r="T5" s="31">
        <v>17</v>
      </c>
      <c r="U5" s="31">
        <v>18</v>
      </c>
      <c r="V5" s="32">
        <v>19</v>
      </c>
      <c r="W5" s="32">
        <v>20</v>
      </c>
      <c r="X5" s="32">
        <v>21</v>
      </c>
      <c r="Y5" s="30">
        <v>22</v>
      </c>
      <c r="Z5" s="30">
        <v>23</v>
      </c>
      <c r="AA5" s="33">
        <v>24</v>
      </c>
      <c r="AB5" s="34" t="s">
        <v>2</v>
      </c>
      <c r="AC5" s="35" t="s">
        <v>3</v>
      </c>
      <c r="AD5" s="36" t="s">
        <v>2</v>
      </c>
    </row>
    <row r="6" spans="2:60">
      <c r="B6" s="67">
        <v>46357</v>
      </c>
      <c r="C6" s="37" t="s">
        <v>5</v>
      </c>
      <c r="D6" s="2">
        <v>7544.62</v>
      </c>
      <c r="E6" s="2">
        <v>5596.86</v>
      </c>
      <c r="F6" s="2">
        <v>4545.3100000000004</v>
      </c>
      <c r="G6" s="2">
        <v>3638.53</v>
      </c>
      <c r="H6" s="2">
        <v>5747.3</v>
      </c>
      <c r="I6" s="2">
        <v>12681.99</v>
      </c>
      <c r="J6" s="2">
        <v>27001.49</v>
      </c>
      <c r="K6" s="2">
        <v>40694.800000000003</v>
      </c>
      <c r="L6" s="2">
        <v>44307.81</v>
      </c>
      <c r="M6" s="2">
        <v>45326.18</v>
      </c>
      <c r="N6" s="2">
        <v>46600.81</v>
      </c>
      <c r="O6" s="2">
        <v>45768.42</v>
      </c>
      <c r="P6" s="2">
        <v>44330.02</v>
      </c>
      <c r="Q6" s="2">
        <v>46719.14</v>
      </c>
      <c r="R6" s="2">
        <v>48812.01</v>
      </c>
      <c r="S6" s="2">
        <v>49328.160000000003</v>
      </c>
      <c r="T6" s="2">
        <v>47671.76</v>
      </c>
      <c r="U6" s="2">
        <v>41072.5</v>
      </c>
      <c r="V6" s="2">
        <v>38634.81</v>
      </c>
      <c r="W6" s="2">
        <v>35694.17</v>
      </c>
      <c r="X6" s="2">
        <v>32083.57</v>
      </c>
      <c r="Y6" s="2">
        <v>26954.57</v>
      </c>
      <c r="Z6" s="2">
        <v>20815.97</v>
      </c>
      <c r="AA6" s="4">
        <v>17300.22</v>
      </c>
      <c r="AB6" s="38">
        <f t="shared" ref="AB6:AB9" si="0">(SUM(D6:AA6))</f>
        <v>738871.0199999999</v>
      </c>
      <c r="AC6" s="38">
        <v>10</v>
      </c>
      <c r="AD6" s="70">
        <f>(AB6*AC6)+(AB7*AC7)+(AB8*AC8)+(AB9*AC9)</f>
        <v>8849115.1699999999</v>
      </c>
      <c r="AE6" s="20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</row>
    <row r="7" spans="2:60">
      <c r="B7" s="68"/>
      <c r="C7" s="39" t="s">
        <v>6</v>
      </c>
      <c r="D7" s="1">
        <v>13625.89</v>
      </c>
      <c r="E7" s="1">
        <v>11346.42</v>
      </c>
      <c r="F7" s="1">
        <v>9562.85</v>
      </c>
      <c r="G7" s="1">
        <v>8092.43</v>
      </c>
      <c r="H7" s="1">
        <v>9134.89</v>
      </c>
      <c r="I7" s="1">
        <v>11801.18</v>
      </c>
      <c r="J7" s="1">
        <v>21002.44</v>
      </c>
      <c r="K7" s="1">
        <v>29333.34</v>
      </c>
      <c r="L7" s="1">
        <v>32516.560000000001</v>
      </c>
      <c r="M7" s="1">
        <v>34405.49</v>
      </c>
      <c r="N7" s="1">
        <v>37379.910000000003</v>
      </c>
      <c r="O7" s="1">
        <v>34503.32</v>
      </c>
      <c r="P7" s="1">
        <v>29255.14</v>
      </c>
      <c r="Q7" s="1">
        <v>27623.59</v>
      </c>
      <c r="R7" s="1">
        <v>27503.89</v>
      </c>
      <c r="S7" s="1">
        <v>28658.7</v>
      </c>
      <c r="T7" s="1">
        <v>29305.25</v>
      </c>
      <c r="U7" s="1">
        <v>33657.29</v>
      </c>
      <c r="V7" s="1">
        <v>32908.199999999997</v>
      </c>
      <c r="W7" s="1">
        <v>30806.03</v>
      </c>
      <c r="X7" s="1">
        <v>25188.57</v>
      </c>
      <c r="Y7" s="1">
        <v>18995.38</v>
      </c>
      <c r="Z7" s="1">
        <v>13699.61</v>
      </c>
      <c r="AA7" s="5">
        <v>10716.04</v>
      </c>
      <c r="AB7" s="40">
        <f t="shared" si="0"/>
        <v>561022.41</v>
      </c>
      <c r="AC7" s="40">
        <v>2</v>
      </c>
      <c r="AD7" s="71"/>
      <c r="AE7" s="20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</row>
    <row r="8" spans="2:60">
      <c r="B8" s="68"/>
      <c r="C8" s="39" t="s">
        <v>7</v>
      </c>
      <c r="D8" s="1">
        <v>4517.54</v>
      </c>
      <c r="E8" s="1">
        <v>2539.5300000000002</v>
      </c>
      <c r="F8" s="1">
        <v>558.65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869.17</v>
      </c>
      <c r="O8" s="1">
        <v>1811.63</v>
      </c>
      <c r="P8" s="1">
        <v>1865.16</v>
      </c>
      <c r="Q8" s="1">
        <v>2174.56</v>
      </c>
      <c r="R8" s="1">
        <v>2125.4899999999998</v>
      </c>
      <c r="S8" s="1">
        <v>5703.51</v>
      </c>
      <c r="T8" s="1">
        <v>7500.07</v>
      </c>
      <c r="U8" s="1">
        <v>13363.71</v>
      </c>
      <c r="V8" s="1">
        <v>14363.03</v>
      </c>
      <c r="W8" s="1">
        <v>13368.92</v>
      </c>
      <c r="X8" s="1">
        <v>11015.23</v>
      </c>
      <c r="Y8" s="1">
        <v>6962.63</v>
      </c>
      <c r="Z8" s="1">
        <v>4091.3</v>
      </c>
      <c r="AA8" s="5">
        <v>1642.79</v>
      </c>
      <c r="AB8" s="40">
        <f t="shared" si="0"/>
        <v>94472.92</v>
      </c>
      <c r="AC8" s="40">
        <v>2</v>
      </c>
      <c r="AD8" s="71"/>
      <c r="AE8" s="20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</row>
    <row r="9" spans="2:60" ht="15" thickBot="1">
      <c r="B9" s="69"/>
      <c r="C9" s="41" t="s">
        <v>8</v>
      </c>
      <c r="D9" s="3">
        <v>2095.2399999999998</v>
      </c>
      <c r="E9" s="3">
        <v>53.24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1501.57</v>
      </c>
      <c r="N9" s="3">
        <v>4135.41</v>
      </c>
      <c r="O9" s="3">
        <v>6109.6</v>
      </c>
      <c r="P9" s="3">
        <v>4953.13</v>
      </c>
      <c r="Q9" s="3">
        <v>5382.92</v>
      </c>
      <c r="R9" s="3">
        <v>5954.92</v>
      </c>
      <c r="S9" s="3">
        <v>8879.92</v>
      </c>
      <c r="T9" s="3">
        <v>11027.2</v>
      </c>
      <c r="U9" s="3">
        <v>19693.919999999998</v>
      </c>
      <c r="V9" s="3">
        <v>22158.48</v>
      </c>
      <c r="W9" s="3">
        <v>19195.080000000002</v>
      </c>
      <c r="X9" s="3">
        <v>15987.88</v>
      </c>
      <c r="Y9" s="3">
        <v>10870</v>
      </c>
      <c r="Z9" s="3">
        <v>7260.92</v>
      </c>
      <c r="AA9" s="6">
        <v>4154.88</v>
      </c>
      <c r="AB9" s="42">
        <f t="shared" si="0"/>
        <v>149414.31000000003</v>
      </c>
      <c r="AC9" s="42">
        <v>1</v>
      </c>
      <c r="AD9" s="72"/>
      <c r="AE9" s="20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</row>
    <row r="10" spans="2:60" ht="15" thickBot="1">
      <c r="AD10" s="7">
        <f>SUM(AD6:AD9)</f>
        <v>8849115.1699999999</v>
      </c>
    </row>
  </sheetData>
  <mergeCells count="5">
    <mergeCell ref="B6:B9"/>
    <mergeCell ref="AD6:AD9"/>
    <mergeCell ref="B2:AB2"/>
    <mergeCell ref="B3:AB3"/>
    <mergeCell ref="B4:AB4"/>
  </mergeCells>
  <phoneticPr fontId="3" type="noConversion"/>
  <conditionalFormatting sqref="D6:AA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F29-3962-48C6-91B0-432C77D06C94}">
  <dimension ref="B3:I19"/>
  <sheetViews>
    <sheetView showGridLines="0" zoomScale="90" zoomScaleNormal="90" workbookViewId="0">
      <selection activeCell="H10" sqref="H10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2.7265625" style="8" bestFit="1" customWidth="1"/>
    <col min="7" max="7" width="11.453125" style="8"/>
    <col min="8" max="8" width="14.1796875" style="21" bestFit="1" customWidth="1"/>
    <col min="9" max="9" width="11.453125" style="22"/>
    <col min="10" max="16384" width="11.453125" style="8"/>
  </cols>
  <sheetData>
    <row r="3" spans="2:9" ht="15" thickBot="1"/>
    <row r="4" spans="2:9">
      <c r="B4" s="77" t="s">
        <v>32</v>
      </c>
      <c r="C4" s="78"/>
      <c r="D4" s="78"/>
      <c r="E4" s="78"/>
      <c r="F4" s="78"/>
      <c r="G4" s="79"/>
    </row>
    <row r="5" spans="2:9">
      <c r="B5" s="80" t="s">
        <v>9</v>
      </c>
      <c r="C5" s="81"/>
      <c r="D5" s="81"/>
      <c r="E5" s="81"/>
      <c r="F5" s="81"/>
      <c r="G5" s="82"/>
    </row>
    <row r="6" spans="2:9">
      <c r="B6" s="83" t="s">
        <v>10</v>
      </c>
      <c r="C6" s="84"/>
      <c r="D6" s="84"/>
      <c r="E6" s="84"/>
      <c r="F6" s="84"/>
      <c r="G6" s="85"/>
    </row>
    <row r="7" spans="2:9" ht="15" thickBot="1">
      <c r="B7" s="86" t="s">
        <v>40</v>
      </c>
      <c r="C7" s="87"/>
      <c r="D7" s="87"/>
      <c r="E7" s="87"/>
      <c r="F7" s="87"/>
      <c r="G7" s="88"/>
    </row>
    <row r="8" spans="2:9" ht="15" thickBot="1">
      <c r="B8" s="89" t="s">
        <v>11</v>
      </c>
      <c r="C8" s="90"/>
      <c r="D8" s="90"/>
      <c r="E8" s="90"/>
      <c r="F8" s="90"/>
      <c r="G8" s="91"/>
    </row>
    <row r="9" spans="2:9" ht="15.75" customHeight="1" thickBot="1">
      <c r="B9" s="92" t="s">
        <v>12</v>
      </c>
      <c r="C9" s="92" t="s">
        <v>13</v>
      </c>
      <c r="D9" s="95" t="s">
        <v>33</v>
      </c>
      <c r="E9" s="95"/>
      <c r="F9" s="95"/>
      <c r="G9" s="96"/>
    </row>
    <row r="10" spans="2:9" ht="26.5" thickBot="1">
      <c r="B10" s="93"/>
      <c r="C10" s="94"/>
      <c r="D10" s="9" t="s">
        <v>14</v>
      </c>
      <c r="E10" s="11" t="s">
        <v>15</v>
      </c>
      <c r="F10" s="10" t="s">
        <v>16</v>
      </c>
      <c r="G10" s="12" t="s">
        <v>17</v>
      </c>
    </row>
    <row r="11" spans="2:9" ht="15" thickBot="1">
      <c r="B11" s="13">
        <v>2026</v>
      </c>
      <c r="C11" s="14" t="s">
        <v>20</v>
      </c>
      <c r="D11" s="15">
        <f>+'Producto 1 Curvo 26'!AD6</f>
        <v>8849115.1699999999</v>
      </c>
      <c r="E11" s="66"/>
      <c r="F11" s="62">
        <f t="shared" ref="F11" si="0">+E11*D11</f>
        <v>0</v>
      </c>
      <c r="G11" s="16"/>
      <c r="H11" s="21">
        <f>SUM(D11:D11)</f>
        <v>8849115.1699999999</v>
      </c>
      <c r="I11" s="23">
        <f>+H11/1000</f>
        <v>8849.1151699999991</v>
      </c>
    </row>
    <row r="12" spans="2:9" ht="15" thickBot="1">
      <c r="B12" s="75" t="s">
        <v>31</v>
      </c>
      <c r="C12" s="76"/>
      <c r="D12" s="17">
        <f>+SUM(D11:D11)</f>
        <v>8849115.1699999999</v>
      </c>
      <c r="I12" s="23">
        <f>+D12/1000</f>
        <v>8849.1151699999991</v>
      </c>
    </row>
    <row r="14" spans="2:9">
      <c r="B14" s="8" t="s">
        <v>26</v>
      </c>
    </row>
    <row r="15" spans="2:9">
      <c r="B15" s="8" t="s">
        <v>27</v>
      </c>
    </row>
    <row r="16" spans="2:9">
      <c r="B16" s="8" t="s">
        <v>28</v>
      </c>
    </row>
    <row r="17" spans="2:4">
      <c r="B17" s="8" t="s">
        <v>29</v>
      </c>
    </row>
    <row r="19" spans="2:4">
      <c r="D19" s="18"/>
    </row>
  </sheetData>
  <mergeCells count="9">
    <mergeCell ref="B12:C12"/>
    <mergeCell ref="B4:G4"/>
    <mergeCell ref="B5:G5"/>
    <mergeCell ref="B6:G6"/>
    <mergeCell ref="B7:G7"/>
    <mergeCell ref="B8:G8"/>
    <mergeCell ref="B9:B10"/>
    <mergeCell ref="C9:C10"/>
    <mergeCell ref="D9:G9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D0B5-67B4-4B23-A1BF-8696B3C53075}">
  <dimension ref="B2:AE37"/>
  <sheetViews>
    <sheetView showGridLines="0" topLeftCell="C1" zoomScale="68" zoomScaleNormal="68" workbookViewId="0">
      <selection activeCell="H32" sqref="H32"/>
    </sheetView>
  </sheetViews>
  <sheetFormatPr baseColWidth="10" defaultRowHeight="14.5"/>
  <cols>
    <col min="1" max="1" width="1.81640625" customWidth="1"/>
    <col min="2" max="2" width="10" customWidth="1"/>
    <col min="3" max="3" width="8.81640625" bestFit="1" customWidth="1"/>
    <col min="4" max="4" width="10.54296875" bestFit="1" customWidth="1"/>
    <col min="5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19" customWidth="1"/>
    <col min="32" max="32" width="17.453125" bestFit="1" customWidth="1"/>
  </cols>
  <sheetData>
    <row r="2" spans="2:31">
      <c r="B2" s="73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3" spans="2:31">
      <c r="B3" s="73" t="s">
        <v>34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1" ht="15" thickBot="1">
      <c r="B4" s="74" t="s">
        <v>41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2:31" ht="25.5" customHeight="1" thickBot="1">
      <c r="B5" s="28"/>
      <c r="C5" s="29" t="s">
        <v>1</v>
      </c>
      <c r="D5" s="30">
        <v>1</v>
      </c>
      <c r="E5" s="30">
        <v>2</v>
      </c>
      <c r="F5" s="30">
        <v>3</v>
      </c>
      <c r="G5" s="30">
        <v>4</v>
      </c>
      <c r="H5" s="30">
        <v>5</v>
      </c>
      <c r="I5" s="30">
        <v>6</v>
      </c>
      <c r="J5" s="31">
        <v>7</v>
      </c>
      <c r="K5" s="31">
        <v>8</v>
      </c>
      <c r="L5" s="31">
        <v>9</v>
      </c>
      <c r="M5" s="31">
        <v>10</v>
      </c>
      <c r="N5" s="31">
        <v>11</v>
      </c>
      <c r="O5" s="31">
        <v>12</v>
      </c>
      <c r="P5" s="31">
        <v>13</v>
      </c>
      <c r="Q5" s="31">
        <v>14</v>
      </c>
      <c r="R5" s="31">
        <v>15</v>
      </c>
      <c r="S5" s="31">
        <v>16</v>
      </c>
      <c r="T5" s="31">
        <v>17</v>
      </c>
      <c r="U5" s="31">
        <v>18</v>
      </c>
      <c r="V5" s="32">
        <v>19</v>
      </c>
      <c r="W5" s="32">
        <v>20</v>
      </c>
      <c r="X5" s="32">
        <v>21</v>
      </c>
      <c r="Y5" s="30">
        <v>22</v>
      </c>
      <c r="Z5" s="30">
        <v>23</v>
      </c>
      <c r="AA5" s="33">
        <v>24</v>
      </c>
      <c r="AB5" s="34" t="s">
        <v>2</v>
      </c>
      <c r="AC5" s="35" t="s">
        <v>3</v>
      </c>
      <c r="AD5" s="36" t="s">
        <v>2</v>
      </c>
    </row>
    <row r="6" spans="2:31">
      <c r="B6" s="67">
        <v>46388</v>
      </c>
      <c r="C6" s="37" t="s">
        <v>5</v>
      </c>
      <c r="D6" s="2">
        <v>3541.29</v>
      </c>
      <c r="E6" s="2">
        <v>4801.88</v>
      </c>
      <c r="F6" s="2">
        <v>5503.88</v>
      </c>
      <c r="G6" s="2">
        <v>5620.22</v>
      </c>
      <c r="H6" s="2">
        <v>5636.51</v>
      </c>
      <c r="I6" s="2">
        <v>5738.64</v>
      </c>
      <c r="J6" s="2">
        <v>6230.82</v>
      </c>
      <c r="K6" s="2">
        <v>7996.82</v>
      </c>
      <c r="L6" s="2">
        <v>9750.9599999999991</v>
      </c>
      <c r="M6" s="2">
        <v>10935.59</v>
      </c>
      <c r="N6" s="2">
        <v>12716.67</v>
      </c>
      <c r="O6" s="2">
        <v>12788.68</v>
      </c>
      <c r="P6" s="2">
        <v>12936.5</v>
      </c>
      <c r="Q6" s="2">
        <v>12434.21</v>
      </c>
      <c r="R6" s="2">
        <v>10459.15</v>
      </c>
      <c r="S6" s="2">
        <v>7375.27</v>
      </c>
      <c r="T6" s="2">
        <v>3621.69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4">
        <v>0</v>
      </c>
      <c r="AB6" s="38">
        <f t="shared" ref="AB6:AB33" si="0">(SUM(D6:AA6))</f>
        <v>138088.77999999997</v>
      </c>
      <c r="AC6" s="38">
        <v>19</v>
      </c>
      <c r="AD6" s="70">
        <f>(AB6*AC6)+(AB7*AC7)+(AB8*AC8)+(AB9*AC9)</f>
        <v>4163559.7499999991</v>
      </c>
      <c r="AE6" s="20">
        <f>+AD6</f>
        <v>4163559.7499999991</v>
      </c>
    </row>
    <row r="7" spans="2:31">
      <c r="B7" s="68"/>
      <c r="C7" s="39" t="s">
        <v>6</v>
      </c>
      <c r="D7" s="1">
        <v>3125.2</v>
      </c>
      <c r="E7" s="1">
        <v>4389.2299999999996</v>
      </c>
      <c r="F7" s="1">
        <v>5139.5</v>
      </c>
      <c r="G7" s="1">
        <v>5237.2</v>
      </c>
      <c r="H7" s="1">
        <v>5234.08</v>
      </c>
      <c r="I7" s="1">
        <v>5342.64</v>
      </c>
      <c r="J7" s="1">
        <v>5788.37</v>
      </c>
      <c r="K7" s="1">
        <v>7412.8</v>
      </c>
      <c r="L7" s="1">
        <v>9221.17</v>
      </c>
      <c r="M7" s="1">
        <v>10314.74</v>
      </c>
      <c r="N7" s="1">
        <v>11989.73</v>
      </c>
      <c r="O7" s="1">
        <v>12119.71</v>
      </c>
      <c r="P7" s="1">
        <v>12263.37</v>
      </c>
      <c r="Q7" s="1">
        <v>11793.8</v>
      </c>
      <c r="R7" s="1">
        <v>9773.0300000000007</v>
      </c>
      <c r="S7" s="1">
        <v>6671.94</v>
      </c>
      <c r="T7" s="1">
        <v>2913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5">
        <v>0</v>
      </c>
      <c r="AB7" s="40">
        <f t="shared" si="0"/>
        <v>128729.51</v>
      </c>
      <c r="AC7" s="40">
        <v>5</v>
      </c>
      <c r="AD7" s="71"/>
      <c r="AE7" s="20">
        <f>+AD10</f>
        <v>1184350.52</v>
      </c>
    </row>
    <row r="8" spans="2:31">
      <c r="B8" s="68"/>
      <c r="C8" s="39" t="s">
        <v>7</v>
      </c>
      <c r="D8" s="1">
        <v>3138.64</v>
      </c>
      <c r="E8" s="1">
        <v>4434.4399999999996</v>
      </c>
      <c r="F8" s="1">
        <v>4999.5600000000004</v>
      </c>
      <c r="G8" s="1">
        <v>5136.92</v>
      </c>
      <c r="H8" s="1">
        <v>5146.5600000000004</v>
      </c>
      <c r="I8" s="1">
        <v>5305.79</v>
      </c>
      <c r="J8" s="1">
        <v>5710.1</v>
      </c>
      <c r="K8" s="1">
        <v>7314.7</v>
      </c>
      <c r="L8" s="1">
        <v>9078.8700000000008</v>
      </c>
      <c r="M8" s="1">
        <v>10176.93</v>
      </c>
      <c r="N8" s="1">
        <v>11985.21</v>
      </c>
      <c r="O8" s="1">
        <v>12056.9</v>
      </c>
      <c r="P8" s="1">
        <v>12158.63</v>
      </c>
      <c r="Q8" s="1">
        <v>11777.41</v>
      </c>
      <c r="R8" s="1">
        <v>9812.42</v>
      </c>
      <c r="S8" s="1">
        <v>6736.66</v>
      </c>
      <c r="T8" s="1">
        <v>2858.58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5">
        <v>0</v>
      </c>
      <c r="AB8" s="40">
        <f t="shared" si="0"/>
        <v>127828.32</v>
      </c>
      <c r="AC8" s="40">
        <v>5</v>
      </c>
      <c r="AD8" s="71"/>
      <c r="AE8" s="20">
        <f>+AD14</f>
        <v>4194387.5</v>
      </c>
    </row>
    <row r="9" spans="2:31" ht="15" thickBot="1">
      <c r="B9" s="69"/>
      <c r="C9" s="41" t="s">
        <v>8</v>
      </c>
      <c r="D9" s="3">
        <v>3423.6</v>
      </c>
      <c r="E9" s="3">
        <v>4690.6000000000004</v>
      </c>
      <c r="F9" s="3">
        <v>5216.83</v>
      </c>
      <c r="G9" s="3">
        <v>5307.15</v>
      </c>
      <c r="H9" s="3">
        <v>5312.4</v>
      </c>
      <c r="I9" s="3">
        <v>5353.38</v>
      </c>
      <c r="J9" s="3">
        <v>5675.81</v>
      </c>
      <c r="K9" s="3">
        <v>7389.01</v>
      </c>
      <c r="L9" s="3">
        <v>9067.18</v>
      </c>
      <c r="M9" s="3">
        <v>10194.049999999999</v>
      </c>
      <c r="N9" s="3">
        <v>11854.93</v>
      </c>
      <c r="O9" s="3">
        <v>11965.57</v>
      </c>
      <c r="P9" s="3">
        <v>12094.37</v>
      </c>
      <c r="Q9" s="3">
        <v>11647.17</v>
      </c>
      <c r="R9" s="3">
        <v>9721.06</v>
      </c>
      <c r="S9" s="3">
        <v>6673.24</v>
      </c>
      <c r="T9" s="3">
        <v>2955.54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6">
        <v>0</v>
      </c>
      <c r="AB9" s="42">
        <f t="shared" si="0"/>
        <v>128541.89</v>
      </c>
      <c r="AC9" s="42">
        <v>2</v>
      </c>
      <c r="AD9" s="72"/>
      <c r="AE9" s="20">
        <f>+AD18</f>
        <v>4500001.8999999994</v>
      </c>
    </row>
    <row r="10" spans="2:31">
      <c r="B10" s="67">
        <v>46419</v>
      </c>
      <c r="C10" s="37" t="s">
        <v>5</v>
      </c>
      <c r="D10" s="2">
        <v>0</v>
      </c>
      <c r="E10" s="2">
        <v>7.25</v>
      </c>
      <c r="F10" s="2">
        <v>571.01</v>
      </c>
      <c r="G10" s="2">
        <v>846.93</v>
      </c>
      <c r="H10" s="2">
        <v>944.47</v>
      </c>
      <c r="I10" s="2">
        <v>1000.76</v>
      </c>
      <c r="J10" s="2">
        <v>1378.47</v>
      </c>
      <c r="K10" s="2">
        <v>2318.9299999999998</v>
      </c>
      <c r="L10" s="2">
        <v>3489.87</v>
      </c>
      <c r="M10" s="2">
        <v>4371.49</v>
      </c>
      <c r="N10" s="2">
        <v>5389.13</v>
      </c>
      <c r="O10" s="2">
        <v>5695.36</v>
      </c>
      <c r="P10" s="2">
        <v>5776.79</v>
      </c>
      <c r="Q10" s="2">
        <v>5265.46</v>
      </c>
      <c r="R10" s="2">
        <v>4113.01</v>
      </c>
      <c r="S10" s="2">
        <v>2152.2600000000002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4">
        <v>0</v>
      </c>
      <c r="AB10" s="38">
        <f t="shared" si="0"/>
        <v>43321.19</v>
      </c>
      <c r="AC10" s="38">
        <v>20</v>
      </c>
      <c r="AD10" s="70">
        <f>(AB10*AC10)+(AB11*AC11)+(AB12*AC12)+(AB13*AC13)</f>
        <v>1184350.52</v>
      </c>
      <c r="AE10" s="20">
        <f>+AD22</f>
        <v>5458424.1300000008</v>
      </c>
    </row>
    <row r="11" spans="2:31">
      <c r="B11" s="68"/>
      <c r="C11" s="39" t="s">
        <v>6</v>
      </c>
      <c r="D11" s="1">
        <v>0</v>
      </c>
      <c r="E11" s="1">
        <v>0</v>
      </c>
      <c r="F11" s="1">
        <v>389.42</v>
      </c>
      <c r="G11" s="1">
        <v>668.71</v>
      </c>
      <c r="H11" s="1">
        <v>756.04</v>
      </c>
      <c r="I11" s="1">
        <v>851.98</v>
      </c>
      <c r="J11" s="1">
        <v>1204.6500000000001</v>
      </c>
      <c r="K11" s="1">
        <v>2097.77</v>
      </c>
      <c r="L11" s="1">
        <v>3295.83</v>
      </c>
      <c r="M11" s="1">
        <v>4115.96</v>
      </c>
      <c r="N11" s="1">
        <v>5094.6400000000003</v>
      </c>
      <c r="O11" s="1">
        <v>5425.82</v>
      </c>
      <c r="P11" s="1">
        <v>5510.88</v>
      </c>
      <c r="Q11" s="1">
        <v>5005.7700000000004</v>
      </c>
      <c r="R11" s="1">
        <v>3805.14</v>
      </c>
      <c r="S11" s="1">
        <v>1808.48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5">
        <v>0</v>
      </c>
      <c r="AB11" s="40">
        <f t="shared" si="0"/>
        <v>40031.090000000004</v>
      </c>
      <c r="AC11" s="40">
        <v>4</v>
      </c>
      <c r="AD11" s="71"/>
      <c r="AE11" s="20">
        <f>+AD26</f>
        <v>5127892.9700000007</v>
      </c>
    </row>
    <row r="12" spans="2:31">
      <c r="B12" s="68"/>
      <c r="C12" s="39" t="s">
        <v>7</v>
      </c>
      <c r="D12" s="1">
        <v>0</v>
      </c>
      <c r="E12" s="1">
        <v>0</v>
      </c>
      <c r="F12" s="1">
        <v>420.91</v>
      </c>
      <c r="G12" s="1">
        <v>654.85</v>
      </c>
      <c r="H12" s="1">
        <v>729.95</v>
      </c>
      <c r="I12" s="1">
        <v>827.51</v>
      </c>
      <c r="J12" s="1">
        <v>1111.46</v>
      </c>
      <c r="K12" s="1">
        <v>2011.45</v>
      </c>
      <c r="L12" s="1">
        <v>3185.8</v>
      </c>
      <c r="M12" s="1">
        <v>4020.23</v>
      </c>
      <c r="N12" s="1">
        <v>5050.8900000000003</v>
      </c>
      <c r="O12" s="1">
        <v>5371.16</v>
      </c>
      <c r="P12" s="1">
        <v>5429.79</v>
      </c>
      <c r="Q12" s="1">
        <v>4977.17</v>
      </c>
      <c r="R12" s="1">
        <v>3817.02</v>
      </c>
      <c r="S12" s="1">
        <v>1842.4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5">
        <v>0</v>
      </c>
      <c r="AB12" s="40">
        <f t="shared" si="0"/>
        <v>39450.589999999997</v>
      </c>
      <c r="AC12" s="40">
        <v>4</v>
      </c>
      <c r="AD12" s="71"/>
      <c r="AE12" s="20">
        <f>+AD30</f>
        <v>5589998.9200000009</v>
      </c>
    </row>
    <row r="13" spans="2:31" ht="15" thickBot="1">
      <c r="B13" s="69"/>
      <c r="C13" s="41" t="s">
        <v>8</v>
      </c>
      <c r="D13" s="3">
        <v>0</v>
      </c>
      <c r="E13" s="3">
        <v>300.54000000000002</v>
      </c>
      <c r="F13" s="3">
        <v>847.11</v>
      </c>
      <c r="G13" s="3">
        <v>1047.92</v>
      </c>
      <c r="H13" s="3">
        <v>1079.75</v>
      </c>
      <c r="I13" s="3">
        <v>1082.48</v>
      </c>
      <c r="J13" s="3">
        <v>1221.8800000000001</v>
      </c>
      <c r="K13" s="3">
        <v>2192.91</v>
      </c>
      <c r="L13" s="3">
        <v>3336.99</v>
      </c>
      <c r="M13" s="3">
        <v>4189.79</v>
      </c>
      <c r="N13" s="3">
        <v>5136.8</v>
      </c>
      <c r="O13" s="3">
        <v>5485.23</v>
      </c>
      <c r="P13" s="3">
        <v>5562.67</v>
      </c>
      <c r="Q13" s="3">
        <v>5080.93</v>
      </c>
      <c r="R13" s="3">
        <v>3927.98</v>
      </c>
      <c r="S13" s="3">
        <v>1964.24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6">
        <v>0</v>
      </c>
      <c r="AB13" s="42">
        <f t="shared" si="0"/>
        <v>42457.22</v>
      </c>
      <c r="AC13" s="42">
        <v>0</v>
      </c>
      <c r="AD13" s="72"/>
      <c r="AE13" s="20" t="e">
        <f>+#REF!</f>
        <v>#REF!</v>
      </c>
    </row>
    <row r="14" spans="2:31">
      <c r="B14" s="67">
        <v>46447</v>
      </c>
      <c r="C14" s="37" t="s">
        <v>5</v>
      </c>
      <c r="D14" s="2">
        <v>7519.71</v>
      </c>
      <c r="E14" s="2">
        <v>7425.43</v>
      </c>
      <c r="F14" s="2">
        <v>7286.85</v>
      </c>
      <c r="G14" s="2">
        <v>7218.04</v>
      </c>
      <c r="H14" s="2">
        <v>7212.43</v>
      </c>
      <c r="I14" s="2">
        <v>7176.85</v>
      </c>
      <c r="J14" s="2">
        <v>7211.07</v>
      </c>
      <c r="K14" s="2">
        <v>6812.32</v>
      </c>
      <c r="L14" s="2">
        <v>6360.13</v>
      </c>
      <c r="M14" s="2">
        <v>5837.87</v>
      </c>
      <c r="N14" s="2">
        <v>8153.6</v>
      </c>
      <c r="O14" s="2">
        <v>8875.7900000000009</v>
      </c>
      <c r="P14" s="2">
        <v>8984.75</v>
      </c>
      <c r="Q14" s="2">
        <v>7747.05</v>
      </c>
      <c r="R14" s="2">
        <v>5946.96</v>
      </c>
      <c r="S14" s="2">
        <v>6396.67</v>
      </c>
      <c r="T14" s="2">
        <v>7497.24</v>
      </c>
      <c r="U14" s="2">
        <v>1246.5899999999999</v>
      </c>
      <c r="V14" s="2">
        <v>1329.94</v>
      </c>
      <c r="W14" s="2">
        <v>1462.81</v>
      </c>
      <c r="X14" s="2">
        <v>1745.88</v>
      </c>
      <c r="Y14" s="2">
        <v>2203.3200000000002</v>
      </c>
      <c r="Z14" s="2">
        <v>2799.97</v>
      </c>
      <c r="AA14" s="4">
        <v>3285.21</v>
      </c>
      <c r="AB14" s="38">
        <f t="shared" si="0"/>
        <v>137736.48000000001</v>
      </c>
      <c r="AC14" s="38">
        <v>20</v>
      </c>
      <c r="AD14" s="70">
        <f>(AB14*AC14)+(AB15*AC15)+(AB16*AC16)+(AB17*AC17)</f>
        <v>4194387.5</v>
      </c>
      <c r="AE14" s="20" t="e">
        <f>+#REF!</f>
        <v>#REF!</v>
      </c>
    </row>
    <row r="15" spans="2:31">
      <c r="B15" s="68"/>
      <c r="C15" s="39" t="s">
        <v>6</v>
      </c>
      <c r="D15" s="1">
        <v>7333.91</v>
      </c>
      <c r="E15" s="1">
        <v>7231.77</v>
      </c>
      <c r="F15" s="1">
        <v>7075.92</v>
      </c>
      <c r="G15" s="1">
        <v>6992.76</v>
      </c>
      <c r="H15" s="1">
        <v>6977.75</v>
      </c>
      <c r="I15" s="1">
        <v>7008.01</v>
      </c>
      <c r="J15" s="1">
        <v>7093.95</v>
      </c>
      <c r="K15" s="1">
        <v>6677.91</v>
      </c>
      <c r="L15" s="1">
        <v>6033.33</v>
      </c>
      <c r="M15" s="1">
        <v>5454.84</v>
      </c>
      <c r="N15" s="1">
        <v>7701.6</v>
      </c>
      <c r="O15" s="1">
        <v>8427.9</v>
      </c>
      <c r="P15" s="1">
        <v>8467.99</v>
      </c>
      <c r="Q15" s="1">
        <v>7275.51</v>
      </c>
      <c r="R15" s="1">
        <v>5416.89</v>
      </c>
      <c r="S15" s="1">
        <v>5873.35</v>
      </c>
      <c r="T15" s="1">
        <v>6969.58</v>
      </c>
      <c r="U15" s="1">
        <v>951.67</v>
      </c>
      <c r="V15" s="1">
        <v>1082.97</v>
      </c>
      <c r="W15" s="1">
        <v>1272.5899999999999</v>
      </c>
      <c r="X15" s="1">
        <v>1622.83</v>
      </c>
      <c r="Y15" s="1">
        <v>2154.39</v>
      </c>
      <c r="Z15" s="1">
        <v>2804.57</v>
      </c>
      <c r="AA15" s="5">
        <v>3254.81</v>
      </c>
      <c r="AB15" s="40">
        <f t="shared" si="0"/>
        <v>131156.80000000002</v>
      </c>
      <c r="AC15" s="40">
        <v>4</v>
      </c>
      <c r="AD15" s="71"/>
      <c r="AE15" s="20" t="e">
        <f>+#REF!</f>
        <v>#REF!</v>
      </c>
    </row>
    <row r="16" spans="2:31">
      <c r="B16" s="68"/>
      <c r="C16" s="39" t="s">
        <v>7</v>
      </c>
      <c r="D16" s="1">
        <v>7196.63</v>
      </c>
      <c r="E16" s="1">
        <v>7209.4</v>
      </c>
      <c r="F16" s="1">
        <v>7095.16</v>
      </c>
      <c r="G16" s="1">
        <v>7048.55</v>
      </c>
      <c r="H16" s="1">
        <v>7059.01</v>
      </c>
      <c r="I16" s="1">
        <v>7147.59</v>
      </c>
      <c r="J16" s="1">
        <v>7230.28</v>
      </c>
      <c r="K16" s="1">
        <v>6575.88</v>
      </c>
      <c r="L16" s="1">
        <v>5754.89</v>
      </c>
      <c r="M16" s="1">
        <v>5177.3500000000004</v>
      </c>
      <c r="N16" s="1">
        <v>7493.7</v>
      </c>
      <c r="O16" s="1">
        <v>8219.09</v>
      </c>
      <c r="P16" s="1">
        <v>8277.52</v>
      </c>
      <c r="Q16" s="1">
        <v>7164.04</v>
      </c>
      <c r="R16" s="1">
        <v>5367.51</v>
      </c>
      <c r="S16" s="1">
        <v>5871.9</v>
      </c>
      <c r="T16" s="1">
        <v>6853.83</v>
      </c>
      <c r="U16" s="1">
        <v>874.88</v>
      </c>
      <c r="V16" s="1">
        <v>1013</v>
      </c>
      <c r="W16" s="1">
        <v>1162.03</v>
      </c>
      <c r="X16" s="1">
        <v>1506.05</v>
      </c>
      <c r="Y16" s="1">
        <v>2021.24</v>
      </c>
      <c r="Z16" s="1">
        <v>2656.82</v>
      </c>
      <c r="AA16" s="5">
        <v>3167.27</v>
      </c>
      <c r="AB16" s="40">
        <f t="shared" si="0"/>
        <v>129143.62</v>
      </c>
      <c r="AC16" s="40">
        <v>4</v>
      </c>
      <c r="AD16" s="71"/>
      <c r="AE16" s="20" t="e">
        <f>+#REF!</f>
        <v>#REF!</v>
      </c>
    </row>
    <row r="17" spans="2:31" ht="15" thickBot="1">
      <c r="B17" s="69"/>
      <c r="C17" s="41" t="s">
        <v>8</v>
      </c>
      <c r="D17" s="3">
        <v>7499.27</v>
      </c>
      <c r="E17" s="3">
        <v>7502.56</v>
      </c>
      <c r="F17" s="3">
        <v>7388.95</v>
      </c>
      <c r="G17" s="3">
        <v>7288.77</v>
      </c>
      <c r="H17" s="3">
        <v>7273.94</v>
      </c>
      <c r="I17" s="3">
        <v>7247.52</v>
      </c>
      <c r="J17" s="3">
        <v>7232.72</v>
      </c>
      <c r="K17" s="3">
        <v>6672.35</v>
      </c>
      <c r="L17" s="3">
        <v>5853.74</v>
      </c>
      <c r="M17" s="3">
        <v>5385.48</v>
      </c>
      <c r="N17" s="3">
        <v>7514.79</v>
      </c>
      <c r="O17" s="3">
        <v>8260.7900000000009</v>
      </c>
      <c r="P17" s="3">
        <v>8315.4</v>
      </c>
      <c r="Q17" s="3">
        <v>7124.83</v>
      </c>
      <c r="R17" s="3">
        <v>5340.25</v>
      </c>
      <c r="S17" s="3">
        <v>5847.18</v>
      </c>
      <c r="T17" s="3">
        <v>7003.78</v>
      </c>
      <c r="U17" s="3">
        <v>1064.98</v>
      </c>
      <c r="V17" s="3">
        <v>1321.5</v>
      </c>
      <c r="W17" s="3">
        <v>1382.12</v>
      </c>
      <c r="X17" s="3">
        <v>1732.31</v>
      </c>
      <c r="Y17" s="3">
        <v>2218.0100000000002</v>
      </c>
      <c r="Z17" s="3">
        <v>2899.94</v>
      </c>
      <c r="AA17" s="6">
        <v>3447.56</v>
      </c>
      <c r="AB17" s="42">
        <f t="shared" si="0"/>
        <v>132818.74</v>
      </c>
      <c r="AC17" s="42">
        <v>3</v>
      </c>
      <c r="AD17" s="72"/>
      <c r="AE17" s="20" t="e">
        <f>+#REF!</f>
        <v>#REF!</v>
      </c>
    </row>
    <row r="18" spans="2:31">
      <c r="B18" s="67">
        <v>46478</v>
      </c>
      <c r="C18" s="37" t="s">
        <v>5</v>
      </c>
      <c r="D18" s="2">
        <v>8261.73</v>
      </c>
      <c r="E18" s="2">
        <v>8188.17</v>
      </c>
      <c r="F18" s="2">
        <v>8059.5</v>
      </c>
      <c r="G18" s="2">
        <v>7994.66</v>
      </c>
      <c r="H18" s="2">
        <v>7988.6</v>
      </c>
      <c r="I18" s="2">
        <v>7908.43</v>
      </c>
      <c r="J18" s="2">
        <v>7923.91</v>
      </c>
      <c r="K18" s="2">
        <v>7564.19</v>
      </c>
      <c r="L18" s="2">
        <v>7017.73</v>
      </c>
      <c r="M18" s="2">
        <v>6473.53</v>
      </c>
      <c r="N18" s="2">
        <v>9137.24</v>
      </c>
      <c r="O18" s="2">
        <v>9923.34</v>
      </c>
      <c r="P18" s="2">
        <v>9800.74</v>
      </c>
      <c r="Q18" s="2">
        <v>8794.42</v>
      </c>
      <c r="R18" s="2">
        <v>6926.17</v>
      </c>
      <c r="S18" s="2">
        <v>7033.68</v>
      </c>
      <c r="T18" s="2">
        <v>7894.68</v>
      </c>
      <c r="U18" s="2">
        <v>1348.05</v>
      </c>
      <c r="V18" s="2">
        <v>1658.29</v>
      </c>
      <c r="W18" s="2">
        <v>1728.52</v>
      </c>
      <c r="X18" s="2">
        <v>1856.36</v>
      </c>
      <c r="Y18" s="2">
        <v>2115.2800000000002</v>
      </c>
      <c r="Z18" s="2">
        <v>2464.91</v>
      </c>
      <c r="AA18" s="4">
        <v>2646.74</v>
      </c>
      <c r="AB18" s="38">
        <f t="shared" si="0"/>
        <v>150708.86999999997</v>
      </c>
      <c r="AC18" s="38">
        <v>22</v>
      </c>
      <c r="AD18" s="70">
        <f>(AB18*AC18)+(AB19*AC19)+(AB20*AC20)+(AB21*AC21)</f>
        <v>4500001.8999999994</v>
      </c>
      <c r="AE18" s="20"/>
    </row>
    <row r="19" spans="2:31">
      <c r="B19" s="68"/>
      <c r="C19" s="39" t="s">
        <v>6</v>
      </c>
      <c r="D19" s="1">
        <v>8018.3</v>
      </c>
      <c r="E19" s="1">
        <v>7946.51</v>
      </c>
      <c r="F19" s="1">
        <v>7797.52</v>
      </c>
      <c r="G19" s="1">
        <v>7718</v>
      </c>
      <c r="H19" s="1">
        <v>7706.1</v>
      </c>
      <c r="I19" s="1">
        <v>7704.26</v>
      </c>
      <c r="J19" s="1">
        <v>7787.73</v>
      </c>
      <c r="K19" s="1">
        <v>7354.46</v>
      </c>
      <c r="L19" s="1">
        <v>6819.22</v>
      </c>
      <c r="M19" s="1">
        <v>6202.24</v>
      </c>
      <c r="N19" s="1">
        <v>8756.16</v>
      </c>
      <c r="O19" s="1">
        <v>9573.2999999999993</v>
      </c>
      <c r="P19" s="1">
        <v>9448.52</v>
      </c>
      <c r="Q19" s="1">
        <v>8480.5</v>
      </c>
      <c r="R19" s="1">
        <v>6570.34</v>
      </c>
      <c r="S19" s="1">
        <v>6651.53</v>
      </c>
      <c r="T19" s="1">
        <v>7512.36</v>
      </c>
      <c r="U19" s="1">
        <v>1292.18</v>
      </c>
      <c r="V19" s="1">
        <v>1661.57</v>
      </c>
      <c r="W19" s="1">
        <v>1758.16</v>
      </c>
      <c r="X19" s="1">
        <v>1921.48</v>
      </c>
      <c r="Y19" s="1">
        <v>2192.0100000000002</v>
      </c>
      <c r="Z19" s="1">
        <v>2494.65</v>
      </c>
      <c r="AA19" s="5">
        <v>2728.94</v>
      </c>
      <c r="AB19" s="40">
        <f t="shared" si="0"/>
        <v>146096.04</v>
      </c>
      <c r="AC19" s="40">
        <v>4</v>
      </c>
      <c r="AD19" s="71"/>
      <c r="AE19" s="20"/>
    </row>
    <row r="20" spans="2:31">
      <c r="B20" s="68"/>
      <c r="C20" s="39" t="s">
        <v>7</v>
      </c>
      <c r="D20" s="1">
        <v>7985.41</v>
      </c>
      <c r="E20" s="1">
        <v>7928.79</v>
      </c>
      <c r="F20" s="1">
        <v>7809.73</v>
      </c>
      <c r="G20" s="1">
        <v>7770.52</v>
      </c>
      <c r="H20" s="1">
        <v>7777.69</v>
      </c>
      <c r="I20" s="1">
        <v>7830.82</v>
      </c>
      <c r="J20" s="1">
        <v>7911.39</v>
      </c>
      <c r="K20" s="1">
        <v>7486.07</v>
      </c>
      <c r="L20" s="1">
        <v>6926.66</v>
      </c>
      <c r="M20" s="1">
        <v>6309.75</v>
      </c>
      <c r="N20" s="1">
        <v>8989.2000000000007</v>
      </c>
      <c r="O20" s="1">
        <v>9798.5400000000009</v>
      </c>
      <c r="P20" s="1">
        <v>9694.99</v>
      </c>
      <c r="Q20" s="1">
        <v>8724.61</v>
      </c>
      <c r="R20" s="1">
        <v>6888.39</v>
      </c>
      <c r="S20" s="1">
        <v>6990.57</v>
      </c>
      <c r="T20" s="1">
        <v>7678.6</v>
      </c>
      <c r="U20" s="1">
        <v>1671.88</v>
      </c>
      <c r="V20" s="1">
        <v>2031.29</v>
      </c>
      <c r="W20" s="1">
        <v>2060.8200000000002</v>
      </c>
      <c r="X20" s="1">
        <v>2153.37</v>
      </c>
      <c r="Y20" s="1">
        <v>2314.29</v>
      </c>
      <c r="Z20" s="1">
        <v>2548.9899999999998</v>
      </c>
      <c r="AA20" s="5">
        <v>2723.28</v>
      </c>
      <c r="AB20" s="40">
        <f t="shared" si="0"/>
        <v>150005.65000000002</v>
      </c>
      <c r="AC20" s="40">
        <v>4</v>
      </c>
      <c r="AD20" s="71"/>
      <c r="AE20" s="20"/>
    </row>
    <row r="21" spans="2:31" ht="15" thickBot="1">
      <c r="B21" s="69"/>
      <c r="C21" s="41" t="s">
        <v>8</v>
      </c>
      <c r="D21" s="3">
        <v>8294.76</v>
      </c>
      <c r="E21" s="3">
        <v>8224.2800000000007</v>
      </c>
      <c r="F21" s="3">
        <v>8118.19</v>
      </c>
      <c r="G21" s="3">
        <v>8031.08</v>
      </c>
      <c r="H21" s="3">
        <v>8019.44</v>
      </c>
      <c r="I21" s="3">
        <v>7946.33</v>
      </c>
      <c r="J21" s="3">
        <v>7920.9</v>
      </c>
      <c r="K21" s="3">
        <v>7606.41</v>
      </c>
      <c r="L21" s="3">
        <v>7000.14</v>
      </c>
      <c r="M21" s="3">
        <v>6419.12</v>
      </c>
      <c r="N21" s="3">
        <v>8969.25</v>
      </c>
      <c r="O21" s="3">
        <v>9806.64</v>
      </c>
      <c r="P21" s="3">
        <v>9652.2099999999991</v>
      </c>
      <c r="Q21" s="3">
        <v>8697.35</v>
      </c>
      <c r="R21" s="3">
        <v>6878.91</v>
      </c>
      <c r="S21" s="3">
        <v>6981.89</v>
      </c>
      <c r="T21" s="3">
        <v>7847.97</v>
      </c>
      <c r="U21" s="3">
        <v>1872.89</v>
      </c>
      <c r="V21" s="3">
        <v>2270.83</v>
      </c>
      <c r="W21" s="3">
        <v>2315.5100000000002</v>
      </c>
      <c r="X21" s="3">
        <v>2441.71</v>
      </c>
      <c r="Y21" s="3">
        <v>2582.4299999999998</v>
      </c>
      <c r="Z21" s="3">
        <v>2829.32</v>
      </c>
      <c r="AA21" s="6">
        <v>3000.72</v>
      </c>
      <c r="AB21" s="42">
        <f t="shared" si="0"/>
        <v>153728.28</v>
      </c>
      <c r="AC21" s="42">
        <v>0</v>
      </c>
      <c r="AD21" s="72"/>
      <c r="AE21" s="20"/>
    </row>
    <row r="22" spans="2:31">
      <c r="B22" s="67">
        <v>46508</v>
      </c>
      <c r="C22" s="37" t="s">
        <v>5</v>
      </c>
      <c r="D22" s="2">
        <v>9722.6299999999992</v>
      </c>
      <c r="E22" s="2">
        <v>10088.91</v>
      </c>
      <c r="F22" s="2">
        <v>10055.540000000001</v>
      </c>
      <c r="G22" s="2">
        <v>10004.89</v>
      </c>
      <c r="H22" s="2">
        <v>9995.59</v>
      </c>
      <c r="I22" s="2">
        <v>9921.4</v>
      </c>
      <c r="J22" s="2">
        <v>10021.14</v>
      </c>
      <c r="K22" s="2">
        <v>9936.35</v>
      </c>
      <c r="L22" s="2">
        <v>9789.2900000000009</v>
      </c>
      <c r="M22" s="2">
        <v>9531.52</v>
      </c>
      <c r="N22" s="2">
        <v>9126.35</v>
      </c>
      <c r="O22" s="2">
        <v>8769.19</v>
      </c>
      <c r="P22" s="2">
        <v>8802.75</v>
      </c>
      <c r="Q22" s="2">
        <v>8923.94</v>
      </c>
      <c r="R22" s="2">
        <v>9185.01</v>
      </c>
      <c r="S22" s="2">
        <v>9473.75</v>
      </c>
      <c r="T22" s="2">
        <v>9379.0300000000007</v>
      </c>
      <c r="U22" s="2">
        <v>1308.1600000000001</v>
      </c>
      <c r="V22" s="2">
        <v>1615.98</v>
      </c>
      <c r="W22" s="2">
        <v>1703.39</v>
      </c>
      <c r="X22" s="2">
        <v>1835.64</v>
      </c>
      <c r="Y22" s="2">
        <v>2105.58</v>
      </c>
      <c r="Z22" s="2">
        <v>2438.6799999999998</v>
      </c>
      <c r="AA22" s="4">
        <v>2624.19</v>
      </c>
      <c r="AB22" s="38">
        <f t="shared" si="0"/>
        <v>176358.90000000005</v>
      </c>
      <c r="AC22" s="38">
        <v>19</v>
      </c>
      <c r="AD22" s="70">
        <f>(AB22*AC22)+(AB23*AC23)+(AB24*AC24)+(AB25*AC25)</f>
        <v>5458424.1300000008</v>
      </c>
      <c r="AE22" s="20"/>
    </row>
    <row r="23" spans="2:31">
      <c r="B23" s="68"/>
      <c r="C23" s="39" t="s">
        <v>6</v>
      </c>
      <c r="D23" s="1">
        <v>9428.24</v>
      </c>
      <c r="E23" s="1">
        <v>9792.76</v>
      </c>
      <c r="F23" s="1">
        <v>9751.36</v>
      </c>
      <c r="G23" s="1">
        <v>9697.44</v>
      </c>
      <c r="H23" s="1">
        <v>9668.93</v>
      </c>
      <c r="I23" s="1">
        <v>9678.0400000000009</v>
      </c>
      <c r="J23" s="1">
        <v>9890.07</v>
      </c>
      <c r="K23" s="1">
        <v>9791.65</v>
      </c>
      <c r="L23" s="1">
        <v>9584.18</v>
      </c>
      <c r="M23" s="1">
        <v>9235.67</v>
      </c>
      <c r="N23" s="1">
        <v>8814.56</v>
      </c>
      <c r="O23" s="1">
        <v>8423.7800000000007</v>
      </c>
      <c r="P23" s="1">
        <v>8430.4699999999993</v>
      </c>
      <c r="Q23" s="1">
        <v>8651.23</v>
      </c>
      <c r="R23" s="1">
        <v>8843.08</v>
      </c>
      <c r="S23" s="1">
        <v>9110.6</v>
      </c>
      <c r="T23" s="1">
        <v>9014.82</v>
      </c>
      <c r="U23" s="1">
        <v>1203.45</v>
      </c>
      <c r="V23" s="1">
        <v>1600.01</v>
      </c>
      <c r="W23" s="1">
        <v>1707.23</v>
      </c>
      <c r="X23" s="1">
        <v>1879.54</v>
      </c>
      <c r="Y23" s="1">
        <v>2160.27</v>
      </c>
      <c r="Z23" s="1">
        <v>2449.3000000000002</v>
      </c>
      <c r="AA23" s="5">
        <v>2661.04</v>
      </c>
      <c r="AB23" s="40">
        <f t="shared" si="0"/>
        <v>171467.72</v>
      </c>
      <c r="AC23" s="40">
        <v>4</v>
      </c>
      <c r="AD23" s="71"/>
      <c r="AE23" s="20"/>
    </row>
    <row r="24" spans="2:31">
      <c r="B24" s="68"/>
      <c r="C24" s="39" t="s">
        <v>7</v>
      </c>
      <c r="D24" s="1">
        <v>9478.7900000000009</v>
      </c>
      <c r="E24" s="1">
        <v>9843.6</v>
      </c>
      <c r="F24" s="1">
        <v>9831.14</v>
      </c>
      <c r="G24" s="1">
        <v>9801.82</v>
      </c>
      <c r="H24" s="1">
        <v>9803.56</v>
      </c>
      <c r="I24" s="1">
        <v>9853.65</v>
      </c>
      <c r="J24" s="1">
        <v>10039.84</v>
      </c>
      <c r="K24" s="1">
        <v>9900.66</v>
      </c>
      <c r="L24" s="1">
        <v>9724.7800000000007</v>
      </c>
      <c r="M24" s="1">
        <v>9428.7900000000009</v>
      </c>
      <c r="N24" s="1">
        <v>9040.2000000000007</v>
      </c>
      <c r="O24" s="1">
        <v>8715.41</v>
      </c>
      <c r="P24" s="1">
        <v>8757.27</v>
      </c>
      <c r="Q24" s="1">
        <v>8936.51</v>
      </c>
      <c r="R24" s="1">
        <v>9234.24</v>
      </c>
      <c r="S24" s="1">
        <v>9572.48</v>
      </c>
      <c r="T24" s="1">
        <v>9304.9599999999991</v>
      </c>
      <c r="U24" s="1">
        <v>1724.03</v>
      </c>
      <c r="V24" s="1">
        <v>2118.9699999999998</v>
      </c>
      <c r="W24" s="1">
        <v>2205.88</v>
      </c>
      <c r="X24" s="1">
        <v>2292.9</v>
      </c>
      <c r="Y24" s="1">
        <v>2452</v>
      </c>
      <c r="Z24" s="1">
        <v>2667.51</v>
      </c>
      <c r="AA24" s="5">
        <v>2820.99</v>
      </c>
      <c r="AB24" s="40">
        <f t="shared" si="0"/>
        <v>177549.98</v>
      </c>
      <c r="AC24" s="40">
        <v>5</v>
      </c>
      <c r="AD24" s="71"/>
      <c r="AE24" s="20"/>
    </row>
    <row r="25" spans="2:31" ht="15" thickBot="1">
      <c r="B25" s="69"/>
      <c r="C25" s="41" t="s">
        <v>8</v>
      </c>
      <c r="D25" s="3">
        <v>9689.33</v>
      </c>
      <c r="E25" s="3">
        <v>10049.69</v>
      </c>
      <c r="F25" s="3">
        <v>10050.07</v>
      </c>
      <c r="G25" s="3">
        <v>9976.39</v>
      </c>
      <c r="H25" s="3">
        <v>9959.86</v>
      </c>
      <c r="I25" s="3">
        <v>9903.9599999999991</v>
      </c>
      <c r="J25" s="3">
        <v>10014.799999999999</v>
      </c>
      <c r="K25" s="3">
        <v>9901.48</v>
      </c>
      <c r="L25" s="3">
        <v>9684.6</v>
      </c>
      <c r="M25" s="3">
        <v>9466.51</v>
      </c>
      <c r="N25" s="3">
        <v>8881.17</v>
      </c>
      <c r="O25" s="3">
        <v>8590.65</v>
      </c>
      <c r="P25" s="3">
        <v>8576.11</v>
      </c>
      <c r="Q25" s="3">
        <v>8909.5</v>
      </c>
      <c r="R25" s="3">
        <v>9265.3799999999992</v>
      </c>
      <c r="S25" s="3">
        <v>9530.33</v>
      </c>
      <c r="T25" s="3">
        <v>9287.1299999999992</v>
      </c>
      <c r="U25" s="3">
        <v>1715.9</v>
      </c>
      <c r="V25" s="3">
        <v>2130.98</v>
      </c>
      <c r="W25" s="3">
        <v>2181.73</v>
      </c>
      <c r="X25" s="3">
        <v>2294.81</v>
      </c>
      <c r="Y25" s="3">
        <v>2421.7600000000002</v>
      </c>
      <c r="Z25" s="3">
        <v>2674.39</v>
      </c>
      <c r="AA25" s="6">
        <v>2838.22</v>
      </c>
      <c r="AB25" s="42">
        <f t="shared" si="0"/>
        <v>177994.75000000003</v>
      </c>
      <c r="AC25" s="42">
        <v>3</v>
      </c>
      <c r="AD25" s="72"/>
      <c r="AE25" s="20"/>
    </row>
    <row r="26" spans="2:31">
      <c r="B26" s="67">
        <v>46539</v>
      </c>
      <c r="C26" s="37" t="s">
        <v>5</v>
      </c>
      <c r="D26" s="2">
        <v>7894.15</v>
      </c>
      <c r="E26" s="2">
        <v>8462.8799999999992</v>
      </c>
      <c r="F26" s="2">
        <v>8909.48</v>
      </c>
      <c r="G26" s="2">
        <v>8976.44</v>
      </c>
      <c r="H26" s="2">
        <v>8924.4699999999993</v>
      </c>
      <c r="I26" s="2">
        <v>9029.99</v>
      </c>
      <c r="J26" s="2">
        <v>9718.4</v>
      </c>
      <c r="K26" s="2">
        <v>10056.82</v>
      </c>
      <c r="L26" s="2">
        <v>10324.73</v>
      </c>
      <c r="M26" s="2">
        <v>10345.44</v>
      </c>
      <c r="N26" s="2">
        <v>10276.129999999999</v>
      </c>
      <c r="O26" s="2">
        <v>9931.5499999999993</v>
      </c>
      <c r="P26" s="2">
        <v>10001.620000000001</v>
      </c>
      <c r="Q26" s="2">
        <v>10027.5</v>
      </c>
      <c r="R26" s="2">
        <v>9762.51</v>
      </c>
      <c r="S26" s="2">
        <v>9216.2000000000007</v>
      </c>
      <c r="T26" s="2">
        <v>6330.88</v>
      </c>
      <c r="U26" s="2">
        <v>1317.29</v>
      </c>
      <c r="V26" s="2">
        <v>1638.36</v>
      </c>
      <c r="W26" s="2">
        <v>1718.88</v>
      </c>
      <c r="X26" s="2">
        <v>1818.98</v>
      </c>
      <c r="Y26" s="2">
        <v>2106.21</v>
      </c>
      <c r="Z26" s="2">
        <v>2447.96</v>
      </c>
      <c r="AA26" s="4">
        <v>2634.28</v>
      </c>
      <c r="AB26" s="38">
        <f t="shared" si="0"/>
        <v>171871.15000000002</v>
      </c>
      <c r="AC26" s="38">
        <v>21</v>
      </c>
      <c r="AD26" s="70">
        <f>(AB26*AC26)+(AB27*AC27)+(AB28*AC28)+(AB29*AC29)</f>
        <v>5127892.9700000007</v>
      </c>
      <c r="AE26" s="20"/>
    </row>
    <row r="27" spans="2:31">
      <c r="B27" s="68"/>
      <c r="C27" s="39" t="s">
        <v>6</v>
      </c>
      <c r="D27" s="1">
        <v>7639.85</v>
      </c>
      <c r="E27" s="1">
        <v>8217.74</v>
      </c>
      <c r="F27" s="1">
        <v>8640.81</v>
      </c>
      <c r="G27" s="1">
        <v>8685.44</v>
      </c>
      <c r="H27" s="1">
        <v>8620.0300000000007</v>
      </c>
      <c r="I27" s="1">
        <v>8787.5400000000009</v>
      </c>
      <c r="J27" s="1">
        <v>9542.4599999999991</v>
      </c>
      <c r="K27" s="1">
        <v>9777.2800000000007</v>
      </c>
      <c r="L27" s="1">
        <v>10081.15</v>
      </c>
      <c r="M27" s="1">
        <v>10003.040000000001</v>
      </c>
      <c r="N27" s="1">
        <v>9839.75</v>
      </c>
      <c r="O27" s="1">
        <v>9560.51</v>
      </c>
      <c r="P27" s="1">
        <v>9642.2999999999993</v>
      </c>
      <c r="Q27" s="1">
        <v>9663.8799999999992</v>
      </c>
      <c r="R27" s="1">
        <v>9335.51</v>
      </c>
      <c r="S27" s="1">
        <v>8769.15</v>
      </c>
      <c r="T27" s="1">
        <v>5886.07</v>
      </c>
      <c r="U27" s="1">
        <v>1194.8</v>
      </c>
      <c r="V27" s="1">
        <v>1632.43</v>
      </c>
      <c r="W27" s="1">
        <v>1709.8</v>
      </c>
      <c r="X27" s="1">
        <v>1885.48</v>
      </c>
      <c r="Y27" s="1">
        <v>2144.91</v>
      </c>
      <c r="Z27" s="1">
        <v>2442.59</v>
      </c>
      <c r="AA27" s="5">
        <v>2655.7</v>
      </c>
      <c r="AB27" s="40">
        <f t="shared" si="0"/>
        <v>166358.22</v>
      </c>
      <c r="AC27" s="40">
        <v>4</v>
      </c>
      <c r="AD27" s="71"/>
      <c r="AE27" s="20"/>
    </row>
    <row r="28" spans="2:31">
      <c r="B28" s="68"/>
      <c r="C28" s="39" t="s">
        <v>7</v>
      </c>
      <c r="D28" s="1">
        <v>7573.62</v>
      </c>
      <c r="E28" s="1">
        <v>8172.77</v>
      </c>
      <c r="F28" s="1">
        <v>8649.64</v>
      </c>
      <c r="G28" s="1">
        <v>8723.6299999999992</v>
      </c>
      <c r="H28" s="1">
        <v>8688.98</v>
      </c>
      <c r="I28" s="1">
        <v>8921.57</v>
      </c>
      <c r="J28" s="1">
        <v>9631.4500000000007</v>
      </c>
      <c r="K28" s="1">
        <v>9888.83</v>
      </c>
      <c r="L28" s="1">
        <v>10145.049999999999</v>
      </c>
      <c r="M28" s="1">
        <v>10094.39</v>
      </c>
      <c r="N28" s="1">
        <v>10051.17</v>
      </c>
      <c r="O28" s="1">
        <v>9743.0300000000007</v>
      </c>
      <c r="P28" s="1">
        <v>9778.3799999999992</v>
      </c>
      <c r="Q28" s="1">
        <v>9888.35</v>
      </c>
      <c r="R28" s="1">
        <v>9638.58</v>
      </c>
      <c r="S28" s="1">
        <v>9087.39</v>
      </c>
      <c r="T28" s="1">
        <v>6020.4</v>
      </c>
      <c r="U28" s="1">
        <v>1631.13</v>
      </c>
      <c r="V28" s="1">
        <v>2021.57</v>
      </c>
      <c r="W28" s="1">
        <v>2077.3000000000002</v>
      </c>
      <c r="X28" s="1">
        <v>2187.63</v>
      </c>
      <c r="Y28" s="1">
        <v>2336.08</v>
      </c>
      <c r="Z28" s="1">
        <v>2541.7399999999998</v>
      </c>
      <c r="AA28" s="5">
        <v>2718.39</v>
      </c>
      <c r="AB28" s="40">
        <f t="shared" si="0"/>
        <v>170211.07</v>
      </c>
      <c r="AC28" s="40">
        <v>4</v>
      </c>
      <c r="AD28" s="71"/>
      <c r="AE28" s="20"/>
    </row>
    <row r="29" spans="2:31" ht="15" thickBot="1">
      <c r="B29" s="69"/>
      <c r="C29" s="41" t="s">
        <v>8</v>
      </c>
      <c r="D29" s="3">
        <v>7803.53</v>
      </c>
      <c r="E29" s="3">
        <v>8396.7199999999993</v>
      </c>
      <c r="F29" s="3">
        <v>8881.16</v>
      </c>
      <c r="G29" s="3">
        <v>8920.99</v>
      </c>
      <c r="H29" s="3">
        <v>8857.94</v>
      </c>
      <c r="I29" s="3">
        <v>8965.1</v>
      </c>
      <c r="J29" s="3">
        <v>9604.56</v>
      </c>
      <c r="K29" s="3">
        <v>10023.469999999999</v>
      </c>
      <c r="L29" s="3">
        <v>10178.39</v>
      </c>
      <c r="M29" s="3">
        <v>10122.58</v>
      </c>
      <c r="N29" s="3">
        <v>9928.2199999999993</v>
      </c>
      <c r="O29" s="3">
        <v>9654.07</v>
      </c>
      <c r="P29" s="3">
        <v>9731.7199999999993</v>
      </c>
      <c r="Q29" s="3">
        <v>9771.33</v>
      </c>
      <c r="R29" s="3">
        <v>9539.83</v>
      </c>
      <c r="S29" s="3">
        <v>9006.35</v>
      </c>
      <c r="T29" s="3">
        <v>6163.51</v>
      </c>
      <c r="U29" s="3">
        <v>1812.09</v>
      </c>
      <c r="V29" s="3">
        <v>2159.48</v>
      </c>
      <c r="W29" s="3">
        <v>2246.46</v>
      </c>
      <c r="X29" s="3">
        <v>2381.91</v>
      </c>
      <c r="Y29" s="3">
        <v>2518.98</v>
      </c>
      <c r="Z29" s="3">
        <v>2743.45</v>
      </c>
      <c r="AA29" s="6">
        <v>2909.82</v>
      </c>
      <c r="AB29" s="42">
        <f t="shared" si="0"/>
        <v>172321.66000000006</v>
      </c>
      <c r="AC29" s="42">
        <v>1</v>
      </c>
      <c r="AD29" s="72"/>
      <c r="AE29" s="20"/>
    </row>
    <row r="30" spans="2:31">
      <c r="B30" s="67">
        <v>46569</v>
      </c>
      <c r="C30" s="37" t="s">
        <v>5</v>
      </c>
      <c r="D30" s="2">
        <v>8053.75</v>
      </c>
      <c r="E30" s="2">
        <v>8281.5499999999993</v>
      </c>
      <c r="F30" s="2">
        <v>8427.4</v>
      </c>
      <c r="G30" s="2">
        <v>8466.23</v>
      </c>
      <c r="H30" s="2">
        <v>8452.9</v>
      </c>
      <c r="I30" s="2">
        <v>8509.4599999999991</v>
      </c>
      <c r="J30" s="2">
        <v>8779.08</v>
      </c>
      <c r="K30" s="2">
        <v>8513.7900000000009</v>
      </c>
      <c r="L30" s="2">
        <v>8167.91</v>
      </c>
      <c r="M30" s="2">
        <v>7886.81</v>
      </c>
      <c r="N30" s="2">
        <v>11136.44</v>
      </c>
      <c r="O30" s="2">
        <v>12193.6</v>
      </c>
      <c r="P30" s="2">
        <v>12323.31</v>
      </c>
      <c r="Q30" s="2">
        <v>11094.18</v>
      </c>
      <c r="R30" s="2">
        <v>7913.51</v>
      </c>
      <c r="S30" s="2">
        <v>8933.82</v>
      </c>
      <c r="T30" s="2">
        <v>8348.23</v>
      </c>
      <c r="U30" s="2">
        <v>2817.89</v>
      </c>
      <c r="V30" s="2">
        <v>2443.6999999999998</v>
      </c>
      <c r="W30" s="2">
        <v>2567.8000000000002</v>
      </c>
      <c r="X30" s="2">
        <v>2889.13</v>
      </c>
      <c r="Y30" s="2">
        <v>3476.24</v>
      </c>
      <c r="Z30" s="2">
        <v>4126.22</v>
      </c>
      <c r="AA30" s="4">
        <v>4571.6000000000004</v>
      </c>
      <c r="AB30" s="38">
        <f t="shared" si="0"/>
        <v>178374.55000000005</v>
      </c>
      <c r="AC30" s="38">
        <v>20</v>
      </c>
      <c r="AD30" s="70">
        <f>(AB30*AC30)+(AB31*AC31)+(AB32*AC32)+(AB33*AC33)</f>
        <v>5589998.9200000009</v>
      </c>
      <c r="AE30" s="20"/>
    </row>
    <row r="31" spans="2:31">
      <c r="B31" s="68"/>
      <c r="C31" s="39" t="s">
        <v>6</v>
      </c>
      <c r="D31" s="1">
        <v>8007.29</v>
      </c>
      <c r="E31" s="1">
        <v>8237.16</v>
      </c>
      <c r="F31" s="1">
        <v>8460.67</v>
      </c>
      <c r="G31" s="1">
        <v>8614.93</v>
      </c>
      <c r="H31" s="1">
        <v>8632.9599999999991</v>
      </c>
      <c r="I31" s="1">
        <v>8706.94</v>
      </c>
      <c r="J31" s="1">
        <v>8948.35</v>
      </c>
      <c r="K31" s="1">
        <v>8610.41</v>
      </c>
      <c r="L31" s="1">
        <v>8160.74</v>
      </c>
      <c r="M31" s="1">
        <v>7905.18</v>
      </c>
      <c r="N31" s="1">
        <v>11134.05</v>
      </c>
      <c r="O31" s="1">
        <v>12057.56</v>
      </c>
      <c r="P31" s="1">
        <v>12149.05</v>
      </c>
      <c r="Q31" s="1">
        <v>10924.11</v>
      </c>
      <c r="R31" s="1">
        <v>7831.78</v>
      </c>
      <c r="S31" s="1">
        <v>8925.66</v>
      </c>
      <c r="T31" s="1">
        <v>8471.6299999999992</v>
      </c>
      <c r="U31" s="1">
        <v>2748.96</v>
      </c>
      <c r="V31" s="1">
        <v>2574.63</v>
      </c>
      <c r="W31" s="1">
        <v>2774.89</v>
      </c>
      <c r="X31" s="1">
        <v>3145.41</v>
      </c>
      <c r="Y31" s="1">
        <v>3842.69</v>
      </c>
      <c r="Z31" s="1">
        <v>4504.79</v>
      </c>
      <c r="AA31" s="5">
        <v>5028.5200000000004</v>
      </c>
      <c r="AB31" s="40">
        <f t="shared" si="0"/>
        <v>180398.36000000004</v>
      </c>
      <c r="AC31" s="40">
        <v>5</v>
      </c>
      <c r="AD31" s="71"/>
      <c r="AE31" s="20"/>
    </row>
    <row r="32" spans="2:31">
      <c r="B32" s="68"/>
      <c r="C32" s="39" t="s">
        <v>4</v>
      </c>
      <c r="D32" s="1">
        <v>8275.14</v>
      </c>
      <c r="E32" s="1">
        <v>8516.52</v>
      </c>
      <c r="F32" s="1">
        <v>8657.5400000000009</v>
      </c>
      <c r="G32" s="1">
        <v>8760.42</v>
      </c>
      <c r="H32" s="1">
        <v>8801.34</v>
      </c>
      <c r="I32" s="1">
        <v>8909.68</v>
      </c>
      <c r="J32" s="1">
        <v>9232.09</v>
      </c>
      <c r="K32" s="1">
        <v>8716.2999999999993</v>
      </c>
      <c r="L32" s="1">
        <v>8343.3700000000008</v>
      </c>
      <c r="M32" s="1">
        <v>8132.81</v>
      </c>
      <c r="N32" s="1">
        <v>11258.42</v>
      </c>
      <c r="O32" s="1">
        <v>12233.82</v>
      </c>
      <c r="P32" s="1">
        <v>12399.59</v>
      </c>
      <c r="Q32" s="1">
        <v>11233.07</v>
      </c>
      <c r="R32" s="1">
        <v>8063.05</v>
      </c>
      <c r="S32" s="1">
        <v>9175.01</v>
      </c>
      <c r="T32" s="1">
        <v>8825.4599999999991</v>
      </c>
      <c r="U32" s="1">
        <v>3624.33</v>
      </c>
      <c r="V32" s="1">
        <v>3089.07</v>
      </c>
      <c r="W32" s="1">
        <v>3174.29</v>
      </c>
      <c r="X32" s="1">
        <v>3506.01</v>
      </c>
      <c r="Y32" s="1">
        <v>3996.57</v>
      </c>
      <c r="Z32" s="1">
        <v>4526.38</v>
      </c>
      <c r="AA32" s="5">
        <v>4863.33</v>
      </c>
      <c r="AB32" s="40">
        <f t="shared" si="0"/>
        <v>186313.61000000002</v>
      </c>
      <c r="AC32" s="40">
        <v>4</v>
      </c>
      <c r="AD32" s="71"/>
      <c r="AE32" s="20"/>
    </row>
    <row r="33" spans="2:31" ht="15" thickBot="1">
      <c r="B33" s="69"/>
      <c r="C33" s="41" t="s">
        <v>8</v>
      </c>
      <c r="D33" s="3">
        <v>8379.84</v>
      </c>
      <c r="E33" s="3">
        <v>8595.75</v>
      </c>
      <c r="F33" s="3">
        <v>8713.68</v>
      </c>
      <c r="G33" s="3">
        <v>8816.5499999999993</v>
      </c>
      <c r="H33" s="3">
        <v>8793.85</v>
      </c>
      <c r="I33" s="3">
        <v>8970.19</v>
      </c>
      <c r="J33" s="3">
        <v>9244.7099999999991</v>
      </c>
      <c r="K33" s="3">
        <v>8634.1200000000008</v>
      </c>
      <c r="L33" s="3">
        <v>8355.8799999999992</v>
      </c>
      <c r="M33" s="3">
        <v>8077.9</v>
      </c>
      <c r="N33" s="3">
        <v>11488.19</v>
      </c>
      <c r="O33" s="3">
        <v>12440.82</v>
      </c>
      <c r="P33" s="3">
        <v>12525.42</v>
      </c>
      <c r="Q33" s="3">
        <v>11324.66</v>
      </c>
      <c r="R33" s="3">
        <v>8203.0499999999993</v>
      </c>
      <c r="S33" s="3">
        <v>9229.6299999999992</v>
      </c>
      <c r="T33" s="3">
        <v>8701.7099999999991</v>
      </c>
      <c r="U33" s="3">
        <v>3532.83</v>
      </c>
      <c r="V33" s="3">
        <v>3164.73</v>
      </c>
      <c r="W33" s="3">
        <v>3270.17</v>
      </c>
      <c r="X33" s="3">
        <v>3436.42</v>
      </c>
      <c r="Y33" s="3">
        <v>3744.57</v>
      </c>
      <c r="Z33" s="3">
        <v>4787.8</v>
      </c>
      <c r="AA33" s="6">
        <v>5198.37</v>
      </c>
      <c r="AB33" s="42">
        <f t="shared" si="0"/>
        <v>187630.84</v>
      </c>
      <c r="AC33" s="42">
        <v>2</v>
      </c>
      <c r="AD33" s="72"/>
      <c r="AE33" s="20"/>
    </row>
    <row r="34" spans="2:31" ht="15" thickBot="1">
      <c r="AD34" s="64">
        <f>SUM(AD6:AD33)</f>
        <v>30218615.689999998</v>
      </c>
    </row>
    <row r="36" spans="2:31">
      <c r="AD36" s="26"/>
    </row>
    <row r="37" spans="2:31">
      <c r="D37" s="65"/>
    </row>
  </sheetData>
  <mergeCells count="17">
    <mergeCell ref="B10:B13"/>
    <mergeCell ref="AD10:AD13"/>
    <mergeCell ref="B2:AB2"/>
    <mergeCell ref="B3:AB3"/>
    <mergeCell ref="B4:AB4"/>
    <mergeCell ref="B6:B9"/>
    <mergeCell ref="AD6:AD9"/>
    <mergeCell ref="B14:B17"/>
    <mergeCell ref="AD14:AD17"/>
    <mergeCell ref="B18:B21"/>
    <mergeCell ref="AD18:AD21"/>
    <mergeCell ref="B22:B25"/>
    <mergeCell ref="AD22:AD25"/>
    <mergeCell ref="B26:B29"/>
    <mergeCell ref="AD26:AD29"/>
    <mergeCell ref="B30:B33"/>
    <mergeCell ref="AD30:AD33"/>
  </mergeCells>
  <conditionalFormatting sqref="D6:AA33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3DAE-201A-4D3F-9EFB-F7979A403BF8}">
  <dimension ref="B3:M25"/>
  <sheetViews>
    <sheetView showGridLines="0" zoomScale="90" zoomScaleNormal="90" workbookViewId="0">
      <selection activeCell="H9" sqref="H9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3.26953125" style="8" customWidth="1"/>
    <col min="7" max="7" width="11.453125" style="8"/>
    <col min="8" max="8" width="12.6328125" style="19" bestFit="1" customWidth="1"/>
    <col min="9" max="9" width="11.453125" style="22"/>
    <col min="10" max="11" width="16.36328125" style="8" bestFit="1" customWidth="1"/>
    <col min="12" max="16384" width="11.453125" style="8"/>
  </cols>
  <sheetData>
    <row r="3" spans="2:13" ht="15" thickBot="1"/>
    <row r="4" spans="2:13">
      <c r="B4" s="99" t="s">
        <v>35</v>
      </c>
      <c r="C4" s="100"/>
      <c r="D4" s="100"/>
      <c r="E4" s="100"/>
      <c r="F4" s="100"/>
      <c r="G4" s="101"/>
    </row>
    <row r="5" spans="2:13">
      <c r="B5" s="102" t="s">
        <v>9</v>
      </c>
      <c r="C5" s="103"/>
      <c r="D5" s="103"/>
      <c r="E5" s="103"/>
      <c r="F5" s="103"/>
      <c r="G5" s="104"/>
    </row>
    <row r="6" spans="2:13">
      <c r="B6" s="105" t="s">
        <v>10</v>
      </c>
      <c r="C6" s="106"/>
      <c r="D6" s="106"/>
      <c r="E6" s="106"/>
      <c r="F6" s="106"/>
      <c r="G6" s="107"/>
    </row>
    <row r="7" spans="2:13" ht="15" thickBot="1">
      <c r="B7" s="108" t="s">
        <v>40</v>
      </c>
      <c r="C7" s="109"/>
      <c r="D7" s="109"/>
      <c r="E7" s="109"/>
      <c r="F7" s="109"/>
      <c r="G7" s="110"/>
    </row>
    <row r="8" spans="2:13" ht="15" thickBot="1">
      <c r="B8" s="111" t="s">
        <v>34</v>
      </c>
      <c r="C8" s="112"/>
      <c r="D8" s="112"/>
      <c r="E8" s="112"/>
      <c r="F8" s="112"/>
      <c r="G8" s="113"/>
    </row>
    <row r="9" spans="2:13" ht="15" thickBot="1">
      <c r="B9" s="92" t="s">
        <v>12</v>
      </c>
      <c r="C9" s="92" t="s">
        <v>13</v>
      </c>
      <c r="D9" s="95" t="s">
        <v>33</v>
      </c>
      <c r="E9" s="95"/>
      <c r="F9" s="95"/>
      <c r="G9" s="96"/>
    </row>
    <row r="10" spans="2:13" ht="26.5" thickBot="1">
      <c r="B10" s="93"/>
      <c r="C10" s="94"/>
      <c r="D10" s="9" t="s">
        <v>14</v>
      </c>
      <c r="E10" s="11" t="s">
        <v>15</v>
      </c>
      <c r="F10" s="10" t="s">
        <v>16</v>
      </c>
      <c r="G10" s="12" t="s">
        <v>17</v>
      </c>
    </row>
    <row r="11" spans="2:13">
      <c r="B11" s="43">
        <v>2027</v>
      </c>
      <c r="C11" s="44" t="s">
        <v>21</v>
      </c>
      <c r="D11" s="45">
        <f>+'Producto 2 Curvo 27'!AE6</f>
        <v>4163559.7499999991</v>
      </c>
      <c r="E11" s="114"/>
      <c r="F11" s="120">
        <f>+$E$11*D11</f>
        <v>0</v>
      </c>
      <c r="G11" s="47"/>
      <c r="H11" s="25"/>
      <c r="I11" s="23"/>
    </row>
    <row r="12" spans="2:13">
      <c r="B12" s="48">
        <f t="shared" ref="B12:B17" si="0">+B11</f>
        <v>2027</v>
      </c>
      <c r="C12" s="49" t="s">
        <v>22</v>
      </c>
      <c r="D12" s="50">
        <f>+'Producto 2 Curvo 27'!AE7</f>
        <v>1184350.52</v>
      </c>
      <c r="E12" s="115"/>
      <c r="F12" s="121">
        <f t="shared" ref="F12:F17" si="1">+$E$11*D12</f>
        <v>0</v>
      </c>
      <c r="G12" s="52"/>
    </row>
    <row r="13" spans="2:13">
      <c r="B13" s="48">
        <f t="shared" si="0"/>
        <v>2027</v>
      </c>
      <c r="C13" s="49" t="s">
        <v>23</v>
      </c>
      <c r="D13" s="50">
        <f>+'Producto 2 Curvo 27'!AE8</f>
        <v>4194387.5</v>
      </c>
      <c r="E13" s="115"/>
      <c r="F13" s="121">
        <f t="shared" si="1"/>
        <v>0</v>
      </c>
      <c r="G13" s="52"/>
    </row>
    <row r="14" spans="2:13">
      <c r="B14" s="48">
        <f t="shared" si="0"/>
        <v>2027</v>
      </c>
      <c r="C14" s="49" t="s">
        <v>24</v>
      </c>
      <c r="D14" s="50">
        <f>+'Producto 2 Curvo 27'!AE9</f>
        <v>4500001.8999999994</v>
      </c>
      <c r="E14" s="115"/>
      <c r="F14" s="121">
        <f t="shared" si="1"/>
        <v>0</v>
      </c>
      <c r="G14" s="52"/>
      <c r="I14" s="53"/>
      <c r="J14" s="54"/>
      <c r="K14" s="55"/>
      <c r="M14" s="55"/>
    </row>
    <row r="15" spans="2:13">
      <c r="B15" s="48">
        <f t="shared" si="0"/>
        <v>2027</v>
      </c>
      <c r="C15" s="49" t="s">
        <v>25</v>
      </c>
      <c r="D15" s="50">
        <f>+'Producto 2 Curvo 27'!AE10</f>
        <v>5458424.1300000008</v>
      </c>
      <c r="E15" s="115"/>
      <c r="F15" s="121">
        <f t="shared" si="1"/>
        <v>0</v>
      </c>
      <c r="G15" s="52"/>
      <c r="I15" s="53"/>
      <c r="J15" s="54"/>
      <c r="K15" s="27"/>
      <c r="M15" s="55"/>
    </row>
    <row r="16" spans="2:13">
      <c r="B16" s="48">
        <f t="shared" si="0"/>
        <v>2027</v>
      </c>
      <c r="C16" s="49" t="s">
        <v>18</v>
      </c>
      <c r="D16" s="50">
        <f>+'Producto 2 Curvo 27'!AE11</f>
        <v>5127892.9700000007</v>
      </c>
      <c r="E16" s="115"/>
      <c r="F16" s="121">
        <f t="shared" si="1"/>
        <v>0</v>
      </c>
      <c r="G16" s="52"/>
      <c r="I16" s="53"/>
      <c r="J16" s="54"/>
      <c r="K16" s="55"/>
      <c r="M16" s="55"/>
    </row>
    <row r="17" spans="2:13" ht="15" thickBot="1">
      <c r="B17" s="56">
        <f t="shared" si="0"/>
        <v>2027</v>
      </c>
      <c r="C17" s="57" t="s">
        <v>19</v>
      </c>
      <c r="D17" s="58">
        <f>+'Producto 2 Curvo 27'!AE12</f>
        <v>5589998.9200000009</v>
      </c>
      <c r="E17" s="116"/>
      <c r="F17" s="122">
        <f t="shared" si="1"/>
        <v>0</v>
      </c>
      <c r="G17" s="60"/>
      <c r="I17" s="53"/>
      <c r="J17" s="54"/>
      <c r="K17" s="55"/>
      <c r="M17" s="55"/>
    </row>
    <row r="18" spans="2:13" ht="15" thickBot="1">
      <c r="B18" s="97" t="s">
        <v>38</v>
      </c>
      <c r="C18" s="98"/>
      <c r="D18" s="17">
        <f>+SUM(D11:D17)</f>
        <v>30218615.689999998</v>
      </c>
      <c r="F18" s="17">
        <f>+SUM(F11:F17)</f>
        <v>0</v>
      </c>
      <c r="J18" s="24"/>
      <c r="K18" s="61"/>
    </row>
    <row r="20" spans="2:13">
      <c r="B20" s="8" t="s">
        <v>26</v>
      </c>
    </row>
    <row r="21" spans="2:13">
      <c r="B21" s="8" t="s">
        <v>27</v>
      </c>
    </row>
    <row r="22" spans="2:13">
      <c r="B22" s="8" t="s">
        <v>28</v>
      </c>
    </row>
    <row r="23" spans="2:13">
      <c r="B23" s="8" t="s">
        <v>29</v>
      </c>
    </row>
    <row r="25" spans="2:13">
      <c r="D25" s="18"/>
    </row>
  </sheetData>
  <mergeCells count="10">
    <mergeCell ref="B18:C18"/>
    <mergeCell ref="B4:G4"/>
    <mergeCell ref="B5:G5"/>
    <mergeCell ref="B6:G6"/>
    <mergeCell ref="B7:G7"/>
    <mergeCell ref="B8:G8"/>
    <mergeCell ref="E11:E17"/>
    <mergeCell ref="B9:B10"/>
    <mergeCell ref="C9:C10"/>
    <mergeCell ref="D9:G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24C9-6A40-4D0D-849E-BA5B0F30050B}">
  <dimension ref="B2:AE37"/>
  <sheetViews>
    <sheetView showGridLines="0" topLeftCell="C1" zoomScale="68" zoomScaleNormal="68" workbookViewId="0">
      <selection activeCell="W32" sqref="W32"/>
    </sheetView>
  </sheetViews>
  <sheetFormatPr baseColWidth="10" defaultRowHeight="14.5"/>
  <cols>
    <col min="1" max="1" width="1.81640625" customWidth="1"/>
    <col min="2" max="2" width="10" customWidth="1"/>
    <col min="3" max="3" width="8.81640625" bestFit="1" customWidth="1"/>
    <col min="4" max="4" width="10.54296875" bestFit="1" customWidth="1"/>
    <col min="5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19" customWidth="1"/>
    <col min="32" max="32" width="17.453125" bestFit="1" customWidth="1"/>
  </cols>
  <sheetData>
    <row r="2" spans="2:31">
      <c r="B2" s="73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3" spans="2:31">
      <c r="B3" s="73" t="s">
        <v>36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1" ht="15" thickBot="1">
      <c r="B4" s="74" t="s">
        <v>41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2:31" ht="25.5" customHeight="1" thickBot="1">
      <c r="B5" s="28"/>
      <c r="C5" s="29" t="s">
        <v>1</v>
      </c>
      <c r="D5" s="30">
        <v>1</v>
      </c>
      <c r="E5" s="30">
        <v>2</v>
      </c>
      <c r="F5" s="30">
        <v>3</v>
      </c>
      <c r="G5" s="30">
        <v>4</v>
      </c>
      <c r="H5" s="30">
        <v>5</v>
      </c>
      <c r="I5" s="30">
        <v>6</v>
      </c>
      <c r="J5" s="31">
        <v>7</v>
      </c>
      <c r="K5" s="31">
        <v>8</v>
      </c>
      <c r="L5" s="31">
        <v>9</v>
      </c>
      <c r="M5" s="31">
        <v>10</v>
      </c>
      <c r="N5" s="31">
        <v>11</v>
      </c>
      <c r="O5" s="31">
        <v>12</v>
      </c>
      <c r="P5" s="31">
        <v>13</v>
      </c>
      <c r="Q5" s="31">
        <v>14</v>
      </c>
      <c r="R5" s="31">
        <v>15</v>
      </c>
      <c r="S5" s="31">
        <v>16</v>
      </c>
      <c r="T5" s="31">
        <v>17</v>
      </c>
      <c r="U5" s="31">
        <v>18</v>
      </c>
      <c r="V5" s="32">
        <v>19</v>
      </c>
      <c r="W5" s="32">
        <v>20</v>
      </c>
      <c r="X5" s="32">
        <v>21</v>
      </c>
      <c r="Y5" s="30">
        <v>22</v>
      </c>
      <c r="Z5" s="30">
        <v>23</v>
      </c>
      <c r="AA5" s="33">
        <v>24</v>
      </c>
      <c r="AB5" s="34" t="s">
        <v>2</v>
      </c>
      <c r="AC5" s="35" t="s">
        <v>3</v>
      </c>
      <c r="AD5" s="36" t="s">
        <v>2</v>
      </c>
    </row>
    <row r="6" spans="2:31">
      <c r="B6" s="67">
        <v>46388</v>
      </c>
      <c r="C6" s="37" t="s">
        <v>5</v>
      </c>
      <c r="D6" s="2">
        <v>3530.48</v>
      </c>
      <c r="E6" s="2">
        <v>3530.48</v>
      </c>
      <c r="F6" s="2">
        <v>3530.48</v>
      </c>
      <c r="G6" s="2">
        <v>3530.48</v>
      </c>
      <c r="H6" s="2">
        <v>3530.48</v>
      </c>
      <c r="I6" s="2">
        <v>3530.48</v>
      </c>
      <c r="J6" s="2">
        <v>3530.48</v>
      </c>
      <c r="K6" s="2">
        <v>3530.48</v>
      </c>
      <c r="L6" s="2">
        <v>3530.48</v>
      </c>
      <c r="M6" s="2">
        <v>3530.48</v>
      </c>
      <c r="N6" s="2">
        <v>3530.48</v>
      </c>
      <c r="O6" s="2">
        <v>3530.48</v>
      </c>
      <c r="P6" s="2">
        <v>3530.48</v>
      </c>
      <c r="Q6" s="2">
        <v>3530.48</v>
      </c>
      <c r="R6" s="2">
        <v>3530.48</v>
      </c>
      <c r="S6" s="2">
        <v>3530.48</v>
      </c>
      <c r="T6" s="2">
        <v>3530.48</v>
      </c>
      <c r="U6" s="2">
        <v>3530.48</v>
      </c>
      <c r="V6" s="2">
        <v>3530.48</v>
      </c>
      <c r="W6" s="2">
        <v>3530.48</v>
      </c>
      <c r="X6" s="2">
        <v>3530.48</v>
      </c>
      <c r="Y6" s="2">
        <v>3530.48</v>
      </c>
      <c r="Z6" s="2">
        <v>3530.48</v>
      </c>
      <c r="AA6" s="4">
        <v>3530.48</v>
      </c>
      <c r="AB6" s="38">
        <f t="shared" ref="AB6:AB33" si="0">(SUM(D6:AA6))</f>
        <v>84731.520000000004</v>
      </c>
      <c r="AC6" s="38">
        <v>19</v>
      </c>
      <c r="AD6" s="70">
        <f>(AB6*AC6)+(AB7*AC7)+(AB8*AC8)+(AB9*AC9)</f>
        <v>2626677.12</v>
      </c>
      <c r="AE6" s="20">
        <f>+AD6</f>
        <v>2626677.12</v>
      </c>
    </row>
    <row r="7" spans="2:31">
      <c r="B7" s="68"/>
      <c r="C7" s="39" t="s">
        <v>6</v>
      </c>
      <c r="D7" s="1">
        <v>3530.48</v>
      </c>
      <c r="E7" s="1">
        <v>3530.48</v>
      </c>
      <c r="F7" s="1">
        <v>3530.48</v>
      </c>
      <c r="G7" s="1">
        <v>3530.48</v>
      </c>
      <c r="H7" s="1">
        <v>3530.48</v>
      </c>
      <c r="I7" s="1">
        <v>3530.48</v>
      </c>
      <c r="J7" s="1">
        <v>3530.48</v>
      </c>
      <c r="K7" s="1">
        <v>3530.48</v>
      </c>
      <c r="L7" s="1">
        <v>3530.48</v>
      </c>
      <c r="M7" s="1">
        <v>3530.48</v>
      </c>
      <c r="N7" s="1">
        <v>3530.48</v>
      </c>
      <c r="O7" s="1">
        <v>3530.48</v>
      </c>
      <c r="P7" s="1">
        <v>3530.48</v>
      </c>
      <c r="Q7" s="1">
        <v>3530.48</v>
      </c>
      <c r="R7" s="1">
        <v>3530.48</v>
      </c>
      <c r="S7" s="1">
        <v>3530.48</v>
      </c>
      <c r="T7" s="1">
        <v>3530.48</v>
      </c>
      <c r="U7" s="1">
        <v>3530.48</v>
      </c>
      <c r="V7" s="1">
        <v>3530.48</v>
      </c>
      <c r="W7" s="1">
        <v>3530.48</v>
      </c>
      <c r="X7" s="1">
        <v>3530.48</v>
      </c>
      <c r="Y7" s="1">
        <v>3530.48</v>
      </c>
      <c r="Z7" s="1">
        <v>3530.48</v>
      </c>
      <c r="AA7" s="5">
        <v>3530.48</v>
      </c>
      <c r="AB7" s="40">
        <f t="shared" si="0"/>
        <v>84731.520000000004</v>
      </c>
      <c r="AC7" s="40">
        <v>5</v>
      </c>
      <c r="AD7" s="71"/>
      <c r="AE7" s="20">
        <f>+AD10</f>
        <v>2626680</v>
      </c>
    </row>
    <row r="8" spans="2:31">
      <c r="B8" s="68"/>
      <c r="C8" s="39" t="s">
        <v>7</v>
      </c>
      <c r="D8" s="1">
        <v>3530.48</v>
      </c>
      <c r="E8" s="1">
        <v>3530.48</v>
      </c>
      <c r="F8" s="1">
        <v>3530.48</v>
      </c>
      <c r="G8" s="1">
        <v>3530.48</v>
      </c>
      <c r="H8" s="1">
        <v>3530.48</v>
      </c>
      <c r="I8" s="1">
        <v>3530.48</v>
      </c>
      <c r="J8" s="1">
        <v>3530.48</v>
      </c>
      <c r="K8" s="1">
        <v>3530.48</v>
      </c>
      <c r="L8" s="1">
        <v>3530.48</v>
      </c>
      <c r="M8" s="1">
        <v>3530.48</v>
      </c>
      <c r="N8" s="1">
        <v>3530.48</v>
      </c>
      <c r="O8" s="1">
        <v>3530.48</v>
      </c>
      <c r="P8" s="1">
        <v>3530.48</v>
      </c>
      <c r="Q8" s="1">
        <v>3530.48</v>
      </c>
      <c r="R8" s="1">
        <v>3530.48</v>
      </c>
      <c r="S8" s="1">
        <v>3530.48</v>
      </c>
      <c r="T8" s="1">
        <v>3530.48</v>
      </c>
      <c r="U8" s="1">
        <v>3530.48</v>
      </c>
      <c r="V8" s="1">
        <v>3530.48</v>
      </c>
      <c r="W8" s="1">
        <v>3530.48</v>
      </c>
      <c r="X8" s="1">
        <v>3530.48</v>
      </c>
      <c r="Y8" s="1">
        <v>3530.48</v>
      </c>
      <c r="Z8" s="1">
        <v>3530.48</v>
      </c>
      <c r="AA8" s="5">
        <v>3530.48</v>
      </c>
      <c r="AB8" s="40">
        <f t="shared" si="0"/>
        <v>84731.520000000004</v>
      </c>
      <c r="AC8" s="40">
        <v>5</v>
      </c>
      <c r="AD8" s="71"/>
      <c r="AE8" s="20">
        <f>+AD14</f>
        <v>2626677.12</v>
      </c>
    </row>
    <row r="9" spans="2:31" ht="15" thickBot="1">
      <c r="B9" s="69"/>
      <c r="C9" s="41" t="s">
        <v>8</v>
      </c>
      <c r="D9" s="3">
        <v>3530.48</v>
      </c>
      <c r="E9" s="3">
        <v>3530.48</v>
      </c>
      <c r="F9" s="3">
        <v>3530.48</v>
      </c>
      <c r="G9" s="3">
        <v>3530.48</v>
      </c>
      <c r="H9" s="3">
        <v>3530.48</v>
      </c>
      <c r="I9" s="3">
        <v>3530.48</v>
      </c>
      <c r="J9" s="3">
        <v>3530.48</v>
      </c>
      <c r="K9" s="3">
        <v>3530.48</v>
      </c>
      <c r="L9" s="3">
        <v>3530.48</v>
      </c>
      <c r="M9" s="3">
        <v>3530.48</v>
      </c>
      <c r="N9" s="3">
        <v>3530.48</v>
      </c>
      <c r="O9" s="3">
        <v>3530.48</v>
      </c>
      <c r="P9" s="3">
        <v>3530.48</v>
      </c>
      <c r="Q9" s="3">
        <v>3530.48</v>
      </c>
      <c r="R9" s="3">
        <v>3530.48</v>
      </c>
      <c r="S9" s="3">
        <v>3530.48</v>
      </c>
      <c r="T9" s="3">
        <v>3530.48</v>
      </c>
      <c r="U9" s="3">
        <v>3530.48</v>
      </c>
      <c r="V9" s="3">
        <v>3530.48</v>
      </c>
      <c r="W9" s="3">
        <v>3530.48</v>
      </c>
      <c r="X9" s="3">
        <v>3530.48</v>
      </c>
      <c r="Y9" s="3">
        <v>3530.48</v>
      </c>
      <c r="Z9" s="3">
        <v>3530.48</v>
      </c>
      <c r="AA9" s="6">
        <v>3530.48</v>
      </c>
      <c r="AB9" s="42">
        <f t="shared" si="0"/>
        <v>84731.520000000004</v>
      </c>
      <c r="AC9" s="42">
        <v>2</v>
      </c>
      <c r="AD9" s="72"/>
      <c r="AE9" s="20">
        <f>+AD18</f>
        <v>2626682.399999999</v>
      </c>
    </row>
    <row r="10" spans="2:31">
      <c r="B10" s="67">
        <v>46419</v>
      </c>
      <c r="C10" s="37" t="s">
        <v>5</v>
      </c>
      <c r="D10" s="2">
        <v>3908.75</v>
      </c>
      <c r="E10" s="2">
        <v>3908.75</v>
      </c>
      <c r="F10" s="2">
        <v>3908.75</v>
      </c>
      <c r="G10" s="2">
        <v>3908.75</v>
      </c>
      <c r="H10" s="2">
        <v>3908.75</v>
      </c>
      <c r="I10" s="2">
        <v>3908.75</v>
      </c>
      <c r="J10" s="2">
        <v>3908.75</v>
      </c>
      <c r="K10" s="2">
        <v>3908.75</v>
      </c>
      <c r="L10" s="2">
        <v>3908.75</v>
      </c>
      <c r="M10" s="2">
        <v>3908.75</v>
      </c>
      <c r="N10" s="2">
        <v>3908.75</v>
      </c>
      <c r="O10" s="2">
        <v>3908.75</v>
      </c>
      <c r="P10" s="2">
        <v>3908.75</v>
      </c>
      <c r="Q10" s="2">
        <v>3908.75</v>
      </c>
      <c r="R10" s="2">
        <v>3908.75</v>
      </c>
      <c r="S10" s="2">
        <v>3908.75</v>
      </c>
      <c r="T10" s="2">
        <v>3908.75</v>
      </c>
      <c r="U10" s="2">
        <v>3908.75</v>
      </c>
      <c r="V10" s="2">
        <v>3908.75</v>
      </c>
      <c r="W10" s="2">
        <v>3908.75</v>
      </c>
      <c r="X10" s="2">
        <v>3908.75</v>
      </c>
      <c r="Y10" s="2">
        <v>3908.75</v>
      </c>
      <c r="Z10" s="2">
        <v>3908.75</v>
      </c>
      <c r="AA10" s="4">
        <v>3908.75</v>
      </c>
      <c r="AB10" s="38">
        <f t="shared" si="0"/>
        <v>93810</v>
      </c>
      <c r="AC10" s="38">
        <v>20</v>
      </c>
      <c r="AD10" s="70">
        <f>(AB10*AC10)+(AB11*AC11)+(AB12*AC12)+(AB13*AC13)</f>
        <v>2626680</v>
      </c>
      <c r="AE10" s="20">
        <f>+AD22</f>
        <v>2626677.12</v>
      </c>
    </row>
    <row r="11" spans="2:31">
      <c r="B11" s="68"/>
      <c r="C11" s="39" t="s">
        <v>6</v>
      </c>
      <c r="D11" s="1">
        <v>3908.75</v>
      </c>
      <c r="E11" s="1">
        <v>3908.75</v>
      </c>
      <c r="F11" s="1">
        <v>3908.75</v>
      </c>
      <c r="G11" s="1">
        <v>3908.75</v>
      </c>
      <c r="H11" s="1">
        <v>3908.75</v>
      </c>
      <c r="I11" s="1">
        <v>3908.75</v>
      </c>
      <c r="J11" s="1">
        <v>3908.75</v>
      </c>
      <c r="K11" s="1">
        <v>3908.75</v>
      </c>
      <c r="L11" s="1">
        <v>3908.75</v>
      </c>
      <c r="M11" s="1">
        <v>3908.75</v>
      </c>
      <c r="N11" s="1">
        <v>3908.75</v>
      </c>
      <c r="O11" s="1">
        <v>3908.75</v>
      </c>
      <c r="P11" s="1">
        <v>3908.75</v>
      </c>
      <c r="Q11" s="1">
        <v>3908.75</v>
      </c>
      <c r="R11" s="1">
        <v>3908.75</v>
      </c>
      <c r="S11" s="1">
        <v>3908.75</v>
      </c>
      <c r="T11" s="1">
        <v>3908.75</v>
      </c>
      <c r="U11" s="1">
        <v>3908.75</v>
      </c>
      <c r="V11" s="1">
        <v>3908.75</v>
      </c>
      <c r="W11" s="1">
        <v>3908.75</v>
      </c>
      <c r="X11" s="1">
        <v>3908.75</v>
      </c>
      <c r="Y11" s="1">
        <v>3908.75</v>
      </c>
      <c r="Z11" s="1">
        <v>3908.75</v>
      </c>
      <c r="AA11" s="5">
        <v>3908.75</v>
      </c>
      <c r="AB11" s="40">
        <f t="shared" si="0"/>
        <v>93810</v>
      </c>
      <c r="AC11" s="40">
        <v>4</v>
      </c>
      <c r="AD11" s="71"/>
      <c r="AE11" s="20">
        <f>+AD26</f>
        <v>2626682.3999999994</v>
      </c>
    </row>
    <row r="12" spans="2:31">
      <c r="B12" s="68"/>
      <c r="C12" s="39" t="s">
        <v>7</v>
      </c>
      <c r="D12" s="1">
        <v>3908.75</v>
      </c>
      <c r="E12" s="1">
        <v>3908.75</v>
      </c>
      <c r="F12" s="1">
        <v>3908.75</v>
      </c>
      <c r="G12" s="1">
        <v>3908.75</v>
      </c>
      <c r="H12" s="1">
        <v>3908.75</v>
      </c>
      <c r="I12" s="1">
        <v>3908.75</v>
      </c>
      <c r="J12" s="1">
        <v>3908.75</v>
      </c>
      <c r="K12" s="1">
        <v>3908.75</v>
      </c>
      <c r="L12" s="1">
        <v>3908.75</v>
      </c>
      <c r="M12" s="1">
        <v>3908.75</v>
      </c>
      <c r="N12" s="1">
        <v>3908.75</v>
      </c>
      <c r="O12" s="1">
        <v>3908.75</v>
      </c>
      <c r="P12" s="1">
        <v>3908.75</v>
      </c>
      <c r="Q12" s="1">
        <v>3908.75</v>
      </c>
      <c r="R12" s="1">
        <v>3908.75</v>
      </c>
      <c r="S12" s="1">
        <v>3908.75</v>
      </c>
      <c r="T12" s="1">
        <v>3908.75</v>
      </c>
      <c r="U12" s="1">
        <v>3908.75</v>
      </c>
      <c r="V12" s="1">
        <v>3908.75</v>
      </c>
      <c r="W12" s="1">
        <v>3908.75</v>
      </c>
      <c r="X12" s="1">
        <v>3908.75</v>
      </c>
      <c r="Y12" s="1">
        <v>3908.75</v>
      </c>
      <c r="Z12" s="1">
        <v>3908.75</v>
      </c>
      <c r="AA12" s="5">
        <v>3908.75</v>
      </c>
      <c r="AB12" s="40">
        <f t="shared" si="0"/>
        <v>93810</v>
      </c>
      <c r="AC12" s="40">
        <v>4</v>
      </c>
      <c r="AD12" s="71"/>
      <c r="AE12" s="20">
        <f>+AD30</f>
        <v>2626677.12</v>
      </c>
    </row>
    <row r="13" spans="2:31" ht="15" thickBot="1">
      <c r="B13" s="69"/>
      <c r="C13" s="41" t="s">
        <v>8</v>
      </c>
      <c r="D13" s="3">
        <v>3908.75</v>
      </c>
      <c r="E13" s="3">
        <v>3908.75</v>
      </c>
      <c r="F13" s="3">
        <v>3908.75</v>
      </c>
      <c r="G13" s="3">
        <v>3908.75</v>
      </c>
      <c r="H13" s="3">
        <v>3908.75</v>
      </c>
      <c r="I13" s="3">
        <v>3908.75</v>
      </c>
      <c r="J13" s="3">
        <v>3908.75</v>
      </c>
      <c r="K13" s="3">
        <v>3908.75</v>
      </c>
      <c r="L13" s="3">
        <v>3908.75</v>
      </c>
      <c r="M13" s="3">
        <v>3908.75</v>
      </c>
      <c r="N13" s="3">
        <v>3908.75</v>
      </c>
      <c r="O13" s="3">
        <v>3908.75</v>
      </c>
      <c r="P13" s="3">
        <v>3908.75</v>
      </c>
      <c r="Q13" s="3">
        <v>3908.75</v>
      </c>
      <c r="R13" s="3">
        <v>3908.75</v>
      </c>
      <c r="S13" s="3">
        <v>3908.75</v>
      </c>
      <c r="T13" s="3">
        <v>3908.75</v>
      </c>
      <c r="U13" s="3">
        <v>3908.75</v>
      </c>
      <c r="V13" s="3">
        <v>3908.75</v>
      </c>
      <c r="W13" s="3">
        <v>3908.75</v>
      </c>
      <c r="X13" s="3">
        <v>3908.75</v>
      </c>
      <c r="Y13" s="3">
        <v>3908.75</v>
      </c>
      <c r="Z13" s="3">
        <v>3908.75</v>
      </c>
      <c r="AA13" s="6">
        <v>3908.75</v>
      </c>
      <c r="AB13" s="42">
        <f t="shared" si="0"/>
        <v>93810</v>
      </c>
      <c r="AC13" s="42">
        <v>0</v>
      </c>
      <c r="AD13" s="72"/>
      <c r="AE13" s="20" t="e">
        <f>+#REF!</f>
        <v>#REF!</v>
      </c>
    </row>
    <row r="14" spans="2:31">
      <c r="B14" s="67">
        <v>46447</v>
      </c>
      <c r="C14" s="37" t="s">
        <v>5</v>
      </c>
      <c r="D14" s="2">
        <v>3530.48</v>
      </c>
      <c r="E14" s="2">
        <v>3530.48</v>
      </c>
      <c r="F14" s="2">
        <v>3530.48</v>
      </c>
      <c r="G14" s="2">
        <v>3530.48</v>
      </c>
      <c r="H14" s="2">
        <v>3530.48</v>
      </c>
      <c r="I14" s="2">
        <v>3530.48</v>
      </c>
      <c r="J14" s="2">
        <v>3530.48</v>
      </c>
      <c r="K14" s="2">
        <v>3530.48</v>
      </c>
      <c r="L14" s="2">
        <v>3530.48</v>
      </c>
      <c r="M14" s="2">
        <v>3530.48</v>
      </c>
      <c r="N14" s="2">
        <v>3530.48</v>
      </c>
      <c r="O14" s="2">
        <v>3530.48</v>
      </c>
      <c r="P14" s="2">
        <v>3530.48</v>
      </c>
      <c r="Q14" s="2">
        <v>3530.48</v>
      </c>
      <c r="R14" s="2">
        <v>3530.48</v>
      </c>
      <c r="S14" s="2">
        <v>3530.48</v>
      </c>
      <c r="T14" s="2">
        <v>3530.48</v>
      </c>
      <c r="U14" s="2">
        <v>3530.48</v>
      </c>
      <c r="V14" s="2">
        <v>3530.48</v>
      </c>
      <c r="W14" s="2">
        <v>3530.48</v>
      </c>
      <c r="X14" s="2">
        <v>3530.48</v>
      </c>
      <c r="Y14" s="2">
        <v>3530.48</v>
      </c>
      <c r="Z14" s="2">
        <v>3530.48</v>
      </c>
      <c r="AA14" s="4">
        <v>3530.48</v>
      </c>
      <c r="AB14" s="38">
        <f t="shared" si="0"/>
        <v>84731.520000000004</v>
      </c>
      <c r="AC14" s="38">
        <v>20</v>
      </c>
      <c r="AD14" s="70">
        <f>(AB14*AC14)+(AB15*AC15)+(AB16*AC16)+(AB17*AC17)</f>
        <v>2626677.12</v>
      </c>
      <c r="AE14" s="20" t="e">
        <f>+#REF!</f>
        <v>#REF!</v>
      </c>
    </row>
    <row r="15" spans="2:31">
      <c r="B15" s="68"/>
      <c r="C15" s="39" t="s">
        <v>6</v>
      </c>
      <c r="D15" s="1">
        <v>3530.48</v>
      </c>
      <c r="E15" s="1">
        <v>3530.48</v>
      </c>
      <c r="F15" s="1">
        <v>3530.48</v>
      </c>
      <c r="G15" s="1">
        <v>3530.48</v>
      </c>
      <c r="H15" s="1">
        <v>3530.48</v>
      </c>
      <c r="I15" s="1">
        <v>3530.48</v>
      </c>
      <c r="J15" s="1">
        <v>3530.48</v>
      </c>
      <c r="K15" s="1">
        <v>3530.48</v>
      </c>
      <c r="L15" s="1">
        <v>3530.48</v>
      </c>
      <c r="M15" s="1">
        <v>3530.48</v>
      </c>
      <c r="N15" s="1">
        <v>3530.48</v>
      </c>
      <c r="O15" s="1">
        <v>3530.48</v>
      </c>
      <c r="P15" s="1">
        <v>3530.48</v>
      </c>
      <c r="Q15" s="1">
        <v>3530.48</v>
      </c>
      <c r="R15" s="1">
        <v>3530.48</v>
      </c>
      <c r="S15" s="1">
        <v>3530.48</v>
      </c>
      <c r="T15" s="1">
        <v>3530.48</v>
      </c>
      <c r="U15" s="1">
        <v>3530.48</v>
      </c>
      <c r="V15" s="1">
        <v>3530.48</v>
      </c>
      <c r="W15" s="1">
        <v>3530.48</v>
      </c>
      <c r="X15" s="1">
        <v>3530.48</v>
      </c>
      <c r="Y15" s="1">
        <v>3530.48</v>
      </c>
      <c r="Z15" s="1">
        <v>3530.48</v>
      </c>
      <c r="AA15" s="5">
        <v>3530.48</v>
      </c>
      <c r="AB15" s="40">
        <f t="shared" si="0"/>
        <v>84731.520000000004</v>
      </c>
      <c r="AC15" s="40">
        <v>4</v>
      </c>
      <c r="AD15" s="71"/>
      <c r="AE15" s="20" t="e">
        <f>+#REF!</f>
        <v>#REF!</v>
      </c>
    </row>
    <row r="16" spans="2:31">
      <c r="B16" s="68"/>
      <c r="C16" s="39" t="s">
        <v>7</v>
      </c>
      <c r="D16" s="1">
        <v>3530.48</v>
      </c>
      <c r="E16" s="1">
        <v>3530.48</v>
      </c>
      <c r="F16" s="1">
        <v>3530.48</v>
      </c>
      <c r="G16" s="1">
        <v>3530.48</v>
      </c>
      <c r="H16" s="1">
        <v>3530.48</v>
      </c>
      <c r="I16" s="1">
        <v>3530.48</v>
      </c>
      <c r="J16" s="1">
        <v>3530.48</v>
      </c>
      <c r="K16" s="1">
        <v>3530.48</v>
      </c>
      <c r="L16" s="1">
        <v>3530.48</v>
      </c>
      <c r="M16" s="1">
        <v>3530.48</v>
      </c>
      <c r="N16" s="1">
        <v>3530.48</v>
      </c>
      <c r="O16" s="1">
        <v>3530.48</v>
      </c>
      <c r="P16" s="1">
        <v>3530.48</v>
      </c>
      <c r="Q16" s="1">
        <v>3530.48</v>
      </c>
      <c r="R16" s="1">
        <v>3530.48</v>
      </c>
      <c r="S16" s="1">
        <v>3530.48</v>
      </c>
      <c r="T16" s="1">
        <v>3530.48</v>
      </c>
      <c r="U16" s="1">
        <v>3530.48</v>
      </c>
      <c r="V16" s="1">
        <v>3530.48</v>
      </c>
      <c r="W16" s="1">
        <v>3530.48</v>
      </c>
      <c r="X16" s="1">
        <v>3530.48</v>
      </c>
      <c r="Y16" s="1">
        <v>3530.48</v>
      </c>
      <c r="Z16" s="1">
        <v>3530.48</v>
      </c>
      <c r="AA16" s="5">
        <v>3530.48</v>
      </c>
      <c r="AB16" s="40">
        <f t="shared" si="0"/>
        <v>84731.520000000004</v>
      </c>
      <c r="AC16" s="40">
        <v>4</v>
      </c>
      <c r="AD16" s="71"/>
      <c r="AE16" s="20" t="e">
        <f>+#REF!</f>
        <v>#REF!</v>
      </c>
    </row>
    <row r="17" spans="2:31" ht="15" thickBot="1">
      <c r="B17" s="69"/>
      <c r="C17" s="41" t="s">
        <v>8</v>
      </c>
      <c r="D17" s="3">
        <v>3530.48</v>
      </c>
      <c r="E17" s="3">
        <v>3530.48</v>
      </c>
      <c r="F17" s="3">
        <v>3530.48</v>
      </c>
      <c r="G17" s="3">
        <v>3530.48</v>
      </c>
      <c r="H17" s="3">
        <v>3530.48</v>
      </c>
      <c r="I17" s="3">
        <v>3530.48</v>
      </c>
      <c r="J17" s="3">
        <v>3530.48</v>
      </c>
      <c r="K17" s="3">
        <v>3530.48</v>
      </c>
      <c r="L17" s="3">
        <v>3530.48</v>
      </c>
      <c r="M17" s="3">
        <v>3530.48</v>
      </c>
      <c r="N17" s="3">
        <v>3530.48</v>
      </c>
      <c r="O17" s="3">
        <v>3530.48</v>
      </c>
      <c r="P17" s="3">
        <v>3530.48</v>
      </c>
      <c r="Q17" s="3">
        <v>3530.48</v>
      </c>
      <c r="R17" s="3">
        <v>3530.48</v>
      </c>
      <c r="S17" s="3">
        <v>3530.48</v>
      </c>
      <c r="T17" s="3">
        <v>3530.48</v>
      </c>
      <c r="U17" s="3">
        <v>3530.48</v>
      </c>
      <c r="V17" s="3">
        <v>3530.48</v>
      </c>
      <c r="W17" s="3">
        <v>3530.48</v>
      </c>
      <c r="X17" s="3">
        <v>3530.48</v>
      </c>
      <c r="Y17" s="3">
        <v>3530.48</v>
      </c>
      <c r="Z17" s="3">
        <v>3530.48</v>
      </c>
      <c r="AA17" s="6">
        <v>3530.48</v>
      </c>
      <c r="AB17" s="42">
        <f t="shared" si="0"/>
        <v>84731.520000000004</v>
      </c>
      <c r="AC17" s="42">
        <v>3</v>
      </c>
      <c r="AD17" s="72"/>
      <c r="AE17" s="20" t="e">
        <f>+#REF!</f>
        <v>#REF!</v>
      </c>
    </row>
    <row r="18" spans="2:31">
      <c r="B18" s="67">
        <v>46478</v>
      </c>
      <c r="C18" s="37" t="s">
        <v>5</v>
      </c>
      <c r="D18" s="2">
        <v>3648.17</v>
      </c>
      <c r="E18" s="2">
        <v>3648.17</v>
      </c>
      <c r="F18" s="2">
        <v>3648.17</v>
      </c>
      <c r="G18" s="2">
        <v>3648.17</v>
      </c>
      <c r="H18" s="2">
        <v>3648.17</v>
      </c>
      <c r="I18" s="2">
        <v>3648.17</v>
      </c>
      <c r="J18" s="2">
        <v>3648.17</v>
      </c>
      <c r="K18" s="2">
        <v>3648.17</v>
      </c>
      <c r="L18" s="2">
        <v>3648.17</v>
      </c>
      <c r="M18" s="2">
        <v>3648.17</v>
      </c>
      <c r="N18" s="2">
        <v>3648.17</v>
      </c>
      <c r="O18" s="2">
        <v>3648.17</v>
      </c>
      <c r="P18" s="2">
        <v>3648.17</v>
      </c>
      <c r="Q18" s="2">
        <v>3648.17</v>
      </c>
      <c r="R18" s="2">
        <v>3648.17</v>
      </c>
      <c r="S18" s="2">
        <v>3648.17</v>
      </c>
      <c r="T18" s="2">
        <v>3648.17</v>
      </c>
      <c r="U18" s="2">
        <v>3648.17</v>
      </c>
      <c r="V18" s="2">
        <v>3648.17</v>
      </c>
      <c r="W18" s="2">
        <v>3648.17</v>
      </c>
      <c r="X18" s="2">
        <v>3648.17</v>
      </c>
      <c r="Y18" s="2">
        <v>3648.17</v>
      </c>
      <c r="Z18" s="2">
        <v>3648.17</v>
      </c>
      <c r="AA18" s="4">
        <v>3648.17</v>
      </c>
      <c r="AB18" s="38">
        <f t="shared" si="0"/>
        <v>87556.079999999973</v>
      </c>
      <c r="AC18" s="38">
        <v>22</v>
      </c>
      <c r="AD18" s="70">
        <f>(AB18*AC18)+(AB19*AC19)+(AB20*AC20)+(AB21*AC21)</f>
        <v>2626682.399999999</v>
      </c>
      <c r="AE18" s="20"/>
    </row>
    <row r="19" spans="2:31">
      <c r="B19" s="68"/>
      <c r="C19" s="39" t="s">
        <v>6</v>
      </c>
      <c r="D19" s="1">
        <v>3648.17</v>
      </c>
      <c r="E19" s="1">
        <v>3648.17</v>
      </c>
      <c r="F19" s="1">
        <v>3648.17</v>
      </c>
      <c r="G19" s="1">
        <v>3648.17</v>
      </c>
      <c r="H19" s="1">
        <v>3648.17</v>
      </c>
      <c r="I19" s="1">
        <v>3648.17</v>
      </c>
      <c r="J19" s="1">
        <v>3648.17</v>
      </c>
      <c r="K19" s="1">
        <v>3648.17</v>
      </c>
      <c r="L19" s="1">
        <v>3648.17</v>
      </c>
      <c r="M19" s="1">
        <v>3648.17</v>
      </c>
      <c r="N19" s="1">
        <v>3648.17</v>
      </c>
      <c r="O19" s="1">
        <v>3648.17</v>
      </c>
      <c r="P19" s="1">
        <v>3648.17</v>
      </c>
      <c r="Q19" s="1">
        <v>3648.17</v>
      </c>
      <c r="R19" s="1">
        <v>3648.17</v>
      </c>
      <c r="S19" s="1">
        <v>3648.17</v>
      </c>
      <c r="T19" s="1">
        <v>3648.17</v>
      </c>
      <c r="U19" s="1">
        <v>3648.17</v>
      </c>
      <c r="V19" s="1">
        <v>3648.17</v>
      </c>
      <c r="W19" s="1">
        <v>3648.17</v>
      </c>
      <c r="X19" s="1">
        <v>3648.17</v>
      </c>
      <c r="Y19" s="1">
        <v>3648.17</v>
      </c>
      <c r="Z19" s="1">
        <v>3648.17</v>
      </c>
      <c r="AA19" s="5">
        <v>3648.17</v>
      </c>
      <c r="AB19" s="40">
        <f t="shared" si="0"/>
        <v>87556.079999999973</v>
      </c>
      <c r="AC19" s="40">
        <v>4</v>
      </c>
      <c r="AD19" s="71"/>
      <c r="AE19" s="20"/>
    </row>
    <row r="20" spans="2:31">
      <c r="B20" s="68"/>
      <c r="C20" s="39" t="s">
        <v>7</v>
      </c>
      <c r="D20" s="1">
        <v>3648.17</v>
      </c>
      <c r="E20" s="1">
        <v>3648.17</v>
      </c>
      <c r="F20" s="1">
        <v>3648.17</v>
      </c>
      <c r="G20" s="1">
        <v>3648.17</v>
      </c>
      <c r="H20" s="1">
        <v>3648.17</v>
      </c>
      <c r="I20" s="1">
        <v>3648.17</v>
      </c>
      <c r="J20" s="1">
        <v>3648.17</v>
      </c>
      <c r="K20" s="1">
        <v>3648.17</v>
      </c>
      <c r="L20" s="1">
        <v>3648.17</v>
      </c>
      <c r="M20" s="1">
        <v>3648.17</v>
      </c>
      <c r="N20" s="1">
        <v>3648.17</v>
      </c>
      <c r="O20" s="1">
        <v>3648.17</v>
      </c>
      <c r="P20" s="1">
        <v>3648.17</v>
      </c>
      <c r="Q20" s="1">
        <v>3648.17</v>
      </c>
      <c r="R20" s="1">
        <v>3648.17</v>
      </c>
      <c r="S20" s="1">
        <v>3648.17</v>
      </c>
      <c r="T20" s="1">
        <v>3648.17</v>
      </c>
      <c r="U20" s="1">
        <v>3648.17</v>
      </c>
      <c r="V20" s="1">
        <v>3648.17</v>
      </c>
      <c r="W20" s="1">
        <v>3648.17</v>
      </c>
      <c r="X20" s="1">
        <v>3648.17</v>
      </c>
      <c r="Y20" s="1">
        <v>3648.17</v>
      </c>
      <c r="Z20" s="1">
        <v>3648.17</v>
      </c>
      <c r="AA20" s="5">
        <v>3648.17</v>
      </c>
      <c r="AB20" s="40">
        <f t="shared" si="0"/>
        <v>87556.079999999973</v>
      </c>
      <c r="AC20" s="40">
        <v>4</v>
      </c>
      <c r="AD20" s="71"/>
      <c r="AE20" s="20"/>
    </row>
    <row r="21" spans="2:31" ht="15" thickBot="1">
      <c r="B21" s="69"/>
      <c r="C21" s="41" t="s">
        <v>8</v>
      </c>
      <c r="D21" s="3">
        <v>3648.17</v>
      </c>
      <c r="E21" s="3">
        <v>3648.17</v>
      </c>
      <c r="F21" s="3">
        <v>3648.17</v>
      </c>
      <c r="G21" s="3">
        <v>3648.17</v>
      </c>
      <c r="H21" s="3">
        <v>3648.17</v>
      </c>
      <c r="I21" s="3">
        <v>3648.17</v>
      </c>
      <c r="J21" s="3">
        <v>3648.17</v>
      </c>
      <c r="K21" s="3">
        <v>3648.17</v>
      </c>
      <c r="L21" s="3">
        <v>3648.17</v>
      </c>
      <c r="M21" s="3">
        <v>3648.17</v>
      </c>
      <c r="N21" s="3">
        <v>3648.17</v>
      </c>
      <c r="O21" s="3">
        <v>3648.17</v>
      </c>
      <c r="P21" s="3">
        <v>3648.17</v>
      </c>
      <c r="Q21" s="3">
        <v>3648.17</v>
      </c>
      <c r="R21" s="3">
        <v>3648.17</v>
      </c>
      <c r="S21" s="3">
        <v>3648.17</v>
      </c>
      <c r="T21" s="3">
        <v>3648.17</v>
      </c>
      <c r="U21" s="3">
        <v>3648.17</v>
      </c>
      <c r="V21" s="3">
        <v>3648.17</v>
      </c>
      <c r="W21" s="3">
        <v>3648.17</v>
      </c>
      <c r="X21" s="3">
        <v>3648.17</v>
      </c>
      <c r="Y21" s="3">
        <v>3648.17</v>
      </c>
      <c r="Z21" s="3">
        <v>3648.17</v>
      </c>
      <c r="AA21" s="6">
        <v>3648.17</v>
      </c>
      <c r="AB21" s="42">
        <f t="shared" si="0"/>
        <v>87556.079999999973</v>
      </c>
      <c r="AC21" s="42">
        <v>0</v>
      </c>
      <c r="AD21" s="72"/>
      <c r="AE21" s="20"/>
    </row>
    <row r="22" spans="2:31">
      <c r="B22" s="67">
        <v>46508</v>
      </c>
      <c r="C22" s="37" t="s">
        <v>5</v>
      </c>
      <c r="D22" s="2">
        <v>3530.48</v>
      </c>
      <c r="E22" s="2">
        <v>3530.48</v>
      </c>
      <c r="F22" s="2">
        <v>3530.48</v>
      </c>
      <c r="G22" s="2">
        <v>3530.48</v>
      </c>
      <c r="H22" s="2">
        <v>3530.48</v>
      </c>
      <c r="I22" s="2">
        <v>3530.48</v>
      </c>
      <c r="J22" s="2">
        <v>3530.48</v>
      </c>
      <c r="K22" s="2">
        <v>3530.48</v>
      </c>
      <c r="L22" s="2">
        <v>3530.48</v>
      </c>
      <c r="M22" s="2">
        <v>3530.48</v>
      </c>
      <c r="N22" s="2">
        <v>3530.48</v>
      </c>
      <c r="O22" s="2">
        <v>3530.48</v>
      </c>
      <c r="P22" s="2">
        <v>3530.48</v>
      </c>
      <c r="Q22" s="2">
        <v>3530.48</v>
      </c>
      <c r="R22" s="2">
        <v>3530.48</v>
      </c>
      <c r="S22" s="2">
        <v>3530.48</v>
      </c>
      <c r="T22" s="2">
        <v>3530.48</v>
      </c>
      <c r="U22" s="2">
        <v>3530.48</v>
      </c>
      <c r="V22" s="2">
        <v>3530.48</v>
      </c>
      <c r="W22" s="2">
        <v>3530.48</v>
      </c>
      <c r="X22" s="2">
        <v>3530.48</v>
      </c>
      <c r="Y22" s="2">
        <v>3530.48</v>
      </c>
      <c r="Z22" s="2">
        <v>3530.48</v>
      </c>
      <c r="AA22" s="4">
        <v>3530.48</v>
      </c>
      <c r="AB22" s="38">
        <f t="shared" si="0"/>
        <v>84731.520000000004</v>
      </c>
      <c r="AC22" s="38">
        <v>19</v>
      </c>
      <c r="AD22" s="70">
        <f>(AB22*AC22)+(AB23*AC23)+(AB24*AC24)+(AB25*AC25)</f>
        <v>2626677.12</v>
      </c>
      <c r="AE22" s="20"/>
    </row>
    <row r="23" spans="2:31">
      <c r="B23" s="68"/>
      <c r="C23" s="39" t="s">
        <v>6</v>
      </c>
      <c r="D23" s="1">
        <v>3530.48</v>
      </c>
      <c r="E23" s="1">
        <v>3530.48</v>
      </c>
      <c r="F23" s="1">
        <v>3530.48</v>
      </c>
      <c r="G23" s="1">
        <v>3530.48</v>
      </c>
      <c r="H23" s="1">
        <v>3530.48</v>
      </c>
      <c r="I23" s="1">
        <v>3530.48</v>
      </c>
      <c r="J23" s="1">
        <v>3530.48</v>
      </c>
      <c r="K23" s="1">
        <v>3530.48</v>
      </c>
      <c r="L23" s="1">
        <v>3530.48</v>
      </c>
      <c r="M23" s="1">
        <v>3530.48</v>
      </c>
      <c r="N23" s="1">
        <v>3530.48</v>
      </c>
      <c r="O23" s="1">
        <v>3530.48</v>
      </c>
      <c r="P23" s="1">
        <v>3530.48</v>
      </c>
      <c r="Q23" s="1">
        <v>3530.48</v>
      </c>
      <c r="R23" s="1">
        <v>3530.48</v>
      </c>
      <c r="S23" s="1">
        <v>3530.48</v>
      </c>
      <c r="T23" s="1">
        <v>3530.48</v>
      </c>
      <c r="U23" s="1">
        <v>3530.48</v>
      </c>
      <c r="V23" s="1">
        <v>3530.48</v>
      </c>
      <c r="W23" s="1">
        <v>3530.48</v>
      </c>
      <c r="X23" s="1">
        <v>3530.48</v>
      </c>
      <c r="Y23" s="1">
        <v>3530.48</v>
      </c>
      <c r="Z23" s="1">
        <v>3530.48</v>
      </c>
      <c r="AA23" s="5">
        <v>3530.48</v>
      </c>
      <c r="AB23" s="40">
        <f t="shared" si="0"/>
        <v>84731.520000000004</v>
      </c>
      <c r="AC23" s="40">
        <v>4</v>
      </c>
      <c r="AD23" s="71"/>
      <c r="AE23" s="20"/>
    </row>
    <row r="24" spans="2:31">
      <c r="B24" s="68"/>
      <c r="C24" s="39" t="s">
        <v>7</v>
      </c>
      <c r="D24" s="1">
        <v>3530.48</v>
      </c>
      <c r="E24" s="1">
        <v>3530.48</v>
      </c>
      <c r="F24" s="1">
        <v>3530.48</v>
      </c>
      <c r="G24" s="1">
        <v>3530.48</v>
      </c>
      <c r="H24" s="1">
        <v>3530.48</v>
      </c>
      <c r="I24" s="1">
        <v>3530.48</v>
      </c>
      <c r="J24" s="1">
        <v>3530.48</v>
      </c>
      <c r="K24" s="1">
        <v>3530.48</v>
      </c>
      <c r="L24" s="1">
        <v>3530.48</v>
      </c>
      <c r="M24" s="1">
        <v>3530.48</v>
      </c>
      <c r="N24" s="1">
        <v>3530.48</v>
      </c>
      <c r="O24" s="1">
        <v>3530.48</v>
      </c>
      <c r="P24" s="1">
        <v>3530.48</v>
      </c>
      <c r="Q24" s="1">
        <v>3530.48</v>
      </c>
      <c r="R24" s="1">
        <v>3530.48</v>
      </c>
      <c r="S24" s="1">
        <v>3530.48</v>
      </c>
      <c r="T24" s="1">
        <v>3530.48</v>
      </c>
      <c r="U24" s="1">
        <v>3530.48</v>
      </c>
      <c r="V24" s="1">
        <v>3530.48</v>
      </c>
      <c r="W24" s="1">
        <v>3530.48</v>
      </c>
      <c r="X24" s="1">
        <v>3530.48</v>
      </c>
      <c r="Y24" s="1">
        <v>3530.48</v>
      </c>
      <c r="Z24" s="1">
        <v>3530.48</v>
      </c>
      <c r="AA24" s="5">
        <v>3530.48</v>
      </c>
      <c r="AB24" s="40">
        <f t="shared" si="0"/>
        <v>84731.520000000004</v>
      </c>
      <c r="AC24" s="40">
        <v>5</v>
      </c>
      <c r="AD24" s="71"/>
      <c r="AE24" s="20"/>
    </row>
    <row r="25" spans="2:31" ht="15" thickBot="1">
      <c r="B25" s="69"/>
      <c r="C25" s="41" t="s">
        <v>8</v>
      </c>
      <c r="D25" s="3">
        <v>3530.48</v>
      </c>
      <c r="E25" s="3">
        <v>3530.48</v>
      </c>
      <c r="F25" s="3">
        <v>3530.48</v>
      </c>
      <c r="G25" s="3">
        <v>3530.48</v>
      </c>
      <c r="H25" s="3">
        <v>3530.48</v>
      </c>
      <c r="I25" s="3">
        <v>3530.48</v>
      </c>
      <c r="J25" s="3">
        <v>3530.48</v>
      </c>
      <c r="K25" s="3">
        <v>3530.48</v>
      </c>
      <c r="L25" s="3">
        <v>3530.48</v>
      </c>
      <c r="M25" s="3">
        <v>3530.48</v>
      </c>
      <c r="N25" s="3">
        <v>3530.48</v>
      </c>
      <c r="O25" s="3">
        <v>3530.48</v>
      </c>
      <c r="P25" s="3">
        <v>3530.48</v>
      </c>
      <c r="Q25" s="3">
        <v>3530.48</v>
      </c>
      <c r="R25" s="3">
        <v>3530.48</v>
      </c>
      <c r="S25" s="3">
        <v>3530.48</v>
      </c>
      <c r="T25" s="3">
        <v>3530.48</v>
      </c>
      <c r="U25" s="3">
        <v>3530.48</v>
      </c>
      <c r="V25" s="3">
        <v>3530.48</v>
      </c>
      <c r="W25" s="3">
        <v>3530.48</v>
      </c>
      <c r="X25" s="3">
        <v>3530.48</v>
      </c>
      <c r="Y25" s="3">
        <v>3530.48</v>
      </c>
      <c r="Z25" s="3">
        <v>3530.48</v>
      </c>
      <c r="AA25" s="6">
        <v>3530.48</v>
      </c>
      <c r="AB25" s="42">
        <f t="shared" si="0"/>
        <v>84731.520000000004</v>
      </c>
      <c r="AC25" s="42">
        <v>3</v>
      </c>
      <c r="AD25" s="72"/>
      <c r="AE25" s="20"/>
    </row>
    <row r="26" spans="2:31">
      <c r="B26" s="67">
        <v>46539</v>
      </c>
      <c r="C26" s="37" t="s">
        <v>5</v>
      </c>
      <c r="D26" s="2">
        <v>3648.17</v>
      </c>
      <c r="E26" s="2">
        <v>3648.17</v>
      </c>
      <c r="F26" s="2">
        <v>3648.17</v>
      </c>
      <c r="G26" s="2">
        <v>3648.17</v>
      </c>
      <c r="H26" s="2">
        <v>3648.17</v>
      </c>
      <c r="I26" s="2">
        <v>3648.17</v>
      </c>
      <c r="J26" s="2">
        <v>3648.17</v>
      </c>
      <c r="K26" s="2">
        <v>3648.17</v>
      </c>
      <c r="L26" s="2">
        <v>3648.17</v>
      </c>
      <c r="M26" s="2">
        <v>3648.17</v>
      </c>
      <c r="N26" s="2">
        <v>3648.17</v>
      </c>
      <c r="O26" s="2">
        <v>3648.17</v>
      </c>
      <c r="P26" s="2">
        <v>3648.17</v>
      </c>
      <c r="Q26" s="2">
        <v>3648.17</v>
      </c>
      <c r="R26" s="2">
        <v>3648.17</v>
      </c>
      <c r="S26" s="2">
        <v>3648.17</v>
      </c>
      <c r="T26" s="2">
        <v>3648.17</v>
      </c>
      <c r="U26" s="2">
        <v>3648.17</v>
      </c>
      <c r="V26" s="2">
        <v>3648.17</v>
      </c>
      <c r="W26" s="2">
        <v>3648.17</v>
      </c>
      <c r="X26" s="2">
        <v>3648.17</v>
      </c>
      <c r="Y26" s="2">
        <v>3648.17</v>
      </c>
      <c r="Z26" s="2">
        <v>3648.17</v>
      </c>
      <c r="AA26" s="4">
        <v>3648.17</v>
      </c>
      <c r="AB26" s="38">
        <f t="shared" si="0"/>
        <v>87556.079999999973</v>
      </c>
      <c r="AC26" s="38">
        <v>21</v>
      </c>
      <c r="AD26" s="70">
        <f>(AB26*AC26)+(AB27*AC27)+(AB28*AC28)+(AB29*AC29)</f>
        <v>2626682.3999999994</v>
      </c>
      <c r="AE26" s="20"/>
    </row>
    <row r="27" spans="2:31">
      <c r="B27" s="68"/>
      <c r="C27" s="39" t="s">
        <v>6</v>
      </c>
      <c r="D27" s="1">
        <v>3648.17</v>
      </c>
      <c r="E27" s="1">
        <v>3648.17</v>
      </c>
      <c r="F27" s="1">
        <v>3648.17</v>
      </c>
      <c r="G27" s="1">
        <v>3648.17</v>
      </c>
      <c r="H27" s="1">
        <v>3648.17</v>
      </c>
      <c r="I27" s="1">
        <v>3648.17</v>
      </c>
      <c r="J27" s="1">
        <v>3648.17</v>
      </c>
      <c r="K27" s="1">
        <v>3648.17</v>
      </c>
      <c r="L27" s="1">
        <v>3648.17</v>
      </c>
      <c r="M27" s="1">
        <v>3648.17</v>
      </c>
      <c r="N27" s="1">
        <v>3648.17</v>
      </c>
      <c r="O27" s="1">
        <v>3648.17</v>
      </c>
      <c r="P27" s="1">
        <v>3648.17</v>
      </c>
      <c r="Q27" s="1">
        <v>3648.17</v>
      </c>
      <c r="R27" s="1">
        <v>3648.17</v>
      </c>
      <c r="S27" s="1">
        <v>3648.17</v>
      </c>
      <c r="T27" s="1">
        <v>3648.17</v>
      </c>
      <c r="U27" s="1">
        <v>3648.17</v>
      </c>
      <c r="V27" s="1">
        <v>3648.17</v>
      </c>
      <c r="W27" s="1">
        <v>3648.17</v>
      </c>
      <c r="X27" s="1">
        <v>3648.17</v>
      </c>
      <c r="Y27" s="1">
        <v>3648.17</v>
      </c>
      <c r="Z27" s="1">
        <v>3648.17</v>
      </c>
      <c r="AA27" s="5">
        <v>3648.17</v>
      </c>
      <c r="AB27" s="40">
        <f t="shared" si="0"/>
        <v>87556.079999999973</v>
      </c>
      <c r="AC27" s="40">
        <v>4</v>
      </c>
      <c r="AD27" s="71"/>
      <c r="AE27" s="20"/>
    </row>
    <row r="28" spans="2:31">
      <c r="B28" s="68"/>
      <c r="C28" s="39" t="s">
        <v>7</v>
      </c>
      <c r="D28" s="1">
        <v>3648.17</v>
      </c>
      <c r="E28" s="1">
        <v>3648.17</v>
      </c>
      <c r="F28" s="1">
        <v>3648.17</v>
      </c>
      <c r="G28" s="1">
        <v>3648.17</v>
      </c>
      <c r="H28" s="1">
        <v>3648.17</v>
      </c>
      <c r="I28" s="1">
        <v>3648.17</v>
      </c>
      <c r="J28" s="1">
        <v>3648.17</v>
      </c>
      <c r="K28" s="1">
        <v>3648.17</v>
      </c>
      <c r="L28" s="1">
        <v>3648.17</v>
      </c>
      <c r="M28" s="1">
        <v>3648.17</v>
      </c>
      <c r="N28" s="1">
        <v>3648.17</v>
      </c>
      <c r="O28" s="1">
        <v>3648.17</v>
      </c>
      <c r="P28" s="1">
        <v>3648.17</v>
      </c>
      <c r="Q28" s="1">
        <v>3648.17</v>
      </c>
      <c r="R28" s="1">
        <v>3648.17</v>
      </c>
      <c r="S28" s="1">
        <v>3648.17</v>
      </c>
      <c r="T28" s="1">
        <v>3648.17</v>
      </c>
      <c r="U28" s="1">
        <v>3648.17</v>
      </c>
      <c r="V28" s="1">
        <v>3648.17</v>
      </c>
      <c r="W28" s="1">
        <v>3648.17</v>
      </c>
      <c r="X28" s="1">
        <v>3648.17</v>
      </c>
      <c r="Y28" s="1">
        <v>3648.17</v>
      </c>
      <c r="Z28" s="1">
        <v>3648.17</v>
      </c>
      <c r="AA28" s="5">
        <v>3648.17</v>
      </c>
      <c r="AB28" s="40">
        <f t="shared" si="0"/>
        <v>87556.079999999973</v>
      </c>
      <c r="AC28" s="40">
        <v>4</v>
      </c>
      <c r="AD28" s="71"/>
      <c r="AE28" s="20"/>
    </row>
    <row r="29" spans="2:31" ht="15" thickBot="1">
      <c r="B29" s="69"/>
      <c r="C29" s="41" t="s">
        <v>8</v>
      </c>
      <c r="D29" s="3">
        <v>3648.17</v>
      </c>
      <c r="E29" s="3">
        <v>3648.17</v>
      </c>
      <c r="F29" s="3">
        <v>3648.17</v>
      </c>
      <c r="G29" s="3">
        <v>3648.17</v>
      </c>
      <c r="H29" s="3">
        <v>3648.17</v>
      </c>
      <c r="I29" s="3">
        <v>3648.17</v>
      </c>
      <c r="J29" s="3">
        <v>3648.17</v>
      </c>
      <c r="K29" s="3">
        <v>3648.17</v>
      </c>
      <c r="L29" s="3">
        <v>3648.17</v>
      </c>
      <c r="M29" s="3">
        <v>3648.17</v>
      </c>
      <c r="N29" s="3">
        <v>3648.17</v>
      </c>
      <c r="O29" s="3">
        <v>3648.17</v>
      </c>
      <c r="P29" s="3">
        <v>3648.17</v>
      </c>
      <c r="Q29" s="3">
        <v>3648.17</v>
      </c>
      <c r="R29" s="3">
        <v>3648.17</v>
      </c>
      <c r="S29" s="3">
        <v>3648.17</v>
      </c>
      <c r="T29" s="3">
        <v>3648.17</v>
      </c>
      <c r="U29" s="3">
        <v>3648.17</v>
      </c>
      <c r="V29" s="3">
        <v>3648.17</v>
      </c>
      <c r="W29" s="3">
        <v>3648.17</v>
      </c>
      <c r="X29" s="3">
        <v>3648.17</v>
      </c>
      <c r="Y29" s="3">
        <v>3648.17</v>
      </c>
      <c r="Z29" s="3">
        <v>3648.17</v>
      </c>
      <c r="AA29" s="6">
        <v>3648.17</v>
      </c>
      <c r="AB29" s="42">
        <f t="shared" si="0"/>
        <v>87556.079999999973</v>
      </c>
      <c r="AC29" s="42">
        <v>1</v>
      </c>
      <c r="AD29" s="72"/>
      <c r="AE29" s="20"/>
    </row>
    <row r="30" spans="2:31">
      <c r="B30" s="67">
        <v>46569</v>
      </c>
      <c r="C30" s="37" t="s">
        <v>5</v>
      </c>
      <c r="D30" s="2">
        <v>3530.48</v>
      </c>
      <c r="E30" s="2">
        <v>3530.48</v>
      </c>
      <c r="F30" s="2">
        <v>3530.48</v>
      </c>
      <c r="G30" s="2">
        <v>3530.48</v>
      </c>
      <c r="H30" s="2">
        <v>3530.48</v>
      </c>
      <c r="I30" s="2">
        <v>3530.48</v>
      </c>
      <c r="J30" s="2">
        <v>3530.48</v>
      </c>
      <c r="K30" s="2">
        <v>3530.48</v>
      </c>
      <c r="L30" s="2">
        <v>3530.48</v>
      </c>
      <c r="M30" s="2">
        <v>3530.48</v>
      </c>
      <c r="N30" s="2">
        <v>3530.48</v>
      </c>
      <c r="O30" s="2">
        <v>3530.48</v>
      </c>
      <c r="P30" s="2">
        <v>3530.48</v>
      </c>
      <c r="Q30" s="2">
        <v>3530.48</v>
      </c>
      <c r="R30" s="2">
        <v>3530.48</v>
      </c>
      <c r="S30" s="2">
        <v>3530.48</v>
      </c>
      <c r="T30" s="2">
        <v>3530.48</v>
      </c>
      <c r="U30" s="2">
        <v>3530.48</v>
      </c>
      <c r="V30" s="2">
        <v>3530.48</v>
      </c>
      <c r="W30" s="2">
        <v>3530.48</v>
      </c>
      <c r="X30" s="2">
        <v>3530.48</v>
      </c>
      <c r="Y30" s="2">
        <v>3530.48</v>
      </c>
      <c r="Z30" s="2">
        <v>3530.48</v>
      </c>
      <c r="AA30" s="4">
        <v>3530.48</v>
      </c>
      <c r="AB30" s="38">
        <f t="shared" si="0"/>
        <v>84731.520000000004</v>
      </c>
      <c r="AC30" s="38">
        <v>20</v>
      </c>
      <c r="AD30" s="70">
        <f>(AB30*AC30)+(AB31*AC31)+(AB32*AC32)+(AB33*AC33)</f>
        <v>2626677.12</v>
      </c>
      <c r="AE30" s="20"/>
    </row>
    <row r="31" spans="2:31">
      <c r="B31" s="68"/>
      <c r="C31" s="39" t="s">
        <v>6</v>
      </c>
      <c r="D31" s="1">
        <v>3530.48</v>
      </c>
      <c r="E31" s="1">
        <v>3530.48</v>
      </c>
      <c r="F31" s="1">
        <v>3530.48</v>
      </c>
      <c r="G31" s="1">
        <v>3530.48</v>
      </c>
      <c r="H31" s="1">
        <v>3530.48</v>
      </c>
      <c r="I31" s="1">
        <v>3530.48</v>
      </c>
      <c r="J31" s="1">
        <v>3530.48</v>
      </c>
      <c r="K31" s="1">
        <v>3530.48</v>
      </c>
      <c r="L31" s="1">
        <v>3530.48</v>
      </c>
      <c r="M31" s="1">
        <v>3530.48</v>
      </c>
      <c r="N31" s="1">
        <v>3530.48</v>
      </c>
      <c r="O31" s="1">
        <v>3530.48</v>
      </c>
      <c r="P31" s="1">
        <v>3530.48</v>
      </c>
      <c r="Q31" s="1">
        <v>3530.48</v>
      </c>
      <c r="R31" s="1">
        <v>3530.48</v>
      </c>
      <c r="S31" s="1">
        <v>3530.48</v>
      </c>
      <c r="T31" s="1">
        <v>3530.48</v>
      </c>
      <c r="U31" s="1">
        <v>3530.48</v>
      </c>
      <c r="V31" s="1">
        <v>3530.48</v>
      </c>
      <c r="W31" s="1">
        <v>3530.48</v>
      </c>
      <c r="X31" s="1">
        <v>3530.48</v>
      </c>
      <c r="Y31" s="1">
        <v>3530.48</v>
      </c>
      <c r="Z31" s="1">
        <v>3530.48</v>
      </c>
      <c r="AA31" s="5">
        <v>3530.48</v>
      </c>
      <c r="AB31" s="40">
        <f t="shared" si="0"/>
        <v>84731.520000000004</v>
      </c>
      <c r="AC31" s="40">
        <v>5</v>
      </c>
      <c r="AD31" s="71"/>
      <c r="AE31" s="20"/>
    </row>
    <row r="32" spans="2:31">
      <c r="B32" s="68"/>
      <c r="C32" s="39" t="s">
        <v>4</v>
      </c>
      <c r="D32" s="1">
        <v>3530.48</v>
      </c>
      <c r="E32" s="1">
        <v>3530.48</v>
      </c>
      <c r="F32" s="1">
        <v>3530.48</v>
      </c>
      <c r="G32" s="1">
        <v>3530.48</v>
      </c>
      <c r="H32" s="1">
        <v>3530.48</v>
      </c>
      <c r="I32" s="1">
        <v>3530.48</v>
      </c>
      <c r="J32" s="1">
        <v>3530.48</v>
      </c>
      <c r="K32" s="1">
        <v>3530.48</v>
      </c>
      <c r="L32" s="1">
        <v>3530.48</v>
      </c>
      <c r="M32" s="1">
        <v>3530.48</v>
      </c>
      <c r="N32" s="1">
        <v>3530.48</v>
      </c>
      <c r="O32" s="1">
        <v>3530.48</v>
      </c>
      <c r="P32" s="1">
        <v>3530.48</v>
      </c>
      <c r="Q32" s="1">
        <v>3530.48</v>
      </c>
      <c r="R32" s="1">
        <v>3530.48</v>
      </c>
      <c r="S32" s="1">
        <v>3530.48</v>
      </c>
      <c r="T32" s="1">
        <v>3530.48</v>
      </c>
      <c r="U32" s="1">
        <v>3530.48</v>
      </c>
      <c r="V32" s="1">
        <v>3530.48</v>
      </c>
      <c r="W32" s="1">
        <v>3530.48</v>
      </c>
      <c r="X32" s="1">
        <v>3530.48</v>
      </c>
      <c r="Y32" s="1">
        <v>3530.48</v>
      </c>
      <c r="Z32" s="1">
        <v>3530.48</v>
      </c>
      <c r="AA32" s="5">
        <v>3530.48</v>
      </c>
      <c r="AB32" s="40">
        <f t="shared" si="0"/>
        <v>84731.520000000004</v>
      </c>
      <c r="AC32" s="40">
        <v>4</v>
      </c>
      <c r="AD32" s="71"/>
      <c r="AE32" s="20"/>
    </row>
    <row r="33" spans="2:31" ht="15" thickBot="1">
      <c r="B33" s="69"/>
      <c r="C33" s="41" t="s">
        <v>8</v>
      </c>
      <c r="D33" s="3">
        <v>3530.48</v>
      </c>
      <c r="E33" s="3">
        <v>3530.48</v>
      </c>
      <c r="F33" s="3">
        <v>3530.48</v>
      </c>
      <c r="G33" s="3">
        <v>3530.48</v>
      </c>
      <c r="H33" s="3">
        <v>3530.48</v>
      </c>
      <c r="I33" s="3">
        <v>3530.48</v>
      </c>
      <c r="J33" s="3">
        <v>3530.48</v>
      </c>
      <c r="K33" s="3">
        <v>3530.48</v>
      </c>
      <c r="L33" s="3">
        <v>3530.48</v>
      </c>
      <c r="M33" s="3">
        <v>3530.48</v>
      </c>
      <c r="N33" s="3">
        <v>3530.48</v>
      </c>
      <c r="O33" s="3">
        <v>3530.48</v>
      </c>
      <c r="P33" s="3">
        <v>3530.48</v>
      </c>
      <c r="Q33" s="3">
        <v>3530.48</v>
      </c>
      <c r="R33" s="3">
        <v>3530.48</v>
      </c>
      <c r="S33" s="3">
        <v>3530.48</v>
      </c>
      <c r="T33" s="3">
        <v>3530.48</v>
      </c>
      <c r="U33" s="3">
        <v>3530.48</v>
      </c>
      <c r="V33" s="3">
        <v>3530.48</v>
      </c>
      <c r="W33" s="3">
        <v>3530.48</v>
      </c>
      <c r="X33" s="3">
        <v>3530.48</v>
      </c>
      <c r="Y33" s="3">
        <v>3530.48</v>
      </c>
      <c r="Z33" s="3">
        <v>3530.48</v>
      </c>
      <c r="AA33" s="6">
        <v>3530.48</v>
      </c>
      <c r="AB33" s="42">
        <f t="shared" si="0"/>
        <v>84731.520000000004</v>
      </c>
      <c r="AC33" s="42">
        <v>2</v>
      </c>
      <c r="AD33" s="72"/>
      <c r="AE33" s="20"/>
    </row>
    <row r="34" spans="2:31" ht="15" thickBot="1">
      <c r="AD34" s="64">
        <f>SUM(AD6:AD33)</f>
        <v>18386753.279999997</v>
      </c>
    </row>
    <row r="36" spans="2:31">
      <c r="AD36" s="26"/>
    </row>
    <row r="37" spans="2:31">
      <c r="D37" s="65"/>
    </row>
  </sheetData>
  <mergeCells count="17">
    <mergeCell ref="B26:B29"/>
    <mergeCell ref="AD26:AD29"/>
    <mergeCell ref="B30:B33"/>
    <mergeCell ref="AD30:AD33"/>
    <mergeCell ref="B14:B17"/>
    <mergeCell ref="AD14:AD17"/>
    <mergeCell ref="B18:B21"/>
    <mergeCell ref="AD18:AD21"/>
    <mergeCell ref="B22:B25"/>
    <mergeCell ref="AD22:AD25"/>
    <mergeCell ref="B2:AB2"/>
    <mergeCell ref="B3:AB3"/>
    <mergeCell ref="B4:AB4"/>
    <mergeCell ref="B6:B9"/>
    <mergeCell ref="AD6:AD9"/>
    <mergeCell ref="B10:B13"/>
    <mergeCell ref="AD10:AD13"/>
  </mergeCells>
  <conditionalFormatting sqref="D6:AA3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9CBA-0D07-4CB9-AE67-70D3D6E06AB9}">
  <dimension ref="B3:M23"/>
  <sheetViews>
    <sheetView showGridLines="0" tabSelected="1" zoomScale="90" zoomScaleNormal="90" workbookViewId="0">
      <selection activeCell="F3" sqref="F3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3.26953125" style="8" customWidth="1"/>
    <col min="7" max="7" width="11.453125" style="8"/>
    <col min="8" max="8" width="12.6328125" style="19" bestFit="1" customWidth="1"/>
    <col min="9" max="9" width="11.453125" style="22"/>
    <col min="10" max="11" width="16.36328125" style="8" bestFit="1" customWidth="1"/>
    <col min="12" max="16384" width="11.453125" style="8"/>
  </cols>
  <sheetData>
    <row r="3" spans="2:13" ht="15" thickBot="1"/>
    <row r="4" spans="2:13">
      <c r="B4" s="99" t="s">
        <v>37</v>
      </c>
      <c r="C4" s="100"/>
      <c r="D4" s="100"/>
      <c r="E4" s="100"/>
      <c r="F4" s="100"/>
      <c r="G4" s="101"/>
    </row>
    <row r="5" spans="2:13">
      <c r="B5" s="102" t="s">
        <v>9</v>
      </c>
      <c r="C5" s="103"/>
      <c r="D5" s="103"/>
      <c r="E5" s="103"/>
      <c r="F5" s="103"/>
      <c r="G5" s="104"/>
    </row>
    <row r="6" spans="2:13">
      <c r="B6" s="105" t="s">
        <v>10</v>
      </c>
      <c r="C6" s="106"/>
      <c r="D6" s="106"/>
      <c r="E6" s="106"/>
      <c r="F6" s="106"/>
      <c r="G6" s="107"/>
    </row>
    <row r="7" spans="2:13" ht="15" thickBot="1">
      <c r="B7" s="108" t="s">
        <v>40</v>
      </c>
      <c r="C7" s="109"/>
      <c r="D7" s="109"/>
      <c r="E7" s="109"/>
      <c r="F7" s="109"/>
      <c r="G7" s="110"/>
    </row>
    <row r="8" spans="2:13" ht="15" thickBot="1">
      <c r="B8" s="111" t="s">
        <v>36</v>
      </c>
      <c r="C8" s="112"/>
      <c r="D8" s="112"/>
      <c r="E8" s="112"/>
      <c r="F8" s="112"/>
      <c r="G8" s="113"/>
    </row>
    <row r="9" spans="2:13">
      <c r="B9" s="43">
        <v>2027</v>
      </c>
      <c r="C9" s="44" t="s">
        <v>21</v>
      </c>
      <c r="D9" s="45">
        <f>+'Producto 3 Plano 27'!AE6</f>
        <v>2626677.12</v>
      </c>
      <c r="E9" s="117"/>
      <c r="F9" s="46">
        <f>+E9*D9</f>
        <v>0</v>
      </c>
      <c r="G9" s="47"/>
      <c r="H9" s="25"/>
      <c r="I9" s="23"/>
    </row>
    <row r="10" spans="2:13">
      <c r="B10" s="48">
        <f t="shared" ref="B10:B15" si="0">+B9</f>
        <v>2027</v>
      </c>
      <c r="C10" s="49" t="s">
        <v>22</v>
      </c>
      <c r="D10" s="50">
        <f>+'Producto 3 Plano 27'!AE7</f>
        <v>2626680</v>
      </c>
      <c r="E10" s="118"/>
      <c r="F10" s="51">
        <f t="shared" ref="F10:F15" si="1">+E10*D10</f>
        <v>0</v>
      </c>
      <c r="G10" s="52"/>
    </row>
    <row r="11" spans="2:13">
      <c r="B11" s="48">
        <f t="shared" si="0"/>
        <v>2027</v>
      </c>
      <c r="C11" s="49" t="s">
        <v>23</v>
      </c>
      <c r="D11" s="50">
        <f>+'Producto 3 Plano 27'!AE8</f>
        <v>2626677.12</v>
      </c>
      <c r="E11" s="118"/>
      <c r="F11" s="51">
        <f t="shared" si="1"/>
        <v>0</v>
      </c>
      <c r="G11" s="52"/>
    </row>
    <row r="12" spans="2:13">
      <c r="B12" s="48">
        <f t="shared" si="0"/>
        <v>2027</v>
      </c>
      <c r="C12" s="49" t="s">
        <v>24</v>
      </c>
      <c r="D12" s="50">
        <f>+'Producto 3 Plano 27'!AE9</f>
        <v>2626682.399999999</v>
      </c>
      <c r="E12" s="118"/>
      <c r="F12" s="51">
        <f t="shared" si="1"/>
        <v>0</v>
      </c>
      <c r="G12" s="52"/>
      <c r="I12" s="53"/>
      <c r="J12" s="54"/>
      <c r="K12" s="55"/>
      <c r="M12" s="55"/>
    </row>
    <row r="13" spans="2:13">
      <c r="B13" s="48">
        <f t="shared" si="0"/>
        <v>2027</v>
      </c>
      <c r="C13" s="49" t="s">
        <v>25</v>
      </c>
      <c r="D13" s="50">
        <f>+'Producto 3 Plano 27'!AE10</f>
        <v>2626677.12</v>
      </c>
      <c r="E13" s="118"/>
      <c r="F13" s="51">
        <f t="shared" si="1"/>
        <v>0</v>
      </c>
      <c r="G13" s="52"/>
      <c r="I13" s="53"/>
      <c r="J13" s="54"/>
      <c r="K13" s="27"/>
      <c r="M13" s="55"/>
    </row>
    <row r="14" spans="2:13">
      <c r="B14" s="48">
        <f t="shared" si="0"/>
        <v>2027</v>
      </c>
      <c r="C14" s="49" t="s">
        <v>18</v>
      </c>
      <c r="D14" s="50">
        <f>+'Producto 3 Plano 27'!AE11</f>
        <v>2626682.3999999994</v>
      </c>
      <c r="E14" s="118"/>
      <c r="F14" s="51">
        <f t="shared" si="1"/>
        <v>0</v>
      </c>
      <c r="G14" s="52"/>
      <c r="I14" s="53"/>
      <c r="J14" s="54"/>
      <c r="K14" s="55"/>
      <c r="M14" s="55"/>
    </row>
    <row r="15" spans="2:13" ht="15" thickBot="1">
      <c r="B15" s="56">
        <f t="shared" si="0"/>
        <v>2027</v>
      </c>
      <c r="C15" s="57" t="s">
        <v>19</v>
      </c>
      <c r="D15" s="58">
        <f>+'Producto 3 Plano 27'!AE12</f>
        <v>2626677.12</v>
      </c>
      <c r="E15" s="119"/>
      <c r="F15" s="59">
        <f t="shared" si="1"/>
        <v>0</v>
      </c>
      <c r="G15" s="60"/>
      <c r="I15" s="53"/>
      <c r="J15" s="54"/>
      <c r="K15" s="55"/>
      <c r="M15" s="55"/>
    </row>
    <row r="16" spans="2:13" ht="15" thickBot="1">
      <c r="B16" s="97" t="s">
        <v>38</v>
      </c>
      <c r="C16" s="98"/>
      <c r="D16" s="17">
        <f>+SUM(D9:D15)</f>
        <v>18386753.279999997</v>
      </c>
      <c r="J16" s="24"/>
      <c r="K16" s="61"/>
    </row>
    <row r="18" spans="2:4">
      <c r="B18" s="8" t="s">
        <v>26</v>
      </c>
    </row>
    <row r="19" spans="2:4">
      <c r="B19" s="8" t="s">
        <v>27</v>
      </c>
    </row>
    <row r="20" spans="2:4">
      <c r="B20" s="8" t="s">
        <v>28</v>
      </c>
    </row>
    <row r="21" spans="2:4">
      <c r="B21" s="8" t="s">
        <v>29</v>
      </c>
    </row>
    <row r="23" spans="2:4">
      <c r="D23" s="18"/>
    </row>
  </sheetData>
  <mergeCells count="6">
    <mergeCell ref="B16:C16"/>
    <mergeCell ref="B4:G4"/>
    <mergeCell ref="B5:G5"/>
    <mergeCell ref="B6:G6"/>
    <mergeCell ref="B7:G7"/>
    <mergeCell ref="B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 1 Curvo 26</vt:lpstr>
      <vt:lpstr>Anexo 2 Producto 1</vt:lpstr>
      <vt:lpstr>Producto 2 Curvo 27</vt:lpstr>
      <vt:lpstr>Anexo 2 Producto 2</vt:lpstr>
      <vt:lpstr>Producto 3 Plano 27</vt:lpstr>
      <vt:lpstr>Anexo 2 Producto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Gonzalez Parra</dc:creator>
  <cp:lastModifiedBy>Kelly Johana Muñoz Novoa</cp:lastModifiedBy>
  <dcterms:created xsi:type="dcterms:W3CDTF">2021-03-30T14:28:44Z</dcterms:created>
  <dcterms:modified xsi:type="dcterms:W3CDTF">2026-10-23T00:33:57Z</dcterms:modified>
</cp:coreProperties>
</file>