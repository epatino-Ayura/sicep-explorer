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mar\Desktop\Compra energía EMPC 2026\A cargar en SICEP\"/>
    </mc:Choice>
  </mc:AlternateContent>
  <xr:revisionPtr revIDLastSave="0" documentId="13_ncr:1_{D6405C8A-83A2-44AE-804F-39844017D0AB}" xr6:coauthVersionLast="47" xr6:coauthVersionMax="47" xr10:uidLastSave="{00000000-0000-0000-0000-000000000000}"/>
  <bookViews>
    <workbookView xWindow="22932" yWindow="-108" windowWidth="23256" windowHeight="13176" firstSheet="5" activeTab="8" xr2:uid="{00000000-000D-0000-FFFF-FFFF00000000}"/>
  </bookViews>
  <sheets>
    <sheet name="Oferta producto 1" sheetId="1" r:id="rId1"/>
    <sheet name="Cantidades producto 1" sheetId="2" r:id="rId2"/>
    <sheet name="Oferta producto 2" sheetId="3" r:id="rId3"/>
    <sheet name="Cantidades producto 2" sheetId="4" r:id="rId4"/>
    <sheet name="Oferta producto 3" sheetId="5" r:id="rId5"/>
    <sheet name="Cantidades producto 3" sheetId="6" r:id="rId6"/>
    <sheet name="Oferta producto 4" sheetId="7" r:id="rId7"/>
    <sheet name="Cantidades producto 4" sheetId="8" r:id="rId8"/>
    <sheet name="Oferta producto 5" sheetId="9" r:id="rId9"/>
    <sheet name="Cantidades producto 5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9" l="1"/>
  <c r="I47" i="9" s="1"/>
  <c r="H47" i="9" s="1"/>
  <c r="C29" i="9"/>
  <c r="G47" i="7"/>
  <c r="I47" i="7" s="1"/>
  <c r="H47" i="7" s="1"/>
  <c r="C29" i="7"/>
  <c r="G47" i="5"/>
  <c r="I47" i="5" s="1"/>
  <c r="H47" i="5" s="1"/>
  <c r="C29" i="5"/>
  <c r="G47" i="3"/>
  <c r="I47" i="3" s="1"/>
  <c r="H47" i="3" s="1"/>
  <c r="C29" i="3"/>
  <c r="G47" i="1"/>
  <c r="I47" i="1" s="1"/>
  <c r="H47" i="1" s="1"/>
  <c r="C29" i="1"/>
</calcChain>
</file>

<file path=xl/sharedStrings.xml><?xml version="1.0" encoding="utf-8"?>
<sst xmlns="http://schemas.openxmlformats.org/spreadsheetml/2006/main" count="990" uniqueCount="76">
  <si>
    <t>ANEXO No. 2 OFERTAS Y CANTIDADES</t>
  </si>
  <si>
    <t>OFERTA A LA EMPRESA DE SERVICIOS PÚBLICOS DE CARTAGENA DEL CHAIRÁ - EMSERPUCAR E.S.P.
INVITACIÓN PARA EL SUMINISTRO DE ENERGÍA ELÉCTRICA CON DESTINO AL MERCADO REGULADO CONVOCATORIA PÚBLICA No. CP-EMPC001-2026</t>
  </si>
  <si>
    <t>EMPRESA: XXXXXXXXXXXXXXXXXXXXXXXXXXXXXX</t>
  </si>
  <si>
    <t>REPRESENTANTE LEGAL: XXXXXXXXXXXXXXXXXXXXXXXXXXXXXX</t>
  </si>
  <si>
    <t>TIPO DE AGENTE: (COMERCIALIZADOR/GENERADOR)</t>
  </si>
  <si>
    <t>Producto 1</t>
  </si>
  <si>
    <t>Periodo</t>
  </si>
  <si>
    <t>Energía requerida (MWh-mes)</t>
  </si>
  <si>
    <t>Energía ofertada (%)</t>
  </si>
  <si>
    <t>Energía ofertada (MWh-mes)</t>
  </si>
  <si>
    <t>Tarifa monomia ($/kWh)</t>
  </si>
  <si>
    <t>TOTAL</t>
  </si>
  <si>
    <t>Notas</t>
  </si>
  <si>
    <t>1) Oferta válida para la modalidad Pague lo Contratado.</t>
  </si>
  <si>
    <t>2) Las cantidades se distribuyen de acuerdo a la hoja cantidades del presente archivo</t>
  </si>
  <si>
    <t>3) Esta oferta NO presenta restricciones tales como adjudicación mínima o total u otras que no permitan la evaluación objetiva e integral del producto ofertado.</t>
  </si>
  <si>
    <t>4) Los precios ofertados incluyen todos los pagos, cargos, impuestos, estampillas, etc., que el Proponente deba realizar ante cualquier entidad gubernamental, o empresa pública, privada o mixta para entregar la energía en la frontera con el Sistema de Transmisión Nacional – STN.</t>
  </si>
  <si>
    <t>5) Las cantidades ofertadas pueden ser diferentes para los meses del año y un solo precio para todos los meses del año.</t>
  </si>
  <si>
    <t>Ano</t>
  </si>
  <si>
    <t>Mes</t>
  </si>
  <si>
    <t>Bloque</t>
  </si>
  <si>
    <t>Tipo de Dia</t>
  </si>
  <si>
    <t>dias_lab</t>
  </si>
  <si>
    <t>dias_sab</t>
  </si>
  <si>
    <t>dias_dom</t>
  </si>
  <si>
    <t>dias_fest</t>
  </si>
  <si>
    <t>total_dias</t>
  </si>
  <si>
    <t>hora_0</t>
  </si>
  <si>
    <t>hora_1</t>
  </si>
  <si>
    <t>hora_2</t>
  </si>
  <si>
    <t>hora_3</t>
  </si>
  <si>
    <t>hora_4</t>
  </si>
  <si>
    <t>hora_5</t>
  </si>
  <si>
    <t>hora_6</t>
  </si>
  <si>
    <t>hora_7</t>
  </si>
  <si>
    <t>hora_8</t>
  </si>
  <si>
    <t>hora_9</t>
  </si>
  <si>
    <t>hora_10</t>
  </si>
  <si>
    <t>hora_11</t>
  </si>
  <si>
    <t>hora_12</t>
  </si>
  <si>
    <t>hora_13</t>
  </si>
  <si>
    <t>hora_14</t>
  </si>
  <si>
    <t>hora_15</t>
  </si>
  <si>
    <t>hora_16</t>
  </si>
  <si>
    <t>hora_17</t>
  </si>
  <si>
    <t>hora_18</t>
  </si>
  <si>
    <t>hora_19</t>
  </si>
  <si>
    <t>hora_20</t>
  </si>
  <si>
    <t>hora_21</t>
  </si>
  <si>
    <t>hora_22</t>
  </si>
  <si>
    <t>hora_23</t>
  </si>
  <si>
    <t>consumo_diario</t>
  </si>
  <si>
    <t>consumo_mensual_tipo</t>
  </si>
  <si>
    <t>Enero</t>
  </si>
  <si>
    <t>A BUSCAR</t>
  </si>
  <si>
    <t>Laboral</t>
  </si>
  <si>
    <t>Sabado</t>
  </si>
  <si>
    <t>Domingo</t>
  </si>
  <si>
    <t>Festivo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</si>
  <si>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</si>
  <si>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</si>
  <si>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</si>
  <si>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</si>
  <si>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</si>
  <si>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</si>
  <si>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</si>
  <si>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</si>
  <si>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</si>
  <si>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</si>
  <si>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</si>
  <si>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 2</t>
  </si>
  <si>
    <t>Producto 3</t>
  </si>
  <si>
    <t>5) Las cantidades y precios ofertados deben ser los mismas para todos meses del año.</t>
  </si>
  <si>
    <t>Producto 4</t>
  </si>
  <si>
    <t>Producto 5</t>
  </si>
  <si>
    <t>Las tarifas ofertadas están referidas en pesos constantes de mayo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</si>
</sst>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_-;\-* #,##0_-;_-* &quot;-&quot;??_-;_-@_-"/>
    <numFmt numFmtId="165" formatCode="_-* #,##0.00_-;\-* #,##0.00_-;_-* &quot;-&quot;_-;_-@_-"/>
    <numFmt numFmtId="166" formatCode="_ * #,##0_ ;_ * \-#,##0_ ;_ * &quot;-&quot;??_ ;_ 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name val="Aptos Narrow"/>
      <family val="2"/>
      <scheme val="minor"/>
    </font>
    <font>
      <b/>
      <i/>
      <sz val="20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2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2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  <font>
      <b/>
      <u/>
      <sz val="16"/>
      <name val="Aptos Narrow"/>
      <family val="2"/>
      <scheme val="minor"/>
    </font>
    <font>
      <b/>
      <sz val="9"/>
      <color rgb="FF1B7A3D"/>
      <name val="Calibri"/>
      <family val="2"/>
    </font>
    <font>
      <b/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F5E3"/>
        <bgColor rgb="FFD5F5E3"/>
      </patternFill>
    </fill>
    <fill>
      <patternFill patternType="solid">
        <fgColor rgb="FFD6DBDF"/>
        <bgColor rgb="FFD6DBDF"/>
      </patternFill>
    </fill>
    <fill>
      <patternFill patternType="solid">
        <fgColor rgb="FF1B3A5C"/>
        <bgColor rgb="FF1B3A5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ABB"/>
      </left>
      <right style="thin">
        <color rgb="FFB2BABB"/>
      </right>
      <top style="thin">
        <color rgb="FFB2BABB"/>
      </top>
      <bottom style="thin">
        <color rgb="FFB2BABB"/>
      </bottom>
      <diagonal/>
    </border>
    <border>
      <left/>
      <right/>
      <top style="thin">
        <color rgb="FFB2BABB"/>
      </top>
      <bottom style="thin">
        <color rgb="FFB2BABB"/>
      </bottom>
      <diagonal/>
    </border>
    <border>
      <left/>
      <right style="thin">
        <color rgb="FFB2BABB"/>
      </right>
      <top style="thin">
        <color rgb="FFB2BABB"/>
      </top>
      <bottom style="thin">
        <color rgb="FFB2BABB"/>
      </bottom>
      <diagonal/>
    </border>
  </borders>
  <cellStyleXfs count="8">
    <xf numFmtId="0" fontId="0" fillId="0" borderId="0"/>
    <xf numFmtId="41" fontId="1" fillId="0" borderId="0"/>
    <xf numFmtId="0" fontId="1" fillId="0" borderId="0"/>
    <xf numFmtId="0" fontId="1" fillId="0" borderId="0"/>
    <xf numFmtId="0" fontId="1" fillId="0" borderId="0"/>
    <xf numFmtId="41" fontId="1" fillId="0" borderId="0"/>
    <xf numFmtId="9" fontId="1" fillId="0" borderId="0"/>
    <xf numFmtId="0" fontId="17" fillId="0" borderId="0"/>
  </cellStyleXfs>
  <cellXfs count="58">
    <xf numFmtId="0" fontId="0" fillId="0" borderId="0" xfId="0"/>
    <xf numFmtId="0" fontId="2" fillId="2" borderId="0" xfId="2" applyFont="1" applyFill="1"/>
    <xf numFmtId="0" fontId="3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7" fillId="2" borderId="0" xfId="2" applyFont="1" applyFill="1"/>
    <xf numFmtId="0" fontId="3" fillId="2" borderId="0" xfId="2" applyFont="1" applyFill="1" applyAlignment="1">
      <alignment horizontal="center" vertical="center"/>
    </xf>
    <xf numFmtId="0" fontId="8" fillId="3" borderId="0" xfId="4" applyFont="1" applyFill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9" fillId="2" borderId="0" xfId="2" applyFont="1" applyFill="1"/>
    <xf numFmtId="0" fontId="10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11" fillId="2" borderId="0" xfId="2" applyFont="1" applyFill="1"/>
    <xf numFmtId="0" fontId="12" fillId="2" borderId="0" xfId="2" applyFont="1" applyFill="1"/>
    <xf numFmtId="0" fontId="4" fillId="2" borderId="0" xfId="2" applyFont="1" applyFill="1" applyAlignment="1">
      <alignment horizontal="center" vertical="center"/>
    </xf>
    <xf numFmtId="0" fontId="8" fillId="2" borderId="0" xfId="2" applyFont="1" applyFill="1"/>
    <xf numFmtId="0" fontId="10" fillId="2" borderId="0" xfId="2" applyFont="1" applyFill="1"/>
    <xf numFmtId="0" fontId="9" fillId="4" borderId="1" xfId="3" applyFont="1" applyFill="1" applyBorder="1" applyAlignment="1">
      <alignment horizontal="center" vertical="center" wrapText="1"/>
    </xf>
    <xf numFmtId="41" fontId="2" fillId="2" borderId="0" xfId="5" applyFont="1" applyFill="1"/>
    <xf numFmtId="164" fontId="14" fillId="2" borderId="0" xfId="2" applyNumberFormat="1" applyFont="1" applyFill="1"/>
    <xf numFmtId="17" fontId="9" fillId="0" borderId="1" xfId="3" applyNumberFormat="1" applyFont="1" applyBorder="1" applyAlignment="1">
      <alignment horizontal="center" vertical="center" wrapText="1"/>
    </xf>
    <xf numFmtId="3" fontId="15" fillId="0" borderId="1" xfId="3" applyNumberFormat="1" applyFont="1" applyBorder="1" applyAlignment="1">
      <alignment horizontal="center" vertical="center" wrapText="1"/>
    </xf>
    <xf numFmtId="9" fontId="15" fillId="0" borderId="1" xfId="6" applyFont="1" applyBorder="1" applyAlignment="1">
      <alignment horizontal="center" vertical="center" wrapText="1"/>
    </xf>
    <xf numFmtId="10" fontId="16" fillId="2" borderId="0" xfId="6" applyNumberFormat="1" applyFont="1" applyFill="1"/>
    <xf numFmtId="165" fontId="2" fillId="2" borderId="0" xfId="5" applyNumberFormat="1" applyFont="1" applyFill="1"/>
    <xf numFmtId="0" fontId="11" fillId="4" borderId="1" xfId="3" applyFont="1" applyFill="1" applyBorder="1" applyAlignment="1">
      <alignment horizontal="center" vertical="center"/>
    </xf>
    <xf numFmtId="3" fontId="9" fillId="4" borderId="1" xfId="3" applyNumberFormat="1" applyFont="1" applyFill="1" applyBorder="1" applyAlignment="1">
      <alignment horizontal="center" vertical="center" wrapText="1"/>
    </xf>
    <xf numFmtId="2" fontId="9" fillId="4" borderId="1" xfId="3" applyNumberFormat="1" applyFont="1" applyFill="1" applyBorder="1" applyAlignment="1">
      <alignment horizontal="center" vertical="center" wrapText="1"/>
    </xf>
    <xf numFmtId="17" fontId="10" fillId="2" borderId="0" xfId="2" applyNumberFormat="1" applyFont="1" applyFill="1" applyAlignment="1">
      <alignment horizontal="left" vertical="center" wrapText="1"/>
    </xf>
    <xf numFmtId="166" fontId="2" fillId="2" borderId="0" xfId="7" applyNumberFormat="1" applyFont="1" applyFill="1" applyAlignment="1">
      <alignment horizontal="center" vertical="center" wrapText="1"/>
    </xf>
    <xf numFmtId="0" fontId="18" fillId="2" borderId="0" xfId="2" applyFont="1" applyFill="1"/>
    <xf numFmtId="0" fontId="15" fillId="2" borderId="0" xfId="2" applyFont="1" applyFill="1"/>
    <xf numFmtId="0" fontId="15" fillId="3" borderId="0" xfId="2" applyFont="1" applyFill="1" applyAlignment="1">
      <alignment horizontal="justify" vertical="justify" wrapText="1"/>
    </xf>
    <xf numFmtId="0" fontId="13" fillId="4" borderId="2" xfId="3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0" xfId="2" applyFont="1" applyFill="1"/>
    <xf numFmtId="2" fontId="15" fillId="4" borderId="1" xfId="3" applyNumberFormat="1" applyFont="1" applyFill="1" applyBorder="1" applyAlignment="1">
      <alignment horizontal="center" vertical="center" wrapText="1"/>
    </xf>
    <xf numFmtId="2" fontId="15" fillId="0" borderId="1" xfId="3" applyNumberFormat="1" applyFont="1" applyBorder="1" applyAlignment="1">
      <alignment horizontal="center" vertical="center" wrapText="1"/>
    </xf>
    <xf numFmtId="3" fontId="19" fillId="5" borderId="5" xfId="0" applyNumberFormat="1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left" vertical="center"/>
    </xf>
    <xf numFmtId="0" fontId="0" fillId="6" borderId="0" xfId="0" applyFill="1"/>
    <xf numFmtId="0" fontId="20" fillId="7" borderId="5" xfId="0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justify" vertical="justify" wrapText="1"/>
    </xf>
    <xf numFmtId="0" fontId="0" fillId="0" borderId="4" xfId="0" applyBorder="1"/>
    <xf numFmtId="0" fontId="5" fillId="3" borderId="0" xfId="3" applyFont="1" applyFill="1" applyAlignment="1">
      <alignment horizontal="center" vertical="center"/>
    </xf>
    <xf numFmtId="0" fontId="0" fillId="0" borderId="0" xfId="0"/>
    <xf numFmtId="0" fontId="12" fillId="0" borderId="4" xfId="2" applyFont="1" applyBorder="1" applyAlignment="1">
      <alignment horizontal="justify" vertical="justify" wrapText="1"/>
    </xf>
    <xf numFmtId="0" fontId="5" fillId="3" borderId="0" xfId="3" applyFont="1" applyFill="1" applyAlignment="1">
      <alignment horizontal="center" vertical="center" wrapText="1"/>
    </xf>
    <xf numFmtId="0" fontId="6" fillId="0" borderId="0" xfId="3" applyFont="1" applyAlignment="1">
      <alignment horizontal="center" vertical="center"/>
    </xf>
    <xf numFmtId="0" fontId="20" fillId="7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5" fontId="15" fillId="0" borderId="3" xfId="1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2" fillId="2" borderId="4" xfId="2" applyFont="1" applyFill="1" applyBorder="1" applyAlignment="1">
      <alignment horizontal="justify" vertical="justify"/>
    </xf>
  </cellXfs>
  <cellStyles count="8">
    <cellStyle name="Millares [0]" xfId="1" builtinId="6"/>
    <cellStyle name="Millares [0] 2" xfId="5" xr:uid="{00000000-0005-0000-0000-000005000000}"/>
    <cellStyle name="Millares 3" xfId="7" xr:uid="{00000000-0005-0000-0000-000007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2" xr:uid="{00000000-0005-0000-0000-000002000000}"/>
    <cellStyle name="Porcentaje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12700</xdr:rowOff>
    </xdr:from>
    <xdr:to>
      <xdr:col>7</xdr:col>
      <xdr:colOff>812800</xdr:colOff>
      <xdr:row>20</xdr:row>
      <xdr:rowOff>211662</xdr:rowOff>
    </xdr:to>
    <xdr:pic>
      <xdr:nvPicPr>
        <xdr:cNvPr id="3" name="Imagen 2" descr="Emserpucar ESP | Cartagena del Chairá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24700" y="190500"/>
          <a:ext cx="3581400" cy="357716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12700</xdr:rowOff>
    </xdr:from>
    <xdr:to>
      <xdr:col>7</xdr:col>
      <xdr:colOff>812800</xdr:colOff>
      <xdr:row>20</xdr:row>
      <xdr:rowOff>211662</xdr:rowOff>
    </xdr:to>
    <xdr:pic>
      <xdr:nvPicPr>
        <xdr:cNvPr id="2" name="Imagen 1" descr="Emserpucar ESP | Cartagena del Chairá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17080" y="195580"/>
          <a:ext cx="3578860" cy="367368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12700</xdr:rowOff>
    </xdr:from>
    <xdr:to>
      <xdr:col>7</xdr:col>
      <xdr:colOff>812800</xdr:colOff>
      <xdr:row>20</xdr:row>
      <xdr:rowOff>211662</xdr:rowOff>
    </xdr:to>
    <xdr:pic>
      <xdr:nvPicPr>
        <xdr:cNvPr id="2" name="Imagen 1" descr="Emserpucar ESP | Cartagena del Chairá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17080" y="195580"/>
          <a:ext cx="3578860" cy="367368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12700</xdr:rowOff>
    </xdr:from>
    <xdr:to>
      <xdr:col>7</xdr:col>
      <xdr:colOff>812800</xdr:colOff>
      <xdr:row>20</xdr:row>
      <xdr:rowOff>211662</xdr:rowOff>
    </xdr:to>
    <xdr:pic>
      <xdr:nvPicPr>
        <xdr:cNvPr id="2" name="Imagen 1" descr="Emserpucar ESP | Cartagena del Chairá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17080" y="195580"/>
          <a:ext cx="3578860" cy="367368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1</xdr:row>
      <xdr:rowOff>12700</xdr:rowOff>
    </xdr:from>
    <xdr:to>
      <xdr:col>7</xdr:col>
      <xdr:colOff>812800</xdr:colOff>
      <xdr:row>20</xdr:row>
      <xdr:rowOff>211662</xdr:rowOff>
    </xdr:to>
    <xdr:pic>
      <xdr:nvPicPr>
        <xdr:cNvPr id="2" name="Imagen 1" descr="Emserpucar ESP | Cartagena del Chairá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17080" y="195580"/>
          <a:ext cx="3578860" cy="3673682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57"/>
  <sheetViews>
    <sheetView view="pageBreakPreview" topLeftCell="A26" zoomScale="60" zoomScaleNormal="100" workbookViewId="0">
      <selection activeCell="F33" sqref="F33:J47"/>
    </sheetView>
  </sheetViews>
  <sheetFormatPr baseColWidth="10" defaultRowHeight="14.4" x14ac:dyDescent="0.3"/>
  <cols>
    <col min="1" max="1" width="19.6640625" customWidth="1"/>
    <col min="2" max="2" width="20.6640625" customWidth="1"/>
    <col min="3" max="3" width="18.44140625" customWidth="1"/>
    <col min="4" max="4" width="20.109375" customWidth="1"/>
    <col min="5" max="5" width="22.109375" customWidth="1"/>
    <col min="6" max="6" width="21.21875" customWidth="1"/>
    <col min="7" max="7" width="21.88671875" customWidth="1"/>
    <col min="8" max="8" width="22.33203125" customWidth="1"/>
    <col min="9" max="9" width="23" customWidth="1"/>
    <col min="10" max="10" width="19" customWidth="1"/>
    <col min="11" max="11" width="19.33203125" customWidth="1"/>
  </cols>
  <sheetData>
    <row r="1" spans="1:13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3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3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3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3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3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pans="1:13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1:13" x14ac:dyDescent="0.3">
      <c r="A19" s="35"/>
      <c r="B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1:13" ht="25.8" customHeight="1" x14ac:dyDescent="0.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ht="28.8" customHeight="1" x14ac:dyDescent="0.3">
      <c r="A22" s="2"/>
      <c r="B22" s="2"/>
      <c r="C22" s="3"/>
      <c r="D22" s="46" t="s">
        <v>0</v>
      </c>
      <c r="E22" s="47"/>
      <c r="F22" s="47"/>
      <c r="G22" s="47"/>
      <c r="H22" s="47"/>
      <c r="I22" s="47"/>
      <c r="J22" s="47"/>
      <c r="K22" s="3"/>
      <c r="M22" s="2"/>
    </row>
    <row r="23" spans="1:13" ht="28.8" customHeight="1" x14ac:dyDescent="0.3">
      <c r="A23" s="2"/>
      <c r="B23" s="2"/>
      <c r="C23" s="49" t="s">
        <v>1</v>
      </c>
      <c r="D23" s="47"/>
      <c r="E23" s="47"/>
      <c r="F23" s="47"/>
      <c r="G23" s="47"/>
      <c r="H23" s="47"/>
      <c r="I23" s="47"/>
      <c r="J23" s="47"/>
      <c r="K23" s="47"/>
      <c r="L23" s="2"/>
      <c r="M23" s="2"/>
    </row>
    <row r="24" spans="1:13" ht="25.8" customHeight="1" x14ac:dyDescent="0.3">
      <c r="A24" s="2"/>
      <c r="B24" s="2"/>
      <c r="C24" s="3"/>
      <c r="D24" s="50"/>
      <c r="E24" s="47"/>
      <c r="F24" s="47"/>
      <c r="G24" s="47"/>
      <c r="H24" s="47"/>
      <c r="I24" s="47"/>
      <c r="J24" s="47"/>
      <c r="K24" s="3"/>
      <c r="L24" s="2"/>
      <c r="M24" s="2"/>
    </row>
    <row r="25" spans="1:13" ht="25.8" customHeight="1" x14ac:dyDescent="0.5">
      <c r="A25" s="4"/>
      <c r="B25" s="5"/>
      <c r="C25" s="5"/>
      <c r="D25" s="6"/>
      <c r="E25" s="7"/>
      <c r="F25" s="7"/>
      <c r="G25" s="7"/>
      <c r="H25" s="7"/>
      <c r="I25" s="7"/>
      <c r="J25" s="8"/>
      <c r="K25" s="9"/>
      <c r="L25" s="4"/>
      <c r="M25" s="4"/>
    </row>
    <row r="26" spans="1:13" ht="25.8" customHeight="1" x14ac:dyDescent="0.5">
      <c r="A26" s="4"/>
      <c r="B26" s="5"/>
      <c r="C26" s="10" t="s">
        <v>2</v>
      </c>
      <c r="D26" s="5"/>
      <c r="E26" s="5"/>
      <c r="F26" s="1"/>
      <c r="G26" s="5"/>
      <c r="H26" s="5"/>
      <c r="I26" s="5"/>
      <c r="J26" s="5"/>
      <c r="K26" s="9"/>
      <c r="L26" s="4"/>
      <c r="M26" s="4"/>
    </row>
    <row r="27" spans="1:13" ht="25.8" customHeight="1" x14ac:dyDescent="0.5">
      <c r="A27" s="4"/>
      <c r="B27" s="5"/>
      <c r="C27" s="10" t="s">
        <v>3</v>
      </c>
      <c r="D27" s="5"/>
      <c r="E27" s="5"/>
      <c r="F27" s="1"/>
      <c r="G27" s="5"/>
      <c r="H27" s="5"/>
      <c r="I27" s="5"/>
      <c r="J27" s="5"/>
      <c r="K27" s="9"/>
      <c r="L27" s="4"/>
      <c r="M27" s="4"/>
    </row>
    <row r="28" spans="1:13" ht="25.8" customHeight="1" x14ac:dyDescent="0.5">
      <c r="A28" s="1"/>
      <c r="B28" s="11"/>
      <c r="C28" s="10" t="s">
        <v>4</v>
      </c>
      <c r="D28" s="5"/>
      <c r="E28" s="5"/>
      <c r="F28" s="1"/>
      <c r="G28" s="11"/>
      <c r="H28" s="11"/>
      <c r="I28" s="11"/>
      <c r="J28" s="11"/>
      <c r="K28" s="12"/>
      <c r="L28" s="1"/>
      <c r="M28" s="1"/>
    </row>
    <row r="29" spans="1:13" ht="25.8" customHeight="1" x14ac:dyDescent="0.5">
      <c r="A29" s="1"/>
      <c r="B29" s="11"/>
      <c r="C29" s="13" t="str">
        <f>"PRODUCTO OFERTADO: "&amp;D24</f>
        <v xml:space="preserve">PRODUCTO OFERTADO: </v>
      </c>
      <c r="D29" s="5"/>
      <c r="E29" s="5"/>
      <c r="F29" s="1"/>
      <c r="G29" s="11"/>
      <c r="H29" s="11"/>
      <c r="I29" s="11"/>
      <c r="J29" s="11"/>
      <c r="K29" s="12"/>
      <c r="L29" s="1"/>
      <c r="M29" s="1"/>
    </row>
    <row r="30" spans="1:13" ht="25.8" customHeight="1" x14ac:dyDescent="0.5">
      <c r="A30" s="1"/>
      <c r="B30" s="11"/>
      <c r="C30" s="13"/>
      <c r="D30" s="5"/>
      <c r="E30" s="5"/>
      <c r="F30" s="1"/>
      <c r="G30" s="11"/>
      <c r="H30" s="11"/>
      <c r="I30" s="11"/>
      <c r="J30" s="11"/>
      <c r="K30" s="12"/>
      <c r="L30" s="1"/>
      <c r="M30" s="1"/>
    </row>
    <row r="31" spans="1:13" ht="25.8" customHeight="1" x14ac:dyDescent="0.5">
      <c r="A31" s="1"/>
      <c r="B31" s="11"/>
      <c r="C31" s="14" t="s">
        <v>75</v>
      </c>
      <c r="D31" s="15"/>
      <c r="E31" s="15"/>
      <c r="F31" s="16"/>
      <c r="G31" s="11"/>
      <c r="H31" s="11"/>
      <c r="I31" s="11"/>
      <c r="J31" s="11"/>
      <c r="K31" s="12"/>
      <c r="L31" s="1"/>
      <c r="M31" s="1"/>
    </row>
    <row r="32" spans="1:13" ht="25.8" customHeight="1" x14ac:dyDescent="0.5">
      <c r="A32" s="1"/>
      <c r="B32" s="17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5.8" customHeight="1" x14ac:dyDescent="0.5">
      <c r="A33" s="1"/>
      <c r="B33" s="1"/>
      <c r="C33" s="1"/>
      <c r="D33" s="1"/>
      <c r="E33" s="1"/>
      <c r="F33" s="51" t="s">
        <v>5</v>
      </c>
      <c r="G33" s="52"/>
      <c r="H33" s="52"/>
      <c r="I33" s="52"/>
      <c r="J33" s="53"/>
      <c r="K33" s="1"/>
      <c r="L33" s="1"/>
      <c r="M33" s="1"/>
    </row>
    <row r="34" spans="1:13" ht="27.6" customHeight="1" x14ac:dyDescent="0.5">
      <c r="A34" s="1"/>
      <c r="B34" s="1"/>
      <c r="C34" s="1"/>
      <c r="D34" s="1"/>
      <c r="E34" s="1"/>
      <c r="F34" s="43" t="s">
        <v>6</v>
      </c>
      <c r="G34" s="43" t="s">
        <v>7</v>
      </c>
      <c r="H34" s="43" t="s">
        <v>8</v>
      </c>
      <c r="I34" s="43" t="s">
        <v>9</v>
      </c>
      <c r="J34" s="43" t="s">
        <v>10</v>
      </c>
      <c r="K34" s="1"/>
      <c r="L34" s="1"/>
      <c r="M34" s="1"/>
    </row>
    <row r="35" spans="1:13" ht="25.8" customHeight="1" x14ac:dyDescent="0.5">
      <c r="A35" s="1"/>
      <c r="B35" s="1"/>
      <c r="C35" s="1"/>
      <c r="D35" s="1"/>
      <c r="E35" s="1"/>
      <c r="F35" s="21">
        <v>46388</v>
      </c>
      <c r="G35" s="37">
        <v>1567.7239500000001</v>
      </c>
      <c r="H35" s="18"/>
      <c r="I35" s="18"/>
      <c r="J35" s="34"/>
      <c r="K35" s="1"/>
      <c r="L35" s="1"/>
      <c r="M35" s="1"/>
    </row>
    <row r="36" spans="1:13" ht="25.8" customHeight="1" x14ac:dyDescent="0.5">
      <c r="A36" s="1"/>
      <c r="B36" s="1"/>
      <c r="C36" s="1"/>
      <c r="D36" s="1"/>
      <c r="E36" s="1"/>
      <c r="F36" s="21">
        <v>46419</v>
      </c>
      <c r="G36" s="37">
        <v>1433.1007</v>
      </c>
      <c r="H36" s="18"/>
      <c r="I36" s="18"/>
      <c r="J36" s="34"/>
      <c r="K36" s="1"/>
      <c r="L36" s="1"/>
      <c r="M36" s="1"/>
    </row>
    <row r="37" spans="1:13" ht="25.8" customHeight="1" x14ac:dyDescent="0.5">
      <c r="A37" s="1"/>
      <c r="B37" s="1"/>
      <c r="C37" s="1"/>
      <c r="D37" s="1"/>
      <c r="E37" s="1"/>
      <c r="F37" s="21">
        <v>46447</v>
      </c>
      <c r="G37" s="37">
        <v>1626.4994999999999</v>
      </c>
      <c r="H37" s="18"/>
      <c r="I37" s="18"/>
      <c r="J37" s="34"/>
      <c r="K37" s="1"/>
      <c r="L37" s="1"/>
      <c r="M37" s="1"/>
    </row>
    <row r="38" spans="1:13" ht="25.8" customHeight="1" x14ac:dyDescent="0.5">
      <c r="A38" s="1"/>
      <c r="B38" s="1"/>
      <c r="C38" s="1"/>
      <c r="D38" s="1"/>
      <c r="E38" s="1"/>
      <c r="F38" s="21">
        <v>46478</v>
      </c>
      <c r="G38" s="37">
        <v>1611.0108</v>
      </c>
      <c r="H38" s="18"/>
      <c r="I38" s="18"/>
      <c r="J38" s="34"/>
      <c r="K38" s="1"/>
      <c r="L38" s="1"/>
      <c r="M38" s="1"/>
    </row>
    <row r="39" spans="1:13" ht="25.8" customHeight="1" x14ac:dyDescent="0.5">
      <c r="A39" s="1"/>
      <c r="B39" s="1"/>
      <c r="C39" s="1"/>
      <c r="D39" s="1"/>
      <c r="E39" s="1"/>
      <c r="F39" s="21">
        <v>46508</v>
      </c>
      <c r="G39" s="37">
        <v>1591.5224000000001</v>
      </c>
      <c r="H39" s="18"/>
      <c r="I39" s="18"/>
      <c r="J39" s="34"/>
      <c r="K39" s="1"/>
      <c r="L39" s="1"/>
      <c r="M39" s="1"/>
    </row>
    <row r="40" spans="1:13" ht="25.8" customHeight="1" x14ac:dyDescent="0.5">
      <c r="A40" s="1"/>
      <c r="B40" s="1"/>
      <c r="C40" s="1"/>
      <c r="D40" s="1"/>
      <c r="E40" s="1"/>
      <c r="F40" s="21">
        <v>46539</v>
      </c>
      <c r="G40" s="37">
        <v>1551.13895</v>
      </c>
      <c r="H40" s="18"/>
      <c r="I40" s="18"/>
      <c r="J40" s="34"/>
      <c r="K40" s="1"/>
      <c r="L40" s="1"/>
      <c r="M40" s="1"/>
    </row>
    <row r="41" spans="1:13" ht="25.8" customHeight="1" x14ac:dyDescent="0.5">
      <c r="A41" s="19"/>
      <c r="B41" s="20">
        <v>31</v>
      </c>
      <c r="C41" s="1"/>
      <c r="D41" s="1"/>
      <c r="E41" s="1"/>
      <c r="F41" s="21">
        <v>46569</v>
      </c>
      <c r="G41" s="38">
        <v>1607.44155</v>
      </c>
      <c r="H41" s="23"/>
      <c r="I41" s="22"/>
      <c r="J41" s="54"/>
      <c r="K41" s="1"/>
      <c r="L41" s="24"/>
      <c r="M41" s="24"/>
    </row>
    <row r="42" spans="1:13" ht="25.8" customHeight="1" x14ac:dyDescent="0.5">
      <c r="A42" s="19"/>
      <c r="B42" s="20">
        <v>31</v>
      </c>
      <c r="C42" s="1"/>
      <c r="D42" s="1"/>
      <c r="E42" s="1"/>
      <c r="F42" s="21">
        <v>46600</v>
      </c>
      <c r="G42" s="38">
        <v>1572.3476000000001</v>
      </c>
      <c r="H42" s="23"/>
      <c r="I42" s="22"/>
      <c r="J42" s="55"/>
      <c r="K42" s="1"/>
      <c r="L42" s="24"/>
      <c r="M42" s="24"/>
    </row>
    <row r="43" spans="1:13" ht="25.8" customHeight="1" x14ac:dyDescent="0.5">
      <c r="A43" s="25"/>
      <c r="B43" s="20">
        <v>30</v>
      </c>
      <c r="C43" s="1"/>
      <c r="D43" s="1"/>
      <c r="E43" s="1"/>
      <c r="F43" s="21">
        <v>46631</v>
      </c>
      <c r="G43" s="38">
        <v>1665.6053999999999</v>
      </c>
      <c r="H43" s="23"/>
      <c r="I43" s="22"/>
      <c r="J43" s="55"/>
      <c r="K43" s="1"/>
      <c r="L43" s="24"/>
      <c r="M43" s="24"/>
    </row>
    <row r="44" spans="1:13" ht="25.8" customHeight="1" x14ac:dyDescent="0.5">
      <c r="A44" s="25"/>
      <c r="B44" s="20">
        <v>31</v>
      </c>
      <c r="C44" s="1"/>
      <c r="D44" s="1"/>
      <c r="E44" s="1"/>
      <c r="F44" s="21">
        <v>46661</v>
      </c>
      <c r="G44" s="38">
        <v>1657.6775500000001</v>
      </c>
      <c r="H44" s="23"/>
      <c r="I44" s="22"/>
      <c r="J44" s="55"/>
      <c r="K44" s="1"/>
      <c r="L44" s="24"/>
      <c r="M44" s="24"/>
    </row>
    <row r="45" spans="1:13" ht="25.8" customHeight="1" x14ac:dyDescent="0.5">
      <c r="A45" s="19"/>
      <c r="B45" s="20">
        <v>30</v>
      </c>
      <c r="C45" s="1"/>
      <c r="D45" s="1"/>
      <c r="E45" s="1"/>
      <c r="F45" s="21">
        <v>46692</v>
      </c>
      <c r="G45" s="38">
        <v>1652.2483999999999</v>
      </c>
      <c r="H45" s="23"/>
      <c r="I45" s="22"/>
      <c r="J45" s="55"/>
      <c r="K45" s="1"/>
      <c r="L45" s="24"/>
      <c r="M45" s="24"/>
    </row>
    <row r="46" spans="1:13" ht="25.8" customHeight="1" x14ac:dyDescent="0.5">
      <c r="A46" s="19"/>
      <c r="B46" s="20">
        <v>31</v>
      </c>
      <c r="C46" s="1"/>
      <c r="D46" s="1"/>
      <c r="E46" s="1"/>
      <c r="F46" s="21">
        <v>46722</v>
      </c>
      <c r="G46" s="38">
        <v>1802.92875</v>
      </c>
      <c r="H46" s="23"/>
      <c r="I46" s="22"/>
      <c r="J46" s="56"/>
      <c r="K46" s="1"/>
      <c r="L46" s="24"/>
      <c r="M46" s="24"/>
    </row>
    <row r="47" spans="1:13" ht="25.8" customHeight="1" x14ac:dyDescent="0.5">
      <c r="A47" s="1"/>
      <c r="B47" s="1"/>
      <c r="C47" s="1"/>
      <c r="D47" s="1"/>
      <c r="E47" s="1"/>
      <c r="F47" s="26" t="s">
        <v>11</v>
      </c>
      <c r="G47" s="27">
        <f>SUM(G35:G46)</f>
        <v>19339.24555</v>
      </c>
      <c r="H47" s="23">
        <f>I47/G47</f>
        <v>1</v>
      </c>
      <c r="I47" s="27">
        <f>G47</f>
        <v>19339.24555</v>
      </c>
      <c r="J47" s="28"/>
      <c r="K47" s="1"/>
      <c r="L47" s="1"/>
      <c r="M47" s="1"/>
    </row>
    <row r="48" spans="1:13" ht="25.8" customHeight="1" x14ac:dyDescent="0.5">
      <c r="A48" s="1"/>
      <c r="B48" s="1"/>
      <c r="C48" s="1"/>
      <c r="D48" s="1"/>
      <c r="E48" s="1"/>
      <c r="F48" s="29"/>
      <c r="G48" s="30"/>
      <c r="H48" s="1"/>
      <c r="I48" s="1"/>
      <c r="J48" s="1"/>
      <c r="K48" s="1"/>
      <c r="L48" s="1"/>
      <c r="M48" s="1"/>
    </row>
    <row r="49" spans="1:13" ht="25.8" customHeight="1" x14ac:dyDescent="0.5">
      <c r="A49" s="1"/>
      <c r="B49" s="31" t="s">
        <v>12</v>
      </c>
      <c r="C49" s="32"/>
      <c r="D49" s="32"/>
      <c r="E49" s="32"/>
      <c r="F49" s="32"/>
      <c r="G49" s="32"/>
      <c r="H49" s="1"/>
      <c r="I49" s="1"/>
      <c r="J49" s="1"/>
      <c r="K49" s="1"/>
      <c r="L49" s="32"/>
      <c r="M49" s="1"/>
    </row>
    <row r="50" spans="1:13" ht="25.8" customHeight="1" x14ac:dyDescent="0.5">
      <c r="A50" s="1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1"/>
    </row>
    <row r="51" spans="1:13" ht="25.8" customHeight="1" x14ac:dyDescent="0.5">
      <c r="A51" s="1"/>
      <c r="B51" s="48" t="s">
        <v>13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1"/>
    </row>
    <row r="52" spans="1:13" ht="25.8" customHeight="1" x14ac:dyDescent="0.5">
      <c r="A52" s="1"/>
      <c r="B52" s="48" t="s">
        <v>14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1"/>
    </row>
    <row r="53" spans="1:13" ht="25.8" customHeight="1" x14ac:dyDescent="0.5">
      <c r="A53" s="1"/>
      <c r="B53" s="44" t="s">
        <v>15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1"/>
    </row>
    <row r="54" spans="1:13" ht="25.8" customHeight="1" x14ac:dyDescent="0.5">
      <c r="A54" s="1"/>
      <c r="B54" s="44" t="s">
        <v>16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1"/>
    </row>
    <row r="55" spans="1:13" ht="25.8" customHeight="1" x14ac:dyDescent="0.5">
      <c r="A55" s="16"/>
      <c r="B55" s="44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1"/>
    </row>
    <row r="56" spans="1:13" ht="25.8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5.8" customHeight="1" x14ac:dyDescent="0.5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1"/>
    </row>
  </sheetData>
  <mergeCells count="10">
    <mergeCell ref="B53:L53"/>
    <mergeCell ref="D22:J22"/>
    <mergeCell ref="B52:L52"/>
    <mergeCell ref="B54:L54"/>
    <mergeCell ref="B55:L55"/>
    <mergeCell ref="B51:L51"/>
    <mergeCell ref="C23:K23"/>
    <mergeCell ref="D24:J24"/>
    <mergeCell ref="F33:J33"/>
    <mergeCell ref="J41:J46"/>
  </mergeCells>
  <pageMargins left="0.7" right="0.7" top="0.75" bottom="0.75" header="0.3" footer="0.3"/>
  <pageSetup paperSize="9"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AI60"/>
  <sheetViews>
    <sheetView workbookViewId="0">
      <pane ySplit="1" topLeftCell="A2" activePane="bottomLeft" state="frozen"/>
      <selection pane="bottomLeft" activeCell="B27" sqref="B27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20" customWidth="1"/>
    <col min="4" max="4" width="12" customWidth="1"/>
    <col min="5" max="8" width="8" customWidth="1"/>
    <col min="9" max="9" width="9" customWidth="1"/>
    <col min="10" max="33" width="11" customWidth="1"/>
    <col min="34" max="34" width="15" customWidth="1"/>
    <col min="35" max="35" width="19" customWidth="1"/>
  </cols>
  <sheetData>
    <row r="1" spans="1:35" ht="27.6" customHeight="1" x14ac:dyDescent="0.3">
      <c r="A1" s="43" t="s">
        <v>18</v>
      </c>
      <c r="B1" s="43" t="s">
        <v>19</v>
      </c>
      <c r="C1" s="43" t="s">
        <v>20</v>
      </c>
      <c r="D1" s="43" t="s">
        <v>21</v>
      </c>
      <c r="E1" s="43" t="s">
        <v>22</v>
      </c>
      <c r="F1" s="43" t="s">
        <v>23</v>
      </c>
      <c r="G1" s="43" t="s">
        <v>24</v>
      </c>
      <c r="H1" s="43" t="s">
        <v>25</v>
      </c>
      <c r="I1" s="43" t="s">
        <v>26</v>
      </c>
      <c r="J1" s="43" t="s">
        <v>27</v>
      </c>
      <c r="K1" s="43" t="s">
        <v>28</v>
      </c>
      <c r="L1" s="43" t="s">
        <v>29</v>
      </c>
      <c r="M1" s="43" t="s">
        <v>30</v>
      </c>
      <c r="N1" s="43" t="s">
        <v>31</v>
      </c>
      <c r="O1" s="43" t="s">
        <v>32</v>
      </c>
      <c r="P1" s="43" t="s">
        <v>33</v>
      </c>
      <c r="Q1" s="43" t="s">
        <v>34</v>
      </c>
      <c r="R1" s="43" t="s">
        <v>35</v>
      </c>
      <c r="S1" s="43" t="s">
        <v>36</v>
      </c>
      <c r="T1" s="43" t="s">
        <v>37</v>
      </c>
      <c r="U1" s="43" t="s">
        <v>38</v>
      </c>
      <c r="V1" s="43" t="s">
        <v>39</v>
      </c>
      <c r="W1" s="43" t="s">
        <v>40</v>
      </c>
      <c r="X1" s="43" t="s">
        <v>41</v>
      </c>
      <c r="Y1" s="43" t="s">
        <v>42</v>
      </c>
      <c r="Z1" s="43" t="s">
        <v>43</v>
      </c>
      <c r="AA1" s="43" t="s">
        <v>44</v>
      </c>
      <c r="AB1" s="43" t="s">
        <v>45</v>
      </c>
      <c r="AC1" s="43" t="s">
        <v>46</v>
      </c>
      <c r="AD1" s="43" t="s">
        <v>47</v>
      </c>
      <c r="AE1" s="43" t="s">
        <v>48</v>
      </c>
      <c r="AF1" s="43" t="s">
        <v>49</v>
      </c>
      <c r="AG1" s="43" t="s">
        <v>50</v>
      </c>
      <c r="AH1" s="43" t="s">
        <v>51</v>
      </c>
      <c r="AI1" s="43" t="s">
        <v>52</v>
      </c>
    </row>
    <row r="2" spans="1:35" x14ac:dyDescent="0.3">
      <c r="A2" s="40">
        <v>2027</v>
      </c>
      <c r="B2" s="40" t="s">
        <v>53</v>
      </c>
      <c r="C2" s="41" t="s">
        <v>54</v>
      </c>
      <c r="D2" s="41" t="s">
        <v>55</v>
      </c>
      <c r="E2" s="40">
        <v>19</v>
      </c>
      <c r="F2" s="40">
        <v>5</v>
      </c>
      <c r="G2" s="40">
        <v>5</v>
      </c>
      <c r="H2" s="40">
        <v>2</v>
      </c>
      <c r="I2" s="40">
        <v>31</v>
      </c>
      <c r="J2" s="39">
        <v>1773.019126096267</v>
      </c>
      <c r="K2" s="39">
        <v>1711.2129248591029</v>
      </c>
      <c r="L2" s="39">
        <v>1645.5261328648301</v>
      </c>
      <c r="M2" s="39">
        <v>1605.1147786744129</v>
      </c>
      <c r="N2" s="39">
        <v>1582.154258376218</v>
      </c>
      <c r="O2" s="39">
        <v>1627.1911477544029</v>
      </c>
      <c r="P2" s="39">
        <v>1624.827857233764</v>
      </c>
      <c r="Q2" s="39">
        <v>1735.9598016378909</v>
      </c>
      <c r="R2" s="39">
        <v>1965.398386457143</v>
      </c>
      <c r="S2" s="39">
        <v>2131.8348816133921</v>
      </c>
      <c r="T2" s="39">
        <v>2280.036362556833</v>
      </c>
      <c r="U2" s="39">
        <v>2419.1689781478231</v>
      </c>
      <c r="V2" s="39">
        <v>2464.2789645264188</v>
      </c>
      <c r="W2" s="39">
        <v>2482.0905881786848</v>
      </c>
      <c r="X2" s="39">
        <v>2536.9380624723158</v>
      </c>
      <c r="Y2" s="39">
        <v>2471.2340711838292</v>
      </c>
      <c r="Z2" s="39">
        <v>2520.6143198290779</v>
      </c>
      <c r="AA2" s="39">
        <v>2523.6177465812571</v>
      </c>
      <c r="AB2" s="39">
        <v>2651.2311348721928</v>
      </c>
      <c r="AC2" s="39">
        <v>2774.8502072877718</v>
      </c>
      <c r="AD2" s="39">
        <v>2640.0550387064609</v>
      </c>
      <c r="AE2" s="39">
        <v>2419.073669339165</v>
      </c>
      <c r="AF2" s="39">
        <v>2159.8598813672311</v>
      </c>
      <c r="AG2" s="39">
        <v>1912.9183272951691</v>
      </c>
      <c r="AH2" s="39">
        <v>51658.206647911647</v>
      </c>
      <c r="AI2" s="39">
        <v>981505.92631032143</v>
      </c>
    </row>
    <row r="3" spans="1:35" x14ac:dyDescent="0.3">
      <c r="A3" s="40">
        <v>2027</v>
      </c>
      <c r="B3" s="40" t="s">
        <v>53</v>
      </c>
      <c r="C3" s="41" t="s">
        <v>54</v>
      </c>
      <c r="D3" s="41" t="s">
        <v>56</v>
      </c>
      <c r="E3" s="40">
        <v>19</v>
      </c>
      <c r="F3" s="40">
        <v>5</v>
      </c>
      <c r="G3" s="40">
        <v>5</v>
      </c>
      <c r="H3" s="40">
        <v>2</v>
      </c>
      <c r="I3" s="40">
        <v>31</v>
      </c>
      <c r="J3" s="39">
        <v>1742.266788041032</v>
      </c>
      <c r="K3" s="39">
        <v>1670.4919833728279</v>
      </c>
      <c r="L3" s="39">
        <v>1609.4452384708161</v>
      </c>
      <c r="M3" s="39">
        <v>1571.643339699481</v>
      </c>
      <c r="N3" s="39">
        <v>1547.5084300932131</v>
      </c>
      <c r="O3" s="39">
        <v>1566.661994112653</v>
      </c>
      <c r="P3" s="39">
        <v>1548.4178427747961</v>
      </c>
      <c r="Q3" s="39">
        <v>1605.763294347139</v>
      </c>
      <c r="R3" s="39">
        <v>1920.942510736636</v>
      </c>
      <c r="S3" s="39">
        <v>2106.8518318111792</v>
      </c>
      <c r="T3" s="39">
        <v>2225.4409654190308</v>
      </c>
      <c r="U3" s="39">
        <v>2334.9682208877039</v>
      </c>
      <c r="V3" s="39">
        <v>2402.5334982969498</v>
      </c>
      <c r="W3" s="39">
        <v>2488.9041960772829</v>
      </c>
      <c r="X3" s="39">
        <v>2509.8959346658821</v>
      </c>
      <c r="Y3" s="39">
        <v>2504.690998254267</v>
      </c>
      <c r="Z3" s="39">
        <v>2478.1718364875369</v>
      </c>
      <c r="AA3" s="39">
        <v>2424.5680861567798</v>
      </c>
      <c r="AB3" s="39">
        <v>2596.066548591486</v>
      </c>
      <c r="AC3" s="39">
        <v>2682.677039681364</v>
      </c>
      <c r="AD3" s="39">
        <v>2536.6786808311899</v>
      </c>
      <c r="AE3" s="39">
        <v>2317.5661222758699</v>
      </c>
      <c r="AF3" s="39">
        <v>2117.286790885249</v>
      </c>
      <c r="AG3" s="39">
        <v>1942.032432576488</v>
      </c>
      <c r="AH3" s="39">
        <v>50451.474604546856</v>
      </c>
      <c r="AI3" s="39">
        <v>252257.3730227343</v>
      </c>
    </row>
    <row r="4" spans="1:35" x14ac:dyDescent="0.3">
      <c r="A4" s="40">
        <v>2027</v>
      </c>
      <c r="B4" s="40" t="s">
        <v>53</v>
      </c>
      <c r="C4" s="41" t="s">
        <v>54</v>
      </c>
      <c r="D4" s="41" t="s">
        <v>57</v>
      </c>
      <c r="E4" s="40">
        <v>19</v>
      </c>
      <c r="F4" s="40">
        <v>5</v>
      </c>
      <c r="G4" s="40">
        <v>5</v>
      </c>
      <c r="H4" s="40">
        <v>2</v>
      </c>
      <c r="I4" s="40">
        <v>31</v>
      </c>
      <c r="J4" s="39">
        <v>1766.494681331646</v>
      </c>
      <c r="K4" s="39">
        <v>1696.4048700185031</v>
      </c>
      <c r="L4" s="39">
        <v>1629.8355392398571</v>
      </c>
      <c r="M4" s="39">
        <v>1581.301280878776</v>
      </c>
      <c r="N4" s="39">
        <v>1559.584484543454</v>
      </c>
      <c r="O4" s="39">
        <v>1578.729448915788</v>
      </c>
      <c r="P4" s="39">
        <v>1532.979326305652</v>
      </c>
      <c r="Q4" s="39">
        <v>1612.9757108803319</v>
      </c>
      <c r="R4" s="39">
        <v>1842.6830346716829</v>
      </c>
      <c r="S4" s="39">
        <v>1974.171638940287</v>
      </c>
      <c r="T4" s="39">
        <v>2114.7678069733279</v>
      </c>
      <c r="U4" s="39">
        <v>2180.5443577842821</v>
      </c>
      <c r="V4" s="39">
        <v>2291.7646687771789</v>
      </c>
      <c r="W4" s="39">
        <v>2382.0422937338881</v>
      </c>
      <c r="X4" s="39">
        <v>2380.249804789988</v>
      </c>
      <c r="Y4" s="39">
        <v>2363.711608447014</v>
      </c>
      <c r="Z4" s="39">
        <v>2347.1492255965518</v>
      </c>
      <c r="AA4" s="39">
        <v>2298.211858777323</v>
      </c>
      <c r="AB4" s="39">
        <v>2464.6365294187981</v>
      </c>
      <c r="AC4" s="39">
        <v>2575.2217616875751</v>
      </c>
      <c r="AD4" s="39">
        <v>2489.4617809113379</v>
      </c>
      <c r="AE4" s="39">
        <v>2304.5613059380539</v>
      </c>
      <c r="AF4" s="39">
        <v>2096.1569204649918</v>
      </c>
      <c r="AG4" s="39">
        <v>1917.1848272162131</v>
      </c>
      <c r="AH4" s="39">
        <v>48980.824766242513</v>
      </c>
      <c r="AI4" s="39">
        <v>244904.12383121249</v>
      </c>
    </row>
    <row r="5" spans="1:35" x14ac:dyDescent="0.3">
      <c r="A5" s="40">
        <v>2027</v>
      </c>
      <c r="B5" s="40" t="s">
        <v>53</v>
      </c>
      <c r="C5" s="41" t="s">
        <v>54</v>
      </c>
      <c r="D5" s="41" t="s">
        <v>58</v>
      </c>
      <c r="E5" s="40">
        <v>19</v>
      </c>
      <c r="F5" s="40">
        <v>5</v>
      </c>
      <c r="G5" s="40">
        <v>5</v>
      </c>
      <c r="H5" s="40">
        <v>2</v>
      </c>
      <c r="I5" s="40">
        <v>31</v>
      </c>
      <c r="J5" s="39">
        <v>1688.933926594151</v>
      </c>
      <c r="K5" s="39">
        <v>1649.3164273273139</v>
      </c>
      <c r="L5" s="39">
        <v>1578.992813108445</v>
      </c>
      <c r="M5" s="39">
        <v>1529.9533254798171</v>
      </c>
      <c r="N5" s="39">
        <v>1532.463347479222</v>
      </c>
      <c r="O5" s="39">
        <v>1552.210287149057</v>
      </c>
      <c r="P5" s="39">
        <v>1454.6419159387899</v>
      </c>
      <c r="Q5" s="39">
        <v>1488.5253802910011</v>
      </c>
      <c r="R5" s="39">
        <v>1660.2388339033851</v>
      </c>
      <c r="S5" s="39">
        <v>1788.674563448945</v>
      </c>
      <c r="T5" s="39">
        <v>1887.205020179327</v>
      </c>
      <c r="U5" s="39">
        <v>1965.6338017967021</v>
      </c>
      <c r="V5" s="39">
        <v>2051.936635296579</v>
      </c>
      <c r="W5" s="39">
        <v>2118.481921627224</v>
      </c>
      <c r="X5" s="39">
        <v>2062.4713450623481</v>
      </c>
      <c r="Y5" s="39">
        <v>1983.037479689322</v>
      </c>
      <c r="Z5" s="39">
        <v>1986.2300986778589</v>
      </c>
      <c r="AA5" s="39">
        <v>1971.5300769040421</v>
      </c>
      <c r="AB5" s="39">
        <v>2164.7265239460221</v>
      </c>
      <c r="AC5" s="39">
        <v>2327.8985982751328</v>
      </c>
      <c r="AD5" s="39">
        <v>2251.4799841690578</v>
      </c>
      <c r="AE5" s="39">
        <v>2103.7380468679048</v>
      </c>
      <c r="AF5" s="39">
        <v>1938.608698071946</v>
      </c>
      <c r="AG5" s="39">
        <v>1791.334366582246</v>
      </c>
      <c r="AH5" s="39">
        <v>44528.263417865841</v>
      </c>
      <c r="AI5" s="39">
        <v>89056.526835731682</v>
      </c>
    </row>
    <row r="6" spans="1:35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</row>
    <row r="7" spans="1:35" x14ac:dyDescent="0.3">
      <c r="A7" s="40">
        <v>2027</v>
      </c>
      <c r="B7" s="40" t="s">
        <v>59</v>
      </c>
      <c r="C7" s="41" t="s">
        <v>54</v>
      </c>
      <c r="D7" s="41" t="s">
        <v>55</v>
      </c>
      <c r="E7" s="40">
        <v>20</v>
      </c>
      <c r="F7" s="40">
        <v>4</v>
      </c>
      <c r="G7" s="40">
        <v>4</v>
      </c>
      <c r="H7" s="40">
        <v>0</v>
      </c>
      <c r="I7" s="40">
        <v>28</v>
      </c>
      <c r="J7" s="39">
        <v>1739.7898771578471</v>
      </c>
      <c r="K7" s="39">
        <v>1662.3957562272381</v>
      </c>
      <c r="L7" s="39">
        <v>1606.695580163494</v>
      </c>
      <c r="M7" s="39">
        <v>1566.1025531495641</v>
      </c>
      <c r="N7" s="39">
        <v>1559.913563595843</v>
      </c>
      <c r="O7" s="39">
        <v>1640.0310151108299</v>
      </c>
      <c r="P7" s="39">
        <v>1608.334250000516</v>
      </c>
      <c r="Q7" s="39">
        <v>1764.4542573232141</v>
      </c>
      <c r="R7" s="39">
        <v>1987.54765939763</v>
      </c>
      <c r="S7" s="39">
        <v>2098.326849818523</v>
      </c>
      <c r="T7" s="39">
        <v>2202.6192434280078</v>
      </c>
      <c r="U7" s="39">
        <v>2349.5491692690161</v>
      </c>
      <c r="V7" s="39">
        <v>2370.5964052380641</v>
      </c>
      <c r="W7" s="39">
        <v>2439.7743386051529</v>
      </c>
      <c r="X7" s="39">
        <v>2420.7964251251728</v>
      </c>
      <c r="Y7" s="39">
        <v>2399.302478269597</v>
      </c>
      <c r="Z7" s="39">
        <v>2414.1643742836691</v>
      </c>
      <c r="AA7" s="39">
        <v>2403.6798070057289</v>
      </c>
      <c r="AB7" s="39">
        <v>2588.0100908775339</v>
      </c>
      <c r="AC7" s="39">
        <v>2660.8111649071038</v>
      </c>
      <c r="AD7" s="39">
        <v>2522.9833383389951</v>
      </c>
      <c r="AE7" s="39">
        <v>2461.263514103352</v>
      </c>
      <c r="AF7" s="39">
        <v>2226.0848307409342</v>
      </c>
      <c r="AG7" s="39">
        <v>2038.879392976911</v>
      </c>
      <c r="AH7" s="39">
        <v>50732.105935113927</v>
      </c>
      <c r="AI7" s="39">
        <v>1014642.1187022791</v>
      </c>
    </row>
    <row r="8" spans="1:35" x14ac:dyDescent="0.3">
      <c r="A8" s="40">
        <v>2027</v>
      </c>
      <c r="B8" s="40" t="s">
        <v>59</v>
      </c>
      <c r="C8" s="41" t="s">
        <v>54</v>
      </c>
      <c r="D8" s="41" t="s">
        <v>56</v>
      </c>
      <c r="E8" s="40">
        <v>20</v>
      </c>
      <c r="F8" s="40">
        <v>4</v>
      </c>
      <c r="G8" s="40">
        <v>4</v>
      </c>
      <c r="H8" s="40">
        <v>0</v>
      </c>
      <c r="I8" s="40">
        <v>28</v>
      </c>
      <c r="J8" s="39">
        <v>1850.5218052749769</v>
      </c>
      <c r="K8" s="39">
        <v>1756.14482401897</v>
      </c>
      <c r="L8" s="39">
        <v>1700.219102752714</v>
      </c>
      <c r="M8" s="39">
        <v>1648.921802616326</v>
      </c>
      <c r="N8" s="39">
        <v>1666.849179097228</v>
      </c>
      <c r="O8" s="39">
        <v>1649.0924213577091</v>
      </c>
      <c r="P8" s="39">
        <v>1613.2128511244321</v>
      </c>
      <c r="Q8" s="39">
        <v>1778.095362556699</v>
      </c>
      <c r="R8" s="39">
        <v>2070.681686756247</v>
      </c>
      <c r="S8" s="39">
        <v>2251.258358317637</v>
      </c>
      <c r="T8" s="39">
        <v>2375.540151699598</v>
      </c>
      <c r="U8" s="39">
        <v>2491.467831071684</v>
      </c>
      <c r="V8" s="39">
        <v>2518.0874568862919</v>
      </c>
      <c r="W8" s="39">
        <v>2540.7766189449849</v>
      </c>
      <c r="X8" s="39">
        <v>2569.4684869276562</v>
      </c>
      <c r="Y8" s="39">
        <v>2580.1678330918071</v>
      </c>
      <c r="Z8" s="39">
        <v>2531.3522601028012</v>
      </c>
      <c r="AA8" s="39">
        <v>2542.4859085177441</v>
      </c>
      <c r="AB8" s="39">
        <v>2790.3701224750721</v>
      </c>
      <c r="AC8" s="39">
        <v>2838.720709704809</v>
      </c>
      <c r="AD8" s="39">
        <v>2641.9228490763421</v>
      </c>
      <c r="AE8" s="39">
        <v>2354.3837374627828</v>
      </c>
      <c r="AF8" s="39">
        <v>2237.1624578151241</v>
      </c>
      <c r="AG8" s="39">
        <v>2045.8523163413061</v>
      </c>
      <c r="AH8" s="39">
        <v>53042.756133990937</v>
      </c>
      <c r="AI8" s="39">
        <v>212171.02453596369</v>
      </c>
    </row>
    <row r="9" spans="1:35" x14ac:dyDescent="0.3">
      <c r="A9" s="40">
        <v>2027</v>
      </c>
      <c r="B9" s="40" t="s">
        <v>59</v>
      </c>
      <c r="C9" s="41" t="s">
        <v>54</v>
      </c>
      <c r="D9" s="41" t="s">
        <v>57</v>
      </c>
      <c r="E9" s="40">
        <v>20</v>
      </c>
      <c r="F9" s="40">
        <v>4</v>
      </c>
      <c r="G9" s="40">
        <v>4</v>
      </c>
      <c r="H9" s="40">
        <v>0</v>
      </c>
      <c r="I9" s="40">
        <v>28</v>
      </c>
      <c r="J9" s="39">
        <v>1861.810561636632</v>
      </c>
      <c r="K9" s="39">
        <v>1780.248598937919</v>
      </c>
      <c r="L9" s="39">
        <v>1738.5059483189509</v>
      </c>
      <c r="M9" s="39">
        <v>1692.6560392710669</v>
      </c>
      <c r="N9" s="39">
        <v>1666.238053787185</v>
      </c>
      <c r="O9" s="39">
        <v>1677.8370260422621</v>
      </c>
      <c r="P9" s="39">
        <v>1631.990219153312</v>
      </c>
      <c r="Q9" s="39">
        <v>1778.334228794635</v>
      </c>
      <c r="R9" s="39">
        <v>2043.928668107468</v>
      </c>
      <c r="S9" s="39">
        <v>2172.0137083427921</v>
      </c>
      <c r="T9" s="39">
        <v>2259.472875175471</v>
      </c>
      <c r="U9" s="39">
        <v>2401.827846508244</v>
      </c>
      <c r="V9" s="39">
        <v>2527.2822559673432</v>
      </c>
      <c r="W9" s="39">
        <v>2520.1441598734368</v>
      </c>
      <c r="X9" s="39">
        <v>2458.9757900083368</v>
      </c>
      <c r="Y9" s="39">
        <v>2404.383997083798</v>
      </c>
      <c r="Z9" s="39">
        <v>2405.2153756781722</v>
      </c>
      <c r="AA9" s="39">
        <v>2380.7145244156418</v>
      </c>
      <c r="AB9" s="39">
        <v>2592.5454472393749</v>
      </c>
      <c r="AC9" s="39">
        <v>2662.7073139356671</v>
      </c>
      <c r="AD9" s="39">
        <v>2518.190137825738</v>
      </c>
      <c r="AE9" s="39">
        <v>2325.0993571236741</v>
      </c>
      <c r="AF9" s="39">
        <v>2135.0052619520729</v>
      </c>
      <c r="AG9" s="39">
        <v>1936.761795260257</v>
      </c>
      <c r="AH9" s="39">
        <v>51571.889190439448</v>
      </c>
      <c r="AI9" s="39">
        <v>206287.55676175779</v>
      </c>
    </row>
    <row r="10" spans="1:35" x14ac:dyDescent="0.3">
      <c r="A10" s="40">
        <v>2027</v>
      </c>
      <c r="B10" s="40" t="s">
        <v>59</v>
      </c>
      <c r="C10" s="41" t="s">
        <v>54</v>
      </c>
      <c r="D10" s="41" t="s">
        <v>58</v>
      </c>
      <c r="E10" s="40">
        <v>20</v>
      </c>
      <c r="F10" s="40">
        <v>4</v>
      </c>
      <c r="G10" s="40">
        <v>4</v>
      </c>
      <c r="H10" s="40">
        <v>0</v>
      </c>
      <c r="I10" s="40">
        <v>28</v>
      </c>
      <c r="J10" s="39">
        <v>1861.810561636632</v>
      </c>
      <c r="K10" s="39">
        <v>1780.248598937919</v>
      </c>
      <c r="L10" s="39">
        <v>1738.5059483189509</v>
      </c>
      <c r="M10" s="39">
        <v>1692.6560392710669</v>
      </c>
      <c r="N10" s="39">
        <v>1666.238053787185</v>
      </c>
      <c r="O10" s="39">
        <v>1677.8370260422621</v>
      </c>
      <c r="P10" s="39">
        <v>1631.990219153312</v>
      </c>
      <c r="Q10" s="39">
        <v>1778.334228794635</v>
      </c>
      <c r="R10" s="39">
        <v>2043.928668107468</v>
      </c>
      <c r="S10" s="39">
        <v>2172.0137083427921</v>
      </c>
      <c r="T10" s="39">
        <v>2259.472875175471</v>
      </c>
      <c r="U10" s="39">
        <v>2401.827846508244</v>
      </c>
      <c r="V10" s="39">
        <v>2527.2822559673432</v>
      </c>
      <c r="W10" s="39">
        <v>2520.1441598734368</v>
      </c>
      <c r="X10" s="39">
        <v>2458.9757900083368</v>
      </c>
      <c r="Y10" s="39">
        <v>2404.383997083798</v>
      </c>
      <c r="Z10" s="39">
        <v>2405.2153756781722</v>
      </c>
      <c r="AA10" s="39">
        <v>2380.7145244156418</v>
      </c>
      <c r="AB10" s="39">
        <v>2592.5454472393749</v>
      </c>
      <c r="AC10" s="39">
        <v>2662.7073139356671</v>
      </c>
      <c r="AD10" s="39">
        <v>2518.190137825738</v>
      </c>
      <c r="AE10" s="39">
        <v>2325.0993571236741</v>
      </c>
      <c r="AF10" s="39">
        <v>2135.0052619520729</v>
      </c>
      <c r="AG10" s="39">
        <v>1936.761795260257</v>
      </c>
      <c r="AH10" s="39">
        <v>51571.889190439448</v>
      </c>
      <c r="AI10" s="39">
        <v>0</v>
      </c>
    </row>
    <row r="11" spans="1:35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r="12" spans="1:35" x14ac:dyDescent="0.3">
      <c r="A12" s="40">
        <v>2027</v>
      </c>
      <c r="B12" s="40" t="s">
        <v>60</v>
      </c>
      <c r="C12" s="41" t="s">
        <v>54</v>
      </c>
      <c r="D12" s="41" t="s">
        <v>55</v>
      </c>
      <c r="E12" s="40">
        <v>20</v>
      </c>
      <c r="F12" s="40">
        <v>4</v>
      </c>
      <c r="G12" s="40">
        <v>4</v>
      </c>
      <c r="H12" s="40">
        <v>3</v>
      </c>
      <c r="I12" s="40">
        <v>31</v>
      </c>
      <c r="J12" s="39">
        <v>1774.739418203236</v>
      </c>
      <c r="K12" s="39">
        <v>1695.8635640458469</v>
      </c>
      <c r="L12" s="39">
        <v>1639.096991715581</v>
      </c>
      <c r="M12" s="39">
        <v>1597.7267992505949</v>
      </c>
      <c r="N12" s="39">
        <v>1591.4193196700901</v>
      </c>
      <c r="O12" s="39">
        <v>1673.070643377529</v>
      </c>
      <c r="P12" s="39">
        <v>1640.7670343689881</v>
      </c>
      <c r="Q12" s="39">
        <v>1800.5269451951881</v>
      </c>
      <c r="R12" s="39">
        <v>2027.8915361216029</v>
      </c>
      <c r="S12" s="39">
        <v>2140.791626751824</v>
      </c>
      <c r="T12" s="39">
        <v>2247.0807289362442</v>
      </c>
      <c r="U12" s="39">
        <v>2396.8236714574491</v>
      </c>
      <c r="V12" s="39">
        <v>2418.2738629545429</v>
      </c>
      <c r="W12" s="39">
        <v>2487.7768438535318</v>
      </c>
      <c r="X12" s="39">
        <v>2468.4355926336812</v>
      </c>
      <c r="Y12" s="39">
        <v>2446.530137838643</v>
      </c>
      <c r="Z12" s="39">
        <v>2461.6765692266199</v>
      </c>
      <c r="AA12" s="39">
        <v>2450.9912718219298</v>
      </c>
      <c r="AB12" s="39">
        <v>2638.8506132375201</v>
      </c>
      <c r="AC12" s="39">
        <v>2712.3945452507842</v>
      </c>
      <c r="AD12" s="39">
        <v>2571.927964372333</v>
      </c>
      <c r="AE12" s="39">
        <v>2509.0264959339852</v>
      </c>
      <c r="AF12" s="39">
        <v>2269.3452474519122</v>
      </c>
      <c r="AG12" s="39">
        <v>2078.5557064765139</v>
      </c>
      <c r="AH12" s="39">
        <v>51739.583130146173</v>
      </c>
      <c r="AI12" s="39">
        <v>1034791.662602923</v>
      </c>
    </row>
    <row r="13" spans="1:35" x14ac:dyDescent="0.3">
      <c r="A13" s="40">
        <v>2027</v>
      </c>
      <c r="B13" s="40" t="s">
        <v>60</v>
      </c>
      <c r="C13" s="41" t="s">
        <v>54</v>
      </c>
      <c r="D13" s="41" t="s">
        <v>56</v>
      </c>
      <c r="E13" s="40">
        <v>20</v>
      </c>
      <c r="F13" s="40">
        <v>4</v>
      </c>
      <c r="G13" s="40">
        <v>4</v>
      </c>
      <c r="H13" s="40">
        <v>3</v>
      </c>
      <c r="I13" s="40">
        <v>31</v>
      </c>
      <c r="J13" s="39">
        <v>1887.591341678977</v>
      </c>
      <c r="K13" s="39">
        <v>1791.407485336222</v>
      </c>
      <c r="L13" s="39">
        <v>1734.4110496741509</v>
      </c>
      <c r="M13" s="39">
        <v>1682.131647626891</v>
      </c>
      <c r="N13" s="39">
        <v>1700.402249007582</v>
      </c>
      <c r="O13" s="39">
        <v>1682.3055329143001</v>
      </c>
      <c r="P13" s="39">
        <v>1645.739037747476</v>
      </c>
      <c r="Q13" s="39">
        <v>1814.4292134037339</v>
      </c>
      <c r="R13" s="39">
        <v>2112.617188905152</v>
      </c>
      <c r="S13" s="39">
        <v>2296.651053997738</v>
      </c>
      <c r="T13" s="39">
        <v>2423.3122588973142</v>
      </c>
      <c r="U13" s="39">
        <v>2541.4594078151958</v>
      </c>
      <c r="V13" s="39">
        <v>2568.5886742017201</v>
      </c>
      <c r="W13" s="39">
        <v>2590.7128425812798</v>
      </c>
      <c r="X13" s="39">
        <v>2619.9540248221551</v>
      </c>
      <c r="Y13" s="39">
        <v>2630.8582131180542</v>
      </c>
      <c r="Z13" s="39">
        <v>2581.1080516149291</v>
      </c>
      <c r="AA13" s="39">
        <v>2592.4548570060529</v>
      </c>
      <c r="AB13" s="39">
        <v>2845.084887206247</v>
      </c>
      <c r="AC13" s="39">
        <v>2893.7102206527052</v>
      </c>
      <c r="AD13" s="39">
        <v>2693.1446070535189</v>
      </c>
      <c r="AE13" s="39">
        <v>2400.1004745087362</v>
      </c>
      <c r="AF13" s="39">
        <v>2280.6349589572219</v>
      </c>
      <c r="AG13" s="39">
        <v>2085.6621285112542</v>
      </c>
      <c r="AH13" s="39">
        <v>54094.471407238612</v>
      </c>
      <c r="AI13" s="39">
        <v>216377.88562895439</v>
      </c>
    </row>
    <row r="14" spans="1:35" x14ac:dyDescent="0.3">
      <c r="A14" s="40">
        <v>2027</v>
      </c>
      <c r="B14" s="40" t="s">
        <v>60</v>
      </c>
      <c r="C14" s="41" t="s">
        <v>54</v>
      </c>
      <c r="D14" s="41" t="s">
        <v>57</v>
      </c>
      <c r="E14" s="40">
        <v>20</v>
      </c>
      <c r="F14" s="40">
        <v>4</v>
      </c>
      <c r="G14" s="40">
        <v>4</v>
      </c>
      <c r="H14" s="40">
        <v>3</v>
      </c>
      <c r="I14" s="40">
        <v>31</v>
      </c>
      <c r="J14" s="39">
        <v>1899.0962246041081</v>
      </c>
      <c r="K14" s="39">
        <v>1815.972734121128</v>
      </c>
      <c r="L14" s="39">
        <v>1773.4309081687859</v>
      </c>
      <c r="M14" s="39">
        <v>1726.7031891159011</v>
      </c>
      <c r="N14" s="39">
        <v>1699.779423523589</v>
      </c>
      <c r="O14" s="39">
        <v>1711.6004615167381</v>
      </c>
      <c r="P14" s="39">
        <v>1664.875904014533</v>
      </c>
      <c r="Q14" s="39">
        <v>1814.672652806107</v>
      </c>
      <c r="R14" s="39">
        <v>2085.3519758393818</v>
      </c>
      <c r="S14" s="39">
        <v>2215.8892418728428</v>
      </c>
      <c r="T14" s="39">
        <v>2305.0228401988229</v>
      </c>
      <c r="U14" s="39">
        <v>2450.103239361059</v>
      </c>
      <c r="V14" s="39">
        <v>2577.9595104177379</v>
      </c>
      <c r="W14" s="39">
        <v>2569.6853690074822</v>
      </c>
      <c r="X14" s="39">
        <v>2507.3459126959269</v>
      </c>
      <c r="Y14" s="39">
        <v>2451.7089438263279</v>
      </c>
      <c r="Z14" s="39">
        <v>2452.5562394086128</v>
      </c>
      <c r="AA14" s="39">
        <v>2427.5863121366451</v>
      </c>
      <c r="AB14" s="39">
        <v>2643.472800331926</v>
      </c>
      <c r="AC14" s="39">
        <v>2714.3269966106459</v>
      </c>
      <c r="AD14" s="39">
        <v>2567.0429966243341</v>
      </c>
      <c r="AE14" s="39">
        <v>2370.2554360879481</v>
      </c>
      <c r="AF14" s="39">
        <v>2176.5219335086049</v>
      </c>
      <c r="AG14" s="39">
        <v>1974.4830372924621</v>
      </c>
      <c r="AH14" s="39">
        <v>52595.444283091652</v>
      </c>
      <c r="AI14" s="39">
        <v>210381.77713236661</v>
      </c>
    </row>
    <row r="15" spans="1:35" x14ac:dyDescent="0.3">
      <c r="A15" s="40">
        <v>2027</v>
      </c>
      <c r="B15" s="40" t="s">
        <v>60</v>
      </c>
      <c r="C15" s="41" t="s">
        <v>54</v>
      </c>
      <c r="D15" s="41" t="s">
        <v>58</v>
      </c>
      <c r="E15" s="40">
        <v>20</v>
      </c>
      <c r="F15" s="40">
        <v>4</v>
      </c>
      <c r="G15" s="40">
        <v>4</v>
      </c>
      <c r="H15" s="40">
        <v>3</v>
      </c>
      <c r="I15" s="40">
        <v>31</v>
      </c>
      <c r="J15" s="39">
        <v>1880.0004584958931</v>
      </c>
      <c r="K15" s="39">
        <v>1779.513731677429</v>
      </c>
      <c r="L15" s="39">
        <v>1728.4736574967951</v>
      </c>
      <c r="M15" s="39">
        <v>1676.6874573556411</v>
      </c>
      <c r="N15" s="39">
        <v>1686.9308815593861</v>
      </c>
      <c r="O15" s="39">
        <v>1732.267518312997</v>
      </c>
      <c r="P15" s="39">
        <v>1702.637465338461</v>
      </c>
      <c r="Q15" s="39">
        <v>1849.2125939869441</v>
      </c>
      <c r="R15" s="39">
        <v>2065.9811548219918</v>
      </c>
      <c r="S15" s="39">
        <v>2223.8942881950288</v>
      </c>
      <c r="T15" s="39">
        <v>2475.0225818221438</v>
      </c>
      <c r="U15" s="39">
        <v>2595.3259083039011</v>
      </c>
      <c r="V15" s="39">
        <v>2652.6132066285481</v>
      </c>
      <c r="W15" s="39">
        <v>2719.9001264743101</v>
      </c>
      <c r="X15" s="39">
        <v>2711.80655673308</v>
      </c>
      <c r="Y15" s="39">
        <v>2725.1609468061092</v>
      </c>
      <c r="Z15" s="39">
        <v>2675.2210922621739</v>
      </c>
      <c r="AA15" s="39">
        <v>2697.5669324696019</v>
      </c>
      <c r="AB15" s="39">
        <v>2650.9656754439238</v>
      </c>
      <c r="AC15" s="39">
        <v>2953.305450973874</v>
      </c>
      <c r="AD15" s="39">
        <v>2785.654741505919</v>
      </c>
      <c r="AE15" s="39">
        <v>2551.4470671190638</v>
      </c>
      <c r="AF15" s="39">
        <v>2299.2059076525302</v>
      </c>
      <c r="AG15" s="39">
        <v>2163.9294771494961</v>
      </c>
      <c r="AH15" s="39">
        <v>54982.724878585243</v>
      </c>
      <c r="AI15" s="39">
        <v>164948.17463575571</v>
      </c>
    </row>
    <row r="16" spans="1:35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r="17" spans="1:35" x14ac:dyDescent="0.3">
      <c r="A17" s="40">
        <v>2027</v>
      </c>
      <c r="B17" s="40" t="s">
        <v>61</v>
      </c>
      <c r="C17" s="41" t="s">
        <v>54</v>
      </c>
      <c r="D17" s="41" t="s">
        <v>55</v>
      </c>
      <c r="E17" s="40">
        <v>22</v>
      </c>
      <c r="F17" s="40">
        <v>4</v>
      </c>
      <c r="G17" s="40">
        <v>4</v>
      </c>
      <c r="H17" s="40">
        <v>0</v>
      </c>
      <c r="I17" s="40">
        <v>30</v>
      </c>
      <c r="J17" s="39">
        <v>1742.6809457526249</v>
      </c>
      <c r="K17" s="39">
        <v>1705.383309285761</v>
      </c>
      <c r="L17" s="39">
        <v>1681.221979419985</v>
      </c>
      <c r="M17" s="39">
        <v>1636.2319169113</v>
      </c>
      <c r="N17" s="39">
        <v>1630.101725621271</v>
      </c>
      <c r="O17" s="39">
        <v>1724.3088863115529</v>
      </c>
      <c r="P17" s="39">
        <v>1708.3666860716719</v>
      </c>
      <c r="Q17" s="39">
        <v>1907.786392247004</v>
      </c>
      <c r="R17" s="39">
        <v>2170.1626654032352</v>
      </c>
      <c r="S17" s="39">
        <v>2272.940091442129</v>
      </c>
      <c r="T17" s="39">
        <v>2307.774031992702</v>
      </c>
      <c r="U17" s="39">
        <v>2572.0145166222601</v>
      </c>
      <c r="V17" s="39">
        <v>2561.9835266671512</v>
      </c>
      <c r="W17" s="39">
        <v>2601.8976069436221</v>
      </c>
      <c r="X17" s="39">
        <v>2618.5235641999179</v>
      </c>
      <c r="Y17" s="39">
        <v>2412.5537335407412</v>
      </c>
      <c r="Z17" s="39">
        <v>2490.099823402456</v>
      </c>
      <c r="AA17" s="39">
        <v>2567.1607075382349</v>
      </c>
      <c r="AB17" s="39">
        <v>2902.8585885976172</v>
      </c>
      <c r="AC17" s="39">
        <v>2914.6770257793719</v>
      </c>
      <c r="AD17" s="39">
        <v>2723.980322201156</v>
      </c>
      <c r="AE17" s="39">
        <v>2472.5269237357302</v>
      </c>
      <c r="AF17" s="39">
        <v>2195.6110779447208</v>
      </c>
      <c r="AG17" s="39">
        <v>1975.218507082142</v>
      </c>
      <c r="AH17" s="39">
        <v>53496.064554714358</v>
      </c>
      <c r="AI17" s="39">
        <v>1176913.420203716</v>
      </c>
    </row>
    <row r="18" spans="1:35" x14ac:dyDescent="0.3">
      <c r="A18" s="40">
        <v>2027</v>
      </c>
      <c r="B18" s="40" t="s">
        <v>61</v>
      </c>
      <c r="C18" s="41" t="s">
        <v>54</v>
      </c>
      <c r="D18" s="41" t="s">
        <v>56</v>
      </c>
      <c r="E18" s="40">
        <v>22</v>
      </c>
      <c r="F18" s="40">
        <v>4</v>
      </c>
      <c r="G18" s="40">
        <v>4</v>
      </c>
      <c r="H18" s="40">
        <v>0</v>
      </c>
      <c r="I18" s="40">
        <v>30</v>
      </c>
      <c r="J18" s="39">
        <v>1643.723237948293</v>
      </c>
      <c r="K18" s="39">
        <v>1744.748177516542</v>
      </c>
      <c r="L18" s="39">
        <v>1665.5543034724101</v>
      </c>
      <c r="M18" s="39">
        <v>1632.946563403854</v>
      </c>
      <c r="N18" s="39">
        <v>1624.5863410602869</v>
      </c>
      <c r="O18" s="39">
        <v>1690.922263367155</v>
      </c>
      <c r="P18" s="39">
        <v>1682.4215867344999</v>
      </c>
      <c r="Q18" s="39">
        <v>1860.338379679308</v>
      </c>
      <c r="R18" s="39">
        <v>2148.8027601761451</v>
      </c>
      <c r="S18" s="39">
        <v>2304.9783532112979</v>
      </c>
      <c r="T18" s="39">
        <v>2480.437681709413</v>
      </c>
      <c r="U18" s="39">
        <v>2674.3348277930359</v>
      </c>
      <c r="V18" s="39">
        <v>2741.1591479687718</v>
      </c>
      <c r="W18" s="39">
        <v>2770.707701710674</v>
      </c>
      <c r="X18" s="39">
        <v>2757.230474244257</v>
      </c>
      <c r="Y18" s="39">
        <v>2671.8821486237998</v>
      </c>
      <c r="Z18" s="39">
        <v>2785.9565685053381</v>
      </c>
      <c r="AA18" s="39">
        <v>2801.122439583723</v>
      </c>
      <c r="AB18" s="39">
        <v>3055.8745985569162</v>
      </c>
      <c r="AC18" s="39">
        <v>2716.8088538861271</v>
      </c>
      <c r="AD18" s="39">
        <v>2232.800181551836</v>
      </c>
      <c r="AE18" s="39">
        <v>2666.1750826705188</v>
      </c>
      <c r="AF18" s="39">
        <v>2424.3830240084699</v>
      </c>
      <c r="AG18" s="39">
        <v>2208.919760264233</v>
      </c>
      <c r="AH18" s="39">
        <v>54986.814457646913</v>
      </c>
      <c r="AI18" s="39">
        <v>219947.25783058759</v>
      </c>
    </row>
    <row r="19" spans="1:35" x14ac:dyDescent="0.3">
      <c r="A19" s="40">
        <v>2027</v>
      </c>
      <c r="B19" s="40" t="s">
        <v>61</v>
      </c>
      <c r="C19" s="41" t="s">
        <v>54</v>
      </c>
      <c r="D19" s="41" t="s">
        <v>57</v>
      </c>
      <c r="E19" s="40">
        <v>22</v>
      </c>
      <c r="F19" s="40">
        <v>4</v>
      </c>
      <c r="G19" s="40">
        <v>4</v>
      </c>
      <c r="H19" s="40">
        <v>0</v>
      </c>
      <c r="I19" s="40">
        <v>30</v>
      </c>
      <c r="J19" s="39">
        <v>1989.425933390726</v>
      </c>
      <c r="K19" s="39">
        <v>1877.327449985198</v>
      </c>
      <c r="L19" s="39">
        <v>1804.7604646715929</v>
      </c>
      <c r="M19" s="39">
        <v>1735.7622951579531</v>
      </c>
      <c r="N19" s="39">
        <v>1719.9260740634729</v>
      </c>
      <c r="O19" s="39">
        <v>1743.8799146385529</v>
      </c>
      <c r="P19" s="39">
        <v>1734.255603693209</v>
      </c>
      <c r="Q19" s="39">
        <v>1923.648150484953</v>
      </c>
      <c r="R19" s="39">
        <v>2114.4936079238842</v>
      </c>
      <c r="S19" s="39">
        <v>2234.5596800921262</v>
      </c>
      <c r="T19" s="39">
        <v>2322.241462197177</v>
      </c>
      <c r="U19" s="39">
        <v>2410.4882536015061</v>
      </c>
      <c r="V19" s="39">
        <v>2508.0337573719348</v>
      </c>
      <c r="W19" s="39">
        <v>2584.2450565198219</v>
      </c>
      <c r="X19" s="39">
        <v>2569.324980447338</v>
      </c>
      <c r="Y19" s="39">
        <v>2546.070219174755</v>
      </c>
      <c r="Z19" s="39">
        <v>2475.2142224736549</v>
      </c>
      <c r="AA19" s="39">
        <v>2468.5554123137922</v>
      </c>
      <c r="AB19" s="39">
        <v>2744.2895267907161</v>
      </c>
      <c r="AC19" s="39">
        <v>2798.779892282646</v>
      </c>
      <c r="AD19" s="39">
        <v>2634.5281776250308</v>
      </c>
      <c r="AE19" s="39">
        <v>2433.487015655609</v>
      </c>
      <c r="AF19" s="39">
        <v>2172.5484836767519</v>
      </c>
      <c r="AG19" s="39">
        <v>1991.684857191749</v>
      </c>
      <c r="AH19" s="39">
        <v>53537.53049142415</v>
      </c>
      <c r="AI19" s="39">
        <v>214150.1219656966</v>
      </c>
    </row>
    <row r="20" spans="1:35" x14ac:dyDescent="0.3">
      <c r="A20" s="40">
        <v>2027</v>
      </c>
      <c r="B20" s="40" t="s">
        <v>61</v>
      </c>
      <c r="C20" s="41" t="s">
        <v>54</v>
      </c>
      <c r="D20" s="41" t="s">
        <v>58</v>
      </c>
      <c r="E20" s="40">
        <v>22</v>
      </c>
      <c r="F20" s="40">
        <v>4</v>
      </c>
      <c r="G20" s="40">
        <v>4</v>
      </c>
      <c r="H20" s="40">
        <v>0</v>
      </c>
      <c r="I20" s="40">
        <v>30</v>
      </c>
      <c r="J20" s="39">
        <v>1621.46442527105</v>
      </c>
      <c r="K20" s="39">
        <v>1552.539675044887</v>
      </c>
      <c r="L20" s="39">
        <v>1513.557225537573</v>
      </c>
      <c r="M20" s="39">
        <v>1477.607311817351</v>
      </c>
      <c r="N20" s="39">
        <v>1476.9497303729929</v>
      </c>
      <c r="O20" s="39">
        <v>1494.0404636404469</v>
      </c>
      <c r="P20" s="39">
        <v>1482.8232733711459</v>
      </c>
      <c r="Q20" s="39">
        <v>1516.2732535619041</v>
      </c>
      <c r="R20" s="39">
        <v>774.72568147323148</v>
      </c>
      <c r="S20" s="39">
        <v>1734.8520488095089</v>
      </c>
      <c r="T20" s="39">
        <v>2149.4156516194298</v>
      </c>
      <c r="U20" s="39">
        <v>2268.3932030472529</v>
      </c>
      <c r="V20" s="39">
        <v>2393.901878917588</v>
      </c>
      <c r="W20" s="39">
        <v>2455.8826048666879</v>
      </c>
      <c r="X20" s="39">
        <v>2430.5433742583482</v>
      </c>
      <c r="Y20" s="39">
        <v>2293.6706695437579</v>
      </c>
      <c r="Z20" s="39">
        <v>2220.2258449233641</v>
      </c>
      <c r="AA20" s="39">
        <v>2173.5630995173769</v>
      </c>
      <c r="AB20" s="39">
        <v>2445.6485946209918</v>
      </c>
      <c r="AC20" s="39">
        <v>2502.9129323223751</v>
      </c>
      <c r="AD20" s="39">
        <v>2338.6963312370322</v>
      </c>
      <c r="AE20" s="39">
        <v>2184.241303243185</v>
      </c>
      <c r="AF20" s="39">
        <v>2036.362089692924</v>
      </c>
      <c r="AG20" s="39">
        <v>1825.3167517690381</v>
      </c>
      <c r="AH20" s="39">
        <v>46363.607418479449</v>
      </c>
      <c r="AI20" s="39">
        <v>0</v>
      </c>
    </row>
    <row r="21" spans="1:35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r="22" spans="1:35" x14ac:dyDescent="0.3">
      <c r="A22" s="40">
        <v>2027</v>
      </c>
      <c r="B22" s="40" t="s">
        <v>62</v>
      </c>
      <c r="C22" s="41" t="s">
        <v>54</v>
      </c>
      <c r="D22" s="41" t="s">
        <v>55</v>
      </c>
      <c r="E22" s="40">
        <v>19</v>
      </c>
      <c r="F22" s="40">
        <v>4</v>
      </c>
      <c r="G22" s="40">
        <v>5</v>
      </c>
      <c r="H22" s="40">
        <v>3</v>
      </c>
      <c r="I22" s="40">
        <v>31</v>
      </c>
      <c r="J22" s="39">
        <v>1787.315344670601</v>
      </c>
      <c r="K22" s="39">
        <v>1706.9653828379801</v>
      </c>
      <c r="L22" s="39">
        <v>1656.8488572539841</v>
      </c>
      <c r="M22" s="39">
        <v>1619.224109059629</v>
      </c>
      <c r="N22" s="39">
        <v>1626.549080290072</v>
      </c>
      <c r="O22" s="39">
        <v>1701.39814173064</v>
      </c>
      <c r="P22" s="39">
        <v>1723.0228242583689</v>
      </c>
      <c r="Q22" s="39">
        <v>1826.563861646815</v>
      </c>
      <c r="R22" s="39">
        <v>1909.9583244134981</v>
      </c>
      <c r="S22" s="39">
        <v>2016.915096725623</v>
      </c>
      <c r="T22" s="39">
        <v>2123.0219906851289</v>
      </c>
      <c r="U22" s="39">
        <v>2131.9929288516541</v>
      </c>
      <c r="V22" s="39">
        <v>2116.9539070605629</v>
      </c>
      <c r="W22" s="39">
        <v>2292.57692303864</v>
      </c>
      <c r="X22" s="39">
        <v>2395.5150019309299</v>
      </c>
      <c r="Y22" s="39">
        <v>2406.819220750494</v>
      </c>
      <c r="Z22" s="39">
        <v>2444.9221002262079</v>
      </c>
      <c r="AA22" s="39">
        <v>2575.8147221473382</v>
      </c>
      <c r="AB22" s="39">
        <v>2858.6634419258289</v>
      </c>
      <c r="AC22" s="39">
        <v>2795.2441933486421</v>
      </c>
      <c r="AD22" s="39">
        <v>2645.9578610335761</v>
      </c>
      <c r="AE22" s="39">
        <v>2383.274925710562</v>
      </c>
      <c r="AF22" s="39">
        <v>2132.386891434609</v>
      </c>
      <c r="AG22" s="39">
        <v>1938.8357627552971</v>
      </c>
      <c r="AH22" s="39">
        <v>50816.740893786678</v>
      </c>
      <c r="AI22" s="39">
        <v>965518.07698194694</v>
      </c>
    </row>
    <row r="23" spans="1:35" x14ac:dyDescent="0.3">
      <c r="A23" s="40">
        <v>2027</v>
      </c>
      <c r="B23" s="40" t="s">
        <v>62</v>
      </c>
      <c r="C23" s="41" t="s">
        <v>54</v>
      </c>
      <c r="D23" s="41" t="s">
        <v>56</v>
      </c>
      <c r="E23" s="40">
        <v>19</v>
      </c>
      <c r="F23" s="40">
        <v>4</v>
      </c>
      <c r="G23" s="40">
        <v>5</v>
      </c>
      <c r="H23" s="40">
        <v>3</v>
      </c>
      <c r="I23" s="40">
        <v>31</v>
      </c>
      <c r="J23" s="39">
        <v>1752.275613248921</v>
      </c>
      <c r="K23" s="39">
        <v>1659.611977928965</v>
      </c>
      <c r="L23" s="39">
        <v>1624.544634425788</v>
      </c>
      <c r="M23" s="39">
        <v>1575.55578146888</v>
      </c>
      <c r="N23" s="39">
        <v>1560.6603185950171</v>
      </c>
      <c r="O23" s="39">
        <v>1590.960812755852</v>
      </c>
      <c r="P23" s="39">
        <v>1641.4356977352279</v>
      </c>
      <c r="Q23" s="39">
        <v>1849.847181589583</v>
      </c>
      <c r="R23" s="39">
        <v>2132.3237956983548</v>
      </c>
      <c r="S23" s="39">
        <v>2260.579404069962</v>
      </c>
      <c r="T23" s="39">
        <v>2395.4819935150408</v>
      </c>
      <c r="U23" s="39">
        <v>2550.9656244334592</v>
      </c>
      <c r="V23" s="39">
        <v>2400.891451299532</v>
      </c>
      <c r="W23" s="39">
        <v>2634.2919708500231</v>
      </c>
      <c r="X23" s="39">
        <v>2649.2903514821978</v>
      </c>
      <c r="Y23" s="39">
        <v>2625.988264886636</v>
      </c>
      <c r="Z23" s="39">
        <v>2587.9137146893431</v>
      </c>
      <c r="AA23" s="39">
        <v>2595.2735895033238</v>
      </c>
      <c r="AB23" s="39">
        <v>2836.3998564733811</v>
      </c>
      <c r="AC23" s="39">
        <v>2779.2875180957999</v>
      </c>
      <c r="AD23" s="39">
        <v>2589.861108447963</v>
      </c>
      <c r="AE23" s="39">
        <v>2342.86350887562</v>
      </c>
      <c r="AF23" s="39">
        <v>2117.6669027410062</v>
      </c>
      <c r="AG23" s="39">
        <v>1964.6884406712761</v>
      </c>
      <c r="AH23" s="39">
        <v>52718.659513481158</v>
      </c>
      <c r="AI23" s="39">
        <v>210874.6380539246</v>
      </c>
    </row>
    <row r="24" spans="1:35" x14ac:dyDescent="0.3">
      <c r="A24" s="40">
        <v>2027</v>
      </c>
      <c r="B24" s="40" t="s">
        <v>62</v>
      </c>
      <c r="C24" s="41" t="s">
        <v>54</v>
      </c>
      <c r="D24" s="41" t="s">
        <v>57</v>
      </c>
      <c r="E24" s="40">
        <v>19</v>
      </c>
      <c r="F24" s="40">
        <v>4</v>
      </c>
      <c r="G24" s="40">
        <v>5</v>
      </c>
      <c r="H24" s="40">
        <v>3</v>
      </c>
      <c r="I24" s="40">
        <v>31</v>
      </c>
      <c r="J24" s="39">
        <v>1816.182520782736</v>
      </c>
      <c r="K24" s="39">
        <v>1728.247454419409</v>
      </c>
      <c r="L24" s="39">
        <v>1663.5065365148771</v>
      </c>
      <c r="M24" s="39">
        <v>1626.004309461372</v>
      </c>
      <c r="N24" s="39">
        <v>1632.9826355128271</v>
      </c>
      <c r="O24" s="39">
        <v>1635.6622625128009</v>
      </c>
      <c r="P24" s="39">
        <v>1616.396560194484</v>
      </c>
      <c r="Q24" s="39">
        <v>1777.9371632523321</v>
      </c>
      <c r="R24" s="39">
        <v>2015.5893283320249</v>
      </c>
      <c r="S24" s="39">
        <v>2121.3028098965879</v>
      </c>
      <c r="T24" s="39">
        <v>2224.1797776344779</v>
      </c>
      <c r="U24" s="39">
        <v>2346.532676038461</v>
      </c>
      <c r="V24" s="39">
        <v>2420.3949940471211</v>
      </c>
      <c r="W24" s="39">
        <v>2490.6620810094769</v>
      </c>
      <c r="X24" s="39">
        <v>2484.8007891641</v>
      </c>
      <c r="Y24" s="39">
        <v>2463.787367596386</v>
      </c>
      <c r="Z24" s="39">
        <v>2422.1778434199682</v>
      </c>
      <c r="AA24" s="39">
        <v>2412.8995564891438</v>
      </c>
      <c r="AB24" s="39">
        <v>2727.5643270575611</v>
      </c>
      <c r="AC24" s="39">
        <v>2729.9924220531798</v>
      </c>
      <c r="AD24" s="39">
        <v>2555.0102687656272</v>
      </c>
      <c r="AE24" s="39">
        <v>2352.4976151293909</v>
      </c>
      <c r="AF24" s="39">
        <v>2122.0371421854611</v>
      </c>
      <c r="AG24" s="39">
        <v>1955.8249625102369</v>
      </c>
      <c r="AH24" s="39">
        <v>51342.173403980043</v>
      </c>
      <c r="AI24" s="39">
        <v>256710.86701990021</v>
      </c>
    </row>
    <row r="25" spans="1:35" x14ac:dyDescent="0.3">
      <c r="A25" s="40">
        <v>2027</v>
      </c>
      <c r="B25" s="40" t="s">
        <v>62</v>
      </c>
      <c r="C25" s="41" t="s">
        <v>54</v>
      </c>
      <c r="D25" s="41" t="s">
        <v>58</v>
      </c>
      <c r="E25" s="40">
        <v>19</v>
      </c>
      <c r="F25" s="40">
        <v>4</v>
      </c>
      <c r="G25" s="40">
        <v>5</v>
      </c>
      <c r="H25" s="40">
        <v>3</v>
      </c>
      <c r="I25" s="40">
        <v>31</v>
      </c>
      <c r="J25" s="39">
        <v>1783.273940014901</v>
      </c>
      <c r="K25" s="39">
        <v>1699.885453889236</v>
      </c>
      <c r="L25" s="39">
        <v>1624.617429913375</v>
      </c>
      <c r="M25" s="39">
        <v>1564.021461970161</v>
      </c>
      <c r="N25" s="39">
        <v>1534.8907159891751</v>
      </c>
      <c r="O25" s="39">
        <v>1589.3994750565701</v>
      </c>
      <c r="P25" s="39">
        <v>1619.772764704991</v>
      </c>
      <c r="Q25" s="39">
        <v>1829.449383929825</v>
      </c>
      <c r="R25" s="39">
        <v>2035.2472477170829</v>
      </c>
      <c r="S25" s="39">
        <v>2162.3130263950238</v>
      </c>
      <c r="T25" s="39">
        <v>2301.6912832320982</v>
      </c>
      <c r="U25" s="39">
        <v>2477.8061594083988</v>
      </c>
      <c r="V25" s="39">
        <v>2516.8521528365959</v>
      </c>
      <c r="W25" s="39">
        <v>2579.1180116374362</v>
      </c>
      <c r="X25" s="39">
        <v>2632.6728987985161</v>
      </c>
      <c r="Y25" s="39">
        <v>2632.6101440678381</v>
      </c>
      <c r="Z25" s="39">
        <v>2611.8132263209641</v>
      </c>
      <c r="AA25" s="39">
        <v>2573.570493445452</v>
      </c>
      <c r="AB25" s="39">
        <v>2855.527498384206</v>
      </c>
      <c r="AC25" s="39">
        <v>2839.5872837102111</v>
      </c>
      <c r="AD25" s="39">
        <v>2655.7159228220398</v>
      </c>
      <c r="AE25" s="39">
        <v>2439.965158749163</v>
      </c>
      <c r="AF25" s="39">
        <v>2206.9568437396838</v>
      </c>
      <c r="AG25" s="39">
        <v>2039.51467134316</v>
      </c>
      <c r="AH25" s="39">
        <v>52806.272648076098</v>
      </c>
      <c r="AI25" s="39">
        <v>158418.8179442283</v>
      </c>
    </row>
    <row r="26" spans="1:35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 spans="1:35" x14ac:dyDescent="0.3">
      <c r="A27" s="40">
        <v>2027</v>
      </c>
      <c r="B27" s="40" t="s">
        <v>63</v>
      </c>
      <c r="C27" s="41" t="s">
        <v>54</v>
      </c>
      <c r="D27" s="41" t="s">
        <v>55</v>
      </c>
      <c r="E27" s="40">
        <v>21</v>
      </c>
      <c r="F27" s="40">
        <v>4</v>
      </c>
      <c r="G27" s="40">
        <v>4</v>
      </c>
      <c r="H27" s="40">
        <v>1</v>
      </c>
      <c r="I27" s="40">
        <v>30</v>
      </c>
      <c r="J27" s="39">
        <v>1662.813766617681</v>
      </c>
      <c r="K27" s="39">
        <v>1578.820364345946</v>
      </c>
      <c r="L27" s="39">
        <v>1525.8093491335651</v>
      </c>
      <c r="M27" s="39">
        <v>1503.331403017374</v>
      </c>
      <c r="N27" s="39">
        <v>1515.149741114722</v>
      </c>
      <c r="O27" s="39">
        <v>1575.398744273147</v>
      </c>
      <c r="P27" s="39">
        <v>1625.9526847563659</v>
      </c>
      <c r="Q27" s="39">
        <v>1872.1917314188779</v>
      </c>
      <c r="R27" s="39">
        <v>1978.4015682478021</v>
      </c>
      <c r="S27" s="39">
        <v>2222.678168975327</v>
      </c>
      <c r="T27" s="39">
        <v>2375.8176370388601</v>
      </c>
      <c r="U27" s="39">
        <v>2534.2107234950308</v>
      </c>
      <c r="V27" s="39">
        <v>2548.8121398910298</v>
      </c>
      <c r="W27" s="39">
        <v>2604.562035281388</v>
      </c>
      <c r="X27" s="39">
        <v>2645.0013606695388</v>
      </c>
      <c r="Y27" s="39">
        <v>2645.26995926266</v>
      </c>
      <c r="Z27" s="39">
        <v>2618.1932367064551</v>
      </c>
      <c r="AA27" s="39">
        <v>2592.0009760083371</v>
      </c>
      <c r="AB27" s="39">
        <v>2825.7015957196249</v>
      </c>
      <c r="AC27" s="39">
        <v>2807.7139482340722</v>
      </c>
      <c r="AD27" s="39">
        <v>2453.962514058861</v>
      </c>
      <c r="AE27" s="39">
        <v>2178.360513820608</v>
      </c>
      <c r="AF27" s="39">
        <v>2055.8845162810612</v>
      </c>
      <c r="AG27" s="39">
        <v>1846.3024910845811</v>
      </c>
      <c r="AH27" s="39">
        <v>51792.341169452913</v>
      </c>
      <c r="AI27" s="39">
        <v>1087639.164558511</v>
      </c>
    </row>
    <row r="28" spans="1:35" x14ac:dyDescent="0.3">
      <c r="A28" s="40">
        <v>2027</v>
      </c>
      <c r="B28" s="40" t="s">
        <v>63</v>
      </c>
      <c r="C28" s="41" t="s">
        <v>54</v>
      </c>
      <c r="D28" s="41" t="s">
        <v>56</v>
      </c>
      <c r="E28" s="40">
        <v>21</v>
      </c>
      <c r="F28" s="40">
        <v>4</v>
      </c>
      <c r="G28" s="40">
        <v>4</v>
      </c>
      <c r="H28" s="40">
        <v>1</v>
      </c>
      <c r="I28" s="40">
        <v>30</v>
      </c>
      <c r="J28" s="39">
        <v>1703.7119774650571</v>
      </c>
      <c r="K28" s="39">
        <v>1626.58201338616</v>
      </c>
      <c r="L28" s="39">
        <v>1560.907531257704</v>
      </c>
      <c r="M28" s="39">
        <v>1523.5847291235159</v>
      </c>
      <c r="N28" s="39">
        <v>1535.6493416565099</v>
      </c>
      <c r="O28" s="39">
        <v>1578.495778183282</v>
      </c>
      <c r="P28" s="39">
        <v>1635.3107589591989</v>
      </c>
      <c r="Q28" s="39">
        <v>1859.4067218676571</v>
      </c>
      <c r="R28" s="39">
        <v>2131.1586908205991</v>
      </c>
      <c r="S28" s="39">
        <v>2282.9119350103952</v>
      </c>
      <c r="T28" s="39">
        <v>2163.6913665935499</v>
      </c>
      <c r="U28" s="39">
        <v>2527.5942684412498</v>
      </c>
      <c r="V28" s="39">
        <v>2534.2564348651008</v>
      </c>
      <c r="W28" s="39">
        <v>2641.3355922713299</v>
      </c>
      <c r="X28" s="39">
        <v>2661.806844676641</v>
      </c>
      <c r="Y28" s="39">
        <v>2680.3964895232762</v>
      </c>
      <c r="Z28" s="39">
        <v>2638.822529972625</v>
      </c>
      <c r="AA28" s="39">
        <v>2656.7009909453891</v>
      </c>
      <c r="AB28" s="39">
        <v>2874.2754188699118</v>
      </c>
      <c r="AC28" s="39">
        <v>2840.9521382536</v>
      </c>
      <c r="AD28" s="39">
        <v>2631.108247146411</v>
      </c>
      <c r="AE28" s="39">
        <v>2394.8261752571661</v>
      </c>
      <c r="AF28" s="39">
        <v>2146.7250565671602</v>
      </c>
      <c r="AG28" s="39">
        <v>1960.4076382741141</v>
      </c>
      <c r="AH28" s="39">
        <v>52790.618669387608</v>
      </c>
      <c r="AI28" s="39">
        <v>211162.4746775504</v>
      </c>
    </row>
    <row r="29" spans="1:35" x14ac:dyDescent="0.3">
      <c r="A29" s="40">
        <v>2027</v>
      </c>
      <c r="B29" s="40" t="s">
        <v>63</v>
      </c>
      <c r="C29" s="41" t="s">
        <v>54</v>
      </c>
      <c r="D29" s="41" t="s">
        <v>57</v>
      </c>
      <c r="E29" s="40">
        <v>21</v>
      </c>
      <c r="F29" s="40">
        <v>4</v>
      </c>
      <c r="G29" s="40">
        <v>4</v>
      </c>
      <c r="H29" s="40">
        <v>1</v>
      </c>
      <c r="I29" s="40">
        <v>30</v>
      </c>
      <c r="J29" s="39">
        <v>1793.39194504378</v>
      </c>
      <c r="K29" s="39">
        <v>1720.301377801861</v>
      </c>
      <c r="L29" s="39">
        <v>1653.0482588233299</v>
      </c>
      <c r="M29" s="39">
        <v>1622.475644076754</v>
      </c>
      <c r="N29" s="39">
        <v>1621.6107424328341</v>
      </c>
      <c r="O29" s="39">
        <v>1631.7982122386491</v>
      </c>
      <c r="P29" s="39">
        <v>1638.3729955318081</v>
      </c>
      <c r="Q29" s="39">
        <v>1832.2401357188171</v>
      </c>
      <c r="R29" s="39">
        <v>2075.581106201912</v>
      </c>
      <c r="S29" s="39">
        <v>2193.3480530505481</v>
      </c>
      <c r="T29" s="39">
        <v>2286.017544231815</v>
      </c>
      <c r="U29" s="39">
        <v>2390.3185592910472</v>
      </c>
      <c r="V29" s="39">
        <v>2450.9841383150028</v>
      </c>
      <c r="W29" s="39">
        <v>2368.448280452476</v>
      </c>
      <c r="X29" s="39">
        <v>2464.9116027384889</v>
      </c>
      <c r="Y29" s="39">
        <v>2476.165529438576</v>
      </c>
      <c r="Z29" s="39">
        <v>2444.8581309945098</v>
      </c>
      <c r="AA29" s="39">
        <v>2433.0122952047791</v>
      </c>
      <c r="AB29" s="39">
        <v>2610.324786205158</v>
      </c>
      <c r="AC29" s="39">
        <v>2660.8829327214949</v>
      </c>
      <c r="AD29" s="39">
        <v>2465.2697352555251</v>
      </c>
      <c r="AE29" s="39">
        <v>2229.93994814089</v>
      </c>
      <c r="AF29" s="39">
        <v>2020.0545978841051</v>
      </c>
      <c r="AG29" s="39">
        <v>1870.6945033757131</v>
      </c>
      <c r="AH29" s="39">
        <v>50954.051055169883</v>
      </c>
      <c r="AI29" s="39">
        <v>203816.2042206795</v>
      </c>
    </row>
    <row r="30" spans="1:35" x14ac:dyDescent="0.3">
      <c r="A30" s="40">
        <v>2027</v>
      </c>
      <c r="B30" s="40" t="s">
        <v>63</v>
      </c>
      <c r="C30" s="41" t="s">
        <v>54</v>
      </c>
      <c r="D30" s="41" t="s">
        <v>58</v>
      </c>
      <c r="E30" s="40">
        <v>21</v>
      </c>
      <c r="F30" s="40">
        <v>4</v>
      </c>
      <c r="G30" s="40">
        <v>4</v>
      </c>
      <c r="H30" s="40">
        <v>1</v>
      </c>
      <c r="I30" s="40">
        <v>30</v>
      </c>
      <c r="J30" s="39">
        <v>1658.0718320884559</v>
      </c>
      <c r="K30" s="39">
        <v>1568.222413523941</v>
      </c>
      <c r="L30" s="39">
        <v>1505.612719300377</v>
      </c>
      <c r="M30" s="39">
        <v>1480.363034140127</v>
      </c>
      <c r="N30" s="39">
        <v>1482.535918801105</v>
      </c>
      <c r="O30" s="39">
        <v>1502.9040548599801</v>
      </c>
      <c r="P30" s="39">
        <v>1533.354205656974</v>
      </c>
      <c r="Q30" s="39">
        <v>1784.4485793946201</v>
      </c>
      <c r="R30" s="39">
        <v>2006.7121434441799</v>
      </c>
      <c r="S30" s="39">
        <v>2133.313503544573</v>
      </c>
      <c r="T30" s="39">
        <v>2180.0709198500822</v>
      </c>
      <c r="U30" s="39">
        <v>2242.2979142312038</v>
      </c>
      <c r="V30" s="39">
        <v>2244.8960209393399</v>
      </c>
      <c r="W30" s="39">
        <v>2366.9472466260081</v>
      </c>
      <c r="X30" s="39">
        <v>2312.6591478653281</v>
      </c>
      <c r="Y30" s="39">
        <v>2340.3070853715499</v>
      </c>
      <c r="Z30" s="39">
        <v>2319.6923205253238</v>
      </c>
      <c r="AA30" s="39">
        <v>2365.9777403584881</v>
      </c>
      <c r="AB30" s="39">
        <v>2626.5920808412388</v>
      </c>
      <c r="AC30" s="39">
        <v>2629.5551236191668</v>
      </c>
      <c r="AD30" s="39">
        <v>2424.4917913771542</v>
      </c>
      <c r="AE30" s="39">
        <v>2186.044276212755</v>
      </c>
      <c r="AF30" s="39">
        <v>1920.191200109015</v>
      </c>
      <c r="AG30" s="39">
        <v>1705.8452705775401</v>
      </c>
      <c r="AH30" s="39">
        <v>48521.106543258516</v>
      </c>
      <c r="AI30" s="39">
        <v>48521.106543258516</v>
      </c>
    </row>
    <row r="31" spans="1:35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 spans="1:35" x14ac:dyDescent="0.3">
      <c r="A32" s="40">
        <v>2027</v>
      </c>
      <c r="B32" s="40" t="s">
        <v>64</v>
      </c>
      <c r="C32" s="41" t="s">
        <v>54</v>
      </c>
      <c r="D32" s="41" t="s">
        <v>55</v>
      </c>
      <c r="E32" s="40">
        <v>20</v>
      </c>
      <c r="F32" s="40">
        <v>5</v>
      </c>
      <c r="G32" s="40">
        <v>4</v>
      </c>
      <c r="H32" s="40">
        <v>2</v>
      </c>
      <c r="I32" s="40">
        <v>31</v>
      </c>
      <c r="J32" s="39">
        <v>1691.236754024507</v>
      </c>
      <c r="K32" s="39">
        <v>1623.159871481241</v>
      </c>
      <c r="L32" s="39">
        <v>1573.9694979777671</v>
      </c>
      <c r="M32" s="39">
        <v>1540.6731676500519</v>
      </c>
      <c r="N32" s="39">
        <v>1561.6684728749899</v>
      </c>
      <c r="O32" s="39">
        <v>1650.055459170504</v>
      </c>
      <c r="P32" s="39">
        <v>1710.081510386914</v>
      </c>
      <c r="Q32" s="39">
        <v>1919.638604476781</v>
      </c>
      <c r="R32" s="39">
        <v>2023.5009632652429</v>
      </c>
      <c r="S32" s="39">
        <v>2074.0846178934839</v>
      </c>
      <c r="T32" s="39">
        <v>2205.0822133003062</v>
      </c>
      <c r="U32" s="39">
        <v>2485.6407588698748</v>
      </c>
      <c r="V32" s="39">
        <v>2565.7412685908298</v>
      </c>
      <c r="W32" s="39">
        <v>2619.9940132364741</v>
      </c>
      <c r="X32" s="39">
        <v>2605.6047823100012</v>
      </c>
      <c r="Y32" s="39">
        <v>2672.497719069906</v>
      </c>
      <c r="Z32" s="39">
        <v>2631.2758154474868</v>
      </c>
      <c r="AA32" s="39">
        <v>2630.2937695972309</v>
      </c>
      <c r="AB32" s="39">
        <v>2873.6163623483658</v>
      </c>
      <c r="AC32" s="39">
        <v>2772.8118378912768</v>
      </c>
      <c r="AD32" s="39">
        <v>2641.543708013186</v>
      </c>
      <c r="AE32" s="39">
        <v>2339.5574596282349</v>
      </c>
      <c r="AF32" s="39">
        <v>2049.9574575642828</v>
      </c>
      <c r="AG32" s="39">
        <v>1836.3524759299989</v>
      </c>
      <c r="AH32" s="39">
        <v>52298.038560998939</v>
      </c>
      <c r="AI32" s="39">
        <v>1045960.771219979</v>
      </c>
    </row>
    <row r="33" spans="1:35" x14ac:dyDescent="0.3">
      <c r="A33" s="40">
        <v>2027</v>
      </c>
      <c r="B33" s="40" t="s">
        <v>64</v>
      </c>
      <c r="C33" s="41" t="s">
        <v>54</v>
      </c>
      <c r="D33" s="41" t="s">
        <v>56</v>
      </c>
      <c r="E33" s="40">
        <v>20</v>
      </c>
      <c r="F33" s="40">
        <v>5</v>
      </c>
      <c r="G33" s="40">
        <v>4</v>
      </c>
      <c r="H33" s="40">
        <v>2</v>
      </c>
      <c r="I33" s="40">
        <v>31</v>
      </c>
      <c r="J33" s="39">
        <v>1569.9495158819441</v>
      </c>
      <c r="K33" s="39">
        <v>1492.9206877211529</v>
      </c>
      <c r="L33" s="39">
        <v>1436.499093667421</v>
      </c>
      <c r="M33" s="39">
        <v>1408.1731908005049</v>
      </c>
      <c r="N33" s="39">
        <v>1434.2167092961629</v>
      </c>
      <c r="O33" s="39">
        <v>1482.5118310424359</v>
      </c>
      <c r="P33" s="39">
        <v>1389.9437144750309</v>
      </c>
      <c r="Q33" s="39">
        <v>1839.052791375545</v>
      </c>
      <c r="R33" s="39">
        <v>2100.0898154386668</v>
      </c>
      <c r="S33" s="39">
        <v>2245.7940765109779</v>
      </c>
      <c r="T33" s="39">
        <v>2416.8051787026338</v>
      </c>
      <c r="U33" s="39">
        <v>2584.238133637909</v>
      </c>
      <c r="V33" s="39">
        <v>2619.2368864893801</v>
      </c>
      <c r="W33" s="39">
        <v>2641.427149619461</v>
      </c>
      <c r="X33" s="39">
        <v>2532.3429893741682</v>
      </c>
      <c r="Y33" s="39">
        <v>2714.4831819294182</v>
      </c>
      <c r="Z33" s="39">
        <v>2673.3180447896088</v>
      </c>
      <c r="AA33" s="39">
        <v>2675.3340413596102</v>
      </c>
      <c r="AB33" s="39">
        <v>2925.9457650525801</v>
      </c>
      <c r="AC33" s="39">
        <v>2903.9878830973298</v>
      </c>
      <c r="AD33" s="39">
        <v>2656.9016868481458</v>
      </c>
      <c r="AE33" s="39">
        <v>2370.0020248951578</v>
      </c>
      <c r="AF33" s="39">
        <v>2097.4840154717199</v>
      </c>
      <c r="AG33" s="39">
        <v>1894.8155185283019</v>
      </c>
      <c r="AH33" s="39">
        <v>52105.473926005267</v>
      </c>
      <c r="AI33" s="39">
        <v>260527.36963002631</v>
      </c>
    </row>
    <row r="34" spans="1:35" x14ac:dyDescent="0.3">
      <c r="A34" s="40">
        <v>2027</v>
      </c>
      <c r="B34" s="40" t="s">
        <v>64</v>
      </c>
      <c r="C34" s="41" t="s">
        <v>54</v>
      </c>
      <c r="D34" s="41" t="s">
        <v>57</v>
      </c>
      <c r="E34" s="40">
        <v>20</v>
      </c>
      <c r="F34" s="40">
        <v>5</v>
      </c>
      <c r="G34" s="40">
        <v>4</v>
      </c>
      <c r="H34" s="40">
        <v>2</v>
      </c>
      <c r="I34" s="40">
        <v>31</v>
      </c>
      <c r="J34" s="39">
        <v>1756.497713988023</v>
      </c>
      <c r="K34" s="39">
        <v>1672.1569243688821</v>
      </c>
      <c r="L34" s="39">
        <v>1599.3267187546401</v>
      </c>
      <c r="M34" s="39">
        <v>1564.76427184926</v>
      </c>
      <c r="N34" s="39">
        <v>1578.699752217859</v>
      </c>
      <c r="O34" s="39">
        <v>1621.431425028431</v>
      </c>
      <c r="P34" s="39">
        <v>1627.9431268369169</v>
      </c>
      <c r="Q34" s="39">
        <v>1785.11529097468</v>
      </c>
      <c r="R34" s="39">
        <v>2046.9295535196561</v>
      </c>
      <c r="S34" s="39">
        <v>2187.8892614897568</v>
      </c>
      <c r="T34" s="39">
        <v>2284.2756032085031</v>
      </c>
      <c r="U34" s="39">
        <v>2370.4887811591079</v>
      </c>
      <c r="V34" s="39">
        <v>2425.43263547583</v>
      </c>
      <c r="W34" s="39">
        <v>2486.1614301004129</v>
      </c>
      <c r="X34" s="39">
        <v>2482.5657429065018</v>
      </c>
      <c r="Y34" s="39">
        <v>2458.413248925935</v>
      </c>
      <c r="Z34" s="39">
        <v>2352.3360917211589</v>
      </c>
      <c r="AA34" s="39">
        <v>2257.96684281851</v>
      </c>
      <c r="AB34" s="39">
        <v>2651.9006848178251</v>
      </c>
      <c r="AC34" s="39">
        <v>2637.9158007166361</v>
      </c>
      <c r="AD34" s="39">
        <v>2411.466437219095</v>
      </c>
      <c r="AE34" s="39">
        <v>2183.5919537971381</v>
      </c>
      <c r="AF34" s="39">
        <v>1976.6996206469689</v>
      </c>
      <c r="AG34" s="39">
        <v>1803.514662447531</v>
      </c>
      <c r="AH34" s="39">
        <v>50223.483574989259</v>
      </c>
      <c r="AI34" s="39">
        <v>200893.93429995701</v>
      </c>
    </row>
    <row r="35" spans="1:35" x14ac:dyDescent="0.3">
      <c r="A35" s="40">
        <v>2027</v>
      </c>
      <c r="B35" s="40" t="s">
        <v>64</v>
      </c>
      <c r="C35" s="41" t="s">
        <v>54</v>
      </c>
      <c r="D35" s="41" t="s">
        <v>58</v>
      </c>
      <c r="E35" s="40">
        <v>20</v>
      </c>
      <c r="F35" s="40">
        <v>5</v>
      </c>
      <c r="G35" s="40">
        <v>4</v>
      </c>
      <c r="H35" s="40">
        <v>2</v>
      </c>
      <c r="I35" s="40">
        <v>31</v>
      </c>
      <c r="J35" s="39">
        <v>1621.931313248072</v>
      </c>
      <c r="K35" s="39">
        <v>1549.973719526012</v>
      </c>
      <c r="L35" s="39">
        <v>1489.5530197151479</v>
      </c>
      <c r="M35" s="39">
        <v>1460.322713819276</v>
      </c>
      <c r="N35" s="39">
        <v>1492.236630157433</v>
      </c>
      <c r="O35" s="39">
        <v>1500.3532362500309</v>
      </c>
      <c r="P35" s="39">
        <v>1554.499023409081</v>
      </c>
      <c r="Q35" s="39">
        <v>1716.5472901805381</v>
      </c>
      <c r="R35" s="39">
        <v>1953.139122555539</v>
      </c>
      <c r="S35" s="39">
        <v>2060.1020466056439</v>
      </c>
      <c r="T35" s="39">
        <v>2222.4736333170508</v>
      </c>
      <c r="U35" s="39">
        <v>2365.4416641344828</v>
      </c>
      <c r="V35" s="39">
        <v>2492.3738070639461</v>
      </c>
      <c r="W35" s="39">
        <v>2552.3220744683872</v>
      </c>
      <c r="X35" s="39">
        <v>2546.7969941460351</v>
      </c>
      <c r="Y35" s="39">
        <v>2514.909387714175</v>
      </c>
      <c r="Z35" s="39">
        <v>2462.0922508231188</v>
      </c>
      <c r="AA35" s="39">
        <v>2447.8191266570439</v>
      </c>
      <c r="AB35" s="39">
        <v>2714.1806180070039</v>
      </c>
      <c r="AC35" s="39">
        <v>2721.476063115635</v>
      </c>
      <c r="AD35" s="39">
        <v>2518.6793053790202</v>
      </c>
      <c r="AE35" s="39">
        <v>2261.328956935753</v>
      </c>
      <c r="AF35" s="39">
        <v>1990.7315706719901</v>
      </c>
      <c r="AG35" s="39">
        <v>1820.4538571183609</v>
      </c>
      <c r="AH35" s="39">
        <v>50029.737425018779</v>
      </c>
      <c r="AI35" s="39">
        <v>100059.4748500376</v>
      </c>
    </row>
    <row r="36" spans="1:35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x14ac:dyDescent="0.3">
      <c r="A37" s="40">
        <v>2027</v>
      </c>
      <c r="B37" s="40" t="s">
        <v>65</v>
      </c>
      <c r="C37" s="41" t="s">
        <v>54</v>
      </c>
      <c r="D37" s="41" t="s">
        <v>55</v>
      </c>
      <c r="E37" s="40">
        <v>21</v>
      </c>
      <c r="F37" s="40">
        <v>3</v>
      </c>
      <c r="G37" s="40">
        <v>5</v>
      </c>
      <c r="H37" s="40">
        <v>2</v>
      </c>
      <c r="I37" s="40">
        <v>31</v>
      </c>
      <c r="J37" s="39">
        <v>1566.3119122662611</v>
      </c>
      <c r="K37" s="39">
        <v>1487.3996528465759</v>
      </c>
      <c r="L37" s="39">
        <v>1442.9271357737589</v>
      </c>
      <c r="M37" s="39">
        <v>1436.708310843695</v>
      </c>
      <c r="N37" s="39">
        <v>1449.5952604391771</v>
      </c>
      <c r="O37" s="39">
        <v>1513.435926769532</v>
      </c>
      <c r="P37" s="39">
        <v>1584.503453593539</v>
      </c>
      <c r="Q37" s="39">
        <v>1711.487344853384</v>
      </c>
      <c r="R37" s="39">
        <v>1834.6478113418509</v>
      </c>
      <c r="S37" s="39">
        <v>1927.3034767360609</v>
      </c>
      <c r="T37" s="39">
        <v>2257.091521669171</v>
      </c>
      <c r="U37" s="39">
        <v>2502.4017001733741</v>
      </c>
      <c r="V37" s="39">
        <v>2411.2767806248862</v>
      </c>
      <c r="W37" s="39">
        <v>2540.8684901081228</v>
      </c>
      <c r="X37" s="39">
        <v>2387.1637983428732</v>
      </c>
      <c r="Y37" s="39">
        <v>2177.946458942547</v>
      </c>
      <c r="Z37" s="39">
        <v>2500.0365923735312</v>
      </c>
      <c r="AA37" s="39">
        <v>2614.200868245603</v>
      </c>
      <c r="AB37" s="39">
        <v>2869.5608146578829</v>
      </c>
      <c r="AC37" s="39">
        <v>2825.519285890226</v>
      </c>
      <c r="AD37" s="39">
        <v>2595.530160388932</v>
      </c>
      <c r="AE37" s="39">
        <v>2308.619992318133</v>
      </c>
      <c r="AF37" s="39">
        <v>2041.924233974642</v>
      </c>
      <c r="AG37" s="39">
        <v>1850.203074889087</v>
      </c>
      <c r="AH37" s="39">
        <v>49836.664058062837</v>
      </c>
      <c r="AI37" s="39">
        <v>1046569.94521932</v>
      </c>
    </row>
    <row r="38" spans="1:35" x14ac:dyDescent="0.3">
      <c r="A38" s="40">
        <v>2027</v>
      </c>
      <c r="B38" s="40" t="s">
        <v>65</v>
      </c>
      <c r="C38" s="41" t="s">
        <v>54</v>
      </c>
      <c r="D38" s="41" t="s">
        <v>56</v>
      </c>
      <c r="E38" s="40">
        <v>21</v>
      </c>
      <c r="F38" s="40">
        <v>3</v>
      </c>
      <c r="G38" s="40">
        <v>5</v>
      </c>
      <c r="H38" s="40">
        <v>2</v>
      </c>
      <c r="I38" s="40">
        <v>31</v>
      </c>
      <c r="J38" s="39">
        <v>1904.6259124800299</v>
      </c>
      <c r="K38" s="39">
        <v>1777.306466625831</v>
      </c>
      <c r="L38" s="39">
        <v>1715.82418208336</v>
      </c>
      <c r="M38" s="39">
        <v>1686.45588500955</v>
      </c>
      <c r="N38" s="39">
        <v>1696.4881159536731</v>
      </c>
      <c r="O38" s="39">
        <v>1712.148624762689</v>
      </c>
      <c r="P38" s="39">
        <v>1775.506140938897</v>
      </c>
      <c r="Q38" s="39">
        <v>2031.735689233049</v>
      </c>
      <c r="R38" s="39">
        <v>2315.949515109884</v>
      </c>
      <c r="S38" s="39">
        <v>2454.6649967327412</v>
      </c>
      <c r="T38" s="39">
        <v>2598.277777498251</v>
      </c>
      <c r="U38" s="39">
        <v>2748.347967470841</v>
      </c>
      <c r="V38" s="39">
        <v>2781.5261359768301</v>
      </c>
      <c r="W38" s="39">
        <v>2811.16911413465</v>
      </c>
      <c r="X38" s="39">
        <v>2847.6818887551758</v>
      </c>
      <c r="Y38" s="39">
        <v>2845.013687270809</v>
      </c>
      <c r="Z38" s="39">
        <v>2819.2744541713801</v>
      </c>
      <c r="AA38" s="39">
        <v>2838.331560223321</v>
      </c>
      <c r="AB38" s="39">
        <v>3065.6969384046861</v>
      </c>
      <c r="AC38" s="39">
        <v>2963.486931554176</v>
      </c>
      <c r="AD38" s="39">
        <v>2730.8264778230032</v>
      </c>
      <c r="AE38" s="39">
        <v>2486.0880859109038</v>
      </c>
      <c r="AF38" s="39">
        <v>2241.7345555875459</v>
      </c>
      <c r="AG38" s="39">
        <v>2072.6873314371819</v>
      </c>
      <c r="AH38" s="39">
        <v>56920.848435148459</v>
      </c>
      <c r="AI38" s="39">
        <v>170762.54530544541</v>
      </c>
    </row>
    <row r="39" spans="1:35" x14ac:dyDescent="0.3">
      <c r="A39" s="40">
        <v>2027</v>
      </c>
      <c r="B39" s="40" t="s">
        <v>65</v>
      </c>
      <c r="C39" s="41" t="s">
        <v>54</v>
      </c>
      <c r="D39" s="41" t="s">
        <v>57</v>
      </c>
      <c r="E39" s="40">
        <v>21</v>
      </c>
      <c r="F39" s="40">
        <v>3</v>
      </c>
      <c r="G39" s="40">
        <v>5</v>
      </c>
      <c r="H39" s="40">
        <v>2</v>
      </c>
      <c r="I39" s="40">
        <v>31</v>
      </c>
      <c r="J39" s="39">
        <v>1887.8650611421281</v>
      </c>
      <c r="K39" s="39">
        <v>1800.1941078194129</v>
      </c>
      <c r="L39" s="39">
        <v>1642.796049878626</v>
      </c>
      <c r="M39" s="39">
        <v>1684.8828601267051</v>
      </c>
      <c r="N39" s="39">
        <v>1677.361269882296</v>
      </c>
      <c r="O39" s="39">
        <v>1674.801552872608</v>
      </c>
      <c r="P39" s="39">
        <v>1676.627708196371</v>
      </c>
      <c r="Q39" s="39">
        <v>1751.3007392241991</v>
      </c>
      <c r="R39" s="39">
        <v>2109.5113086868309</v>
      </c>
      <c r="S39" s="39">
        <v>2255.944685793992</v>
      </c>
      <c r="T39" s="39">
        <v>2353.149358070043</v>
      </c>
      <c r="U39" s="39">
        <v>2471.6066555284419</v>
      </c>
      <c r="V39" s="39">
        <v>2546.9181276288009</v>
      </c>
      <c r="W39" s="39">
        <v>2641.7086157950321</v>
      </c>
      <c r="X39" s="39">
        <v>2661.3727183124388</v>
      </c>
      <c r="Y39" s="39">
        <v>2558.58884448147</v>
      </c>
      <c r="Z39" s="39">
        <v>2064.199263732522</v>
      </c>
      <c r="AA39" s="39">
        <v>2047.402250903061</v>
      </c>
      <c r="AB39" s="39">
        <v>2281.9069407037759</v>
      </c>
      <c r="AC39" s="39">
        <v>2226.4356616941268</v>
      </c>
      <c r="AD39" s="39">
        <v>2027.573287752823</v>
      </c>
      <c r="AE39" s="39">
        <v>1822.4472268806489</v>
      </c>
      <c r="AF39" s="39">
        <v>1644.2511453656909</v>
      </c>
      <c r="AG39" s="39">
        <v>1500.5350460528689</v>
      </c>
      <c r="AH39" s="39">
        <v>49009.380486524911</v>
      </c>
      <c r="AI39" s="39">
        <v>245046.90243262451</v>
      </c>
    </row>
    <row r="40" spans="1:35" x14ac:dyDescent="0.3">
      <c r="A40" s="40">
        <v>2027</v>
      </c>
      <c r="B40" s="40" t="s">
        <v>65</v>
      </c>
      <c r="C40" s="41" t="s">
        <v>54</v>
      </c>
      <c r="D40" s="41" t="s">
        <v>58</v>
      </c>
      <c r="E40" s="40">
        <v>21</v>
      </c>
      <c r="F40" s="40">
        <v>3</v>
      </c>
      <c r="G40" s="40">
        <v>5</v>
      </c>
      <c r="H40" s="40">
        <v>2</v>
      </c>
      <c r="I40" s="40">
        <v>31</v>
      </c>
      <c r="J40" s="39">
        <v>1738.5310158191439</v>
      </c>
      <c r="K40" s="39">
        <v>1654.016444116852</v>
      </c>
      <c r="L40" s="39">
        <v>1592.87123633499</v>
      </c>
      <c r="M40" s="39">
        <v>1556.302927995283</v>
      </c>
      <c r="N40" s="39">
        <v>1567.577564470849</v>
      </c>
      <c r="O40" s="39">
        <v>1604.965963779855</v>
      </c>
      <c r="P40" s="39">
        <v>1703.6287190548651</v>
      </c>
      <c r="Q40" s="39">
        <v>1898.5374180367221</v>
      </c>
      <c r="R40" s="39">
        <v>2160.57908366012</v>
      </c>
      <c r="S40" s="39">
        <v>2364.181195959422</v>
      </c>
      <c r="T40" s="39">
        <v>2581.9379492406488</v>
      </c>
      <c r="U40" s="39">
        <v>2719.448478305465</v>
      </c>
      <c r="V40" s="39">
        <v>2699.682348722587</v>
      </c>
      <c r="W40" s="39">
        <v>2762.549988732686</v>
      </c>
      <c r="X40" s="39">
        <v>2780.4692992823389</v>
      </c>
      <c r="Y40" s="39">
        <v>2728.3709217996002</v>
      </c>
      <c r="Z40" s="39">
        <v>2692.4354395621881</v>
      </c>
      <c r="AA40" s="39">
        <v>2667.6971048898549</v>
      </c>
      <c r="AB40" s="39">
        <v>3004.3476764918801</v>
      </c>
      <c r="AC40" s="39">
        <v>3005.5182080830741</v>
      </c>
      <c r="AD40" s="39">
        <v>2781.200727047451</v>
      </c>
      <c r="AE40" s="39">
        <v>2508.1943805904289</v>
      </c>
      <c r="AF40" s="39">
        <v>2214.3306023945311</v>
      </c>
      <c r="AG40" s="39">
        <v>1996.7288269342739</v>
      </c>
      <c r="AH40" s="39">
        <v>54984.103521305107</v>
      </c>
      <c r="AI40" s="39">
        <v>109968.2070426102</v>
      </c>
    </row>
    <row r="41" spans="1:35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x14ac:dyDescent="0.3">
      <c r="A42" s="40">
        <v>2027</v>
      </c>
      <c r="B42" s="40" t="s">
        <v>66</v>
      </c>
      <c r="C42" s="41" t="s">
        <v>54</v>
      </c>
      <c r="D42" s="41" t="s">
        <v>55</v>
      </c>
      <c r="E42" s="40">
        <v>22</v>
      </c>
      <c r="F42" s="40">
        <v>4</v>
      </c>
      <c r="G42" s="40">
        <v>4</v>
      </c>
      <c r="H42" s="40">
        <v>0</v>
      </c>
      <c r="I42" s="40">
        <v>30</v>
      </c>
      <c r="J42" s="39">
        <v>1827.4306557769189</v>
      </c>
      <c r="K42" s="39">
        <v>1750.9213511381911</v>
      </c>
      <c r="L42" s="39">
        <v>1687.647869521928</v>
      </c>
      <c r="M42" s="39">
        <v>1670.1432551505859</v>
      </c>
      <c r="N42" s="39">
        <v>1671.417896259708</v>
      </c>
      <c r="O42" s="39">
        <v>1712.679833561438</v>
      </c>
      <c r="P42" s="39">
        <v>1820.821595940055</v>
      </c>
      <c r="Q42" s="39">
        <v>2054.211833124542</v>
      </c>
      <c r="R42" s="39">
        <v>2276.2837818432749</v>
      </c>
      <c r="S42" s="39">
        <v>2374.776648084016</v>
      </c>
      <c r="T42" s="39">
        <v>2558.4271903597892</v>
      </c>
      <c r="U42" s="39">
        <v>2731.6310436529538</v>
      </c>
      <c r="V42" s="39">
        <v>2705.7179097069129</v>
      </c>
      <c r="W42" s="39">
        <v>2776.8970417053861</v>
      </c>
      <c r="X42" s="39">
        <v>2808.2428194108738</v>
      </c>
      <c r="Y42" s="39">
        <v>2761.7104238671659</v>
      </c>
      <c r="Z42" s="39">
        <v>2781.0042186125611</v>
      </c>
      <c r="AA42" s="39">
        <v>2699.1690613825781</v>
      </c>
      <c r="AB42" s="39">
        <v>2923.4784849514649</v>
      </c>
      <c r="AC42" s="39">
        <v>2842.1274621061962</v>
      </c>
      <c r="AD42" s="39">
        <v>2614.442980761808</v>
      </c>
      <c r="AE42" s="39">
        <v>2340.532771559911</v>
      </c>
      <c r="AF42" s="39">
        <v>2121.7947631615461</v>
      </c>
      <c r="AG42" s="39">
        <v>1986.9357921587309</v>
      </c>
      <c r="AH42" s="39">
        <v>55498.446683798538</v>
      </c>
      <c r="AI42" s="39">
        <v>1220965.827043568</v>
      </c>
    </row>
    <row r="43" spans="1:35" x14ac:dyDescent="0.3">
      <c r="A43" s="40">
        <v>2027</v>
      </c>
      <c r="B43" s="40" t="s">
        <v>66</v>
      </c>
      <c r="C43" s="41" t="s">
        <v>54</v>
      </c>
      <c r="D43" s="41" t="s">
        <v>56</v>
      </c>
      <c r="E43" s="40">
        <v>22</v>
      </c>
      <c r="F43" s="40">
        <v>4</v>
      </c>
      <c r="G43" s="40">
        <v>4</v>
      </c>
      <c r="H43" s="40">
        <v>0</v>
      </c>
      <c r="I43" s="40">
        <v>30</v>
      </c>
      <c r="J43" s="39">
        <v>1813.8981588941531</v>
      </c>
      <c r="K43" s="39">
        <v>1732.8876350698929</v>
      </c>
      <c r="L43" s="39">
        <v>1675.534495917017</v>
      </c>
      <c r="M43" s="39">
        <v>1648.277620694199</v>
      </c>
      <c r="N43" s="39">
        <v>1644.926262562976</v>
      </c>
      <c r="O43" s="39">
        <v>1660.480082118565</v>
      </c>
      <c r="P43" s="39">
        <v>1756.7397565773931</v>
      </c>
      <c r="Q43" s="39">
        <v>1993.5621591139541</v>
      </c>
      <c r="R43" s="39">
        <v>2188.361813564195</v>
      </c>
      <c r="S43" s="39">
        <v>2353.3321820048591</v>
      </c>
      <c r="T43" s="39">
        <v>2494.9341301116019</v>
      </c>
      <c r="U43" s="39">
        <v>2656.7573000072939</v>
      </c>
      <c r="V43" s="39">
        <v>2680.2764843433702</v>
      </c>
      <c r="W43" s="39">
        <v>2754.846093163017</v>
      </c>
      <c r="X43" s="39">
        <v>2794.5347167301461</v>
      </c>
      <c r="Y43" s="39">
        <v>2788.6454978959919</v>
      </c>
      <c r="Z43" s="39">
        <v>2785.6145132693482</v>
      </c>
      <c r="AA43" s="39">
        <v>2880.4796207082481</v>
      </c>
      <c r="AB43" s="39">
        <v>3051.402026317297</v>
      </c>
      <c r="AC43" s="39">
        <v>2987.3111974156359</v>
      </c>
      <c r="AD43" s="39">
        <v>2745.0899824544349</v>
      </c>
      <c r="AE43" s="39">
        <v>2503.977511092412</v>
      </c>
      <c r="AF43" s="39">
        <v>2282.7344788476439</v>
      </c>
      <c r="AG43" s="39">
        <v>2075.2832118832862</v>
      </c>
      <c r="AH43" s="39">
        <v>55949.886930756933</v>
      </c>
      <c r="AI43" s="39">
        <v>223799.5477230277</v>
      </c>
    </row>
    <row r="44" spans="1:35" x14ac:dyDescent="0.3">
      <c r="A44" s="40">
        <v>2027</v>
      </c>
      <c r="B44" s="40" t="s">
        <v>66</v>
      </c>
      <c r="C44" s="41" t="s">
        <v>54</v>
      </c>
      <c r="D44" s="41" t="s">
        <v>57</v>
      </c>
      <c r="E44" s="40">
        <v>22</v>
      </c>
      <c r="F44" s="40">
        <v>4</v>
      </c>
      <c r="G44" s="40">
        <v>4</v>
      </c>
      <c r="H44" s="40">
        <v>0</v>
      </c>
      <c r="I44" s="40">
        <v>30</v>
      </c>
      <c r="J44" s="39">
        <v>1864.821841538489</v>
      </c>
      <c r="K44" s="39">
        <v>1779.539670986524</v>
      </c>
      <c r="L44" s="39">
        <v>1715.694256990877</v>
      </c>
      <c r="M44" s="39">
        <v>1672.9589442135471</v>
      </c>
      <c r="N44" s="39">
        <v>1667.46862180176</v>
      </c>
      <c r="O44" s="39">
        <v>1665.706567526581</v>
      </c>
      <c r="P44" s="39">
        <v>1775.456479261511</v>
      </c>
      <c r="Q44" s="39">
        <v>1992.3089333460459</v>
      </c>
      <c r="R44" s="39">
        <v>2219.416057091275</v>
      </c>
      <c r="S44" s="39">
        <v>2338.7583284632728</v>
      </c>
      <c r="T44" s="39">
        <v>2473.1141817164739</v>
      </c>
      <c r="U44" s="39">
        <v>2617.897878452015</v>
      </c>
      <c r="V44" s="39">
        <v>2667.6091672456942</v>
      </c>
      <c r="W44" s="39">
        <v>2748.4134957377669</v>
      </c>
      <c r="X44" s="39">
        <v>2748.8752104943642</v>
      </c>
      <c r="Y44" s="39">
        <v>2735.0991497975119</v>
      </c>
      <c r="Z44" s="39">
        <v>2664.4002555372658</v>
      </c>
      <c r="AA44" s="39">
        <v>2710.1571301911049</v>
      </c>
      <c r="AB44" s="39">
        <v>2958.4528780724399</v>
      </c>
      <c r="AC44" s="39">
        <v>2901.7620489431879</v>
      </c>
      <c r="AD44" s="39">
        <v>2670.5246197222718</v>
      </c>
      <c r="AE44" s="39">
        <v>2424.3521315379448</v>
      </c>
      <c r="AF44" s="39">
        <v>2190.193649775289</v>
      </c>
      <c r="AG44" s="39">
        <v>2007.0248099079131</v>
      </c>
      <c r="AH44" s="39">
        <v>55210.006308351127</v>
      </c>
      <c r="AI44" s="39">
        <v>220840.02523340451</v>
      </c>
    </row>
    <row r="45" spans="1:35" x14ac:dyDescent="0.3">
      <c r="A45" s="40">
        <v>2027</v>
      </c>
      <c r="B45" s="40" t="s">
        <v>66</v>
      </c>
      <c r="C45" s="41" t="s">
        <v>54</v>
      </c>
      <c r="D45" s="41" t="s">
        <v>58</v>
      </c>
      <c r="E45" s="40">
        <v>22</v>
      </c>
      <c r="F45" s="40">
        <v>4</v>
      </c>
      <c r="G45" s="40">
        <v>4</v>
      </c>
      <c r="H45" s="40">
        <v>0</v>
      </c>
      <c r="I45" s="40">
        <v>30</v>
      </c>
      <c r="J45" s="39">
        <v>1864.821841538489</v>
      </c>
      <c r="K45" s="39">
        <v>1779.539670986524</v>
      </c>
      <c r="L45" s="39">
        <v>1715.694256990877</v>
      </c>
      <c r="M45" s="39">
        <v>1672.9589442135471</v>
      </c>
      <c r="N45" s="39">
        <v>1667.46862180176</v>
      </c>
      <c r="O45" s="39">
        <v>1665.706567526581</v>
      </c>
      <c r="P45" s="39">
        <v>1775.456479261511</v>
      </c>
      <c r="Q45" s="39">
        <v>1992.3089333460459</v>
      </c>
      <c r="R45" s="39">
        <v>2219.416057091275</v>
      </c>
      <c r="S45" s="39">
        <v>2338.7583284632728</v>
      </c>
      <c r="T45" s="39">
        <v>2473.1141817164739</v>
      </c>
      <c r="U45" s="39">
        <v>2617.897878452015</v>
      </c>
      <c r="V45" s="39">
        <v>2667.6091672456942</v>
      </c>
      <c r="W45" s="39">
        <v>2748.4134957377669</v>
      </c>
      <c r="X45" s="39">
        <v>2748.8752104943642</v>
      </c>
      <c r="Y45" s="39">
        <v>2735.0991497975119</v>
      </c>
      <c r="Z45" s="39">
        <v>2664.4002555372658</v>
      </c>
      <c r="AA45" s="39">
        <v>2710.1571301911049</v>
      </c>
      <c r="AB45" s="39">
        <v>2958.4528780724399</v>
      </c>
      <c r="AC45" s="39">
        <v>2901.7620489431879</v>
      </c>
      <c r="AD45" s="39">
        <v>2670.5246197222718</v>
      </c>
      <c r="AE45" s="39">
        <v>2424.3521315379448</v>
      </c>
      <c r="AF45" s="39">
        <v>2190.193649775289</v>
      </c>
      <c r="AG45" s="39">
        <v>2007.0248099079131</v>
      </c>
      <c r="AH45" s="39">
        <v>55210.006308351127</v>
      </c>
      <c r="AI45" s="39">
        <v>0</v>
      </c>
    </row>
    <row r="46" spans="1:35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 spans="1:35" x14ac:dyDescent="0.3">
      <c r="A47" s="40">
        <v>2027</v>
      </c>
      <c r="B47" s="40" t="s">
        <v>67</v>
      </c>
      <c r="C47" s="41" t="s">
        <v>54</v>
      </c>
      <c r="D47" s="41" t="s">
        <v>55</v>
      </c>
      <c r="E47" s="40">
        <v>20</v>
      </c>
      <c r="F47" s="40">
        <v>5</v>
      </c>
      <c r="G47" s="40">
        <v>5</v>
      </c>
      <c r="H47" s="40">
        <v>1</v>
      </c>
      <c r="I47" s="40">
        <v>31</v>
      </c>
      <c r="J47" s="39">
        <v>1789.7874448645191</v>
      </c>
      <c r="K47" s="39">
        <v>1702.416927758743</v>
      </c>
      <c r="L47" s="39">
        <v>1648.2725696156431</v>
      </c>
      <c r="M47" s="39">
        <v>1623.030642709565</v>
      </c>
      <c r="N47" s="39">
        <v>1644.7248243710701</v>
      </c>
      <c r="O47" s="39">
        <v>1656.4651004771119</v>
      </c>
      <c r="P47" s="39">
        <v>1801.404408078077</v>
      </c>
      <c r="Q47" s="39">
        <v>2075.1695027884598</v>
      </c>
      <c r="R47" s="39">
        <v>2211.255833450643</v>
      </c>
      <c r="S47" s="39">
        <v>2315.84960667016</v>
      </c>
      <c r="T47" s="39">
        <v>2422.8851973462529</v>
      </c>
      <c r="U47" s="39">
        <v>2396.9161687453029</v>
      </c>
      <c r="V47" s="39">
        <v>2391.2321109579671</v>
      </c>
      <c r="W47" s="39">
        <v>2638.2787012792041</v>
      </c>
      <c r="X47" s="39">
        <v>2760.7978364507499</v>
      </c>
      <c r="Y47" s="39">
        <v>2772.85083849584</v>
      </c>
      <c r="Z47" s="39">
        <v>2706.515723364696</v>
      </c>
      <c r="AA47" s="39">
        <v>2877.280749988859</v>
      </c>
      <c r="AB47" s="39">
        <v>2980.5019729501419</v>
      </c>
      <c r="AC47" s="39">
        <v>2751.7138671145922</v>
      </c>
      <c r="AD47" s="39">
        <v>2525.8601944319098</v>
      </c>
      <c r="AE47" s="39">
        <v>2294.499101348425</v>
      </c>
      <c r="AF47" s="39">
        <v>2123.544661677699</v>
      </c>
      <c r="AG47" s="39">
        <v>1930.1617176253601</v>
      </c>
      <c r="AH47" s="39">
        <v>54041.415702560989</v>
      </c>
      <c r="AI47" s="39">
        <v>1080828.31405122</v>
      </c>
    </row>
    <row r="48" spans="1:35" x14ac:dyDescent="0.3">
      <c r="A48" s="40">
        <v>2027</v>
      </c>
      <c r="B48" s="40" t="s">
        <v>67</v>
      </c>
      <c r="C48" s="41" t="s">
        <v>54</v>
      </c>
      <c r="D48" s="41" t="s">
        <v>56</v>
      </c>
      <c r="E48" s="40">
        <v>20</v>
      </c>
      <c r="F48" s="40">
        <v>5</v>
      </c>
      <c r="G48" s="40">
        <v>5</v>
      </c>
      <c r="H48" s="40">
        <v>1</v>
      </c>
      <c r="I48" s="40">
        <v>31</v>
      </c>
      <c r="J48" s="39">
        <v>1775.5550818569941</v>
      </c>
      <c r="K48" s="39">
        <v>1681.224329619369</v>
      </c>
      <c r="L48" s="39">
        <v>1620.868778846738</v>
      </c>
      <c r="M48" s="39">
        <v>1595.4782654598509</v>
      </c>
      <c r="N48" s="39">
        <v>1608.666912589101</v>
      </c>
      <c r="O48" s="39">
        <v>1580.578790813257</v>
      </c>
      <c r="P48" s="39">
        <v>1277.3498886094981</v>
      </c>
      <c r="Q48" s="39">
        <v>1466.9794855196301</v>
      </c>
      <c r="R48" s="39">
        <v>1583.749573676721</v>
      </c>
      <c r="S48" s="39">
        <v>1736.43481950151</v>
      </c>
      <c r="T48" s="39">
        <v>1948.6935235195731</v>
      </c>
      <c r="U48" s="39">
        <v>2073.0248582935019</v>
      </c>
      <c r="V48" s="39">
        <v>2059.732339493557</v>
      </c>
      <c r="W48" s="39">
        <v>2783.6184980490011</v>
      </c>
      <c r="X48" s="39">
        <v>2905.188068402073</v>
      </c>
      <c r="Y48" s="39">
        <v>2814.6791826362319</v>
      </c>
      <c r="Z48" s="39">
        <v>2841.4750186266529</v>
      </c>
      <c r="AA48" s="39">
        <v>2982.5846832671191</v>
      </c>
      <c r="AB48" s="39">
        <v>3109.277571024812</v>
      </c>
      <c r="AC48" s="39">
        <v>3014.6569472609672</v>
      </c>
      <c r="AD48" s="39">
        <v>2773.7449373765089</v>
      </c>
      <c r="AE48" s="39">
        <v>2553.4117384864048</v>
      </c>
      <c r="AF48" s="39">
        <v>2282.7343848492778</v>
      </c>
      <c r="AG48" s="39">
        <v>2110.640411850035</v>
      </c>
      <c r="AH48" s="39">
        <v>52180.348089628387</v>
      </c>
      <c r="AI48" s="39">
        <v>260901.74044814191</v>
      </c>
    </row>
    <row r="49" spans="1:35" x14ac:dyDescent="0.3">
      <c r="A49" s="40">
        <v>2027</v>
      </c>
      <c r="B49" s="40" t="s">
        <v>67</v>
      </c>
      <c r="C49" s="41" t="s">
        <v>54</v>
      </c>
      <c r="D49" s="41" t="s">
        <v>57</v>
      </c>
      <c r="E49" s="40">
        <v>20</v>
      </c>
      <c r="F49" s="40">
        <v>5</v>
      </c>
      <c r="G49" s="40">
        <v>5</v>
      </c>
      <c r="H49" s="40">
        <v>1</v>
      </c>
      <c r="I49" s="40">
        <v>31</v>
      </c>
      <c r="J49" s="39">
        <v>1925.7199121428371</v>
      </c>
      <c r="K49" s="39">
        <v>1841.037005083384</v>
      </c>
      <c r="L49" s="39">
        <v>1773.969511354311</v>
      </c>
      <c r="M49" s="39">
        <v>1699.053596389417</v>
      </c>
      <c r="N49" s="39">
        <v>1697.018933663431</v>
      </c>
      <c r="O49" s="39">
        <v>1675.291424193146</v>
      </c>
      <c r="P49" s="39">
        <v>1791.6368605200389</v>
      </c>
      <c r="Q49" s="39">
        <v>2056.102941117475</v>
      </c>
      <c r="R49" s="39">
        <v>2238.2296954862941</v>
      </c>
      <c r="S49" s="39">
        <v>2336.4648005224308</v>
      </c>
      <c r="T49" s="39">
        <v>2439.8232229631899</v>
      </c>
      <c r="U49" s="39">
        <v>2598.303897002987</v>
      </c>
      <c r="V49" s="39">
        <v>2523.6751566570761</v>
      </c>
      <c r="W49" s="39">
        <v>2530.501566857768</v>
      </c>
      <c r="X49" s="39">
        <v>2425.8661338772772</v>
      </c>
      <c r="Y49" s="39">
        <v>2449.0600669338569</v>
      </c>
      <c r="Z49" s="39">
        <v>2426.6207310143909</v>
      </c>
      <c r="AA49" s="39">
        <v>2599.4540259050591</v>
      </c>
      <c r="AB49" s="39">
        <v>2545.1658027207282</v>
      </c>
      <c r="AC49" s="39">
        <v>2616.0738513583142</v>
      </c>
      <c r="AD49" s="39">
        <v>2442.1132433356811</v>
      </c>
      <c r="AE49" s="39">
        <v>2228.4492167140852</v>
      </c>
      <c r="AF49" s="39">
        <v>2030.8089228219101</v>
      </c>
      <c r="AG49" s="39">
        <v>1901.115976810587</v>
      </c>
      <c r="AH49" s="39">
        <v>52791.556495445671</v>
      </c>
      <c r="AI49" s="39">
        <v>263957.78247722838</v>
      </c>
    </row>
    <row r="50" spans="1:35" x14ac:dyDescent="0.3">
      <c r="A50" s="40">
        <v>2027</v>
      </c>
      <c r="B50" s="40" t="s">
        <v>67</v>
      </c>
      <c r="C50" s="41" t="s">
        <v>54</v>
      </c>
      <c r="D50" s="41" t="s">
        <v>58</v>
      </c>
      <c r="E50" s="40">
        <v>20</v>
      </c>
      <c r="F50" s="40">
        <v>5</v>
      </c>
      <c r="G50" s="40">
        <v>5</v>
      </c>
      <c r="H50" s="40">
        <v>1</v>
      </c>
      <c r="I50" s="40">
        <v>31</v>
      </c>
      <c r="J50" s="39">
        <v>1670.9043736308111</v>
      </c>
      <c r="K50" s="39">
        <v>1558.515225937779</v>
      </c>
      <c r="L50" s="39">
        <v>1486.2694239195989</v>
      </c>
      <c r="M50" s="39">
        <v>1460.1548638869781</v>
      </c>
      <c r="N50" s="39">
        <v>1471.4218851083519</v>
      </c>
      <c r="O50" s="39">
        <v>1459.287229931753</v>
      </c>
      <c r="P50" s="39">
        <v>1595.1269348089679</v>
      </c>
      <c r="Q50" s="39">
        <v>1858.2243533925271</v>
      </c>
      <c r="R50" s="39">
        <v>2151.9978785138151</v>
      </c>
      <c r="S50" s="39">
        <v>2327.2721576658391</v>
      </c>
      <c r="T50" s="39">
        <v>2468.5498500089002</v>
      </c>
      <c r="U50" s="39">
        <v>2651.302889451033</v>
      </c>
      <c r="V50" s="39">
        <v>2707.7113167372172</v>
      </c>
      <c r="W50" s="39">
        <v>2699.2747014438801</v>
      </c>
      <c r="X50" s="39">
        <v>2666.6223362556898</v>
      </c>
      <c r="Y50" s="39">
        <v>2555.0519417316732</v>
      </c>
      <c r="Z50" s="39">
        <v>2468.3129866022668</v>
      </c>
      <c r="AA50" s="39">
        <v>2665.6813811211491</v>
      </c>
      <c r="AB50" s="39">
        <v>2799.5780747465219</v>
      </c>
      <c r="AC50" s="39">
        <v>2721.3966703948831</v>
      </c>
      <c r="AD50" s="39">
        <v>2459.2612341479289</v>
      </c>
      <c r="AE50" s="39">
        <v>2214.4906972020308</v>
      </c>
      <c r="AF50" s="39">
        <v>2006.038584410062</v>
      </c>
      <c r="AG50" s="39">
        <v>1867.2660323602549</v>
      </c>
      <c r="AH50" s="39">
        <v>51989.71302340991</v>
      </c>
      <c r="AI50" s="39">
        <v>51989.71302340991</v>
      </c>
    </row>
    <row r="51" spans="1:35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 spans="1:35" x14ac:dyDescent="0.3">
      <c r="A52" s="40">
        <v>2027</v>
      </c>
      <c r="B52" s="40" t="s">
        <v>68</v>
      </c>
      <c r="C52" s="41" t="s">
        <v>54</v>
      </c>
      <c r="D52" s="41" t="s">
        <v>55</v>
      </c>
      <c r="E52" s="40">
        <v>20</v>
      </c>
      <c r="F52" s="40">
        <v>4</v>
      </c>
      <c r="G52" s="40">
        <v>4</v>
      </c>
      <c r="H52" s="40">
        <v>2</v>
      </c>
      <c r="I52" s="40">
        <v>30</v>
      </c>
      <c r="J52" s="39">
        <v>1815.4769312941571</v>
      </c>
      <c r="K52" s="39">
        <v>1729.692033864166</v>
      </c>
      <c r="L52" s="39">
        <v>1674.6161531843429</v>
      </c>
      <c r="M52" s="39">
        <v>1638.6368397982519</v>
      </c>
      <c r="N52" s="39">
        <v>1673.0474680638779</v>
      </c>
      <c r="O52" s="39">
        <v>1703.134268928276</v>
      </c>
      <c r="P52" s="39">
        <v>1859.276075964041</v>
      </c>
      <c r="Q52" s="39">
        <v>2055.220237234158</v>
      </c>
      <c r="R52" s="39">
        <v>2245.1309070715679</v>
      </c>
      <c r="S52" s="39">
        <v>2430.4015856394658</v>
      </c>
      <c r="T52" s="39">
        <v>2515.952562254331</v>
      </c>
      <c r="U52" s="39">
        <v>2582.400230341595</v>
      </c>
      <c r="V52" s="39">
        <v>2569.437511741934</v>
      </c>
      <c r="W52" s="39">
        <v>2633.6092689633888</v>
      </c>
      <c r="X52" s="39">
        <v>2673.540293641342</v>
      </c>
      <c r="Y52" s="39">
        <v>2666.465368699668</v>
      </c>
      <c r="Z52" s="39">
        <v>2720.2206416652712</v>
      </c>
      <c r="AA52" s="39">
        <v>2988.4624266477672</v>
      </c>
      <c r="AB52" s="39">
        <v>3061.1727009959332</v>
      </c>
      <c r="AC52" s="39">
        <v>2896.7700988583529</v>
      </c>
      <c r="AD52" s="39">
        <v>2690.4094701427421</v>
      </c>
      <c r="AE52" s="39">
        <v>2433.69047620627</v>
      </c>
      <c r="AF52" s="39">
        <v>2172.4258682743998</v>
      </c>
      <c r="AG52" s="39">
        <v>1986.5842071981081</v>
      </c>
      <c r="AH52" s="39">
        <v>55415.773626673406</v>
      </c>
      <c r="AI52" s="39">
        <v>1108315.4725334679</v>
      </c>
    </row>
    <row r="53" spans="1:35" x14ac:dyDescent="0.3">
      <c r="A53" s="40">
        <v>2027</v>
      </c>
      <c r="B53" s="40" t="s">
        <v>68</v>
      </c>
      <c r="C53" s="41" t="s">
        <v>54</v>
      </c>
      <c r="D53" s="41" t="s">
        <v>56</v>
      </c>
      <c r="E53" s="40">
        <v>20</v>
      </c>
      <c r="F53" s="40">
        <v>4</v>
      </c>
      <c r="G53" s="40">
        <v>4</v>
      </c>
      <c r="H53" s="40">
        <v>2</v>
      </c>
      <c r="I53" s="40">
        <v>30</v>
      </c>
      <c r="J53" s="39">
        <v>1861.492998132996</v>
      </c>
      <c r="K53" s="39">
        <v>1777.871227825716</v>
      </c>
      <c r="L53" s="39">
        <v>1724.5704488473129</v>
      </c>
      <c r="M53" s="39">
        <v>1701.078597073378</v>
      </c>
      <c r="N53" s="39">
        <v>1721.3597339819289</v>
      </c>
      <c r="O53" s="39">
        <v>1716.0231036047719</v>
      </c>
      <c r="P53" s="39">
        <v>1876.520017366902</v>
      </c>
      <c r="Q53" s="39">
        <v>2135.881796926491</v>
      </c>
      <c r="R53" s="39">
        <v>2337.0987293781718</v>
      </c>
      <c r="S53" s="39">
        <v>2515.122311891475</v>
      </c>
      <c r="T53" s="39">
        <v>2678.20866840596</v>
      </c>
      <c r="U53" s="39">
        <v>2783.2060823521679</v>
      </c>
      <c r="V53" s="39">
        <v>2746.320477485222</v>
      </c>
      <c r="W53" s="39">
        <v>2765.6294581575212</v>
      </c>
      <c r="X53" s="39">
        <v>2773.2400415421348</v>
      </c>
      <c r="Y53" s="39">
        <v>2742.8122690688292</v>
      </c>
      <c r="Z53" s="39">
        <v>2377.4047659955199</v>
      </c>
      <c r="AA53" s="39">
        <v>2398.9624229488131</v>
      </c>
      <c r="AB53" s="39">
        <v>2524.2118516732739</v>
      </c>
      <c r="AC53" s="39">
        <v>2894.4098580574209</v>
      </c>
      <c r="AD53" s="39">
        <v>2708.2514938141348</v>
      </c>
      <c r="AE53" s="39">
        <v>2467.2100481795742</v>
      </c>
      <c r="AF53" s="39">
        <v>2243.7074055171452</v>
      </c>
      <c r="AG53" s="39">
        <v>2058.2649603103569</v>
      </c>
      <c r="AH53" s="39">
        <v>55528.858768537219</v>
      </c>
      <c r="AI53" s="39">
        <v>222115.4350741489</v>
      </c>
    </row>
    <row r="54" spans="1:35" x14ac:dyDescent="0.3">
      <c r="A54" s="40">
        <v>2027</v>
      </c>
      <c r="B54" s="40" t="s">
        <v>68</v>
      </c>
      <c r="C54" s="41" t="s">
        <v>54</v>
      </c>
      <c r="D54" s="41" t="s">
        <v>57</v>
      </c>
      <c r="E54" s="40">
        <v>20</v>
      </c>
      <c r="F54" s="40">
        <v>4</v>
      </c>
      <c r="G54" s="40">
        <v>4</v>
      </c>
      <c r="H54" s="40">
        <v>2</v>
      </c>
      <c r="I54" s="40">
        <v>30</v>
      </c>
      <c r="J54" s="39">
        <v>1891.532475535658</v>
      </c>
      <c r="K54" s="39">
        <v>1814.5190019618931</v>
      </c>
      <c r="L54" s="39">
        <v>1739.5440775090051</v>
      </c>
      <c r="M54" s="39">
        <v>1690.660154959173</v>
      </c>
      <c r="N54" s="39">
        <v>1649.4426332103601</v>
      </c>
      <c r="O54" s="39">
        <v>1572.4874038971909</v>
      </c>
      <c r="P54" s="39">
        <v>1710.0530668936281</v>
      </c>
      <c r="Q54" s="39">
        <v>1892.884314873563</v>
      </c>
      <c r="R54" s="39">
        <v>2216.3341087196432</v>
      </c>
      <c r="S54" s="39">
        <v>2375.0885483522602</v>
      </c>
      <c r="T54" s="39">
        <v>2493.1569451140072</v>
      </c>
      <c r="U54" s="39">
        <v>2599.1226698926339</v>
      </c>
      <c r="V54" s="39">
        <v>2617.7778211928639</v>
      </c>
      <c r="W54" s="39">
        <v>2638.3050776493069</v>
      </c>
      <c r="X54" s="39">
        <v>2654.5867753302309</v>
      </c>
      <c r="Y54" s="39">
        <v>2557.4450560319801</v>
      </c>
      <c r="Z54" s="39">
        <v>2536.858136755297</v>
      </c>
      <c r="AA54" s="39">
        <v>2744.1106307112932</v>
      </c>
      <c r="AB54" s="39">
        <v>2874.133661960479</v>
      </c>
      <c r="AC54" s="39">
        <v>2792.0285821496741</v>
      </c>
      <c r="AD54" s="39">
        <v>2583.307847457806</v>
      </c>
      <c r="AE54" s="39">
        <v>2339.4439820285038</v>
      </c>
      <c r="AF54" s="39">
        <v>2108.0079857039891</v>
      </c>
      <c r="AG54" s="39">
        <v>1945.6521092911521</v>
      </c>
      <c r="AH54" s="39">
        <v>54036.483067181587</v>
      </c>
      <c r="AI54" s="39">
        <v>216145.93226872629</v>
      </c>
    </row>
    <row r="55" spans="1:35" x14ac:dyDescent="0.3">
      <c r="A55" s="40">
        <v>2027</v>
      </c>
      <c r="B55" s="40" t="s">
        <v>68</v>
      </c>
      <c r="C55" s="41" t="s">
        <v>54</v>
      </c>
      <c r="D55" s="41" t="s">
        <v>58</v>
      </c>
      <c r="E55" s="40">
        <v>20</v>
      </c>
      <c r="F55" s="40">
        <v>4</v>
      </c>
      <c r="G55" s="40">
        <v>4</v>
      </c>
      <c r="H55" s="40">
        <v>2</v>
      </c>
      <c r="I55" s="40">
        <v>30</v>
      </c>
      <c r="J55" s="39">
        <v>1745.572358480747</v>
      </c>
      <c r="K55" s="39">
        <v>1659.4557923445809</v>
      </c>
      <c r="L55" s="39">
        <v>1624.272618677988</v>
      </c>
      <c r="M55" s="39">
        <v>1600.3014651762271</v>
      </c>
      <c r="N55" s="39">
        <v>1605.804334380503</v>
      </c>
      <c r="O55" s="39">
        <v>1610.251526361468</v>
      </c>
      <c r="P55" s="39">
        <v>1745.0687883110061</v>
      </c>
      <c r="Q55" s="39">
        <v>1969.266808957532</v>
      </c>
      <c r="R55" s="39">
        <v>2185.7473779517932</v>
      </c>
      <c r="S55" s="39">
        <v>2268.2236778006759</v>
      </c>
      <c r="T55" s="39">
        <v>2467.0489553016109</v>
      </c>
      <c r="U55" s="39">
        <v>2585.460750516459</v>
      </c>
      <c r="V55" s="39">
        <v>2525.159739467611</v>
      </c>
      <c r="W55" s="39">
        <v>2556.719429618714</v>
      </c>
      <c r="X55" s="39">
        <v>2526.2382665731948</v>
      </c>
      <c r="Y55" s="39">
        <v>2538.6455075023518</v>
      </c>
      <c r="Z55" s="39">
        <v>2500.9384158765761</v>
      </c>
      <c r="AA55" s="39">
        <v>2706.47998467755</v>
      </c>
      <c r="AB55" s="39">
        <v>2853.8743666496521</v>
      </c>
      <c r="AC55" s="39">
        <v>2787.9733255056399</v>
      </c>
      <c r="AD55" s="39">
        <v>2567.1851080714282</v>
      </c>
      <c r="AE55" s="39">
        <v>2287.6187243185468</v>
      </c>
      <c r="AF55" s="39">
        <v>2023.4931367342281</v>
      </c>
      <c r="AG55" s="39">
        <v>1894.9796025721689</v>
      </c>
      <c r="AH55" s="39">
        <v>52835.780061828249</v>
      </c>
      <c r="AI55" s="39">
        <v>105671.5601236565</v>
      </c>
    </row>
    <row r="56" spans="1:35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5" x14ac:dyDescent="0.3">
      <c r="A57" s="40">
        <v>2027</v>
      </c>
      <c r="B57" s="40" t="s">
        <v>69</v>
      </c>
      <c r="C57" s="41" t="s">
        <v>54</v>
      </c>
      <c r="D57" s="41" t="s">
        <v>55</v>
      </c>
      <c r="E57" s="40">
        <v>22</v>
      </c>
      <c r="F57" s="40">
        <v>3</v>
      </c>
      <c r="G57" s="40">
        <v>4</v>
      </c>
      <c r="H57" s="40">
        <v>2</v>
      </c>
      <c r="I57" s="40">
        <v>31</v>
      </c>
      <c r="J57" s="39">
        <v>2004.9684680737059</v>
      </c>
      <c r="K57" s="39">
        <v>1913.4709012668709</v>
      </c>
      <c r="L57" s="39">
        <v>1841.798722464245</v>
      </c>
      <c r="M57" s="39">
        <v>1799.8623843714549</v>
      </c>
      <c r="N57" s="39">
        <v>1795.101870650248</v>
      </c>
      <c r="O57" s="39">
        <v>1753.2238062659101</v>
      </c>
      <c r="P57" s="39">
        <v>1868.480796721565</v>
      </c>
      <c r="Q57" s="39">
        <v>2127.0467516238932</v>
      </c>
      <c r="R57" s="39">
        <v>2346.8282843459351</v>
      </c>
      <c r="S57" s="39">
        <v>2512.5547889137142</v>
      </c>
      <c r="T57" s="39">
        <v>2676.777943868261</v>
      </c>
      <c r="U57" s="39">
        <v>2788.783933781257</v>
      </c>
      <c r="V57" s="39">
        <v>2796.1365068803252</v>
      </c>
      <c r="W57" s="39">
        <v>2865.1518337133571</v>
      </c>
      <c r="X57" s="39">
        <v>2801.8621037418579</v>
      </c>
      <c r="Y57" s="39">
        <v>2879.853057642656</v>
      </c>
      <c r="Z57" s="39">
        <v>2720.6705784691758</v>
      </c>
      <c r="AA57" s="39">
        <v>2947.7738664637031</v>
      </c>
      <c r="AB57" s="39">
        <v>3107.7458423218768</v>
      </c>
      <c r="AC57" s="39">
        <v>2998.4020450407452</v>
      </c>
      <c r="AD57" s="39">
        <v>2857.058604867043</v>
      </c>
      <c r="AE57" s="39">
        <v>2631.4497012998322</v>
      </c>
      <c r="AF57" s="39">
        <v>2374.6027280577941</v>
      </c>
      <c r="AG57" s="39">
        <v>2195.460383091372</v>
      </c>
      <c r="AH57" s="39">
        <v>58605.065903936797</v>
      </c>
      <c r="AI57" s="39">
        <v>1289311.44988661</v>
      </c>
    </row>
    <row r="58" spans="1:35" x14ac:dyDescent="0.3">
      <c r="A58" s="40">
        <v>2027</v>
      </c>
      <c r="B58" s="40" t="s">
        <v>69</v>
      </c>
      <c r="C58" s="41" t="s">
        <v>54</v>
      </c>
      <c r="D58" s="41" t="s">
        <v>56</v>
      </c>
      <c r="E58" s="40">
        <v>22</v>
      </c>
      <c r="F58" s="40">
        <v>3</v>
      </c>
      <c r="G58" s="40">
        <v>4</v>
      </c>
      <c r="H58" s="40">
        <v>2</v>
      </c>
      <c r="I58" s="40">
        <v>31</v>
      </c>
      <c r="J58" s="39">
        <v>2039.488216036749</v>
      </c>
      <c r="K58" s="39">
        <v>1964.4454074918999</v>
      </c>
      <c r="L58" s="39">
        <v>1904.322909607165</v>
      </c>
      <c r="M58" s="39">
        <v>1855.275918353999</v>
      </c>
      <c r="N58" s="39">
        <v>1849.0130355867709</v>
      </c>
      <c r="O58" s="39">
        <v>1836.713781077716</v>
      </c>
      <c r="P58" s="39">
        <v>1915.2425060524199</v>
      </c>
      <c r="Q58" s="39">
        <v>2105.482537795137</v>
      </c>
      <c r="R58" s="39">
        <v>2319.8619856788828</v>
      </c>
      <c r="S58" s="39">
        <v>2508.9604497666892</v>
      </c>
      <c r="T58" s="39">
        <v>2679.8762560882969</v>
      </c>
      <c r="U58" s="39">
        <v>2705.0336884158378</v>
      </c>
      <c r="V58" s="39">
        <v>2790.3901028704558</v>
      </c>
      <c r="W58" s="39">
        <v>2882.3854425017648</v>
      </c>
      <c r="X58" s="39">
        <v>2901.7418392177628</v>
      </c>
      <c r="Y58" s="39">
        <v>2848.1528606500842</v>
      </c>
      <c r="Z58" s="39">
        <v>2712.4345143143282</v>
      </c>
      <c r="AA58" s="39">
        <v>2937.6688412075009</v>
      </c>
      <c r="AB58" s="39">
        <v>3099.7213005222252</v>
      </c>
      <c r="AC58" s="39">
        <v>3083.930058757031</v>
      </c>
      <c r="AD58" s="39">
        <v>2901.3504054781379</v>
      </c>
      <c r="AE58" s="39">
        <v>2677.4869115438792</v>
      </c>
      <c r="AF58" s="39">
        <v>2435.5996117313639</v>
      </c>
      <c r="AG58" s="39">
        <v>2243.0975988593018</v>
      </c>
      <c r="AH58" s="39">
        <v>59197.676179605398</v>
      </c>
      <c r="AI58" s="39">
        <v>177593.0285388162</v>
      </c>
    </row>
    <row r="59" spans="1:35" x14ac:dyDescent="0.3">
      <c r="A59" s="40">
        <v>2027</v>
      </c>
      <c r="B59" s="40" t="s">
        <v>69</v>
      </c>
      <c r="C59" s="41" t="s">
        <v>54</v>
      </c>
      <c r="D59" s="41" t="s">
        <v>57</v>
      </c>
      <c r="E59" s="40">
        <v>22</v>
      </c>
      <c r="F59" s="40">
        <v>3</v>
      </c>
      <c r="G59" s="40">
        <v>4</v>
      </c>
      <c r="H59" s="40">
        <v>2</v>
      </c>
      <c r="I59" s="40">
        <v>31</v>
      </c>
      <c r="J59" s="39">
        <v>2064.119083772775</v>
      </c>
      <c r="K59" s="39">
        <v>1973.549974032328</v>
      </c>
      <c r="L59" s="39">
        <v>1894.4564423449369</v>
      </c>
      <c r="M59" s="39">
        <v>1849.710218872742</v>
      </c>
      <c r="N59" s="39">
        <v>1756.6406627480101</v>
      </c>
      <c r="O59" s="39">
        <v>1711.8385469448731</v>
      </c>
      <c r="P59" s="39">
        <v>1733.1688254536421</v>
      </c>
      <c r="Q59" s="39">
        <v>1953.570123994097</v>
      </c>
      <c r="R59" s="39">
        <v>2263.722551799232</v>
      </c>
      <c r="S59" s="39">
        <v>2400.646995802701</v>
      </c>
      <c r="T59" s="39">
        <v>2542.1634360483708</v>
      </c>
      <c r="U59" s="39">
        <v>2590.6279703790792</v>
      </c>
      <c r="V59" s="39">
        <v>2708.2313180860938</v>
      </c>
      <c r="W59" s="39">
        <v>2761.5785817212368</v>
      </c>
      <c r="X59" s="39">
        <v>2742.431045820867</v>
      </c>
      <c r="Y59" s="39">
        <v>2713.8053472732422</v>
      </c>
      <c r="Z59" s="39">
        <v>2667.8206674154189</v>
      </c>
      <c r="AA59" s="39">
        <v>2719.71816754667</v>
      </c>
      <c r="AB59" s="39">
        <v>2886.5450086045639</v>
      </c>
      <c r="AC59" s="39">
        <v>2907.080840250595</v>
      </c>
      <c r="AD59" s="39">
        <v>2771.6478389728109</v>
      </c>
      <c r="AE59" s="39">
        <v>2567.805566322606</v>
      </c>
      <c r="AF59" s="39">
        <v>2360.9862916242878</v>
      </c>
      <c r="AG59" s="39">
        <v>2189.8380908740228</v>
      </c>
      <c r="AH59" s="39">
        <v>56731.703596705207</v>
      </c>
      <c r="AI59" s="39">
        <v>226926.8143868208</v>
      </c>
    </row>
    <row r="60" spans="1:35" x14ac:dyDescent="0.3">
      <c r="A60" s="40">
        <v>2027</v>
      </c>
      <c r="B60" s="40" t="s">
        <v>69</v>
      </c>
      <c r="C60" s="41" t="s">
        <v>54</v>
      </c>
      <c r="D60" s="41" t="s">
        <v>58</v>
      </c>
      <c r="E60" s="40">
        <v>22</v>
      </c>
      <c r="F60" s="40">
        <v>3</v>
      </c>
      <c r="G60" s="40">
        <v>4</v>
      </c>
      <c r="H60" s="40">
        <v>2</v>
      </c>
      <c r="I60" s="40">
        <v>31</v>
      </c>
      <c r="J60" s="39">
        <v>2126.612593170139</v>
      </c>
      <c r="K60" s="39">
        <v>2031.554446744492</v>
      </c>
      <c r="L60" s="39">
        <v>1980.2982375682691</v>
      </c>
      <c r="M60" s="39">
        <v>1923.5998803791911</v>
      </c>
      <c r="N60" s="39">
        <v>1890.635171929423</v>
      </c>
      <c r="O60" s="39">
        <v>1794.076757673206</v>
      </c>
      <c r="P60" s="39">
        <v>1857.2939256711979</v>
      </c>
      <c r="Q60" s="39">
        <v>2020.8468402395181</v>
      </c>
      <c r="R60" s="39">
        <v>2197.4489558091541</v>
      </c>
      <c r="S60" s="39">
        <v>2297.9139498281129</v>
      </c>
      <c r="T60" s="39">
        <v>2380.1580439597051</v>
      </c>
      <c r="U60" s="39">
        <v>2446.0462770364388</v>
      </c>
      <c r="V60" s="39">
        <v>2432.5497499645548</v>
      </c>
      <c r="W60" s="39">
        <v>2470.0412418217002</v>
      </c>
      <c r="X60" s="39">
        <v>2463.1694268173569</v>
      </c>
      <c r="Y60" s="39">
        <v>2441.2125658617028</v>
      </c>
      <c r="Z60" s="39">
        <v>2403.4175833378208</v>
      </c>
      <c r="AA60" s="39">
        <v>2579.8431968097439</v>
      </c>
      <c r="AB60" s="39">
        <v>2783.3559988775478</v>
      </c>
      <c r="AC60" s="39">
        <v>2762.7168328284688</v>
      </c>
      <c r="AD60" s="39">
        <v>2588.5916300300892</v>
      </c>
      <c r="AE60" s="39">
        <v>2391.2328677692558</v>
      </c>
      <c r="AF60" s="39">
        <v>2203.422868994764</v>
      </c>
      <c r="AG60" s="39">
        <v>2082.6895507549498</v>
      </c>
      <c r="AH60" s="39">
        <v>54548.728593876796</v>
      </c>
      <c r="AI60" s="39">
        <v>109097.45718775359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M57"/>
  <sheetViews>
    <sheetView view="pageBreakPreview" topLeftCell="A26" zoomScale="60" zoomScaleNormal="100" workbookViewId="0">
      <selection activeCell="F33" sqref="F33:J47"/>
    </sheetView>
  </sheetViews>
  <sheetFormatPr baseColWidth="10" defaultRowHeight="14.4" x14ac:dyDescent="0.3"/>
  <cols>
    <col min="1" max="1" width="19.6640625" customWidth="1"/>
    <col min="2" max="2" width="20.6640625" customWidth="1"/>
    <col min="3" max="3" width="18.44140625" customWidth="1"/>
    <col min="4" max="4" width="20.109375" customWidth="1"/>
    <col min="5" max="5" width="22.109375" customWidth="1"/>
    <col min="6" max="6" width="21.21875" customWidth="1"/>
    <col min="7" max="7" width="21.88671875" customWidth="1"/>
    <col min="8" max="8" width="22.33203125" customWidth="1"/>
    <col min="9" max="9" width="23" customWidth="1"/>
    <col min="10" max="10" width="19" customWidth="1"/>
    <col min="11" max="11" width="19.33203125" customWidth="1"/>
  </cols>
  <sheetData>
    <row r="1" spans="1:13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3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3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3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3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3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pans="1:13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1:13" x14ac:dyDescent="0.3">
      <c r="A19" s="35"/>
      <c r="B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1:13" ht="25.8" customHeight="1" x14ac:dyDescent="0.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ht="28.8" customHeight="1" x14ac:dyDescent="0.3">
      <c r="A22" s="2"/>
      <c r="B22" s="2"/>
      <c r="C22" s="3"/>
      <c r="D22" s="46" t="s">
        <v>0</v>
      </c>
      <c r="E22" s="47"/>
      <c r="F22" s="47"/>
      <c r="G22" s="47"/>
      <c r="H22" s="47"/>
      <c r="I22" s="47"/>
      <c r="J22" s="47"/>
      <c r="K22" s="3"/>
      <c r="M22" s="2"/>
    </row>
    <row r="23" spans="1:13" ht="28.8" customHeight="1" x14ac:dyDescent="0.3">
      <c r="A23" s="2"/>
      <c r="B23" s="2"/>
      <c r="C23" s="49" t="s">
        <v>1</v>
      </c>
      <c r="D23" s="47"/>
      <c r="E23" s="47"/>
      <c r="F23" s="47"/>
      <c r="G23" s="47"/>
      <c r="H23" s="47"/>
      <c r="I23" s="47"/>
      <c r="J23" s="47"/>
      <c r="K23" s="47"/>
      <c r="L23" s="2"/>
      <c r="M23" s="2"/>
    </row>
    <row r="24" spans="1:13" ht="25.8" customHeight="1" x14ac:dyDescent="0.3">
      <c r="A24" s="2"/>
      <c r="B24" s="2"/>
      <c r="C24" s="3"/>
      <c r="D24" s="50"/>
      <c r="E24" s="47"/>
      <c r="F24" s="47"/>
      <c r="G24" s="47"/>
      <c r="H24" s="47"/>
      <c r="I24" s="47"/>
      <c r="J24" s="47"/>
      <c r="K24" s="3"/>
      <c r="L24" s="2"/>
      <c r="M24" s="2"/>
    </row>
    <row r="25" spans="1:13" ht="25.8" customHeight="1" x14ac:dyDescent="0.5">
      <c r="A25" s="4"/>
      <c r="B25" s="5"/>
      <c r="C25" s="5"/>
      <c r="D25" s="6"/>
      <c r="E25" s="7"/>
      <c r="F25" s="7"/>
      <c r="G25" s="7"/>
      <c r="H25" s="7"/>
      <c r="I25" s="7"/>
      <c r="J25" s="8"/>
      <c r="K25" s="9"/>
      <c r="L25" s="4"/>
      <c r="M25" s="4"/>
    </row>
    <row r="26" spans="1:13" ht="25.8" customHeight="1" x14ac:dyDescent="0.5">
      <c r="A26" s="4"/>
      <c r="B26" s="5"/>
      <c r="C26" s="10" t="s">
        <v>2</v>
      </c>
      <c r="D26" s="5"/>
      <c r="E26" s="5"/>
      <c r="F26" s="1"/>
      <c r="G26" s="5"/>
      <c r="H26" s="5"/>
      <c r="I26" s="5"/>
      <c r="J26" s="5"/>
      <c r="K26" s="9"/>
      <c r="L26" s="4"/>
      <c r="M26" s="4"/>
    </row>
    <row r="27" spans="1:13" ht="25.8" customHeight="1" x14ac:dyDescent="0.5">
      <c r="A27" s="4"/>
      <c r="B27" s="5"/>
      <c r="C27" s="10" t="s">
        <v>3</v>
      </c>
      <c r="D27" s="5"/>
      <c r="E27" s="5"/>
      <c r="F27" s="1"/>
      <c r="G27" s="5"/>
      <c r="H27" s="5"/>
      <c r="I27" s="5"/>
      <c r="J27" s="5"/>
      <c r="K27" s="9"/>
      <c r="L27" s="4"/>
      <c r="M27" s="4"/>
    </row>
    <row r="28" spans="1:13" ht="25.8" customHeight="1" x14ac:dyDescent="0.5">
      <c r="A28" s="1"/>
      <c r="B28" s="11"/>
      <c r="C28" s="10" t="s">
        <v>4</v>
      </c>
      <c r="D28" s="5"/>
      <c r="E28" s="5"/>
      <c r="F28" s="1"/>
      <c r="G28" s="11"/>
      <c r="H28" s="11"/>
      <c r="I28" s="11"/>
      <c r="J28" s="11"/>
      <c r="K28" s="12"/>
      <c r="L28" s="1"/>
      <c r="M28" s="1"/>
    </row>
    <row r="29" spans="1:13" ht="25.8" customHeight="1" x14ac:dyDescent="0.5">
      <c r="A29" s="1"/>
      <c r="B29" s="11"/>
      <c r="C29" s="13" t="str">
        <f>"PRODUCTO OFERTADO: "&amp;D24</f>
        <v xml:space="preserve">PRODUCTO OFERTADO: </v>
      </c>
      <c r="D29" s="5"/>
      <c r="E29" s="5"/>
      <c r="F29" s="1"/>
      <c r="G29" s="11"/>
      <c r="H29" s="11"/>
      <c r="I29" s="11"/>
      <c r="J29" s="11"/>
      <c r="K29" s="12"/>
      <c r="L29" s="1"/>
      <c r="M29" s="1"/>
    </row>
    <row r="30" spans="1:13" ht="25.8" customHeight="1" x14ac:dyDescent="0.5">
      <c r="A30" s="1"/>
      <c r="B30" s="11"/>
      <c r="C30" s="13"/>
      <c r="D30" s="5"/>
      <c r="E30" s="5"/>
      <c r="F30" s="1"/>
      <c r="G30" s="11"/>
      <c r="H30" s="11"/>
      <c r="I30" s="11"/>
      <c r="J30" s="11"/>
      <c r="K30" s="12"/>
      <c r="L30" s="1"/>
      <c r="M30" s="1"/>
    </row>
    <row r="31" spans="1:13" ht="25.8" customHeight="1" x14ac:dyDescent="0.5">
      <c r="A31" s="1"/>
      <c r="B31" s="11"/>
      <c r="C31" s="14" t="s">
        <v>75</v>
      </c>
      <c r="D31" s="15"/>
      <c r="E31" s="15"/>
      <c r="F31" s="16"/>
      <c r="G31" s="11"/>
      <c r="H31" s="11"/>
      <c r="I31" s="11"/>
      <c r="J31" s="11"/>
      <c r="K31" s="12"/>
      <c r="L31" s="1"/>
      <c r="M31" s="1"/>
    </row>
    <row r="32" spans="1:13" ht="25.8" customHeight="1" x14ac:dyDescent="0.5">
      <c r="A32" s="1"/>
      <c r="B32" s="17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5.8" customHeight="1" x14ac:dyDescent="0.5">
      <c r="A33" s="1"/>
      <c r="B33" s="1"/>
      <c r="C33" s="1"/>
      <c r="D33" s="1"/>
      <c r="E33" s="1"/>
      <c r="F33" s="51" t="s">
        <v>70</v>
      </c>
      <c r="G33" s="52"/>
      <c r="H33" s="52"/>
      <c r="I33" s="52"/>
      <c r="J33" s="53"/>
      <c r="K33" s="1"/>
      <c r="L33" s="1"/>
      <c r="M33" s="1"/>
    </row>
    <row r="34" spans="1:13" ht="27.6" customHeight="1" x14ac:dyDescent="0.5">
      <c r="A34" s="1"/>
      <c r="B34" s="1"/>
      <c r="C34" s="1"/>
      <c r="D34" s="1"/>
      <c r="E34" s="1"/>
      <c r="F34" s="43" t="s">
        <v>6</v>
      </c>
      <c r="G34" s="43" t="s">
        <v>7</v>
      </c>
      <c r="H34" s="43" t="s">
        <v>8</v>
      </c>
      <c r="I34" s="43" t="s">
        <v>9</v>
      </c>
      <c r="J34" s="43" t="s">
        <v>10</v>
      </c>
      <c r="K34" s="1"/>
      <c r="L34" s="1"/>
      <c r="M34" s="1"/>
    </row>
    <row r="35" spans="1:13" ht="25.8" customHeight="1" x14ac:dyDescent="0.5">
      <c r="A35" s="1"/>
      <c r="B35" s="1"/>
      <c r="C35" s="1"/>
      <c r="D35" s="1"/>
      <c r="E35" s="1"/>
      <c r="F35" s="21">
        <v>46753</v>
      </c>
      <c r="G35" s="37">
        <v>1727.08645</v>
      </c>
      <c r="H35" s="18"/>
      <c r="I35" s="18"/>
      <c r="J35" s="34"/>
      <c r="K35" s="1"/>
      <c r="L35" s="1"/>
      <c r="M35" s="1"/>
    </row>
    <row r="36" spans="1:13" ht="25.8" customHeight="1" x14ac:dyDescent="0.5">
      <c r="A36" s="1"/>
      <c r="B36" s="1"/>
      <c r="C36" s="1"/>
      <c r="D36" s="1"/>
      <c r="E36" s="1"/>
      <c r="F36" s="21">
        <v>46784</v>
      </c>
      <c r="G36" s="37">
        <v>1575.7659000000001</v>
      </c>
      <c r="H36" s="18"/>
      <c r="I36" s="18"/>
      <c r="J36" s="34"/>
      <c r="K36" s="1"/>
      <c r="L36" s="1"/>
      <c r="M36" s="1"/>
    </row>
    <row r="37" spans="1:13" ht="25.8" customHeight="1" x14ac:dyDescent="0.5">
      <c r="A37" s="1"/>
      <c r="B37" s="1"/>
      <c r="C37" s="1"/>
      <c r="D37" s="1"/>
      <c r="E37" s="1"/>
      <c r="F37" s="21">
        <v>46813</v>
      </c>
      <c r="G37" s="37">
        <v>1796.31105</v>
      </c>
      <c r="H37" s="18"/>
      <c r="I37" s="18"/>
      <c r="J37" s="34"/>
      <c r="K37" s="1"/>
      <c r="L37" s="1"/>
      <c r="M37" s="1"/>
    </row>
    <row r="38" spans="1:13" ht="25.8" customHeight="1" x14ac:dyDescent="0.5">
      <c r="A38" s="1"/>
      <c r="B38" s="1"/>
      <c r="C38" s="1"/>
      <c r="D38" s="1"/>
      <c r="E38" s="1"/>
      <c r="F38" s="21">
        <v>46844</v>
      </c>
      <c r="G38" s="37">
        <v>1714.9854499999999</v>
      </c>
      <c r="H38" s="18"/>
      <c r="I38" s="18"/>
      <c r="J38" s="34"/>
      <c r="K38" s="1"/>
      <c r="L38" s="1"/>
      <c r="M38" s="1"/>
    </row>
    <row r="39" spans="1:13" ht="25.8" customHeight="1" x14ac:dyDescent="0.5">
      <c r="A39" s="1"/>
      <c r="B39" s="1"/>
      <c r="C39" s="1"/>
      <c r="D39" s="1"/>
      <c r="E39" s="1"/>
      <c r="F39" s="21">
        <v>46874</v>
      </c>
      <c r="G39" s="37">
        <v>1726.46515</v>
      </c>
      <c r="H39" s="18"/>
      <c r="I39" s="18"/>
      <c r="J39" s="34"/>
      <c r="K39" s="1"/>
      <c r="L39" s="1"/>
      <c r="M39" s="1"/>
    </row>
    <row r="40" spans="1:13" ht="25.8" customHeight="1" x14ac:dyDescent="0.5">
      <c r="A40" s="1"/>
      <c r="B40" s="1"/>
      <c r="C40" s="1"/>
      <c r="D40" s="1"/>
      <c r="E40" s="1"/>
      <c r="F40" s="21">
        <v>46905</v>
      </c>
      <c r="G40" s="37">
        <v>1720.68165</v>
      </c>
      <c r="H40" s="18"/>
      <c r="I40" s="18"/>
      <c r="J40" s="34"/>
      <c r="K40" s="1"/>
      <c r="L40" s="1"/>
      <c r="M40" s="1"/>
    </row>
    <row r="41" spans="1:13" ht="25.8" customHeight="1" x14ac:dyDescent="0.5">
      <c r="A41" s="19"/>
      <c r="B41" s="20">
        <v>31</v>
      </c>
      <c r="C41" s="1"/>
      <c r="D41" s="1"/>
      <c r="E41" s="1"/>
      <c r="F41" s="21">
        <v>46935</v>
      </c>
      <c r="G41" s="38">
        <v>1716.36095</v>
      </c>
      <c r="H41" s="23"/>
      <c r="I41" s="22"/>
      <c r="J41" s="54"/>
      <c r="K41" s="1"/>
      <c r="L41" s="24"/>
      <c r="M41" s="24"/>
    </row>
    <row r="42" spans="1:13" ht="25.8" customHeight="1" x14ac:dyDescent="0.5">
      <c r="A42" s="19"/>
      <c r="B42" s="20">
        <v>31</v>
      </c>
      <c r="C42" s="1"/>
      <c r="D42" s="1"/>
      <c r="E42" s="1"/>
      <c r="F42" s="21">
        <v>46966</v>
      </c>
      <c r="G42" s="38">
        <v>1742.9884999999999</v>
      </c>
      <c r="H42" s="23"/>
      <c r="I42" s="22"/>
      <c r="J42" s="55"/>
      <c r="K42" s="1"/>
      <c r="L42" s="24"/>
      <c r="M42" s="24"/>
    </row>
    <row r="43" spans="1:13" ht="25.8" customHeight="1" x14ac:dyDescent="0.5">
      <c r="A43" s="25"/>
      <c r="B43" s="20">
        <v>30</v>
      </c>
      <c r="C43" s="1"/>
      <c r="D43" s="1"/>
      <c r="E43" s="1"/>
      <c r="F43" s="21">
        <v>46997</v>
      </c>
      <c r="G43" s="38">
        <v>1765.4466</v>
      </c>
      <c r="H43" s="23"/>
      <c r="I43" s="22"/>
      <c r="J43" s="55"/>
      <c r="K43" s="1"/>
      <c r="L43" s="24"/>
      <c r="M43" s="24"/>
    </row>
    <row r="44" spans="1:13" ht="25.8" customHeight="1" x14ac:dyDescent="0.5">
      <c r="A44" s="25"/>
      <c r="B44" s="20">
        <v>31</v>
      </c>
      <c r="C44" s="1"/>
      <c r="D44" s="1"/>
      <c r="E44" s="1"/>
      <c r="F44" s="21">
        <v>47027</v>
      </c>
      <c r="G44" s="38">
        <v>1787.2053000000001</v>
      </c>
      <c r="H44" s="23"/>
      <c r="I44" s="22"/>
      <c r="J44" s="55"/>
      <c r="K44" s="1"/>
      <c r="L44" s="24"/>
      <c r="M44" s="24"/>
    </row>
    <row r="45" spans="1:13" ht="25.8" customHeight="1" x14ac:dyDescent="0.5">
      <c r="A45" s="19"/>
      <c r="B45" s="20">
        <v>30</v>
      </c>
      <c r="C45" s="1"/>
      <c r="D45" s="1"/>
      <c r="E45" s="1"/>
      <c r="F45" s="21">
        <v>47058</v>
      </c>
      <c r="G45" s="38">
        <v>1811.7058999999999</v>
      </c>
      <c r="H45" s="23"/>
      <c r="I45" s="22"/>
      <c r="J45" s="55"/>
      <c r="K45" s="1"/>
      <c r="L45" s="24"/>
      <c r="M45" s="24"/>
    </row>
    <row r="46" spans="1:13" ht="25.8" customHeight="1" x14ac:dyDescent="0.5">
      <c r="A46" s="19"/>
      <c r="B46" s="20">
        <v>31</v>
      </c>
      <c r="C46" s="1"/>
      <c r="D46" s="1"/>
      <c r="E46" s="1"/>
      <c r="F46" s="21">
        <v>47088</v>
      </c>
      <c r="G46" s="38">
        <v>1888.6044999999999</v>
      </c>
      <c r="H46" s="23"/>
      <c r="I46" s="22"/>
      <c r="J46" s="56"/>
      <c r="K46" s="1"/>
      <c r="L46" s="24"/>
      <c r="M46" s="24"/>
    </row>
    <row r="47" spans="1:13" ht="25.8" customHeight="1" x14ac:dyDescent="0.5">
      <c r="A47" s="1"/>
      <c r="B47" s="1"/>
      <c r="C47" s="1"/>
      <c r="D47" s="1"/>
      <c r="E47" s="1"/>
      <c r="F47" s="26" t="s">
        <v>11</v>
      </c>
      <c r="G47" s="27">
        <f>SUM(G35:G46)</f>
        <v>20973.607400000004</v>
      </c>
      <c r="H47" s="23">
        <f>I47/G47</f>
        <v>1</v>
      </c>
      <c r="I47" s="27">
        <f>G47</f>
        <v>20973.607400000004</v>
      </c>
      <c r="J47" s="28"/>
      <c r="K47" s="1"/>
      <c r="L47" s="1"/>
      <c r="M47" s="1"/>
    </row>
    <row r="48" spans="1:13" ht="25.8" customHeight="1" x14ac:dyDescent="0.5">
      <c r="A48" s="1"/>
      <c r="B48" s="1"/>
      <c r="C48" s="1"/>
      <c r="D48" s="1"/>
      <c r="E48" s="1"/>
      <c r="F48" s="29"/>
      <c r="G48" s="30"/>
      <c r="H48" s="1"/>
      <c r="I48" s="1"/>
      <c r="J48" s="1"/>
      <c r="K48" s="1"/>
      <c r="L48" s="1"/>
      <c r="M48" s="1"/>
    </row>
    <row r="49" spans="1:13" ht="25.8" customHeight="1" x14ac:dyDescent="0.5">
      <c r="A49" s="1"/>
      <c r="B49" s="31" t="s">
        <v>12</v>
      </c>
      <c r="C49" s="32"/>
      <c r="D49" s="32"/>
      <c r="E49" s="32"/>
      <c r="F49" s="32"/>
      <c r="G49" s="32"/>
      <c r="H49" s="1"/>
      <c r="I49" s="1"/>
      <c r="J49" s="1"/>
      <c r="K49" s="1"/>
      <c r="L49" s="32"/>
      <c r="M49" s="1"/>
    </row>
    <row r="50" spans="1:13" ht="25.8" customHeight="1" x14ac:dyDescent="0.5">
      <c r="A50" s="1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1"/>
    </row>
    <row r="51" spans="1:13" ht="25.8" customHeight="1" x14ac:dyDescent="0.5">
      <c r="A51" s="1"/>
      <c r="B51" s="48" t="s">
        <v>13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1"/>
    </row>
    <row r="52" spans="1:13" ht="25.8" customHeight="1" x14ac:dyDescent="0.5">
      <c r="A52" s="1"/>
      <c r="B52" s="48" t="s">
        <v>14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1"/>
    </row>
    <row r="53" spans="1:13" ht="25.8" customHeight="1" x14ac:dyDescent="0.5">
      <c r="A53" s="1"/>
      <c r="B53" s="44" t="s">
        <v>15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1"/>
    </row>
    <row r="54" spans="1:13" ht="25.8" customHeight="1" x14ac:dyDescent="0.5">
      <c r="A54" s="1"/>
      <c r="B54" s="44" t="s">
        <v>16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1"/>
    </row>
    <row r="55" spans="1:13" ht="25.8" customHeight="1" x14ac:dyDescent="0.5">
      <c r="A55" s="16"/>
      <c r="B55" s="44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1"/>
    </row>
    <row r="56" spans="1:13" ht="25.8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5.8" customHeight="1" x14ac:dyDescent="0.5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1"/>
    </row>
  </sheetData>
  <mergeCells count="10">
    <mergeCell ref="B53:L53"/>
    <mergeCell ref="D22:J22"/>
    <mergeCell ref="B52:L52"/>
    <mergeCell ref="B54:L54"/>
    <mergeCell ref="B55:L55"/>
    <mergeCell ref="B51:L51"/>
    <mergeCell ref="C23:K23"/>
    <mergeCell ref="D24:J24"/>
    <mergeCell ref="F33:J33"/>
    <mergeCell ref="J41:J46"/>
  </mergeCells>
  <pageMargins left="0.7" right="0.7" top="0.75" bottom="0.75" header="0.3" footer="0.3"/>
  <pageSetup paperSize="9" scale="3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I60"/>
  <sheetViews>
    <sheetView workbookViewId="0">
      <pane ySplit="1" topLeftCell="A2" activePane="bottomLeft" state="frozen"/>
      <selection pane="bottomLeft" activeCell="B27" sqref="B27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20" customWidth="1"/>
    <col min="4" max="4" width="12" customWidth="1"/>
    <col min="5" max="8" width="8" customWidth="1"/>
    <col min="9" max="9" width="9" customWidth="1"/>
    <col min="10" max="33" width="11" customWidth="1"/>
    <col min="34" max="34" width="15" customWidth="1"/>
    <col min="35" max="35" width="19" customWidth="1"/>
  </cols>
  <sheetData>
    <row r="1" spans="1:35" ht="27.6" customHeight="1" x14ac:dyDescent="0.3">
      <c r="A1" s="43" t="s">
        <v>18</v>
      </c>
      <c r="B1" s="43" t="s">
        <v>19</v>
      </c>
      <c r="C1" s="43" t="s">
        <v>20</v>
      </c>
      <c r="D1" s="43" t="s">
        <v>21</v>
      </c>
      <c r="E1" s="43" t="s">
        <v>22</v>
      </c>
      <c r="F1" s="43" t="s">
        <v>23</v>
      </c>
      <c r="G1" s="43" t="s">
        <v>24</v>
      </c>
      <c r="H1" s="43" t="s">
        <v>25</v>
      </c>
      <c r="I1" s="43" t="s">
        <v>26</v>
      </c>
      <c r="J1" s="43" t="s">
        <v>27</v>
      </c>
      <c r="K1" s="43" t="s">
        <v>28</v>
      </c>
      <c r="L1" s="43" t="s">
        <v>29</v>
      </c>
      <c r="M1" s="43" t="s">
        <v>30</v>
      </c>
      <c r="N1" s="43" t="s">
        <v>31</v>
      </c>
      <c r="O1" s="43" t="s">
        <v>32</v>
      </c>
      <c r="P1" s="43" t="s">
        <v>33</v>
      </c>
      <c r="Q1" s="43" t="s">
        <v>34</v>
      </c>
      <c r="R1" s="43" t="s">
        <v>35</v>
      </c>
      <c r="S1" s="43" t="s">
        <v>36</v>
      </c>
      <c r="T1" s="43" t="s">
        <v>37</v>
      </c>
      <c r="U1" s="43" t="s">
        <v>38</v>
      </c>
      <c r="V1" s="43" t="s">
        <v>39</v>
      </c>
      <c r="W1" s="43" t="s">
        <v>40</v>
      </c>
      <c r="X1" s="43" t="s">
        <v>41</v>
      </c>
      <c r="Y1" s="43" t="s">
        <v>42</v>
      </c>
      <c r="Z1" s="43" t="s">
        <v>43</v>
      </c>
      <c r="AA1" s="43" t="s">
        <v>44</v>
      </c>
      <c r="AB1" s="43" t="s">
        <v>45</v>
      </c>
      <c r="AC1" s="43" t="s">
        <v>46</v>
      </c>
      <c r="AD1" s="43" t="s">
        <v>47</v>
      </c>
      <c r="AE1" s="43" t="s">
        <v>48</v>
      </c>
      <c r="AF1" s="43" t="s">
        <v>49</v>
      </c>
      <c r="AG1" s="43" t="s">
        <v>50</v>
      </c>
      <c r="AH1" s="43" t="s">
        <v>51</v>
      </c>
      <c r="AI1" s="43" t="s">
        <v>52</v>
      </c>
    </row>
    <row r="2" spans="1:35" x14ac:dyDescent="0.3">
      <c r="A2" s="40">
        <v>2028</v>
      </c>
      <c r="B2" s="40" t="s">
        <v>53</v>
      </c>
      <c r="C2" s="41" t="s">
        <v>54</v>
      </c>
      <c r="D2" s="41" t="s">
        <v>55</v>
      </c>
      <c r="E2" s="40">
        <v>20</v>
      </c>
      <c r="F2" s="40">
        <v>4</v>
      </c>
      <c r="G2" s="40">
        <v>5</v>
      </c>
      <c r="H2" s="40">
        <v>2</v>
      </c>
      <c r="I2" s="40">
        <v>31</v>
      </c>
      <c r="J2" s="39">
        <v>1953.6397440111641</v>
      </c>
      <c r="K2" s="39">
        <v>1885.8275389073081</v>
      </c>
      <c r="L2" s="39">
        <v>1813.757647502114</v>
      </c>
      <c r="M2" s="39">
        <v>1769.4193289510411</v>
      </c>
      <c r="N2" s="39">
        <v>1744.2276251966241</v>
      </c>
      <c r="O2" s="39">
        <v>1793.640964289154</v>
      </c>
      <c r="P2" s="39">
        <v>1791.0480215374939</v>
      </c>
      <c r="Q2" s="39">
        <v>1916.283130378584</v>
      </c>
      <c r="R2" s="39">
        <v>2168.017358677123</v>
      </c>
      <c r="S2" s="39">
        <v>2350.6272832540121</v>
      </c>
      <c r="T2" s="39">
        <v>2513.2302101653149</v>
      </c>
      <c r="U2" s="39">
        <v>2665.8830067494059</v>
      </c>
      <c r="V2" s="39">
        <v>2715.3765460271138</v>
      </c>
      <c r="W2" s="39">
        <v>2729.846486851774</v>
      </c>
      <c r="X2" s="39">
        <v>2790.0237522681741</v>
      </c>
      <c r="Y2" s="39">
        <v>2717.9349902311742</v>
      </c>
      <c r="Z2" s="39">
        <v>2772.113753562086</v>
      </c>
      <c r="AA2" s="39">
        <v>2775.4090376412928</v>
      </c>
      <c r="AB2" s="39">
        <v>2915.4232285729881</v>
      </c>
      <c r="AC2" s="39">
        <v>3047.7510144296662</v>
      </c>
      <c r="AD2" s="39">
        <v>2899.8571553042748</v>
      </c>
      <c r="AE2" s="39">
        <v>2657.4019704893308</v>
      </c>
      <c r="AF2" s="39">
        <v>2372.9991402903011</v>
      </c>
      <c r="AG2" s="39">
        <v>2102.0610955924408</v>
      </c>
      <c r="AH2" s="39">
        <v>56861.800030879953</v>
      </c>
      <c r="AI2" s="39">
        <v>1137236.0006175991</v>
      </c>
    </row>
    <row r="3" spans="1:35" x14ac:dyDescent="0.3">
      <c r="A3" s="40">
        <v>2028</v>
      </c>
      <c r="B3" s="40" t="s">
        <v>53</v>
      </c>
      <c r="C3" s="41" t="s">
        <v>54</v>
      </c>
      <c r="D3" s="41" t="s">
        <v>56</v>
      </c>
      <c r="E3" s="40">
        <v>20</v>
      </c>
      <c r="F3" s="40">
        <v>4</v>
      </c>
      <c r="G3" s="40">
        <v>5</v>
      </c>
      <c r="H3" s="40">
        <v>2</v>
      </c>
      <c r="I3" s="40">
        <v>31</v>
      </c>
      <c r="J3" s="39">
        <v>1919.8990543411651</v>
      </c>
      <c r="K3" s="39">
        <v>1841.149548983718</v>
      </c>
      <c r="L3" s="39">
        <v>1774.170600215567</v>
      </c>
      <c r="M3" s="39">
        <v>1732.695310333884</v>
      </c>
      <c r="N3" s="39">
        <v>1706.2150962514311</v>
      </c>
      <c r="O3" s="39">
        <v>1727.2299035969299</v>
      </c>
      <c r="P3" s="39">
        <v>1707.2128809081989</v>
      </c>
      <c r="Q3" s="39">
        <v>1773.434806432452</v>
      </c>
      <c r="R3" s="39">
        <v>2119.2414931153062</v>
      </c>
      <c r="S3" s="39">
        <v>2323.2165111406011</v>
      </c>
      <c r="T3" s="39">
        <v>2453.3295174463301</v>
      </c>
      <c r="U3" s="39">
        <v>2573.5000596190162</v>
      </c>
      <c r="V3" s="39">
        <v>2647.6309778418249</v>
      </c>
      <c r="W3" s="39">
        <v>2737.322205583363</v>
      </c>
      <c r="X3" s="39">
        <v>2760.3538117031808</v>
      </c>
      <c r="Y3" s="39">
        <v>2754.643086752742</v>
      </c>
      <c r="Z3" s="39">
        <v>2725.546931336115</v>
      </c>
      <c r="AA3" s="39">
        <v>2666.734248482222</v>
      </c>
      <c r="AB3" s="39">
        <v>2854.898035882657</v>
      </c>
      <c r="AC3" s="39">
        <v>2946.620939749725</v>
      </c>
      <c r="AD3" s="39">
        <v>2786.4352228313842</v>
      </c>
      <c r="AE3" s="39">
        <v>2546.030450103664</v>
      </c>
      <c r="AF3" s="39">
        <v>2326.2890192040491</v>
      </c>
      <c r="AG3" s="39">
        <v>2134.0043575828731</v>
      </c>
      <c r="AH3" s="39">
        <v>55537.804069438404</v>
      </c>
      <c r="AI3" s="39">
        <v>222151.21627775361</v>
      </c>
    </row>
    <row r="4" spans="1:35" x14ac:dyDescent="0.3">
      <c r="A4" s="40">
        <v>2028</v>
      </c>
      <c r="B4" s="40" t="s">
        <v>53</v>
      </c>
      <c r="C4" s="41" t="s">
        <v>54</v>
      </c>
      <c r="D4" s="41" t="s">
        <v>57</v>
      </c>
      <c r="E4" s="40">
        <v>20</v>
      </c>
      <c r="F4" s="40">
        <v>4</v>
      </c>
      <c r="G4" s="40">
        <v>5</v>
      </c>
      <c r="H4" s="40">
        <v>2</v>
      </c>
      <c r="I4" s="40">
        <v>31</v>
      </c>
      <c r="J4" s="39">
        <v>1946.481287776822</v>
      </c>
      <c r="K4" s="39">
        <v>1869.5805146291671</v>
      </c>
      <c r="L4" s="39">
        <v>1796.5423239294021</v>
      </c>
      <c r="M4" s="39">
        <v>1743.291759800471</v>
      </c>
      <c r="N4" s="39">
        <v>1719.464638608561</v>
      </c>
      <c r="O4" s="39">
        <v>1740.470010638157</v>
      </c>
      <c r="P4" s="39">
        <v>1690.274130032901</v>
      </c>
      <c r="Q4" s="39">
        <v>1781.348087939054</v>
      </c>
      <c r="R4" s="39">
        <v>2033.377169859569</v>
      </c>
      <c r="S4" s="39">
        <v>2177.6431500201638</v>
      </c>
      <c r="T4" s="39">
        <v>2331.901719429537</v>
      </c>
      <c r="U4" s="39">
        <v>2404.0700919444712</v>
      </c>
      <c r="V4" s="39">
        <v>2526.0982119356081</v>
      </c>
      <c r="W4" s="39">
        <v>2620.0760216334379</v>
      </c>
      <c r="X4" s="39">
        <v>2618.1093479748561</v>
      </c>
      <c r="Y4" s="39">
        <v>2599.964056078431</v>
      </c>
      <c r="Z4" s="39">
        <v>2581.792227356028</v>
      </c>
      <c r="AA4" s="39">
        <v>2528.0993827941329</v>
      </c>
      <c r="AB4" s="39">
        <v>2710.6963338116539</v>
      </c>
      <c r="AC4" s="39">
        <v>2828.723719002478</v>
      </c>
      <c r="AD4" s="39">
        <v>2734.63003115738</v>
      </c>
      <c r="AE4" s="39">
        <v>2531.7618936289841</v>
      </c>
      <c r="AF4" s="39">
        <v>2303.1058583225358</v>
      </c>
      <c r="AG4" s="39">
        <v>2106.7421916949379</v>
      </c>
      <c r="AH4" s="39">
        <v>53924.244159998743</v>
      </c>
      <c r="AI4" s="39">
        <v>269621.22079999372</v>
      </c>
    </row>
    <row r="5" spans="1:35" x14ac:dyDescent="0.3">
      <c r="A5" s="40">
        <v>2028</v>
      </c>
      <c r="B5" s="40" t="s">
        <v>53</v>
      </c>
      <c r="C5" s="41" t="s">
        <v>54</v>
      </c>
      <c r="D5" s="41" t="s">
        <v>58</v>
      </c>
      <c r="E5" s="40">
        <v>20</v>
      </c>
      <c r="F5" s="40">
        <v>4</v>
      </c>
      <c r="G5" s="40">
        <v>5</v>
      </c>
      <c r="H5" s="40">
        <v>2</v>
      </c>
      <c r="I5" s="40">
        <v>31</v>
      </c>
      <c r="J5" s="39">
        <v>1861.383583938223</v>
      </c>
      <c r="K5" s="39">
        <v>1817.9162629864679</v>
      </c>
      <c r="L5" s="39">
        <v>1740.758967187694</v>
      </c>
      <c r="M5" s="39">
        <v>1686.9540782494471</v>
      </c>
      <c r="N5" s="39">
        <v>1689.7080110787069</v>
      </c>
      <c r="O5" s="39">
        <v>1711.37385522153</v>
      </c>
      <c r="P5" s="39">
        <v>1604.3242992267919</v>
      </c>
      <c r="Q5" s="39">
        <v>1644.804324138021</v>
      </c>
      <c r="R5" s="39">
        <v>1833.203994436037</v>
      </c>
      <c r="S5" s="39">
        <v>1974.12043745098</v>
      </c>
      <c r="T5" s="39">
        <v>2082.2255694123928</v>
      </c>
      <c r="U5" s="39">
        <v>2168.2756504499739</v>
      </c>
      <c r="V5" s="39">
        <v>2262.9649426114629</v>
      </c>
      <c r="W5" s="39">
        <v>2330.904228952561</v>
      </c>
      <c r="X5" s="39">
        <v>2269.450837060248</v>
      </c>
      <c r="Y5" s="39">
        <v>2182.2980034764751</v>
      </c>
      <c r="Z5" s="39">
        <v>2185.8008645055552</v>
      </c>
      <c r="AA5" s="39">
        <v>2169.6723713834472</v>
      </c>
      <c r="AB5" s="39">
        <v>2381.6426402222542</v>
      </c>
      <c r="AC5" s="39">
        <v>2557.3669821614121</v>
      </c>
      <c r="AD5" s="39">
        <v>2473.5224062162142</v>
      </c>
      <c r="AE5" s="39">
        <v>2311.4236789984889</v>
      </c>
      <c r="AF5" s="39">
        <v>2130.247922438894</v>
      </c>
      <c r="AG5" s="39">
        <v>1968.6622405234079</v>
      </c>
      <c r="AH5" s="39">
        <v>49039.006152326678</v>
      </c>
      <c r="AI5" s="39">
        <v>98078.01230465337</v>
      </c>
    </row>
    <row r="6" spans="1:35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</row>
    <row r="7" spans="1:35" x14ac:dyDescent="0.3">
      <c r="A7" s="40">
        <v>2028</v>
      </c>
      <c r="B7" s="40" t="s">
        <v>59</v>
      </c>
      <c r="C7" s="41" t="s">
        <v>54</v>
      </c>
      <c r="D7" s="41" t="s">
        <v>55</v>
      </c>
      <c r="E7" s="40">
        <v>21</v>
      </c>
      <c r="F7" s="40">
        <v>4</v>
      </c>
      <c r="G7" s="40">
        <v>4</v>
      </c>
      <c r="H7" s="40">
        <v>0</v>
      </c>
      <c r="I7" s="40">
        <v>29</v>
      </c>
      <c r="J7" s="39">
        <v>1848.8606986062091</v>
      </c>
      <c r="K7" s="39">
        <v>1766.8423721673671</v>
      </c>
      <c r="L7" s="39">
        <v>1707.8141776719081</v>
      </c>
      <c r="M7" s="39">
        <v>1664.7957661861799</v>
      </c>
      <c r="N7" s="39">
        <v>1658.2369919609539</v>
      </c>
      <c r="O7" s="39">
        <v>1743.141364706473</v>
      </c>
      <c r="P7" s="39">
        <v>1709.5507560579961</v>
      </c>
      <c r="Q7" s="39">
        <v>1877.030204828126</v>
      </c>
      <c r="R7" s="39">
        <v>2113.453168971575</v>
      </c>
      <c r="S7" s="39">
        <v>2230.851282592088</v>
      </c>
      <c r="T7" s="39">
        <v>2341.375021104735</v>
      </c>
      <c r="U7" s="39">
        <v>2497.083833044951</v>
      </c>
      <c r="V7" s="39">
        <v>2519.3886160128</v>
      </c>
      <c r="W7" s="39">
        <v>2589.5809604494971</v>
      </c>
      <c r="X7" s="39">
        <v>2569.4691394970409</v>
      </c>
      <c r="Y7" s="39">
        <v>2546.6909552052348</v>
      </c>
      <c r="Z7" s="39">
        <v>2562.4408316057329</v>
      </c>
      <c r="AA7" s="39">
        <v>2551.3298240610761</v>
      </c>
      <c r="AB7" s="39">
        <v>2746.6736203775572</v>
      </c>
      <c r="AC7" s="39">
        <v>2821.7930118464292</v>
      </c>
      <c r="AD7" s="39">
        <v>2675.730138647642</v>
      </c>
      <c r="AE7" s="39">
        <v>2610.3226292523791</v>
      </c>
      <c r="AF7" s="39">
        <v>2361.0923028200909</v>
      </c>
      <c r="AG7" s="39">
        <v>2162.701565629312</v>
      </c>
      <c r="AH7" s="39">
        <v>53876.249233303352</v>
      </c>
      <c r="AI7" s="39">
        <v>1131401.2338993701</v>
      </c>
    </row>
    <row r="8" spans="1:35" x14ac:dyDescent="0.3">
      <c r="A8" s="40">
        <v>2028</v>
      </c>
      <c r="B8" s="40" t="s">
        <v>59</v>
      </c>
      <c r="C8" s="41" t="s">
        <v>54</v>
      </c>
      <c r="D8" s="41" t="s">
        <v>56</v>
      </c>
      <c r="E8" s="40">
        <v>21</v>
      </c>
      <c r="F8" s="40">
        <v>4</v>
      </c>
      <c r="G8" s="40">
        <v>4</v>
      </c>
      <c r="H8" s="40">
        <v>0</v>
      </c>
      <c r="I8" s="40">
        <v>29</v>
      </c>
      <c r="J8" s="39">
        <v>1966.2087260572339</v>
      </c>
      <c r="K8" s="39">
        <v>1866.192833843563</v>
      </c>
      <c r="L8" s="39">
        <v>1806.925618091401</v>
      </c>
      <c r="M8" s="39">
        <v>1752.563366056911</v>
      </c>
      <c r="N8" s="39">
        <v>1771.561881689913</v>
      </c>
      <c r="O8" s="39">
        <v>1752.7441790625901</v>
      </c>
      <c r="P8" s="39">
        <v>1714.720847723034</v>
      </c>
      <c r="Q8" s="39">
        <v>1891.4863496692799</v>
      </c>
      <c r="R8" s="39">
        <v>2201.554354334065</v>
      </c>
      <c r="S8" s="39">
        <v>2392.9202645256241</v>
      </c>
      <c r="T8" s="39">
        <v>2524.6277453709149</v>
      </c>
      <c r="U8" s="39">
        <v>2647.4819639563561</v>
      </c>
      <c r="V8" s="39">
        <v>2675.6920803513699</v>
      </c>
      <c r="W8" s="39">
        <v>2696.6180053874068</v>
      </c>
      <c r="X8" s="39">
        <v>2727.0241779241142</v>
      </c>
      <c r="Y8" s="39">
        <v>2738.3627971347419</v>
      </c>
      <c r="Z8" s="39">
        <v>2686.6305524555751</v>
      </c>
      <c r="AA8" s="39">
        <v>2698.4294229533839</v>
      </c>
      <c r="AB8" s="39">
        <v>2961.1244201304471</v>
      </c>
      <c r="AC8" s="39">
        <v>3010.3324376625919</v>
      </c>
      <c r="AD8" s="39">
        <v>2801.7761418948162</v>
      </c>
      <c r="AE8" s="39">
        <v>2497.0569146889138</v>
      </c>
      <c r="AF8" s="39">
        <v>2372.831804769512</v>
      </c>
      <c r="AG8" s="39">
        <v>2170.0911127661889</v>
      </c>
      <c r="AH8" s="39">
        <v>56324.957998499951</v>
      </c>
      <c r="AI8" s="39">
        <v>225299.8319939998</v>
      </c>
    </row>
    <row r="9" spans="1:35" x14ac:dyDescent="0.3">
      <c r="A9" s="40">
        <v>2028</v>
      </c>
      <c r="B9" s="40" t="s">
        <v>59</v>
      </c>
      <c r="C9" s="41" t="s">
        <v>54</v>
      </c>
      <c r="D9" s="41" t="s">
        <v>57</v>
      </c>
      <c r="E9" s="40">
        <v>21</v>
      </c>
      <c r="F9" s="40">
        <v>4</v>
      </c>
      <c r="G9" s="40">
        <v>4</v>
      </c>
      <c r="H9" s="40">
        <v>0</v>
      </c>
      <c r="I9" s="40">
        <v>29</v>
      </c>
      <c r="J9" s="39">
        <v>1978.171972014751</v>
      </c>
      <c r="K9" s="39">
        <v>1891.7367802821209</v>
      </c>
      <c r="L9" s="39">
        <v>1847.500056565618</v>
      </c>
      <c r="M9" s="39">
        <v>1798.910670676059</v>
      </c>
      <c r="N9" s="39">
        <v>1770.914242378665</v>
      </c>
      <c r="O9" s="39">
        <v>1783.206239255597</v>
      </c>
      <c r="P9" s="39">
        <v>1734.620140875232</v>
      </c>
      <c r="Q9" s="39">
        <v>1891.7394878772291</v>
      </c>
      <c r="R9" s="39">
        <v>2173.202875043703</v>
      </c>
      <c r="S9" s="39">
        <v>2308.9408421610242</v>
      </c>
      <c r="T9" s="39">
        <v>2401.6255888717369</v>
      </c>
      <c r="U9" s="39">
        <v>2552.4860982821551</v>
      </c>
      <c r="V9" s="39">
        <v>2685.4362576028352</v>
      </c>
      <c r="W9" s="39">
        <v>2674.7527817371051</v>
      </c>
      <c r="X9" s="39">
        <v>2609.9296754468269</v>
      </c>
      <c r="Y9" s="39">
        <v>2552.076088648148</v>
      </c>
      <c r="Z9" s="39">
        <v>2552.957141112181</v>
      </c>
      <c r="AA9" s="39">
        <v>2526.9923934967719</v>
      </c>
      <c r="AB9" s="39">
        <v>2751.4799588194069</v>
      </c>
      <c r="AC9" s="39">
        <v>2823.8024534956312</v>
      </c>
      <c r="AD9" s="39">
        <v>2670.6505501768902</v>
      </c>
      <c r="AE9" s="39">
        <v>2466.022827896124</v>
      </c>
      <c r="AF9" s="39">
        <v>2264.5708394969088</v>
      </c>
      <c r="AG9" s="39">
        <v>2054.4825644446578</v>
      </c>
      <c r="AH9" s="39">
        <v>54766.208526657378</v>
      </c>
      <c r="AI9" s="39">
        <v>219064.83410662951</v>
      </c>
    </row>
    <row r="10" spans="1:35" x14ac:dyDescent="0.3">
      <c r="A10" s="40">
        <v>2028</v>
      </c>
      <c r="B10" s="40" t="s">
        <v>59</v>
      </c>
      <c r="C10" s="41" t="s">
        <v>54</v>
      </c>
      <c r="D10" s="41" t="s">
        <v>58</v>
      </c>
      <c r="E10" s="40">
        <v>21</v>
      </c>
      <c r="F10" s="40">
        <v>4</v>
      </c>
      <c r="G10" s="40">
        <v>4</v>
      </c>
      <c r="H10" s="40">
        <v>0</v>
      </c>
      <c r="I10" s="40">
        <v>29</v>
      </c>
      <c r="J10" s="39">
        <v>1978.171972014751</v>
      </c>
      <c r="K10" s="39">
        <v>1891.7367802821209</v>
      </c>
      <c r="L10" s="39">
        <v>1847.500056565618</v>
      </c>
      <c r="M10" s="39">
        <v>1798.910670676059</v>
      </c>
      <c r="N10" s="39">
        <v>1770.914242378665</v>
      </c>
      <c r="O10" s="39">
        <v>1783.206239255597</v>
      </c>
      <c r="P10" s="39">
        <v>1734.620140875232</v>
      </c>
      <c r="Q10" s="39">
        <v>1891.7394878772291</v>
      </c>
      <c r="R10" s="39">
        <v>2173.202875043703</v>
      </c>
      <c r="S10" s="39">
        <v>2308.9408421610242</v>
      </c>
      <c r="T10" s="39">
        <v>2401.6255888717369</v>
      </c>
      <c r="U10" s="39">
        <v>2552.4860982821551</v>
      </c>
      <c r="V10" s="39">
        <v>2685.4362576028352</v>
      </c>
      <c r="W10" s="39">
        <v>2674.7527817371051</v>
      </c>
      <c r="X10" s="39">
        <v>2609.9296754468269</v>
      </c>
      <c r="Y10" s="39">
        <v>2552.076088648148</v>
      </c>
      <c r="Z10" s="39">
        <v>2552.957141112181</v>
      </c>
      <c r="AA10" s="39">
        <v>2526.9923934967719</v>
      </c>
      <c r="AB10" s="39">
        <v>2751.4799588194069</v>
      </c>
      <c r="AC10" s="39">
        <v>2823.8024534956312</v>
      </c>
      <c r="AD10" s="39">
        <v>2670.6505501768902</v>
      </c>
      <c r="AE10" s="39">
        <v>2466.022827896124</v>
      </c>
      <c r="AF10" s="39">
        <v>2264.5708394969088</v>
      </c>
      <c r="AG10" s="39">
        <v>2054.4825644446578</v>
      </c>
      <c r="AH10" s="39">
        <v>54766.208526657378</v>
      </c>
      <c r="AI10" s="39">
        <v>0</v>
      </c>
    </row>
    <row r="11" spans="1:35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r="12" spans="1:35" x14ac:dyDescent="0.3">
      <c r="A12" s="40">
        <v>2028</v>
      </c>
      <c r="B12" s="40" t="s">
        <v>60</v>
      </c>
      <c r="C12" s="41" t="s">
        <v>54</v>
      </c>
      <c r="D12" s="41" t="s">
        <v>55</v>
      </c>
      <c r="E12" s="40">
        <v>22</v>
      </c>
      <c r="F12" s="40">
        <v>4</v>
      </c>
      <c r="G12" s="40">
        <v>4</v>
      </c>
      <c r="H12" s="40">
        <v>1</v>
      </c>
      <c r="I12" s="40">
        <v>31</v>
      </c>
      <c r="J12" s="39">
        <v>1970.1327078393081</v>
      </c>
      <c r="K12" s="39">
        <v>1882.9728899764229</v>
      </c>
      <c r="L12" s="39">
        <v>1820.244388867156</v>
      </c>
      <c r="M12" s="39">
        <v>1774.52927771279</v>
      </c>
      <c r="N12" s="39">
        <v>1767.5593529204241</v>
      </c>
      <c r="O12" s="39">
        <v>1857.786134977237</v>
      </c>
      <c r="P12" s="39">
        <v>1822.089828324506</v>
      </c>
      <c r="Q12" s="39">
        <v>2002.199440412403</v>
      </c>
      <c r="R12" s="39">
        <v>2253.4430756835031</v>
      </c>
      <c r="S12" s="39">
        <v>2378.2005371545079</v>
      </c>
      <c r="T12" s="39">
        <v>2495.6526888449071</v>
      </c>
      <c r="U12" s="39">
        <v>2661.1224353957009</v>
      </c>
      <c r="V12" s="39">
        <v>2684.8254406307378</v>
      </c>
      <c r="W12" s="39">
        <v>2756.145673048527</v>
      </c>
      <c r="X12" s="39">
        <v>2734.7731002685391</v>
      </c>
      <c r="Y12" s="39">
        <v>2710.5670175511418</v>
      </c>
      <c r="Z12" s="39">
        <v>2727.304208103963</v>
      </c>
      <c r="AA12" s="39">
        <v>2715.4966836650492</v>
      </c>
      <c r="AB12" s="39">
        <v>2923.08601701099</v>
      </c>
      <c r="AC12" s="39">
        <v>3000.7830640817069</v>
      </c>
      <c r="AD12" s="39">
        <v>2845.5639322450102</v>
      </c>
      <c r="AE12" s="39">
        <v>2776.0562154543359</v>
      </c>
      <c r="AF12" s="39">
        <v>2511.202361432534</v>
      </c>
      <c r="AG12" s="39">
        <v>2300.3750833104241</v>
      </c>
      <c r="AH12" s="39">
        <v>57372.111554911833</v>
      </c>
      <c r="AI12" s="39">
        <v>1262186.4542080599</v>
      </c>
    </row>
    <row r="13" spans="1:35" x14ac:dyDescent="0.3">
      <c r="A13" s="40">
        <v>2028</v>
      </c>
      <c r="B13" s="40" t="s">
        <v>60</v>
      </c>
      <c r="C13" s="41" t="s">
        <v>54</v>
      </c>
      <c r="D13" s="41" t="s">
        <v>56</v>
      </c>
      <c r="E13" s="40">
        <v>22</v>
      </c>
      <c r="F13" s="40">
        <v>4</v>
      </c>
      <c r="G13" s="40">
        <v>4</v>
      </c>
      <c r="H13" s="40">
        <v>1</v>
      </c>
      <c r="I13" s="40">
        <v>31</v>
      </c>
      <c r="J13" s="39">
        <v>2094.8369433838711</v>
      </c>
      <c r="K13" s="39">
        <v>1988.5513444544929</v>
      </c>
      <c r="L13" s="39">
        <v>1925.568838537956</v>
      </c>
      <c r="M13" s="39">
        <v>1867.7987743136471</v>
      </c>
      <c r="N13" s="39">
        <v>1887.9882518869581</v>
      </c>
      <c r="O13" s="39">
        <v>1867.9909219631591</v>
      </c>
      <c r="P13" s="39">
        <v>1827.584018067515</v>
      </c>
      <c r="Q13" s="39">
        <v>2017.56179912005</v>
      </c>
      <c r="R13" s="39">
        <v>2347.0670692847962</v>
      </c>
      <c r="S13" s="39">
        <v>2550.4291543414661</v>
      </c>
      <c r="T13" s="39">
        <v>2690.3929958399249</v>
      </c>
      <c r="U13" s="39">
        <v>2820.948589699532</v>
      </c>
      <c r="V13" s="39">
        <v>2850.9271166170929</v>
      </c>
      <c r="W13" s="39">
        <v>2869.8925604387041</v>
      </c>
      <c r="X13" s="39">
        <v>2902.2048078994339</v>
      </c>
      <c r="Y13" s="39">
        <v>2914.2542123206749</v>
      </c>
      <c r="Z13" s="39">
        <v>2859.2790229983639</v>
      </c>
      <c r="AA13" s="39">
        <v>2871.8175305274549</v>
      </c>
      <c r="AB13" s="39">
        <v>3150.9801165199519</v>
      </c>
      <c r="AC13" s="39">
        <v>3201.1414806407588</v>
      </c>
      <c r="AD13" s="39">
        <v>2979.511394505902</v>
      </c>
      <c r="AE13" s="39">
        <v>2655.6902011730949</v>
      </c>
      <c r="AF13" s="39">
        <v>2523.677778770822</v>
      </c>
      <c r="AG13" s="39">
        <v>2308.2278597630088</v>
      </c>
      <c r="AH13" s="39">
        <v>59974.32278306863</v>
      </c>
      <c r="AI13" s="39">
        <v>239897.29113227449</v>
      </c>
    </row>
    <row r="14" spans="1:35" x14ac:dyDescent="0.3">
      <c r="A14" s="40">
        <v>2028</v>
      </c>
      <c r="B14" s="40" t="s">
        <v>60</v>
      </c>
      <c r="C14" s="41" t="s">
        <v>54</v>
      </c>
      <c r="D14" s="41" t="s">
        <v>57</v>
      </c>
      <c r="E14" s="40">
        <v>22</v>
      </c>
      <c r="F14" s="40">
        <v>4</v>
      </c>
      <c r="G14" s="40">
        <v>4</v>
      </c>
      <c r="H14" s="40">
        <v>1</v>
      </c>
      <c r="I14" s="40">
        <v>31</v>
      </c>
      <c r="J14" s="39">
        <v>2107.5501305943371</v>
      </c>
      <c r="K14" s="39">
        <v>2015.696566940155</v>
      </c>
      <c r="L14" s="39">
        <v>1968.686771088539</v>
      </c>
      <c r="M14" s="39">
        <v>1917.051457274116</v>
      </c>
      <c r="N14" s="39">
        <v>1887.3000139423409</v>
      </c>
      <c r="O14" s="39">
        <v>1900.3625605155571</v>
      </c>
      <c r="P14" s="39">
        <v>1848.730740294762</v>
      </c>
      <c r="Q14" s="39">
        <v>2017.830805829368</v>
      </c>
      <c r="R14" s="39">
        <v>2316.9383178412518</v>
      </c>
      <c r="S14" s="39">
        <v>2461.1853051270241</v>
      </c>
      <c r="T14" s="39">
        <v>2559.6801902670809</v>
      </c>
      <c r="U14" s="39">
        <v>2719.9977082393448</v>
      </c>
      <c r="V14" s="39">
        <v>2861.282128128998</v>
      </c>
      <c r="W14" s="39">
        <v>2846.6566692222132</v>
      </c>
      <c r="X14" s="39">
        <v>2777.769990075205</v>
      </c>
      <c r="Y14" s="39">
        <v>2716.2897294184909</v>
      </c>
      <c r="Z14" s="39">
        <v>2717.2260125106609</v>
      </c>
      <c r="AA14" s="39">
        <v>2689.6336100406802</v>
      </c>
      <c r="AB14" s="39">
        <v>2928.1936508943932</v>
      </c>
      <c r="AC14" s="39">
        <v>3002.9184718101401</v>
      </c>
      <c r="AD14" s="39">
        <v>2840.165919079509</v>
      </c>
      <c r="AE14" s="39">
        <v>2622.7106773295131</v>
      </c>
      <c r="AF14" s="39">
        <v>2408.6302470236792</v>
      </c>
      <c r="AG14" s="39">
        <v>2185.372146258409</v>
      </c>
      <c r="AH14" s="39">
        <v>58317.859819745769</v>
      </c>
      <c r="AI14" s="39">
        <v>233271.4392789831</v>
      </c>
    </row>
    <row r="15" spans="1:35" x14ac:dyDescent="0.3">
      <c r="A15" s="40">
        <v>2028</v>
      </c>
      <c r="B15" s="40" t="s">
        <v>60</v>
      </c>
      <c r="C15" s="41" t="s">
        <v>54</v>
      </c>
      <c r="D15" s="41" t="s">
        <v>58</v>
      </c>
      <c r="E15" s="40">
        <v>22</v>
      </c>
      <c r="F15" s="40">
        <v>4</v>
      </c>
      <c r="G15" s="40">
        <v>4</v>
      </c>
      <c r="H15" s="40">
        <v>1</v>
      </c>
      <c r="I15" s="40">
        <v>31</v>
      </c>
      <c r="J15" s="39">
        <v>2086.4488250842469</v>
      </c>
      <c r="K15" s="39">
        <v>1975.408445227845</v>
      </c>
      <c r="L15" s="39">
        <v>1919.0078697055151</v>
      </c>
      <c r="M15" s="39">
        <v>1861.782806087095</v>
      </c>
      <c r="N15" s="39">
        <v>1873.1020494401889</v>
      </c>
      <c r="O15" s="39">
        <v>1923.2001820585131</v>
      </c>
      <c r="P15" s="39">
        <v>1890.4582225816</v>
      </c>
      <c r="Q15" s="39">
        <v>2055.998316209786</v>
      </c>
      <c r="R15" s="39">
        <v>2295.5330696855708</v>
      </c>
      <c r="S15" s="39">
        <v>2470.0310841918499</v>
      </c>
      <c r="T15" s="39">
        <v>2747.534213211286</v>
      </c>
      <c r="U15" s="39">
        <v>2880.472437924846</v>
      </c>
      <c r="V15" s="39">
        <v>2943.7763544551131</v>
      </c>
      <c r="W15" s="39">
        <v>3012.6477832455339</v>
      </c>
      <c r="X15" s="39">
        <v>3003.704183559139</v>
      </c>
      <c r="Y15" s="39">
        <v>3018.4611230416908</v>
      </c>
      <c r="Z15" s="39">
        <v>2963.2763181017299</v>
      </c>
      <c r="AA15" s="39">
        <v>2987.9690378608871</v>
      </c>
      <c r="AB15" s="39">
        <v>2936.473467791564</v>
      </c>
      <c r="AC15" s="39">
        <v>3266.995720519099</v>
      </c>
      <c r="AD15" s="39">
        <v>3081.7374376401258</v>
      </c>
      <c r="AE15" s="39">
        <v>2822.9320217150612</v>
      </c>
      <c r="AF15" s="39">
        <v>2544.199147738746</v>
      </c>
      <c r="AG15" s="39">
        <v>2394.7152636053538</v>
      </c>
      <c r="AH15" s="39">
        <v>60955.865380682393</v>
      </c>
      <c r="AI15" s="39">
        <v>60955.865380682393</v>
      </c>
    </row>
    <row r="16" spans="1:35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r="17" spans="1:35" x14ac:dyDescent="0.3">
      <c r="A17" s="40">
        <v>2028</v>
      </c>
      <c r="B17" s="40" t="s">
        <v>61</v>
      </c>
      <c r="C17" s="41" t="s">
        <v>54</v>
      </c>
      <c r="D17" s="41" t="s">
        <v>55</v>
      </c>
      <c r="E17" s="40">
        <v>18</v>
      </c>
      <c r="F17" s="40">
        <v>5</v>
      </c>
      <c r="G17" s="40">
        <v>5</v>
      </c>
      <c r="H17" s="40">
        <v>2</v>
      </c>
      <c r="I17" s="40">
        <v>30</v>
      </c>
      <c r="J17" s="39">
        <v>1871.6150815501851</v>
      </c>
      <c r="K17" s="39">
        <v>1831.687282842614</v>
      </c>
      <c r="L17" s="39">
        <v>1805.822139450888</v>
      </c>
      <c r="M17" s="39">
        <v>1757.6594586525009</v>
      </c>
      <c r="N17" s="39">
        <v>1751.0969772983631</v>
      </c>
      <c r="O17" s="39">
        <v>1851.947457521022</v>
      </c>
      <c r="P17" s="39">
        <v>1834.8810419936131</v>
      </c>
      <c r="Q17" s="39">
        <v>2050.761086023454</v>
      </c>
      <c r="R17" s="39">
        <v>2331.639662056868</v>
      </c>
      <c r="S17" s="39">
        <v>2441.6647673261791</v>
      </c>
      <c r="T17" s="39">
        <v>2478.9551347126071</v>
      </c>
      <c r="U17" s="39">
        <v>2761.8293830595039</v>
      </c>
      <c r="V17" s="39">
        <v>2751.0910257343398</v>
      </c>
      <c r="W17" s="39">
        <v>2790.138725049168</v>
      </c>
      <c r="X17" s="39">
        <v>2807.9371149079961</v>
      </c>
      <c r="Y17" s="39">
        <v>2587.4426622447968</v>
      </c>
      <c r="Z17" s="39">
        <v>2670.457162890395</v>
      </c>
      <c r="AA17" s="39">
        <v>2752.9522419749478</v>
      </c>
      <c r="AB17" s="39">
        <v>3112.3229338257629</v>
      </c>
      <c r="AC17" s="39">
        <v>3122.5771670929812</v>
      </c>
      <c r="AD17" s="39">
        <v>2918.432874962491</v>
      </c>
      <c r="AE17" s="39">
        <v>2649.2474350973698</v>
      </c>
      <c r="AF17" s="39">
        <v>2352.8039819176188</v>
      </c>
      <c r="AG17" s="39">
        <v>2116.8697233523872</v>
      </c>
      <c r="AH17" s="39">
        <v>57401.832521538046</v>
      </c>
      <c r="AI17" s="39">
        <v>1033232.985387685</v>
      </c>
    </row>
    <row r="18" spans="1:35" x14ac:dyDescent="0.3">
      <c r="A18" s="40">
        <v>2028</v>
      </c>
      <c r="B18" s="40" t="s">
        <v>61</v>
      </c>
      <c r="C18" s="41" t="s">
        <v>54</v>
      </c>
      <c r="D18" s="41" t="s">
        <v>56</v>
      </c>
      <c r="E18" s="40">
        <v>18</v>
      </c>
      <c r="F18" s="40">
        <v>5</v>
      </c>
      <c r="G18" s="40">
        <v>5</v>
      </c>
      <c r="H18" s="40">
        <v>2</v>
      </c>
      <c r="I18" s="40">
        <v>30</v>
      </c>
      <c r="J18" s="39">
        <v>1765.6790541752521</v>
      </c>
      <c r="K18" s="39">
        <v>1873.828090780002</v>
      </c>
      <c r="L18" s="39">
        <v>1789.049607175122</v>
      </c>
      <c r="M18" s="39">
        <v>1754.1424279246951</v>
      </c>
      <c r="N18" s="39">
        <v>1745.192657738022</v>
      </c>
      <c r="O18" s="39">
        <v>1816.2064699752341</v>
      </c>
      <c r="P18" s="39">
        <v>1807.106340915627</v>
      </c>
      <c r="Q18" s="39">
        <v>1999.967124948726</v>
      </c>
      <c r="R18" s="39">
        <v>2308.773494730749</v>
      </c>
      <c r="S18" s="39">
        <v>2475.9623096918008</v>
      </c>
      <c r="T18" s="39">
        <v>2663.7947144572431</v>
      </c>
      <c r="U18" s="39">
        <v>2871.3651385423568</v>
      </c>
      <c r="V18" s="39">
        <v>2942.901789587725</v>
      </c>
      <c r="W18" s="39">
        <v>2970.8530040800379</v>
      </c>
      <c r="X18" s="39">
        <v>2956.425386772617</v>
      </c>
      <c r="Y18" s="39">
        <v>2865.058450735547</v>
      </c>
      <c r="Z18" s="39">
        <v>2987.1771935346919</v>
      </c>
      <c r="AA18" s="39">
        <v>3003.4125345644302</v>
      </c>
      <c r="AB18" s="39">
        <v>3276.1293575952282</v>
      </c>
      <c r="AC18" s="39">
        <v>2910.755687600375</v>
      </c>
      <c r="AD18" s="39">
        <v>2392.6155942233781</v>
      </c>
      <c r="AE18" s="39">
        <v>2856.5513139077389</v>
      </c>
      <c r="AF18" s="39">
        <v>2597.708514152197</v>
      </c>
      <c r="AG18" s="39">
        <v>2367.0511685775191</v>
      </c>
      <c r="AH18" s="39">
        <v>58997.707426386318</v>
      </c>
      <c r="AI18" s="39">
        <v>294988.53713193157</v>
      </c>
    </row>
    <row r="19" spans="1:35" x14ac:dyDescent="0.3">
      <c r="A19" s="40">
        <v>2028</v>
      </c>
      <c r="B19" s="40" t="s">
        <v>61</v>
      </c>
      <c r="C19" s="41" t="s">
        <v>54</v>
      </c>
      <c r="D19" s="41" t="s">
        <v>57</v>
      </c>
      <c r="E19" s="40">
        <v>18</v>
      </c>
      <c r="F19" s="40">
        <v>5</v>
      </c>
      <c r="G19" s="40">
        <v>5</v>
      </c>
      <c r="H19" s="40">
        <v>2</v>
      </c>
      <c r="I19" s="40">
        <v>30</v>
      </c>
      <c r="J19" s="39">
        <v>2135.760081924911</v>
      </c>
      <c r="K19" s="39">
        <v>2015.756615088176</v>
      </c>
      <c r="L19" s="39">
        <v>1938.072336488081</v>
      </c>
      <c r="M19" s="39">
        <v>1864.2085401593511</v>
      </c>
      <c r="N19" s="39">
        <v>1847.255577236064</v>
      </c>
      <c r="O19" s="39">
        <v>1872.8985995655021</v>
      </c>
      <c r="P19" s="39">
        <v>1862.595599522424</v>
      </c>
      <c r="Q19" s="39">
        <v>2067.7413869236379</v>
      </c>
      <c r="R19" s="39">
        <v>2272.0449227695549</v>
      </c>
      <c r="S19" s="39">
        <v>2400.5778383981719</v>
      </c>
      <c r="T19" s="39">
        <v>2494.4427820742112</v>
      </c>
      <c r="U19" s="39">
        <v>2588.9125784890962</v>
      </c>
      <c r="V19" s="39">
        <v>2693.336815741623</v>
      </c>
      <c r="W19" s="39">
        <v>2771.2413485190782</v>
      </c>
      <c r="X19" s="39">
        <v>2755.269135516975</v>
      </c>
      <c r="Y19" s="39">
        <v>2730.3744903050929</v>
      </c>
      <c r="Z19" s="39">
        <v>2654.521856157101</v>
      </c>
      <c r="AA19" s="39">
        <v>2647.3934786811951</v>
      </c>
      <c r="AB19" s="39">
        <v>2942.571866980034</v>
      </c>
      <c r="AC19" s="39">
        <v>2998.5071761928089</v>
      </c>
      <c r="AD19" s="39">
        <v>2822.672726038063</v>
      </c>
      <c r="AE19" s="39">
        <v>2607.4545029159972</v>
      </c>
      <c r="AF19" s="39">
        <v>2328.1150549818881</v>
      </c>
      <c r="AG19" s="39">
        <v>2134.4972508556079</v>
      </c>
      <c r="AH19" s="39">
        <v>57446.22256152465</v>
      </c>
      <c r="AI19" s="39">
        <v>287231.11280762323</v>
      </c>
    </row>
    <row r="20" spans="1:35" x14ac:dyDescent="0.3">
      <c r="A20" s="40">
        <v>2028</v>
      </c>
      <c r="B20" s="40" t="s">
        <v>61</v>
      </c>
      <c r="C20" s="41" t="s">
        <v>54</v>
      </c>
      <c r="D20" s="41" t="s">
        <v>58</v>
      </c>
      <c r="E20" s="40">
        <v>18</v>
      </c>
      <c r="F20" s="40">
        <v>5</v>
      </c>
      <c r="G20" s="40">
        <v>5</v>
      </c>
      <c r="H20" s="40">
        <v>2</v>
      </c>
      <c r="I20" s="40">
        <v>30</v>
      </c>
      <c r="J20" s="39">
        <v>1741.8505900623561</v>
      </c>
      <c r="K20" s="39">
        <v>1668.065390417205</v>
      </c>
      <c r="L20" s="39">
        <v>1626.3339686838499</v>
      </c>
      <c r="M20" s="39">
        <v>1587.8489317070209</v>
      </c>
      <c r="N20" s="39">
        <v>1587.144978801922</v>
      </c>
      <c r="O20" s="39">
        <v>1605.4409198402759</v>
      </c>
      <c r="P20" s="39">
        <v>1593.432713488244</v>
      </c>
      <c r="Q20" s="39">
        <v>1631.6391449675909</v>
      </c>
      <c r="R20" s="39">
        <v>837.79897183090566</v>
      </c>
      <c r="S20" s="39">
        <v>1865.6317237237099</v>
      </c>
      <c r="T20" s="39">
        <v>2309.429606176278</v>
      </c>
      <c r="U20" s="39">
        <v>2436.7972405396581</v>
      </c>
      <c r="V20" s="39">
        <v>2571.1565624944592</v>
      </c>
      <c r="W20" s="39">
        <v>2633.8270076460308</v>
      </c>
      <c r="X20" s="39">
        <v>2606.7009000699281</v>
      </c>
      <c r="Y20" s="39">
        <v>2460.1761783959369</v>
      </c>
      <c r="Z20" s="39">
        <v>2381.5521568400068</v>
      </c>
      <c r="AA20" s="39">
        <v>2331.5988385548631</v>
      </c>
      <c r="AB20" s="39">
        <v>2622.8713134045361</v>
      </c>
      <c r="AC20" s="39">
        <v>2681.7762103577529</v>
      </c>
      <c r="AD20" s="39">
        <v>2505.979349921241</v>
      </c>
      <c r="AE20" s="39">
        <v>2340.6324311536268</v>
      </c>
      <c r="AF20" s="39">
        <v>2182.325041437005</v>
      </c>
      <c r="AG20" s="39">
        <v>1956.397165865518</v>
      </c>
      <c r="AH20" s="39">
        <v>49766.407336379933</v>
      </c>
      <c r="AI20" s="39">
        <v>99532.814672759851</v>
      </c>
    </row>
    <row r="21" spans="1:35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r="22" spans="1:35" x14ac:dyDescent="0.3">
      <c r="A22" s="40">
        <v>2028</v>
      </c>
      <c r="B22" s="40" t="s">
        <v>62</v>
      </c>
      <c r="C22" s="41" t="s">
        <v>54</v>
      </c>
      <c r="D22" s="41" t="s">
        <v>55</v>
      </c>
      <c r="E22" s="40">
        <v>21</v>
      </c>
      <c r="F22" s="40">
        <v>4</v>
      </c>
      <c r="G22" s="40">
        <v>4</v>
      </c>
      <c r="H22" s="40">
        <v>2</v>
      </c>
      <c r="I22" s="40">
        <v>31</v>
      </c>
      <c r="J22" s="39">
        <v>1943.5777276995379</v>
      </c>
      <c r="K22" s="39">
        <v>1856.524309566907</v>
      </c>
      <c r="L22" s="39">
        <v>1802.226650208876</v>
      </c>
      <c r="M22" s="39">
        <v>1761.4629353048031</v>
      </c>
      <c r="N22" s="39">
        <v>1769.39901602954</v>
      </c>
      <c r="O22" s="39">
        <v>1850.4926033045931</v>
      </c>
      <c r="P22" s="39">
        <v>1873.921395143889</v>
      </c>
      <c r="Q22" s="39">
        <v>1988.937239894562</v>
      </c>
      <c r="R22" s="39">
        <v>2079.2891563310282</v>
      </c>
      <c r="S22" s="39">
        <v>2195.1691444460198</v>
      </c>
      <c r="T22" s="39">
        <v>2310.1283503489858</v>
      </c>
      <c r="U22" s="39">
        <v>2319.8477181425801</v>
      </c>
      <c r="V22" s="39">
        <v>2303.554017157222</v>
      </c>
      <c r="W22" s="39">
        <v>2489.473998748651</v>
      </c>
      <c r="X22" s="39">
        <v>2601.000020904673</v>
      </c>
      <c r="Y22" s="39">
        <v>2613.2473308612371</v>
      </c>
      <c r="Z22" s="39">
        <v>2654.5290667003451</v>
      </c>
      <c r="AA22" s="39">
        <v>2796.3418303493581</v>
      </c>
      <c r="AB22" s="39">
        <v>3102.7881224141788</v>
      </c>
      <c r="AC22" s="39">
        <v>3031.241356900799</v>
      </c>
      <c r="AD22" s="39">
        <v>2869.50032788099</v>
      </c>
      <c r="AE22" s="39">
        <v>2584.9022162774381</v>
      </c>
      <c r="AF22" s="39">
        <v>2313.0830336150311</v>
      </c>
      <c r="AG22" s="39">
        <v>2103.3842739558509</v>
      </c>
      <c r="AH22" s="39">
        <v>55214.021842187103</v>
      </c>
      <c r="AI22" s="39">
        <v>1159494.458685929</v>
      </c>
    </row>
    <row r="23" spans="1:35" x14ac:dyDescent="0.3">
      <c r="A23" s="40">
        <v>2028</v>
      </c>
      <c r="B23" s="40" t="s">
        <v>62</v>
      </c>
      <c r="C23" s="41" t="s">
        <v>54</v>
      </c>
      <c r="D23" s="41" t="s">
        <v>56</v>
      </c>
      <c r="E23" s="40">
        <v>21</v>
      </c>
      <c r="F23" s="40">
        <v>4</v>
      </c>
      <c r="G23" s="40">
        <v>4</v>
      </c>
      <c r="H23" s="40">
        <v>2</v>
      </c>
      <c r="I23" s="40">
        <v>31</v>
      </c>
      <c r="J23" s="39">
        <v>1905.6146929807319</v>
      </c>
      <c r="K23" s="39">
        <v>1805.220293192443</v>
      </c>
      <c r="L23" s="39">
        <v>1767.2273427646389</v>
      </c>
      <c r="M23" s="39">
        <v>1714.151435781888</v>
      </c>
      <c r="N23" s="39">
        <v>1698.013270582275</v>
      </c>
      <c r="O23" s="39">
        <v>1730.8416817930149</v>
      </c>
      <c r="P23" s="39">
        <v>1785.527597841854</v>
      </c>
      <c r="Q23" s="39">
        <v>2014.1630463574929</v>
      </c>
      <c r="R23" s="39">
        <v>2320.2061886296242</v>
      </c>
      <c r="S23" s="39">
        <v>2459.161937316685</v>
      </c>
      <c r="T23" s="39">
        <v>2605.3192130426009</v>
      </c>
      <c r="U23" s="39">
        <v>2773.7745704118652</v>
      </c>
      <c r="V23" s="39">
        <v>2611.1799723963532</v>
      </c>
      <c r="W23" s="39">
        <v>2859.6977332826432</v>
      </c>
      <c r="X23" s="39">
        <v>2875.9474024885221</v>
      </c>
      <c r="Y23" s="39">
        <v>2850.7012637038902</v>
      </c>
      <c r="Z23" s="39">
        <v>2809.4502206051839</v>
      </c>
      <c r="AA23" s="39">
        <v>2817.424116858178</v>
      </c>
      <c r="AB23" s="39">
        <v>3078.6671251004418</v>
      </c>
      <c r="AC23" s="39">
        <v>3013.9534442358758</v>
      </c>
      <c r="AD23" s="39">
        <v>2808.7235216780091</v>
      </c>
      <c r="AE23" s="39">
        <v>2541.1193458587481</v>
      </c>
      <c r="AF23" s="39">
        <v>2297.1349820985761</v>
      </c>
      <c r="AG23" s="39">
        <v>2131.393795418428</v>
      </c>
      <c r="AH23" s="39">
        <v>57274.614194419963</v>
      </c>
      <c r="AI23" s="39">
        <v>229098.45677767991</v>
      </c>
    </row>
    <row r="24" spans="1:35" x14ac:dyDescent="0.3">
      <c r="A24" s="40">
        <v>2028</v>
      </c>
      <c r="B24" s="40" t="s">
        <v>62</v>
      </c>
      <c r="C24" s="41" t="s">
        <v>54</v>
      </c>
      <c r="D24" s="41" t="s">
        <v>57</v>
      </c>
      <c r="E24" s="40">
        <v>21</v>
      </c>
      <c r="F24" s="40">
        <v>4</v>
      </c>
      <c r="G24" s="40">
        <v>4</v>
      </c>
      <c r="H24" s="40">
        <v>2</v>
      </c>
      <c r="I24" s="40">
        <v>31</v>
      </c>
      <c r="J24" s="39">
        <v>1974.853241652276</v>
      </c>
      <c r="K24" s="39">
        <v>1879.581907029941</v>
      </c>
      <c r="L24" s="39">
        <v>1809.439767966154</v>
      </c>
      <c r="M24" s="39">
        <v>1768.8087959266841</v>
      </c>
      <c r="N24" s="39">
        <v>1776.3693114735199</v>
      </c>
      <c r="O24" s="39">
        <v>1779.2724950513059</v>
      </c>
      <c r="P24" s="39">
        <v>1758.39948900024</v>
      </c>
      <c r="Q24" s="39">
        <v>1936.253701393792</v>
      </c>
      <c r="R24" s="39">
        <v>2193.7327695220929</v>
      </c>
      <c r="S24" s="39">
        <v>2308.265741324451</v>
      </c>
      <c r="T24" s="39">
        <v>2419.725553929713</v>
      </c>
      <c r="U24" s="39">
        <v>2552.286139915916</v>
      </c>
      <c r="V24" s="39">
        <v>2632.3106614862909</v>
      </c>
      <c r="W24" s="39">
        <v>2704.0850538058412</v>
      </c>
      <c r="X24" s="39">
        <v>2697.7347646684821</v>
      </c>
      <c r="Y24" s="39">
        <v>2674.9682302183201</v>
      </c>
      <c r="Z24" s="39">
        <v>2629.8872964653569</v>
      </c>
      <c r="AA24" s="39">
        <v>2619.8349383394611</v>
      </c>
      <c r="AB24" s="39">
        <v>2960.7516384738492</v>
      </c>
      <c r="AC24" s="39">
        <v>2960.5457448442348</v>
      </c>
      <c r="AD24" s="39">
        <v>2770.96513760485</v>
      </c>
      <c r="AE24" s="39">
        <v>2551.5572086892348</v>
      </c>
      <c r="AF24" s="39">
        <v>2301.8698229500292</v>
      </c>
      <c r="AG24" s="39">
        <v>2121.7908528299831</v>
      </c>
      <c r="AH24" s="39">
        <v>55783.29026456202</v>
      </c>
      <c r="AI24" s="39">
        <v>223133.16105824811</v>
      </c>
    </row>
    <row r="25" spans="1:35" x14ac:dyDescent="0.3">
      <c r="A25" s="40">
        <v>2028</v>
      </c>
      <c r="B25" s="40" t="s">
        <v>62</v>
      </c>
      <c r="C25" s="41" t="s">
        <v>54</v>
      </c>
      <c r="D25" s="41" t="s">
        <v>58</v>
      </c>
      <c r="E25" s="40">
        <v>21</v>
      </c>
      <c r="F25" s="40">
        <v>4</v>
      </c>
      <c r="G25" s="40">
        <v>4</v>
      </c>
      <c r="H25" s="40">
        <v>2</v>
      </c>
      <c r="I25" s="40">
        <v>31</v>
      </c>
      <c r="J25" s="39">
        <v>1939.199155746154</v>
      </c>
      <c r="K25" s="39">
        <v>1848.853714571376</v>
      </c>
      <c r="L25" s="39">
        <v>1767.306211451998</v>
      </c>
      <c r="M25" s="39">
        <v>1701.6548282503379</v>
      </c>
      <c r="N25" s="39">
        <v>1670.093755257162</v>
      </c>
      <c r="O25" s="39">
        <v>1729.1500844296579</v>
      </c>
      <c r="P25" s="39">
        <v>1762.057364327756</v>
      </c>
      <c r="Q25" s="39">
        <v>1992.0634962374979</v>
      </c>
      <c r="R25" s="39">
        <v>2215.03071462143</v>
      </c>
      <c r="S25" s="39">
        <v>2352.6973682116559</v>
      </c>
      <c r="T25" s="39">
        <v>2503.7037084052008</v>
      </c>
      <c r="U25" s="39">
        <v>2694.5115396159922</v>
      </c>
      <c r="V25" s="39">
        <v>2736.8150717494559</v>
      </c>
      <c r="W25" s="39">
        <v>2799.9207074842798</v>
      </c>
      <c r="X25" s="39">
        <v>2857.9435848913809</v>
      </c>
      <c r="Y25" s="39">
        <v>2857.8755946436581</v>
      </c>
      <c r="Z25" s="39">
        <v>2835.3436265481419</v>
      </c>
      <c r="AA25" s="39">
        <v>2793.910369585536</v>
      </c>
      <c r="AB25" s="39">
        <v>3099.3905526065182</v>
      </c>
      <c r="AC25" s="39">
        <v>3079.2839134682808</v>
      </c>
      <c r="AD25" s="39">
        <v>2880.0724876388849</v>
      </c>
      <c r="AE25" s="39">
        <v>2646.3220159660309</v>
      </c>
      <c r="AF25" s="39">
        <v>2393.8742261692569</v>
      </c>
      <c r="AG25" s="39">
        <v>2212.4626471938332</v>
      </c>
      <c r="AH25" s="39">
        <v>57369.536739071482</v>
      </c>
      <c r="AI25" s="39">
        <v>114739.07347814299</v>
      </c>
    </row>
    <row r="26" spans="1:35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 spans="1:35" x14ac:dyDescent="0.3">
      <c r="A27" s="40">
        <v>2028</v>
      </c>
      <c r="B27" s="40" t="s">
        <v>63</v>
      </c>
      <c r="C27" s="41" t="s">
        <v>54</v>
      </c>
      <c r="D27" s="41" t="s">
        <v>55</v>
      </c>
      <c r="E27" s="40">
        <v>20</v>
      </c>
      <c r="F27" s="40">
        <v>4</v>
      </c>
      <c r="G27" s="40">
        <v>4</v>
      </c>
      <c r="H27" s="40">
        <v>2</v>
      </c>
      <c r="I27" s="40">
        <v>30</v>
      </c>
      <c r="J27" s="39">
        <v>1851.128757124048</v>
      </c>
      <c r="K27" s="39">
        <v>1758.0892626491061</v>
      </c>
      <c r="L27" s="39">
        <v>1699.368959344722</v>
      </c>
      <c r="M27" s="39">
        <v>1674.4701376882369</v>
      </c>
      <c r="N27" s="39">
        <v>1687.5613111896259</v>
      </c>
      <c r="O27" s="39">
        <v>1754.299133981277</v>
      </c>
      <c r="P27" s="39">
        <v>1810.297735526887</v>
      </c>
      <c r="Q27" s="39">
        <v>2086.718536785389</v>
      </c>
      <c r="R27" s="39">
        <v>2204.367176554259</v>
      </c>
      <c r="S27" s="39">
        <v>2474.9523752609198</v>
      </c>
      <c r="T27" s="39">
        <v>2644.5849691008202</v>
      </c>
      <c r="U27" s="39">
        <v>2820.0369962080372</v>
      </c>
      <c r="V27" s="39">
        <v>2836.2109856329071</v>
      </c>
      <c r="W27" s="39">
        <v>2892.3432048742379</v>
      </c>
      <c r="X27" s="39">
        <v>2937.1378469444448</v>
      </c>
      <c r="Y27" s="39">
        <v>2937.4353736149301</v>
      </c>
      <c r="Z27" s="39">
        <v>2907.4424871437109</v>
      </c>
      <c r="AA27" s="39">
        <v>2878.4293191019542</v>
      </c>
      <c r="AB27" s="39">
        <v>3137.2995032870731</v>
      </c>
      <c r="AC27" s="39">
        <v>3113.7127844475499</v>
      </c>
      <c r="AD27" s="39">
        <v>2721.8623091094069</v>
      </c>
      <c r="AE27" s="39">
        <v>2416.5779643284541</v>
      </c>
      <c r="AF27" s="39">
        <v>2280.911297802335</v>
      </c>
      <c r="AG27" s="39">
        <v>2048.7572815591238</v>
      </c>
      <c r="AH27" s="39">
        <v>57573.995709259463</v>
      </c>
      <c r="AI27" s="39">
        <v>1151479.9141851889</v>
      </c>
    </row>
    <row r="28" spans="1:35" x14ac:dyDescent="0.3">
      <c r="A28" s="40">
        <v>2028</v>
      </c>
      <c r="B28" s="40" t="s">
        <v>63</v>
      </c>
      <c r="C28" s="41" t="s">
        <v>54</v>
      </c>
      <c r="D28" s="41" t="s">
        <v>56</v>
      </c>
      <c r="E28" s="40">
        <v>20</v>
      </c>
      <c r="F28" s="40">
        <v>4</v>
      </c>
      <c r="G28" s="40">
        <v>4</v>
      </c>
      <c r="H28" s="40">
        <v>2</v>
      </c>
      <c r="I28" s="40">
        <v>30</v>
      </c>
      <c r="J28" s="39">
        <v>1896.431706632618</v>
      </c>
      <c r="K28" s="39">
        <v>1810.994842870929</v>
      </c>
      <c r="L28" s="39">
        <v>1738.247216844695</v>
      </c>
      <c r="M28" s="39">
        <v>1696.9047476860001</v>
      </c>
      <c r="N28" s="39">
        <v>1710.268719387901</v>
      </c>
      <c r="O28" s="39">
        <v>1757.7297185459861</v>
      </c>
      <c r="P28" s="39">
        <v>1820.663674630935</v>
      </c>
      <c r="Q28" s="39">
        <v>2072.556581282568</v>
      </c>
      <c r="R28" s="39">
        <v>2373.5762462814209</v>
      </c>
      <c r="S28" s="39">
        <v>2541.6733198905272</v>
      </c>
      <c r="T28" s="39">
        <v>2409.6126923113161</v>
      </c>
      <c r="U28" s="39">
        <v>2812.7079487260889</v>
      </c>
      <c r="V28" s="39">
        <v>2820.087630694175</v>
      </c>
      <c r="W28" s="39">
        <v>2933.077275168484</v>
      </c>
      <c r="X28" s="39">
        <v>2955.7532821350442</v>
      </c>
      <c r="Y28" s="39">
        <v>2976.3450323466168</v>
      </c>
      <c r="Z28" s="39">
        <v>2930.2935559770749</v>
      </c>
      <c r="AA28" s="39">
        <v>2950.0975277880329</v>
      </c>
      <c r="AB28" s="39">
        <v>3191.1047287974902</v>
      </c>
      <c r="AC28" s="39">
        <v>3150.5307286317161</v>
      </c>
      <c r="AD28" s="39">
        <v>2918.0866435105499</v>
      </c>
      <c r="AE28" s="39">
        <v>2656.3569846625128</v>
      </c>
      <c r="AF28" s="39">
        <v>2381.5353672822939</v>
      </c>
      <c r="AG28" s="39">
        <v>2175.1515568756199</v>
      </c>
      <c r="AH28" s="39">
        <v>58679.787728960597</v>
      </c>
      <c r="AI28" s="39">
        <v>234719.15091584239</v>
      </c>
    </row>
    <row r="29" spans="1:35" x14ac:dyDescent="0.3">
      <c r="A29" s="40">
        <v>2028</v>
      </c>
      <c r="B29" s="40" t="s">
        <v>63</v>
      </c>
      <c r="C29" s="41" t="s">
        <v>54</v>
      </c>
      <c r="D29" s="41" t="s">
        <v>57</v>
      </c>
      <c r="E29" s="40">
        <v>20</v>
      </c>
      <c r="F29" s="40">
        <v>4</v>
      </c>
      <c r="G29" s="40">
        <v>4</v>
      </c>
      <c r="H29" s="40">
        <v>2</v>
      </c>
      <c r="I29" s="40">
        <v>30</v>
      </c>
      <c r="J29" s="39">
        <v>1995.7702096862231</v>
      </c>
      <c r="K29" s="39">
        <v>1914.807785934481</v>
      </c>
      <c r="L29" s="39">
        <v>1840.311503817197</v>
      </c>
      <c r="M29" s="39">
        <v>1806.4462174510591</v>
      </c>
      <c r="N29" s="39">
        <v>1805.488165871478</v>
      </c>
      <c r="O29" s="39">
        <v>1816.7728265123851</v>
      </c>
      <c r="P29" s="39">
        <v>1824.0557141837139</v>
      </c>
      <c r="Q29" s="39">
        <v>2042.4641529068149</v>
      </c>
      <c r="R29" s="39">
        <v>2312.0129539607701</v>
      </c>
      <c r="S29" s="39">
        <v>2442.4634048807879</v>
      </c>
      <c r="T29" s="39">
        <v>2545.1134033278281</v>
      </c>
      <c r="U29" s="39">
        <v>2660.6476411592639</v>
      </c>
      <c r="V29" s="39">
        <v>2727.846905050947</v>
      </c>
      <c r="W29" s="39">
        <v>2630.7999908395</v>
      </c>
      <c r="X29" s="39">
        <v>2737.652416126768</v>
      </c>
      <c r="Y29" s="39">
        <v>2750.1183911047401</v>
      </c>
      <c r="Z29" s="39">
        <v>2715.4391848125852</v>
      </c>
      <c r="AA29" s="39">
        <v>2702.3175521164339</v>
      </c>
      <c r="AB29" s="39">
        <v>2898.7266042631331</v>
      </c>
      <c r="AC29" s="39">
        <v>2951.0680637070309</v>
      </c>
      <c r="AD29" s="39">
        <v>2734.3873184030008</v>
      </c>
      <c r="AE29" s="39">
        <v>2473.7125054313019</v>
      </c>
      <c r="AF29" s="39">
        <v>2241.222496008756</v>
      </c>
      <c r="AG29" s="39">
        <v>2075.7763143809102</v>
      </c>
      <c r="AH29" s="39">
        <v>56645.421721937113</v>
      </c>
      <c r="AI29" s="39">
        <v>226581.68688774851</v>
      </c>
    </row>
    <row r="30" spans="1:35" x14ac:dyDescent="0.3">
      <c r="A30" s="40">
        <v>2028</v>
      </c>
      <c r="B30" s="40" t="s">
        <v>63</v>
      </c>
      <c r="C30" s="41" t="s">
        <v>54</v>
      </c>
      <c r="D30" s="41" t="s">
        <v>58</v>
      </c>
      <c r="E30" s="40">
        <v>20</v>
      </c>
      <c r="F30" s="40">
        <v>4</v>
      </c>
      <c r="G30" s="40">
        <v>4</v>
      </c>
      <c r="H30" s="40">
        <v>2</v>
      </c>
      <c r="I30" s="40">
        <v>30</v>
      </c>
      <c r="J30" s="39">
        <v>1845.876116089159</v>
      </c>
      <c r="K30" s="39">
        <v>1746.349912172986</v>
      </c>
      <c r="L30" s="39">
        <v>1676.997151810386</v>
      </c>
      <c r="M30" s="39">
        <v>1649.0280747231061</v>
      </c>
      <c r="N30" s="39">
        <v>1651.4349791339509</v>
      </c>
      <c r="O30" s="39">
        <v>1673.9967641201549</v>
      </c>
      <c r="P30" s="39">
        <v>1707.7263971652901</v>
      </c>
      <c r="Q30" s="39">
        <v>1989.525444385534</v>
      </c>
      <c r="R30" s="39">
        <v>2235.726801635813</v>
      </c>
      <c r="S30" s="39">
        <v>2375.9631324070501</v>
      </c>
      <c r="T30" s="39">
        <v>2427.7563239954188</v>
      </c>
      <c r="U30" s="39">
        <v>2496.685167729886</v>
      </c>
      <c r="V30" s="39">
        <v>2499.5630906164351</v>
      </c>
      <c r="W30" s="39">
        <v>2629.1372956202672</v>
      </c>
      <c r="X30" s="39">
        <v>2569.002366827187</v>
      </c>
      <c r="Y30" s="39">
        <v>2599.627988117436</v>
      </c>
      <c r="Z30" s="39">
        <v>2576.793012415324</v>
      </c>
      <c r="AA30" s="39">
        <v>2628.0633734956632</v>
      </c>
      <c r="AB30" s="39">
        <v>2916.7458870696501</v>
      </c>
      <c r="AC30" s="39">
        <v>2916.3662485280429</v>
      </c>
      <c r="AD30" s="39">
        <v>2689.2175886199761</v>
      </c>
      <c r="AE30" s="39">
        <v>2425.089268184418</v>
      </c>
      <c r="AF30" s="39">
        <v>2130.6038069897618</v>
      </c>
      <c r="AG30" s="39">
        <v>1893.1728137570849</v>
      </c>
      <c r="AH30" s="39">
        <v>53950.449005609982</v>
      </c>
      <c r="AI30" s="39">
        <v>107900.89801121999</v>
      </c>
    </row>
    <row r="31" spans="1:35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 spans="1:35" x14ac:dyDescent="0.3">
      <c r="A32" s="40">
        <v>2028</v>
      </c>
      <c r="B32" s="40" t="s">
        <v>64</v>
      </c>
      <c r="C32" s="41" t="s">
        <v>54</v>
      </c>
      <c r="D32" s="41" t="s">
        <v>55</v>
      </c>
      <c r="E32" s="40">
        <v>19</v>
      </c>
      <c r="F32" s="40">
        <v>5</v>
      </c>
      <c r="G32" s="40">
        <v>5</v>
      </c>
      <c r="H32" s="40">
        <v>2</v>
      </c>
      <c r="I32" s="40">
        <v>31</v>
      </c>
      <c r="J32" s="39">
        <v>1809.765678775668</v>
      </c>
      <c r="K32" s="39">
        <v>1737.147790667635</v>
      </c>
      <c r="L32" s="39">
        <v>1684.676218738686</v>
      </c>
      <c r="M32" s="39">
        <v>1649.1588874535851</v>
      </c>
      <c r="N32" s="39">
        <v>1671.554665119367</v>
      </c>
      <c r="O32" s="39">
        <v>1765.8374236892039</v>
      </c>
      <c r="P32" s="39">
        <v>1829.8674572035909</v>
      </c>
      <c r="Q32" s="39">
        <v>2055.6708022715002</v>
      </c>
      <c r="R32" s="39">
        <v>2166.4612037612192</v>
      </c>
      <c r="S32" s="39">
        <v>2220.4189943453362</v>
      </c>
      <c r="T32" s="39">
        <v>2360.1546633461612</v>
      </c>
      <c r="U32" s="39">
        <v>2659.4276075350381</v>
      </c>
      <c r="V32" s="39">
        <v>2744.8711477649522</v>
      </c>
      <c r="W32" s="39">
        <v>2799.2608188459822</v>
      </c>
      <c r="X32" s="39">
        <v>2783.9117675624552</v>
      </c>
      <c r="Y32" s="39">
        <v>2855.2667358773051</v>
      </c>
      <c r="Z32" s="39">
        <v>2811.2951632520389</v>
      </c>
      <c r="AA32" s="39">
        <v>2810.247610940497</v>
      </c>
      <c r="AB32" s="39">
        <v>3069.8008124744911</v>
      </c>
      <c r="AC32" s="39">
        <v>2960.004276737709</v>
      </c>
      <c r="AD32" s="39">
        <v>2819.980027513609</v>
      </c>
      <c r="AE32" s="39">
        <v>2497.8500653866608</v>
      </c>
      <c r="AF32" s="39">
        <v>2188.9325626998921</v>
      </c>
      <c r="AG32" s="39">
        <v>1961.0792580809759</v>
      </c>
      <c r="AH32" s="39">
        <v>55912.641640043563</v>
      </c>
      <c r="AI32" s="39">
        <v>1062340.1911608281</v>
      </c>
    </row>
    <row r="33" spans="1:35" x14ac:dyDescent="0.3">
      <c r="A33" s="40">
        <v>2028</v>
      </c>
      <c r="B33" s="40" t="s">
        <v>64</v>
      </c>
      <c r="C33" s="41" t="s">
        <v>54</v>
      </c>
      <c r="D33" s="41" t="s">
        <v>56</v>
      </c>
      <c r="E33" s="40">
        <v>19</v>
      </c>
      <c r="F33" s="40">
        <v>5</v>
      </c>
      <c r="G33" s="40">
        <v>5</v>
      </c>
      <c r="H33" s="40">
        <v>2</v>
      </c>
      <c r="I33" s="40">
        <v>31</v>
      </c>
      <c r="J33" s="39">
        <v>1680.388087450576</v>
      </c>
      <c r="K33" s="39">
        <v>1598.2211224618641</v>
      </c>
      <c r="L33" s="39">
        <v>1538.0359780956121</v>
      </c>
      <c r="M33" s="39">
        <v>1507.8206220437039</v>
      </c>
      <c r="N33" s="39">
        <v>1535.6013493831981</v>
      </c>
      <c r="O33" s="39">
        <v>1587.1179526134611</v>
      </c>
      <c r="P33" s="39">
        <v>1488.3751653392201</v>
      </c>
      <c r="Q33" s="39">
        <v>1969.7095869476159</v>
      </c>
      <c r="R33" s="39">
        <v>2248.1588445707498</v>
      </c>
      <c r="S33" s="39">
        <v>2403.5821737851602</v>
      </c>
      <c r="T33" s="39">
        <v>2586.0004135788599</v>
      </c>
      <c r="U33" s="39">
        <v>2764.601829108718</v>
      </c>
      <c r="V33" s="39">
        <v>2801.9351414394268</v>
      </c>
      <c r="W33" s="39">
        <v>2822.12363279277</v>
      </c>
      <c r="X33" s="39">
        <v>2705.7631144036231</v>
      </c>
      <c r="Y33" s="39">
        <v>2900.052800253246</v>
      </c>
      <c r="Z33" s="39">
        <v>2856.141780666374</v>
      </c>
      <c r="AA33" s="39">
        <v>2858.2922524253222</v>
      </c>
      <c r="AB33" s="39">
        <v>3125.6207996473709</v>
      </c>
      <c r="AC33" s="39">
        <v>3099.9302988667828</v>
      </c>
      <c r="AD33" s="39">
        <v>2836.36244613999</v>
      </c>
      <c r="AE33" s="39">
        <v>2530.3254072568761</v>
      </c>
      <c r="AF33" s="39">
        <v>2239.6293357504019</v>
      </c>
      <c r="AG33" s="39">
        <v>2023.442023931198</v>
      </c>
      <c r="AH33" s="39">
        <v>55707.232158952123</v>
      </c>
      <c r="AI33" s="39">
        <v>278536.16079476062</v>
      </c>
    </row>
    <row r="34" spans="1:35" x14ac:dyDescent="0.3">
      <c r="A34" s="40">
        <v>2028</v>
      </c>
      <c r="B34" s="40" t="s">
        <v>64</v>
      </c>
      <c r="C34" s="41" t="s">
        <v>54</v>
      </c>
      <c r="D34" s="41" t="s">
        <v>57</v>
      </c>
      <c r="E34" s="40">
        <v>19</v>
      </c>
      <c r="F34" s="40">
        <v>5</v>
      </c>
      <c r="G34" s="40">
        <v>5</v>
      </c>
      <c r="H34" s="40">
        <v>2</v>
      </c>
      <c r="I34" s="40">
        <v>31</v>
      </c>
      <c r="J34" s="39">
        <v>1879.379810789447</v>
      </c>
      <c r="K34" s="39">
        <v>1789.41314670765</v>
      </c>
      <c r="L34" s="39">
        <v>1711.724869504023</v>
      </c>
      <c r="M34" s="39">
        <v>1674.856966504505</v>
      </c>
      <c r="N34" s="39">
        <v>1689.7220002183431</v>
      </c>
      <c r="O34" s="39">
        <v>1735.3040497908239</v>
      </c>
      <c r="P34" s="39">
        <v>1742.2501086533321</v>
      </c>
      <c r="Q34" s="39">
        <v>1912.174235406691</v>
      </c>
      <c r="R34" s="39">
        <v>2191.4525764866471</v>
      </c>
      <c r="S34" s="39">
        <v>2341.8148715668931</v>
      </c>
      <c r="T34" s="39">
        <v>2444.6305751741502</v>
      </c>
      <c r="U34" s="39">
        <v>2536.594523521464</v>
      </c>
      <c r="V34" s="39">
        <v>2595.2033568865932</v>
      </c>
      <c r="W34" s="39">
        <v>2656.5010568782268</v>
      </c>
      <c r="X34" s="39">
        <v>2652.6655226915232</v>
      </c>
      <c r="Y34" s="39">
        <v>2626.9019589105869</v>
      </c>
      <c r="Z34" s="39">
        <v>2513.7490229220889</v>
      </c>
      <c r="AA34" s="39">
        <v>2413.0849604439591</v>
      </c>
      <c r="AB34" s="39">
        <v>2833.2957954817261</v>
      </c>
      <c r="AC34" s="39">
        <v>2816.1101240120838</v>
      </c>
      <c r="AD34" s="39">
        <v>2574.5556649025812</v>
      </c>
      <c r="AE34" s="39">
        <v>2331.4810245605431</v>
      </c>
      <c r="AF34" s="39">
        <v>2110.78812944214</v>
      </c>
      <c r="AG34" s="39">
        <v>1926.051028583734</v>
      </c>
      <c r="AH34" s="39">
        <v>53699.705380039763</v>
      </c>
      <c r="AI34" s="39">
        <v>268498.52690019878</v>
      </c>
    </row>
    <row r="35" spans="1:35" x14ac:dyDescent="0.3">
      <c r="A35" s="40">
        <v>2028</v>
      </c>
      <c r="B35" s="40" t="s">
        <v>64</v>
      </c>
      <c r="C35" s="41" t="s">
        <v>54</v>
      </c>
      <c r="D35" s="41" t="s">
        <v>58</v>
      </c>
      <c r="E35" s="40">
        <v>19</v>
      </c>
      <c r="F35" s="40">
        <v>5</v>
      </c>
      <c r="G35" s="40">
        <v>5</v>
      </c>
      <c r="H35" s="40">
        <v>2</v>
      </c>
      <c r="I35" s="40">
        <v>31</v>
      </c>
      <c r="J35" s="39">
        <v>1735.83728259239</v>
      </c>
      <c r="K35" s="39">
        <v>1659.079824051146</v>
      </c>
      <c r="L35" s="39">
        <v>1594.628817272365</v>
      </c>
      <c r="M35" s="39">
        <v>1563.448730822887</v>
      </c>
      <c r="N35" s="39">
        <v>1597.4914354702471</v>
      </c>
      <c r="O35" s="39">
        <v>1606.149452274625</v>
      </c>
      <c r="P35" s="39">
        <v>1663.906984149535</v>
      </c>
      <c r="Q35" s="39">
        <v>1839.0324694585231</v>
      </c>
      <c r="R35" s="39">
        <v>2091.4059414629619</v>
      </c>
      <c r="S35" s="39">
        <v>2205.5037285559879</v>
      </c>
      <c r="T35" s="39">
        <v>2378.706161969988</v>
      </c>
      <c r="U35" s="39">
        <v>2531.21074321793</v>
      </c>
      <c r="V35" s="39">
        <v>2666.6097774893128</v>
      </c>
      <c r="W35" s="39">
        <v>2727.0748859135902</v>
      </c>
      <c r="X35" s="39">
        <v>2721.1812602120681</v>
      </c>
      <c r="Y35" s="39">
        <v>2687.1666204490011</v>
      </c>
      <c r="Z35" s="39">
        <v>2630.8263652308851</v>
      </c>
      <c r="AA35" s="39">
        <v>2615.6011655019552</v>
      </c>
      <c r="AB35" s="39">
        <v>2899.7300540838769</v>
      </c>
      <c r="AC35" s="39">
        <v>2905.244196526523</v>
      </c>
      <c r="AD35" s="39">
        <v>2688.92006839639</v>
      </c>
      <c r="AE35" s="39">
        <v>2414.403402684808</v>
      </c>
      <c r="AF35" s="39">
        <v>2125.7560677317192</v>
      </c>
      <c r="AG35" s="39">
        <v>1944.120136587685</v>
      </c>
      <c r="AH35" s="39">
        <v>53493.035572106397</v>
      </c>
      <c r="AI35" s="39">
        <v>106986.07114421279</v>
      </c>
    </row>
    <row r="36" spans="1:35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x14ac:dyDescent="0.3">
      <c r="A37" s="40">
        <v>2028</v>
      </c>
      <c r="B37" s="40" t="s">
        <v>65</v>
      </c>
      <c r="C37" s="41" t="s">
        <v>54</v>
      </c>
      <c r="D37" s="41" t="s">
        <v>55</v>
      </c>
      <c r="E37" s="40">
        <v>21</v>
      </c>
      <c r="F37" s="40">
        <v>4</v>
      </c>
      <c r="G37" s="40">
        <v>4</v>
      </c>
      <c r="H37" s="40">
        <v>2</v>
      </c>
      <c r="I37" s="40">
        <v>31</v>
      </c>
      <c r="J37" s="39">
        <v>1730.3464865535759</v>
      </c>
      <c r="K37" s="39">
        <v>1643.598727411495</v>
      </c>
      <c r="L37" s="39">
        <v>1594.7103642110801</v>
      </c>
      <c r="M37" s="39">
        <v>1587.8740483946649</v>
      </c>
      <c r="N37" s="39">
        <v>1602.040592450126</v>
      </c>
      <c r="O37" s="39">
        <v>1672.220242443954</v>
      </c>
      <c r="P37" s="39">
        <v>1750.3443355200991</v>
      </c>
      <c r="Q37" s="39">
        <v>1893.312932382762</v>
      </c>
      <c r="R37" s="39">
        <v>2028.702472123945</v>
      </c>
      <c r="S37" s="39">
        <v>2130.5582725265022</v>
      </c>
      <c r="T37" s="39">
        <v>2493.0922323976201</v>
      </c>
      <c r="U37" s="39">
        <v>2762.7601957340662</v>
      </c>
      <c r="V37" s="39">
        <v>2662.5871347804732</v>
      </c>
      <c r="W37" s="39">
        <v>2799.863362773649</v>
      </c>
      <c r="X37" s="39">
        <v>2630.8967449336119</v>
      </c>
      <c r="Y37" s="39">
        <v>2400.9054165885109</v>
      </c>
      <c r="Z37" s="39">
        <v>2754.9771099145541</v>
      </c>
      <c r="AA37" s="39">
        <v>2880.4771929030571</v>
      </c>
      <c r="AB37" s="39">
        <v>3161.1928039983509</v>
      </c>
      <c r="AC37" s="39">
        <v>3109.4022336813691</v>
      </c>
      <c r="AD37" s="39">
        <v>2856.5766092346371</v>
      </c>
      <c r="AE37" s="39">
        <v>2541.1780344345962</v>
      </c>
      <c r="AF37" s="39">
        <v>2248.001035332923</v>
      </c>
      <c r="AG37" s="39">
        <v>2037.2431498902749</v>
      </c>
      <c r="AH37" s="39">
        <v>54972.861730615892</v>
      </c>
      <c r="AI37" s="39">
        <v>1154430.0963429341</v>
      </c>
    </row>
    <row r="38" spans="1:35" x14ac:dyDescent="0.3">
      <c r="A38" s="40">
        <v>2028</v>
      </c>
      <c r="B38" s="40" t="s">
        <v>65</v>
      </c>
      <c r="C38" s="41" t="s">
        <v>54</v>
      </c>
      <c r="D38" s="41" t="s">
        <v>56</v>
      </c>
      <c r="E38" s="40">
        <v>21</v>
      </c>
      <c r="F38" s="40">
        <v>4</v>
      </c>
      <c r="G38" s="40">
        <v>4</v>
      </c>
      <c r="H38" s="40">
        <v>2</v>
      </c>
      <c r="I38" s="40">
        <v>31</v>
      </c>
      <c r="J38" s="39">
        <v>2102.2529763786192</v>
      </c>
      <c r="K38" s="39">
        <v>1962.2914963210831</v>
      </c>
      <c r="L38" s="39">
        <v>1894.704400853065</v>
      </c>
      <c r="M38" s="39">
        <v>1862.420013361095</v>
      </c>
      <c r="N38" s="39">
        <v>1873.4483828438399</v>
      </c>
      <c r="O38" s="39">
        <v>1890.6638834035421</v>
      </c>
      <c r="P38" s="39">
        <v>1960.3124094185409</v>
      </c>
      <c r="Q38" s="39">
        <v>2245.3599583860191</v>
      </c>
      <c r="R38" s="39">
        <v>2557.794460874271</v>
      </c>
      <c r="S38" s="39">
        <v>2710.283532630538</v>
      </c>
      <c r="T38" s="39">
        <v>2868.1561750714818</v>
      </c>
      <c r="U38" s="39">
        <v>3033.127407550237</v>
      </c>
      <c r="V38" s="39">
        <v>3069.5999631645168</v>
      </c>
      <c r="W38" s="39">
        <v>3097.0031684444311</v>
      </c>
      <c r="X38" s="39">
        <v>3137.1414359542368</v>
      </c>
      <c r="Y38" s="39">
        <v>3134.2082985506122</v>
      </c>
      <c r="Z38" s="39">
        <v>3105.9133186598929</v>
      </c>
      <c r="AA38" s="39">
        <v>3126.8626775794851</v>
      </c>
      <c r="AB38" s="39">
        <v>3376.8040328108532</v>
      </c>
      <c r="AC38" s="39">
        <v>3261.0692139892572</v>
      </c>
      <c r="AD38" s="39">
        <v>3005.3070149268819</v>
      </c>
      <c r="AE38" s="39">
        <v>2736.2676130577838</v>
      </c>
      <c r="AF38" s="39">
        <v>2467.6512871549389</v>
      </c>
      <c r="AG38" s="39">
        <v>2281.8187182730612</v>
      </c>
      <c r="AH38" s="39">
        <v>62760.461839658281</v>
      </c>
      <c r="AI38" s="39">
        <v>251041.84735863309</v>
      </c>
    </row>
    <row r="39" spans="1:35" x14ac:dyDescent="0.3">
      <c r="A39" s="40">
        <v>2028</v>
      </c>
      <c r="B39" s="40" t="s">
        <v>65</v>
      </c>
      <c r="C39" s="41" t="s">
        <v>54</v>
      </c>
      <c r="D39" s="41" t="s">
        <v>57</v>
      </c>
      <c r="E39" s="40">
        <v>21</v>
      </c>
      <c r="F39" s="40">
        <v>4</v>
      </c>
      <c r="G39" s="40">
        <v>4</v>
      </c>
      <c r="H39" s="40">
        <v>2</v>
      </c>
      <c r="I39" s="40">
        <v>31</v>
      </c>
      <c r="J39" s="39">
        <v>2083.8278760764738</v>
      </c>
      <c r="K39" s="39">
        <v>1987.451738851104</v>
      </c>
      <c r="L39" s="39">
        <v>1814.4250263974391</v>
      </c>
      <c r="M39" s="39">
        <v>1860.690796827884</v>
      </c>
      <c r="N39" s="39">
        <v>1852.422359151841</v>
      </c>
      <c r="O39" s="39">
        <v>1849.6084780608519</v>
      </c>
      <c r="P39" s="39">
        <v>1851.615959323545</v>
      </c>
      <c r="Q39" s="39">
        <v>1937.079550787895</v>
      </c>
      <c r="R39" s="39">
        <v>2330.858216237445</v>
      </c>
      <c r="S39" s="39">
        <v>2491.8315228069041</v>
      </c>
      <c r="T39" s="39">
        <v>2598.6880183640992</v>
      </c>
      <c r="U39" s="39">
        <v>2728.907393453741</v>
      </c>
      <c r="V39" s="39">
        <v>2811.696829346738</v>
      </c>
      <c r="W39" s="39">
        <v>2910.716289800132</v>
      </c>
      <c r="X39" s="39">
        <v>2932.332916183278</v>
      </c>
      <c r="Y39" s="39">
        <v>2819.343238833414</v>
      </c>
      <c r="Z39" s="39">
        <v>2275.8638277944492</v>
      </c>
      <c r="AA39" s="39">
        <v>2257.3989753880919</v>
      </c>
      <c r="AB39" s="39">
        <v>2515.188531765265</v>
      </c>
      <c r="AC39" s="39">
        <v>2450.8333076373542</v>
      </c>
      <c r="AD39" s="39">
        <v>2232.2251288328889</v>
      </c>
      <c r="AE39" s="39">
        <v>2006.731317691746</v>
      </c>
      <c r="AF39" s="39">
        <v>1810.841466444296</v>
      </c>
      <c r="AG39" s="39">
        <v>1652.855246562747</v>
      </c>
      <c r="AH39" s="39">
        <v>54063.434012619633</v>
      </c>
      <c r="AI39" s="39">
        <v>216253.7360504785</v>
      </c>
    </row>
    <row r="40" spans="1:35" x14ac:dyDescent="0.3">
      <c r="A40" s="40">
        <v>2028</v>
      </c>
      <c r="B40" s="40" t="s">
        <v>65</v>
      </c>
      <c r="C40" s="41" t="s">
        <v>54</v>
      </c>
      <c r="D40" s="41" t="s">
        <v>58</v>
      </c>
      <c r="E40" s="40">
        <v>21</v>
      </c>
      <c r="F40" s="40">
        <v>4</v>
      </c>
      <c r="G40" s="40">
        <v>4</v>
      </c>
      <c r="H40" s="40">
        <v>2</v>
      </c>
      <c r="I40" s="40">
        <v>31</v>
      </c>
      <c r="J40" s="39">
        <v>1919.665882862028</v>
      </c>
      <c r="K40" s="39">
        <v>1826.759536447141</v>
      </c>
      <c r="L40" s="39">
        <v>1759.5429873790979</v>
      </c>
      <c r="M40" s="39">
        <v>1719.3436719949671</v>
      </c>
      <c r="N40" s="39">
        <v>1731.737810200987</v>
      </c>
      <c r="O40" s="39">
        <v>1772.8386465199201</v>
      </c>
      <c r="P40" s="39">
        <v>1881.2980037076529</v>
      </c>
      <c r="Q40" s="39">
        <v>2098.9359219580592</v>
      </c>
      <c r="R40" s="39">
        <v>2386.9967056924779</v>
      </c>
      <c r="S40" s="39">
        <v>2610.815249584698</v>
      </c>
      <c r="T40" s="39">
        <v>2850.193902839801</v>
      </c>
      <c r="U40" s="39">
        <v>3001.3583776950122</v>
      </c>
      <c r="V40" s="39">
        <v>2979.6295935892699</v>
      </c>
      <c r="W40" s="39">
        <v>3043.5564643317348</v>
      </c>
      <c r="X40" s="39">
        <v>3063.255051686665</v>
      </c>
      <c r="Y40" s="39">
        <v>3005.9836272615948</v>
      </c>
      <c r="Z40" s="39">
        <v>2966.4799737011699</v>
      </c>
      <c r="AA40" s="39">
        <v>2939.2852752663111</v>
      </c>
      <c r="AB40" s="39">
        <v>3309.3631682976138</v>
      </c>
      <c r="AC40" s="39">
        <v>3307.2739365453772</v>
      </c>
      <c r="AD40" s="39">
        <v>3060.6831158118548</v>
      </c>
      <c r="AE40" s="39">
        <v>2760.5689261932298</v>
      </c>
      <c r="AF40" s="39">
        <v>2437.5262907524721</v>
      </c>
      <c r="AG40" s="39">
        <v>2198.3180036582762</v>
      </c>
      <c r="AH40" s="39">
        <v>60631.41012397741</v>
      </c>
      <c r="AI40" s="39">
        <v>121262.82024795481</v>
      </c>
    </row>
    <row r="41" spans="1:35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x14ac:dyDescent="0.3">
      <c r="A42" s="40">
        <v>2028</v>
      </c>
      <c r="B42" s="40" t="s">
        <v>66</v>
      </c>
      <c r="C42" s="41" t="s">
        <v>54</v>
      </c>
      <c r="D42" s="41" t="s">
        <v>55</v>
      </c>
      <c r="E42" s="40">
        <v>21</v>
      </c>
      <c r="F42" s="40">
        <v>5</v>
      </c>
      <c r="G42" s="40">
        <v>4</v>
      </c>
      <c r="H42" s="40">
        <v>0</v>
      </c>
      <c r="I42" s="40">
        <v>30</v>
      </c>
      <c r="J42" s="39">
        <v>1937.8023606635479</v>
      </c>
      <c r="K42" s="39">
        <v>1856.879106372626</v>
      </c>
      <c r="L42" s="39">
        <v>1789.9552718549501</v>
      </c>
      <c r="M42" s="39">
        <v>1771.440787025615</v>
      </c>
      <c r="N42" s="39">
        <v>1772.7889643105909</v>
      </c>
      <c r="O42" s="39">
        <v>1816.4313717350301</v>
      </c>
      <c r="P42" s="39">
        <v>1930.812013119182</v>
      </c>
      <c r="Q42" s="39">
        <v>2179.6284399677029</v>
      </c>
      <c r="R42" s="39">
        <v>2414.512090549857</v>
      </c>
      <c r="S42" s="39">
        <v>2518.6871748520421</v>
      </c>
      <c r="T42" s="39">
        <v>2712.9328238410581</v>
      </c>
      <c r="U42" s="39">
        <v>2896.129096900836</v>
      </c>
      <c r="V42" s="39">
        <v>2868.720990949646</v>
      </c>
      <c r="W42" s="39">
        <v>2940.9950607923352</v>
      </c>
      <c r="X42" s="39">
        <v>2974.1492288008621</v>
      </c>
      <c r="Y42" s="39">
        <v>2924.9323015901132</v>
      </c>
      <c r="Z42" s="39">
        <v>2945.3391875994789</v>
      </c>
      <c r="AA42" s="39">
        <v>2858.7828233803839</v>
      </c>
      <c r="AB42" s="39">
        <v>3096.0330324762181</v>
      </c>
      <c r="AC42" s="39">
        <v>3008.0272163404829</v>
      </c>
      <c r="AD42" s="39">
        <v>2767.207236745453</v>
      </c>
      <c r="AE42" s="39">
        <v>2477.494689797215</v>
      </c>
      <c r="AF42" s="39">
        <v>2246.137320124421</v>
      </c>
      <c r="AG42" s="39">
        <v>2103.498109698914</v>
      </c>
      <c r="AH42" s="39">
        <v>58809.316699488561</v>
      </c>
      <c r="AI42" s="39">
        <v>1234995.6506892601</v>
      </c>
    </row>
    <row r="43" spans="1:35" x14ac:dyDescent="0.3">
      <c r="A43" s="40">
        <v>2028</v>
      </c>
      <c r="B43" s="40" t="s">
        <v>66</v>
      </c>
      <c r="C43" s="41" t="s">
        <v>54</v>
      </c>
      <c r="D43" s="41" t="s">
        <v>56</v>
      </c>
      <c r="E43" s="40">
        <v>21</v>
      </c>
      <c r="F43" s="40">
        <v>5</v>
      </c>
      <c r="G43" s="40">
        <v>4</v>
      </c>
      <c r="H43" s="40">
        <v>0</v>
      </c>
      <c r="I43" s="40">
        <v>30</v>
      </c>
      <c r="J43" s="39">
        <v>1923.4891514191811</v>
      </c>
      <c r="K43" s="39">
        <v>1837.8049950851689</v>
      </c>
      <c r="L43" s="39">
        <v>1777.143057482072</v>
      </c>
      <c r="M43" s="39">
        <v>1748.313687574095</v>
      </c>
      <c r="N43" s="39">
        <v>1744.768983991263</v>
      </c>
      <c r="O43" s="39">
        <v>1761.220129391621</v>
      </c>
      <c r="P43" s="39">
        <v>1863.033185345734</v>
      </c>
      <c r="Q43" s="39">
        <v>2115.479784901559</v>
      </c>
      <c r="R43" s="39">
        <v>2321.517756979546</v>
      </c>
      <c r="S43" s="39">
        <v>2496.0055416853202</v>
      </c>
      <c r="T43" s="39">
        <v>2645.7767428332058</v>
      </c>
      <c r="U43" s="39">
        <v>2816.9357618501349</v>
      </c>
      <c r="V43" s="39">
        <v>2841.8118072374291</v>
      </c>
      <c r="W43" s="39">
        <v>2917.6719561755031</v>
      </c>
      <c r="X43" s="39">
        <v>2959.6502827665622</v>
      </c>
      <c r="Y43" s="39">
        <v>2953.4213050554008</v>
      </c>
      <c r="Z43" s="39">
        <v>2950.2154578600571</v>
      </c>
      <c r="AA43" s="39">
        <v>3050.5534918921662</v>
      </c>
      <c r="AB43" s="39">
        <v>3231.3366967380198</v>
      </c>
      <c r="AC43" s="39">
        <v>3161.5868439809169</v>
      </c>
      <c r="AD43" s="39">
        <v>2905.3914823119371</v>
      </c>
      <c r="AE43" s="39">
        <v>2650.368829513377</v>
      </c>
      <c r="AF43" s="39">
        <v>2416.361916981914</v>
      </c>
      <c r="AG43" s="39">
        <v>2196.9424397196308</v>
      </c>
      <c r="AH43" s="39">
        <v>59286.801288771807</v>
      </c>
      <c r="AI43" s="39">
        <v>296434.00644385908</v>
      </c>
    </row>
    <row r="44" spans="1:35" x14ac:dyDescent="0.3">
      <c r="A44" s="40">
        <v>2028</v>
      </c>
      <c r="B44" s="40" t="s">
        <v>66</v>
      </c>
      <c r="C44" s="41" t="s">
        <v>54</v>
      </c>
      <c r="D44" s="41" t="s">
        <v>57</v>
      </c>
      <c r="E44" s="40">
        <v>21</v>
      </c>
      <c r="F44" s="40">
        <v>5</v>
      </c>
      <c r="G44" s="40">
        <v>4</v>
      </c>
      <c r="H44" s="40">
        <v>0</v>
      </c>
      <c r="I44" s="40">
        <v>30</v>
      </c>
      <c r="J44" s="39">
        <v>1977.350706422412</v>
      </c>
      <c r="K44" s="39">
        <v>1887.148464921904</v>
      </c>
      <c r="L44" s="39">
        <v>1819.619702290023</v>
      </c>
      <c r="M44" s="39">
        <v>1774.4189178963909</v>
      </c>
      <c r="N44" s="39">
        <v>1768.6118496088659</v>
      </c>
      <c r="O44" s="39">
        <v>1766.748139477686</v>
      </c>
      <c r="P44" s="39">
        <v>1882.8297070421661</v>
      </c>
      <c r="Q44" s="39">
        <v>2114.1542584446252</v>
      </c>
      <c r="R44" s="39">
        <v>2354.3635717156808</v>
      </c>
      <c r="S44" s="39">
        <v>2480.590898176099</v>
      </c>
      <c r="T44" s="39">
        <v>2622.697965148172</v>
      </c>
      <c r="U44" s="39">
        <v>2775.834475320808</v>
      </c>
      <c r="V44" s="39">
        <v>2828.4136914459009</v>
      </c>
      <c r="W44" s="39">
        <v>2910.868251454192</v>
      </c>
      <c r="X44" s="39">
        <v>2911.3566033067468</v>
      </c>
      <c r="Y44" s="39">
        <v>2896.7857786447989</v>
      </c>
      <c r="Z44" s="39">
        <v>2822.0081470178488</v>
      </c>
      <c r="AA44" s="39">
        <v>2870.4048122424879</v>
      </c>
      <c r="AB44" s="39">
        <v>3133.0251567879409</v>
      </c>
      <c r="AC44" s="39">
        <v>3071.102222157504</v>
      </c>
      <c r="AD44" s="39">
        <v>2826.5243191850191</v>
      </c>
      <c r="AE44" s="39">
        <v>2566.1497287370312</v>
      </c>
      <c r="AF44" s="39">
        <v>2318.482252819811</v>
      </c>
      <c r="AG44" s="39">
        <v>2124.7460964561869</v>
      </c>
      <c r="AH44" s="39">
        <v>58504.235716720301</v>
      </c>
      <c r="AI44" s="39">
        <v>234016.9428668812</v>
      </c>
    </row>
    <row r="45" spans="1:35" x14ac:dyDescent="0.3">
      <c r="A45" s="40">
        <v>2028</v>
      </c>
      <c r="B45" s="40" t="s">
        <v>66</v>
      </c>
      <c r="C45" s="41" t="s">
        <v>54</v>
      </c>
      <c r="D45" s="41" t="s">
        <v>58</v>
      </c>
      <c r="E45" s="40">
        <v>21</v>
      </c>
      <c r="F45" s="40">
        <v>5</v>
      </c>
      <c r="G45" s="40">
        <v>4</v>
      </c>
      <c r="H45" s="40">
        <v>0</v>
      </c>
      <c r="I45" s="40">
        <v>30</v>
      </c>
      <c r="J45" s="39">
        <v>1977.350706422412</v>
      </c>
      <c r="K45" s="39">
        <v>1887.148464921904</v>
      </c>
      <c r="L45" s="39">
        <v>1819.619702290023</v>
      </c>
      <c r="M45" s="39">
        <v>1774.4189178963909</v>
      </c>
      <c r="N45" s="39">
        <v>1768.6118496088659</v>
      </c>
      <c r="O45" s="39">
        <v>1766.748139477686</v>
      </c>
      <c r="P45" s="39">
        <v>1882.8297070421661</v>
      </c>
      <c r="Q45" s="39">
        <v>2114.1542584446252</v>
      </c>
      <c r="R45" s="39">
        <v>2354.3635717156808</v>
      </c>
      <c r="S45" s="39">
        <v>2480.590898176099</v>
      </c>
      <c r="T45" s="39">
        <v>2622.697965148172</v>
      </c>
      <c r="U45" s="39">
        <v>2775.834475320808</v>
      </c>
      <c r="V45" s="39">
        <v>2828.4136914459009</v>
      </c>
      <c r="W45" s="39">
        <v>2910.868251454192</v>
      </c>
      <c r="X45" s="39">
        <v>2911.3566033067468</v>
      </c>
      <c r="Y45" s="39">
        <v>2896.7857786447989</v>
      </c>
      <c r="Z45" s="39">
        <v>2822.0081470178488</v>
      </c>
      <c r="AA45" s="39">
        <v>2870.4048122424879</v>
      </c>
      <c r="AB45" s="39">
        <v>3133.0251567879409</v>
      </c>
      <c r="AC45" s="39">
        <v>3071.102222157504</v>
      </c>
      <c r="AD45" s="39">
        <v>2826.5243191850191</v>
      </c>
      <c r="AE45" s="39">
        <v>2566.1497287370312</v>
      </c>
      <c r="AF45" s="39">
        <v>2318.482252819811</v>
      </c>
      <c r="AG45" s="39">
        <v>2124.7460964561869</v>
      </c>
      <c r="AH45" s="39">
        <v>58504.235716720301</v>
      </c>
      <c r="AI45" s="39">
        <v>0</v>
      </c>
    </row>
    <row r="46" spans="1:35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 spans="1:35" x14ac:dyDescent="0.3">
      <c r="A47" s="40">
        <v>2028</v>
      </c>
      <c r="B47" s="40" t="s">
        <v>67</v>
      </c>
      <c r="C47" s="41" t="s">
        <v>54</v>
      </c>
      <c r="D47" s="41" t="s">
        <v>55</v>
      </c>
      <c r="E47" s="40">
        <v>21</v>
      </c>
      <c r="F47" s="40">
        <v>4</v>
      </c>
      <c r="G47" s="40">
        <v>5</v>
      </c>
      <c r="H47" s="40">
        <v>1</v>
      </c>
      <c r="I47" s="40">
        <v>31</v>
      </c>
      <c r="J47" s="39">
        <v>1929.1452702533741</v>
      </c>
      <c r="K47" s="39">
        <v>1835.2826994149541</v>
      </c>
      <c r="L47" s="39">
        <v>1777.1151525117491</v>
      </c>
      <c r="M47" s="39">
        <v>1749.997627850064</v>
      </c>
      <c r="N47" s="39">
        <v>1773.303792566011</v>
      </c>
      <c r="O47" s="39">
        <v>1785.9164282029481</v>
      </c>
      <c r="P47" s="39">
        <v>1941.625430251052</v>
      </c>
      <c r="Q47" s="39">
        <v>2238.258966148218</v>
      </c>
      <c r="R47" s="39">
        <v>2384.457172076834</v>
      </c>
      <c r="S47" s="39">
        <v>2496.8227706023531</v>
      </c>
      <c r="T47" s="39">
        <v>2611.811625480068</v>
      </c>
      <c r="U47" s="39">
        <v>2583.9129719364391</v>
      </c>
      <c r="V47" s="39">
        <v>2577.8065610510871</v>
      </c>
      <c r="W47" s="39">
        <v>2839.3311992984541</v>
      </c>
      <c r="X47" s="39">
        <v>2970.9541012228951</v>
      </c>
      <c r="Y47" s="39">
        <v>2983.9026998548929</v>
      </c>
      <c r="Z47" s="39">
        <v>2912.638563515472</v>
      </c>
      <c r="AA47" s="39">
        <v>3096.0922609318468</v>
      </c>
      <c r="AB47" s="39">
        <v>3206.983322049206</v>
      </c>
      <c r="AC47" s="39">
        <v>2958.6687837293571</v>
      </c>
      <c r="AD47" s="39">
        <v>2716.0330863163422</v>
      </c>
      <c r="AE47" s="39">
        <v>2467.4807404201611</v>
      </c>
      <c r="AF47" s="39">
        <v>2283.8235556479849</v>
      </c>
      <c r="AG47" s="39">
        <v>2076.0713196954412</v>
      </c>
      <c r="AH47" s="39">
        <v>58197.436101027197</v>
      </c>
      <c r="AI47" s="39">
        <v>1222146.1581215709</v>
      </c>
    </row>
    <row r="48" spans="1:35" x14ac:dyDescent="0.3">
      <c r="A48" s="40">
        <v>2028</v>
      </c>
      <c r="B48" s="40" t="s">
        <v>67</v>
      </c>
      <c r="C48" s="41" t="s">
        <v>54</v>
      </c>
      <c r="D48" s="41" t="s">
        <v>56</v>
      </c>
      <c r="E48" s="40">
        <v>21</v>
      </c>
      <c r="F48" s="40">
        <v>4</v>
      </c>
      <c r="G48" s="40">
        <v>5</v>
      </c>
      <c r="H48" s="40">
        <v>1</v>
      </c>
      <c r="I48" s="40">
        <v>31</v>
      </c>
      <c r="J48" s="39">
        <v>1913.855373555446</v>
      </c>
      <c r="K48" s="39">
        <v>1812.515388312755</v>
      </c>
      <c r="L48" s="39">
        <v>1747.6751270032171</v>
      </c>
      <c r="M48" s="39">
        <v>1720.3979751635959</v>
      </c>
      <c r="N48" s="39">
        <v>1734.5666028247249</v>
      </c>
      <c r="O48" s="39">
        <v>1704.391397192011</v>
      </c>
      <c r="P48" s="39">
        <v>1378.6311149345629</v>
      </c>
      <c r="Q48" s="39">
        <v>1584.8774769439849</v>
      </c>
      <c r="R48" s="39">
        <v>1710.324149740763</v>
      </c>
      <c r="S48" s="39">
        <v>1874.354650840585</v>
      </c>
      <c r="T48" s="39">
        <v>2102.385207393736</v>
      </c>
      <c r="U48" s="39">
        <v>2235.9549641518979</v>
      </c>
      <c r="V48" s="39">
        <v>2221.6747466504921</v>
      </c>
      <c r="W48" s="39">
        <v>2995.470448805595</v>
      </c>
      <c r="X48" s="39">
        <v>3126.073228634024</v>
      </c>
      <c r="Y48" s="39">
        <v>3028.8390931027229</v>
      </c>
      <c r="Z48" s="39">
        <v>3057.62598984022</v>
      </c>
      <c r="AA48" s="39">
        <v>3209.220787857339</v>
      </c>
      <c r="AB48" s="39">
        <v>3345.3275724547539</v>
      </c>
      <c r="AC48" s="39">
        <v>3241.1498117039519</v>
      </c>
      <c r="AD48" s="39">
        <v>2982.3368695048121</v>
      </c>
      <c r="AE48" s="39">
        <v>2745.6318438971412</v>
      </c>
      <c r="AF48" s="39">
        <v>2454.841848350216</v>
      </c>
      <c r="AG48" s="39">
        <v>2269.9604573891129</v>
      </c>
      <c r="AH48" s="39">
        <v>56198.08212624766</v>
      </c>
      <c r="AI48" s="39">
        <v>224792.32850499061</v>
      </c>
    </row>
    <row r="49" spans="1:35" x14ac:dyDescent="0.3">
      <c r="A49" s="40">
        <v>2028</v>
      </c>
      <c r="B49" s="40" t="s">
        <v>67</v>
      </c>
      <c r="C49" s="41" t="s">
        <v>54</v>
      </c>
      <c r="D49" s="41" t="s">
        <v>57</v>
      </c>
      <c r="E49" s="40">
        <v>21</v>
      </c>
      <c r="F49" s="40">
        <v>4</v>
      </c>
      <c r="G49" s="40">
        <v>5</v>
      </c>
      <c r="H49" s="40">
        <v>1</v>
      </c>
      <c r="I49" s="40">
        <v>31</v>
      </c>
      <c r="J49" s="39">
        <v>2075.1781800014719</v>
      </c>
      <c r="K49" s="39">
        <v>1984.2029216880951</v>
      </c>
      <c r="L49" s="39">
        <v>1912.151987464149</v>
      </c>
      <c r="M49" s="39">
        <v>1831.6694561909931</v>
      </c>
      <c r="N49" s="39">
        <v>1829.483608143202</v>
      </c>
      <c r="O49" s="39">
        <v>1806.141639200428</v>
      </c>
      <c r="P49" s="39">
        <v>1931.1321064737181</v>
      </c>
      <c r="Q49" s="39">
        <v>2217.7756663490259</v>
      </c>
      <c r="R49" s="39">
        <v>2413.435323059296</v>
      </c>
      <c r="S49" s="39">
        <v>2518.9697734747738</v>
      </c>
      <c r="T49" s="39">
        <v>2630.0082286592378</v>
      </c>
      <c r="U49" s="39">
        <v>2800.264786435725</v>
      </c>
      <c r="V49" s="39">
        <v>2720.0907682503939</v>
      </c>
      <c r="W49" s="39">
        <v>2723.545700373837</v>
      </c>
      <c r="X49" s="39">
        <v>2611.135346564784</v>
      </c>
      <c r="Y49" s="39">
        <v>2636.0527014879481</v>
      </c>
      <c r="Z49" s="39">
        <v>2611.9460139338589</v>
      </c>
      <c r="AA49" s="39">
        <v>2797.6216619934098</v>
      </c>
      <c r="AB49" s="39">
        <v>2739.2995601777338</v>
      </c>
      <c r="AC49" s="39">
        <v>2812.950056071666</v>
      </c>
      <c r="AD49" s="39">
        <v>2626.0633300396921</v>
      </c>
      <c r="AE49" s="39">
        <v>2396.5230285886669</v>
      </c>
      <c r="AF49" s="39">
        <v>2184.1971010275252</v>
      </c>
      <c r="AG49" s="39">
        <v>2044.867339278564</v>
      </c>
      <c r="AH49" s="39">
        <v>56854.706284928187</v>
      </c>
      <c r="AI49" s="39">
        <v>284273.53142464103</v>
      </c>
    </row>
    <row r="50" spans="1:35" x14ac:dyDescent="0.3">
      <c r="A50" s="40">
        <v>2028</v>
      </c>
      <c r="B50" s="40" t="s">
        <v>67</v>
      </c>
      <c r="C50" s="41" t="s">
        <v>54</v>
      </c>
      <c r="D50" s="41" t="s">
        <v>58</v>
      </c>
      <c r="E50" s="40">
        <v>21</v>
      </c>
      <c r="F50" s="40">
        <v>4</v>
      </c>
      <c r="G50" s="40">
        <v>5</v>
      </c>
      <c r="H50" s="40">
        <v>1</v>
      </c>
      <c r="I50" s="40">
        <v>31</v>
      </c>
      <c r="J50" s="39">
        <v>1801.428609475762</v>
      </c>
      <c r="K50" s="39">
        <v>1680.6884022953991</v>
      </c>
      <c r="L50" s="39">
        <v>1603.0743863282021</v>
      </c>
      <c r="M50" s="39">
        <v>1575.019387660763</v>
      </c>
      <c r="N50" s="39">
        <v>1587.1236032767561</v>
      </c>
      <c r="O50" s="39">
        <v>1574.0872842890319</v>
      </c>
      <c r="P50" s="39">
        <v>1720.0205389391269</v>
      </c>
      <c r="Q50" s="39">
        <v>2005.193738566071</v>
      </c>
      <c r="R50" s="39">
        <v>2320.796063304133</v>
      </c>
      <c r="S50" s="39">
        <v>2509.0940726102071</v>
      </c>
      <c r="T50" s="39">
        <v>2660.8693836042462</v>
      </c>
      <c r="U50" s="39">
        <v>2857.2018614103072</v>
      </c>
      <c r="V50" s="39">
        <v>2917.8017087892958</v>
      </c>
      <c r="W50" s="39">
        <v>2904.8594985001841</v>
      </c>
      <c r="X50" s="39">
        <v>2869.7809040035081</v>
      </c>
      <c r="Y50" s="39">
        <v>2749.9202873288609</v>
      </c>
      <c r="Z50" s="39">
        <v>2656.7362065888128</v>
      </c>
      <c r="AA50" s="39">
        <v>2868.7700313327568</v>
      </c>
      <c r="AB50" s="39">
        <v>3012.6158995588362</v>
      </c>
      <c r="AC50" s="39">
        <v>2926.0988720590281</v>
      </c>
      <c r="AD50" s="39">
        <v>2644.4854998478731</v>
      </c>
      <c r="AE50" s="39">
        <v>2381.527323287833</v>
      </c>
      <c r="AF50" s="39">
        <v>2157.5862061754442</v>
      </c>
      <c r="AG50" s="39">
        <v>2008.5021795645689</v>
      </c>
      <c r="AH50" s="39">
        <v>55993.281948796997</v>
      </c>
      <c r="AI50" s="39">
        <v>55993.281948796997</v>
      </c>
    </row>
    <row r="51" spans="1:35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 spans="1:35" x14ac:dyDescent="0.3">
      <c r="A52" s="40">
        <v>2028</v>
      </c>
      <c r="B52" s="40" t="s">
        <v>68</v>
      </c>
      <c r="C52" s="41" t="s">
        <v>54</v>
      </c>
      <c r="D52" s="41" t="s">
        <v>55</v>
      </c>
      <c r="E52" s="40">
        <v>20</v>
      </c>
      <c r="F52" s="40">
        <v>4</v>
      </c>
      <c r="G52" s="40">
        <v>4</v>
      </c>
      <c r="H52" s="40">
        <v>2</v>
      </c>
      <c r="I52" s="40">
        <v>30</v>
      </c>
      <c r="J52" s="39">
        <v>1992.8689037295651</v>
      </c>
      <c r="K52" s="39">
        <v>1899.0797264717539</v>
      </c>
      <c r="L52" s="39">
        <v>1838.8649137195951</v>
      </c>
      <c r="M52" s="39">
        <v>1799.528500179714</v>
      </c>
      <c r="N52" s="39">
        <v>1837.149860240105</v>
      </c>
      <c r="O52" s="39">
        <v>1870.0439521365761</v>
      </c>
      <c r="P52" s="39">
        <v>2040.7547888474751</v>
      </c>
      <c r="Q52" s="39">
        <v>2258.1542116696792</v>
      </c>
      <c r="R52" s="39">
        <v>2465.7847621528422</v>
      </c>
      <c r="S52" s="39">
        <v>2668.3423804919012</v>
      </c>
      <c r="T52" s="39">
        <v>2761.8758106257842</v>
      </c>
      <c r="U52" s="39">
        <v>2834.5234713132691</v>
      </c>
      <c r="V52" s="39">
        <v>2820.3512481258608</v>
      </c>
      <c r="W52" s="39">
        <v>2885.6400468977758</v>
      </c>
      <c r="X52" s="39">
        <v>2929.2968916782102</v>
      </c>
      <c r="Y52" s="39">
        <v>2921.5618309703291</v>
      </c>
      <c r="Z52" s="39">
        <v>2980.332814858577</v>
      </c>
      <c r="AA52" s="39">
        <v>3273.603274734181</v>
      </c>
      <c r="AB52" s="39">
        <v>3353.09788291821</v>
      </c>
      <c r="AC52" s="39">
        <v>3170.1830485153541</v>
      </c>
      <c r="AD52" s="39">
        <v>2944.5676527350311</v>
      </c>
      <c r="AE52" s="39">
        <v>2663.8951340390158</v>
      </c>
      <c r="AF52" s="39">
        <v>2378.2528664765669</v>
      </c>
      <c r="AG52" s="39">
        <v>2175.0709893076282</v>
      </c>
      <c r="AH52" s="39">
        <v>60762.824962835002</v>
      </c>
      <c r="AI52" s="39">
        <v>1215256.4992567</v>
      </c>
    </row>
    <row r="53" spans="1:35" x14ac:dyDescent="0.3">
      <c r="A53" s="40">
        <v>2028</v>
      </c>
      <c r="B53" s="40" t="s">
        <v>68</v>
      </c>
      <c r="C53" s="41" t="s">
        <v>54</v>
      </c>
      <c r="D53" s="41" t="s">
        <v>56</v>
      </c>
      <c r="E53" s="40">
        <v>20</v>
      </c>
      <c r="F53" s="40">
        <v>4</v>
      </c>
      <c r="G53" s="40">
        <v>4</v>
      </c>
      <c r="H53" s="40">
        <v>2</v>
      </c>
      <c r="I53" s="40">
        <v>30</v>
      </c>
      <c r="J53" s="39">
        <v>2043.1785640398459</v>
      </c>
      <c r="K53" s="39">
        <v>1951.754347506137</v>
      </c>
      <c r="L53" s="39">
        <v>1893.480264802191</v>
      </c>
      <c r="M53" s="39">
        <v>1867.7964729443299</v>
      </c>
      <c r="N53" s="39">
        <v>1889.9699696959981</v>
      </c>
      <c r="O53" s="39">
        <v>1884.13539755804</v>
      </c>
      <c r="P53" s="39">
        <v>2059.6077003191722</v>
      </c>
      <c r="Q53" s="39">
        <v>2346.3420109970571</v>
      </c>
      <c r="R53" s="39">
        <v>2566.3337707399091</v>
      </c>
      <c r="S53" s="39">
        <v>2760.96809259169</v>
      </c>
      <c r="T53" s="39">
        <v>2939.2714496826088</v>
      </c>
      <c r="U53" s="39">
        <v>3054.0657941795448</v>
      </c>
      <c r="V53" s="39">
        <v>3013.738526364707</v>
      </c>
      <c r="W53" s="39">
        <v>3029.9785644794201</v>
      </c>
      <c r="X53" s="39">
        <v>3038.2992639903969</v>
      </c>
      <c r="Y53" s="39">
        <v>3005.0323856521882</v>
      </c>
      <c r="Z53" s="39">
        <v>2605.530024469725</v>
      </c>
      <c r="AA53" s="39">
        <v>2629.099148754166</v>
      </c>
      <c r="AB53" s="39">
        <v>2766.035150591375</v>
      </c>
      <c r="AC53" s="39">
        <v>3167.6025821456128</v>
      </c>
      <c r="AD53" s="39">
        <v>2964.074451377764</v>
      </c>
      <c r="AE53" s="39">
        <v>2700.542296553559</v>
      </c>
      <c r="AF53" s="39">
        <v>2456.1854272414162</v>
      </c>
      <c r="AG53" s="39">
        <v>2253.4400153370029</v>
      </c>
      <c r="AH53" s="39">
        <v>60886.461672013858</v>
      </c>
      <c r="AI53" s="39">
        <v>243545.8466880554</v>
      </c>
    </row>
    <row r="54" spans="1:35" x14ac:dyDescent="0.3">
      <c r="A54" s="40">
        <v>2028</v>
      </c>
      <c r="B54" s="40" t="s">
        <v>68</v>
      </c>
      <c r="C54" s="41" t="s">
        <v>54</v>
      </c>
      <c r="D54" s="41" t="s">
        <v>57</v>
      </c>
      <c r="E54" s="40">
        <v>20</v>
      </c>
      <c r="F54" s="40">
        <v>4</v>
      </c>
      <c r="G54" s="40">
        <v>4</v>
      </c>
      <c r="H54" s="40">
        <v>2</v>
      </c>
      <c r="I54" s="40">
        <v>30</v>
      </c>
      <c r="J54" s="39">
        <v>2076.0209168928009</v>
      </c>
      <c r="K54" s="39">
        <v>1991.821593461256</v>
      </c>
      <c r="L54" s="39">
        <v>1909.8510288272951</v>
      </c>
      <c r="M54" s="39">
        <v>1856.4059235181121</v>
      </c>
      <c r="N54" s="39">
        <v>1811.3425432584111</v>
      </c>
      <c r="O54" s="39">
        <v>1727.206898649654</v>
      </c>
      <c r="P54" s="39">
        <v>1877.608318222261</v>
      </c>
      <c r="Q54" s="39">
        <v>2080.6713090408862</v>
      </c>
      <c r="R54" s="39">
        <v>2434.3010382573812</v>
      </c>
      <c r="S54" s="39">
        <v>2607.8682829034369</v>
      </c>
      <c r="T54" s="39">
        <v>2736.9532165477331</v>
      </c>
      <c r="U54" s="39">
        <v>2852.8062214735219</v>
      </c>
      <c r="V54" s="39">
        <v>2873.2020177556878</v>
      </c>
      <c r="W54" s="39">
        <v>2890.7740045803839</v>
      </c>
      <c r="X54" s="39">
        <v>2908.5748888339372</v>
      </c>
      <c r="Y54" s="39">
        <v>2802.3692255605438</v>
      </c>
      <c r="Z54" s="39">
        <v>2779.8614149892378</v>
      </c>
      <c r="AA54" s="39">
        <v>3006.4518927435051</v>
      </c>
      <c r="AB54" s="39">
        <v>3148.6069047650558</v>
      </c>
      <c r="AC54" s="39">
        <v>3055.6684781055751</v>
      </c>
      <c r="AD54" s="39">
        <v>2827.472763360191</v>
      </c>
      <c r="AE54" s="39">
        <v>2560.8548389150469</v>
      </c>
      <c r="AF54" s="39">
        <v>2307.82438328231</v>
      </c>
      <c r="AG54" s="39">
        <v>2130.319664760525</v>
      </c>
      <c r="AH54" s="39">
        <v>59254.837768704747</v>
      </c>
      <c r="AI54" s="39">
        <v>237019.35107481899</v>
      </c>
    </row>
    <row r="55" spans="1:35" x14ac:dyDescent="0.3">
      <c r="A55" s="40">
        <v>2028</v>
      </c>
      <c r="B55" s="40" t="s">
        <v>68</v>
      </c>
      <c r="C55" s="41" t="s">
        <v>54</v>
      </c>
      <c r="D55" s="41" t="s">
        <v>58</v>
      </c>
      <c r="E55" s="40">
        <v>20</v>
      </c>
      <c r="F55" s="40">
        <v>4</v>
      </c>
      <c r="G55" s="40">
        <v>4</v>
      </c>
      <c r="H55" s="40">
        <v>2</v>
      </c>
      <c r="I55" s="40">
        <v>30</v>
      </c>
      <c r="J55" s="39">
        <v>1916.441786985861</v>
      </c>
      <c r="K55" s="39">
        <v>1822.2899942093959</v>
      </c>
      <c r="L55" s="39">
        <v>1783.8240053189679</v>
      </c>
      <c r="M55" s="39">
        <v>1757.616189815247</v>
      </c>
      <c r="N55" s="39">
        <v>1763.63251192658</v>
      </c>
      <c r="O55" s="39">
        <v>1768.494655374878</v>
      </c>
      <c r="P55" s="39">
        <v>1915.891230497173</v>
      </c>
      <c r="Q55" s="39">
        <v>2164.1807785588931</v>
      </c>
      <c r="R55" s="39">
        <v>2400.8603697986468</v>
      </c>
      <c r="S55" s="39">
        <v>2491.0322361508579</v>
      </c>
      <c r="T55" s="39">
        <v>2708.409184232974</v>
      </c>
      <c r="U55" s="39">
        <v>2837.869557603291</v>
      </c>
      <c r="V55" s="39">
        <v>2771.9420763855028</v>
      </c>
      <c r="W55" s="39">
        <v>2801.5758935599752</v>
      </c>
      <c r="X55" s="39">
        <v>2768.2506429675441</v>
      </c>
      <c r="Y55" s="39">
        <v>2781.8155588635468</v>
      </c>
      <c r="Z55" s="39">
        <v>2740.5901543189698</v>
      </c>
      <c r="AA55" s="39">
        <v>2965.3100666538371</v>
      </c>
      <c r="AB55" s="39">
        <v>3126.4572875719341</v>
      </c>
      <c r="AC55" s="39">
        <v>3051.2348400689539</v>
      </c>
      <c r="AD55" s="39">
        <v>2809.8456692271652</v>
      </c>
      <c r="AE55" s="39">
        <v>2504.1939530550658</v>
      </c>
      <c r="AF55" s="39">
        <v>2215.4237581325169</v>
      </c>
      <c r="AG55" s="39">
        <v>2074.919088934892</v>
      </c>
      <c r="AH55" s="39">
        <v>57942.10149021267</v>
      </c>
      <c r="AI55" s="39">
        <v>115884.2029804253</v>
      </c>
    </row>
    <row r="56" spans="1:35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5" x14ac:dyDescent="0.3">
      <c r="A57" s="40">
        <v>2028</v>
      </c>
      <c r="B57" s="40" t="s">
        <v>69</v>
      </c>
      <c r="C57" s="41" t="s">
        <v>54</v>
      </c>
      <c r="D57" s="41" t="s">
        <v>55</v>
      </c>
      <c r="E57" s="40">
        <v>19</v>
      </c>
      <c r="F57" s="40">
        <v>5</v>
      </c>
      <c r="G57" s="40">
        <v>5</v>
      </c>
      <c r="H57" s="40">
        <v>2</v>
      </c>
      <c r="I57" s="40">
        <v>31</v>
      </c>
      <c r="J57" s="39">
        <v>2101.9985038628779</v>
      </c>
      <c r="K57" s="39">
        <v>2006.254442541268</v>
      </c>
      <c r="L57" s="39">
        <v>1931.255885510574</v>
      </c>
      <c r="M57" s="39">
        <v>1887.3732395989471</v>
      </c>
      <c r="N57" s="39">
        <v>1882.3917856264291</v>
      </c>
      <c r="O57" s="39">
        <v>1838.5701179649359</v>
      </c>
      <c r="P57" s="39">
        <v>1959.1763017908661</v>
      </c>
      <c r="Q57" s="39">
        <v>2231.3205382372889</v>
      </c>
      <c r="R57" s="39">
        <v>2461.3023539365099</v>
      </c>
      <c r="S57" s="39">
        <v>2634.720393013461</v>
      </c>
      <c r="T57" s="39">
        <v>2806.5653105028082</v>
      </c>
      <c r="U57" s="39">
        <v>2923.7696115664339</v>
      </c>
      <c r="V57" s="39">
        <v>2931.4634250112772</v>
      </c>
      <c r="W57" s="39">
        <v>3001.2591681510221</v>
      </c>
      <c r="X57" s="39">
        <v>2935.0320978704308</v>
      </c>
      <c r="Y57" s="39">
        <v>3016.6426907354098</v>
      </c>
      <c r="Z57" s="39">
        <v>2850.0723918826861</v>
      </c>
      <c r="AA57" s="39">
        <v>3087.7157729137002</v>
      </c>
      <c r="AB57" s="39">
        <v>3255.1122097898779</v>
      </c>
      <c r="AC57" s="39">
        <v>3139.1156820578208</v>
      </c>
      <c r="AD57" s="39">
        <v>2991.2123500274929</v>
      </c>
      <c r="AE57" s="39">
        <v>2755.132709314832</v>
      </c>
      <c r="AF57" s="39">
        <v>2486.365208554158</v>
      </c>
      <c r="AG57" s="39">
        <v>2298.9086863717448</v>
      </c>
      <c r="AH57" s="39">
        <v>61412.730876832851</v>
      </c>
      <c r="AI57" s="39">
        <v>1166841.8866598241</v>
      </c>
    </row>
    <row r="58" spans="1:35" x14ac:dyDescent="0.3">
      <c r="A58" s="40">
        <v>2028</v>
      </c>
      <c r="B58" s="40" t="s">
        <v>69</v>
      </c>
      <c r="C58" s="41" t="s">
        <v>54</v>
      </c>
      <c r="D58" s="41" t="s">
        <v>56</v>
      </c>
      <c r="E58" s="40">
        <v>19</v>
      </c>
      <c r="F58" s="40">
        <v>5</v>
      </c>
      <c r="G58" s="40">
        <v>5</v>
      </c>
      <c r="H58" s="40">
        <v>2</v>
      </c>
      <c r="I58" s="40">
        <v>31</v>
      </c>
      <c r="J58" s="39">
        <v>2138.120348203915</v>
      </c>
      <c r="K58" s="39">
        <v>2059.594727099342</v>
      </c>
      <c r="L58" s="39">
        <v>1996.6818833464899</v>
      </c>
      <c r="M58" s="39">
        <v>1945.3585716774769</v>
      </c>
      <c r="N58" s="39">
        <v>1938.805022193681</v>
      </c>
      <c r="O58" s="39">
        <v>1925.9349468570199</v>
      </c>
      <c r="P58" s="39">
        <v>2008.108269294753</v>
      </c>
      <c r="Q58" s="39">
        <v>2208.7555074585848</v>
      </c>
      <c r="R58" s="39">
        <v>2433.0845221044819</v>
      </c>
      <c r="S58" s="39">
        <v>2630.9592369552902</v>
      </c>
      <c r="T58" s="39">
        <v>2809.8074185231758</v>
      </c>
      <c r="U58" s="39">
        <v>2836.1324327013931</v>
      </c>
      <c r="V58" s="39">
        <v>2925.4503245857632</v>
      </c>
      <c r="W58" s="39">
        <v>3019.2926061342791</v>
      </c>
      <c r="X58" s="39">
        <v>3039.5473527774811</v>
      </c>
      <c r="Y58" s="39">
        <v>2983.4712555739529</v>
      </c>
      <c r="Z58" s="39">
        <v>2841.454083669581</v>
      </c>
      <c r="AA58" s="39">
        <v>3077.141763226331</v>
      </c>
      <c r="AB58" s="39">
        <v>3246.7152408981719</v>
      </c>
      <c r="AC58" s="39">
        <v>3228.6131372989571</v>
      </c>
      <c r="AD58" s="39">
        <v>3037.5597778526071</v>
      </c>
      <c r="AE58" s="39">
        <v>2803.306552997336</v>
      </c>
      <c r="AF58" s="39">
        <v>2550.19301922369</v>
      </c>
      <c r="AG58" s="39">
        <v>2348.756793450968</v>
      </c>
      <c r="AH58" s="39">
        <v>62032.84479410472</v>
      </c>
      <c r="AI58" s="39">
        <v>310164.22397052363</v>
      </c>
    </row>
    <row r="59" spans="1:35" x14ac:dyDescent="0.3">
      <c r="A59" s="40">
        <v>2028</v>
      </c>
      <c r="B59" s="40" t="s">
        <v>69</v>
      </c>
      <c r="C59" s="41" t="s">
        <v>54</v>
      </c>
      <c r="D59" s="41" t="s">
        <v>57</v>
      </c>
      <c r="E59" s="40">
        <v>19</v>
      </c>
      <c r="F59" s="40">
        <v>5</v>
      </c>
      <c r="G59" s="40">
        <v>5</v>
      </c>
      <c r="H59" s="40">
        <v>2</v>
      </c>
      <c r="I59" s="40">
        <v>31</v>
      </c>
      <c r="J59" s="39">
        <v>2163.8943593959411</v>
      </c>
      <c r="K59" s="39">
        <v>2069.121845771183</v>
      </c>
      <c r="L59" s="39">
        <v>1986.357503370609</v>
      </c>
      <c r="M59" s="39">
        <v>1939.5345624603119</v>
      </c>
      <c r="N59" s="39">
        <v>1842.1455542083929</v>
      </c>
      <c r="O59" s="39">
        <v>1795.264126947608</v>
      </c>
      <c r="P59" s="39">
        <v>1817.5843652317801</v>
      </c>
      <c r="Q59" s="39">
        <v>2049.7926850571262</v>
      </c>
      <c r="R59" s="39">
        <v>2374.3396003812491</v>
      </c>
      <c r="S59" s="39">
        <v>2517.6188461646061</v>
      </c>
      <c r="T59" s="39">
        <v>2665.7032073750211</v>
      </c>
      <c r="U59" s="39">
        <v>2716.4170297073538</v>
      </c>
      <c r="V59" s="39">
        <v>2839.478467595186</v>
      </c>
      <c r="W59" s="39">
        <v>2892.8789768947081</v>
      </c>
      <c r="X59" s="39">
        <v>2872.8427845085971</v>
      </c>
      <c r="Y59" s="39">
        <v>2842.888538371059</v>
      </c>
      <c r="Z59" s="39">
        <v>2794.7696630630749</v>
      </c>
      <c r="AA59" s="39">
        <v>2849.0757786070531</v>
      </c>
      <c r="AB59" s="39">
        <v>3023.6452219022858</v>
      </c>
      <c r="AC59" s="39">
        <v>3043.556167892265</v>
      </c>
      <c r="AD59" s="39">
        <v>2901.8375841982861</v>
      </c>
      <c r="AE59" s="39">
        <v>2688.5347857341449</v>
      </c>
      <c r="AF59" s="39">
        <v>2472.116819549195</v>
      </c>
      <c r="AG59" s="39">
        <v>2293.0254578924309</v>
      </c>
      <c r="AH59" s="39">
        <v>59452.423932279467</v>
      </c>
      <c r="AI59" s="39">
        <v>297262.11966139742</v>
      </c>
    </row>
    <row r="60" spans="1:35" x14ac:dyDescent="0.3">
      <c r="A60" s="40">
        <v>2028</v>
      </c>
      <c r="B60" s="40" t="s">
        <v>69</v>
      </c>
      <c r="C60" s="41" t="s">
        <v>54</v>
      </c>
      <c r="D60" s="41" t="s">
        <v>58</v>
      </c>
      <c r="E60" s="40">
        <v>19</v>
      </c>
      <c r="F60" s="40">
        <v>5</v>
      </c>
      <c r="G60" s="40">
        <v>5</v>
      </c>
      <c r="H60" s="40">
        <v>2</v>
      </c>
      <c r="I60" s="40">
        <v>31</v>
      </c>
      <c r="J60" s="39">
        <v>2229.2882557011371</v>
      </c>
      <c r="K60" s="39">
        <v>2129.8183646633811</v>
      </c>
      <c r="L60" s="39">
        <v>2076.1833030355451</v>
      </c>
      <c r="M60" s="39">
        <v>2016.8535178074169</v>
      </c>
      <c r="N60" s="39">
        <v>1982.3588839345109</v>
      </c>
      <c r="O60" s="39">
        <v>1881.3190961204591</v>
      </c>
      <c r="P60" s="39">
        <v>1947.470236753044</v>
      </c>
      <c r="Q60" s="39">
        <v>2120.1917816726318</v>
      </c>
      <c r="R60" s="39">
        <v>2304.9901798455799</v>
      </c>
      <c r="S60" s="39">
        <v>2410.1178557359508</v>
      </c>
      <c r="T60" s="39">
        <v>2496.1789813667478</v>
      </c>
      <c r="U60" s="39">
        <v>2565.1251539069372</v>
      </c>
      <c r="V60" s="39">
        <v>2551.0022393782119</v>
      </c>
      <c r="W60" s="39">
        <v>2587.8110945125568</v>
      </c>
      <c r="X60" s="39">
        <v>2580.620351631323</v>
      </c>
      <c r="Y60" s="39">
        <v>2557.6444505758732</v>
      </c>
      <c r="Z60" s="39">
        <v>2518.0953647290848</v>
      </c>
      <c r="AA60" s="39">
        <v>2702.7090691636458</v>
      </c>
      <c r="AB60" s="39">
        <v>2915.6671059827959</v>
      </c>
      <c r="AC60" s="39">
        <v>2892.4920810358599</v>
      </c>
      <c r="AD60" s="39">
        <v>2710.2855516582881</v>
      </c>
      <c r="AE60" s="39">
        <v>2503.767169850928</v>
      </c>
      <c r="AF60" s="39">
        <v>2307.2407192903511</v>
      </c>
      <c r="AG60" s="39">
        <v>2180.9040457751071</v>
      </c>
      <c r="AH60" s="39">
        <v>57168.134854127369</v>
      </c>
      <c r="AI60" s="39">
        <v>114336.26970825469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M57"/>
  <sheetViews>
    <sheetView view="pageBreakPreview" topLeftCell="A22" zoomScale="60" zoomScaleNormal="100" workbookViewId="0">
      <selection activeCell="F33" sqref="F33:J47"/>
    </sheetView>
  </sheetViews>
  <sheetFormatPr baseColWidth="10" defaultRowHeight="14.4" x14ac:dyDescent="0.3"/>
  <cols>
    <col min="1" max="1" width="19.6640625" customWidth="1"/>
    <col min="2" max="2" width="20.6640625" customWidth="1"/>
    <col min="3" max="3" width="18.44140625" customWidth="1"/>
    <col min="4" max="4" width="20.109375" customWidth="1"/>
    <col min="5" max="5" width="22.109375" customWidth="1"/>
    <col min="6" max="6" width="21.21875" customWidth="1"/>
    <col min="7" max="7" width="21.88671875" customWidth="1"/>
    <col min="8" max="8" width="22.33203125" customWidth="1"/>
    <col min="9" max="9" width="23" customWidth="1"/>
    <col min="10" max="10" width="19" customWidth="1"/>
    <col min="11" max="11" width="19.33203125" customWidth="1"/>
  </cols>
  <sheetData>
    <row r="1" spans="1:13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3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3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3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3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3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pans="1:13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1:13" x14ac:dyDescent="0.3">
      <c r="A19" s="35"/>
      <c r="B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1:13" ht="25.8" customHeight="1" x14ac:dyDescent="0.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ht="28.8" customHeight="1" x14ac:dyDescent="0.3">
      <c r="A22" s="2"/>
      <c r="B22" s="2"/>
      <c r="C22" s="3"/>
      <c r="D22" s="46" t="s">
        <v>0</v>
      </c>
      <c r="E22" s="47"/>
      <c r="F22" s="47"/>
      <c r="G22" s="47"/>
      <c r="H22" s="47"/>
      <c r="I22" s="47"/>
      <c r="J22" s="47"/>
      <c r="K22" s="3"/>
      <c r="M22" s="2"/>
    </row>
    <row r="23" spans="1:13" ht="28.8" customHeight="1" x14ac:dyDescent="0.3">
      <c r="A23" s="2"/>
      <c r="B23" s="2"/>
      <c r="C23" s="49" t="s">
        <v>1</v>
      </c>
      <c r="D23" s="47"/>
      <c r="E23" s="47"/>
      <c r="F23" s="47"/>
      <c r="G23" s="47"/>
      <c r="H23" s="47"/>
      <c r="I23" s="47"/>
      <c r="J23" s="47"/>
      <c r="K23" s="47"/>
      <c r="L23" s="2"/>
      <c r="M23" s="2"/>
    </row>
    <row r="24" spans="1:13" ht="25.8" customHeight="1" x14ac:dyDescent="0.3">
      <c r="A24" s="2"/>
      <c r="B24" s="2"/>
      <c r="C24" s="3"/>
      <c r="D24" s="50"/>
      <c r="E24" s="47"/>
      <c r="F24" s="47"/>
      <c r="G24" s="47"/>
      <c r="H24" s="47"/>
      <c r="I24" s="47"/>
      <c r="J24" s="47"/>
      <c r="K24" s="3"/>
      <c r="L24" s="2"/>
      <c r="M24" s="2"/>
    </row>
    <row r="25" spans="1:13" ht="25.8" customHeight="1" x14ac:dyDescent="0.5">
      <c r="A25" s="4"/>
      <c r="B25" s="5"/>
      <c r="C25" s="5"/>
      <c r="D25" s="6"/>
      <c r="E25" s="7"/>
      <c r="F25" s="7"/>
      <c r="G25" s="7"/>
      <c r="H25" s="7"/>
      <c r="I25" s="7"/>
      <c r="J25" s="8"/>
      <c r="K25" s="9"/>
      <c r="L25" s="4"/>
      <c r="M25" s="4"/>
    </row>
    <row r="26" spans="1:13" ht="25.8" customHeight="1" x14ac:dyDescent="0.5">
      <c r="A26" s="4"/>
      <c r="B26" s="5"/>
      <c r="C26" s="10" t="s">
        <v>2</v>
      </c>
      <c r="D26" s="5"/>
      <c r="E26" s="5"/>
      <c r="F26" s="1"/>
      <c r="G26" s="5"/>
      <c r="H26" s="5"/>
      <c r="I26" s="5"/>
      <c r="J26" s="5"/>
      <c r="K26" s="9"/>
      <c r="L26" s="4"/>
      <c r="M26" s="4"/>
    </row>
    <row r="27" spans="1:13" ht="25.8" customHeight="1" x14ac:dyDescent="0.5">
      <c r="A27" s="4"/>
      <c r="B27" s="5"/>
      <c r="C27" s="10" t="s">
        <v>3</v>
      </c>
      <c r="D27" s="5"/>
      <c r="E27" s="5"/>
      <c r="F27" s="1"/>
      <c r="G27" s="5"/>
      <c r="H27" s="5"/>
      <c r="I27" s="5"/>
      <c r="J27" s="5"/>
      <c r="K27" s="9"/>
      <c r="L27" s="4"/>
      <c r="M27" s="4"/>
    </row>
    <row r="28" spans="1:13" ht="25.8" customHeight="1" x14ac:dyDescent="0.5">
      <c r="A28" s="1"/>
      <c r="B28" s="11"/>
      <c r="C28" s="10" t="s">
        <v>4</v>
      </c>
      <c r="D28" s="5"/>
      <c r="E28" s="5"/>
      <c r="F28" s="1"/>
      <c r="G28" s="11"/>
      <c r="H28" s="11"/>
      <c r="I28" s="11"/>
      <c r="J28" s="11"/>
      <c r="K28" s="12"/>
      <c r="L28" s="1"/>
      <c r="M28" s="1"/>
    </row>
    <row r="29" spans="1:13" ht="25.8" customHeight="1" x14ac:dyDescent="0.5">
      <c r="A29" s="1"/>
      <c r="B29" s="11"/>
      <c r="C29" s="13" t="str">
        <f>"PRODUCTO OFERTADO: "&amp;D24</f>
        <v xml:space="preserve">PRODUCTO OFERTADO: </v>
      </c>
      <c r="D29" s="5"/>
      <c r="E29" s="5"/>
      <c r="F29" s="1"/>
      <c r="G29" s="11"/>
      <c r="H29" s="11"/>
      <c r="I29" s="11"/>
      <c r="J29" s="11"/>
      <c r="K29" s="12"/>
      <c r="L29" s="1"/>
      <c r="M29" s="1"/>
    </row>
    <row r="30" spans="1:13" ht="25.8" customHeight="1" x14ac:dyDescent="0.5">
      <c r="A30" s="1"/>
      <c r="B30" s="11"/>
      <c r="C30" s="13"/>
      <c r="D30" s="5"/>
      <c r="E30" s="5"/>
      <c r="F30" s="1"/>
      <c r="G30" s="11"/>
      <c r="H30" s="11"/>
      <c r="I30" s="11"/>
      <c r="J30" s="11"/>
      <c r="K30" s="12"/>
      <c r="L30" s="1"/>
      <c r="M30" s="1"/>
    </row>
    <row r="31" spans="1:13" ht="25.8" customHeight="1" x14ac:dyDescent="0.5">
      <c r="A31" s="1"/>
      <c r="B31" s="11"/>
      <c r="C31" s="14" t="s">
        <v>75</v>
      </c>
      <c r="D31" s="15"/>
      <c r="E31" s="15"/>
      <c r="F31" s="16"/>
      <c r="G31" s="11"/>
      <c r="H31" s="11"/>
      <c r="I31" s="11"/>
      <c r="J31" s="11"/>
      <c r="K31" s="12"/>
      <c r="L31" s="1"/>
      <c r="M31" s="1"/>
    </row>
    <row r="32" spans="1:13" ht="25.8" customHeight="1" x14ac:dyDescent="0.5">
      <c r="A32" s="1"/>
      <c r="B32" s="17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5.8" customHeight="1" x14ac:dyDescent="0.5">
      <c r="A33" s="1"/>
      <c r="B33" s="1"/>
      <c r="C33" s="1"/>
      <c r="D33" s="1"/>
      <c r="E33" s="1"/>
      <c r="F33" s="51" t="s">
        <v>71</v>
      </c>
      <c r="G33" s="52"/>
      <c r="H33" s="52"/>
      <c r="I33" s="52"/>
      <c r="J33" s="53"/>
      <c r="K33" s="1"/>
      <c r="L33" s="1"/>
      <c r="M33" s="1"/>
    </row>
    <row r="34" spans="1:13" ht="27.6" customHeight="1" x14ac:dyDescent="0.5">
      <c r="A34" s="1"/>
      <c r="B34" s="1"/>
      <c r="C34" s="1"/>
      <c r="D34" s="1"/>
      <c r="E34" s="1"/>
      <c r="F34" s="43" t="s">
        <v>6</v>
      </c>
      <c r="G34" s="43" t="s">
        <v>7</v>
      </c>
      <c r="H34" s="43" t="s">
        <v>8</v>
      </c>
      <c r="I34" s="43" t="s">
        <v>9</v>
      </c>
      <c r="J34" s="43" t="s">
        <v>10</v>
      </c>
      <c r="K34" s="1"/>
      <c r="L34" s="1"/>
      <c r="M34" s="1"/>
    </row>
    <row r="35" spans="1:13" ht="25.8" customHeight="1" x14ac:dyDescent="0.5">
      <c r="A35" s="1"/>
      <c r="B35" s="1"/>
      <c r="C35" s="1"/>
      <c r="D35" s="1"/>
      <c r="E35" s="1"/>
      <c r="F35" s="21">
        <v>47119</v>
      </c>
      <c r="G35" s="37">
        <v>2048.8221071428579</v>
      </c>
      <c r="H35" s="18"/>
      <c r="I35" s="18"/>
      <c r="J35" s="34"/>
      <c r="K35" s="1"/>
      <c r="L35" s="1"/>
      <c r="M35" s="1"/>
    </row>
    <row r="36" spans="1:13" ht="25.8" customHeight="1" x14ac:dyDescent="0.5">
      <c r="A36" s="1"/>
      <c r="B36" s="1"/>
      <c r="C36" s="1"/>
      <c r="D36" s="1"/>
      <c r="E36" s="1"/>
      <c r="F36" s="21">
        <v>47150</v>
      </c>
      <c r="G36" s="37">
        <v>1850.5490000000009</v>
      </c>
      <c r="H36" s="18"/>
      <c r="I36" s="18"/>
      <c r="J36" s="34"/>
      <c r="K36" s="1"/>
      <c r="L36" s="1"/>
      <c r="M36" s="1"/>
    </row>
    <row r="37" spans="1:13" ht="25.8" customHeight="1" x14ac:dyDescent="0.5">
      <c r="A37" s="1"/>
      <c r="B37" s="1"/>
      <c r="C37" s="1"/>
      <c r="D37" s="1"/>
      <c r="E37" s="1"/>
      <c r="F37" s="21">
        <v>47178</v>
      </c>
      <c r="G37" s="37">
        <v>2048.8221071428579</v>
      </c>
      <c r="H37" s="18"/>
      <c r="I37" s="18"/>
      <c r="J37" s="34"/>
      <c r="K37" s="1"/>
      <c r="L37" s="1"/>
      <c r="M37" s="1"/>
    </row>
    <row r="38" spans="1:13" ht="25.8" customHeight="1" x14ac:dyDescent="0.5">
      <c r="A38" s="1"/>
      <c r="B38" s="1"/>
      <c r="C38" s="1"/>
      <c r="D38" s="1"/>
      <c r="E38" s="1"/>
      <c r="F38" s="21">
        <v>47209</v>
      </c>
      <c r="G38" s="37">
        <v>1982.731071428572</v>
      </c>
      <c r="H38" s="18"/>
      <c r="I38" s="18"/>
      <c r="J38" s="34"/>
      <c r="K38" s="1"/>
      <c r="L38" s="1"/>
      <c r="M38" s="1"/>
    </row>
    <row r="39" spans="1:13" ht="25.8" customHeight="1" x14ac:dyDescent="0.5">
      <c r="A39" s="1"/>
      <c r="B39" s="1"/>
      <c r="C39" s="1"/>
      <c r="D39" s="1"/>
      <c r="E39" s="1"/>
      <c r="F39" s="21">
        <v>47239</v>
      </c>
      <c r="G39" s="37">
        <v>2048.8221071428579</v>
      </c>
      <c r="H39" s="18"/>
      <c r="I39" s="18"/>
      <c r="J39" s="34"/>
      <c r="K39" s="1"/>
      <c r="L39" s="1"/>
      <c r="M39" s="1"/>
    </row>
    <row r="40" spans="1:13" ht="25.8" customHeight="1" x14ac:dyDescent="0.5">
      <c r="A40" s="1"/>
      <c r="B40" s="1"/>
      <c r="C40" s="1"/>
      <c r="D40" s="1"/>
      <c r="E40" s="1"/>
      <c r="F40" s="21">
        <v>47270</v>
      </c>
      <c r="G40" s="37">
        <v>1982.731071428572</v>
      </c>
      <c r="H40" s="18"/>
      <c r="I40" s="18"/>
      <c r="J40" s="34"/>
      <c r="K40" s="1"/>
      <c r="L40" s="1"/>
      <c r="M40" s="1"/>
    </row>
    <row r="41" spans="1:13" ht="25.8" customHeight="1" x14ac:dyDescent="0.5">
      <c r="A41" s="19"/>
      <c r="B41" s="20">
        <v>31</v>
      </c>
      <c r="C41" s="1"/>
      <c r="D41" s="1"/>
      <c r="E41" s="1"/>
      <c r="F41" s="21">
        <v>47300</v>
      </c>
      <c r="G41" s="38">
        <v>2048.8221071428579</v>
      </c>
      <c r="H41" s="23"/>
      <c r="I41" s="22"/>
      <c r="J41" s="54"/>
      <c r="K41" s="1"/>
      <c r="L41" s="24"/>
      <c r="M41" s="24"/>
    </row>
    <row r="42" spans="1:13" ht="25.8" customHeight="1" x14ac:dyDescent="0.5">
      <c r="A42" s="19"/>
      <c r="B42" s="20">
        <v>31</v>
      </c>
      <c r="C42" s="1"/>
      <c r="D42" s="1"/>
      <c r="E42" s="1"/>
      <c r="F42" s="21">
        <v>47331</v>
      </c>
      <c r="G42" s="38">
        <v>2048.8221071428579</v>
      </c>
      <c r="H42" s="23"/>
      <c r="I42" s="22"/>
      <c r="J42" s="55"/>
      <c r="K42" s="1"/>
      <c r="L42" s="24"/>
      <c r="M42" s="24"/>
    </row>
    <row r="43" spans="1:13" ht="25.8" customHeight="1" x14ac:dyDescent="0.5">
      <c r="A43" s="25"/>
      <c r="B43" s="20">
        <v>30</v>
      </c>
      <c r="C43" s="1"/>
      <c r="D43" s="1"/>
      <c r="E43" s="1"/>
      <c r="F43" s="21">
        <v>47362</v>
      </c>
      <c r="G43" s="38">
        <v>1982.731071428572</v>
      </c>
      <c r="H43" s="23"/>
      <c r="I43" s="22"/>
      <c r="J43" s="55"/>
      <c r="K43" s="1"/>
      <c r="L43" s="24"/>
      <c r="M43" s="24"/>
    </row>
    <row r="44" spans="1:13" ht="25.8" customHeight="1" x14ac:dyDescent="0.5">
      <c r="A44" s="25"/>
      <c r="B44" s="20">
        <v>31</v>
      </c>
      <c r="C44" s="1"/>
      <c r="D44" s="1"/>
      <c r="E44" s="1"/>
      <c r="F44" s="21">
        <v>47392</v>
      </c>
      <c r="G44" s="38">
        <v>2048.8221071428579</v>
      </c>
      <c r="H44" s="23"/>
      <c r="I44" s="22"/>
      <c r="J44" s="55"/>
      <c r="K44" s="1"/>
      <c r="L44" s="24"/>
      <c r="M44" s="24"/>
    </row>
    <row r="45" spans="1:13" ht="25.8" customHeight="1" x14ac:dyDescent="0.5">
      <c r="A45" s="19"/>
      <c r="B45" s="20">
        <v>30</v>
      </c>
      <c r="C45" s="1"/>
      <c r="D45" s="1"/>
      <c r="E45" s="1"/>
      <c r="F45" s="21">
        <v>47423</v>
      </c>
      <c r="G45" s="38">
        <v>1982.731071428572</v>
      </c>
      <c r="H45" s="23"/>
      <c r="I45" s="22"/>
      <c r="J45" s="55"/>
      <c r="K45" s="1"/>
      <c r="L45" s="24"/>
      <c r="M45" s="24"/>
    </row>
    <row r="46" spans="1:13" ht="25.8" customHeight="1" x14ac:dyDescent="0.5">
      <c r="A46" s="19"/>
      <c r="B46" s="20">
        <v>31</v>
      </c>
      <c r="C46" s="1"/>
      <c r="D46" s="1"/>
      <c r="E46" s="1"/>
      <c r="F46" s="21">
        <v>47453</v>
      </c>
      <c r="G46" s="38">
        <v>2048.8221071428579</v>
      </c>
      <c r="H46" s="23"/>
      <c r="I46" s="22"/>
      <c r="J46" s="56"/>
      <c r="K46" s="1"/>
      <c r="L46" s="24"/>
      <c r="M46" s="24"/>
    </row>
    <row r="47" spans="1:13" ht="25.8" customHeight="1" x14ac:dyDescent="0.5">
      <c r="A47" s="1"/>
      <c r="B47" s="1"/>
      <c r="C47" s="1"/>
      <c r="D47" s="1"/>
      <c r="E47" s="1"/>
      <c r="F47" s="26" t="s">
        <v>11</v>
      </c>
      <c r="G47" s="27">
        <f>SUM(G35:G46)</f>
        <v>24123.228035714288</v>
      </c>
      <c r="H47" s="23">
        <f>I47/G47</f>
        <v>1</v>
      </c>
      <c r="I47" s="27">
        <f>G47</f>
        <v>24123.228035714288</v>
      </c>
      <c r="J47" s="28"/>
      <c r="K47" s="1"/>
      <c r="L47" s="1"/>
      <c r="M47" s="1"/>
    </row>
    <row r="48" spans="1:13" ht="25.8" customHeight="1" x14ac:dyDescent="0.5">
      <c r="A48" s="1"/>
      <c r="B48" s="1"/>
      <c r="C48" s="1"/>
      <c r="D48" s="1"/>
      <c r="E48" s="1"/>
      <c r="F48" s="29"/>
      <c r="G48" s="30"/>
      <c r="H48" s="1"/>
      <c r="I48" s="1"/>
      <c r="J48" s="1"/>
      <c r="K48" s="1"/>
      <c r="L48" s="1"/>
      <c r="M48" s="1"/>
    </row>
    <row r="49" spans="1:13" ht="25.8" customHeight="1" x14ac:dyDescent="0.5">
      <c r="A49" s="1"/>
      <c r="B49" s="31" t="s">
        <v>12</v>
      </c>
      <c r="C49" s="32"/>
      <c r="D49" s="32"/>
      <c r="E49" s="32"/>
      <c r="F49" s="32"/>
      <c r="G49" s="32"/>
      <c r="H49" s="1"/>
      <c r="I49" s="1"/>
      <c r="J49" s="1"/>
      <c r="K49" s="1"/>
      <c r="L49" s="32"/>
      <c r="M49" s="1"/>
    </row>
    <row r="50" spans="1:13" ht="25.8" customHeight="1" x14ac:dyDescent="0.5">
      <c r="A50" s="1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1"/>
    </row>
    <row r="51" spans="1:13" ht="25.8" customHeight="1" x14ac:dyDescent="0.5">
      <c r="A51" s="1"/>
      <c r="B51" s="48" t="s">
        <v>13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1"/>
    </row>
    <row r="52" spans="1:13" ht="25.8" customHeight="1" x14ac:dyDescent="0.5">
      <c r="A52" s="1"/>
      <c r="B52" s="48" t="s">
        <v>14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1"/>
    </row>
    <row r="53" spans="1:13" ht="25.8" customHeight="1" x14ac:dyDescent="0.5">
      <c r="A53" s="1"/>
      <c r="B53" s="44" t="s">
        <v>15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1"/>
    </row>
    <row r="54" spans="1:13" ht="25.8" customHeight="1" x14ac:dyDescent="0.5">
      <c r="A54" s="1"/>
      <c r="B54" s="44" t="s">
        <v>16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1"/>
    </row>
    <row r="55" spans="1:13" ht="25.8" customHeight="1" x14ac:dyDescent="0.5">
      <c r="A55" s="16"/>
      <c r="B55" s="44" t="s">
        <v>72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1"/>
    </row>
    <row r="56" spans="1:13" ht="25.8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5.8" customHeight="1" x14ac:dyDescent="0.5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1"/>
    </row>
  </sheetData>
  <mergeCells count="10">
    <mergeCell ref="B53:L53"/>
    <mergeCell ref="D22:J22"/>
    <mergeCell ref="B52:L52"/>
    <mergeCell ref="B54:L54"/>
    <mergeCell ref="B55:L55"/>
    <mergeCell ref="B51:L51"/>
    <mergeCell ref="C23:K23"/>
    <mergeCell ref="D24:J24"/>
    <mergeCell ref="F33:J33"/>
    <mergeCell ref="J41:J46"/>
  </mergeCells>
  <pageMargins left="0.7" right="0.7" top="0.75" bottom="0.75" header="0.3" footer="0.3"/>
  <pageSetup paperSize="9" scale="3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I60"/>
  <sheetViews>
    <sheetView workbookViewId="0">
      <pane ySplit="1" topLeftCell="A2" activePane="bottomLeft" state="frozen"/>
      <selection activeCell="B55" sqref="B55:L55"/>
      <selection pane="bottomLeft" activeCell="B27" sqref="B27:B30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20" customWidth="1"/>
    <col min="4" max="4" width="12" customWidth="1"/>
    <col min="5" max="8" width="8" customWidth="1"/>
    <col min="9" max="9" width="9" customWidth="1"/>
    <col min="10" max="33" width="11" customWidth="1"/>
    <col min="34" max="34" width="15" customWidth="1"/>
    <col min="35" max="35" width="19" customWidth="1"/>
  </cols>
  <sheetData>
    <row r="1" spans="1:35" ht="27.6" customHeight="1" x14ac:dyDescent="0.3">
      <c r="A1" s="43" t="s">
        <v>18</v>
      </c>
      <c r="B1" s="43" t="s">
        <v>19</v>
      </c>
      <c r="C1" s="43" t="s">
        <v>20</v>
      </c>
      <c r="D1" s="43" t="s">
        <v>21</v>
      </c>
      <c r="E1" s="43" t="s">
        <v>22</v>
      </c>
      <c r="F1" s="43" t="s">
        <v>23</v>
      </c>
      <c r="G1" s="43" t="s">
        <v>24</v>
      </c>
      <c r="H1" s="43" t="s">
        <v>25</v>
      </c>
      <c r="I1" s="43" t="s">
        <v>26</v>
      </c>
      <c r="J1" s="43" t="s">
        <v>27</v>
      </c>
      <c r="K1" s="43" t="s">
        <v>28</v>
      </c>
      <c r="L1" s="43" t="s">
        <v>29</v>
      </c>
      <c r="M1" s="43" t="s">
        <v>30</v>
      </c>
      <c r="N1" s="43" t="s">
        <v>31</v>
      </c>
      <c r="O1" s="43" t="s">
        <v>32</v>
      </c>
      <c r="P1" s="43" t="s">
        <v>33</v>
      </c>
      <c r="Q1" s="43" t="s">
        <v>34</v>
      </c>
      <c r="R1" s="43" t="s">
        <v>35</v>
      </c>
      <c r="S1" s="43" t="s">
        <v>36</v>
      </c>
      <c r="T1" s="43" t="s">
        <v>37</v>
      </c>
      <c r="U1" s="43" t="s">
        <v>38</v>
      </c>
      <c r="V1" s="43" t="s">
        <v>39</v>
      </c>
      <c r="W1" s="43" t="s">
        <v>40</v>
      </c>
      <c r="X1" s="43" t="s">
        <v>41</v>
      </c>
      <c r="Y1" s="43" t="s">
        <v>42</v>
      </c>
      <c r="Z1" s="43" t="s">
        <v>43</v>
      </c>
      <c r="AA1" s="43" t="s">
        <v>44</v>
      </c>
      <c r="AB1" s="43" t="s">
        <v>45</v>
      </c>
      <c r="AC1" s="43" t="s">
        <v>46</v>
      </c>
      <c r="AD1" s="43" t="s">
        <v>47</v>
      </c>
      <c r="AE1" s="43" t="s">
        <v>48</v>
      </c>
      <c r="AF1" s="43" t="s">
        <v>49</v>
      </c>
      <c r="AG1" s="43" t="s">
        <v>50</v>
      </c>
      <c r="AH1" s="43" t="s">
        <v>51</v>
      </c>
      <c r="AI1" s="43" t="s">
        <v>52</v>
      </c>
    </row>
    <row r="2" spans="1:35" x14ac:dyDescent="0.3">
      <c r="A2" s="40">
        <v>2029</v>
      </c>
      <c r="B2" s="40" t="s">
        <v>53</v>
      </c>
      <c r="C2" s="41" t="s">
        <v>54</v>
      </c>
      <c r="D2" s="41" t="s">
        <v>55</v>
      </c>
      <c r="E2" s="40">
        <v>21</v>
      </c>
      <c r="F2" s="40">
        <v>4</v>
      </c>
      <c r="G2" s="40">
        <v>4</v>
      </c>
      <c r="H2" s="40">
        <v>2</v>
      </c>
      <c r="I2" s="40">
        <v>31</v>
      </c>
      <c r="J2" s="39">
        <v>2753.793154761905</v>
      </c>
      <c r="K2" s="39">
        <v>2753.793154761905</v>
      </c>
      <c r="L2" s="39">
        <v>2753.793154761905</v>
      </c>
      <c r="M2" s="39">
        <v>2753.793154761905</v>
      </c>
      <c r="N2" s="39">
        <v>2753.793154761905</v>
      </c>
      <c r="O2" s="39">
        <v>2753.793154761905</v>
      </c>
      <c r="P2" s="39">
        <v>2753.793154761905</v>
      </c>
      <c r="Q2" s="39">
        <v>2753.793154761905</v>
      </c>
      <c r="R2" s="39">
        <v>2753.793154761905</v>
      </c>
      <c r="S2" s="39">
        <v>2753.793154761905</v>
      </c>
      <c r="T2" s="39">
        <v>2753.793154761905</v>
      </c>
      <c r="U2" s="39">
        <v>2753.793154761905</v>
      </c>
      <c r="V2" s="39">
        <v>2753.793154761905</v>
      </c>
      <c r="W2" s="39">
        <v>2753.793154761905</v>
      </c>
      <c r="X2" s="39">
        <v>2753.793154761905</v>
      </c>
      <c r="Y2" s="39">
        <v>2753.793154761905</v>
      </c>
      <c r="Z2" s="39">
        <v>2753.793154761905</v>
      </c>
      <c r="AA2" s="39">
        <v>2753.793154761905</v>
      </c>
      <c r="AB2" s="39">
        <v>2753.793154761905</v>
      </c>
      <c r="AC2" s="39">
        <v>2753.793154761905</v>
      </c>
      <c r="AD2" s="39">
        <v>2753.793154761905</v>
      </c>
      <c r="AE2" s="39">
        <v>2753.793154761905</v>
      </c>
      <c r="AF2" s="39">
        <v>2753.793154761905</v>
      </c>
      <c r="AG2" s="39">
        <v>2753.793154761905</v>
      </c>
      <c r="AH2" s="39">
        <v>66091.035714285739</v>
      </c>
      <c r="AI2" s="39">
        <v>1387911.75</v>
      </c>
    </row>
    <row r="3" spans="1:35" x14ac:dyDescent="0.3">
      <c r="A3" s="40">
        <v>2029</v>
      </c>
      <c r="B3" s="40" t="s">
        <v>53</v>
      </c>
      <c r="C3" s="41" t="s">
        <v>54</v>
      </c>
      <c r="D3" s="41" t="s">
        <v>56</v>
      </c>
      <c r="E3" s="40">
        <v>21</v>
      </c>
      <c r="F3" s="40">
        <v>4</v>
      </c>
      <c r="G3" s="40">
        <v>4</v>
      </c>
      <c r="H3" s="40">
        <v>2</v>
      </c>
      <c r="I3" s="40">
        <v>31</v>
      </c>
      <c r="J3" s="39">
        <v>2753.793154761905</v>
      </c>
      <c r="K3" s="39">
        <v>2753.793154761905</v>
      </c>
      <c r="L3" s="39">
        <v>2753.793154761905</v>
      </c>
      <c r="M3" s="39">
        <v>2753.793154761905</v>
      </c>
      <c r="N3" s="39">
        <v>2753.793154761905</v>
      </c>
      <c r="O3" s="39">
        <v>2753.793154761905</v>
      </c>
      <c r="P3" s="39">
        <v>2753.793154761905</v>
      </c>
      <c r="Q3" s="39">
        <v>2753.793154761905</v>
      </c>
      <c r="R3" s="39">
        <v>2753.793154761905</v>
      </c>
      <c r="S3" s="39">
        <v>2753.793154761905</v>
      </c>
      <c r="T3" s="39">
        <v>2753.793154761905</v>
      </c>
      <c r="U3" s="39">
        <v>2753.793154761905</v>
      </c>
      <c r="V3" s="39">
        <v>2753.793154761905</v>
      </c>
      <c r="W3" s="39">
        <v>2753.793154761905</v>
      </c>
      <c r="X3" s="39">
        <v>2753.793154761905</v>
      </c>
      <c r="Y3" s="39">
        <v>2753.793154761905</v>
      </c>
      <c r="Z3" s="39">
        <v>2753.793154761905</v>
      </c>
      <c r="AA3" s="39">
        <v>2753.793154761905</v>
      </c>
      <c r="AB3" s="39">
        <v>2753.793154761905</v>
      </c>
      <c r="AC3" s="39">
        <v>2753.793154761905</v>
      </c>
      <c r="AD3" s="39">
        <v>2753.793154761905</v>
      </c>
      <c r="AE3" s="39">
        <v>2753.793154761905</v>
      </c>
      <c r="AF3" s="39">
        <v>2753.793154761905</v>
      </c>
      <c r="AG3" s="39">
        <v>2753.793154761905</v>
      </c>
      <c r="AH3" s="39">
        <v>66091.035714285739</v>
      </c>
      <c r="AI3" s="39">
        <v>264364.14285714302</v>
      </c>
    </row>
    <row r="4" spans="1:35" x14ac:dyDescent="0.3">
      <c r="A4" s="40">
        <v>2029</v>
      </c>
      <c r="B4" s="40" t="s">
        <v>53</v>
      </c>
      <c r="C4" s="41" t="s">
        <v>54</v>
      </c>
      <c r="D4" s="41" t="s">
        <v>57</v>
      </c>
      <c r="E4" s="40">
        <v>21</v>
      </c>
      <c r="F4" s="40">
        <v>4</v>
      </c>
      <c r="G4" s="40">
        <v>4</v>
      </c>
      <c r="H4" s="40">
        <v>2</v>
      </c>
      <c r="I4" s="40">
        <v>31</v>
      </c>
      <c r="J4" s="39">
        <v>2753.793154761905</v>
      </c>
      <c r="K4" s="39">
        <v>2753.793154761905</v>
      </c>
      <c r="L4" s="39">
        <v>2753.793154761905</v>
      </c>
      <c r="M4" s="39">
        <v>2753.793154761905</v>
      </c>
      <c r="N4" s="39">
        <v>2753.793154761905</v>
      </c>
      <c r="O4" s="39">
        <v>2753.793154761905</v>
      </c>
      <c r="P4" s="39">
        <v>2753.793154761905</v>
      </c>
      <c r="Q4" s="39">
        <v>2753.793154761905</v>
      </c>
      <c r="R4" s="39">
        <v>2753.793154761905</v>
      </c>
      <c r="S4" s="39">
        <v>2753.793154761905</v>
      </c>
      <c r="T4" s="39">
        <v>2753.793154761905</v>
      </c>
      <c r="U4" s="39">
        <v>2753.793154761905</v>
      </c>
      <c r="V4" s="39">
        <v>2753.793154761905</v>
      </c>
      <c r="W4" s="39">
        <v>2753.793154761905</v>
      </c>
      <c r="X4" s="39">
        <v>2753.793154761905</v>
      </c>
      <c r="Y4" s="39">
        <v>2753.793154761905</v>
      </c>
      <c r="Z4" s="39">
        <v>2753.793154761905</v>
      </c>
      <c r="AA4" s="39">
        <v>2753.793154761905</v>
      </c>
      <c r="AB4" s="39">
        <v>2753.793154761905</v>
      </c>
      <c r="AC4" s="39">
        <v>2753.793154761905</v>
      </c>
      <c r="AD4" s="39">
        <v>2753.793154761905</v>
      </c>
      <c r="AE4" s="39">
        <v>2753.793154761905</v>
      </c>
      <c r="AF4" s="39">
        <v>2753.793154761905</v>
      </c>
      <c r="AG4" s="39">
        <v>2753.793154761905</v>
      </c>
      <c r="AH4" s="39">
        <v>66091.035714285739</v>
      </c>
      <c r="AI4" s="39">
        <v>264364.14285714302</v>
      </c>
    </row>
    <row r="5" spans="1:35" x14ac:dyDescent="0.3">
      <c r="A5" s="40">
        <v>2029</v>
      </c>
      <c r="B5" s="40" t="s">
        <v>53</v>
      </c>
      <c r="C5" s="41" t="s">
        <v>54</v>
      </c>
      <c r="D5" s="41" t="s">
        <v>58</v>
      </c>
      <c r="E5" s="40">
        <v>21</v>
      </c>
      <c r="F5" s="40">
        <v>4</v>
      </c>
      <c r="G5" s="40">
        <v>4</v>
      </c>
      <c r="H5" s="40">
        <v>2</v>
      </c>
      <c r="I5" s="40">
        <v>31</v>
      </c>
      <c r="J5" s="39">
        <v>2753.793154761905</v>
      </c>
      <c r="K5" s="39">
        <v>2753.793154761905</v>
      </c>
      <c r="L5" s="39">
        <v>2753.793154761905</v>
      </c>
      <c r="M5" s="39">
        <v>2753.793154761905</v>
      </c>
      <c r="N5" s="39">
        <v>2753.793154761905</v>
      </c>
      <c r="O5" s="39">
        <v>2753.793154761905</v>
      </c>
      <c r="P5" s="39">
        <v>2753.793154761905</v>
      </c>
      <c r="Q5" s="39">
        <v>2753.793154761905</v>
      </c>
      <c r="R5" s="39">
        <v>2753.793154761905</v>
      </c>
      <c r="S5" s="39">
        <v>2753.793154761905</v>
      </c>
      <c r="T5" s="39">
        <v>2753.793154761905</v>
      </c>
      <c r="U5" s="39">
        <v>2753.793154761905</v>
      </c>
      <c r="V5" s="39">
        <v>2753.793154761905</v>
      </c>
      <c r="W5" s="39">
        <v>2753.793154761905</v>
      </c>
      <c r="X5" s="39">
        <v>2753.793154761905</v>
      </c>
      <c r="Y5" s="39">
        <v>2753.793154761905</v>
      </c>
      <c r="Z5" s="39">
        <v>2753.793154761905</v>
      </c>
      <c r="AA5" s="39">
        <v>2753.793154761905</v>
      </c>
      <c r="AB5" s="39">
        <v>2753.793154761905</v>
      </c>
      <c r="AC5" s="39">
        <v>2753.793154761905</v>
      </c>
      <c r="AD5" s="39">
        <v>2753.793154761905</v>
      </c>
      <c r="AE5" s="39">
        <v>2753.793154761905</v>
      </c>
      <c r="AF5" s="39">
        <v>2753.793154761905</v>
      </c>
      <c r="AG5" s="39">
        <v>2753.793154761905</v>
      </c>
      <c r="AH5" s="39">
        <v>66091.035714285739</v>
      </c>
      <c r="AI5" s="39">
        <v>132182.07142857151</v>
      </c>
    </row>
    <row r="6" spans="1:35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</row>
    <row r="7" spans="1:35" x14ac:dyDescent="0.3">
      <c r="A7" s="40">
        <v>2029</v>
      </c>
      <c r="B7" s="40" t="s">
        <v>59</v>
      </c>
      <c r="C7" s="41" t="s">
        <v>54</v>
      </c>
      <c r="D7" s="41" t="s">
        <v>55</v>
      </c>
      <c r="E7" s="40">
        <v>20</v>
      </c>
      <c r="F7" s="40">
        <v>4</v>
      </c>
      <c r="G7" s="40">
        <v>4</v>
      </c>
      <c r="H7" s="40">
        <v>0</v>
      </c>
      <c r="I7" s="40">
        <v>28</v>
      </c>
      <c r="J7" s="39">
        <v>2753.793154761905</v>
      </c>
      <c r="K7" s="39">
        <v>2753.793154761905</v>
      </c>
      <c r="L7" s="39">
        <v>2753.793154761905</v>
      </c>
      <c r="M7" s="39">
        <v>2753.793154761905</v>
      </c>
      <c r="N7" s="39">
        <v>2753.793154761905</v>
      </c>
      <c r="O7" s="39">
        <v>2753.793154761905</v>
      </c>
      <c r="P7" s="39">
        <v>2753.793154761905</v>
      </c>
      <c r="Q7" s="39">
        <v>2753.793154761905</v>
      </c>
      <c r="R7" s="39">
        <v>2753.793154761905</v>
      </c>
      <c r="S7" s="39">
        <v>2753.793154761905</v>
      </c>
      <c r="T7" s="39">
        <v>2753.793154761905</v>
      </c>
      <c r="U7" s="39">
        <v>2753.793154761905</v>
      </c>
      <c r="V7" s="39">
        <v>2753.793154761905</v>
      </c>
      <c r="W7" s="39">
        <v>2753.793154761905</v>
      </c>
      <c r="X7" s="39">
        <v>2753.793154761905</v>
      </c>
      <c r="Y7" s="39">
        <v>2753.793154761905</v>
      </c>
      <c r="Z7" s="39">
        <v>2753.793154761905</v>
      </c>
      <c r="AA7" s="39">
        <v>2753.793154761905</v>
      </c>
      <c r="AB7" s="39">
        <v>2753.793154761905</v>
      </c>
      <c r="AC7" s="39">
        <v>2753.793154761905</v>
      </c>
      <c r="AD7" s="39">
        <v>2753.793154761905</v>
      </c>
      <c r="AE7" s="39">
        <v>2753.793154761905</v>
      </c>
      <c r="AF7" s="39">
        <v>2753.793154761905</v>
      </c>
      <c r="AG7" s="39">
        <v>2753.793154761905</v>
      </c>
      <c r="AH7" s="39">
        <v>66091.035714285739</v>
      </c>
      <c r="AI7" s="39">
        <v>1321820.714285715</v>
      </c>
    </row>
    <row r="8" spans="1:35" x14ac:dyDescent="0.3">
      <c r="A8" s="40">
        <v>2029</v>
      </c>
      <c r="B8" s="40" t="s">
        <v>59</v>
      </c>
      <c r="C8" s="41" t="s">
        <v>54</v>
      </c>
      <c r="D8" s="41" t="s">
        <v>56</v>
      </c>
      <c r="E8" s="40">
        <v>20</v>
      </c>
      <c r="F8" s="40">
        <v>4</v>
      </c>
      <c r="G8" s="40">
        <v>4</v>
      </c>
      <c r="H8" s="40">
        <v>0</v>
      </c>
      <c r="I8" s="40">
        <v>28</v>
      </c>
      <c r="J8" s="39">
        <v>2753.793154761905</v>
      </c>
      <c r="K8" s="39">
        <v>2753.793154761905</v>
      </c>
      <c r="L8" s="39">
        <v>2753.793154761905</v>
      </c>
      <c r="M8" s="39">
        <v>2753.793154761905</v>
      </c>
      <c r="N8" s="39">
        <v>2753.793154761905</v>
      </c>
      <c r="O8" s="39">
        <v>2753.793154761905</v>
      </c>
      <c r="P8" s="39">
        <v>2753.793154761905</v>
      </c>
      <c r="Q8" s="39">
        <v>2753.793154761905</v>
      </c>
      <c r="R8" s="39">
        <v>2753.793154761905</v>
      </c>
      <c r="S8" s="39">
        <v>2753.793154761905</v>
      </c>
      <c r="T8" s="39">
        <v>2753.793154761905</v>
      </c>
      <c r="U8" s="39">
        <v>2753.793154761905</v>
      </c>
      <c r="V8" s="39">
        <v>2753.793154761905</v>
      </c>
      <c r="W8" s="39">
        <v>2753.793154761905</v>
      </c>
      <c r="X8" s="39">
        <v>2753.793154761905</v>
      </c>
      <c r="Y8" s="39">
        <v>2753.793154761905</v>
      </c>
      <c r="Z8" s="39">
        <v>2753.793154761905</v>
      </c>
      <c r="AA8" s="39">
        <v>2753.793154761905</v>
      </c>
      <c r="AB8" s="39">
        <v>2753.793154761905</v>
      </c>
      <c r="AC8" s="39">
        <v>2753.793154761905</v>
      </c>
      <c r="AD8" s="39">
        <v>2753.793154761905</v>
      </c>
      <c r="AE8" s="39">
        <v>2753.793154761905</v>
      </c>
      <c r="AF8" s="39">
        <v>2753.793154761905</v>
      </c>
      <c r="AG8" s="39">
        <v>2753.793154761905</v>
      </c>
      <c r="AH8" s="39">
        <v>66091.035714285739</v>
      </c>
      <c r="AI8" s="39">
        <v>264364.14285714302</v>
      </c>
    </row>
    <row r="9" spans="1:35" x14ac:dyDescent="0.3">
      <c r="A9" s="40">
        <v>2029</v>
      </c>
      <c r="B9" s="40" t="s">
        <v>59</v>
      </c>
      <c r="C9" s="41" t="s">
        <v>54</v>
      </c>
      <c r="D9" s="41" t="s">
        <v>57</v>
      </c>
      <c r="E9" s="40">
        <v>20</v>
      </c>
      <c r="F9" s="40">
        <v>4</v>
      </c>
      <c r="G9" s="40">
        <v>4</v>
      </c>
      <c r="H9" s="40">
        <v>0</v>
      </c>
      <c r="I9" s="40">
        <v>28</v>
      </c>
      <c r="J9" s="39">
        <v>2753.793154761905</v>
      </c>
      <c r="K9" s="39">
        <v>2753.793154761905</v>
      </c>
      <c r="L9" s="39">
        <v>2753.793154761905</v>
      </c>
      <c r="M9" s="39">
        <v>2753.793154761905</v>
      </c>
      <c r="N9" s="39">
        <v>2753.793154761905</v>
      </c>
      <c r="O9" s="39">
        <v>2753.793154761905</v>
      </c>
      <c r="P9" s="39">
        <v>2753.793154761905</v>
      </c>
      <c r="Q9" s="39">
        <v>2753.793154761905</v>
      </c>
      <c r="R9" s="39">
        <v>2753.793154761905</v>
      </c>
      <c r="S9" s="39">
        <v>2753.793154761905</v>
      </c>
      <c r="T9" s="39">
        <v>2753.793154761905</v>
      </c>
      <c r="U9" s="39">
        <v>2753.793154761905</v>
      </c>
      <c r="V9" s="39">
        <v>2753.793154761905</v>
      </c>
      <c r="W9" s="39">
        <v>2753.793154761905</v>
      </c>
      <c r="X9" s="39">
        <v>2753.793154761905</v>
      </c>
      <c r="Y9" s="39">
        <v>2753.793154761905</v>
      </c>
      <c r="Z9" s="39">
        <v>2753.793154761905</v>
      </c>
      <c r="AA9" s="39">
        <v>2753.793154761905</v>
      </c>
      <c r="AB9" s="39">
        <v>2753.793154761905</v>
      </c>
      <c r="AC9" s="39">
        <v>2753.793154761905</v>
      </c>
      <c r="AD9" s="39">
        <v>2753.793154761905</v>
      </c>
      <c r="AE9" s="39">
        <v>2753.793154761905</v>
      </c>
      <c r="AF9" s="39">
        <v>2753.793154761905</v>
      </c>
      <c r="AG9" s="39">
        <v>2753.793154761905</v>
      </c>
      <c r="AH9" s="39">
        <v>66091.035714285739</v>
      </c>
      <c r="AI9" s="39">
        <v>264364.14285714302</v>
      </c>
    </row>
    <row r="10" spans="1:35" x14ac:dyDescent="0.3">
      <c r="A10" s="40">
        <v>2029</v>
      </c>
      <c r="B10" s="40" t="s">
        <v>59</v>
      </c>
      <c r="C10" s="41" t="s">
        <v>54</v>
      </c>
      <c r="D10" s="41" t="s">
        <v>58</v>
      </c>
      <c r="E10" s="40">
        <v>20</v>
      </c>
      <c r="F10" s="40">
        <v>4</v>
      </c>
      <c r="G10" s="40">
        <v>4</v>
      </c>
      <c r="H10" s="40">
        <v>0</v>
      </c>
      <c r="I10" s="40">
        <v>28</v>
      </c>
      <c r="J10" s="39">
        <v>2753.793154761905</v>
      </c>
      <c r="K10" s="39">
        <v>2753.793154761905</v>
      </c>
      <c r="L10" s="39">
        <v>2753.793154761905</v>
      </c>
      <c r="M10" s="39">
        <v>2753.793154761905</v>
      </c>
      <c r="N10" s="39">
        <v>2753.793154761905</v>
      </c>
      <c r="O10" s="39">
        <v>2753.793154761905</v>
      </c>
      <c r="P10" s="39">
        <v>2753.793154761905</v>
      </c>
      <c r="Q10" s="39">
        <v>2753.793154761905</v>
      </c>
      <c r="R10" s="39">
        <v>2753.793154761905</v>
      </c>
      <c r="S10" s="39">
        <v>2753.793154761905</v>
      </c>
      <c r="T10" s="39">
        <v>2753.793154761905</v>
      </c>
      <c r="U10" s="39">
        <v>2753.793154761905</v>
      </c>
      <c r="V10" s="39">
        <v>2753.793154761905</v>
      </c>
      <c r="W10" s="39">
        <v>2753.793154761905</v>
      </c>
      <c r="X10" s="39">
        <v>2753.793154761905</v>
      </c>
      <c r="Y10" s="39">
        <v>2753.793154761905</v>
      </c>
      <c r="Z10" s="39">
        <v>2753.793154761905</v>
      </c>
      <c r="AA10" s="39">
        <v>2753.793154761905</v>
      </c>
      <c r="AB10" s="39">
        <v>2753.793154761905</v>
      </c>
      <c r="AC10" s="39">
        <v>2753.793154761905</v>
      </c>
      <c r="AD10" s="39">
        <v>2753.793154761905</v>
      </c>
      <c r="AE10" s="39">
        <v>2753.793154761905</v>
      </c>
      <c r="AF10" s="39">
        <v>2753.793154761905</v>
      </c>
      <c r="AG10" s="39">
        <v>2753.793154761905</v>
      </c>
      <c r="AH10" s="39">
        <v>66091.035714285739</v>
      </c>
      <c r="AI10" s="39">
        <v>0</v>
      </c>
    </row>
    <row r="11" spans="1:35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r="12" spans="1:35" x14ac:dyDescent="0.3">
      <c r="A12" s="40">
        <v>2029</v>
      </c>
      <c r="B12" s="40" t="s">
        <v>60</v>
      </c>
      <c r="C12" s="41" t="s">
        <v>54</v>
      </c>
      <c r="D12" s="41" t="s">
        <v>55</v>
      </c>
      <c r="E12" s="40">
        <v>19</v>
      </c>
      <c r="F12" s="40">
        <v>5</v>
      </c>
      <c r="G12" s="40">
        <v>4</v>
      </c>
      <c r="H12" s="40">
        <v>3</v>
      </c>
      <c r="I12" s="40">
        <v>31</v>
      </c>
      <c r="J12" s="39">
        <v>2753.793154761905</v>
      </c>
      <c r="K12" s="39">
        <v>2753.793154761905</v>
      </c>
      <c r="L12" s="39">
        <v>2753.793154761905</v>
      </c>
      <c r="M12" s="39">
        <v>2753.793154761905</v>
      </c>
      <c r="N12" s="39">
        <v>2753.793154761905</v>
      </c>
      <c r="O12" s="39">
        <v>2753.793154761905</v>
      </c>
      <c r="P12" s="39">
        <v>2753.793154761905</v>
      </c>
      <c r="Q12" s="39">
        <v>2753.793154761905</v>
      </c>
      <c r="R12" s="39">
        <v>2753.793154761905</v>
      </c>
      <c r="S12" s="39">
        <v>2753.793154761905</v>
      </c>
      <c r="T12" s="39">
        <v>2753.793154761905</v>
      </c>
      <c r="U12" s="39">
        <v>2753.793154761905</v>
      </c>
      <c r="V12" s="39">
        <v>2753.793154761905</v>
      </c>
      <c r="W12" s="39">
        <v>2753.793154761905</v>
      </c>
      <c r="X12" s="39">
        <v>2753.793154761905</v>
      </c>
      <c r="Y12" s="39">
        <v>2753.793154761905</v>
      </c>
      <c r="Z12" s="39">
        <v>2753.793154761905</v>
      </c>
      <c r="AA12" s="39">
        <v>2753.793154761905</v>
      </c>
      <c r="AB12" s="39">
        <v>2753.793154761905</v>
      </c>
      <c r="AC12" s="39">
        <v>2753.793154761905</v>
      </c>
      <c r="AD12" s="39">
        <v>2753.793154761905</v>
      </c>
      <c r="AE12" s="39">
        <v>2753.793154761905</v>
      </c>
      <c r="AF12" s="39">
        <v>2753.793154761905</v>
      </c>
      <c r="AG12" s="39">
        <v>2753.793154761905</v>
      </c>
      <c r="AH12" s="39">
        <v>66091.035714285739</v>
      </c>
      <c r="AI12" s="39">
        <v>1255729.6785714291</v>
      </c>
    </row>
    <row r="13" spans="1:35" x14ac:dyDescent="0.3">
      <c r="A13" s="40">
        <v>2029</v>
      </c>
      <c r="B13" s="40" t="s">
        <v>60</v>
      </c>
      <c r="C13" s="41" t="s">
        <v>54</v>
      </c>
      <c r="D13" s="41" t="s">
        <v>56</v>
      </c>
      <c r="E13" s="40">
        <v>19</v>
      </c>
      <c r="F13" s="40">
        <v>5</v>
      </c>
      <c r="G13" s="40">
        <v>4</v>
      </c>
      <c r="H13" s="40">
        <v>3</v>
      </c>
      <c r="I13" s="40">
        <v>31</v>
      </c>
      <c r="J13" s="39">
        <v>2753.793154761905</v>
      </c>
      <c r="K13" s="39">
        <v>2753.793154761905</v>
      </c>
      <c r="L13" s="39">
        <v>2753.793154761905</v>
      </c>
      <c r="M13" s="39">
        <v>2753.793154761905</v>
      </c>
      <c r="N13" s="39">
        <v>2753.793154761905</v>
      </c>
      <c r="O13" s="39">
        <v>2753.793154761905</v>
      </c>
      <c r="P13" s="39">
        <v>2753.793154761905</v>
      </c>
      <c r="Q13" s="39">
        <v>2753.793154761905</v>
      </c>
      <c r="R13" s="39">
        <v>2753.793154761905</v>
      </c>
      <c r="S13" s="39">
        <v>2753.793154761905</v>
      </c>
      <c r="T13" s="39">
        <v>2753.793154761905</v>
      </c>
      <c r="U13" s="39">
        <v>2753.793154761905</v>
      </c>
      <c r="V13" s="39">
        <v>2753.793154761905</v>
      </c>
      <c r="W13" s="39">
        <v>2753.793154761905</v>
      </c>
      <c r="X13" s="39">
        <v>2753.793154761905</v>
      </c>
      <c r="Y13" s="39">
        <v>2753.793154761905</v>
      </c>
      <c r="Z13" s="39">
        <v>2753.793154761905</v>
      </c>
      <c r="AA13" s="39">
        <v>2753.793154761905</v>
      </c>
      <c r="AB13" s="39">
        <v>2753.793154761905</v>
      </c>
      <c r="AC13" s="39">
        <v>2753.793154761905</v>
      </c>
      <c r="AD13" s="39">
        <v>2753.793154761905</v>
      </c>
      <c r="AE13" s="39">
        <v>2753.793154761905</v>
      </c>
      <c r="AF13" s="39">
        <v>2753.793154761905</v>
      </c>
      <c r="AG13" s="39">
        <v>2753.793154761905</v>
      </c>
      <c r="AH13" s="39">
        <v>66091.035714285739</v>
      </c>
      <c r="AI13" s="39">
        <v>330455.1785714287</v>
      </c>
    </row>
    <row r="14" spans="1:35" x14ac:dyDescent="0.3">
      <c r="A14" s="40">
        <v>2029</v>
      </c>
      <c r="B14" s="40" t="s">
        <v>60</v>
      </c>
      <c r="C14" s="41" t="s">
        <v>54</v>
      </c>
      <c r="D14" s="41" t="s">
        <v>57</v>
      </c>
      <c r="E14" s="40">
        <v>19</v>
      </c>
      <c r="F14" s="40">
        <v>5</v>
      </c>
      <c r="G14" s="40">
        <v>4</v>
      </c>
      <c r="H14" s="40">
        <v>3</v>
      </c>
      <c r="I14" s="40">
        <v>31</v>
      </c>
      <c r="J14" s="39">
        <v>2753.793154761905</v>
      </c>
      <c r="K14" s="39">
        <v>2753.793154761905</v>
      </c>
      <c r="L14" s="39">
        <v>2753.793154761905</v>
      </c>
      <c r="M14" s="39">
        <v>2753.793154761905</v>
      </c>
      <c r="N14" s="39">
        <v>2753.793154761905</v>
      </c>
      <c r="O14" s="39">
        <v>2753.793154761905</v>
      </c>
      <c r="P14" s="39">
        <v>2753.793154761905</v>
      </c>
      <c r="Q14" s="39">
        <v>2753.793154761905</v>
      </c>
      <c r="R14" s="39">
        <v>2753.793154761905</v>
      </c>
      <c r="S14" s="39">
        <v>2753.793154761905</v>
      </c>
      <c r="T14" s="39">
        <v>2753.793154761905</v>
      </c>
      <c r="U14" s="39">
        <v>2753.793154761905</v>
      </c>
      <c r="V14" s="39">
        <v>2753.793154761905</v>
      </c>
      <c r="W14" s="39">
        <v>2753.793154761905</v>
      </c>
      <c r="X14" s="39">
        <v>2753.793154761905</v>
      </c>
      <c r="Y14" s="39">
        <v>2753.793154761905</v>
      </c>
      <c r="Z14" s="39">
        <v>2753.793154761905</v>
      </c>
      <c r="AA14" s="39">
        <v>2753.793154761905</v>
      </c>
      <c r="AB14" s="39">
        <v>2753.793154761905</v>
      </c>
      <c r="AC14" s="39">
        <v>2753.793154761905</v>
      </c>
      <c r="AD14" s="39">
        <v>2753.793154761905</v>
      </c>
      <c r="AE14" s="39">
        <v>2753.793154761905</v>
      </c>
      <c r="AF14" s="39">
        <v>2753.793154761905</v>
      </c>
      <c r="AG14" s="39">
        <v>2753.793154761905</v>
      </c>
      <c r="AH14" s="39">
        <v>66091.035714285739</v>
      </c>
      <c r="AI14" s="39">
        <v>264364.14285714302</v>
      </c>
    </row>
    <row r="15" spans="1:35" x14ac:dyDescent="0.3">
      <c r="A15" s="40">
        <v>2029</v>
      </c>
      <c r="B15" s="40" t="s">
        <v>60</v>
      </c>
      <c r="C15" s="41" t="s">
        <v>54</v>
      </c>
      <c r="D15" s="41" t="s">
        <v>58</v>
      </c>
      <c r="E15" s="40">
        <v>19</v>
      </c>
      <c r="F15" s="40">
        <v>5</v>
      </c>
      <c r="G15" s="40">
        <v>4</v>
      </c>
      <c r="H15" s="40">
        <v>3</v>
      </c>
      <c r="I15" s="40">
        <v>31</v>
      </c>
      <c r="J15" s="39">
        <v>2753.793154761905</v>
      </c>
      <c r="K15" s="39">
        <v>2753.793154761905</v>
      </c>
      <c r="L15" s="39">
        <v>2753.793154761905</v>
      </c>
      <c r="M15" s="39">
        <v>2753.793154761905</v>
      </c>
      <c r="N15" s="39">
        <v>2753.793154761905</v>
      </c>
      <c r="O15" s="39">
        <v>2753.793154761905</v>
      </c>
      <c r="P15" s="39">
        <v>2753.793154761905</v>
      </c>
      <c r="Q15" s="39">
        <v>2753.793154761905</v>
      </c>
      <c r="R15" s="39">
        <v>2753.793154761905</v>
      </c>
      <c r="S15" s="39">
        <v>2753.793154761905</v>
      </c>
      <c r="T15" s="39">
        <v>2753.793154761905</v>
      </c>
      <c r="U15" s="39">
        <v>2753.793154761905</v>
      </c>
      <c r="V15" s="39">
        <v>2753.793154761905</v>
      </c>
      <c r="W15" s="39">
        <v>2753.793154761905</v>
      </c>
      <c r="X15" s="39">
        <v>2753.793154761905</v>
      </c>
      <c r="Y15" s="39">
        <v>2753.793154761905</v>
      </c>
      <c r="Z15" s="39">
        <v>2753.793154761905</v>
      </c>
      <c r="AA15" s="39">
        <v>2753.793154761905</v>
      </c>
      <c r="AB15" s="39">
        <v>2753.793154761905</v>
      </c>
      <c r="AC15" s="39">
        <v>2753.793154761905</v>
      </c>
      <c r="AD15" s="39">
        <v>2753.793154761905</v>
      </c>
      <c r="AE15" s="39">
        <v>2753.793154761905</v>
      </c>
      <c r="AF15" s="39">
        <v>2753.793154761905</v>
      </c>
      <c r="AG15" s="39">
        <v>2753.793154761905</v>
      </c>
      <c r="AH15" s="39">
        <v>66091.035714285739</v>
      </c>
      <c r="AI15" s="39">
        <v>198273.10714285719</v>
      </c>
    </row>
    <row r="16" spans="1:35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r="17" spans="1:35" x14ac:dyDescent="0.3">
      <c r="A17" s="40">
        <v>2029</v>
      </c>
      <c r="B17" s="40" t="s">
        <v>61</v>
      </c>
      <c r="C17" s="41" t="s">
        <v>54</v>
      </c>
      <c r="D17" s="41" t="s">
        <v>55</v>
      </c>
      <c r="E17" s="40">
        <v>21</v>
      </c>
      <c r="F17" s="40">
        <v>4</v>
      </c>
      <c r="G17" s="40">
        <v>5</v>
      </c>
      <c r="H17" s="40">
        <v>0</v>
      </c>
      <c r="I17" s="40">
        <v>30</v>
      </c>
      <c r="J17" s="39">
        <v>2753.793154761905</v>
      </c>
      <c r="K17" s="39">
        <v>2753.793154761905</v>
      </c>
      <c r="L17" s="39">
        <v>2753.793154761905</v>
      </c>
      <c r="M17" s="39">
        <v>2753.793154761905</v>
      </c>
      <c r="N17" s="39">
        <v>2753.793154761905</v>
      </c>
      <c r="O17" s="39">
        <v>2753.793154761905</v>
      </c>
      <c r="P17" s="39">
        <v>2753.793154761905</v>
      </c>
      <c r="Q17" s="39">
        <v>2753.793154761905</v>
      </c>
      <c r="R17" s="39">
        <v>2753.793154761905</v>
      </c>
      <c r="S17" s="39">
        <v>2753.793154761905</v>
      </c>
      <c r="T17" s="39">
        <v>2753.793154761905</v>
      </c>
      <c r="U17" s="39">
        <v>2753.793154761905</v>
      </c>
      <c r="V17" s="39">
        <v>2753.793154761905</v>
      </c>
      <c r="W17" s="39">
        <v>2753.793154761905</v>
      </c>
      <c r="X17" s="39">
        <v>2753.793154761905</v>
      </c>
      <c r="Y17" s="39">
        <v>2753.793154761905</v>
      </c>
      <c r="Z17" s="39">
        <v>2753.793154761905</v>
      </c>
      <c r="AA17" s="39">
        <v>2753.793154761905</v>
      </c>
      <c r="AB17" s="39">
        <v>2753.793154761905</v>
      </c>
      <c r="AC17" s="39">
        <v>2753.793154761905</v>
      </c>
      <c r="AD17" s="39">
        <v>2753.793154761905</v>
      </c>
      <c r="AE17" s="39">
        <v>2753.793154761905</v>
      </c>
      <c r="AF17" s="39">
        <v>2753.793154761905</v>
      </c>
      <c r="AG17" s="39">
        <v>2753.793154761905</v>
      </c>
      <c r="AH17" s="39">
        <v>66091.035714285739</v>
      </c>
      <c r="AI17" s="39">
        <v>1387911.75</v>
      </c>
    </row>
    <row r="18" spans="1:35" x14ac:dyDescent="0.3">
      <c r="A18" s="40">
        <v>2029</v>
      </c>
      <c r="B18" s="40" t="s">
        <v>61</v>
      </c>
      <c r="C18" s="41" t="s">
        <v>54</v>
      </c>
      <c r="D18" s="41" t="s">
        <v>56</v>
      </c>
      <c r="E18" s="40">
        <v>21</v>
      </c>
      <c r="F18" s="40">
        <v>4</v>
      </c>
      <c r="G18" s="40">
        <v>5</v>
      </c>
      <c r="H18" s="40">
        <v>0</v>
      </c>
      <c r="I18" s="40">
        <v>30</v>
      </c>
      <c r="J18" s="39">
        <v>2753.793154761905</v>
      </c>
      <c r="K18" s="39">
        <v>2753.793154761905</v>
      </c>
      <c r="L18" s="39">
        <v>2753.793154761905</v>
      </c>
      <c r="M18" s="39">
        <v>2753.793154761905</v>
      </c>
      <c r="N18" s="39">
        <v>2753.793154761905</v>
      </c>
      <c r="O18" s="39">
        <v>2753.793154761905</v>
      </c>
      <c r="P18" s="39">
        <v>2753.793154761905</v>
      </c>
      <c r="Q18" s="39">
        <v>2753.793154761905</v>
      </c>
      <c r="R18" s="39">
        <v>2753.793154761905</v>
      </c>
      <c r="S18" s="39">
        <v>2753.793154761905</v>
      </c>
      <c r="T18" s="39">
        <v>2753.793154761905</v>
      </c>
      <c r="U18" s="39">
        <v>2753.793154761905</v>
      </c>
      <c r="V18" s="39">
        <v>2753.793154761905</v>
      </c>
      <c r="W18" s="39">
        <v>2753.793154761905</v>
      </c>
      <c r="X18" s="39">
        <v>2753.793154761905</v>
      </c>
      <c r="Y18" s="39">
        <v>2753.793154761905</v>
      </c>
      <c r="Z18" s="39">
        <v>2753.793154761905</v>
      </c>
      <c r="AA18" s="39">
        <v>2753.793154761905</v>
      </c>
      <c r="AB18" s="39">
        <v>2753.793154761905</v>
      </c>
      <c r="AC18" s="39">
        <v>2753.793154761905</v>
      </c>
      <c r="AD18" s="39">
        <v>2753.793154761905</v>
      </c>
      <c r="AE18" s="39">
        <v>2753.793154761905</v>
      </c>
      <c r="AF18" s="39">
        <v>2753.793154761905</v>
      </c>
      <c r="AG18" s="39">
        <v>2753.793154761905</v>
      </c>
      <c r="AH18" s="39">
        <v>66091.035714285739</v>
      </c>
      <c r="AI18" s="39">
        <v>264364.14285714302</v>
      </c>
    </row>
    <row r="19" spans="1:35" x14ac:dyDescent="0.3">
      <c r="A19" s="40">
        <v>2029</v>
      </c>
      <c r="B19" s="40" t="s">
        <v>61</v>
      </c>
      <c r="C19" s="41" t="s">
        <v>54</v>
      </c>
      <c r="D19" s="41" t="s">
        <v>57</v>
      </c>
      <c r="E19" s="40">
        <v>21</v>
      </c>
      <c r="F19" s="40">
        <v>4</v>
      </c>
      <c r="G19" s="40">
        <v>5</v>
      </c>
      <c r="H19" s="40">
        <v>0</v>
      </c>
      <c r="I19" s="40">
        <v>30</v>
      </c>
      <c r="J19" s="39">
        <v>2753.793154761905</v>
      </c>
      <c r="K19" s="39">
        <v>2753.793154761905</v>
      </c>
      <c r="L19" s="39">
        <v>2753.793154761905</v>
      </c>
      <c r="M19" s="39">
        <v>2753.793154761905</v>
      </c>
      <c r="N19" s="39">
        <v>2753.793154761905</v>
      </c>
      <c r="O19" s="39">
        <v>2753.793154761905</v>
      </c>
      <c r="P19" s="39">
        <v>2753.793154761905</v>
      </c>
      <c r="Q19" s="39">
        <v>2753.793154761905</v>
      </c>
      <c r="R19" s="39">
        <v>2753.793154761905</v>
      </c>
      <c r="S19" s="39">
        <v>2753.793154761905</v>
      </c>
      <c r="T19" s="39">
        <v>2753.793154761905</v>
      </c>
      <c r="U19" s="39">
        <v>2753.793154761905</v>
      </c>
      <c r="V19" s="39">
        <v>2753.793154761905</v>
      </c>
      <c r="W19" s="39">
        <v>2753.793154761905</v>
      </c>
      <c r="X19" s="39">
        <v>2753.793154761905</v>
      </c>
      <c r="Y19" s="39">
        <v>2753.793154761905</v>
      </c>
      <c r="Z19" s="39">
        <v>2753.793154761905</v>
      </c>
      <c r="AA19" s="39">
        <v>2753.793154761905</v>
      </c>
      <c r="AB19" s="39">
        <v>2753.793154761905</v>
      </c>
      <c r="AC19" s="39">
        <v>2753.793154761905</v>
      </c>
      <c r="AD19" s="39">
        <v>2753.793154761905</v>
      </c>
      <c r="AE19" s="39">
        <v>2753.793154761905</v>
      </c>
      <c r="AF19" s="39">
        <v>2753.793154761905</v>
      </c>
      <c r="AG19" s="39">
        <v>2753.793154761905</v>
      </c>
      <c r="AH19" s="39">
        <v>66091.035714285739</v>
      </c>
      <c r="AI19" s="39">
        <v>330455.1785714287</v>
      </c>
    </row>
    <row r="20" spans="1:35" x14ac:dyDescent="0.3">
      <c r="A20" s="40">
        <v>2029</v>
      </c>
      <c r="B20" s="40" t="s">
        <v>61</v>
      </c>
      <c r="C20" s="41" t="s">
        <v>54</v>
      </c>
      <c r="D20" s="41" t="s">
        <v>58</v>
      </c>
      <c r="E20" s="40">
        <v>21</v>
      </c>
      <c r="F20" s="40">
        <v>4</v>
      </c>
      <c r="G20" s="40">
        <v>5</v>
      </c>
      <c r="H20" s="40">
        <v>0</v>
      </c>
      <c r="I20" s="40">
        <v>30</v>
      </c>
      <c r="J20" s="39">
        <v>2753.793154761905</v>
      </c>
      <c r="K20" s="39">
        <v>2753.793154761905</v>
      </c>
      <c r="L20" s="39">
        <v>2753.793154761905</v>
      </c>
      <c r="M20" s="39">
        <v>2753.793154761905</v>
      </c>
      <c r="N20" s="39">
        <v>2753.793154761905</v>
      </c>
      <c r="O20" s="39">
        <v>2753.793154761905</v>
      </c>
      <c r="P20" s="39">
        <v>2753.793154761905</v>
      </c>
      <c r="Q20" s="39">
        <v>2753.793154761905</v>
      </c>
      <c r="R20" s="39">
        <v>2753.793154761905</v>
      </c>
      <c r="S20" s="39">
        <v>2753.793154761905</v>
      </c>
      <c r="T20" s="39">
        <v>2753.793154761905</v>
      </c>
      <c r="U20" s="39">
        <v>2753.793154761905</v>
      </c>
      <c r="V20" s="39">
        <v>2753.793154761905</v>
      </c>
      <c r="W20" s="39">
        <v>2753.793154761905</v>
      </c>
      <c r="X20" s="39">
        <v>2753.793154761905</v>
      </c>
      <c r="Y20" s="39">
        <v>2753.793154761905</v>
      </c>
      <c r="Z20" s="39">
        <v>2753.793154761905</v>
      </c>
      <c r="AA20" s="39">
        <v>2753.793154761905</v>
      </c>
      <c r="AB20" s="39">
        <v>2753.793154761905</v>
      </c>
      <c r="AC20" s="39">
        <v>2753.793154761905</v>
      </c>
      <c r="AD20" s="39">
        <v>2753.793154761905</v>
      </c>
      <c r="AE20" s="39">
        <v>2753.793154761905</v>
      </c>
      <c r="AF20" s="39">
        <v>2753.793154761905</v>
      </c>
      <c r="AG20" s="39">
        <v>2753.793154761905</v>
      </c>
      <c r="AH20" s="39">
        <v>66091.035714285739</v>
      </c>
      <c r="AI20" s="39">
        <v>0</v>
      </c>
    </row>
    <row r="21" spans="1:35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r="22" spans="1:35" x14ac:dyDescent="0.3">
      <c r="A22" s="40">
        <v>2029</v>
      </c>
      <c r="B22" s="40" t="s">
        <v>62</v>
      </c>
      <c r="C22" s="41" t="s">
        <v>54</v>
      </c>
      <c r="D22" s="41" t="s">
        <v>55</v>
      </c>
      <c r="E22" s="40">
        <v>21</v>
      </c>
      <c r="F22" s="40">
        <v>4</v>
      </c>
      <c r="G22" s="40">
        <v>4</v>
      </c>
      <c r="H22" s="40">
        <v>2</v>
      </c>
      <c r="I22" s="40">
        <v>31</v>
      </c>
      <c r="J22" s="39">
        <v>2753.793154761905</v>
      </c>
      <c r="K22" s="39">
        <v>2753.793154761905</v>
      </c>
      <c r="L22" s="39">
        <v>2753.793154761905</v>
      </c>
      <c r="M22" s="39">
        <v>2753.793154761905</v>
      </c>
      <c r="N22" s="39">
        <v>2753.793154761905</v>
      </c>
      <c r="O22" s="39">
        <v>2753.793154761905</v>
      </c>
      <c r="P22" s="39">
        <v>2753.793154761905</v>
      </c>
      <c r="Q22" s="39">
        <v>2753.793154761905</v>
      </c>
      <c r="R22" s="39">
        <v>2753.793154761905</v>
      </c>
      <c r="S22" s="39">
        <v>2753.793154761905</v>
      </c>
      <c r="T22" s="39">
        <v>2753.793154761905</v>
      </c>
      <c r="U22" s="39">
        <v>2753.793154761905</v>
      </c>
      <c r="V22" s="39">
        <v>2753.793154761905</v>
      </c>
      <c r="W22" s="39">
        <v>2753.793154761905</v>
      </c>
      <c r="X22" s="39">
        <v>2753.793154761905</v>
      </c>
      <c r="Y22" s="39">
        <v>2753.793154761905</v>
      </c>
      <c r="Z22" s="39">
        <v>2753.793154761905</v>
      </c>
      <c r="AA22" s="39">
        <v>2753.793154761905</v>
      </c>
      <c r="AB22" s="39">
        <v>2753.793154761905</v>
      </c>
      <c r="AC22" s="39">
        <v>2753.793154761905</v>
      </c>
      <c r="AD22" s="39">
        <v>2753.793154761905</v>
      </c>
      <c r="AE22" s="39">
        <v>2753.793154761905</v>
      </c>
      <c r="AF22" s="39">
        <v>2753.793154761905</v>
      </c>
      <c r="AG22" s="39">
        <v>2753.793154761905</v>
      </c>
      <c r="AH22" s="39">
        <v>66091.035714285739</v>
      </c>
      <c r="AI22" s="39">
        <v>1387911.75</v>
      </c>
    </row>
    <row r="23" spans="1:35" x14ac:dyDescent="0.3">
      <c r="A23" s="40">
        <v>2029</v>
      </c>
      <c r="B23" s="40" t="s">
        <v>62</v>
      </c>
      <c r="C23" s="41" t="s">
        <v>54</v>
      </c>
      <c r="D23" s="41" t="s">
        <v>56</v>
      </c>
      <c r="E23" s="40">
        <v>21</v>
      </c>
      <c r="F23" s="40">
        <v>4</v>
      </c>
      <c r="G23" s="40">
        <v>4</v>
      </c>
      <c r="H23" s="40">
        <v>2</v>
      </c>
      <c r="I23" s="40">
        <v>31</v>
      </c>
      <c r="J23" s="39">
        <v>2753.793154761905</v>
      </c>
      <c r="K23" s="39">
        <v>2753.793154761905</v>
      </c>
      <c r="L23" s="39">
        <v>2753.793154761905</v>
      </c>
      <c r="M23" s="39">
        <v>2753.793154761905</v>
      </c>
      <c r="N23" s="39">
        <v>2753.793154761905</v>
      </c>
      <c r="O23" s="39">
        <v>2753.793154761905</v>
      </c>
      <c r="P23" s="39">
        <v>2753.793154761905</v>
      </c>
      <c r="Q23" s="39">
        <v>2753.793154761905</v>
      </c>
      <c r="R23" s="39">
        <v>2753.793154761905</v>
      </c>
      <c r="S23" s="39">
        <v>2753.793154761905</v>
      </c>
      <c r="T23" s="39">
        <v>2753.793154761905</v>
      </c>
      <c r="U23" s="39">
        <v>2753.793154761905</v>
      </c>
      <c r="V23" s="39">
        <v>2753.793154761905</v>
      </c>
      <c r="W23" s="39">
        <v>2753.793154761905</v>
      </c>
      <c r="X23" s="39">
        <v>2753.793154761905</v>
      </c>
      <c r="Y23" s="39">
        <v>2753.793154761905</v>
      </c>
      <c r="Z23" s="39">
        <v>2753.793154761905</v>
      </c>
      <c r="AA23" s="39">
        <v>2753.793154761905</v>
      </c>
      <c r="AB23" s="39">
        <v>2753.793154761905</v>
      </c>
      <c r="AC23" s="39">
        <v>2753.793154761905</v>
      </c>
      <c r="AD23" s="39">
        <v>2753.793154761905</v>
      </c>
      <c r="AE23" s="39">
        <v>2753.793154761905</v>
      </c>
      <c r="AF23" s="39">
        <v>2753.793154761905</v>
      </c>
      <c r="AG23" s="39">
        <v>2753.793154761905</v>
      </c>
      <c r="AH23" s="39">
        <v>66091.035714285739</v>
      </c>
      <c r="AI23" s="39">
        <v>264364.14285714302</v>
      </c>
    </row>
    <row r="24" spans="1:35" x14ac:dyDescent="0.3">
      <c r="A24" s="40">
        <v>2029</v>
      </c>
      <c r="B24" s="40" t="s">
        <v>62</v>
      </c>
      <c r="C24" s="41" t="s">
        <v>54</v>
      </c>
      <c r="D24" s="41" t="s">
        <v>57</v>
      </c>
      <c r="E24" s="40">
        <v>21</v>
      </c>
      <c r="F24" s="40">
        <v>4</v>
      </c>
      <c r="G24" s="40">
        <v>4</v>
      </c>
      <c r="H24" s="40">
        <v>2</v>
      </c>
      <c r="I24" s="40">
        <v>31</v>
      </c>
      <c r="J24" s="39">
        <v>2753.793154761905</v>
      </c>
      <c r="K24" s="39">
        <v>2753.793154761905</v>
      </c>
      <c r="L24" s="39">
        <v>2753.793154761905</v>
      </c>
      <c r="M24" s="39">
        <v>2753.793154761905</v>
      </c>
      <c r="N24" s="39">
        <v>2753.793154761905</v>
      </c>
      <c r="O24" s="39">
        <v>2753.793154761905</v>
      </c>
      <c r="P24" s="39">
        <v>2753.793154761905</v>
      </c>
      <c r="Q24" s="39">
        <v>2753.793154761905</v>
      </c>
      <c r="R24" s="39">
        <v>2753.793154761905</v>
      </c>
      <c r="S24" s="39">
        <v>2753.793154761905</v>
      </c>
      <c r="T24" s="39">
        <v>2753.793154761905</v>
      </c>
      <c r="U24" s="39">
        <v>2753.793154761905</v>
      </c>
      <c r="V24" s="39">
        <v>2753.793154761905</v>
      </c>
      <c r="W24" s="39">
        <v>2753.793154761905</v>
      </c>
      <c r="X24" s="39">
        <v>2753.793154761905</v>
      </c>
      <c r="Y24" s="39">
        <v>2753.793154761905</v>
      </c>
      <c r="Z24" s="39">
        <v>2753.793154761905</v>
      </c>
      <c r="AA24" s="39">
        <v>2753.793154761905</v>
      </c>
      <c r="AB24" s="39">
        <v>2753.793154761905</v>
      </c>
      <c r="AC24" s="39">
        <v>2753.793154761905</v>
      </c>
      <c r="AD24" s="39">
        <v>2753.793154761905</v>
      </c>
      <c r="AE24" s="39">
        <v>2753.793154761905</v>
      </c>
      <c r="AF24" s="39">
        <v>2753.793154761905</v>
      </c>
      <c r="AG24" s="39">
        <v>2753.793154761905</v>
      </c>
      <c r="AH24" s="39">
        <v>66091.035714285739</v>
      </c>
      <c r="AI24" s="39">
        <v>264364.14285714302</v>
      </c>
    </row>
    <row r="25" spans="1:35" x14ac:dyDescent="0.3">
      <c r="A25" s="40">
        <v>2029</v>
      </c>
      <c r="B25" s="40" t="s">
        <v>62</v>
      </c>
      <c r="C25" s="41" t="s">
        <v>54</v>
      </c>
      <c r="D25" s="41" t="s">
        <v>58</v>
      </c>
      <c r="E25" s="40">
        <v>21</v>
      </c>
      <c r="F25" s="40">
        <v>4</v>
      </c>
      <c r="G25" s="40">
        <v>4</v>
      </c>
      <c r="H25" s="40">
        <v>2</v>
      </c>
      <c r="I25" s="40">
        <v>31</v>
      </c>
      <c r="J25" s="39">
        <v>2753.793154761905</v>
      </c>
      <c r="K25" s="39">
        <v>2753.793154761905</v>
      </c>
      <c r="L25" s="39">
        <v>2753.793154761905</v>
      </c>
      <c r="M25" s="39">
        <v>2753.793154761905</v>
      </c>
      <c r="N25" s="39">
        <v>2753.793154761905</v>
      </c>
      <c r="O25" s="39">
        <v>2753.793154761905</v>
      </c>
      <c r="P25" s="39">
        <v>2753.793154761905</v>
      </c>
      <c r="Q25" s="39">
        <v>2753.793154761905</v>
      </c>
      <c r="R25" s="39">
        <v>2753.793154761905</v>
      </c>
      <c r="S25" s="39">
        <v>2753.793154761905</v>
      </c>
      <c r="T25" s="39">
        <v>2753.793154761905</v>
      </c>
      <c r="U25" s="39">
        <v>2753.793154761905</v>
      </c>
      <c r="V25" s="39">
        <v>2753.793154761905</v>
      </c>
      <c r="W25" s="39">
        <v>2753.793154761905</v>
      </c>
      <c r="X25" s="39">
        <v>2753.793154761905</v>
      </c>
      <c r="Y25" s="39">
        <v>2753.793154761905</v>
      </c>
      <c r="Z25" s="39">
        <v>2753.793154761905</v>
      </c>
      <c r="AA25" s="39">
        <v>2753.793154761905</v>
      </c>
      <c r="AB25" s="39">
        <v>2753.793154761905</v>
      </c>
      <c r="AC25" s="39">
        <v>2753.793154761905</v>
      </c>
      <c r="AD25" s="39">
        <v>2753.793154761905</v>
      </c>
      <c r="AE25" s="39">
        <v>2753.793154761905</v>
      </c>
      <c r="AF25" s="39">
        <v>2753.793154761905</v>
      </c>
      <c r="AG25" s="39">
        <v>2753.793154761905</v>
      </c>
      <c r="AH25" s="39">
        <v>66091.035714285739</v>
      </c>
      <c r="AI25" s="39">
        <v>132182.07142857151</v>
      </c>
    </row>
    <row r="26" spans="1:35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 spans="1:35" x14ac:dyDescent="0.3">
      <c r="A27" s="40">
        <v>2029</v>
      </c>
      <c r="B27" s="40" t="s">
        <v>63</v>
      </c>
      <c r="C27" s="41" t="s">
        <v>54</v>
      </c>
      <c r="D27" s="41" t="s">
        <v>55</v>
      </c>
      <c r="E27" s="40">
        <v>19</v>
      </c>
      <c r="F27" s="40">
        <v>5</v>
      </c>
      <c r="G27" s="40">
        <v>4</v>
      </c>
      <c r="H27" s="40">
        <v>2</v>
      </c>
      <c r="I27" s="40">
        <v>30</v>
      </c>
      <c r="J27" s="39">
        <v>2753.793154761905</v>
      </c>
      <c r="K27" s="39">
        <v>2753.793154761905</v>
      </c>
      <c r="L27" s="39">
        <v>2753.793154761905</v>
      </c>
      <c r="M27" s="39">
        <v>2753.793154761905</v>
      </c>
      <c r="N27" s="39">
        <v>2753.793154761905</v>
      </c>
      <c r="O27" s="39">
        <v>2753.793154761905</v>
      </c>
      <c r="P27" s="39">
        <v>2753.793154761905</v>
      </c>
      <c r="Q27" s="39">
        <v>2753.793154761905</v>
      </c>
      <c r="R27" s="39">
        <v>2753.793154761905</v>
      </c>
      <c r="S27" s="39">
        <v>2753.793154761905</v>
      </c>
      <c r="T27" s="39">
        <v>2753.793154761905</v>
      </c>
      <c r="U27" s="39">
        <v>2753.793154761905</v>
      </c>
      <c r="V27" s="39">
        <v>2753.793154761905</v>
      </c>
      <c r="W27" s="39">
        <v>2753.793154761905</v>
      </c>
      <c r="X27" s="39">
        <v>2753.793154761905</v>
      </c>
      <c r="Y27" s="39">
        <v>2753.793154761905</v>
      </c>
      <c r="Z27" s="39">
        <v>2753.793154761905</v>
      </c>
      <c r="AA27" s="39">
        <v>2753.793154761905</v>
      </c>
      <c r="AB27" s="39">
        <v>2753.793154761905</v>
      </c>
      <c r="AC27" s="39">
        <v>2753.793154761905</v>
      </c>
      <c r="AD27" s="39">
        <v>2753.793154761905</v>
      </c>
      <c r="AE27" s="39">
        <v>2753.793154761905</v>
      </c>
      <c r="AF27" s="39">
        <v>2753.793154761905</v>
      </c>
      <c r="AG27" s="39">
        <v>2753.793154761905</v>
      </c>
      <c r="AH27" s="39">
        <v>66091.035714285739</v>
      </c>
      <c r="AI27" s="39">
        <v>1255729.6785714291</v>
      </c>
    </row>
    <row r="28" spans="1:35" x14ac:dyDescent="0.3">
      <c r="A28" s="40">
        <v>2029</v>
      </c>
      <c r="B28" s="40" t="s">
        <v>63</v>
      </c>
      <c r="C28" s="41" t="s">
        <v>54</v>
      </c>
      <c r="D28" s="41" t="s">
        <v>56</v>
      </c>
      <c r="E28" s="40">
        <v>19</v>
      </c>
      <c r="F28" s="40">
        <v>5</v>
      </c>
      <c r="G28" s="40">
        <v>4</v>
      </c>
      <c r="H28" s="40">
        <v>2</v>
      </c>
      <c r="I28" s="40">
        <v>30</v>
      </c>
      <c r="J28" s="39">
        <v>2753.793154761905</v>
      </c>
      <c r="K28" s="39">
        <v>2753.793154761905</v>
      </c>
      <c r="L28" s="39">
        <v>2753.793154761905</v>
      </c>
      <c r="M28" s="39">
        <v>2753.793154761905</v>
      </c>
      <c r="N28" s="39">
        <v>2753.793154761905</v>
      </c>
      <c r="O28" s="39">
        <v>2753.793154761905</v>
      </c>
      <c r="P28" s="39">
        <v>2753.793154761905</v>
      </c>
      <c r="Q28" s="39">
        <v>2753.793154761905</v>
      </c>
      <c r="R28" s="39">
        <v>2753.793154761905</v>
      </c>
      <c r="S28" s="39">
        <v>2753.793154761905</v>
      </c>
      <c r="T28" s="39">
        <v>2753.793154761905</v>
      </c>
      <c r="U28" s="39">
        <v>2753.793154761905</v>
      </c>
      <c r="V28" s="39">
        <v>2753.793154761905</v>
      </c>
      <c r="W28" s="39">
        <v>2753.793154761905</v>
      </c>
      <c r="X28" s="39">
        <v>2753.793154761905</v>
      </c>
      <c r="Y28" s="39">
        <v>2753.793154761905</v>
      </c>
      <c r="Z28" s="39">
        <v>2753.793154761905</v>
      </c>
      <c r="AA28" s="39">
        <v>2753.793154761905</v>
      </c>
      <c r="AB28" s="39">
        <v>2753.793154761905</v>
      </c>
      <c r="AC28" s="39">
        <v>2753.793154761905</v>
      </c>
      <c r="AD28" s="39">
        <v>2753.793154761905</v>
      </c>
      <c r="AE28" s="39">
        <v>2753.793154761905</v>
      </c>
      <c r="AF28" s="39">
        <v>2753.793154761905</v>
      </c>
      <c r="AG28" s="39">
        <v>2753.793154761905</v>
      </c>
      <c r="AH28" s="39">
        <v>66091.035714285739</v>
      </c>
      <c r="AI28" s="39">
        <v>330455.1785714287</v>
      </c>
    </row>
    <row r="29" spans="1:35" x14ac:dyDescent="0.3">
      <c r="A29" s="40">
        <v>2029</v>
      </c>
      <c r="B29" s="40" t="s">
        <v>63</v>
      </c>
      <c r="C29" s="41" t="s">
        <v>54</v>
      </c>
      <c r="D29" s="41" t="s">
        <v>57</v>
      </c>
      <c r="E29" s="40">
        <v>19</v>
      </c>
      <c r="F29" s="40">
        <v>5</v>
      </c>
      <c r="G29" s="40">
        <v>4</v>
      </c>
      <c r="H29" s="40">
        <v>2</v>
      </c>
      <c r="I29" s="40">
        <v>30</v>
      </c>
      <c r="J29" s="39">
        <v>2753.793154761905</v>
      </c>
      <c r="K29" s="39">
        <v>2753.793154761905</v>
      </c>
      <c r="L29" s="39">
        <v>2753.793154761905</v>
      </c>
      <c r="M29" s="39">
        <v>2753.793154761905</v>
      </c>
      <c r="N29" s="39">
        <v>2753.793154761905</v>
      </c>
      <c r="O29" s="39">
        <v>2753.793154761905</v>
      </c>
      <c r="P29" s="39">
        <v>2753.793154761905</v>
      </c>
      <c r="Q29" s="39">
        <v>2753.793154761905</v>
      </c>
      <c r="R29" s="39">
        <v>2753.793154761905</v>
      </c>
      <c r="S29" s="39">
        <v>2753.793154761905</v>
      </c>
      <c r="T29" s="39">
        <v>2753.793154761905</v>
      </c>
      <c r="U29" s="39">
        <v>2753.793154761905</v>
      </c>
      <c r="V29" s="39">
        <v>2753.793154761905</v>
      </c>
      <c r="W29" s="39">
        <v>2753.793154761905</v>
      </c>
      <c r="X29" s="39">
        <v>2753.793154761905</v>
      </c>
      <c r="Y29" s="39">
        <v>2753.793154761905</v>
      </c>
      <c r="Z29" s="39">
        <v>2753.793154761905</v>
      </c>
      <c r="AA29" s="39">
        <v>2753.793154761905</v>
      </c>
      <c r="AB29" s="39">
        <v>2753.793154761905</v>
      </c>
      <c r="AC29" s="39">
        <v>2753.793154761905</v>
      </c>
      <c r="AD29" s="39">
        <v>2753.793154761905</v>
      </c>
      <c r="AE29" s="39">
        <v>2753.793154761905</v>
      </c>
      <c r="AF29" s="39">
        <v>2753.793154761905</v>
      </c>
      <c r="AG29" s="39">
        <v>2753.793154761905</v>
      </c>
      <c r="AH29" s="39">
        <v>66091.035714285739</v>
      </c>
      <c r="AI29" s="39">
        <v>264364.14285714302</v>
      </c>
    </row>
    <row r="30" spans="1:35" x14ac:dyDescent="0.3">
      <c r="A30" s="40">
        <v>2029</v>
      </c>
      <c r="B30" s="40" t="s">
        <v>63</v>
      </c>
      <c r="C30" s="41" t="s">
        <v>54</v>
      </c>
      <c r="D30" s="41" t="s">
        <v>58</v>
      </c>
      <c r="E30" s="40">
        <v>19</v>
      </c>
      <c r="F30" s="40">
        <v>5</v>
      </c>
      <c r="G30" s="40">
        <v>4</v>
      </c>
      <c r="H30" s="40">
        <v>2</v>
      </c>
      <c r="I30" s="40">
        <v>30</v>
      </c>
      <c r="J30" s="39">
        <v>2753.793154761905</v>
      </c>
      <c r="K30" s="39">
        <v>2753.793154761905</v>
      </c>
      <c r="L30" s="39">
        <v>2753.793154761905</v>
      </c>
      <c r="M30" s="39">
        <v>2753.793154761905</v>
      </c>
      <c r="N30" s="39">
        <v>2753.793154761905</v>
      </c>
      <c r="O30" s="39">
        <v>2753.793154761905</v>
      </c>
      <c r="P30" s="39">
        <v>2753.793154761905</v>
      </c>
      <c r="Q30" s="39">
        <v>2753.793154761905</v>
      </c>
      <c r="R30" s="39">
        <v>2753.793154761905</v>
      </c>
      <c r="S30" s="39">
        <v>2753.793154761905</v>
      </c>
      <c r="T30" s="39">
        <v>2753.793154761905</v>
      </c>
      <c r="U30" s="39">
        <v>2753.793154761905</v>
      </c>
      <c r="V30" s="39">
        <v>2753.793154761905</v>
      </c>
      <c r="W30" s="39">
        <v>2753.793154761905</v>
      </c>
      <c r="X30" s="39">
        <v>2753.793154761905</v>
      </c>
      <c r="Y30" s="39">
        <v>2753.793154761905</v>
      </c>
      <c r="Z30" s="39">
        <v>2753.793154761905</v>
      </c>
      <c r="AA30" s="39">
        <v>2753.793154761905</v>
      </c>
      <c r="AB30" s="39">
        <v>2753.793154761905</v>
      </c>
      <c r="AC30" s="39">
        <v>2753.793154761905</v>
      </c>
      <c r="AD30" s="39">
        <v>2753.793154761905</v>
      </c>
      <c r="AE30" s="39">
        <v>2753.793154761905</v>
      </c>
      <c r="AF30" s="39">
        <v>2753.793154761905</v>
      </c>
      <c r="AG30" s="39">
        <v>2753.793154761905</v>
      </c>
      <c r="AH30" s="39">
        <v>66091.035714285739</v>
      </c>
      <c r="AI30" s="39">
        <v>132182.07142857151</v>
      </c>
    </row>
    <row r="31" spans="1:35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 spans="1:35" x14ac:dyDescent="0.3">
      <c r="A32" s="40">
        <v>2029</v>
      </c>
      <c r="B32" s="40" t="s">
        <v>64</v>
      </c>
      <c r="C32" s="41" t="s">
        <v>54</v>
      </c>
      <c r="D32" s="41" t="s">
        <v>55</v>
      </c>
      <c r="E32" s="40">
        <v>20</v>
      </c>
      <c r="F32" s="40">
        <v>4</v>
      </c>
      <c r="G32" s="40">
        <v>5</v>
      </c>
      <c r="H32" s="40">
        <v>2</v>
      </c>
      <c r="I32" s="40">
        <v>31</v>
      </c>
      <c r="J32" s="39">
        <v>2753.793154761905</v>
      </c>
      <c r="K32" s="39">
        <v>2753.793154761905</v>
      </c>
      <c r="L32" s="39">
        <v>2753.793154761905</v>
      </c>
      <c r="M32" s="39">
        <v>2753.793154761905</v>
      </c>
      <c r="N32" s="39">
        <v>2753.793154761905</v>
      </c>
      <c r="O32" s="39">
        <v>2753.793154761905</v>
      </c>
      <c r="P32" s="39">
        <v>2753.793154761905</v>
      </c>
      <c r="Q32" s="39">
        <v>2753.793154761905</v>
      </c>
      <c r="R32" s="39">
        <v>2753.793154761905</v>
      </c>
      <c r="S32" s="39">
        <v>2753.793154761905</v>
      </c>
      <c r="T32" s="39">
        <v>2753.793154761905</v>
      </c>
      <c r="U32" s="39">
        <v>2753.793154761905</v>
      </c>
      <c r="V32" s="39">
        <v>2753.793154761905</v>
      </c>
      <c r="W32" s="39">
        <v>2753.793154761905</v>
      </c>
      <c r="X32" s="39">
        <v>2753.793154761905</v>
      </c>
      <c r="Y32" s="39">
        <v>2753.793154761905</v>
      </c>
      <c r="Z32" s="39">
        <v>2753.793154761905</v>
      </c>
      <c r="AA32" s="39">
        <v>2753.793154761905</v>
      </c>
      <c r="AB32" s="39">
        <v>2753.793154761905</v>
      </c>
      <c r="AC32" s="39">
        <v>2753.793154761905</v>
      </c>
      <c r="AD32" s="39">
        <v>2753.793154761905</v>
      </c>
      <c r="AE32" s="39">
        <v>2753.793154761905</v>
      </c>
      <c r="AF32" s="39">
        <v>2753.793154761905</v>
      </c>
      <c r="AG32" s="39">
        <v>2753.793154761905</v>
      </c>
      <c r="AH32" s="39">
        <v>66091.035714285739</v>
      </c>
      <c r="AI32" s="39">
        <v>1321820.714285715</v>
      </c>
    </row>
    <row r="33" spans="1:35" x14ac:dyDescent="0.3">
      <c r="A33" s="40">
        <v>2029</v>
      </c>
      <c r="B33" s="40" t="s">
        <v>64</v>
      </c>
      <c r="C33" s="41" t="s">
        <v>54</v>
      </c>
      <c r="D33" s="41" t="s">
        <v>56</v>
      </c>
      <c r="E33" s="40">
        <v>20</v>
      </c>
      <c r="F33" s="40">
        <v>4</v>
      </c>
      <c r="G33" s="40">
        <v>5</v>
      </c>
      <c r="H33" s="40">
        <v>2</v>
      </c>
      <c r="I33" s="40">
        <v>31</v>
      </c>
      <c r="J33" s="39">
        <v>2753.793154761905</v>
      </c>
      <c r="K33" s="39">
        <v>2753.793154761905</v>
      </c>
      <c r="L33" s="39">
        <v>2753.793154761905</v>
      </c>
      <c r="M33" s="39">
        <v>2753.793154761905</v>
      </c>
      <c r="N33" s="39">
        <v>2753.793154761905</v>
      </c>
      <c r="O33" s="39">
        <v>2753.793154761905</v>
      </c>
      <c r="P33" s="39">
        <v>2753.793154761905</v>
      </c>
      <c r="Q33" s="39">
        <v>2753.793154761905</v>
      </c>
      <c r="R33" s="39">
        <v>2753.793154761905</v>
      </c>
      <c r="S33" s="39">
        <v>2753.793154761905</v>
      </c>
      <c r="T33" s="39">
        <v>2753.793154761905</v>
      </c>
      <c r="U33" s="39">
        <v>2753.793154761905</v>
      </c>
      <c r="V33" s="39">
        <v>2753.793154761905</v>
      </c>
      <c r="W33" s="39">
        <v>2753.793154761905</v>
      </c>
      <c r="X33" s="39">
        <v>2753.793154761905</v>
      </c>
      <c r="Y33" s="39">
        <v>2753.793154761905</v>
      </c>
      <c r="Z33" s="39">
        <v>2753.793154761905</v>
      </c>
      <c r="AA33" s="39">
        <v>2753.793154761905</v>
      </c>
      <c r="AB33" s="39">
        <v>2753.793154761905</v>
      </c>
      <c r="AC33" s="39">
        <v>2753.793154761905</v>
      </c>
      <c r="AD33" s="39">
        <v>2753.793154761905</v>
      </c>
      <c r="AE33" s="39">
        <v>2753.793154761905</v>
      </c>
      <c r="AF33" s="39">
        <v>2753.793154761905</v>
      </c>
      <c r="AG33" s="39">
        <v>2753.793154761905</v>
      </c>
      <c r="AH33" s="39">
        <v>66091.035714285739</v>
      </c>
      <c r="AI33" s="39">
        <v>264364.14285714302</v>
      </c>
    </row>
    <row r="34" spans="1:35" x14ac:dyDescent="0.3">
      <c r="A34" s="40">
        <v>2029</v>
      </c>
      <c r="B34" s="40" t="s">
        <v>64</v>
      </c>
      <c r="C34" s="41" t="s">
        <v>54</v>
      </c>
      <c r="D34" s="41" t="s">
        <v>57</v>
      </c>
      <c r="E34" s="40">
        <v>20</v>
      </c>
      <c r="F34" s="40">
        <v>4</v>
      </c>
      <c r="G34" s="40">
        <v>5</v>
      </c>
      <c r="H34" s="40">
        <v>2</v>
      </c>
      <c r="I34" s="40">
        <v>31</v>
      </c>
      <c r="J34" s="39">
        <v>2753.793154761905</v>
      </c>
      <c r="K34" s="39">
        <v>2753.793154761905</v>
      </c>
      <c r="L34" s="39">
        <v>2753.793154761905</v>
      </c>
      <c r="M34" s="39">
        <v>2753.793154761905</v>
      </c>
      <c r="N34" s="39">
        <v>2753.793154761905</v>
      </c>
      <c r="O34" s="39">
        <v>2753.793154761905</v>
      </c>
      <c r="P34" s="39">
        <v>2753.793154761905</v>
      </c>
      <c r="Q34" s="39">
        <v>2753.793154761905</v>
      </c>
      <c r="R34" s="39">
        <v>2753.793154761905</v>
      </c>
      <c r="S34" s="39">
        <v>2753.793154761905</v>
      </c>
      <c r="T34" s="39">
        <v>2753.793154761905</v>
      </c>
      <c r="U34" s="39">
        <v>2753.793154761905</v>
      </c>
      <c r="V34" s="39">
        <v>2753.793154761905</v>
      </c>
      <c r="W34" s="39">
        <v>2753.793154761905</v>
      </c>
      <c r="X34" s="39">
        <v>2753.793154761905</v>
      </c>
      <c r="Y34" s="39">
        <v>2753.793154761905</v>
      </c>
      <c r="Z34" s="39">
        <v>2753.793154761905</v>
      </c>
      <c r="AA34" s="39">
        <v>2753.793154761905</v>
      </c>
      <c r="AB34" s="39">
        <v>2753.793154761905</v>
      </c>
      <c r="AC34" s="39">
        <v>2753.793154761905</v>
      </c>
      <c r="AD34" s="39">
        <v>2753.793154761905</v>
      </c>
      <c r="AE34" s="39">
        <v>2753.793154761905</v>
      </c>
      <c r="AF34" s="39">
        <v>2753.793154761905</v>
      </c>
      <c r="AG34" s="39">
        <v>2753.793154761905</v>
      </c>
      <c r="AH34" s="39">
        <v>66091.035714285739</v>
      </c>
      <c r="AI34" s="39">
        <v>330455.1785714287</v>
      </c>
    </row>
    <row r="35" spans="1:35" x14ac:dyDescent="0.3">
      <c r="A35" s="40">
        <v>2029</v>
      </c>
      <c r="B35" s="40" t="s">
        <v>64</v>
      </c>
      <c r="C35" s="41" t="s">
        <v>54</v>
      </c>
      <c r="D35" s="41" t="s">
        <v>58</v>
      </c>
      <c r="E35" s="40">
        <v>20</v>
      </c>
      <c r="F35" s="40">
        <v>4</v>
      </c>
      <c r="G35" s="40">
        <v>5</v>
      </c>
      <c r="H35" s="40">
        <v>2</v>
      </c>
      <c r="I35" s="40">
        <v>31</v>
      </c>
      <c r="J35" s="39">
        <v>2753.793154761905</v>
      </c>
      <c r="K35" s="39">
        <v>2753.793154761905</v>
      </c>
      <c r="L35" s="39">
        <v>2753.793154761905</v>
      </c>
      <c r="M35" s="39">
        <v>2753.793154761905</v>
      </c>
      <c r="N35" s="39">
        <v>2753.793154761905</v>
      </c>
      <c r="O35" s="39">
        <v>2753.793154761905</v>
      </c>
      <c r="P35" s="39">
        <v>2753.793154761905</v>
      </c>
      <c r="Q35" s="39">
        <v>2753.793154761905</v>
      </c>
      <c r="R35" s="39">
        <v>2753.793154761905</v>
      </c>
      <c r="S35" s="39">
        <v>2753.793154761905</v>
      </c>
      <c r="T35" s="39">
        <v>2753.793154761905</v>
      </c>
      <c r="U35" s="39">
        <v>2753.793154761905</v>
      </c>
      <c r="V35" s="39">
        <v>2753.793154761905</v>
      </c>
      <c r="W35" s="39">
        <v>2753.793154761905</v>
      </c>
      <c r="X35" s="39">
        <v>2753.793154761905</v>
      </c>
      <c r="Y35" s="39">
        <v>2753.793154761905</v>
      </c>
      <c r="Z35" s="39">
        <v>2753.793154761905</v>
      </c>
      <c r="AA35" s="39">
        <v>2753.793154761905</v>
      </c>
      <c r="AB35" s="39">
        <v>2753.793154761905</v>
      </c>
      <c r="AC35" s="39">
        <v>2753.793154761905</v>
      </c>
      <c r="AD35" s="39">
        <v>2753.793154761905</v>
      </c>
      <c r="AE35" s="39">
        <v>2753.793154761905</v>
      </c>
      <c r="AF35" s="39">
        <v>2753.793154761905</v>
      </c>
      <c r="AG35" s="39">
        <v>2753.793154761905</v>
      </c>
      <c r="AH35" s="39">
        <v>66091.035714285739</v>
      </c>
      <c r="AI35" s="39">
        <v>132182.07142857151</v>
      </c>
    </row>
    <row r="36" spans="1:35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x14ac:dyDescent="0.3">
      <c r="A37" s="40">
        <v>2029</v>
      </c>
      <c r="B37" s="40" t="s">
        <v>65</v>
      </c>
      <c r="C37" s="41" t="s">
        <v>54</v>
      </c>
      <c r="D37" s="41" t="s">
        <v>55</v>
      </c>
      <c r="E37" s="40">
        <v>21</v>
      </c>
      <c r="F37" s="40">
        <v>4</v>
      </c>
      <c r="G37" s="40">
        <v>4</v>
      </c>
      <c r="H37" s="40">
        <v>2</v>
      </c>
      <c r="I37" s="40">
        <v>31</v>
      </c>
      <c r="J37" s="39">
        <v>2753.793154761905</v>
      </c>
      <c r="K37" s="39">
        <v>2753.793154761905</v>
      </c>
      <c r="L37" s="39">
        <v>2753.793154761905</v>
      </c>
      <c r="M37" s="39">
        <v>2753.793154761905</v>
      </c>
      <c r="N37" s="39">
        <v>2753.793154761905</v>
      </c>
      <c r="O37" s="39">
        <v>2753.793154761905</v>
      </c>
      <c r="P37" s="39">
        <v>2753.793154761905</v>
      </c>
      <c r="Q37" s="39">
        <v>2753.793154761905</v>
      </c>
      <c r="R37" s="39">
        <v>2753.793154761905</v>
      </c>
      <c r="S37" s="39">
        <v>2753.793154761905</v>
      </c>
      <c r="T37" s="39">
        <v>2753.793154761905</v>
      </c>
      <c r="U37" s="39">
        <v>2753.793154761905</v>
      </c>
      <c r="V37" s="39">
        <v>2753.793154761905</v>
      </c>
      <c r="W37" s="39">
        <v>2753.793154761905</v>
      </c>
      <c r="X37" s="39">
        <v>2753.793154761905</v>
      </c>
      <c r="Y37" s="39">
        <v>2753.793154761905</v>
      </c>
      <c r="Z37" s="39">
        <v>2753.793154761905</v>
      </c>
      <c r="AA37" s="39">
        <v>2753.793154761905</v>
      </c>
      <c r="AB37" s="39">
        <v>2753.793154761905</v>
      </c>
      <c r="AC37" s="39">
        <v>2753.793154761905</v>
      </c>
      <c r="AD37" s="39">
        <v>2753.793154761905</v>
      </c>
      <c r="AE37" s="39">
        <v>2753.793154761905</v>
      </c>
      <c r="AF37" s="39">
        <v>2753.793154761905</v>
      </c>
      <c r="AG37" s="39">
        <v>2753.793154761905</v>
      </c>
      <c r="AH37" s="39">
        <v>66091.035714285739</v>
      </c>
      <c r="AI37" s="39">
        <v>1387911.75</v>
      </c>
    </row>
    <row r="38" spans="1:35" x14ac:dyDescent="0.3">
      <c r="A38" s="40">
        <v>2029</v>
      </c>
      <c r="B38" s="40" t="s">
        <v>65</v>
      </c>
      <c r="C38" s="41" t="s">
        <v>54</v>
      </c>
      <c r="D38" s="41" t="s">
        <v>56</v>
      </c>
      <c r="E38" s="40">
        <v>21</v>
      </c>
      <c r="F38" s="40">
        <v>4</v>
      </c>
      <c r="G38" s="40">
        <v>4</v>
      </c>
      <c r="H38" s="40">
        <v>2</v>
      </c>
      <c r="I38" s="40">
        <v>31</v>
      </c>
      <c r="J38" s="39">
        <v>2753.793154761905</v>
      </c>
      <c r="K38" s="39">
        <v>2753.793154761905</v>
      </c>
      <c r="L38" s="39">
        <v>2753.793154761905</v>
      </c>
      <c r="M38" s="39">
        <v>2753.793154761905</v>
      </c>
      <c r="N38" s="39">
        <v>2753.793154761905</v>
      </c>
      <c r="O38" s="39">
        <v>2753.793154761905</v>
      </c>
      <c r="P38" s="39">
        <v>2753.793154761905</v>
      </c>
      <c r="Q38" s="39">
        <v>2753.793154761905</v>
      </c>
      <c r="R38" s="39">
        <v>2753.793154761905</v>
      </c>
      <c r="S38" s="39">
        <v>2753.793154761905</v>
      </c>
      <c r="T38" s="39">
        <v>2753.793154761905</v>
      </c>
      <c r="U38" s="39">
        <v>2753.793154761905</v>
      </c>
      <c r="V38" s="39">
        <v>2753.793154761905</v>
      </c>
      <c r="W38" s="39">
        <v>2753.793154761905</v>
      </c>
      <c r="X38" s="39">
        <v>2753.793154761905</v>
      </c>
      <c r="Y38" s="39">
        <v>2753.793154761905</v>
      </c>
      <c r="Z38" s="39">
        <v>2753.793154761905</v>
      </c>
      <c r="AA38" s="39">
        <v>2753.793154761905</v>
      </c>
      <c r="AB38" s="39">
        <v>2753.793154761905</v>
      </c>
      <c r="AC38" s="39">
        <v>2753.793154761905</v>
      </c>
      <c r="AD38" s="39">
        <v>2753.793154761905</v>
      </c>
      <c r="AE38" s="39">
        <v>2753.793154761905</v>
      </c>
      <c r="AF38" s="39">
        <v>2753.793154761905</v>
      </c>
      <c r="AG38" s="39">
        <v>2753.793154761905</v>
      </c>
      <c r="AH38" s="39">
        <v>66091.035714285739</v>
      </c>
      <c r="AI38" s="39">
        <v>264364.14285714302</v>
      </c>
    </row>
    <row r="39" spans="1:35" x14ac:dyDescent="0.3">
      <c r="A39" s="40">
        <v>2029</v>
      </c>
      <c r="B39" s="40" t="s">
        <v>65</v>
      </c>
      <c r="C39" s="41" t="s">
        <v>54</v>
      </c>
      <c r="D39" s="41" t="s">
        <v>57</v>
      </c>
      <c r="E39" s="40">
        <v>21</v>
      </c>
      <c r="F39" s="40">
        <v>4</v>
      </c>
      <c r="G39" s="40">
        <v>4</v>
      </c>
      <c r="H39" s="40">
        <v>2</v>
      </c>
      <c r="I39" s="40">
        <v>31</v>
      </c>
      <c r="J39" s="39">
        <v>2753.793154761905</v>
      </c>
      <c r="K39" s="39">
        <v>2753.793154761905</v>
      </c>
      <c r="L39" s="39">
        <v>2753.793154761905</v>
      </c>
      <c r="M39" s="39">
        <v>2753.793154761905</v>
      </c>
      <c r="N39" s="39">
        <v>2753.793154761905</v>
      </c>
      <c r="O39" s="39">
        <v>2753.793154761905</v>
      </c>
      <c r="P39" s="39">
        <v>2753.793154761905</v>
      </c>
      <c r="Q39" s="39">
        <v>2753.793154761905</v>
      </c>
      <c r="R39" s="39">
        <v>2753.793154761905</v>
      </c>
      <c r="S39" s="39">
        <v>2753.793154761905</v>
      </c>
      <c r="T39" s="39">
        <v>2753.793154761905</v>
      </c>
      <c r="U39" s="39">
        <v>2753.793154761905</v>
      </c>
      <c r="V39" s="39">
        <v>2753.793154761905</v>
      </c>
      <c r="W39" s="39">
        <v>2753.793154761905</v>
      </c>
      <c r="X39" s="39">
        <v>2753.793154761905</v>
      </c>
      <c r="Y39" s="39">
        <v>2753.793154761905</v>
      </c>
      <c r="Z39" s="39">
        <v>2753.793154761905</v>
      </c>
      <c r="AA39" s="39">
        <v>2753.793154761905</v>
      </c>
      <c r="AB39" s="39">
        <v>2753.793154761905</v>
      </c>
      <c r="AC39" s="39">
        <v>2753.793154761905</v>
      </c>
      <c r="AD39" s="39">
        <v>2753.793154761905</v>
      </c>
      <c r="AE39" s="39">
        <v>2753.793154761905</v>
      </c>
      <c r="AF39" s="39">
        <v>2753.793154761905</v>
      </c>
      <c r="AG39" s="39">
        <v>2753.793154761905</v>
      </c>
      <c r="AH39" s="39">
        <v>66091.035714285739</v>
      </c>
      <c r="AI39" s="39">
        <v>264364.14285714302</v>
      </c>
    </row>
    <row r="40" spans="1:35" x14ac:dyDescent="0.3">
      <c r="A40" s="40">
        <v>2029</v>
      </c>
      <c r="B40" s="40" t="s">
        <v>65</v>
      </c>
      <c r="C40" s="41" t="s">
        <v>54</v>
      </c>
      <c r="D40" s="41" t="s">
        <v>58</v>
      </c>
      <c r="E40" s="40">
        <v>21</v>
      </c>
      <c r="F40" s="40">
        <v>4</v>
      </c>
      <c r="G40" s="40">
        <v>4</v>
      </c>
      <c r="H40" s="40">
        <v>2</v>
      </c>
      <c r="I40" s="40">
        <v>31</v>
      </c>
      <c r="J40" s="39">
        <v>2753.793154761905</v>
      </c>
      <c r="K40" s="39">
        <v>2753.793154761905</v>
      </c>
      <c r="L40" s="39">
        <v>2753.793154761905</v>
      </c>
      <c r="M40" s="39">
        <v>2753.793154761905</v>
      </c>
      <c r="N40" s="39">
        <v>2753.793154761905</v>
      </c>
      <c r="O40" s="39">
        <v>2753.793154761905</v>
      </c>
      <c r="P40" s="39">
        <v>2753.793154761905</v>
      </c>
      <c r="Q40" s="39">
        <v>2753.793154761905</v>
      </c>
      <c r="R40" s="39">
        <v>2753.793154761905</v>
      </c>
      <c r="S40" s="39">
        <v>2753.793154761905</v>
      </c>
      <c r="T40" s="39">
        <v>2753.793154761905</v>
      </c>
      <c r="U40" s="39">
        <v>2753.793154761905</v>
      </c>
      <c r="V40" s="39">
        <v>2753.793154761905</v>
      </c>
      <c r="W40" s="39">
        <v>2753.793154761905</v>
      </c>
      <c r="X40" s="39">
        <v>2753.793154761905</v>
      </c>
      <c r="Y40" s="39">
        <v>2753.793154761905</v>
      </c>
      <c r="Z40" s="39">
        <v>2753.793154761905</v>
      </c>
      <c r="AA40" s="39">
        <v>2753.793154761905</v>
      </c>
      <c r="AB40" s="39">
        <v>2753.793154761905</v>
      </c>
      <c r="AC40" s="39">
        <v>2753.793154761905</v>
      </c>
      <c r="AD40" s="39">
        <v>2753.793154761905</v>
      </c>
      <c r="AE40" s="39">
        <v>2753.793154761905</v>
      </c>
      <c r="AF40" s="39">
        <v>2753.793154761905</v>
      </c>
      <c r="AG40" s="39">
        <v>2753.793154761905</v>
      </c>
      <c r="AH40" s="39">
        <v>66091.035714285739</v>
      </c>
      <c r="AI40" s="39">
        <v>132182.07142857151</v>
      </c>
    </row>
    <row r="41" spans="1:35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x14ac:dyDescent="0.3">
      <c r="A42" s="40">
        <v>2029</v>
      </c>
      <c r="B42" s="40" t="s">
        <v>66</v>
      </c>
      <c r="C42" s="41" t="s">
        <v>54</v>
      </c>
      <c r="D42" s="41" t="s">
        <v>55</v>
      </c>
      <c r="E42" s="40">
        <v>20</v>
      </c>
      <c r="F42" s="40">
        <v>5</v>
      </c>
      <c r="G42" s="40">
        <v>5</v>
      </c>
      <c r="H42" s="40">
        <v>0</v>
      </c>
      <c r="I42" s="40">
        <v>30</v>
      </c>
      <c r="J42" s="39">
        <v>2753.793154761905</v>
      </c>
      <c r="K42" s="39">
        <v>2753.793154761905</v>
      </c>
      <c r="L42" s="39">
        <v>2753.793154761905</v>
      </c>
      <c r="M42" s="39">
        <v>2753.793154761905</v>
      </c>
      <c r="N42" s="39">
        <v>2753.793154761905</v>
      </c>
      <c r="O42" s="39">
        <v>2753.793154761905</v>
      </c>
      <c r="P42" s="39">
        <v>2753.793154761905</v>
      </c>
      <c r="Q42" s="39">
        <v>2753.793154761905</v>
      </c>
      <c r="R42" s="39">
        <v>2753.793154761905</v>
      </c>
      <c r="S42" s="39">
        <v>2753.793154761905</v>
      </c>
      <c r="T42" s="39">
        <v>2753.793154761905</v>
      </c>
      <c r="U42" s="39">
        <v>2753.793154761905</v>
      </c>
      <c r="V42" s="39">
        <v>2753.793154761905</v>
      </c>
      <c r="W42" s="39">
        <v>2753.793154761905</v>
      </c>
      <c r="X42" s="39">
        <v>2753.793154761905</v>
      </c>
      <c r="Y42" s="39">
        <v>2753.793154761905</v>
      </c>
      <c r="Z42" s="39">
        <v>2753.793154761905</v>
      </c>
      <c r="AA42" s="39">
        <v>2753.793154761905</v>
      </c>
      <c r="AB42" s="39">
        <v>2753.793154761905</v>
      </c>
      <c r="AC42" s="39">
        <v>2753.793154761905</v>
      </c>
      <c r="AD42" s="39">
        <v>2753.793154761905</v>
      </c>
      <c r="AE42" s="39">
        <v>2753.793154761905</v>
      </c>
      <c r="AF42" s="39">
        <v>2753.793154761905</v>
      </c>
      <c r="AG42" s="39">
        <v>2753.793154761905</v>
      </c>
      <c r="AH42" s="39">
        <v>66091.035714285739</v>
      </c>
      <c r="AI42" s="39">
        <v>1321820.714285715</v>
      </c>
    </row>
    <row r="43" spans="1:35" x14ac:dyDescent="0.3">
      <c r="A43" s="40">
        <v>2029</v>
      </c>
      <c r="B43" s="40" t="s">
        <v>66</v>
      </c>
      <c r="C43" s="41" t="s">
        <v>54</v>
      </c>
      <c r="D43" s="41" t="s">
        <v>56</v>
      </c>
      <c r="E43" s="40">
        <v>20</v>
      </c>
      <c r="F43" s="40">
        <v>5</v>
      </c>
      <c r="G43" s="40">
        <v>5</v>
      </c>
      <c r="H43" s="40">
        <v>0</v>
      </c>
      <c r="I43" s="40">
        <v>30</v>
      </c>
      <c r="J43" s="39">
        <v>2753.793154761905</v>
      </c>
      <c r="K43" s="39">
        <v>2753.793154761905</v>
      </c>
      <c r="L43" s="39">
        <v>2753.793154761905</v>
      </c>
      <c r="M43" s="39">
        <v>2753.793154761905</v>
      </c>
      <c r="N43" s="39">
        <v>2753.793154761905</v>
      </c>
      <c r="O43" s="39">
        <v>2753.793154761905</v>
      </c>
      <c r="P43" s="39">
        <v>2753.793154761905</v>
      </c>
      <c r="Q43" s="39">
        <v>2753.793154761905</v>
      </c>
      <c r="R43" s="39">
        <v>2753.793154761905</v>
      </c>
      <c r="S43" s="39">
        <v>2753.793154761905</v>
      </c>
      <c r="T43" s="39">
        <v>2753.793154761905</v>
      </c>
      <c r="U43" s="39">
        <v>2753.793154761905</v>
      </c>
      <c r="V43" s="39">
        <v>2753.793154761905</v>
      </c>
      <c r="W43" s="39">
        <v>2753.793154761905</v>
      </c>
      <c r="X43" s="39">
        <v>2753.793154761905</v>
      </c>
      <c r="Y43" s="39">
        <v>2753.793154761905</v>
      </c>
      <c r="Z43" s="39">
        <v>2753.793154761905</v>
      </c>
      <c r="AA43" s="39">
        <v>2753.793154761905</v>
      </c>
      <c r="AB43" s="39">
        <v>2753.793154761905</v>
      </c>
      <c r="AC43" s="39">
        <v>2753.793154761905</v>
      </c>
      <c r="AD43" s="39">
        <v>2753.793154761905</v>
      </c>
      <c r="AE43" s="39">
        <v>2753.793154761905</v>
      </c>
      <c r="AF43" s="39">
        <v>2753.793154761905</v>
      </c>
      <c r="AG43" s="39">
        <v>2753.793154761905</v>
      </c>
      <c r="AH43" s="39">
        <v>66091.035714285739</v>
      </c>
      <c r="AI43" s="39">
        <v>330455.1785714287</v>
      </c>
    </row>
    <row r="44" spans="1:35" x14ac:dyDescent="0.3">
      <c r="A44" s="40">
        <v>2029</v>
      </c>
      <c r="B44" s="40" t="s">
        <v>66</v>
      </c>
      <c r="C44" s="41" t="s">
        <v>54</v>
      </c>
      <c r="D44" s="41" t="s">
        <v>57</v>
      </c>
      <c r="E44" s="40">
        <v>20</v>
      </c>
      <c r="F44" s="40">
        <v>5</v>
      </c>
      <c r="G44" s="40">
        <v>5</v>
      </c>
      <c r="H44" s="40">
        <v>0</v>
      </c>
      <c r="I44" s="40">
        <v>30</v>
      </c>
      <c r="J44" s="39">
        <v>2753.793154761905</v>
      </c>
      <c r="K44" s="39">
        <v>2753.793154761905</v>
      </c>
      <c r="L44" s="39">
        <v>2753.793154761905</v>
      </c>
      <c r="M44" s="39">
        <v>2753.793154761905</v>
      </c>
      <c r="N44" s="39">
        <v>2753.793154761905</v>
      </c>
      <c r="O44" s="39">
        <v>2753.793154761905</v>
      </c>
      <c r="P44" s="39">
        <v>2753.793154761905</v>
      </c>
      <c r="Q44" s="39">
        <v>2753.793154761905</v>
      </c>
      <c r="R44" s="39">
        <v>2753.793154761905</v>
      </c>
      <c r="S44" s="39">
        <v>2753.793154761905</v>
      </c>
      <c r="T44" s="39">
        <v>2753.793154761905</v>
      </c>
      <c r="U44" s="39">
        <v>2753.793154761905</v>
      </c>
      <c r="V44" s="39">
        <v>2753.793154761905</v>
      </c>
      <c r="W44" s="39">
        <v>2753.793154761905</v>
      </c>
      <c r="X44" s="39">
        <v>2753.793154761905</v>
      </c>
      <c r="Y44" s="39">
        <v>2753.793154761905</v>
      </c>
      <c r="Z44" s="39">
        <v>2753.793154761905</v>
      </c>
      <c r="AA44" s="39">
        <v>2753.793154761905</v>
      </c>
      <c r="AB44" s="39">
        <v>2753.793154761905</v>
      </c>
      <c r="AC44" s="39">
        <v>2753.793154761905</v>
      </c>
      <c r="AD44" s="39">
        <v>2753.793154761905</v>
      </c>
      <c r="AE44" s="39">
        <v>2753.793154761905</v>
      </c>
      <c r="AF44" s="39">
        <v>2753.793154761905</v>
      </c>
      <c r="AG44" s="39">
        <v>2753.793154761905</v>
      </c>
      <c r="AH44" s="39">
        <v>66091.035714285739</v>
      </c>
      <c r="AI44" s="39">
        <v>330455.1785714287</v>
      </c>
    </row>
    <row r="45" spans="1:35" x14ac:dyDescent="0.3">
      <c r="A45" s="40">
        <v>2029</v>
      </c>
      <c r="B45" s="40" t="s">
        <v>66</v>
      </c>
      <c r="C45" s="41" t="s">
        <v>54</v>
      </c>
      <c r="D45" s="41" t="s">
        <v>58</v>
      </c>
      <c r="E45" s="40">
        <v>20</v>
      </c>
      <c r="F45" s="40">
        <v>5</v>
      </c>
      <c r="G45" s="40">
        <v>5</v>
      </c>
      <c r="H45" s="40">
        <v>0</v>
      </c>
      <c r="I45" s="40">
        <v>30</v>
      </c>
      <c r="J45" s="39">
        <v>2753.793154761905</v>
      </c>
      <c r="K45" s="39">
        <v>2753.793154761905</v>
      </c>
      <c r="L45" s="39">
        <v>2753.793154761905</v>
      </c>
      <c r="M45" s="39">
        <v>2753.793154761905</v>
      </c>
      <c r="N45" s="39">
        <v>2753.793154761905</v>
      </c>
      <c r="O45" s="39">
        <v>2753.793154761905</v>
      </c>
      <c r="P45" s="39">
        <v>2753.793154761905</v>
      </c>
      <c r="Q45" s="39">
        <v>2753.793154761905</v>
      </c>
      <c r="R45" s="39">
        <v>2753.793154761905</v>
      </c>
      <c r="S45" s="39">
        <v>2753.793154761905</v>
      </c>
      <c r="T45" s="39">
        <v>2753.793154761905</v>
      </c>
      <c r="U45" s="39">
        <v>2753.793154761905</v>
      </c>
      <c r="V45" s="39">
        <v>2753.793154761905</v>
      </c>
      <c r="W45" s="39">
        <v>2753.793154761905</v>
      </c>
      <c r="X45" s="39">
        <v>2753.793154761905</v>
      </c>
      <c r="Y45" s="39">
        <v>2753.793154761905</v>
      </c>
      <c r="Z45" s="39">
        <v>2753.793154761905</v>
      </c>
      <c r="AA45" s="39">
        <v>2753.793154761905</v>
      </c>
      <c r="AB45" s="39">
        <v>2753.793154761905</v>
      </c>
      <c r="AC45" s="39">
        <v>2753.793154761905</v>
      </c>
      <c r="AD45" s="39">
        <v>2753.793154761905</v>
      </c>
      <c r="AE45" s="39">
        <v>2753.793154761905</v>
      </c>
      <c r="AF45" s="39">
        <v>2753.793154761905</v>
      </c>
      <c r="AG45" s="39">
        <v>2753.793154761905</v>
      </c>
      <c r="AH45" s="39">
        <v>66091.035714285739</v>
      </c>
      <c r="AI45" s="39">
        <v>0</v>
      </c>
    </row>
    <row r="46" spans="1:35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 spans="1:35" x14ac:dyDescent="0.3">
      <c r="A47" s="40">
        <v>2029</v>
      </c>
      <c r="B47" s="40" t="s">
        <v>67</v>
      </c>
      <c r="C47" s="41" t="s">
        <v>54</v>
      </c>
      <c r="D47" s="41" t="s">
        <v>55</v>
      </c>
      <c r="E47" s="40">
        <v>22</v>
      </c>
      <c r="F47" s="40">
        <v>4</v>
      </c>
      <c r="G47" s="40">
        <v>4</v>
      </c>
      <c r="H47" s="40">
        <v>1</v>
      </c>
      <c r="I47" s="40">
        <v>31</v>
      </c>
      <c r="J47" s="39">
        <v>2753.793154761905</v>
      </c>
      <c r="K47" s="39">
        <v>2753.793154761905</v>
      </c>
      <c r="L47" s="39">
        <v>2753.793154761905</v>
      </c>
      <c r="M47" s="39">
        <v>2753.793154761905</v>
      </c>
      <c r="N47" s="39">
        <v>2753.793154761905</v>
      </c>
      <c r="O47" s="39">
        <v>2753.793154761905</v>
      </c>
      <c r="P47" s="39">
        <v>2753.793154761905</v>
      </c>
      <c r="Q47" s="39">
        <v>2753.793154761905</v>
      </c>
      <c r="R47" s="39">
        <v>2753.793154761905</v>
      </c>
      <c r="S47" s="39">
        <v>2753.793154761905</v>
      </c>
      <c r="T47" s="39">
        <v>2753.793154761905</v>
      </c>
      <c r="U47" s="39">
        <v>2753.793154761905</v>
      </c>
      <c r="V47" s="39">
        <v>2753.793154761905</v>
      </c>
      <c r="W47" s="39">
        <v>2753.793154761905</v>
      </c>
      <c r="X47" s="39">
        <v>2753.793154761905</v>
      </c>
      <c r="Y47" s="39">
        <v>2753.793154761905</v>
      </c>
      <c r="Z47" s="39">
        <v>2753.793154761905</v>
      </c>
      <c r="AA47" s="39">
        <v>2753.793154761905</v>
      </c>
      <c r="AB47" s="39">
        <v>2753.793154761905</v>
      </c>
      <c r="AC47" s="39">
        <v>2753.793154761905</v>
      </c>
      <c r="AD47" s="39">
        <v>2753.793154761905</v>
      </c>
      <c r="AE47" s="39">
        <v>2753.793154761905</v>
      </c>
      <c r="AF47" s="39">
        <v>2753.793154761905</v>
      </c>
      <c r="AG47" s="39">
        <v>2753.793154761905</v>
      </c>
      <c r="AH47" s="39">
        <v>66091.035714285739</v>
      </c>
      <c r="AI47" s="39">
        <v>1454002.7857142859</v>
      </c>
    </row>
    <row r="48" spans="1:35" x14ac:dyDescent="0.3">
      <c r="A48" s="40">
        <v>2029</v>
      </c>
      <c r="B48" s="40" t="s">
        <v>67</v>
      </c>
      <c r="C48" s="41" t="s">
        <v>54</v>
      </c>
      <c r="D48" s="41" t="s">
        <v>56</v>
      </c>
      <c r="E48" s="40">
        <v>22</v>
      </c>
      <c r="F48" s="40">
        <v>4</v>
      </c>
      <c r="G48" s="40">
        <v>4</v>
      </c>
      <c r="H48" s="40">
        <v>1</v>
      </c>
      <c r="I48" s="40">
        <v>31</v>
      </c>
      <c r="J48" s="39">
        <v>2753.793154761905</v>
      </c>
      <c r="K48" s="39">
        <v>2753.793154761905</v>
      </c>
      <c r="L48" s="39">
        <v>2753.793154761905</v>
      </c>
      <c r="M48" s="39">
        <v>2753.793154761905</v>
      </c>
      <c r="N48" s="39">
        <v>2753.793154761905</v>
      </c>
      <c r="O48" s="39">
        <v>2753.793154761905</v>
      </c>
      <c r="P48" s="39">
        <v>2753.793154761905</v>
      </c>
      <c r="Q48" s="39">
        <v>2753.793154761905</v>
      </c>
      <c r="R48" s="39">
        <v>2753.793154761905</v>
      </c>
      <c r="S48" s="39">
        <v>2753.793154761905</v>
      </c>
      <c r="T48" s="39">
        <v>2753.793154761905</v>
      </c>
      <c r="U48" s="39">
        <v>2753.793154761905</v>
      </c>
      <c r="V48" s="39">
        <v>2753.793154761905</v>
      </c>
      <c r="W48" s="39">
        <v>2753.793154761905</v>
      </c>
      <c r="X48" s="39">
        <v>2753.793154761905</v>
      </c>
      <c r="Y48" s="39">
        <v>2753.793154761905</v>
      </c>
      <c r="Z48" s="39">
        <v>2753.793154761905</v>
      </c>
      <c r="AA48" s="39">
        <v>2753.793154761905</v>
      </c>
      <c r="AB48" s="39">
        <v>2753.793154761905</v>
      </c>
      <c r="AC48" s="39">
        <v>2753.793154761905</v>
      </c>
      <c r="AD48" s="39">
        <v>2753.793154761905</v>
      </c>
      <c r="AE48" s="39">
        <v>2753.793154761905</v>
      </c>
      <c r="AF48" s="39">
        <v>2753.793154761905</v>
      </c>
      <c r="AG48" s="39">
        <v>2753.793154761905</v>
      </c>
      <c r="AH48" s="39">
        <v>66091.035714285739</v>
      </c>
      <c r="AI48" s="39">
        <v>264364.14285714302</v>
      </c>
    </row>
    <row r="49" spans="1:35" x14ac:dyDescent="0.3">
      <c r="A49" s="40">
        <v>2029</v>
      </c>
      <c r="B49" s="40" t="s">
        <v>67</v>
      </c>
      <c r="C49" s="41" t="s">
        <v>54</v>
      </c>
      <c r="D49" s="41" t="s">
        <v>57</v>
      </c>
      <c r="E49" s="40">
        <v>22</v>
      </c>
      <c r="F49" s="40">
        <v>4</v>
      </c>
      <c r="G49" s="40">
        <v>4</v>
      </c>
      <c r="H49" s="40">
        <v>1</v>
      </c>
      <c r="I49" s="40">
        <v>31</v>
      </c>
      <c r="J49" s="39">
        <v>2753.793154761905</v>
      </c>
      <c r="K49" s="39">
        <v>2753.793154761905</v>
      </c>
      <c r="L49" s="39">
        <v>2753.793154761905</v>
      </c>
      <c r="M49" s="39">
        <v>2753.793154761905</v>
      </c>
      <c r="N49" s="39">
        <v>2753.793154761905</v>
      </c>
      <c r="O49" s="39">
        <v>2753.793154761905</v>
      </c>
      <c r="P49" s="39">
        <v>2753.793154761905</v>
      </c>
      <c r="Q49" s="39">
        <v>2753.793154761905</v>
      </c>
      <c r="R49" s="39">
        <v>2753.793154761905</v>
      </c>
      <c r="S49" s="39">
        <v>2753.793154761905</v>
      </c>
      <c r="T49" s="39">
        <v>2753.793154761905</v>
      </c>
      <c r="U49" s="39">
        <v>2753.793154761905</v>
      </c>
      <c r="V49" s="39">
        <v>2753.793154761905</v>
      </c>
      <c r="W49" s="39">
        <v>2753.793154761905</v>
      </c>
      <c r="X49" s="39">
        <v>2753.793154761905</v>
      </c>
      <c r="Y49" s="39">
        <v>2753.793154761905</v>
      </c>
      <c r="Z49" s="39">
        <v>2753.793154761905</v>
      </c>
      <c r="AA49" s="39">
        <v>2753.793154761905</v>
      </c>
      <c r="AB49" s="39">
        <v>2753.793154761905</v>
      </c>
      <c r="AC49" s="39">
        <v>2753.793154761905</v>
      </c>
      <c r="AD49" s="39">
        <v>2753.793154761905</v>
      </c>
      <c r="AE49" s="39">
        <v>2753.793154761905</v>
      </c>
      <c r="AF49" s="39">
        <v>2753.793154761905</v>
      </c>
      <c r="AG49" s="39">
        <v>2753.793154761905</v>
      </c>
      <c r="AH49" s="39">
        <v>66091.035714285739</v>
      </c>
      <c r="AI49" s="39">
        <v>264364.14285714302</v>
      </c>
    </row>
    <row r="50" spans="1:35" x14ac:dyDescent="0.3">
      <c r="A50" s="40">
        <v>2029</v>
      </c>
      <c r="B50" s="40" t="s">
        <v>67</v>
      </c>
      <c r="C50" s="41" t="s">
        <v>54</v>
      </c>
      <c r="D50" s="41" t="s">
        <v>58</v>
      </c>
      <c r="E50" s="40">
        <v>22</v>
      </c>
      <c r="F50" s="40">
        <v>4</v>
      </c>
      <c r="G50" s="40">
        <v>4</v>
      </c>
      <c r="H50" s="40">
        <v>1</v>
      </c>
      <c r="I50" s="40">
        <v>31</v>
      </c>
      <c r="J50" s="39">
        <v>2753.793154761905</v>
      </c>
      <c r="K50" s="39">
        <v>2753.793154761905</v>
      </c>
      <c r="L50" s="39">
        <v>2753.793154761905</v>
      </c>
      <c r="M50" s="39">
        <v>2753.793154761905</v>
      </c>
      <c r="N50" s="39">
        <v>2753.793154761905</v>
      </c>
      <c r="O50" s="39">
        <v>2753.793154761905</v>
      </c>
      <c r="P50" s="39">
        <v>2753.793154761905</v>
      </c>
      <c r="Q50" s="39">
        <v>2753.793154761905</v>
      </c>
      <c r="R50" s="39">
        <v>2753.793154761905</v>
      </c>
      <c r="S50" s="39">
        <v>2753.793154761905</v>
      </c>
      <c r="T50" s="39">
        <v>2753.793154761905</v>
      </c>
      <c r="U50" s="39">
        <v>2753.793154761905</v>
      </c>
      <c r="V50" s="39">
        <v>2753.793154761905</v>
      </c>
      <c r="W50" s="39">
        <v>2753.793154761905</v>
      </c>
      <c r="X50" s="39">
        <v>2753.793154761905</v>
      </c>
      <c r="Y50" s="39">
        <v>2753.793154761905</v>
      </c>
      <c r="Z50" s="39">
        <v>2753.793154761905</v>
      </c>
      <c r="AA50" s="39">
        <v>2753.793154761905</v>
      </c>
      <c r="AB50" s="39">
        <v>2753.793154761905</v>
      </c>
      <c r="AC50" s="39">
        <v>2753.793154761905</v>
      </c>
      <c r="AD50" s="39">
        <v>2753.793154761905</v>
      </c>
      <c r="AE50" s="39">
        <v>2753.793154761905</v>
      </c>
      <c r="AF50" s="39">
        <v>2753.793154761905</v>
      </c>
      <c r="AG50" s="39">
        <v>2753.793154761905</v>
      </c>
      <c r="AH50" s="39">
        <v>66091.035714285739</v>
      </c>
      <c r="AI50" s="39">
        <v>66091.035714285739</v>
      </c>
    </row>
    <row r="51" spans="1:35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 spans="1:35" x14ac:dyDescent="0.3">
      <c r="A52" s="40">
        <v>2029</v>
      </c>
      <c r="B52" s="40" t="s">
        <v>68</v>
      </c>
      <c r="C52" s="41" t="s">
        <v>54</v>
      </c>
      <c r="D52" s="41" t="s">
        <v>55</v>
      </c>
      <c r="E52" s="40">
        <v>20</v>
      </c>
      <c r="F52" s="40">
        <v>4</v>
      </c>
      <c r="G52" s="40">
        <v>4</v>
      </c>
      <c r="H52" s="40">
        <v>2</v>
      </c>
      <c r="I52" s="40">
        <v>30</v>
      </c>
      <c r="J52" s="39">
        <v>2753.793154761905</v>
      </c>
      <c r="K52" s="39">
        <v>2753.793154761905</v>
      </c>
      <c r="L52" s="39">
        <v>2753.793154761905</v>
      </c>
      <c r="M52" s="39">
        <v>2753.793154761905</v>
      </c>
      <c r="N52" s="39">
        <v>2753.793154761905</v>
      </c>
      <c r="O52" s="39">
        <v>2753.793154761905</v>
      </c>
      <c r="P52" s="39">
        <v>2753.793154761905</v>
      </c>
      <c r="Q52" s="39">
        <v>2753.793154761905</v>
      </c>
      <c r="R52" s="39">
        <v>2753.793154761905</v>
      </c>
      <c r="S52" s="39">
        <v>2753.793154761905</v>
      </c>
      <c r="T52" s="39">
        <v>2753.793154761905</v>
      </c>
      <c r="U52" s="39">
        <v>2753.793154761905</v>
      </c>
      <c r="V52" s="39">
        <v>2753.793154761905</v>
      </c>
      <c r="W52" s="39">
        <v>2753.793154761905</v>
      </c>
      <c r="X52" s="39">
        <v>2753.793154761905</v>
      </c>
      <c r="Y52" s="39">
        <v>2753.793154761905</v>
      </c>
      <c r="Z52" s="39">
        <v>2753.793154761905</v>
      </c>
      <c r="AA52" s="39">
        <v>2753.793154761905</v>
      </c>
      <c r="AB52" s="39">
        <v>2753.793154761905</v>
      </c>
      <c r="AC52" s="39">
        <v>2753.793154761905</v>
      </c>
      <c r="AD52" s="39">
        <v>2753.793154761905</v>
      </c>
      <c r="AE52" s="39">
        <v>2753.793154761905</v>
      </c>
      <c r="AF52" s="39">
        <v>2753.793154761905</v>
      </c>
      <c r="AG52" s="39">
        <v>2753.793154761905</v>
      </c>
      <c r="AH52" s="39">
        <v>66091.035714285739</v>
      </c>
      <c r="AI52" s="39">
        <v>1321820.714285715</v>
      </c>
    </row>
    <row r="53" spans="1:35" x14ac:dyDescent="0.3">
      <c r="A53" s="40">
        <v>2029</v>
      </c>
      <c r="B53" s="40" t="s">
        <v>68</v>
      </c>
      <c r="C53" s="41" t="s">
        <v>54</v>
      </c>
      <c r="D53" s="41" t="s">
        <v>56</v>
      </c>
      <c r="E53" s="40">
        <v>20</v>
      </c>
      <c r="F53" s="40">
        <v>4</v>
      </c>
      <c r="G53" s="40">
        <v>4</v>
      </c>
      <c r="H53" s="40">
        <v>2</v>
      </c>
      <c r="I53" s="40">
        <v>30</v>
      </c>
      <c r="J53" s="39">
        <v>2753.793154761905</v>
      </c>
      <c r="K53" s="39">
        <v>2753.793154761905</v>
      </c>
      <c r="L53" s="39">
        <v>2753.793154761905</v>
      </c>
      <c r="M53" s="39">
        <v>2753.793154761905</v>
      </c>
      <c r="N53" s="39">
        <v>2753.793154761905</v>
      </c>
      <c r="O53" s="39">
        <v>2753.793154761905</v>
      </c>
      <c r="P53" s="39">
        <v>2753.793154761905</v>
      </c>
      <c r="Q53" s="39">
        <v>2753.793154761905</v>
      </c>
      <c r="R53" s="39">
        <v>2753.793154761905</v>
      </c>
      <c r="S53" s="39">
        <v>2753.793154761905</v>
      </c>
      <c r="T53" s="39">
        <v>2753.793154761905</v>
      </c>
      <c r="U53" s="39">
        <v>2753.793154761905</v>
      </c>
      <c r="V53" s="39">
        <v>2753.793154761905</v>
      </c>
      <c r="W53" s="39">
        <v>2753.793154761905</v>
      </c>
      <c r="X53" s="39">
        <v>2753.793154761905</v>
      </c>
      <c r="Y53" s="39">
        <v>2753.793154761905</v>
      </c>
      <c r="Z53" s="39">
        <v>2753.793154761905</v>
      </c>
      <c r="AA53" s="39">
        <v>2753.793154761905</v>
      </c>
      <c r="AB53" s="39">
        <v>2753.793154761905</v>
      </c>
      <c r="AC53" s="39">
        <v>2753.793154761905</v>
      </c>
      <c r="AD53" s="39">
        <v>2753.793154761905</v>
      </c>
      <c r="AE53" s="39">
        <v>2753.793154761905</v>
      </c>
      <c r="AF53" s="39">
        <v>2753.793154761905</v>
      </c>
      <c r="AG53" s="39">
        <v>2753.793154761905</v>
      </c>
      <c r="AH53" s="39">
        <v>66091.035714285739</v>
      </c>
      <c r="AI53" s="39">
        <v>264364.14285714302</v>
      </c>
    </row>
    <row r="54" spans="1:35" x14ac:dyDescent="0.3">
      <c r="A54" s="40">
        <v>2029</v>
      </c>
      <c r="B54" s="40" t="s">
        <v>68</v>
      </c>
      <c r="C54" s="41" t="s">
        <v>54</v>
      </c>
      <c r="D54" s="41" t="s">
        <v>57</v>
      </c>
      <c r="E54" s="40">
        <v>20</v>
      </c>
      <c r="F54" s="40">
        <v>4</v>
      </c>
      <c r="G54" s="40">
        <v>4</v>
      </c>
      <c r="H54" s="40">
        <v>2</v>
      </c>
      <c r="I54" s="40">
        <v>30</v>
      </c>
      <c r="J54" s="39">
        <v>2753.793154761905</v>
      </c>
      <c r="K54" s="39">
        <v>2753.793154761905</v>
      </c>
      <c r="L54" s="39">
        <v>2753.793154761905</v>
      </c>
      <c r="M54" s="39">
        <v>2753.793154761905</v>
      </c>
      <c r="N54" s="39">
        <v>2753.793154761905</v>
      </c>
      <c r="O54" s="39">
        <v>2753.793154761905</v>
      </c>
      <c r="P54" s="39">
        <v>2753.793154761905</v>
      </c>
      <c r="Q54" s="39">
        <v>2753.793154761905</v>
      </c>
      <c r="R54" s="39">
        <v>2753.793154761905</v>
      </c>
      <c r="S54" s="39">
        <v>2753.793154761905</v>
      </c>
      <c r="T54" s="39">
        <v>2753.793154761905</v>
      </c>
      <c r="U54" s="39">
        <v>2753.793154761905</v>
      </c>
      <c r="V54" s="39">
        <v>2753.793154761905</v>
      </c>
      <c r="W54" s="39">
        <v>2753.793154761905</v>
      </c>
      <c r="X54" s="39">
        <v>2753.793154761905</v>
      </c>
      <c r="Y54" s="39">
        <v>2753.793154761905</v>
      </c>
      <c r="Z54" s="39">
        <v>2753.793154761905</v>
      </c>
      <c r="AA54" s="39">
        <v>2753.793154761905</v>
      </c>
      <c r="AB54" s="39">
        <v>2753.793154761905</v>
      </c>
      <c r="AC54" s="39">
        <v>2753.793154761905</v>
      </c>
      <c r="AD54" s="39">
        <v>2753.793154761905</v>
      </c>
      <c r="AE54" s="39">
        <v>2753.793154761905</v>
      </c>
      <c r="AF54" s="39">
        <v>2753.793154761905</v>
      </c>
      <c r="AG54" s="39">
        <v>2753.793154761905</v>
      </c>
      <c r="AH54" s="39">
        <v>66091.035714285739</v>
      </c>
      <c r="AI54" s="39">
        <v>264364.14285714302</v>
      </c>
    </row>
    <row r="55" spans="1:35" x14ac:dyDescent="0.3">
      <c r="A55" s="40">
        <v>2029</v>
      </c>
      <c r="B55" s="40" t="s">
        <v>68</v>
      </c>
      <c r="C55" s="41" t="s">
        <v>54</v>
      </c>
      <c r="D55" s="41" t="s">
        <v>58</v>
      </c>
      <c r="E55" s="40">
        <v>20</v>
      </c>
      <c r="F55" s="40">
        <v>4</v>
      </c>
      <c r="G55" s="40">
        <v>4</v>
      </c>
      <c r="H55" s="40">
        <v>2</v>
      </c>
      <c r="I55" s="40">
        <v>30</v>
      </c>
      <c r="J55" s="39">
        <v>2753.793154761905</v>
      </c>
      <c r="K55" s="39">
        <v>2753.793154761905</v>
      </c>
      <c r="L55" s="39">
        <v>2753.793154761905</v>
      </c>
      <c r="M55" s="39">
        <v>2753.793154761905</v>
      </c>
      <c r="N55" s="39">
        <v>2753.793154761905</v>
      </c>
      <c r="O55" s="39">
        <v>2753.793154761905</v>
      </c>
      <c r="P55" s="39">
        <v>2753.793154761905</v>
      </c>
      <c r="Q55" s="39">
        <v>2753.793154761905</v>
      </c>
      <c r="R55" s="39">
        <v>2753.793154761905</v>
      </c>
      <c r="S55" s="39">
        <v>2753.793154761905</v>
      </c>
      <c r="T55" s="39">
        <v>2753.793154761905</v>
      </c>
      <c r="U55" s="39">
        <v>2753.793154761905</v>
      </c>
      <c r="V55" s="39">
        <v>2753.793154761905</v>
      </c>
      <c r="W55" s="39">
        <v>2753.793154761905</v>
      </c>
      <c r="X55" s="39">
        <v>2753.793154761905</v>
      </c>
      <c r="Y55" s="39">
        <v>2753.793154761905</v>
      </c>
      <c r="Z55" s="39">
        <v>2753.793154761905</v>
      </c>
      <c r="AA55" s="39">
        <v>2753.793154761905</v>
      </c>
      <c r="AB55" s="39">
        <v>2753.793154761905</v>
      </c>
      <c r="AC55" s="39">
        <v>2753.793154761905</v>
      </c>
      <c r="AD55" s="39">
        <v>2753.793154761905</v>
      </c>
      <c r="AE55" s="39">
        <v>2753.793154761905</v>
      </c>
      <c r="AF55" s="39">
        <v>2753.793154761905</v>
      </c>
      <c r="AG55" s="39">
        <v>2753.793154761905</v>
      </c>
      <c r="AH55" s="39">
        <v>66091.035714285739</v>
      </c>
      <c r="AI55" s="39">
        <v>132182.07142857151</v>
      </c>
    </row>
    <row r="56" spans="1:35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5" x14ac:dyDescent="0.3">
      <c r="A57" s="40">
        <v>2029</v>
      </c>
      <c r="B57" s="40" t="s">
        <v>69</v>
      </c>
      <c r="C57" s="41" t="s">
        <v>54</v>
      </c>
      <c r="D57" s="41" t="s">
        <v>55</v>
      </c>
      <c r="E57" s="40">
        <v>20</v>
      </c>
      <c r="F57" s="40">
        <v>4</v>
      </c>
      <c r="G57" s="40">
        <v>5</v>
      </c>
      <c r="H57" s="40">
        <v>2</v>
      </c>
      <c r="I57" s="40">
        <v>31</v>
      </c>
      <c r="J57" s="39">
        <v>2753.793154761905</v>
      </c>
      <c r="K57" s="39">
        <v>2753.793154761905</v>
      </c>
      <c r="L57" s="39">
        <v>2753.793154761905</v>
      </c>
      <c r="M57" s="39">
        <v>2753.793154761905</v>
      </c>
      <c r="N57" s="39">
        <v>2753.793154761905</v>
      </c>
      <c r="O57" s="39">
        <v>2753.793154761905</v>
      </c>
      <c r="P57" s="39">
        <v>2753.793154761905</v>
      </c>
      <c r="Q57" s="39">
        <v>2753.793154761905</v>
      </c>
      <c r="R57" s="39">
        <v>2753.793154761905</v>
      </c>
      <c r="S57" s="39">
        <v>2753.793154761905</v>
      </c>
      <c r="T57" s="39">
        <v>2753.793154761905</v>
      </c>
      <c r="U57" s="39">
        <v>2753.793154761905</v>
      </c>
      <c r="V57" s="39">
        <v>2753.793154761905</v>
      </c>
      <c r="W57" s="39">
        <v>2753.793154761905</v>
      </c>
      <c r="X57" s="39">
        <v>2753.793154761905</v>
      </c>
      <c r="Y57" s="39">
        <v>2753.793154761905</v>
      </c>
      <c r="Z57" s="39">
        <v>2753.793154761905</v>
      </c>
      <c r="AA57" s="39">
        <v>2753.793154761905</v>
      </c>
      <c r="AB57" s="39">
        <v>2753.793154761905</v>
      </c>
      <c r="AC57" s="39">
        <v>2753.793154761905</v>
      </c>
      <c r="AD57" s="39">
        <v>2753.793154761905</v>
      </c>
      <c r="AE57" s="39">
        <v>2753.793154761905</v>
      </c>
      <c r="AF57" s="39">
        <v>2753.793154761905</v>
      </c>
      <c r="AG57" s="39">
        <v>2753.793154761905</v>
      </c>
      <c r="AH57" s="39">
        <v>66091.035714285739</v>
      </c>
      <c r="AI57" s="39">
        <v>1321820.714285715</v>
      </c>
    </row>
    <row r="58" spans="1:35" x14ac:dyDescent="0.3">
      <c r="A58" s="40">
        <v>2029</v>
      </c>
      <c r="B58" s="40" t="s">
        <v>69</v>
      </c>
      <c r="C58" s="41" t="s">
        <v>54</v>
      </c>
      <c r="D58" s="41" t="s">
        <v>56</v>
      </c>
      <c r="E58" s="40">
        <v>20</v>
      </c>
      <c r="F58" s="40">
        <v>4</v>
      </c>
      <c r="G58" s="40">
        <v>5</v>
      </c>
      <c r="H58" s="40">
        <v>2</v>
      </c>
      <c r="I58" s="40">
        <v>31</v>
      </c>
      <c r="J58" s="39">
        <v>2753.793154761905</v>
      </c>
      <c r="K58" s="39">
        <v>2753.793154761905</v>
      </c>
      <c r="L58" s="39">
        <v>2753.793154761905</v>
      </c>
      <c r="M58" s="39">
        <v>2753.793154761905</v>
      </c>
      <c r="N58" s="39">
        <v>2753.793154761905</v>
      </c>
      <c r="O58" s="39">
        <v>2753.793154761905</v>
      </c>
      <c r="P58" s="39">
        <v>2753.793154761905</v>
      </c>
      <c r="Q58" s="39">
        <v>2753.793154761905</v>
      </c>
      <c r="R58" s="39">
        <v>2753.793154761905</v>
      </c>
      <c r="S58" s="39">
        <v>2753.793154761905</v>
      </c>
      <c r="T58" s="39">
        <v>2753.793154761905</v>
      </c>
      <c r="U58" s="39">
        <v>2753.793154761905</v>
      </c>
      <c r="V58" s="39">
        <v>2753.793154761905</v>
      </c>
      <c r="W58" s="39">
        <v>2753.793154761905</v>
      </c>
      <c r="X58" s="39">
        <v>2753.793154761905</v>
      </c>
      <c r="Y58" s="39">
        <v>2753.793154761905</v>
      </c>
      <c r="Z58" s="39">
        <v>2753.793154761905</v>
      </c>
      <c r="AA58" s="39">
        <v>2753.793154761905</v>
      </c>
      <c r="AB58" s="39">
        <v>2753.793154761905</v>
      </c>
      <c r="AC58" s="39">
        <v>2753.793154761905</v>
      </c>
      <c r="AD58" s="39">
        <v>2753.793154761905</v>
      </c>
      <c r="AE58" s="39">
        <v>2753.793154761905</v>
      </c>
      <c r="AF58" s="39">
        <v>2753.793154761905</v>
      </c>
      <c r="AG58" s="39">
        <v>2753.793154761905</v>
      </c>
      <c r="AH58" s="39">
        <v>66091.035714285739</v>
      </c>
      <c r="AI58" s="39">
        <v>264364.14285714302</v>
      </c>
    </row>
    <row r="59" spans="1:35" x14ac:dyDescent="0.3">
      <c r="A59" s="40">
        <v>2029</v>
      </c>
      <c r="B59" s="40" t="s">
        <v>69</v>
      </c>
      <c r="C59" s="41" t="s">
        <v>54</v>
      </c>
      <c r="D59" s="41" t="s">
        <v>57</v>
      </c>
      <c r="E59" s="40">
        <v>20</v>
      </c>
      <c r="F59" s="40">
        <v>4</v>
      </c>
      <c r="G59" s="40">
        <v>5</v>
      </c>
      <c r="H59" s="40">
        <v>2</v>
      </c>
      <c r="I59" s="40">
        <v>31</v>
      </c>
      <c r="J59" s="39">
        <v>2753.793154761905</v>
      </c>
      <c r="K59" s="39">
        <v>2753.793154761905</v>
      </c>
      <c r="L59" s="39">
        <v>2753.793154761905</v>
      </c>
      <c r="M59" s="39">
        <v>2753.793154761905</v>
      </c>
      <c r="N59" s="39">
        <v>2753.793154761905</v>
      </c>
      <c r="O59" s="39">
        <v>2753.793154761905</v>
      </c>
      <c r="P59" s="39">
        <v>2753.793154761905</v>
      </c>
      <c r="Q59" s="39">
        <v>2753.793154761905</v>
      </c>
      <c r="R59" s="39">
        <v>2753.793154761905</v>
      </c>
      <c r="S59" s="39">
        <v>2753.793154761905</v>
      </c>
      <c r="T59" s="39">
        <v>2753.793154761905</v>
      </c>
      <c r="U59" s="39">
        <v>2753.793154761905</v>
      </c>
      <c r="V59" s="39">
        <v>2753.793154761905</v>
      </c>
      <c r="W59" s="39">
        <v>2753.793154761905</v>
      </c>
      <c r="X59" s="39">
        <v>2753.793154761905</v>
      </c>
      <c r="Y59" s="39">
        <v>2753.793154761905</v>
      </c>
      <c r="Z59" s="39">
        <v>2753.793154761905</v>
      </c>
      <c r="AA59" s="39">
        <v>2753.793154761905</v>
      </c>
      <c r="AB59" s="39">
        <v>2753.793154761905</v>
      </c>
      <c r="AC59" s="39">
        <v>2753.793154761905</v>
      </c>
      <c r="AD59" s="39">
        <v>2753.793154761905</v>
      </c>
      <c r="AE59" s="39">
        <v>2753.793154761905</v>
      </c>
      <c r="AF59" s="39">
        <v>2753.793154761905</v>
      </c>
      <c r="AG59" s="39">
        <v>2753.793154761905</v>
      </c>
      <c r="AH59" s="39">
        <v>66091.035714285739</v>
      </c>
      <c r="AI59" s="39">
        <v>330455.1785714287</v>
      </c>
    </row>
    <row r="60" spans="1:35" x14ac:dyDescent="0.3">
      <c r="A60" s="40">
        <v>2029</v>
      </c>
      <c r="B60" s="40" t="s">
        <v>69</v>
      </c>
      <c r="C60" s="41" t="s">
        <v>54</v>
      </c>
      <c r="D60" s="41" t="s">
        <v>58</v>
      </c>
      <c r="E60" s="40">
        <v>20</v>
      </c>
      <c r="F60" s="40">
        <v>4</v>
      </c>
      <c r="G60" s="40">
        <v>5</v>
      </c>
      <c r="H60" s="40">
        <v>2</v>
      </c>
      <c r="I60" s="40">
        <v>31</v>
      </c>
      <c r="J60" s="39">
        <v>2753.793154761905</v>
      </c>
      <c r="K60" s="39">
        <v>2753.793154761905</v>
      </c>
      <c r="L60" s="39">
        <v>2753.793154761905</v>
      </c>
      <c r="M60" s="39">
        <v>2753.793154761905</v>
      </c>
      <c r="N60" s="39">
        <v>2753.793154761905</v>
      </c>
      <c r="O60" s="39">
        <v>2753.793154761905</v>
      </c>
      <c r="P60" s="39">
        <v>2753.793154761905</v>
      </c>
      <c r="Q60" s="39">
        <v>2753.793154761905</v>
      </c>
      <c r="R60" s="39">
        <v>2753.793154761905</v>
      </c>
      <c r="S60" s="39">
        <v>2753.793154761905</v>
      </c>
      <c r="T60" s="39">
        <v>2753.793154761905</v>
      </c>
      <c r="U60" s="39">
        <v>2753.793154761905</v>
      </c>
      <c r="V60" s="39">
        <v>2753.793154761905</v>
      </c>
      <c r="W60" s="39">
        <v>2753.793154761905</v>
      </c>
      <c r="X60" s="39">
        <v>2753.793154761905</v>
      </c>
      <c r="Y60" s="39">
        <v>2753.793154761905</v>
      </c>
      <c r="Z60" s="39">
        <v>2753.793154761905</v>
      </c>
      <c r="AA60" s="39">
        <v>2753.793154761905</v>
      </c>
      <c r="AB60" s="39">
        <v>2753.793154761905</v>
      </c>
      <c r="AC60" s="39">
        <v>2753.793154761905</v>
      </c>
      <c r="AD60" s="39">
        <v>2753.793154761905</v>
      </c>
      <c r="AE60" s="39">
        <v>2753.793154761905</v>
      </c>
      <c r="AF60" s="39">
        <v>2753.793154761905</v>
      </c>
      <c r="AG60" s="39">
        <v>2753.793154761905</v>
      </c>
      <c r="AH60" s="39">
        <v>66091.035714285739</v>
      </c>
      <c r="AI60" s="39">
        <v>132182.07142857151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M57"/>
  <sheetViews>
    <sheetView view="pageBreakPreview" topLeftCell="A25" zoomScale="60" zoomScaleNormal="100" workbookViewId="0">
      <selection activeCell="F33" sqref="F33:J47"/>
    </sheetView>
  </sheetViews>
  <sheetFormatPr baseColWidth="10" defaultRowHeight="14.4" x14ac:dyDescent="0.3"/>
  <cols>
    <col min="1" max="1" width="19.6640625" customWidth="1"/>
    <col min="2" max="2" width="20.6640625" customWidth="1"/>
    <col min="3" max="3" width="18.44140625" customWidth="1"/>
    <col min="4" max="4" width="20.109375" customWidth="1"/>
    <col min="5" max="5" width="22.109375" customWidth="1"/>
    <col min="6" max="6" width="21.21875" customWidth="1"/>
    <col min="7" max="7" width="21.88671875" customWidth="1"/>
    <col min="8" max="8" width="22.33203125" customWidth="1"/>
    <col min="9" max="9" width="23" customWidth="1"/>
    <col min="10" max="10" width="19" customWidth="1"/>
    <col min="11" max="11" width="19.33203125" customWidth="1"/>
  </cols>
  <sheetData>
    <row r="1" spans="1:13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3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3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3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3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3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pans="1:13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1:13" x14ac:dyDescent="0.3">
      <c r="A19" s="35"/>
      <c r="B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1:13" ht="25.8" customHeight="1" x14ac:dyDescent="0.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ht="28.8" customHeight="1" x14ac:dyDescent="0.3">
      <c r="A22" s="2"/>
      <c r="B22" s="2"/>
      <c r="C22" s="3"/>
      <c r="D22" s="46" t="s">
        <v>0</v>
      </c>
      <c r="E22" s="47"/>
      <c r="F22" s="47"/>
      <c r="G22" s="47"/>
      <c r="H22" s="47"/>
      <c r="I22" s="47"/>
      <c r="J22" s="47"/>
      <c r="K22" s="3"/>
      <c r="M22" s="2"/>
    </row>
    <row r="23" spans="1:13" ht="28.8" customHeight="1" x14ac:dyDescent="0.3">
      <c r="A23" s="2"/>
      <c r="B23" s="2"/>
      <c r="C23" s="49" t="s">
        <v>1</v>
      </c>
      <c r="D23" s="47"/>
      <c r="E23" s="47"/>
      <c r="F23" s="47"/>
      <c r="G23" s="47"/>
      <c r="H23" s="47"/>
      <c r="I23" s="47"/>
      <c r="J23" s="47"/>
      <c r="K23" s="47"/>
      <c r="L23" s="2"/>
      <c r="M23" s="2"/>
    </row>
    <row r="24" spans="1:13" ht="25.8" customHeight="1" x14ac:dyDescent="0.3">
      <c r="A24" s="2"/>
      <c r="B24" s="2"/>
      <c r="C24" s="3"/>
      <c r="D24" s="50"/>
      <c r="E24" s="47"/>
      <c r="F24" s="47"/>
      <c r="G24" s="47"/>
      <c r="H24" s="47"/>
      <c r="I24" s="47"/>
      <c r="J24" s="47"/>
      <c r="K24" s="3"/>
      <c r="L24" s="2"/>
      <c r="M24" s="2"/>
    </row>
    <row r="25" spans="1:13" ht="25.8" customHeight="1" x14ac:dyDescent="0.5">
      <c r="A25" s="4"/>
      <c r="B25" s="5"/>
      <c r="C25" s="5"/>
      <c r="D25" s="6"/>
      <c r="E25" s="7"/>
      <c r="F25" s="7"/>
      <c r="G25" s="7"/>
      <c r="H25" s="7"/>
      <c r="I25" s="7"/>
      <c r="J25" s="8"/>
      <c r="K25" s="9"/>
      <c r="L25" s="4"/>
      <c r="M25" s="4"/>
    </row>
    <row r="26" spans="1:13" ht="25.8" customHeight="1" x14ac:dyDescent="0.5">
      <c r="A26" s="4"/>
      <c r="B26" s="5"/>
      <c r="C26" s="10" t="s">
        <v>2</v>
      </c>
      <c r="D26" s="5"/>
      <c r="E26" s="5"/>
      <c r="F26" s="1"/>
      <c r="G26" s="5"/>
      <c r="H26" s="5"/>
      <c r="I26" s="5"/>
      <c r="J26" s="5"/>
      <c r="K26" s="9"/>
      <c r="L26" s="4"/>
      <c r="M26" s="4"/>
    </row>
    <row r="27" spans="1:13" ht="25.8" customHeight="1" x14ac:dyDescent="0.5">
      <c r="A27" s="4"/>
      <c r="B27" s="5"/>
      <c r="C27" s="10" t="s">
        <v>3</v>
      </c>
      <c r="D27" s="5"/>
      <c r="E27" s="5"/>
      <c r="F27" s="1"/>
      <c r="G27" s="5"/>
      <c r="H27" s="5"/>
      <c r="I27" s="5"/>
      <c r="J27" s="5"/>
      <c r="K27" s="9"/>
      <c r="L27" s="4"/>
      <c r="M27" s="4"/>
    </row>
    <row r="28" spans="1:13" ht="25.8" customHeight="1" x14ac:dyDescent="0.5">
      <c r="A28" s="1"/>
      <c r="B28" s="11"/>
      <c r="C28" s="10" t="s">
        <v>4</v>
      </c>
      <c r="D28" s="5"/>
      <c r="E28" s="5"/>
      <c r="F28" s="1"/>
      <c r="G28" s="11"/>
      <c r="H28" s="11"/>
      <c r="I28" s="11"/>
      <c r="J28" s="11"/>
      <c r="K28" s="12"/>
      <c r="L28" s="1"/>
      <c r="M28" s="1"/>
    </row>
    <row r="29" spans="1:13" ht="25.8" customHeight="1" x14ac:dyDescent="0.5">
      <c r="A29" s="1"/>
      <c r="B29" s="11"/>
      <c r="C29" s="13" t="str">
        <f>"PRODUCTO OFERTADO: "&amp;D24</f>
        <v xml:space="preserve">PRODUCTO OFERTADO: </v>
      </c>
      <c r="D29" s="5"/>
      <c r="E29" s="5"/>
      <c r="F29" s="1"/>
      <c r="G29" s="11"/>
      <c r="H29" s="11"/>
      <c r="I29" s="11"/>
      <c r="J29" s="11"/>
      <c r="K29" s="12"/>
      <c r="L29" s="1"/>
      <c r="M29" s="1"/>
    </row>
    <row r="30" spans="1:13" ht="25.8" customHeight="1" x14ac:dyDescent="0.5">
      <c r="A30" s="1"/>
      <c r="B30" s="11"/>
      <c r="C30" s="13"/>
      <c r="D30" s="5"/>
      <c r="E30" s="5"/>
      <c r="F30" s="1"/>
      <c r="G30" s="11"/>
      <c r="H30" s="11"/>
      <c r="I30" s="11"/>
      <c r="J30" s="11"/>
      <c r="K30" s="12"/>
      <c r="L30" s="1"/>
      <c r="M30" s="1"/>
    </row>
    <row r="31" spans="1:13" ht="25.8" customHeight="1" x14ac:dyDescent="0.5">
      <c r="A31" s="1"/>
      <c r="B31" s="11"/>
      <c r="C31" s="14" t="s">
        <v>75</v>
      </c>
      <c r="D31" s="15"/>
      <c r="E31" s="15"/>
      <c r="F31" s="16"/>
      <c r="G31" s="11"/>
      <c r="H31" s="11"/>
      <c r="I31" s="11"/>
      <c r="J31" s="11"/>
      <c r="K31" s="12"/>
      <c r="L31" s="1"/>
      <c r="M31" s="1"/>
    </row>
    <row r="32" spans="1:13" ht="25.8" customHeight="1" x14ac:dyDescent="0.5">
      <c r="A32" s="1"/>
      <c r="B32" s="17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5.8" customHeight="1" x14ac:dyDescent="0.5">
      <c r="A33" s="1"/>
      <c r="B33" s="1"/>
      <c r="C33" s="1"/>
      <c r="D33" s="1"/>
      <c r="E33" s="1"/>
      <c r="F33" s="51" t="s">
        <v>73</v>
      </c>
      <c r="G33" s="52"/>
      <c r="H33" s="52"/>
      <c r="I33" s="52"/>
      <c r="J33" s="53"/>
      <c r="K33" s="1"/>
      <c r="L33" s="1"/>
      <c r="M33" s="1"/>
    </row>
    <row r="34" spans="1:13" ht="27.6" customHeight="1" x14ac:dyDescent="0.5">
      <c r="A34" s="1"/>
      <c r="B34" s="1"/>
      <c r="C34" s="1"/>
      <c r="D34" s="1"/>
      <c r="E34" s="1"/>
      <c r="F34" s="43" t="s">
        <v>6</v>
      </c>
      <c r="G34" s="43" t="s">
        <v>7</v>
      </c>
      <c r="H34" s="43" t="s">
        <v>8</v>
      </c>
      <c r="I34" s="43" t="s">
        <v>9</v>
      </c>
      <c r="J34" s="43" t="s">
        <v>10</v>
      </c>
      <c r="K34" s="1"/>
      <c r="L34" s="1"/>
      <c r="M34" s="1"/>
    </row>
    <row r="35" spans="1:13" ht="25.8" customHeight="1" x14ac:dyDescent="0.5">
      <c r="A35" s="1"/>
      <c r="B35" s="1"/>
      <c r="C35" s="1"/>
      <c r="D35" s="1"/>
      <c r="E35" s="1"/>
      <c r="F35" s="21">
        <v>47484</v>
      </c>
      <c r="G35" s="37">
        <v>1763.8920285714289</v>
      </c>
      <c r="H35" s="18"/>
      <c r="I35" s="18"/>
      <c r="J35" s="34"/>
      <c r="K35" s="1"/>
      <c r="L35" s="1"/>
      <c r="M35" s="1"/>
    </row>
    <row r="36" spans="1:13" ht="25.8" customHeight="1" x14ac:dyDescent="0.5">
      <c r="A36" s="1"/>
      <c r="B36" s="1"/>
      <c r="C36" s="1"/>
      <c r="D36" s="1"/>
      <c r="E36" s="1"/>
      <c r="F36" s="21">
        <v>47515</v>
      </c>
      <c r="G36" s="37">
        <v>1593.1928</v>
      </c>
      <c r="H36" s="18"/>
      <c r="I36" s="18"/>
      <c r="J36" s="34"/>
      <c r="K36" s="1"/>
      <c r="L36" s="1"/>
      <c r="M36" s="1"/>
    </row>
    <row r="37" spans="1:13" ht="25.8" customHeight="1" x14ac:dyDescent="0.5">
      <c r="A37" s="1"/>
      <c r="B37" s="1"/>
      <c r="C37" s="1"/>
      <c r="D37" s="1"/>
      <c r="E37" s="1"/>
      <c r="F37" s="21">
        <v>47543</v>
      </c>
      <c r="G37" s="37">
        <v>1763.8920285714289</v>
      </c>
      <c r="H37" s="18"/>
      <c r="I37" s="18"/>
      <c r="J37" s="34"/>
      <c r="K37" s="1"/>
      <c r="L37" s="1"/>
      <c r="M37" s="1"/>
    </row>
    <row r="38" spans="1:13" ht="25.8" customHeight="1" x14ac:dyDescent="0.5">
      <c r="A38" s="1"/>
      <c r="B38" s="1"/>
      <c r="C38" s="1"/>
      <c r="D38" s="1"/>
      <c r="E38" s="1"/>
      <c r="F38" s="21">
        <v>47574</v>
      </c>
      <c r="G38" s="37">
        <v>1706.992285714286</v>
      </c>
      <c r="H38" s="18"/>
      <c r="I38" s="18"/>
      <c r="J38" s="34"/>
      <c r="K38" s="1"/>
      <c r="L38" s="1"/>
      <c r="M38" s="1"/>
    </row>
    <row r="39" spans="1:13" ht="25.8" customHeight="1" x14ac:dyDescent="0.5">
      <c r="A39" s="1"/>
      <c r="B39" s="1"/>
      <c r="C39" s="1"/>
      <c r="D39" s="1"/>
      <c r="E39" s="1"/>
      <c r="F39" s="21">
        <v>47604</v>
      </c>
      <c r="G39" s="37">
        <v>1763.8920285714289</v>
      </c>
      <c r="H39" s="18"/>
      <c r="I39" s="18"/>
      <c r="J39" s="34"/>
      <c r="K39" s="1"/>
      <c r="L39" s="1"/>
      <c r="M39" s="1"/>
    </row>
    <row r="40" spans="1:13" ht="25.8" customHeight="1" x14ac:dyDescent="0.5">
      <c r="A40" s="1"/>
      <c r="B40" s="1"/>
      <c r="C40" s="1"/>
      <c r="D40" s="1"/>
      <c r="E40" s="1"/>
      <c r="F40" s="21">
        <v>47635</v>
      </c>
      <c r="G40" s="37">
        <v>1706.992285714286</v>
      </c>
      <c r="H40" s="18"/>
      <c r="I40" s="18"/>
      <c r="J40" s="34"/>
      <c r="K40" s="1"/>
      <c r="L40" s="1"/>
      <c r="M40" s="1"/>
    </row>
    <row r="41" spans="1:13" ht="25.8" customHeight="1" x14ac:dyDescent="0.5">
      <c r="A41" s="19"/>
      <c r="B41" s="20">
        <v>31</v>
      </c>
      <c r="C41" s="1"/>
      <c r="D41" s="1"/>
      <c r="E41" s="1"/>
      <c r="F41" s="21">
        <v>47665</v>
      </c>
      <c r="G41" s="38">
        <v>1763.8920285714289</v>
      </c>
      <c r="H41" s="23"/>
      <c r="I41" s="22"/>
      <c r="J41" s="54"/>
      <c r="K41" s="1"/>
      <c r="L41" s="24"/>
      <c r="M41" s="24"/>
    </row>
    <row r="42" spans="1:13" ht="25.8" customHeight="1" x14ac:dyDescent="0.5">
      <c r="A42" s="19"/>
      <c r="B42" s="20">
        <v>31</v>
      </c>
      <c r="C42" s="1"/>
      <c r="D42" s="1"/>
      <c r="E42" s="1"/>
      <c r="F42" s="21">
        <v>47696</v>
      </c>
      <c r="G42" s="38">
        <v>1763.8920285714289</v>
      </c>
      <c r="H42" s="23"/>
      <c r="I42" s="22"/>
      <c r="J42" s="55"/>
      <c r="K42" s="1"/>
      <c r="L42" s="24"/>
      <c r="M42" s="24"/>
    </row>
    <row r="43" spans="1:13" ht="25.8" customHeight="1" x14ac:dyDescent="0.5">
      <c r="A43" s="25"/>
      <c r="B43" s="20">
        <v>30</v>
      </c>
      <c r="C43" s="1"/>
      <c r="D43" s="1"/>
      <c r="E43" s="1"/>
      <c r="F43" s="21">
        <v>47727</v>
      </c>
      <c r="G43" s="38">
        <v>1706.992285714286</v>
      </c>
      <c r="H43" s="23"/>
      <c r="I43" s="22"/>
      <c r="J43" s="55"/>
      <c r="K43" s="1"/>
      <c r="L43" s="24"/>
      <c r="M43" s="24"/>
    </row>
    <row r="44" spans="1:13" ht="25.8" customHeight="1" x14ac:dyDescent="0.5">
      <c r="A44" s="25"/>
      <c r="B44" s="20">
        <v>31</v>
      </c>
      <c r="C44" s="1"/>
      <c r="D44" s="1"/>
      <c r="E44" s="1"/>
      <c r="F44" s="21">
        <v>47757</v>
      </c>
      <c r="G44" s="38">
        <v>1763.8920285714289</v>
      </c>
      <c r="H44" s="23"/>
      <c r="I44" s="22"/>
      <c r="J44" s="55"/>
      <c r="K44" s="1"/>
      <c r="L44" s="24"/>
      <c r="M44" s="24"/>
    </row>
    <row r="45" spans="1:13" ht="25.8" customHeight="1" x14ac:dyDescent="0.5">
      <c r="A45" s="19"/>
      <c r="B45" s="20">
        <v>30</v>
      </c>
      <c r="C45" s="1"/>
      <c r="D45" s="1"/>
      <c r="E45" s="1"/>
      <c r="F45" s="21">
        <v>47788</v>
      </c>
      <c r="G45" s="38">
        <v>1706.992285714286</v>
      </c>
      <c r="H45" s="23"/>
      <c r="I45" s="22"/>
      <c r="J45" s="55"/>
      <c r="K45" s="1"/>
      <c r="L45" s="24"/>
      <c r="M45" s="24"/>
    </row>
    <row r="46" spans="1:13" ht="25.8" customHeight="1" x14ac:dyDescent="0.5">
      <c r="A46" s="19"/>
      <c r="B46" s="20">
        <v>31</v>
      </c>
      <c r="C46" s="1"/>
      <c r="D46" s="1"/>
      <c r="E46" s="1"/>
      <c r="F46" s="21">
        <v>47818</v>
      </c>
      <c r="G46" s="38">
        <v>1763.8920285714289</v>
      </c>
      <c r="H46" s="23"/>
      <c r="I46" s="22"/>
      <c r="J46" s="56"/>
      <c r="K46" s="1"/>
      <c r="L46" s="24"/>
      <c r="M46" s="24"/>
    </row>
    <row r="47" spans="1:13" ht="25.8" customHeight="1" x14ac:dyDescent="0.5">
      <c r="A47" s="1"/>
      <c r="B47" s="1"/>
      <c r="C47" s="1"/>
      <c r="D47" s="1"/>
      <c r="E47" s="1"/>
      <c r="F47" s="26" t="s">
        <v>11</v>
      </c>
      <c r="G47" s="27">
        <f>SUM(G35:G46)</f>
        <v>20768.406142857148</v>
      </c>
      <c r="H47" s="23">
        <f>I47/G47</f>
        <v>1</v>
      </c>
      <c r="I47" s="27">
        <f>G47</f>
        <v>20768.406142857148</v>
      </c>
      <c r="J47" s="28"/>
      <c r="K47" s="1"/>
      <c r="L47" s="1"/>
      <c r="M47" s="1"/>
    </row>
    <row r="48" spans="1:13" ht="25.8" customHeight="1" x14ac:dyDescent="0.5">
      <c r="A48" s="1"/>
      <c r="B48" s="1"/>
      <c r="C48" s="1"/>
      <c r="D48" s="1"/>
      <c r="E48" s="1"/>
      <c r="F48" s="29"/>
      <c r="G48" s="30"/>
      <c r="H48" s="1"/>
      <c r="I48" s="1"/>
      <c r="J48" s="1"/>
      <c r="K48" s="1"/>
      <c r="L48" s="1"/>
      <c r="M48" s="1"/>
    </row>
    <row r="49" spans="1:13" ht="25.8" customHeight="1" x14ac:dyDescent="0.5">
      <c r="A49" s="1"/>
      <c r="B49" s="31" t="s">
        <v>12</v>
      </c>
      <c r="C49" s="32"/>
      <c r="D49" s="32"/>
      <c r="E49" s="32"/>
      <c r="F49" s="32"/>
      <c r="G49" s="32"/>
      <c r="H49" s="1"/>
      <c r="I49" s="1"/>
      <c r="J49" s="1"/>
      <c r="K49" s="1"/>
      <c r="L49" s="32"/>
      <c r="M49" s="1"/>
    </row>
    <row r="50" spans="1:13" ht="25.8" customHeight="1" x14ac:dyDescent="0.5">
      <c r="A50" s="1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1"/>
    </row>
    <row r="51" spans="1:13" ht="25.8" customHeight="1" x14ac:dyDescent="0.5">
      <c r="A51" s="1"/>
      <c r="B51" s="48" t="s">
        <v>13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1"/>
    </row>
    <row r="52" spans="1:13" ht="25.8" customHeight="1" x14ac:dyDescent="0.5">
      <c r="A52" s="1"/>
      <c r="B52" s="48" t="s">
        <v>14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1"/>
    </row>
    <row r="53" spans="1:13" ht="25.8" customHeight="1" x14ac:dyDescent="0.5">
      <c r="A53" s="1"/>
      <c r="B53" s="44" t="s">
        <v>15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1"/>
    </row>
    <row r="54" spans="1:13" ht="25.8" customHeight="1" x14ac:dyDescent="0.5">
      <c r="A54" s="1"/>
      <c r="B54" s="44" t="s">
        <v>16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1"/>
    </row>
    <row r="55" spans="1:13" ht="25.8" customHeight="1" x14ac:dyDescent="0.5">
      <c r="A55" s="16"/>
      <c r="B55" s="44" t="s">
        <v>72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1"/>
    </row>
    <row r="56" spans="1:13" ht="25.8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5.8" customHeight="1" x14ac:dyDescent="0.5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1"/>
    </row>
  </sheetData>
  <mergeCells count="10">
    <mergeCell ref="B53:L53"/>
    <mergeCell ref="D22:J22"/>
    <mergeCell ref="B52:L52"/>
    <mergeCell ref="B54:L54"/>
    <mergeCell ref="B55:L55"/>
    <mergeCell ref="B51:L51"/>
    <mergeCell ref="C23:K23"/>
    <mergeCell ref="D24:J24"/>
    <mergeCell ref="F33:J33"/>
    <mergeCell ref="J41:J46"/>
  </mergeCells>
  <pageMargins left="0.7" right="0.7" top="0.75" bottom="0.75" header="0.3" footer="0.3"/>
  <pageSetup paperSize="9" scale="3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I60"/>
  <sheetViews>
    <sheetView workbookViewId="0">
      <pane ySplit="1" topLeftCell="A5" activePane="bottomLeft" state="frozen"/>
      <selection activeCell="F33" sqref="F33:J34"/>
      <selection pane="bottomLeft" activeCell="B32" sqref="B32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20" customWidth="1"/>
    <col min="4" max="4" width="12" customWidth="1"/>
    <col min="5" max="8" width="8" customWidth="1"/>
    <col min="9" max="9" width="9" customWidth="1"/>
    <col min="10" max="33" width="11" customWidth="1"/>
    <col min="34" max="34" width="15" customWidth="1"/>
    <col min="35" max="35" width="19" customWidth="1"/>
  </cols>
  <sheetData>
    <row r="1" spans="1:35" ht="27.6" customHeight="1" x14ac:dyDescent="0.3">
      <c r="A1" s="43" t="s">
        <v>18</v>
      </c>
      <c r="B1" s="43" t="s">
        <v>19</v>
      </c>
      <c r="C1" s="43" t="s">
        <v>20</v>
      </c>
      <c r="D1" s="43" t="s">
        <v>21</v>
      </c>
      <c r="E1" s="43" t="s">
        <v>22</v>
      </c>
      <c r="F1" s="43" t="s">
        <v>23</v>
      </c>
      <c r="G1" s="43" t="s">
        <v>24</v>
      </c>
      <c r="H1" s="43" t="s">
        <v>25</v>
      </c>
      <c r="I1" s="43" t="s">
        <v>26</v>
      </c>
      <c r="J1" s="43" t="s">
        <v>27</v>
      </c>
      <c r="K1" s="43" t="s">
        <v>28</v>
      </c>
      <c r="L1" s="43" t="s">
        <v>29</v>
      </c>
      <c r="M1" s="43" t="s">
        <v>30</v>
      </c>
      <c r="N1" s="43" t="s">
        <v>31</v>
      </c>
      <c r="O1" s="43" t="s">
        <v>32</v>
      </c>
      <c r="P1" s="43" t="s">
        <v>33</v>
      </c>
      <c r="Q1" s="43" t="s">
        <v>34</v>
      </c>
      <c r="R1" s="43" t="s">
        <v>35</v>
      </c>
      <c r="S1" s="43" t="s">
        <v>36</v>
      </c>
      <c r="T1" s="43" t="s">
        <v>37</v>
      </c>
      <c r="U1" s="43" t="s">
        <v>38</v>
      </c>
      <c r="V1" s="43" t="s">
        <v>39</v>
      </c>
      <c r="W1" s="43" t="s">
        <v>40</v>
      </c>
      <c r="X1" s="43" t="s">
        <v>41</v>
      </c>
      <c r="Y1" s="43" t="s">
        <v>42</v>
      </c>
      <c r="Z1" s="43" t="s">
        <v>43</v>
      </c>
      <c r="AA1" s="43" t="s">
        <v>44</v>
      </c>
      <c r="AB1" s="43" t="s">
        <v>45</v>
      </c>
      <c r="AC1" s="43" t="s">
        <v>46</v>
      </c>
      <c r="AD1" s="43" t="s">
        <v>47</v>
      </c>
      <c r="AE1" s="43" t="s">
        <v>48</v>
      </c>
      <c r="AF1" s="43" t="s">
        <v>49</v>
      </c>
      <c r="AG1" s="43" t="s">
        <v>50</v>
      </c>
      <c r="AH1" s="43" t="s">
        <v>51</v>
      </c>
      <c r="AI1" s="43" t="s">
        <v>52</v>
      </c>
    </row>
    <row r="2" spans="1:35" x14ac:dyDescent="0.3">
      <c r="A2" s="40">
        <v>2030</v>
      </c>
      <c r="B2" s="40" t="s">
        <v>53</v>
      </c>
      <c r="C2" s="41" t="s">
        <v>54</v>
      </c>
      <c r="D2" s="41" t="s">
        <v>55</v>
      </c>
      <c r="E2" s="40">
        <v>21</v>
      </c>
      <c r="F2" s="40">
        <v>4</v>
      </c>
      <c r="G2" s="40">
        <v>4</v>
      </c>
      <c r="H2" s="40">
        <v>2</v>
      </c>
      <c r="I2" s="40">
        <v>31</v>
      </c>
      <c r="J2" s="39">
        <v>2370.8226190476189</v>
      </c>
      <c r="K2" s="39">
        <v>2370.8226190476189</v>
      </c>
      <c r="L2" s="39">
        <v>2370.8226190476189</v>
      </c>
      <c r="M2" s="39">
        <v>2370.8226190476189</v>
      </c>
      <c r="N2" s="39">
        <v>2370.8226190476189</v>
      </c>
      <c r="O2" s="39">
        <v>2370.8226190476189</v>
      </c>
      <c r="P2" s="39">
        <v>2370.8226190476189</v>
      </c>
      <c r="Q2" s="39">
        <v>2370.8226190476189</v>
      </c>
      <c r="R2" s="39">
        <v>2370.8226190476189</v>
      </c>
      <c r="S2" s="39">
        <v>2370.8226190476189</v>
      </c>
      <c r="T2" s="39">
        <v>2370.8226190476189</v>
      </c>
      <c r="U2" s="39">
        <v>2370.8226190476189</v>
      </c>
      <c r="V2" s="39">
        <v>2370.8226190476189</v>
      </c>
      <c r="W2" s="39">
        <v>2370.8226190476189</v>
      </c>
      <c r="X2" s="39">
        <v>2370.8226190476189</v>
      </c>
      <c r="Y2" s="39">
        <v>2370.8226190476189</v>
      </c>
      <c r="Z2" s="39">
        <v>2370.8226190476189</v>
      </c>
      <c r="AA2" s="39">
        <v>2370.8226190476189</v>
      </c>
      <c r="AB2" s="39">
        <v>2370.8226190476189</v>
      </c>
      <c r="AC2" s="39">
        <v>2370.8226190476189</v>
      </c>
      <c r="AD2" s="39">
        <v>2370.8226190476189</v>
      </c>
      <c r="AE2" s="39">
        <v>2370.8226190476189</v>
      </c>
      <c r="AF2" s="39">
        <v>2370.8226190476189</v>
      </c>
      <c r="AG2" s="39">
        <v>2370.8226190476189</v>
      </c>
      <c r="AH2" s="39">
        <v>56899.742857142861</v>
      </c>
      <c r="AI2" s="39">
        <v>1194894.6000000001</v>
      </c>
    </row>
    <row r="3" spans="1:35" x14ac:dyDescent="0.3">
      <c r="A3" s="40">
        <v>2030</v>
      </c>
      <c r="B3" s="40" t="s">
        <v>53</v>
      </c>
      <c r="C3" s="41" t="s">
        <v>54</v>
      </c>
      <c r="D3" s="41" t="s">
        <v>56</v>
      </c>
      <c r="E3" s="40">
        <v>21</v>
      </c>
      <c r="F3" s="40">
        <v>4</v>
      </c>
      <c r="G3" s="40">
        <v>4</v>
      </c>
      <c r="H3" s="40">
        <v>2</v>
      </c>
      <c r="I3" s="40">
        <v>31</v>
      </c>
      <c r="J3" s="39">
        <v>2370.8226190476189</v>
      </c>
      <c r="K3" s="39">
        <v>2370.8226190476189</v>
      </c>
      <c r="L3" s="39">
        <v>2370.8226190476189</v>
      </c>
      <c r="M3" s="39">
        <v>2370.8226190476189</v>
      </c>
      <c r="N3" s="39">
        <v>2370.8226190476189</v>
      </c>
      <c r="O3" s="39">
        <v>2370.8226190476189</v>
      </c>
      <c r="P3" s="39">
        <v>2370.8226190476189</v>
      </c>
      <c r="Q3" s="39">
        <v>2370.8226190476189</v>
      </c>
      <c r="R3" s="39">
        <v>2370.8226190476189</v>
      </c>
      <c r="S3" s="39">
        <v>2370.8226190476189</v>
      </c>
      <c r="T3" s="39">
        <v>2370.8226190476189</v>
      </c>
      <c r="U3" s="39">
        <v>2370.8226190476189</v>
      </c>
      <c r="V3" s="39">
        <v>2370.8226190476189</v>
      </c>
      <c r="W3" s="39">
        <v>2370.8226190476189</v>
      </c>
      <c r="X3" s="39">
        <v>2370.8226190476189</v>
      </c>
      <c r="Y3" s="39">
        <v>2370.8226190476189</v>
      </c>
      <c r="Z3" s="39">
        <v>2370.8226190476189</v>
      </c>
      <c r="AA3" s="39">
        <v>2370.8226190476189</v>
      </c>
      <c r="AB3" s="39">
        <v>2370.8226190476189</v>
      </c>
      <c r="AC3" s="39">
        <v>2370.8226190476189</v>
      </c>
      <c r="AD3" s="39">
        <v>2370.8226190476189</v>
      </c>
      <c r="AE3" s="39">
        <v>2370.8226190476189</v>
      </c>
      <c r="AF3" s="39">
        <v>2370.8226190476189</v>
      </c>
      <c r="AG3" s="39">
        <v>2370.8226190476189</v>
      </c>
      <c r="AH3" s="39">
        <v>56899.742857142861</v>
      </c>
      <c r="AI3" s="39">
        <v>227598.97142857141</v>
      </c>
    </row>
    <row r="4" spans="1:35" x14ac:dyDescent="0.3">
      <c r="A4" s="40">
        <v>2030</v>
      </c>
      <c r="B4" s="40" t="s">
        <v>53</v>
      </c>
      <c r="C4" s="41" t="s">
        <v>54</v>
      </c>
      <c r="D4" s="41" t="s">
        <v>57</v>
      </c>
      <c r="E4" s="40">
        <v>21</v>
      </c>
      <c r="F4" s="40">
        <v>4</v>
      </c>
      <c r="G4" s="40">
        <v>4</v>
      </c>
      <c r="H4" s="40">
        <v>2</v>
      </c>
      <c r="I4" s="40">
        <v>31</v>
      </c>
      <c r="J4" s="39">
        <v>2370.8226190476189</v>
      </c>
      <c r="K4" s="39">
        <v>2370.8226190476189</v>
      </c>
      <c r="L4" s="39">
        <v>2370.8226190476189</v>
      </c>
      <c r="M4" s="39">
        <v>2370.8226190476189</v>
      </c>
      <c r="N4" s="39">
        <v>2370.8226190476189</v>
      </c>
      <c r="O4" s="39">
        <v>2370.8226190476189</v>
      </c>
      <c r="P4" s="39">
        <v>2370.8226190476189</v>
      </c>
      <c r="Q4" s="39">
        <v>2370.8226190476189</v>
      </c>
      <c r="R4" s="39">
        <v>2370.8226190476189</v>
      </c>
      <c r="S4" s="39">
        <v>2370.8226190476189</v>
      </c>
      <c r="T4" s="39">
        <v>2370.8226190476189</v>
      </c>
      <c r="U4" s="39">
        <v>2370.8226190476189</v>
      </c>
      <c r="V4" s="39">
        <v>2370.8226190476189</v>
      </c>
      <c r="W4" s="39">
        <v>2370.8226190476189</v>
      </c>
      <c r="X4" s="39">
        <v>2370.8226190476189</v>
      </c>
      <c r="Y4" s="39">
        <v>2370.8226190476189</v>
      </c>
      <c r="Z4" s="39">
        <v>2370.8226190476189</v>
      </c>
      <c r="AA4" s="39">
        <v>2370.8226190476189</v>
      </c>
      <c r="AB4" s="39">
        <v>2370.8226190476189</v>
      </c>
      <c r="AC4" s="39">
        <v>2370.8226190476189</v>
      </c>
      <c r="AD4" s="39">
        <v>2370.8226190476189</v>
      </c>
      <c r="AE4" s="39">
        <v>2370.8226190476189</v>
      </c>
      <c r="AF4" s="39">
        <v>2370.8226190476189</v>
      </c>
      <c r="AG4" s="39">
        <v>2370.8226190476189</v>
      </c>
      <c r="AH4" s="39">
        <v>56899.742857142861</v>
      </c>
      <c r="AI4" s="39">
        <v>227598.97142857141</v>
      </c>
    </row>
    <row r="5" spans="1:35" x14ac:dyDescent="0.3">
      <c r="A5" s="40">
        <v>2030</v>
      </c>
      <c r="B5" s="40" t="s">
        <v>53</v>
      </c>
      <c r="C5" s="41" t="s">
        <v>54</v>
      </c>
      <c r="D5" s="41" t="s">
        <v>58</v>
      </c>
      <c r="E5" s="40">
        <v>21</v>
      </c>
      <c r="F5" s="40">
        <v>4</v>
      </c>
      <c r="G5" s="40">
        <v>4</v>
      </c>
      <c r="H5" s="40">
        <v>2</v>
      </c>
      <c r="I5" s="40">
        <v>31</v>
      </c>
      <c r="J5" s="39">
        <v>2370.8226190476189</v>
      </c>
      <c r="K5" s="39">
        <v>2370.8226190476189</v>
      </c>
      <c r="L5" s="39">
        <v>2370.8226190476189</v>
      </c>
      <c r="M5" s="39">
        <v>2370.8226190476189</v>
      </c>
      <c r="N5" s="39">
        <v>2370.8226190476189</v>
      </c>
      <c r="O5" s="39">
        <v>2370.8226190476189</v>
      </c>
      <c r="P5" s="39">
        <v>2370.8226190476189</v>
      </c>
      <c r="Q5" s="39">
        <v>2370.8226190476189</v>
      </c>
      <c r="R5" s="39">
        <v>2370.8226190476189</v>
      </c>
      <c r="S5" s="39">
        <v>2370.8226190476189</v>
      </c>
      <c r="T5" s="39">
        <v>2370.8226190476189</v>
      </c>
      <c r="U5" s="39">
        <v>2370.8226190476189</v>
      </c>
      <c r="V5" s="39">
        <v>2370.8226190476189</v>
      </c>
      <c r="W5" s="39">
        <v>2370.8226190476189</v>
      </c>
      <c r="X5" s="39">
        <v>2370.8226190476189</v>
      </c>
      <c r="Y5" s="39">
        <v>2370.8226190476189</v>
      </c>
      <c r="Z5" s="39">
        <v>2370.8226190476189</v>
      </c>
      <c r="AA5" s="39">
        <v>2370.8226190476189</v>
      </c>
      <c r="AB5" s="39">
        <v>2370.8226190476189</v>
      </c>
      <c r="AC5" s="39">
        <v>2370.8226190476189</v>
      </c>
      <c r="AD5" s="39">
        <v>2370.8226190476189</v>
      </c>
      <c r="AE5" s="39">
        <v>2370.8226190476189</v>
      </c>
      <c r="AF5" s="39">
        <v>2370.8226190476189</v>
      </c>
      <c r="AG5" s="39">
        <v>2370.8226190476189</v>
      </c>
      <c r="AH5" s="39">
        <v>56899.742857142861</v>
      </c>
      <c r="AI5" s="39">
        <v>113799.48571428571</v>
      </c>
    </row>
    <row r="6" spans="1:35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</row>
    <row r="7" spans="1:35" x14ac:dyDescent="0.3">
      <c r="A7" s="40">
        <v>2030</v>
      </c>
      <c r="B7" s="40" t="s">
        <v>59</v>
      </c>
      <c r="C7" s="41" t="s">
        <v>54</v>
      </c>
      <c r="D7" s="41" t="s">
        <v>55</v>
      </c>
      <c r="E7" s="40">
        <v>20</v>
      </c>
      <c r="F7" s="40">
        <v>4</v>
      </c>
      <c r="G7" s="40">
        <v>4</v>
      </c>
      <c r="H7" s="40">
        <v>0</v>
      </c>
      <c r="I7" s="40">
        <v>28</v>
      </c>
      <c r="J7" s="39">
        <v>2370.8226190476189</v>
      </c>
      <c r="K7" s="39">
        <v>2370.8226190476189</v>
      </c>
      <c r="L7" s="39">
        <v>2370.8226190476189</v>
      </c>
      <c r="M7" s="39">
        <v>2370.8226190476189</v>
      </c>
      <c r="N7" s="39">
        <v>2370.8226190476189</v>
      </c>
      <c r="O7" s="39">
        <v>2370.8226190476189</v>
      </c>
      <c r="P7" s="39">
        <v>2370.8226190476189</v>
      </c>
      <c r="Q7" s="39">
        <v>2370.8226190476189</v>
      </c>
      <c r="R7" s="39">
        <v>2370.8226190476189</v>
      </c>
      <c r="S7" s="39">
        <v>2370.8226190476189</v>
      </c>
      <c r="T7" s="39">
        <v>2370.8226190476189</v>
      </c>
      <c r="U7" s="39">
        <v>2370.8226190476189</v>
      </c>
      <c r="V7" s="39">
        <v>2370.8226190476189</v>
      </c>
      <c r="W7" s="39">
        <v>2370.8226190476189</v>
      </c>
      <c r="X7" s="39">
        <v>2370.8226190476189</v>
      </c>
      <c r="Y7" s="39">
        <v>2370.8226190476189</v>
      </c>
      <c r="Z7" s="39">
        <v>2370.8226190476189</v>
      </c>
      <c r="AA7" s="39">
        <v>2370.8226190476189</v>
      </c>
      <c r="AB7" s="39">
        <v>2370.8226190476189</v>
      </c>
      <c r="AC7" s="39">
        <v>2370.8226190476189</v>
      </c>
      <c r="AD7" s="39">
        <v>2370.8226190476189</v>
      </c>
      <c r="AE7" s="39">
        <v>2370.8226190476189</v>
      </c>
      <c r="AF7" s="39">
        <v>2370.8226190476189</v>
      </c>
      <c r="AG7" s="39">
        <v>2370.8226190476189</v>
      </c>
      <c r="AH7" s="39">
        <v>56899.742857142861</v>
      </c>
      <c r="AI7" s="39">
        <v>1137994.857142857</v>
      </c>
    </row>
    <row r="8" spans="1:35" x14ac:dyDescent="0.3">
      <c r="A8" s="40">
        <v>2030</v>
      </c>
      <c r="B8" s="40" t="s">
        <v>59</v>
      </c>
      <c r="C8" s="41" t="s">
        <v>54</v>
      </c>
      <c r="D8" s="41" t="s">
        <v>56</v>
      </c>
      <c r="E8" s="40">
        <v>20</v>
      </c>
      <c r="F8" s="40">
        <v>4</v>
      </c>
      <c r="G8" s="40">
        <v>4</v>
      </c>
      <c r="H8" s="40">
        <v>0</v>
      </c>
      <c r="I8" s="40">
        <v>28</v>
      </c>
      <c r="J8" s="39">
        <v>2370.8226190476189</v>
      </c>
      <c r="K8" s="39">
        <v>2370.8226190476189</v>
      </c>
      <c r="L8" s="39">
        <v>2370.8226190476189</v>
      </c>
      <c r="M8" s="39">
        <v>2370.8226190476189</v>
      </c>
      <c r="N8" s="39">
        <v>2370.8226190476189</v>
      </c>
      <c r="O8" s="39">
        <v>2370.8226190476189</v>
      </c>
      <c r="P8" s="39">
        <v>2370.8226190476189</v>
      </c>
      <c r="Q8" s="39">
        <v>2370.8226190476189</v>
      </c>
      <c r="R8" s="39">
        <v>2370.8226190476189</v>
      </c>
      <c r="S8" s="39">
        <v>2370.8226190476189</v>
      </c>
      <c r="T8" s="39">
        <v>2370.8226190476189</v>
      </c>
      <c r="U8" s="39">
        <v>2370.8226190476189</v>
      </c>
      <c r="V8" s="39">
        <v>2370.8226190476189</v>
      </c>
      <c r="W8" s="39">
        <v>2370.8226190476189</v>
      </c>
      <c r="X8" s="39">
        <v>2370.8226190476189</v>
      </c>
      <c r="Y8" s="39">
        <v>2370.8226190476189</v>
      </c>
      <c r="Z8" s="39">
        <v>2370.8226190476189</v>
      </c>
      <c r="AA8" s="39">
        <v>2370.8226190476189</v>
      </c>
      <c r="AB8" s="39">
        <v>2370.8226190476189</v>
      </c>
      <c r="AC8" s="39">
        <v>2370.8226190476189</v>
      </c>
      <c r="AD8" s="39">
        <v>2370.8226190476189</v>
      </c>
      <c r="AE8" s="39">
        <v>2370.8226190476189</v>
      </c>
      <c r="AF8" s="39">
        <v>2370.8226190476189</v>
      </c>
      <c r="AG8" s="39">
        <v>2370.8226190476189</v>
      </c>
      <c r="AH8" s="39">
        <v>56899.742857142861</v>
      </c>
      <c r="AI8" s="39">
        <v>227598.97142857141</v>
      </c>
    </row>
    <row r="9" spans="1:35" x14ac:dyDescent="0.3">
      <c r="A9" s="40">
        <v>2030</v>
      </c>
      <c r="B9" s="40" t="s">
        <v>59</v>
      </c>
      <c r="C9" s="41" t="s">
        <v>54</v>
      </c>
      <c r="D9" s="41" t="s">
        <v>57</v>
      </c>
      <c r="E9" s="40">
        <v>20</v>
      </c>
      <c r="F9" s="40">
        <v>4</v>
      </c>
      <c r="G9" s="40">
        <v>4</v>
      </c>
      <c r="H9" s="40">
        <v>0</v>
      </c>
      <c r="I9" s="40">
        <v>28</v>
      </c>
      <c r="J9" s="39">
        <v>2370.8226190476189</v>
      </c>
      <c r="K9" s="39">
        <v>2370.8226190476189</v>
      </c>
      <c r="L9" s="39">
        <v>2370.8226190476189</v>
      </c>
      <c r="M9" s="39">
        <v>2370.8226190476189</v>
      </c>
      <c r="N9" s="39">
        <v>2370.8226190476189</v>
      </c>
      <c r="O9" s="39">
        <v>2370.8226190476189</v>
      </c>
      <c r="P9" s="39">
        <v>2370.8226190476189</v>
      </c>
      <c r="Q9" s="39">
        <v>2370.8226190476189</v>
      </c>
      <c r="R9" s="39">
        <v>2370.8226190476189</v>
      </c>
      <c r="S9" s="39">
        <v>2370.8226190476189</v>
      </c>
      <c r="T9" s="39">
        <v>2370.8226190476189</v>
      </c>
      <c r="U9" s="39">
        <v>2370.8226190476189</v>
      </c>
      <c r="V9" s="39">
        <v>2370.8226190476189</v>
      </c>
      <c r="W9" s="39">
        <v>2370.8226190476189</v>
      </c>
      <c r="X9" s="39">
        <v>2370.8226190476189</v>
      </c>
      <c r="Y9" s="39">
        <v>2370.8226190476189</v>
      </c>
      <c r="Z9" s="39">
        <v>2370.8226190476189</v>
      </c>
      <c r="AA9" s="39">
        <v>2370.8226190476189</v>
      </c>
      <c r="AB9" s="39">
        <v>2370.8226190476189</v>
      </c>
      <c r="AC9" s="39">
        <v>2370.8226190476189</v>
      </c>
      <c r="AD9" s="39">
        <v>2370.8226190476189</v>
      </c>
      <c r="AE9" s="39">
        <v>2370.8226190476189</v>
      </c>
      <c r="AF9" s="39">
        <v>2370.8226190476189</v>
      </c>
      <c r="AG9" s="39">
        <v>2370.8226190476189</v>
      </c>
      <c r="AH9" s="39">
        <v>56899.742857142861</v>
      </c>
      <c r="AI9" s="39">
        <v>227598.97142857141</v>
      </c>
    </row>
    <row r="10" spans="1:35" x14ac:dyDescent="0.3">
      <c r="A10" s="40">
        <v>2030</v>
      </c>
      <c r="B10" s="40" t="s">
        <v>59</v>
      </c>
      <c r="C10" s="41" t="s">
        <v>54</v>
      </c>
      <c r="D10" s="41" t="s">
        <v>58</v>
      </c>
      <c r="E10" s="40">
        <v>20</v>
      </c>
      <c r="F10" s="40">
        <v>4</v>
      </c>
      <c r="G10" s="40">
        <v>4</v>
      </c>
      <c r="H10" s="40">
        <v>0</v>
      </c>
      <c r="I10" s="40">
        <v>28</v>
      </c>
      <c r="J10" s="39">
        <v>2370.8226190476189</v>
      </c>
      <c r="K10" s="39">
        <v>2370.8226190476189</v>
      </c>
      <c r="L10" s="39">
        <v>2370.8226190476189</v>
      </c>
      <c r="M10" s="39">
        <v>2370.8226190476189</v>
      </c>
      <c r="N10" s="39">
        <v>2370.8226190476189</v>
      </c>
      <c r="O10" s="39">
        <v>2370.8226190476189</v>
      </c>
      <c r="P10" s="39">
        <v>2370.8226190476189</v>
      </c>
      <c r="Q10" s="39">
        <v>2370.8226190476189</v>
      </c>
      <c r="R10" s="39">
        <v>2370.8226190476189</v>
      </c>
      <c r="S10" s="39">
        <v>2370.8226190476189</v>
      </c>
      <c r="T10" s="39">
        <v>2370.8226190476189</v>
      </c>
      <c r="U10" s="39">
        <v>2370.8226190476189</v>
      </c>
      <c r="V10" s="39">
        <v>2370.8226190476189</v>
      </c>
      <c r="W10" s="39">
        <v>2370.8226190476189</v>
      </c>
      <c r="X10" s="39">
        <v>2370.8226190476189</v>
      </c>
      <c r="Y10" s="39">
        <v>2370.8226190476189</v>
      </c>
      <c r="Z10" s="39">
        <v>2370.8226190476189</v>
      </c>
      <c r="AA10" s="39">
        <v>2370.8226190476189</v>
      </c>
      <c r="AB10" s="39">
        <v>2370.8226190476189</v>
      </c>
      <c r="AC10" s="39">
        <v>2370.8226190476189</v>
      </c>
      <c r="AD10" s="39">
        <v>2370.8226190476189</v>
      </c>
      <c r="AE10" s="39">
        <v>2370.8226190476189</v>
      </c>
      <c r="AF10" s="39">
        <v>2370.8226190476189</v>
      </c>
      <c r="AG10" s="39">
        <v>2370.8226190476189</v>
      </c>
      <c r="AH10" s="39">
        <v>56899.742857142861</v>
      </c>
      <c r="AI10" s="39">
        <v>0</v>
      </c>
    </row>
    <row r="11" spans="1:35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r="12" spans="1:35" x14ac:dyDescent="0.3">
      <c r="A12" s="40">
        <v>2030</v>
      </c>
      <c r="B12" s="40" t="s">
        <v>60</v>
      </c>
      <c r="C12" s="41" t="s">
        <v>54</v>
      </c>
      <c r="D12" s="41" t="s">
        <v>55</v>
      </c>
      <c r="E12" s="40">
        <v>20</v>
      </c>
      <c r="F12" s="40">
        <v>5</v>
      </c>
      <c r="G12" s="40">
        <v>5</v>
      </c>
      <c r="H12" s="40">
        <v>1</v>
      </c>
      <c r="I12" s="40">
        <v>31</v>
      </c>
      <c r="J12" s="39">
        <v>2370.8226190476189</v>
      </c>
      <c r="K12" s="39">
        <v>2370.8226190476189</v>
      </c>
      <c r="L12" s="39">
        <v>2370.8226190476189</v>
      </c>
      <c r="M12" s="39">
        <v>2370.8226190476189</v>
      </c>
      <c r="N12" s="39">
        <v>2370.8226190476189</v>
      </c>
      <c r="O12" s="39">
        <v>2370.8226190476189</v>
      </c>
      <c r="P12" s="39">
        <v>2370.8226190476189</v>
      </c>
      <c r="Q12" s="39">
        <v>2370.8226190476189</v>
      </c>
      <c r="R12" s="39">
        <v>2370.8226190476189</v>
      </c>
      <c r="S12" s="39">
        <v>2370.8226190476189</v>
      </c>
      <c r="T12" s="39">
        <v>2370.8226190476189</v>
      </c>
      <c r="U12" s="39">
        <v>2370.8226190476189</v>
      </c>
      <c r="V12" s="39">
        <v>2370.8226190476189</v>
      </c>
      <c r="W12" s="39">
        <v>2370.8226190476189</v>
      </c>
      <c r="X12" s="39">
        <v>2370.8226190476189</v>
      </c>
      <c r="Y12" s="39">
        <v>2370.8226190476189</v>
      </c>
      <c r="Z12" s="39">
        <v>2370.8226190476189</v>
      </c>
      <c r="AA12" s="39">
        <v>2370.8226190476189</v>
      </c>
      <c r="AB12" s="39">
        <v>2370.8226190476189</v>
      </c>
      <c r="AC12" s="39">
        <v>2370.8226190476189</v>
      </c>
      <c r="AD12" s="39">
        <v>2370.8226190476189</v>
      </c>
      <c r="AE12" s="39">
        <v>2370.8226190476189</v>
      </c>
      <c r="AF12" s="39">
        <v>2370.8226190476189</v>
      </c>
      <c r="AG12" s="39">
        <v>2370.8226190476189</v>
      </c>
      <c r="AH12" s="39">
        <v>56899.742857142861</v>
      </c>
      <c r="AI12" s="39">
        <v>1137994.857142857</v>
      </c>
    </row>
    <row r="13" spans="1:35" x14ac:dyDescent="0.3">
      <c r="A13" s="40">
        <v>2030</v>
      </c>
      <c r="B13" s="40" t="s">
        <v>60</v>
      </c>
      <c r="C13" s="41" t="s">
        <v>54</v>
      </c>
      <c r="D13" s="41" t="s">
        <v>56</v>
      </c>
      <c r="E13" s="40">
        <v>20</v>
      </c>
      <c r="F13" s="40">
        <v>5</v>
      </c>
      <c r="G13" s="40">
        <v>5</v>
      </c>
      <c r="H13" s="40">
        <v>1</v>
      </c>
      <c r="I13" s="40">
        <v>31</v>
      </c>
      <c r="J13" s="39">
        <v>2370.8226190476189</v>
      </c>
      <c r="K13" s="39">
        <v>2370.8226190476189</v>
      </c>
      <c r="L13" s="39">
        <v>2370.8226190476189</v>
      </c>
      <c r="M13" s="39">
        <v>2370.8226190476189</v>
      </c>
      <c r="N13" s="39">
        <v>2370.8226190476189</v>
      </c>
      <c r="O13" s="39">
        <v>2370.8226190476189</v>
      </c>
      <c r="P13" s="39">
        <v>2370.8226190476189</v>
      </c>
      <c r="Q13" s="39">
        <v>2370.8226190476189</v>
      </c>
      <c r="R13" s="39">
        <v>2370.8226190476189</v>
      </c>
      <c r="S13" s="39">
        <v>2370.8226190476189</v>
      </c>
      <c r="T13" s="39">
        <v>2370.8226190476189</v>
      </c>
      <c r="U13" s="39">
        <v>2370.8226190476189</v>
      </c>
      <c r="V13" s="39">
        <v>2370.8226190476189</v>
      </c>
      <c r="W13" s="39">
        <v>2370.8226190476189</v>
      </c>
      <c r="X13" s="39">
        <v>2370.8226190476189</v>
      </c>
      <c r="Y13" s="39">
        <v>2370.8226190476189</v>
      </c>
      <c r="Z13" s="39">
        <v>2370.8226190476189</v>
      </c>
      <c r="AA13" s="39">
        <v>2370.8226190476189</v>
      </c>
      <c r="AB13" s="39">
        <v>2370.8226190476189</v>
      </c>
      <c r="AC13" s="39">
        <v>2370.8226190476189</v>
      </c>
      <c r="AD13" s="39">
        <v>2370.8226190476189</v>
      </c>
      <c r="AE13" s="39">
        <v>2370.8226190476189</v>
      </c>
      <c r="AF13" s="39">
        <v>2370.8226190476189</v>
      </c>
      <c r="AG13" s="39">
        <v>2370.8226190476189</v>
      </c>
      <c r="AH13" s="39">
        <v>56899.742857142861</v>
      </c>
      <c r="AI13" s="39">
        <v>284498.71428571432</v>
      </c>
    </row>
    <row r="14" spans="1:35" x14ac:dyDescent="0.3">
      <c r="A14" s="40">
        <v>2030</v>
      </c>
      <c r="B14" s="40" t="s">
        <v>60</v>
      </c>
      <c r="C14" s="41" t="s">
        <v>54</v>
      </c>
      <c r="D14" s="41" t="s">
        <v>57</v>
      </c>
      <c r="E14" s="40">
        <v>20</v>
      </c>
      <c r="F14" s="40">
        <v>5</v>
      </c>
      <c r="G14" s="40">
        <v>5</v>
      </c>
      <c r="H14" s="40">
        <v>1</v>
      </c>
      <c r="I14" s="40">
        <v>31</v>
      </c>
      <c r="J14" s="39">
        <v>2370.8226190476189</v>
      </c>
      <c r="K14" s="39">
        <v>2370.8226190476189</v>
      </c>
      <c r="L14" s="39">
        <v>2370.8226190476189</v>
      </c>
      <c r="M14" s="39">
        <v>2370.8226190476189</v>
      </c>
      <c r="N14" s="39">
        <v>2370.8226190476189</v>
      </c>
      <c r="O14" s="39">
        <v>2370.8226190476189</v>
      </c>
      <c r="P14" s="39">
        <v>2370.8226190476189</v>
      </c>
      <c r="Q14" s="39">
        <v>2370.8226190476189</v>
      </c>
      <c r="R14" s="39">
        <v>2370.8226190476189</v>
      </c>
      <c r="S14" s="39">
        <v>2370.8226190476189</v>
      </c>
      <c r="T14" s="39">
        <v>2370.8226190476189</v>
      </c>
      <c r="U14" s="39">
        <v>2370.8226190476189</v>
      </c>
      <c r="V14" s="39">
        <v>2370.8226190476189</v>
      </c>
      <c r="W14" s="39">
        <v>2370.8226190476189</v>
      </c>
      <c r="X14" s="39">
        <v>2370.8226190476189</v>
      </c>
      <c r="Y14" s="39">
        <v>2370.8226190476189</v>
      </c>
      <c r="Z14" s="39">
        <v>2370.8226190476189</v>
      </c>
      <c r="AA14" s="39">
        <v>2370.8226190476189</v>
      </c>
      <c r="AB14" s="39">
        <v>2370.8226190476189</v>
      </c>
      <c r="AC14" s="39">
        <v>2370.8226190476189</v>
      </c>
      <c r="AD14" s="39">
        <v>2370.8226190476189</v>
      </c>
      <c r="AE14" s="39">
        <v>2370.8226190476189</v>
      </c>
      <c r="AF14" s="39">
        <v>2370.8226190476189</v>
      </c>
      <c r="AG14" s="39">
        <v>2370.8226190476189</v>
      </c>
      <c r="AH14" s="39">
        <v>56899.742857142861</v>
      </c>
      <c r="AI14" s="39">
        <v>284498.71428571432</v>
      </c>
    </row>
    <row r="15" spans="1:35" x14ac:dyDescent="0.3">
      <c r="A15" s="40">
        <v>2030</v>
      </c>
      <c r="B15" s="40" t="s">
        <v>60</v>
      </c>
      <c r="C15" s="41" t="s">
        <v>54</v>
      </c>
      <c r="D15" s="41" t="s">
        <v>58</v>
      </c>
      <c r="E15" s="40">
        <v>20</v>
      </c>
      <c r="F15" s="40">
        <v>5</v>
      </c>
      <c r="G15" s="40">
        <v>5</v>
      </c>
      <c r="H15" s="40">
        <v>1</v>
      </c>
      <c r="I15" s="40">
        <v>31</v>
      </c>
      <c r="J15" s="39">
        <v>2370.8226190476189</v>
      </c>
      <c r="K15" s="39">
        <v>2370.8226190476189</v>
      </c>
      <c r="L15" s="39">
        <v>2370.8226190476189</v>
      </c>
      <c r="M15" s="39">
        <v>2370.8226190476189</v>
      </c>
      <c r="N15" s="39">
        <v>2370.8226190476189</v>
      </c>
      <c r="O15" s="39">
        <v>2370.8226190476189</v>
      </c>
      <c r="P15" s="39">
        <v>2370.8226190476189</v>
      </c>
      <c r="Q15" s="39">
        <v>2370.8226190476189</v>
      </c>
      <c r="R15" s="39">
        <v>2370.8226190476189</v>
      </c>
      <c r="S15" s="39">
        <v>2370.8226190476189</v>
      </c>
      <c r="T15" s="39">
        <v>2370.8226190476189</v>
      </c>
      <c r="U15" s="39">
        <v>2370.8226190476189</v>
      </c>
      <c r="V15" s="39">
        <v>2370.8226190476189</v>
      </c>
      <c r="W15" s="39">
        <v>2370.8226190476189</v>
      </c>
      <c r="X15" s="39">
        <v>2370.8226190476189</v>
      </c>
      <c r="Y15" s="39">
        <v>2370.8226190476189</v>
      </c>
      <c r="Z15" s="39">
        <v>2370.8226190476189</v>
      </c>
      <c r="AA15" s="39">
        <v>2370.8226190476189</v>
      </c>
      <c r="AB15" s="39">
        <v>2370.8226190476189</v>
      </c>
      <c r="AC15" s="39">
        <v>2370.8226190476189</v>
      </c>
      <c r="AD15" s="39">
        <v>2370.8226190476189</v>
      </c>
      <c r="AE15" s="39">
        <v>2370.8226190476189</v>
      </c>
      <c r="AF15" s="39">
        <v>2370.8226190476189</v>
      </c>
      <c r="AG15" s="39">
        <v>2370.8226190476189</v>
      </c>
      <c r="AH15" s="39">
        <v>56899.742857142861</v>
      </c>
      <c r="AI15" s="39">
        <v>56899.742857142861</v>
      </c>
    </row>
    <row r="16" spans="1:35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r="17" spans="1:35" x14ac:dyDescent="0.3">
      <c r="A17" s="40">
        <v>2030</v>
      </c>
      <c r="B17" s="40" t="s">
        <v>61</v>
      </c>
      <c r="C17" s="41" t="s">
        <v>54</v>
      </c>
      <c r="D17" s="41" t="s">
        <v>55</v>
      </c>
      <c r="E17" s="40">
        <v>20</v>
      </c>
      <c r="F17" s="40">
        <v>4</v>
      </c>
      <c r="G17" s="40">
        <v>4</v>
      </c>
      <c r="H17" s="40">
        <v>2</v>
      </c>
      <c r="I17" s="40">
        <v>30</v>
      </c>
      <c r="J17" s="39">
        <v>2370.8226190476189</v>
      </c>
      <c r="K17" s="39">
        <v>2370.8226190476189</v>
      </c>
      <c r="L17" s="39">
        <v>2370.8226190476189</v>
      </c>
      <c r="M17" s="39">
        <v>2370.8226190476189</v>
      </c>
      <c r="N17" s="39">
        <v>2370.8226190476189</v>
      </c>
      <c r="O17" s="39">
        <v>2370.8226190476189</v>
      </c>
      <c r="P17" s="39">
        <v>2370.8226190476189</v>
      </c>
      <c r="Q17" s="39">
        <v>2370.8226190476189</v>
      </c>
      <c r="R17" s="39">
        <v>2370.8226190476189</v>
      </c>
      <c r="S17" s="39">
        <v>2370.8226190476189</v>
      </c>
      <c r="T17" s="39">
        <v>2370.8226190476189</v>
      </c>
      <c r="U17" s="39">
        <v>2370.8226190476189</v>
      </c>
      <c r="V17" s="39">
        <v>2370.8226190476189</v>
      </c>
      <c r="W17" s="39">
        <v>2370.8226190476189</v>
      </c>
      <c r="X17" s="39">
        <v>2370.8226190476189</v>
      </c>
      <c r="Y17" s="39">
        <v>2370.8226190476189</v>
      </c>
      <c r="Z17" s="39">
        <v>2370.8226190476189</v>
      </c>
      <c r="AA17" s="39">
        <v>2370.8226190476189</v>
      </c>
      <c r="AB17" s="39">
        <v>2370.8226190476189</v>
      </c>
      <c r="AC17" s="39">
        <v>2370.8226190476189</v>
      </c>
      <c r="AD17" s="39">
        <v>2370.8226190476189</v>
      </c>
      <c r="AE17" s="39">
        <v>2370.8226190476189</v>
      </c>
      <c r="AF17" s="39">
        <v>2370.8226190476189</v>
      </c>
      <c r="AG17" s="39">
        <v>2370.8226190476189</v>
      </c>
      <c r="AH17" s="39">
        <v>56899.742857142861</v>
      </c>
      <c r="AI17" s="39">
        <v>1137994.857142857</v>
      </c>
    </row>
    <row r="18" spans="1:35" x14ac:dyDescent="0.3">
      <c r="A18" s="40">
        <v>2030</v>
      </c>
      <c r="B18" s="40" t="s">
        <v>61</v>
      </c>
      <c r="C18" s="41" t="s">
        <v>54</v>
      </c>
      <c r="D18" s="41" t="s">
        <v>56</v>
      </c>
      <c r="E18" s="40">
        <v>20</v>
      </c>
      <c r="F18" s="40">
        <v>4</v>
      </c>
      <c r="G18" s="40">
        <v>4</v>
      </c>
      <c r="H18" s="40">
        <v>2</v>
      </c>
      <c r="I18" s="40">
        <v>30</v>
      </c>
      <c r="J18" s="39">
        <v>2370.8226190476189</v>
      </c>
      <c r="K18" s="39">
        <v>2370.8226190476189</v>
      </c>
      <c r="L18" s="39">
        <v>2370.8226190476189</v>
      </c>
      <c r="M18" s="39">
        <v>2370.8226190476189</v>
      </c>
      <c r="N18" s="39">
        <v>2370.8226190476189</v>
      </c>
      <c r="O18" s="39">
        <v>2370.8226190476189</v>
      </c>
      <c r="P18" s="39">
        <v>2370.8226190476189</v>
      </c>
      <c r="Q18" s="39">
        <v>2370.8226190476189</v>
      </c>
      <c r="R18" s="39">
        <v>2370.8226190476189</v>
      </c>
      <c r="S18" s="39">
        <v>2370.8226190476189</v>
      </c>
      <c r="T18" s="39">
        <v>2370.8226190476189</v>
      </c>
      <c r="U18" s="39">
        <v>2370.8226190476189</v>
      </c>
      <c r="V18" s="39">
        <v>2370.8226190476189</v>
      </c>
      <c r="W18" s="39">
        <v>2370.8226190476189</v>
      </c>
      <c r="X18" s="39">
        <v>2370.8226190476189</v>
      </c>
      <c r="Y18" s="39">
        <v>2370.8226190476189</v>
      </c>
      <c r="Z18" s="39">
        <v>2370.8226190476189</v>
      </c>
      <c r="AA18" s="39">
        <v>2370.8226190476189</v>
      </c>
      <c r="AB18" s="39">
        <v>2370.8226190476189</v>
      </c>
      <c r="AC18" s="39">
        <v>2370.8226190476189</v>
      </c>
      <c r="AD18" s="39">
        <v>2370.8226190476189</v>
      </c>
      <c r="AE18" s="39">
        <v>2370.8226190476189</v>
      </c>
      <c r="AF18" s="39">
        <v>2370.8226190476189</v>
      </c>
      <c r="AG18" s="39">
        <v>2370.8226190476189</v>
      </c>
      <c r="AH18" s="39">
        <v>56899.742857142861</v>
      </c>
      <c r="AI18" s="39">
        <v>227598.97142857141</v>
      </c>
    </row>
    <row r="19" spans="1:35" x14ac:dyDescent="0.3">
      <c r="A19" s="40">
        <v>2030</v>
      </c>
      <c r="B19" s="40" t="s">
        <v>61</v>
      </c>
      <c r="C19" s="41" t="s">
        <v>54</v>
      </c>
      <c r="D19" s="41" t="s">
        <v>57</v>
      </c>
      <c r="E19" s="40">
        <v>20</v>
      </c>
      <c r="F19" s="40">
        <v>4</v>
      </c>
      <c r="G19" s="40">
        <v>4</v>
      </c>
      <c r="H19" s="40">
        <v>2</v>
      </c>
      <c r="I19" s="40">
        <v>30</v>
      </c>
      <c r="J19" s="39">
        <v>2370.8226190476189</v>
      </c>
      <c r="K19" s="39">
        <v>2370.8226190476189</v>
      </c>
      <c r="L19" s="39">
        <v>2370.8226190476189</v>
      </c>
      <c r="M19" s="39">
        <v>2370.8226190476189</v>
      </c>
      <c r="N19" s="39">
        <v>2370.8226190476189</v>
      </c>
      <c r="O19" s="39">
        <v>2370.8226190476189</v>
      </c>
      <c r="P19" s="39">
        <v>2370.8226190476189</v>
      </c>
      <c r="Q19" s="39">
        <v>2370.8226190476189</v>
      </c>
      <c r="R19" s="39">
        <v>2370.8226190476189</v>
      </c>
      <c r="S19" s="39">
        <v>2370.8226190476189</v>
      </c>
      <c r="T19" s="39">
        <v>2370.8226190476189</v>
      </c>
      <c r="U19" s="39">
        <v>2370.8226190476189</v>
      </c>
      <c r="V19" s="39">
        <v>2370.8226190476189</v>
      </c>
      <c r="W19" s="39">
        <v>2370.8226190476189</v>
      </c>
      <c r="X19" s="39">
        <v>2370.8226190476189</v>
      </c>
      <c r="Y19" s="39">
        <v>2370.8226190476189</v>
      </c>
      <c r="Z19" s="39">
        <v>2370.8226190476189</v>
      </c>
      <c r="AA19" s="39">
        <v>2370.8226190476189</v>
      </c>
      <c r="AB19" s="39">
        <v>2370.8226190476189</v>
      </c>
      <c r="AC19" s="39">
        <v>2370.8226190476189</v>
      </c>
      <c r="AD19" s="39">
        <v>2370.8226190476189</v>
      </c>
      <c r="AE19" s="39">
        <v>2370.8226190476189</v>
      </c>
      <c r="AF19" s="39">
        <v>2370.8226190476189</v>
      </c>
      <c r="AG19" s="39">
        <v>2370.8226190476189</v>
      </c>
      <c r="AH19" s="39">
        <v>56899.742857142861</v>
      </c>
      <c r="AI19" s="39">
        <v>227598.97142857141</v>
      </c>
    </row>
    <row r="20" spans="1:35" x14ac:dyDescent="0.3">
      <c r="A20" s="40">
        <v>2030</v>
      </c>
      <c r="B20" s="40" t="s">
        <v>61</v>
      </c>
      <c r="C20" s="41" t="s">
        <v>54</v>
      </c>
      <c r="D20" s="41" t="s">
        <v>58</v>
      </c>
      <c r="E20" s="40">
        <v>20</v>
      </c>
      <c r="F20" s="40">
        <v>4</v>
      </c>
      <c r="G20" s="40">
        <v>4</v>
      </c>
      <c r="H20" s="40">
        <v>2</v>
      </c>
      <c r="I20" s="40">
        <v>30</v>
      </c>
      <c r="J20" s="39">
        <v>2370.8226190476189</v>
      </c>
      <c r="K20" s="39">
        <v>2370.8226190476189</v>
      </c>
      <c r="L20" s="39">
        <v>2370.8226190476189</v>
      </c>
      <c r="M20" s="39">
        <v>2370.8226190476189</v>
      </c>
      <c r="N20" s="39">
        <v>2370.8226190476189</v>
      </c>
      <c r="O20" s="39">
        <v>2370.8226190476189</v>
      </c>
      <c r="P20" s="39">
        <v>2370.8226190476189</v>
      </c>
      <c r="Q20" s="39">
        <v>2370.8226190476189</v>
      </c>
      <c r="R20" s="39">
        <v>2370.8226190476189</v>
      </c>
      <c r="S20" s="39">
        <v>2370.8226190476189</v>
      </c>
      <c r="T20" s="39">
        <v>2370.8226190476189</v>
      </c>
      <c r="U20" s="39">
        <v>2370.8226190476189</v>
      </c>
      <c r="V20" s="39">
        <v>2370.8226190476189</v>
      </c>
      <c r="W20" s="39">
        <v>2370.8226190476189</v>
      </c>
      <c r="X20" s="39">
        <v>2370.8226190476189</v>
      </c>
      <c r="Y20" s="39">
        <v>2370.8226190476189</v>
      </c>
      <c r="Z20" s="39">
        <v>2370.8226190476189</v>
      </c>
      <c r="AA20" s="39">
        <v>2370.8226190476189</v>
      </c>
      <c r="AB20" s="39">
        <v>2370.8226190476189</v>
      </c>
      <c r="AC20" s="39">
        <v>2370.8226190476189</v>
      </c>
      <c r="AD20" s="39">
        <v>2370.8226190476189</v>
      </c>
      <c r="AE20" s="39">
        <v>2370.8226190476189</v>
      </c>
      <c r="AF20" s="39">
        <v>2370.8226190476189</v>
      </c>
      <c r="AG20" s="39">
        <v>2370.8226190476189</v>
      </c>
      <c r="AH20" s="39">
        <v>56899.742857142861</v>
      </c>
      <c r="AI20" s="39">
        <v>113799.48571428571</v>
      </c>
    </row>
    <row r="21" spans="1:35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r="22" spans="1:35" x14ac:dyDescent="0.3">
      <c r="A22" s="40">
        <v>2030</v>
      </c>
      <c r="B22" s="40" t="s">
        <v>62</v>
      </c>
      <c r="C22" s="41" t="s">
        <v>54</v>
      </c>
      <c r="D22" s="41" t="s">
        <v>55</v>
      </c>
      <c r="E22" s="40">
        <v>22</v>
      </c>
      <c r="F22" s="40">
        <v>4</v>
      </c>
      <c r="G22" s="40">
        <v>4</v>
      </c>
      <c r="H22" s="40">
        <v>1</v>
      </c>
      <c r="I22" s="40">
        <v>31</v>
      </c>
      <c r="J22" s="39">
        <v>2370.8226190476189</v>
      </c>
      <c r="K22" s="39">
        <v>2370.8226190476189</v>
      </c>
      <c r="L22" s="39">
        <v>2370.8226190476189</v>
      </c>
      <c r="M22" s="39">
        <v>2370.8226190476189</v>
      </c>
      <c r="N22" s="39">
        <v>2370.8226190476189</v>
      </c>
      <c r="O22" s="39">
        <v>2370.8226190476189</v>
      </c>
      <c r="P22" s="39">
        <v>2370.8226190476189</v>
      </c>
      <c r="Q22" s="39">
        <v>2370.8226190476189</v>
      </c>
      <c r="R22" s="39">
        <v>2370.8226190476189</v>
      </c>
      <c r="S22" s="39">
        <v>2370.8226190476189</v>
      </c>
      <c r="T22" s="39">
        <v>2370.8226190476189</v>
      </c>
      <c r="U22" s="39">
        <v>2370.8226190476189</v>
      </c>
      <c r="V22" s="39">
        <v>2370.8226190476189</v>
      </c>
      <c r="W22" s="39">
        <v>2370.8226190476189</v>
      </c>
      <c r="X22" s="39">
        <v>2370.8226190476189</v>
      </c>
      <c r="Y22" s="39">
        <v>2370.8226190476189</v>
      </c>
      <c r="Z22" s="39">
        <v>2370.8226190476189</v>
      </c>
      <c r="AA22" s="39">
        <v>2370.8226190476189</v>
      </c>
      <c r="AB22" s="39">
        <v>2370.8226190476189</v>
      </c>
      <c r="AC22" s="39">
        <v>2370.8226190476189</v>
      </c>
      <c r="AD22" s="39">
        <v>2370.8226190476189</v>
      </c>
      <c r="AE22" s="39">
        <v>2370.8226190476189</v>
      </c>
      <c r="AF22" s="39">
        <v>2370.8226190476189</v>
      </c>
      <c r="AG22" s="39">
        <v>2370.8226190476189</v>
      </c>
      <c r="AH22" s="39">
        <v>56899.742857142861</v>
      </c>
      <c r="AI22" s="39">
        <v>1251794.3428571429</v>
      </c>
    </row>
    <row r="23" spans="1:35" x14ac:dyDescent="0.3">
      <c r="A23" s="40">
        <v>2030</v>
      </c>
      <c r="B23" s="40" t="s">
        <v>62</v>
      </c>
      <c r="C23" s="41" t="s">
        <v>54</v>
      </c>
      <c r="D23" s="41" t="s">
        <v>56</v>
      </c>
      <c r="E23" s="40">
        <v>22</v>
      </c>
      <c r="F23" s="40">
        <v>4</v>
      </c>
      <c r="G23" s="40">
        <v>4</v>
      </c>
      <c r="H23" s="40">
        <v>1</v>
      </c>
      <c r="I23" s="40">
        <v>31</v>
      </c>
      <c r="J23" s="39">
        <v>2370.8226190476189</v>
      </c>
      <c r="K23" s="39">
        <v>2370.8226190476189</v>
      </c>
      <c r="L23" s="39">
        <v>2370.8226190476189</v>
      </c>
      <c r="M23" s="39">
        <v>2370.8226190476189</v>
      </c>
      <c r="N23" s="39">
        <v>2370.8226190476189</v>
      </c>
      <c r="O23" s="39">
        <v>2370.8226190476189</v>
      </c>
      <c r="P23" s="39">
        <v>2370.8226190476189</v>
      </c>
      <c r="Q23" s="39">
        <v>2370.8226190476189</v>
      </c>
      <c r="R23" s="39">
        <v>2370.8226190476189</v>
      </c>
      <c r="S23" s="39">
        <v>2370.8226190476189</v>
      </c>
      <c r="T23" s="39">
        <v>2370.8226190476189</v>
      </c>
      <c r="U23" s="39">
        <v>2370.8226190476189</v>
      </c>
      <c r="V23" s="39">
        <v>2370.8226190476189</v>
      </c>
      <c r="W23" s="39">
        <v>2370.8226190476189</v>
      </c>
      <c r="X23" s="39">
        <v>2370.8226190476189</v>
      </c>
      <c r="Y23" s="39">
        <v>2370.8226190476189</v>
      </c>
      <c r="Z23" s="39">
        <v>2370.8226190476189</v>
      </c>
      <c r="AA23" s="39">
        <v>2370.8226190476189</v>
      </c>
      <c r="AB23" s="39">
        <v>2370.8226190476189</v>
      </c>
      <c r="AC23" s="39">
        <v>2370.8226190476189</v>
      </c>
      <c r="AD23" s="39">
        <v>2370.8226190476189</v>
      </c>
      <c r="AE23" s="39">
        <v>2370.8226190476189</v>
      </c>
      <c r="AF23" s="39">
        <v>2370.8226190476189</v>
      </c>
      <c r="AG23" s="39">
        <v>2370.8226190476189</v>
      </c>
      <c r="AH23" s="39">
        <v>56899.742857142861</v>
      </c>
      <c r="AI23" s="39">
        <v>227598.97142857141</v>
      </c>
    </row>
    <row r="24" spans="1:35" x14ac:dyDescent="0.3">
      <c r="A24" s="40">
        <v>2030</v>
      </c>
      <c r="B24" s="40" t="s">
        <v>62</v>
      </c>
      <c r="C24" s="41" t="s">
        <v>54</v>
      </c>
      <c r="D24" s="41" t="s">
        <v>57</v>
      </c>
      <c r="E24" s="40">
        <v>22</v>
      </c>
      <c r="F24" s="40">
        <v>4</v>
      </c>
      <c r="G24" s="40">
        <v>4</v>
      </c>
      <c r="H24" s="40">
        <v>1</v>
      </c>
      <c r="I24" s="40">
        <v>31</v>
      </c>
      <c r="J24" s="39">
        <v>2370.8226190476189</v>
      </c>
      <c r="K24" s="39">
        <v>2370.8226190476189</v>
      </c>
      <c r="L24" s="39">
        <v>2370.8226190476189</v>
      </c>
      <c r="M24" s="39">
        <v>2370.8226190476189</v>
      </c>
      <c r="N24" s="39">
        <v>2370.8226190476189</v>
      </c>
      <c r="O24" s="39">
        <v>2370.8226190476189</v>
      </c>
      <c r="P24" s="39">
        <v>2370.8226190476189</v>
      </c>
      <c r="Q24" s="39">
        <v>2370.8226190476189</v>
      </c>
      <c r="R24" s="39">
        <v>2370.8226190476189</v>
      </c>
      <c r="S24" s="39">
        <v>2370.8226190476189</v>
      </c>
      <c r="T24" s="39">
        <v>2370.8226190476189</v>
      </c>
      <c r="U24" s="39">
        <v>2370.8226190476189</v>
      </c>
      <c r="V24" s="39">
        <v>2370.8226190476189</v>
      </c>
      <c r="W24" s="39">
        <v>2370.8226190476189</v>
      </c>
      <c r="X24" s="39">
        <v>2370.8226190476189</v>
      </c>
      <c r="Y24" s="39">
        <v>2370.8226190476189</v>
      </c>
      <c r="Z24" s="39">
        <v>2370.8226190476189</v>
      </c>
      <c r="AA24" s="39">
        <v>2370.8226190476189</v>
      </c>
      <c r="AB24" s="39">
        <v>2370.8226190476189</v>
      </c>
      <c r="AC24" s="39">
        <v>2370.8226190476189</v>
      </c>
      <c r="AD24" s="39">
        <v>2370.8226190476189</v>
      </c>
      <c r="AE24" s="39">
        <v>2370.8226190476189</v>
      </c>
      <c r="AF24" s="39">
        <v>2370.8226190476189</v>
      </c>
      <c r="AG24" s="39">
        <v>2370.8226190476189</v>
      </c>
      <c r="AH24" s="39">
        <v>56899.742857142861</v>
      </c>
      <c r="AI24" s="39">
        <v>227598.97142857141</v>
      </c>
    </row>
    <row r="25" spans="1:35" x14ac:dyDescent="0.3">
      <c r="A25" s="40">
        <v>2030</v>
      </c>
      <c r="B25" s="40" t="s">
        <v>62</v>
      </c>
      <c r="C25" s="41" t="s">
        <v>54</v>
      </c>
      <c r="D25" s="41" t="s">
        <v>58</v>
      </c>
      <c r="E25" s="40">
        <v>22</v>
      </c>
      <c r="F25" s="40">
        <v>4</v>
      </c>
      <c r="G25" s="40">
        <v>4</v>
      </c>
      <c r="H25" s="40">
        <v>1</v>
      </c>
      <c r="I25" s="40">
        <v>31</v>
      </c>
      <c r="J25" s="39">
        <v>2370.8226190476189</v>
      </c>
      <c r="K25" s="39">
        <v>2370.8226190476189</v>
      </c>
      <c r="L25" s="39">
        <v>2370.8226190476189</v>
      </c>
      <c r="M25" s="39">
        <v>2370.8226190476189</v>
      </c>
      <c r="N25" s="39">
        <v>2370.8226190476189</v>
      </c>
      <c r="O25" s="39">
        <v>2370.8226190476189</v>
      </c>
      <c r="P25" s="39">
        <v>2370.8226190476189</v>
      </c>
      <c r="Q25" s="39">
        <v>2370.8226190476189</v>
      </c>
      <c r="R25" s="39">
        <v>2370.8226190476189</v>
      </c>
      <c r="S25" s="39">
        <v>2370.8226190476189</v>
      </c>
      <c r="T25" s="39">
        <v>2370.8226190476189</v>
      </c>
      <c r="U25" s="39">
        <v>2370.8226190476189</v>
      </c>
      <c r="V25" s="39">
        <v>2370.8226190476189</v>
      </c>
      <c r="W25" s="39">
        <v>2370.8226190476189</v>
      </c>
      <c r="X25" s="39">
        <v>2370.8226190476189</v>
      </c>
      <c r="Y25" s="39">
        <v>2370.8226190476189</v>
      </c>
      <c r="Z25" s="39">
        <v>2370.8226190476189</v>
      </c>
      <c r="AA25" s="39">
        <v>2370.8226190476189</v>
      </c>
      <c r="AB25" s="39">
        <v>2370.8226190476189</v>
      </c>
      <c r="AC25" s="39">
        <v>2370.8226190476189</v>
      </c>
      <c r="AD25" s="39">
        <v>2370.8226190476189</v>
      </c>
      <c r="AE25" s="39">
        <v>2370.8226190476189</v>
      </c>
      <c r="AF25" s="39">
        <v>2370.8226190476189</v>
      </c>
      <c r="AG25" s="39">
        <v>2370.8226190476189</v>
      </c>
      <c r="AH25" s="39">
        <v>56899.742857142861</v>
      </c>
      <c r="AI25" s="39">
        <v>56899.742857142861</v>
      </c>
    </row>
    <row r="26" spans="1:35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 spans="1:35" x14ac:dyDescent="0.3">
      <c r="A27" s="40">
        <v>2030</v>
      </c>
      <c r="B27" s="40" t="s">
        <v>63</v>
      </c>
      <c r="C27" s="41" t="s">
        <v>54</v>
      </c>
      <c r="D27" s="41" t="s">
        <v>55</v>
      </c>
      <c r="E27" s="40">
        <v>18</v>
      </c>
      <c r="F27" s="40">
        <v>5</v>
      </c>
      <c r="G27" s="40">
        <v>5</v>
      </c>
      <c r="H27" s="40">
        <v>2</v>
      </c>
      <c r="I27" s="40">
        <v>30</v>
      </c>
      <c r="J27" s="39">
        <v>2370.8226190476189</v>
      </c>
      <c r="K27" s="39">
        <v>2370.8226190476189</v>
      </c>
      <c r="L27" s="39">
        <v>2370.8226190476189</v>
      </c>
      <c r="M27" s="39">
        <v>2370.8226190476189</v>
      </c>
      <c r="N27" s="39">
        <v>2370.8226190476189</v>
      </c>
      <c r="O27" s="39">
        <v>2370.8226190476189</v>
      </c>
      <c r="P27" s="39">
        <v>2370.8226190476189</v>
      </c>
      <c r="Q27" s="39">
        <v>2370.8226190476189</v>
      </c>
      <c r="R27" s="39">
        <v>2370.8226190476189</v>
      </c>
      <c r="S27" s="39">
        <v>2370.8226190476189</v>
      </c>
      <c r="T27" s="39">
        <v>2370.8226190476189</v>
      </c>
      <c r="U27" s="39">
        <v>2370.8226190476189</v>
      </c>
      <c r="V27" s="39">
        <v>2370.8226190476189</v>
      </c>
      <c r="W27" s="39">
        <v>2370.8226190476189</v>
      </c>
      <c r="X27" s="39">
        <v>2370.8226190476189</v>
      </c>
      <c r="Y27" s="39">
        <v>2370.8226190476189</v>
      </c>
      <c r="Z27" s="39">
        <v>2370.8226190476189</v>
      </c>
      <c r="AA27" s="39">
        <v>2370.8226190476189</v>
      </c>
      <c r="AB27" s="39">
        <v>2370.8226190476189</v>
      </c>
      <c r="AC27" s="39">
        <v>2370.8226190476189</v>
      </c>
      <c r="AD27" s="39">
        <v>2370.8226190476189</v>
      </c>
      <c r="AE27" s="39">
        <v>2370.8226190476189</v>
      </c>
      <c r="AF27" s="39">
        <v>2370.8226190476189</v>
      </c>
      <c r="AG27" s="39">
        <v>2370.8226190476189</v>
      </c>
      <c r="AH27" s="39">
        <v>56899.742857142861</v>
      </c>
      <c r="AI27" s="39">
        <v>1024195.371428572</v>
      </c>
    </row>
    <row r="28" spans="1:35" x14ac:dyDescent="0.3">
      <c r="A28" s="40">
        <v>2030</v>
      </c>
      <c r="B28" s="40" t="s">
        <v>63</v>
      </c>
      <c r="C28" s="41" t="s">
        <v>54</v>
      </c>
      <c r="D28" s="41" t="s">
        <v>56</v>
      </c>
      <c r="E28" s="40">
        <v>18</v>
      </c>
      <c r="F28" s="40">
        <v>5</v>
      </c>
      <c r="G28" s="40">
        <v>5</v>
      </c>
      <c r="H28" s="40">
        <v>2</v>
      </c>
      <c r="I28" s="40">
        <v>30</v>
      </c>
      <c r="J28" s="39">
        <v>2370.8226190476189</v>
      </c>
      <c r="K28" s="39">
        <v>2370.8226190476189</v>
      </c>
      <c r="L28" s="39">
        <v>2370.8226190476189</v>
      </c>
      <c r="M28" s="39">
        <v>2370.8226190476189</v>
      </c>
      <c r="N28" s="39">
        <v>2370.8226190476189</v>
      </c>
      <c r="O28" s="39">
        <v>2370.8226190476189</v>
      </c>
      <c r="P28" s="39">
        <v>2370.8226190476189</v>
      </c>
      <c r="Q28" s="39">
        <v>2370.8226190476189</v>
      </c>
      <c r="R28" s="39">
        <v>2370.8226190476189</v>
      </c>
      <c r="S28" s="39">
        <v>2370.8226190476189</v>
      </c>
      <c r="T28" s="39">
        <v>2370.8226190476189</v>
      </c>
      <c r="U28" s="39">
        <v>2370.8226190476189</v>
      </c>
      <c r="V28" s="39">
        <v>2370.8226190476189</v>
      </c>
      <c r="W28" s="39">
        <v>2370.8226190476189</v>
      </c>
      <c r="X28" s="39">
        <v>2370.8226190476189</v>
      </c>
      <c r="Y28" s="39">
        <v>2370.8226190476189</v>
      </c>
      <c r="Z28" s="39">
        <v>2370.8226190476189</v>
      </c>
      <c r="AA28" s="39">
        <v>2370.8226190476189</v>
      </c>
      <c r="AB28" s="39">
        <v>2370.8226190476189</v>
      </c>
      <c r="AC28" s="39">
        <v>2370.8226190476189</v>
      </c>
      <c r="AD28" s="39">
        <v>2370.8226190476189</v>
      </c>
      <c r="AE28" s="39">
        <v>2370.8226190476189</v>
      </c>
      <c r="AF28" s="39">
        <v>2370.8226190476189</v>
      </c>
      <c r="AG28" s="39">
        <v>2370.8226190476189</v>
      </c>
      <c r="AH28" s="39">
        <v>56899.742857142861</v>
      </c>
      <c r="AI28" s="39">
        <v>284498.71428571432</v>
      </c>
    </row>
    <row r="29" spans="1:35" x14ac:dyDescent="0.3">
      <c r="A29" s="40">
        <v>2030</v>
      </c>
      <c r="B29" s="40" t="s">
        <v>63</v>
      </c>
      <c r="C29" s="41" t="s">
        <v>54</v>
      </c>
      <c r="D29" s="41" t="s">
        <v>57</v>
      </c>
      <c r="E29" s="40">
        <v>18</v>
      </c>
      <c r="F29" s="40">
        <v>5</v>
      </c>
      <c r="G29" s="40">
        <v>5</v>
      </c>
      <c r="H29" s="40">
        <v>2</v>
      </c>
      <c r="I29" s="40">
        <v>30</v>
      </c>
      <c r="J29" s="39">
        <v>2370.8226190476189</v>
      </c>
      <c r="K29" s="39">
        <v>2370.8226190476189</v>
      </c>
      <c r="L29" s="39">
        <v>2370.8226190476189</v>
      </c>
      <c r="M29" s="39">
        <v>2370.8226190476189</v>
      </c>
      <c r="N29" s="39">
        <v>2370.8226190476189</v>
      </c>
      <c r="O29" s="39">
        <v>2370.8226190476189</v>
      </c>
      <c r="P29" s="39">
        <v>2370.8226190476189</v>
      </c>
      <c r="Q29" s="39">
        <v>2370.8226190476189</v>
      </c>
      <c r="R29" s="39">
        <v>2370.8226190476189</v>
      </c>
      <c r="S29" s="39">
        <v>2370.8226190476189</v>
      </c>
      <c r="T29" s="39">
        <v>2370.8226190476189</v>
      </c>
      <c r="U29" s="39">
        <v>2370.8226190476189</v>
      </c>
      <c r="V29" s="39">
        <v>2370.8226190476189</v>
      </c>
      <c r="W29" s="39">
        <v>2370.8226190476189</v>
      </c>
      <c r="X29" s="39">
        <v>2370.8226190476189</v>
      </c>
      <c r="Y29" s="39">
        <v>2370.8226190476189</v>
      </c>
      <c r="Z29" s="39">
        <v>2370.8226190476189</v>
      </c>
      <c r="AA29" s="39">
        <v>2370.8226190476189</v>
      </c>
      <c r="AB29" s="39">
        <v>2370.8226190476189</v>
      </c>
      <c r="AC29" s="39">
        <v>2370.8226190476189</v>
      </c>
      <c r="AD29" s="39">
        <v>2370.8226190476189</v>
      </c>
      <c r="AE29" s="39">
        <v>2370.8226190476189</v>
      </c>
      <c r="AF29" s="39">
        <v>2370.8226190476189</v>
      </c>
      <c r="AG29" s="39">
        <v>2370.8226190476189</v>
      </c>
      <c r="AH29" s="39">
        <v>56899.742857142861</v>
      </c>
      <c r="AI29" s="39">
        <v>284498.71428571432</v>
      </c>
    </row>
    <row r="30" spans="1:35" x14ac:dyDescent="0.3">
      <c r="A30" s="40">
        <v>2030</v>
      </c>
      <c r="B30" s="40" t="s">
        <v>63</v>
      </c>
      <c r="C30" s="41" t="s">
        <v>54</v>
      </c>
      <c r="D30" s="41" t="s">
        <v>58</v>
      </c>
      <c r="E30" s="40">
        <v>18</v>
      </c>
      <c r="F30" s="40">
        <v>5</v>
      </c>
      <c r="G30" s="40">
        <v>5</v>
      </c>
      <c r="H30" s="40">
        <v>2</v>
      </c>
      <c r="I30" s="40">
        <v>30</v>
      </c>
      <c r="J30" s="39">
        <v>2370.8226190476189</v>
      </c>
      <c r="K30" s="39">
        <v>2370.8226190476189</v>
      </c>
      <c r="L30" s="39">
        <v>2370.8226190476189</v>
      </c>
      <c r="M30" s="39">
        <v>2370.8226190476189</v>
      </c>
      <c r="N30" s="39">
        <v>2370.8226190476189</v>
      </c>
      <c r="O30" s="39">
        <v>2370.8226190476189</v>
      </c>
      <c r="P30" s="39">
        <v>2370.8226190476189</v>
      </c>
      <c r="Q30" s="39">
        <v>2370.8226190476189</v>
      </c>
      <c r="R30" s="39">
        <v>2370.8226190476189</v>
      </c>
      <c r="S30" s="39">
        <v>2370.8226190476189</v>
      </c>
      <c r="T30" s="39">
        <v>2370.8226190476189</v>
      </c>
      <c r="U30" s="39">
        <v>2370.8226190476189</v>
      </c>
      <c r="V30" s="39">
        <v>2370.8226190476189</v>
      </c>
      <c r="W30" s="39">
        <v>2370.8226190476189</v>
      </c>
      <c r="X30" s="39">
        <v>2370.8226190476189</v>
      </c>
      <c r="Y30" s="39">
        <v>2370.8226190476189</v>
      </c>
      <c r="Z30" s="39">
        <v>2370.8226190476189</v>
      </c>
      <c r="AA30" s="39">
        <v>2370.8226190476189</v>
      </c>
      <c r="AB30" s="39">
        <v>2370.8226190476189</v>
      </c>
      <c r="AC30" s="39">
        <v>2370.8226190476189</v>
      </c>
      <c r="AD30" s="39">
        <v>2370.8226190476189</v>
      </c>
      <c r="AE30" s="39">
        <v>2370.8226190476189</v>
      </c>
      <c r="AF30" s="39">
        <v>2370.8226190476189</v>
      </c>
      <c r="AG30" s="39">
        <v>2370.8226190476189</v>
      </c>
      <c r="AH30" s="39">
        <v>56899.742857142861</v>
      </c>
      <c r="AI30" s="39">
        <v>113799.48571428571</v>
      </c>
    </row>
    <row r="31" spans="1:35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 spans="1:35" x14ac:dyDescent="0.3">
      <c r="A32" s="40">
        <v>2030</v>
      </c>
      <c r="B32" s="40" t="s">
        <v>64</v>
      </c>
      <c r="C32" s="41" t="s">
        <v>54</v>
      </c>
      <c r="D32" s="41" t="s">
        <v>55</v>
      </c>
      <c r="E32" s="40">
        <v>22</v>
      </c>
      <c r="F32" s="40">
        <v>3</v>
      </c>
      <c r="G32" s="40">
        <v>4</v>
      </c>
      <c r="H32" s="40">
        <v>2</v>
      </c>
      <c r="I32" s="40">
        <v>31</v>
      </c>
      <c r="J32" s="39">
        <v>2370.8226190476189</v>
      </c>
      <c r="K32" s="39">
        <v>2370.8226190476189</v>
      </c>
      <c r="L32" s="39">
        <v>2370.8226190476189</v>
      </c>
      <c r="M32" s="39">
        <v>2370.8226190476189</v>
      </c>
      <c r="N32" s="39">
        <v>2370.8226190476189</v>
      </c>
      <c r="O32" s="39">
        <v>2370.8226190476189</v>
      </c>
      <c r="P32" s="39">
        <v>2370.8226190476189</v>
      </c>
      <c r="Q32" s="39">
        <v>2370.8226190476189</v>
      </c>
      <c r="R32" s="39">
        <v>2370.8226190476189</v>
      </c>
      <c r="S32" s="39">
        <v>2370.8226190476189</v>
      </c>
      <c r="T32" s="39">
        <v>2370.8226190476189</v>
      </c>
      <c r="U32" s="39">
        <v>2370.8226190476189</v>
      </c>
      <c r="V32" s="39">
        <v>2370.8226190476189</v>
      </c>
      <c r="W32" s="39">
        <v>2370.8226190476189</v>
      </c>
      <c r="X32" s="39">
        <v>2370.8226190476189</v>
      </c>
      <c r="Y32" s="39">
        <v>2370.8226190476189</v>
      </c>
      <c r="Z32" s="39">
        <v>2370.8226190476189</v>
      </c>
      <c r="AA32" s="39">
        <v>2370.8226190476189</v>
      </c>
      <c r="AB32" s="39">
        <v>2370.8226190476189</v>
      </c>
      <c r="AC32" s="39">
        <v>2370.8226190476189</v>
      </c>
      <c r="AD32" s="39">
        <v>2370.8226190476189</v>
      </c>
      <c r="AE32" s="39">
        <v>2370.8226190476189</v>
      </c>
      <c r="AF32" s="39">
        <v>2370.8226190476189</v>
      </c>
      <c r="AG32" s="39">
        <v>2370.8226190476189</v>
      </c>
      <c r="AH32" s="39">
        <v>56899.742857142861</v>
      </c>
      <c r="AI32" s="39">
        <v>1251794.3428571429</v>
      </c>
    </row>
    <row r="33" spans="1:35" x14ac:dyDescent="0.3">
      <c r="A33" s="40">
        <v>2030</v>
      </c>
      <c r="B33" s="40" t="s">
        <v>64</v>
      </c>
      <c r="C33" s="41" t="s">
        <v>54</v>
      </c>
      <c r="D33" s="41" t="s">
        <v>56</v>
      </c>
      <c r="E33" s="40">
        <v>22</v>
      </c>
      <c r="F33" s="40">
        <v>3</v>
      </c>
      <c r="G33" s="40">
        <v>4</v>
      </c>
      <c r="H33" s="40">
        <v>2</v>
      </c>
      <c r="I33" s="40">
        <v>31</v>
      </c>
      <c r="J33" s="39">
        <v>2370.8226190476189</v>
      </c>
      <c r="K33" s="39">
        <v>2370.8226190476189</v>
      </c>
      <c r="L33" s="39">
        <v>2370.8226190476189</v>
      </c>
      <c r="M33" s="39">
        <v>2370.8226190476189</v>
      </c>
      <c r="N33" s="39">
        <v>2370.8226190476189</v>
      </c>
      <c r="O33" s="39">
        <v>2370.8226190476189</v>
      </c>
      <c r="P33" s="39">
        <v>2370.8226190476189</v>
      </c>
      <c r="Q33" s="39">
        <v>2370.8226190476189</v>
      </c>
      <c r="R33" s="39">
        <v>2370.8226190476189</v>
      </c>
      <c r="S33" s="39">
        <v>2370.8226190476189</v>
      </c>
      <c r="T33" s="39">
        <v>2370.8226190476189</v>
      </c>
      <c r="U33" s="39">
        <v>2370.8226190476189</v>
      </c>
      <c r="V33" s="39">
        <v>2370.8226190476189</v>
      </c>
      <c r="W33" s="39">
        <v>2370.8226190476189</v>
      </c>
      <c r="X33" s="39">
        <v>2370.8226190476189</v>
      </c>
      <c r="Y33" s="39">
        <v>2370.8226190476189</v>
      </c>
      <c r="Z33" s="39">
        <v>2370.8226190476189</v>
      </c>
      <c r="AA33" s="39">
        <v>2370.8226190476189</v>
      </c>
      <c r="AB33" s="39">
        <v>2370.8226190476189</v>
      </c>
      <c r="AC33" s="39">
        <v>2370.8226190476189</v>
      </c>
      <c r="AD33" s="39">
        <v>2370.8226190476189</v>
      </c>
      <c r="AE33" s="39">
        <v>2370.8226190476189</v>
      </c>
      <c r="AF33" s="39">
        <v>2370.8226190476189</v>
      </c>
      <c r="AG33" s="39">
        <v>2370.8226190476189</v>
      </c>
      <c r="AH33" s="39">
        <v>56899.742857142861</v>
      </c>
      <c r="AI33" s="39">
        <v>170699.2285714286</v>
      </c>
    </row>
    <row r="34" spans="1:35" x14ac:dyDescent="0.3">
      <c r="A34" s="40">
        <v>2030</v>
      </c>
      <c r="B34" s="40" t="s">
        <v>64</v>
      </c>
      <c r="C34" s="41" t="s">
        <v>54</v>
      </c>
      <c r="D34" s="41" t="s">
        <v>57</v>
      </c>
      <c r="E34" s="40">
        <v>22</v>
      </c>
      <c r="F34" s="40">
        <v>3</v>
      </c>
      <c r="G34" s="40">
        <v>4</v>
      </c>
      <c r="H34" s="40">
        <v>2</v>
      </c>
      <c r="I34" s="40">
        <v>31</v>
      </c>
      <c r="J34" s="39">
        <v>2370.8226190476189</v>
      </c>
      <c r="K34" s="39">
        <v>2370.8226190476189</v>
      </c>
      <c r="L34" s="39">
        <v>2370.8226190476189</v>
      </c>
      <c r="M34" s="39">
        <v>2370.8226190476189</v>
      </c>
      <c r="N34" s="39">
        <v>2370.8226190476189</v>
      </c>
      <c r="O34" s="39">
        <v>2370.8226190476189</v>
      </c>
      <c r="P34" s="39">
        <v>2370.8226190476189</v>
      </c>
      <c r="Q34" s="39">
        <v>2370.8226190476189</v>
      </c>
      <c r="R34" s="39">
        <v>2370.8226190476189</v>
      </c>
      <c r="S34" s="39">
        <v>2370.8226190476189</v>
      </c>
      <c r="T34" s="39">
        <v>2370.8226190476189</v>
      </c>
      <c r="U34" s="39">
        <v>2370.8226190476189</v>
      </c>
      <c r="V34" s="39">
        <v>2370.8226190476189</v>
      </c>
      <c r="W34" s="39">
        <v>2370.8226190476189</v>
      </c>
      <c r="X34" s="39">
        <v>2370.8226190476189</v>
      </c>
      <c r="Y34" s="39">
        <v>2370.8226190476189</v>
      </c>
      <c r="Z34" s="39">
        <v>2370.8226190476189</v>
      </c>
      <c r="AA34" s="39">
        <v>2370.8226190476189</v>
      </c>
      <c r="AB34" s="39">
        <v>2370.8226190476189</v>
      </c>
      <c r="AC34" s="39">
        <v>2370.8226190476189</v>
      </c>
      <c r="AD34" s="39">
        <v>2370.8226190476189</v>
      </c>
      <c r="AE34" s="39">
        <v>2370.8226190476189</v>
      </c>
      <c r="AF34" s="39">
        <v>2370.8226190476189</v>
      </c>
      <c r="AG34" s="39">
        <v>2370.8226190476189</v>
      </c>
      <c r="AH34" s="39">
        <v>56899.742857142861</v>
      </c>
      <c r="AI34" s="39">
        <v>227598.97142857141</v>
      </c>
    </row>
    <row r="35" spans="1:35" x14ac:dyDescent="0.3">
      <c r="A35" s="40">
        <v>2030</v>
      </c>
      <c r="B35" s="40" t="s">
        <v>64</v>
      </c>
      <c r="C35" s="41" t="s">
        <v>54</v>
      </c>
      <c r="D35" s="41" t="s">
        <v>58</v>
      </c>
      <c r="E35" s="40">
        <v>22</v>
      </c>
      <c r="F35" s="40">
        <v>3</v>
      </c>
      <c r="G35" s="40">
        <v>4</v>
      </c>
      <c r="H35" s="40">
        <v>2</v>
      </c>
      <c r="I35" s="40">
        <v>31</v>
      </c>
      <c r="J35" s="39">
        <v>2370.8226190476189</v>
      </c>
      <c r="K35" s="39">
        <v>2370.8226190476189</v>
      </c>
      <c r="L35" s="39">
        <v>2370.8226190476189</v>
      </c>
      <c r="M35" s="39">
        <v>2370.8226190476189</v>
      </c>
      <c r="N35" s="39">
        <v>2370.8226190476189</v>
      </c>
      <c r="O35" s="39">
        <v>2370.8226190476189</v>
      </c>
      <c r="P35" s="39">
        <v>2370.8226190476189</v>
      </c>
      <c r="Q35" s="39">
        <v>2370.8226190476189</v>
      </c>
      <c r="R35" s="39">
        <v>2370.8226190476189</v>
      </c>
      <c r="S35" s="39">
        <v>2370.8226190476189</v>
      </c>
      <c r="T35" s="39">
        <v>2370.8226190476189</v>
      </c>
      <c r="U35" s="39">
        <v>2370.8226190476189</v>
      </c>
      <c r="V35" s="39">
        <v>2370.8226190476189</v>
      </c>
      <c r="W35" s="39">
        <v>2370.8226190476189</v>
      </c>
      <c r="X35" s="39">
        <v>2370.8226190476189</v>
      </c>
      <c r="Y35" s="39">
        <v>2370.8226190476189</v>
      </c>
      <c r="Z35" s="39">
        <v>2370.8226190476189</v>
      </c>
      <c r="AA35" s="39">
        <v>2370.8226190476189</v>
      </c>
      <c r="AB35" s="39">
        <v>2370.8226190476189</v>
      </c>
      <c r="AC35" s="39">
        <v>2370.8226190476189</v>
      </c>
      <c r="AD35" s="39">
        <v>2370.8226190476189</v>
      </c>
      <c r="AE35" s="39">
        <v>2370.8226190476189</v>
      </c>
      <c r="AF35" s="39">
        <v>2370.8226190476189</v>
      </c>
      <c r="AG35" s="39">
        <v>2370.8226190476189</v>
      </c>
      <c r="AH35" s="39">
        <v>56899.742857142861</v>
      </c>
      <c r="AI35" s="39">
        <v>113799.48571428571</v>
      </c>
    </row>
    <row r="36" spans="1:35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x14ac:dyDescent="0.3">
      <c r="A37" s="40">
        <v>2030</v>
      </c>
      <c r="B37" s="40" t="s">
        <v>65</v>
      </c>
      <c r="C37" s="41" t="s">
        <v>54</v>
      </c>
      <c r="D37" s="41" t="s">
        <v>55</v>
      </c>
      <c r="E37" s="40">
        <v>20</v>
      </c>
      <c r="F37" s="40">
        <v>5</v>
      </c>
      <c r="G37" s="40">
        <v>4</v>
      </c>
      <c r="H37" s="40">
        <v>2</v>
      </c>
      <c r="I37" s="40">
        <v>31</v>
      </c>
      <c r="J37" s="39">
        <v>2370.8226190476189</v>
      </c>
      <c r="K37" s="39">
        <v>2370.8226190476189</v>
      </c>
      <c r="L37" s="39">
        <v>2370.8226190476189</v>
      </c>
      <c r="M37" s="39">
        <v>2370.8226190476189</v>
      </c>
      <c r="N37" s="39">
        <v>2370.8226190476189</v>
      </c>
      <c r="O37" s="39">
        <v>2370.8226190476189</v>
      </c>
      <c r="P37" s="39">
        <v>2370.8226190476189</v>
      </c>
      <c r="Q37" s="39">
        <v>2370.8226190476189</v>
      </c>
      <c r="R37" s="39">
        <v>2370.8226190476189</v>
      </c>
      <c r="S37" s="39">
        <v>2370.8226190476189</v>
      </c>
      <c r="T37" s="39">
        <v>2370.8226190476189</v>
      </c>
      <c r="U37" s="39">
        <v>2370.8226190476189</v>
      </c>
      <c r="V37" s="39">
        <v>2370.8226190476189</v>
      </c>
      <c r="W37" s="39">
        <v>2370.8226190476189</v>
      </c>
      <c r="X37" s="39">
        <v>2370.8226190476189</v>
      </c>
      <c r="Y37" s="39">
        <v>2370.8226190476189</v>
      </c>
      <c r="Z37" s="39">
        <v>2370.8226190476189</v>
      </c>
      <c r="AA37" s="39">
        <v>2370.8226190476189</v>
      </c>
      <c r="AB37" s="39">
        <v>2370.8226190476189</v>
      </c>
      <c r="AC37" s="39">
        <v>2370.8226190476189</v>
      </c>
      <c r="AD37" s="39">
        <v>2370.8226190476189</v>
      </c>
      <c r="AE37" s="39">
        <v>2370.8226190476189</v>
      </c>
      <c r="AF37" s="39">
        <v>2370.8226190476189</v>
      </c>
      <c r="AG37" s="39">
        <v>2370.8226190476189</v>
      </c>
      <c r="AH37" s="39">
        <v>56899.742857142861</v>
      </c>
      <c r="AI37" s="39">
        <v>1137994.857142857</v>
      </c>
    </row>
    <row r="38" spans="1:35" x14ac:dyDescent="0.3">
      <c r="A38" s="40">
        <v>2030</v>
      </c>
      <c r="B38" s="40" t="s">
        <v>65</v>
      </c>
      <c r="C38" s="41" t="s">
        <v>54</v>
      </c>
      <c r="D38" s="41" t="s">
        <v>56</v>
      </c>
      <c r="E38" s="40">
        <v>20</v>
      </c>
      <c r="F38" s="40">
        <v>5</v>
      </c>
      <c r="G38" s="40">
        <v>4</v>
      </c>
      <c r="H38" s="40">
        <v>2</v>
      </c>
      <c r="I38" s="40">
        <v>31</v>
      </c>
      <c r="J38" s="39">
        <v>2370.8226190476189</v>
      </c>
      <c r="K38" s="39">
        <v>2370.8226190476189</v>
      </c>
      <c r="L38" s="39">
        <v>2370.8226190476189</v>
      </c>
      <c r="M38" s="39">
        <v>2370.8226190476189</v>
      </c>
      <c r="N38" s="39">
        <v>2370.8226190476189</v>
      </c>
      <c r="O38" s="39">
        <v>2370.8226190476189</v>
      </c>
      <c r="P38" s="39">
        <v>2370.8226190476189</v>
      </c>
      <c r="Q38" s="39">
        <v>2370.8226190476189</v>
      </c>
      <c r="R38" s="39">
        <v>2370.8226190476189</v>
      </c>
      <c r="S38" s="39">
        <v>2370.8226190476189</v>
      </c>
      <c r="T38" s="39">
        <v>2370.8226190476189</v>
      </c>
      <c r="U38" s="39">
        <v>2370.8226190476189</v>
      </c>
      <c r="V38" s="39">
        <v>2370.8226190476189</v>
      </c>
      <c r="W38" s="39">
        <v>2370.8226190476189</v>
      </c>
      <c r="X38" s="39">
        <v>2370.8226190476189</v>
      </c>
      <c r="Y38" s="39">
        <v>2370.8226190476189</v>
      </c>
      <c r="Z38" s="39">
        <v>2370.8226190476189</v>
      </c>
      <c r="AA38" s="39">
        <v>2370.8226190476189</v>
      </c>
      <c r="AB38" s="39">
        <v>2370.8226190476189</v>
      </c>
      <c r="AC38" s="39">
        <v>2370.8226190476189</v>
      </c>
      <c r="AD38" s="39">
        <v>2370.8226190476189</v>
      </c>
      <c r="AE38" s="39">
        <v>2370.8226190476189</v>
      </c>
      <c r="AF38" s="39">
        <v>2370.8226190476189</v>
      </c>
      <c r="AG38" s="39">
        <v>2370.8226190476189</v>
      </c>
      <c r="AH38" s="39">
        <v>56899.742857142861</v>
      </c>
      <c r="AI38" s="39">
        <v>284498.71428571432</v>
      </c>
    </row>
    <row r="39" spans="1:35" x14ac:dyDescent="0.3">
      <c r="A39" s="40">
        <v>2030</v>
      </c>
      <c r="B39" s="40" t="s">
        <v>65</v>
      </c>
      <c r="C39" s="41" t="s">
        <v>54</v>
      </c>
      <c r="D39" s="41" t="s">
        <v>57</v>
      </c>
      <c r="E39" s="40">
        <v>20</v>
      </c>
      <c r="F39" s="40">
        <v>5</v>
      </c>
      <c r="G39" s="40">
        <v>4</v>
      </c>
      <c r="H39" s="40">
        <v>2</v>
      </c>
      <c r="I39" s="40">
        <v>31</v>
      </c>
      <c r="J39" s="39">
        <v>2370.8226190476189</v>
      </c>
      <c r="K39" s="39">
        <v>2370.8226190476189</v>
      </c>
      <c r="L39" s="39">
        <v>2370.8226190476189</v>
      </c>
      <c r="M39" s="39">
        <v>2370.8226190476189</v>
      </c>
      <c r="N39" s="39">
        <v>2370.8226190476189</v>
      </c>
      <c r="O39" s="39">
        <v>2370.8226190476189</v>
      </c>
      <c r="P39" s="39">
        <v>2370.8226190476189</v>
      </c>
      <c r="Q39" s="39">
        <v>2370.8226190476189</v>
      </c>
      <c r="R39" s="39">
        <v>2370.8226190476189</v>
      </c>
      <c r="S39" s="39">
        <v>2370.8226190476189</v>
      </c>
      <c r="T39" s="39">
        <v>2370.8226190476189</v>
      </c>
      <c r="U39" s="39">
        <v>2370.8226190476189</v>
      </c>
      <c r="V39" s="39">
        <v>2370.8226190476189</v>
      </c>
      <c r="W39" s="39">
        <v>2370.8226190476189</v>
      </c>
      <c r="X39" s="39">
        <v>2370.8226190476189</v>
      </c>
      <c r="Y39" s="39">
        <v>2370.8226190476189</v>
      </c>
      <c r="Z39" s="39">
        <v>2370.8226190476189</v>
      </c>
      <c r="AA39" s="39">
        <v>2370.8226190476189</v>
      </c>
      <c r="AB39" s="39">
        <v>2370.8226190476189</v>
      </c>
      <c r="AC39" s="39">
        <v>2370.8226190476189</v>
      </c>
      <c r="AD39" s="39">
        <v>2370.8226190476189</v>
      </c>
      <c r="AE39" s="39">
        <v>2370.8226190476189</v>
      </c>
      <c r="AF39" s="39">
        <v>2370.8226190476189</v>
      </c>
      <c r="AG39" s="39">
        <v>2370.8226190476189</v>
      </c>
      <c r="AH39" s="39">
        <v>56899.742857142861</v>
      </c>
      <c r="AI39" s="39">
        <v>227598.97142857141</v>
      </c>
    </row>
    <row r="40" spans="1:35" x14ac:dyDescent="0.3">
      <c r="A40" s="40">
        <v>2030</v>
      </c>
      <c r="B40" s="40" t="s">
        <v>65</v>
      </c>
      <c r="C40" s="41" t="s">
        <v>54</v>
      </c>
      <c r="D40" s="41" t="s">
        <v>58</v>
      </c>
      <c r="E40" s="40">
        <v>20</v>
      </c>
      <c r="F40" s="40">
        <v>5</v>
      </c>
      <c r="G40" s="40">
        <v>4</v>
      </c>
      <c r="H40" s="40">
        <v>2</v>
      </c>
      <c r="I40" s="40">
        <v>31</v>
      </c>
      <c r="J40" s="39">
        <v>2370.8226190476189</v>
      </c>
      <c r="K40" s="39">
        <v>2370.8226190476189</v>
      </c>
      <c r="L40" s="39">
        <v>2370.8226190476189</v>
      </c>
      <c r="M40" s="39">
        <v>2370.8226190476189</v>
      </c>
      <c r="N40" s="39">
        <v>2370.8226190476189</v>
      </c>
      <c r="O40" s="39">
        <v>2370.8226190476189</v>
      </c>
      <c r="P40" s="39">
        <v>2370.8226190476189</v>
      </c>
      <c r="Q40" s="39">
        <v>2370.8226190476189</v>
      </c>
      <c r="R40" s="39">
        <v>2370.8226190476189</v>
      </c>
      <c r="S40" s="39">
        <v>2370.8226190476189</v>
      </c>
      <c r="T40" s="39">
        <v>2370.8226190476189</v>
      </c>
      <c r="U40" s="39">
        <v>2370.8226190476189</v>
      </c>
      <c r="V40" s="39">
        <v>2370.8226190476189</v>
      </c>
      <c r="W40" s="39">
        <v>2370.8226190476189</v>
      </c>
      <c r="X40" s="39">
        <v>2370.8226190476189</v>
      </c>
      <c r="Y40" s="39">
        <v>2370.8226190476189</v>
      </c>
      <c r="Z40" s="39">
        <v>2370.8226190476189</v>
      </c>
      <c r="AA40" s="39">
        <v>2370.8226190476189</v>
      </c>
      <c r="AB40" s="39">
        <v>2370.8226190476189</v>
      </c>
      <c r="AC40" s="39">
        <v>2370.8226190476189</v>
      </c>
      <c r="AD40" s="39">
        <v>2370.8226190476189</v>
      </c>
      <c r="AE40" s="39">
        <v>2370.8226190476189</v>
      </c>
      <c r="AF40" s="39">
        <v>2370.8226190476189</v>
      </c>
      <c r="AG40" s="39">
        <v>2370.8226190476189</v>
      </c>
      <c r="AH40" s="39">
        <v>56899.742857142861</v>
      </c>
      <c r="AI40" s="39">
        <v>113799.48571428571</v>
      </c>
    </row>
    <row r="41" spans="1:35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x14ac:dyDescent="0.3">
      <c r="A42" s="40">
        <v>2030</v>
      </c>
      <c r="B42" s="40" t="s">
        <v>66</v>
      </c>
      <c r="C42" s="41" t="s">
        <v>54</v>
      </c>
      <c r="D42" s="41" t="s">
        <v>55</v>
      </c>
      <c r="E42" s="40">
        <v>21</v>
      </c>
      <c r="F42" s="40">
        <v>4</v>
      </c>
      <c r="G42" s="40">
        <v>5</v>
      </c>
      <c r="H42" s="40">
        <v>0</v>
      </c>
      <c r="I42" s="40">
        <v>30</v>
      </c>
      <c r="J42" s="39">
        <v>2370.8226190476189</v>
      </c>
      <c r="K42" s="39">
        <v>2370.8226190476189</v>
      </c>
      <c r="L42" s="39">
        <v>2370.8226190476189</v>
      </c>
      <c r="M42" s="39">
        <v>2370.8226190476189</v>
      </c>
      <c r="N42" s="39">
        <v>2370.8226190476189</v>
      </c>
      <c r="O42" s="39">
        <v>2370.8226190476189</v>
      </c>
      <c r="P42" s="39">
        <v>2370.8226190476189</v>
      </c>
      <c r="Q42" s="39">
        <v>2370.8226190476189</v>
      </c>
      <c r="R42" s="39">
        <v>2370.8226190476189</v>
      </c>
      <c r="S42" s="39">
        <v>2370.8226190476189</v>
      </c>
      <c r="T42" s="39">
        <v>2370.8226190476189</v>
      </c>
      <c r="U42" s="39">
        <v>2370.8226190476189</v>
      </c>
      <c r="V42" s="39">
        <v>2370.8226190476189</v>
      </c>
      <c r="W42" s="39">
        <v>2370.8226190476189</v>
      </c>
      <c r="X42" s="39">
        <v>2370.8226190476189</v>
      </c>
      <c r="Y42" s="39">
        <v>2370.8226190476189</v>
      </c>
      <c r="Z42" s="39">
        <v>2370.8226190476189</v>
      </c>
      <c r="AA42" s="39">
        <v>2370.8226190476189</v>
      </c>
      <c r="AB42" s="39">
        <v>2370.8226190476189</v>
      </c>
      <c r="AC42" s="39">
        <v>2370.8226190476189</v>
      </c>
      <c r="AD42" s="39">
        <v>2370.8226190476189</v>
      </c>
      <c r="AE42" s="39">
        <v>2370.8226190476189</v>
      </c>
      <c r="AF42" s="39">
        <v>2370.8226190476189</v>
      </c>
      <c r="AG42" s="39">
        <v>2370.8226190476189</v>
      </c>
      <c r="AH42" s="39">
        <v>56899.742857142861</v>
      </c>
      <c r="AI42" s="39">
        <v>1194894.6000000001</v>
      </c>
    </row>
    <row r="43" spans="1:35" x14ac:dyDescent="0.3">
      <c r="A43" s="40">
        <v>2030</v>
      </c>
      <c r="B43" s="40" t="s">
        <v>66</v>
      </c>
      <c r="C43" s="41" t="s">
        <v>54</v>
      </c>
      <c r="D43" s="41" t="s">
        <v>56</v>
      </c>
      <c r="E43" s="40">
        <v>21</v>
      </c>
      <c r="F43" s="40">
        <v>4</v>
      </c>
      <c r="G43" s="40">
        <v>5</v>
      </c>
      <c r="H43" s="40">
        <v>0</v>
      </c>
      <c r="I43" s="40">
        <v>30</v>
      </c>
      <c r="J43" s="39">
        <v>2370.8226190476189</v>
      </c>
      <c r="K43" s="39">
        <v>2370.8226190476189</v>
      </c>
      <c r="L43" s="39">
        <v>2370.8226190476189</v>
      </c>
      <c r="M43" s="39">
        <v>2370.8226190476189</v>
      </c>
      <c r="N43" s="39">
        <v>2370.8226190476189</v>
      </c>
      <c r="O43" s="39">
        <v>2370.8226190476189</v>
      </c>
      <c r="P43" s="39">
        <v>2370.8226190476189</v>
      </c>
      <c r="Q43" s="39">
        <v>2370.8226190476189</v>
      </c>
      <c r="R43" s="39">
        <v>2370.8226190476189</v>
      </c>
      <c r="S43" s="39">
        <v>2370.8226190476189</v>
      </c>
      <c r="T43" s="39">
        <v>2370.8226190476189</v>
      </c>
      <c r="U43" s="39">
        <v>2370.8226190476189</v>
      </c>
      <c r="V43" s="39">
        <v>2370.8226190476189</v>
      </c>
      <c r="W43" s="39">
        <v>2370.8226190476189</v>
      </c>
      <c r="X43" s="39">
        <v>2370.8226190476189</v>
      </c>
      <c r="Y43" s="39">
        <v>2370.8226190476189</v>
      </c>
      <c r="Z43" s="39">
        <v>2370.8226190476189</v>
      </c>
      <c r="AA43" s="39">
        <v>2370.8226190476189</v>
      </c>
      <c r="AB43" s="39">
        <v>2370.8226190476189</v>
      </c>
      <c r="AC43" s="39">
        <v>2370.8226190476189</v>
      </c>
      <c r="AD43" s="39">
        <v>2370.8226190476189</v>
      </c>
      <c r="AE43" s="39">
        <v>2370.8226190476189</v>
      </c>
      <c r="AF43" s="39">
        <v>2370.8226190476189</v>
      </c>
      <c r="AG43" s="39">
        <v>2370.8226190476189</v>
      </c>
      <c r="AH43" s="39">
        <v>56899.742857142861</v>
      </c>
      <c r="AI43" s="39">
        <v>227598.97142857141</v>
      </c>
    </row>
    <row r="44" spans="1:35" x14ac:dyDescent="0.3">
      <c r="A44" s="40">
        <v>2030</v>
      </c>
      <c r="B44" s="40" t="s">
        <v>66</v>
      </c>
      <c r="C44" s="41" t="s">
        <v>54</v>
      </c>
      <c r="D44" s="41" t="s">
        <v>57</v>
      </c>
      <c r="E44" s="40">
        <v>21</v>
      </c>
      <c r="F44" s="40">
        <v>4</v>
      </c>
      <c r="G44" s="40">
        <v>5</v>
      </c>
      <c r="H44" s="40">
        <v>0</v>
      </c>
      <c r="I44" s="40">
        <v>30</v>
      </c>
      <c r="J44" s="39">
        <v>2370.8226190476189</v>
      </c>
      <c r="K44" s="39">
        <v>2370.8226190476189</v>
      </c>
      <c r="L44" s="39">
        <v>2370.8226190476189</v>
      </c>
      <c r="M44" s="39">
        <v>2370.8226190476189</v>
      </c>
      <c r="N44" s="39">
        <v>2370.8226190476189</v>
      </c>
      <c r="O44" s="39">
        <v>2370.8226190476189</v>
      </c>
      <c r="P44" s="39">
        <v>2370.8226190476189</v>
      </c>
      <c r="Q44" s="39">
        <v>2370.8226190476189</v>
      </c>
      <c r="R44" s="39">
        <v>2370.8226190476189</v>
      </c>
      <c r="S44" s="39">
        <v>2370.8226190476189</v>
      </c>
      <c r="T44" s="39">
        <v>2370.8226190476189</v>
      </c>
      <c r="U44" s="39">
        <v>2370.8226190476189</v>
      </c>
      <c r="V44" s="39">
        <v>2370.8226190476189</v>
      </c>
      <c r="W44" s="39">
        <v>2370.8226190476189</v>
      </c>
      <c r="X44" s="39">
        <v>2370.8226190476189</v>
      </c>
      <c r="Y44" s="39">
        <v>2370.8226190476189</v>
      </c>
      <c r="Z44" s="39">
        <v>2370.8226190476189</v>
      </c>
      <c r="AA44" s="39">
        <v>2370.8226190476189</v>
      </c>
      <c r="AB44" s="39">
        <v>2370.8226190476189</v>
      </c>
      <c r="AC44" s="39">
        <v>2370.8226190476189</v>
      </c>
      <c r="AD44" s="39">
        <v>2370.8226190476189</v>
      </c>
      <c r="AE44" s="39">
        <v>2370.8226190476189</v>
      </c>
      <c r="AF44" s="39">
        <v>2370.8226190476189</v>
      </c>
      <c r="AG44" s="39">
        <v>2370.8226190476189</v>
      </c>
      <c r="AH44" s="39">
        <v>56899.742857142861</v>
      </c>
      <c r="AI44" s="39">
        <v>284498.71428571432</v>
      </c>
    </row>
    <row r="45" spans="1:35" x14ac:dyDescent="0.3">
      <c r="A45" s="40">
        <v>2030</v>
      </c>
      <c r="B45" s="40" t="s">
        <v>66</v>
      </c>
      <c r="C45" s="41" t="s">
        <v>54</v>
      </c>
      <c r="D45" s="41" t="s">
        <v>58</v>
      </c>
      <c r="E45" s="40">
        <v>21</v>
      </c>
      <c r="F45" s="40">
        <v>4</v>
      </c>
      <c r="G45" s="40">
        <v>5</v>
      </c>
      <c r="H45" s="40">
        <v>0</v>
      </c>
      <c r="I45" s="40">
        <v>30</v>
      </c>
      <c r="J45" s="39">
        <v>2370.8226190476189</v>
      </c>
      <c r="K45" s="39">
        <v>2370.8226190476189</v>
      </c>
      <c r="L45" s="39">
        <v>2370.8226190476189</v>
      </c>
      <c r="M45" s="39">
        <v>2370.8226190476189</v>
      </c>
      <c r="N45" s="39">
        <v>2370.8226190476189</v>
      </c>
      <c r="O45" s="39">
        <v>2370.8226190476189</v>
      </c>
      <c r="P45" s="39">
        <v>2370.8226190476189</v>
      </c>
      <c r="Q45" s="39">
        <v>2370.8226190476189</v>
      </c>
      <c r="R45" s="39">
        <v>2370.8226190476189</v>
      </c>
      <c r="S45" s="39">
        <v>2370.8226190476189</v>
      </c>
      <c r="T45" s="39">
        <v>2370.8226190476189</v>
      </c>
      <c r="U45" s="39">
        <v>2370.8226190476189</v>
      </c>
      <c r="V45" s="39">
        <v>2370.8226190476189</v>
      </c>
      <c r="W45" s="39">
        <v>2370.8226190476189</v>
      </c>
      <c r="X45" s="39">
        <v>2370.8226190476189</v>
      </c>
      <c r="Y45" s="39">
        <v>2370.8226190476189</v>
      </c>
      <c r="Z45" s="39">
        <v>2370.8226190476189</v>
      </c>
      <c r="AA45" s="39">
        <v>2370.8226190476189</v>
      </c>
      <c r="AB45" s="39">
        <v>2370.8226190476189</v>
      </c>
      <c r="AC45" s="39">
        <v>2370.8226190476189</v>
      </c>
      <c r="AD45" s="39">
        <v>2370.8226190476189</v>
      </c>
      <c r="AE45" s="39">
        <v>2370.8226190476189</v>
      </c>
      <c r="AF45" s="39">
        <v>2370.8226190476189</v>
      </c>
      <c r="AG45" s="39">
        <v>2370.8226190476189</v>
      </c>
      <c r="AH45" s="39">
        <v>56899.742857142861</v>
      </c>
      <c r="AI45" s="39">
        <v>0</v>
      </c>
    </row>
    <row r="46" spans="1:35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 spans="1:35" x14ac:dyDescent="0.3">
      <c r="A47" s="40">
        <v>2030</v>
      </c>
      <c r="B47" s="40" t="s">
        <v>67</v>
      </c>
      <c r="C47" s="41" t="s">
        <v>54</v>
      </c>
      <c r="D47" s="41" t="s">
        <v>55</v>
      </c>
      <c r="E47" s="40">
        <v>22</v>
      </c>
      <c r="F47" s="40">
        <v>4</v>
      </c>
      <c r="G47" s="40">
        <v>4</v>
      </c>
      <c r="H47" s="40">
        <v>1</v>
      </c>
      <c r="I47" s="40">
        <v>31</v>
      </c>
      <c r="J47" s="39">
        <v>2370.8226190476189</v>
      </c>
      <c r="K47" s="39">
        <v>2370.8226190476189</v>
      </c>
      <c r="L47" s="39">
        <v>2370.8226190476189</v>
      </c>
      <c r="M47" s="39">
        <v>2370.8226190476189</v>
      </c>
      <c r="N47" s="39">
        <v>2370.8226190476189</v>
      </c>
      <c r="O47" s="39">
        <v>2370.8226190476189</v>
      </c>
      <c r="P47" s="39">
        <v>2370.8226190476189</v>
      </c>
      <c r="Q47" s="39">
        <v>2370.8226190476189</v>
      </c>
      <c r="R47" s="39">
        <v>2370.8226190476189</v>
      </c>
      <c r="S47" s="39">
        <v>2370.8226190476189</v>
      </c>
      <c r="T47" s="39">
        <v>2370.8226190476189</v>
      </c>
      <c r="U47" s="39">
        <v>2370.8226190476189</v>
      </c>
      <c r="V47" s="39">
        <v>2370.8226190476189</v>
      </c>
      <c r="W47" s="39">
        <v>2370.8226190476189</v>
      </c>
      <c r="X47" s="39">
        <v>2370.8226190476189</v>
      </c>
      <c r="Y47" s="39">
        <v>2370.8226190476189</v>
      </c>
      <c r="Z47" s="39">
        <v>2370.8226190476189</v>
      </c>
      <c r="AA47" s="39">
        <v>2370.8226190476189</v>
      </c>
      <c r="AB47" s="39">
        <v>2370.8226190476189</v>
      </c>
      <c r="AC47" s="39">
        <v>2370.8226190476189</v>
      </c>
      <c r="AD47" s="39">
        <v>2370.8226190476189</v>
      </c>
      <c r="AE47" s="39">
        <v>2370.8226190476189</v>
      </c>
      <c r="AF47" s="39">
        <v>2370.8226190476189</v>
      </c>
      <c r="AG47" s="39">
        <v>2370.8226190476189</v>
      </c>
      <c r="AH47" s="39">
        <v>56899.742857142861</v>
      </c>
      <c r="AI47" s="39">
        <v>1251794.3428571429</v>
      </c>
    </row>
    <row r="48" spans="1:35" x14ac:dyDescent="0.3">
      <c r="A48" s="40">
        <v>2030</v>
      </c>
      <c r="B48" s="40" t="s">
        <v>67</v>
      </c>
      <c r="C48" s="41" t="s">
        <v>54</v>
      </c>
      <c r="D48" s="41" t="s">
        <v>56</v>
      </c>
      <c r="E48" s="40">
        <v>22</v>
      </c>
      <c r="F48" s="40">
        <v>4</v>
      </c>
      <c r="G48" s="40">
        <v>4</v>
      </c>
      <c r="H48" s="40">
        <v>1</v>
      </c>
      <c r="I48" s="40">
        <v>31</v>
      </c>
      <c r="J48" s="39">
        <v>2370.8226190476189</v>
      </c>
      <c r="K48" s="39">
        <v>2370.8226190476189</v>
      </c>
      <c r="L48" s="39">
        <v>2370.8226190476189</v>
      </c>
      <c r="M48" s="39">
        <v>2370.8226190476189</v>
      </c>
      <c r="N48" s="39">
        <v>2370.8226190476189</v>
      </c>
      <c r="O48" s="39">
        <v>2370.8226190476189</v>
      </c>
      <c r="P48" s="39">
        <v>2370.8226190476189</v>
      </c>
      <c r="Q48" s="39">
        <v>2370.8226190476189</v>
      </c>
      <c r="R48" s="39">
        <v>2370.8226190476189</v>
      </c>
      <c r="S48" s="39">
        <v>2370.8226190476189</v>
      </c>
      <c r="T48" s="39">
        <v>2370.8226190476189</v>
      </c>
      <c r="U48" s="39">
        <v>2370.8226190476189</v>
      </c>
      <c r="V48" s="39">
        <v>2370.8226190476189</v>
      </c>
      <c r="W48" s="39">
        <v>2370.8226190476189</v>
      </c>
      <c r="X48" s="39">
        <v>2370.8226190476189</v>
      </c>
      <c r="Y48" s="39">
        <v>2370.8226190476189</v>
      </c>
      <c r="Z48" s="39">
        <v>2370.8226190476189</v>
      </c>
      <c r="AA48" s="39">
        <v>2370.8226190476189</v>
      </c>
      <c r="AB48" s="39">
        <v>2370.8226190476189</v>
      </c>
      <c r="AC48" s="39">
        <v>2370.8226190476189</v>
      </c>
      <c r="AD48" s="39">
        <v>2370.8226190476189</v>
      </c>
      <c r="AE48" s="39">
        <v>2370.8226190476189</v>
      </c>
      <c r="AF48" s="39">
        <v>2370.8226190476189</v>
      </c>
      <c r="AG48" s="39">
        <v>2370.8226190476189</v>
      </c>
      <c r="AH48" s="39">
        <v>56899.742857142861</v>
      </c>
      <c r="AI48" s="39">
        <v>227598.97142857141</v>
      </c>
    </row>
    <row r="49" spans="1:35" x14ac:dyDescent="0.3">
      <c r="A49" s="40">
        <v>2030</v>
      </c>
      <c r="B49" s="40" t="s">
        <v>67</v>
      </c>
      <c r="C49" s="41" t="s">
        <v>54</v>
      </c>
      <c r="D49" s="41" t="s">
        <v>57</v>
      </c>
      <c r="E49" s="40">
        <v>22</v>
      </c>
      <c r="F49" s="40">
        <v>4</v>
      </c>
      <c r="G49" s="40">
        <v>4</v>
      </c>
      <c r="H49" s="40">
        <v>1</v>
      </c>
      <c r="I49" s="40">
        <v>31</v>
      </c>
      <c r="J49" s="39">
        <v>2370.8226190476189</v>
      </c>
      <c r="K49" s="39">
        <v>2370.8226190476189</v>
      </c>
      <c r="L49" s="39">
        <v>2370.8226190476189</v>
      </c>
      <c r="M49" s="39">
        <v>2370.8226190476189</v>
      </c>
      <c r="N49" s="39">
        <v>2370.8226190476189</v>
      </c>
      <c r="O49" s="39">
        <v>2370.8226190476189</v>
      </c>
      <c r="P49" s="39">
        <v>2370.8226190476189</v>
      </c>
      <c r="Q49" s="39">
        <v>2370.8226190476189</v>
      </c>
      <c r="R49" s="39">
        <v>2370.8226190476189</v>
      </c>
      <c r="S49" s="39">
        <v>2370.8226190476189</v>
      </c>
      <c r="T49" s="39">
        <v>2370.8226190476189</v>
      </c>
      <c r="U49" s="39">
        <v>2370.8226190476189</v>
      </c>
      <c r="V49" s="39">
        <v>2370.8226190476189</v>
      </c>
      <c r="W49" s="39">
        <v>2370.8226190476189</v>
      </c>
      <c r="X49" s="39">
        <v>2370.8226190476189</v>
      </c>
      <c r="Y49" s="39">
        <v>2370.8226190476189</v>
      </c>
      <c r="Z49" s="39">
        <v>2370.8226190476189</v>
      </c>
      <c r="AA49" s="39">
        <v>2370.8226190476189</v>
      </c>
      <c r="AB49" s="39">
        <v>2370.8226190476189</v>
      </c>
      <c r="AC49" s="39">
        <v>2370.8226190476189</v>
      </c>
      <c r="AD49" s="39">
        <v>2370.8226190476189</v>
      </c>
      <c r="AE49" s="39">
        <v>2370.8226190476189</v>
      </c>
      <c r="AF49" s="39">
        <v>2370.8226190476189</v>
      </c>
      <c r="AG49" s="39">
        <v>2370.8226190476189</v>
      </c>
      <c r="AH49" s="39">
        <v>56899.742857142861</v>
      </c>
      <c r="AI49" s="39">
        <v>227598.97142857141</v>
      </c>
    </row>
    <row r="50" spans="1:35" x14ac:dyDescent="0.3">
      <c r="A50" s="40">
        <v>2030</v>
      </c>
      <c r="B50" s="40" t="s">
        <v>67</v>
      </c>
      <c r="C50" s="41" t="s">
        <v>54</v>
      </c>
      <c r="D50" s="41" t="s">
        <v>58</v>
      </c>
      <c r="E50" s="40">
        <v>22</v>
      </c>
      <c r="F50" s="40">
        <v>4</v>
      </c>
      <c r="G50" s="40">
        <v>4</v>
      </c>
      <c r="H50" s="40">
        <v>1</v>
      </c>
      <c r="I50" s="40">
        <v>31</v>
      </c>
      <c r="J50" s="39">
        <v>2370.8226190476189</v>
      </c>
      <c r="K50" s="39">
        <v>2370.8226190476189</v>
      </c>
      <c r="L50" s="39">
        <v>2370.8226190476189</v>
      </c>
      <c r="M50" s="39">
        <v>2370.8226190476189</v>
      </c>
      <c r="N50" s="39">
        <v>2370.8226190476189</v>
      </c>
      <c r="O50" s="39">
        <v>2370.8226190476189</v>
      </c>
      <c r="P50" s="39">
        <v>2370.8226190476189</v>
      </c>
      <c r="Q50" s="39">
        <v>2370.8226190476189</v>
      </c>
      <c r="R50" s="39">
        <v>2370.8226190476189</v>
      </c>
      <c r="S50" s="39">
        <v>2370.8226190476189</v>
      </c>
      <c r="T50" s="39">
        <v>2370.8226190476189</v>
      </c>
      <c r="U50" s="39">
        <v>2370.8226190476189</v>
      </c>
      <c r="V50" s="39">
        <v>2370.8226190476189</v>
      </c>
      <c r="W50" s="39">
        <v>2370.8226190476189</v>
      </c>
      <c r="X50" s="39">
        <v>2370.8226190476189</v>
      </c>
      <c r="Y50" s="39">
        <v>2370.8226190476189</v>
      </c>
      <c r="Z50" s="39">
        <v>2370.8226190476189</v>
      </c>
      <c r="AA50" s="39">
        <v>2370.8226190476189</v>
      </c>
      <c r="AB50" s="39">
        <v>2370.8226190476189</v>
      </c>
      <c r="AC50" s="39">
        <v>2370.8226190476189</v>
      </c>
      <c r="AD50" s="39">
        <v>2370.8226190476189</v>
      </c>
      <c r="AE50" s="39">
        <v>2370.8226190476189</v>
      </c>
      <c r="AF50" s="39">
        <v>2370.8226190476189</v>
      </c>
      <c r="AG50" s="39">
        <v>2370.8226190476189</v>
      </c>
      <c r="AH50" s="39">
        <v>56899.742857142861</v>
      </c>
      <c r="AI50" s="39">
        <v>56899.742857142861</v>
      </c>
    </row>
    <row r="51" spans="1:35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 spans="1:35" x14ac:dyDescent="0.3">
      <c r="A52" s="40">
        <v>2030</v>
      </c>
      <c r="B52" s="40" t="s">
        <v>68</v>
      </c>
      <c r="C52" s="41" t="s">
        <v>54</v>
      </c>
      <c r="D52" s="41" t="s">
        <v>55</v>
      </c>
      <c r="E52" s="40">
        <v>19</v>
      </c>
      <c r="F52" s="40">
        <v>5</v>
      </c>
      <c r="G52" s="40">
        <v>4</v>
      </c>
      <c r="H52" s="40">
        <v>2</v>
      </c>
      <c r="I52" s="40">
        <v>30</v>
      </c>
      <c r="J52" s="39">
        <v>2370.8226190476189</v>
      </c>
      <c r="K52" s="39">
        <v>2370.8226190476189</v>
      </c>
      <c r="L52" s="39">
        <v>2370.8226190476189</v>
      </c>
      <c r="M52" s="39">
        <v>2370.8226190476189</v>
      </c>
      <c r="N52" s="39">
        <v>2370.8226190476189</v>
      </c>
      <c r="O52" s="39">
        <v>2370.8226190476189</v>
      </c>
      <c r="P52" s="39">
        <v>2370.8226190476189</v>
      </c>
      <c r="Q52" s="39">
        <v>2370.8226190476189</v>
      </c>
      <c r="R52" s="39">
        <v>2370.8226190476189</v>
      </c>
      <c r="S52" s="39">
        <v>2370.8226190476189</v>
      </c>
      <c r="T52" s="39">
        <v>2370.8226190476189</v>
      </c>
      <c r="U52" s="39">
        <v>2370.8226190476189</v>
      </c>
      <c r="V52" s="39">
        <v>2370.8226190476189</v>
      </c>
      <c r="W52" s="39">
        <v>2370.8226190476189</v>
      </c>
      <c r="X52" s="39">
        <v>2370.8226190476189</v>
      </c>
      <c r="Y52" s="39">
        <v>2370.8226190476189</v>
      </c>
      <c r="Z52" s="39">
        <v>2370.8226190476189</v>
      </c>
      <c r="AA52" s="39">
        <v>2370.8226190476189</v>
      </c>
      <c r="AB52" s="39">
        <v>2370.8226190476189</v>
      </c>
      <c r="AC52" s="39">
        <v>2370.8226190476189</v>
      </c>
      <c r="AD52" s="39">
        <v>2370.8226190476189</v>
      </c>
      <c r="AE52" s="39">
        <v>2370.8226190476189</v>
      </c>
      <c r="AF52" s="39">
        <v>2370.8226190476189</v>
      </c>
      <c r="AG52" s="39">
        <v>2370.8226190476189</v>
      </c>
      <c r="AH52" s="39">
        <v>56899.742857142861</v>
      </c>
      <c r="AI52" s="39">
        <v>1081095.114285714</v>
      </c>
    </row>
    <row r="53" spans="1:35" x14ac:dyDescent="0.3">
      <c r="A53" s="40">
        <v>2030</v>
      </c>
      <c r="B53" s="40" t="s">
        <v>68</v>
      </c>
      <c r="C53" s="41" t="s">
        <v>54</v>
      </c>
      <c r="D53" s="41" t="s">
        <v>56</v>
      </c>
      <c r="E53" s="40">
        <v>19</v>
      </c>
      <c r="F53" s="40">
        <v>5</v>
      </c>
      <c r="G53" s="40">
        <v>4</v>
      </c>
      <c r="H53" s="40">
        <v>2</v>
      </c>
      <c r="I53" s="40">
        <v>30</v>
      </c>
      <c r="J53" s="39">
        <v>2370.8226190476189</v>
      </c>
      <c r="K53" s="39">
        <v>2370.8226190476189</v>
      </c>
      <c r="L53" s="39">
        <v>2370.8226190476189</v>
      </c>
      <c r="M53" s="39">
        <v>2370.8226190476189</v>
      </c>
      <c r="N53" s="39">
        <v>2370.8226190476189</v>
      </c>
      <c r="O53" s="39">
        <v>2370.8226190476189</v>
      </c>
      <c r="P53" s="39">
        <v>2370.8226190476189</v>
      </c>
      <c r="Q53" s="39">
        <v>2370.8226190476189</v>
      </c>
      <c r="R53" s="39">
        <v>2370.8226190476189</v>
      </c>
      <c r="S53" s="39">
        <v>2370.8226190476189</v>
      </c>
      <c r="T53" s="39">
        <v>2370.8226190476189</v>
      </c>
      <c r="U53" s="39">
        <v>2370.8226190476189</v>
      </c>
      <c r="V53" s="39">
        <v>2370.8226190476189</v>
      </c>
      <c r="W53" s="39">
        <v>2370.8226190476189</v>
      </c>
      <c r="X53" s="39">
        <v>2370.8226190476189</v>
      </c>
      <c r="Y53" s="39">
        <v>2370.8226190476189</v>
      </c>
      <c r="Z53" s="39">
        <v>2370.8226190476189</v>
      </c>
      <c r="AA53" s="39">
        <v>2370.8226190476189</v>
      </c>
      <c r="AB53" s="39">
        <v>2370.8226190476189</v>
      </c>
      <c r="AC53" s="39">
        <v>2370.8226190476189</v>
      </c>
      <c r="AD53" s="39">
        <v>2370.8226190476189</v>
      </c>
      <c r="AE53" s="39">
        <v>2370.8226190476189</v>
      </c>
      <c r="AF53" s="39">
        <v>2370.8226190476189</v>
      </c>
      <c r="AG53" s="39">
        <v>2370.8226190476189</v>
      </c>
      <c r="AH53" s="39">
        <v>56899.742857142861</v>
      </c>
      <c r="AI53" s="39">
        <v>284498.71428571432</v>
      </c>
    </row>
    <row r="54" spans="1:35" x14ac:dyDescent="0.3">
      <c r="A54" s="40">
        <v>2030</v>
      </c>
      <c r="B54" s="40" t="s">
        <v>68</v>
      </c>
      <c r="C54" s="41" t="s">
        <v>54</v>
      </c>
      <c r="D54" s="41" t="s">
        <v>57</v>
      </c>
      <c r="E54" s="40">
        <v>19</v>
      </c>
      <c r="F54" s="40">
        <v>5</v>
      </c>
      <c r="G54" s="40">
        <v>4</v>
      </c>
      <c r="H54" s="40">
        <v>2</v>
      </c>
      <c r="I54" s="40">
        <v>30</v>
      </c>
      <c r="J54" s="39">
        <v>2370.8226190476189</v>
      </c>
      <c r="K54" s="39">
        <v>2370.8226190476189</v>
      </c>
      <c r="L54" s="39">
        <v>2370.8226190476189</v>
      </c>
      <c r="M54" s="39">
        <v>2370.8226190476189</v>
      </c>
      <c r="N54" s="39">
        <v>2370.8226190476189</v>
      </c>
      <c r="O54" s="39">
        <v>2370.8226190476189</v>
      </c>
      <c r="P54" s="39">
        <v>2370.8226190476189</v>
      </c>
      <c r="Q54" s="39">
        <v>2370.8226190476189</v>
      </c>
      <c r="R54" s="39">
        <v>2370.8226190476189</v>
      </c>
      <c r="S54" s="39">
        <v>2370.8226190476189</v>
      </c>
      <c r="T54" s="39">
        <v>2370.8226190476189</v>
      </c>
      <c r="U54" s="39">
        <v>2370.8226190476189</v>
      </c>
      <c r="V54" s="39">
        <v>2370.8226190476189</v>
      </c>
      <c r="W54" s="39">
        <v>2370.8226190476189</v>
      </c>
      <c r="X54" s="39">
        <v>2370.8226190476189</v>
      </c>
      <c r="Y54" s="39">
        <v>2370.8226190476189</v>
      </c>
      <c r="Z54" s="39">
        <v>2370.8226190476189</v>
      </c>
      <c r="AA54" s="39">
        <v>2370.8226190476189</v>
      </c>
      <c r="AB54" s="39">
        <v>2370.8226190476189</v>
      </c>
      <c r="AC54" s="39">
        <v>2370.8226190476189</v>
      </c>
      <c r="AD54" s="39">
        <v>2370.8226190476189</v>
      </c>
      <c r="AE54" s="39">
        <v>2370.8226190476189</v>
      </c>
      <c r="AF54" s="39">
        <v>2370.8226190476189</v>
      </c>
      <c r="AG54" s="39">
        <v>2370.8226190476189</v>
      </c>
      <c r="AH54" s="39">
        <v>56899.742857142861</v>
      </c>
      <c r="AI54" s="39">
        <v>227598.97142857141</v>
      </c>
    </row>
    <row r="55" spans="1:35" x14ac:dyDescent="0.3">
      <c r="A55" s="40">
        <v>2030</v>
      </c>
      <c r="B55" s="40" t="s">
        <v>68</v>
      </c>
      <c r="C55" s="41" t="s">
        <v>54</v>
      </c>
      <c r="D55" s="41" t="s">
        <v>58</v>
      </c>
      <c r="E55" s="40">
        <v>19</v>
      </c>
      <c r="F55" s="40">
        <v>5</v>
      </c>
      <c r="G55" s="40">
        <v>4</v>
      </c>
      <c r="H55" s="40">
        <v>2</v>
      </c>
      <c r="I55" s="40">
        <v>30</v>
      </c>
      <c r="J55" s="39">
        <v>2370.8226190476189</v>
      </c>
      <c r="K55" s="39">
        <v>2370.8226190476189</v>
      </c>
      <c r="L55" s="39">
        <v>2370.8226190476189</v>
      </c>
      <c r="M55" s="39">
        <v>2370.8226190476189</v>
      </c>
      <c r="N55" s="39">
        <v>2370.8226190476189</v>
      </c>
      <c r="O55" s="39">
        <v>2370.8226190476189</v>
      </c>
      <c r="P55" s="39">
        <v>2370.8226190476189</v>
      </c>
      <c r="Q55" s="39">
        <v>2370.8226190476189</v>
      </c>
      <c r="R55" s="39">
        <v>2370.8226190476189</v>
      </c>
      <c r="S55" s="39">
        <v>2370.8226190476189</v>
      </c>
      <c r="T55" s="39">
        <v>2370.8226190476189</v>
      </c>
      <c r="U55" s="39">
        <v>2370.8226190476189</v>
      </c>
      <c r="V55" s="39">
        <v>2370.8226190476189</v>
      </c>
      <c r="W55" s="39">
        <v>2370.8226190476189</v>
      </c>
      <c r="X55" s="39">
        <v>2370.8226190476189</v>
      </c>
      <c r="Y55" s="39">
        <v>2370.8226190476189</v>
      </c>
      <c r="Z55" s="39">
        <v>2370.8226190476189</v>
      </c>
      <c r="AA55" s="39">
        <v>2370.8226190476189</v>
      </c>
      <c r="AB55" s="39">
        <v>2370.8226190476189</v>
      </c>
      <c r="AC55" s="39">
        <v>2370.8226190476189</v>
      </c>
      <c r="AD55" s="39">
        <v>2370.8226190476189</v>
      </c>
      <c r="AE55" s="39">
        <v>2370.8226190476189</v>
      </c>
      <c r="AF55" s="39">
        <v>2370.8226190476189</v>
      </c>
      <c r="AG55" s="39">
        <v>2370.8226190476189</v>
      </c>
      <c r="AH55" s="39">
        <v>56899.742857142861</v>
      </c>
      <c r="AI55" s="39">
        <v>113799.48571428571</v>
      </c>
    </row>
    <row r="56" spans="1:35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5" x14ac:dyDescent="0.3">
      <c r="A57" s="40">
        <v>2030</v>
      </c>
      <c r="B57" s="40" t="s">
        <v>69</v>
      </c>
      <c r="C57" s="41" t="s">
        <v>54</v>
      </c>
      <c r="D57" s="41" t="s">
        <v>55</v>
      </c>
      <c r="E57" s="40">
        <v>21</v>
      </c>
      <c r="F57" s="40">
        <v>4</v>
      </c>
      <c r="G57" s="40">
        <v>4</v>
      </c>
      <c r="H57" s="40">
        <v>2</v>
      </c>
      <c r="I57" s="40">
        <v>31</v>
      </c>
      <c r="J57" s="39">
        <v>2370.8226190476189</v>
      </c>
      <c r="K57" s="39">
        <v>2370.8226190476189</v>
      </c>
      <c r="L57" s="39">
        <v>2370.8226190476189</v>
      </c>
      <c r="M57" s="39">
        <v>2370.8226190476189</v>
      </c>
      <c r="N57" s="39">
        <v>2370.8226190476189</v>
      </c>
      <c r="O57" s="39">
        <v>2370.8226190476189</v>
      </c>
      <c r="P57" s="39">
        <v>2370.8226190476189</v>
      </c>
      <c r="Q57" s="39">
        <v>2370.8226190476189</v>
      </c>
      <c r="R57" s="39">
        <v>2370.8226190476189</v>
      </c>
      <c r="S57" s="39">
        <v>2370.8226190476189</v>
      </c>
      <c r="T57" s="39">
        <v>2370.8226190476189</v>
      </c>
      <c r="U57" s="39">
        <v>2370.8226190476189</v>
      </c>
      <c r="V57" s="39">
        <v>2370.8226190476189</v>
      </c>
      <c r="W57" s="39">
        <v>2370.8226190476189</v>
      </c>
      <c r="X57" s="39">
        <v>2370.8226190476189</v>
      </c>
      <c r="Y57" s="39">
        <v>2370.8226190476189</v>
      </c>
      <c r="Z57" s="39">
        <v>2370.8226190476189</v>
      </c>
      <c r="AA57" s="39">
        <v>2370.8226190476189</v>
      </c>
      <c r="AB57" s="39">
        <v>2370.8226190476189</v>
      </c>
      <c r="AC57" s="39">
        <v>2370.8226190476189</v>
      </c>
      <c r="AD57" s="39">
        <v>2370.8226190476189</v>
      </c>
      <c r="AE57" s="39">
        <v>2370.8226190476189</v>
      </c>
      <c r="AF57" s="39">
        <v>2370.8226190476189</v>
      </c>
      <c r="AG57" s="39">
        <v>2370.8226190476189</v>
      </c>
      <c r="AH57" s="39">
        <v>56899.742857142861</v>
      </c>
      <c r="AI57" s="39">
        <v>1194894.6000000001</v>
      </c>
    </row>
    <row r="58" spans="1:35" x14ac:dyDescent="0.3">
      <c r="A58" s="40">
        <v>2030</v>
      </c>
      <c r="B58" s="40" t="s">
        <v>69</v>
      </c>
      <c r="C58" s="41" t="s">
        <v>54</v>
      </c>
      <c r="D58" s="41" t="s">
        <v>56</v>
      </c>
      <c r="E58" s="40">
        <v>21</v>
      </c>
      <c r="F58" s="40">
        <v>4</v>
      </c>
      <c r="G58" s="40">
        <v>4</v>
      </c>
      <c r="H58" s="40">
        <v>2</v>
      </c>
      <c r="I58" s="40">
        <v>31</v>
      </c>
      <c r="J58" s="39">
        <v>2370.8226190476189</v>
      </c>
      <c r="K58" s="39">
        <v>2370.8226190476189</v>
      </c>
      <c r="L58" s="39">
        <v>2370.8226190476189</v>
      </c>
      <c r="M58" s="39">
        <v>2370.8226190476189</v>
      </c>
      <c r="N58" s="39">
        <v>2370.8226190476189</v>
      </c>
      <c r="O58" s="39">
        <v>2370.8226190476189</v>
      </c>
      <c r="P58" s="39">
        <v>2370.8226190476189</v>
      </c>
      <c r="Q58" s="39">
        <v>2370.8226190476189</v>
      </c>
      <c r="R58" s="39">
        <v>2370.8226190476189</v>
      </c>
      <c r="S58" s="39">
        <v>2370.8226190476189</v>
      </c>
      <c r="T58" s="39">
        <v>2370.8226190476189</v>
      </c>
      <c r="U58" s="39">
        <v>2370.8226190476189</v>
      </c>
      <c r="V58" s="39">
        <v>2370.8226190476189</v>
      </c>
      <c r="W58" s="39">
        <v>2370.8226190476189</v>
      </c>
      <c r="X58" s="39">
        <v>2370.8226190476189</v>
      </c>
      <c r="Y58" s="39">
        <v>2370.8226190476189</v>
      </c>
      <c r="Z58" s="39">
        <v>2370.8226190476189</v>
      </c>
      <c r="AA58" s="39">
        <v>2370.8226190476189</v>
      </c>
      <c r="AB58" s="39">
        <v>2370.8226190476189</v>
      </c>
      <c r="AC58" s="39">
        <v>2370.8226190476189</v>
      </c>
      <c r="AD58" s="39">
        <v>2370.8226190476189</v>
      </c>
      <c r="AE58" s="39">
        <v>2370.8226190476189</v>
      </c>
      <c r="AF58" s="39">
        <v>2370.8226190476189</v>
      </c>
      <c r="AG58" s="39">
        <v>2370.8226190476189</v>
      </c>
      <c r="AH58" s="39">
        <v>56899.742857142861</v>
      </c>
      <c r="AI58" s="39">
        <v>227598.97142857141</v>
      </c>
    </row>
    <row r="59" spans="1:35" x14ac:dyDescent="0.3">
      <c r="A59" s="40">
        <v>2030</v>
      </c>
      <c r="B59" s="40" t="s">
        <v>69</v>
      </c>
      <c r="C59" s="41" t="s">
        <v>54</v>
      </c>
      <c r="D59" s="41" t="s">
        <v>57</v>
      </c>
      <c r="E59" s="40">
        <v>21</v>
      </c>
      <c r="F59" s="40">
        <v>4</v>
      </c>
      <c r="G59" s="40">
        <v>4</v>
      </c>
      <c r="H59" s="40">
        <v>2</v>
      </c>
      <c r="I59" s="40">
        <v>31</v>
      </c>
      <c r="J59" s="39">
        <v>2370.8226190476189</v>
      </c>
      <c r="K59" s="39">
        <v>2370.8226190476189</v>
      </c>
      <c r="L59" s="39">
        <v>2370.8226190476189</v>
      </c>
      <c r="M59" s="39">
        <v>2370.8226190476189</v>
      </c>
      <c r="N59" s="39">
        <v>2370.8226190476189</v>
      </c>
      <c r="O59" s="39">
        <v>2370.8226190476189</v>
      </c>
      <c r="P59" s="39">
        <v>2370.8226190476189</v>
      </c>
      <c r="Q59" s="39">
        <v>2370.8226190476189</v>
      </c>
      <c r="R59" s="39">
        <v>2370.8226190476189</v>
      </c>
      <c r="S59" s="39">
        <v>2370.8226190476189</v>
      </c>
      <c r="T59" s="39">
        <v>2370.8226190476189</v>
      </c>
      <c r="U59" s="39">
        <v>2370.8226190476189</v>
      </c>
      <c r="V59" s="39">
        <v>2370.8226190476189</v>
      </c>
      <c r="W59" s="39">
        <v>2370.8226190476189</v>
      </c>
      <c r="X59" s="39">
        <v>2370.8226190476189</v>
      </c>
      <c r="Y59" s="39">
        <v>2370.8226190476189</v>
      </c>
      <c r="Z59" s="39">
        <v>2370.8226190476189</v>
      </c>
      <c r="AA59" s="39">
        <v>2370.8226190476189</v>
      </c>
      <c r="AB59" s="39">
        <v>2370.8226190476189</v>
      </c>
      <c r="AC59" s="39">
        <v>2370.8226190476189</v>
      </c>
      <c r="AD59" s="39">
        <v>2370.8226190476189</v>
      </c>
      <c r="AE59" s="39">
        <v>2370.8226190476189</v>
      </c>
      <c r="AF59" s="39">
        <v>2370.8226190476189</v>
      </c>
      <c r="AG59" s="39">
        <v>2370.8226190476189</v>
      </c>
      <c r="AH59" s="39">
        <v>56899.742857142861</v>
      </c>
      <c r="AI59" s="39">
        <v>227598.97142857141</v>
      </c>
    </row>
    <row r="60" spans="1:35" x14ac:dyDescent="0.3">
      <c r="A60" s="40">
        <v>2030</v>
      </c>
      <c r="B60" s="40" t="s">
        <v>69</v>
      </c>
      <c r="C60" s="41" t="s">
        <v>54</v>
      </c>
      <c r="D60" s="41" t="s">
        <v>58</v>
      </c>
      <c r="E60" s="40">
        <v>21</v>
      </c>
      <c r="F60" s="40">
        <v>4</v>
      </c>
      <c r="G60" s="40">
        <v>4</v>
      </c>
      <c r="H60" s="40">
        <v>2</v>
      </c>
      <c r="I60" s="40">
        <v>31</v>
      </c>
      <c r="J60" s="39">
        <v>2370.8226190476189</v>
      </c>
      <c r="K60" s="39">
        <v>2370.8226190476189</v>
      </c>
      <c r="L60" s="39">
        <v>2370.8226190476189</v>
      </c>
      <c r="M60" s="39">
        <v>2370.8226190476189</v>
      </c>
      <c r="N60" s="39">
        <v>2370.8226190476189</v>
      </c>
      <c r="O60" s="39">
        <v>2370.8226190476189</v>
      </c>
      <c r="P60" s="39">
        <v>2370.8226190476189</v>
      </c>
      <c r="Q60" s="39">
        <v>2370.8226190476189</v>
      </c>
      <c r="R60" s="39">
        <v>2370.8226190476189</v>
      </c>
      <c r="S60" s="39">
        <v>2370.8226190476189</v>
      </c>
      <c r="T60" s="39">
        <v>2370.8226190476189</v>
      </c>
      <c r="U60" s="39">
        <v>2370.8226190476189</v>
      </c>
      <c r="V60" s="39">
        <v>2370.8226190476189</v>
      </c>
      <c r="W60" s="39">
        <v>2370.8226190476189</v>
      </c>
      <c r="X60" s="39">
        <v>2370.8226190476189</v>
      </c>
      <c r="Y60" s="39">
        <v>2370.8226190476189</v>
      </c>
      <c r="Z60" s="39">
        <v>2370.8226190476189</v>
      </c>
      <c r="AA60" s="39">
        <v>2370.8226190476189</v>
      </c>
      <c r="AB60" s="39">
        <v>2370.8226190476189</v>
      </c>
      <c r="AC60" s="39">
        <v>2370.8226190476189</v>
      </c>
      <c r="AD60" s="39">
        <v>2370.8226190476189</v>
      </c>
      <c r="AE60" s="39">
        <v>2370.8226190476189</v>
      </c>
      <c r="AF60" s="39">
        <v>2370.8226190476189</v>
      </c>
      <c r="AG60" s="39">
        <v>2370.8226190476189</v>
      </c>
      <c r="AH60" s="39">
        <v>56899.742857142861</v>
      </c>
      <c r="AI60" s="39">
        <v>113799.48571428571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M57"/>
  <sheetViews>
    <sheetView tabSelected="1" view="pageBreakPreview" topLeftCell="A29" zoomScale="60" zoomScaleNormal="100" workbookViewId="0">
      <selection activeCell="D44" sqref="D44"/>
    </sheetView>
  </sheetViews>
  <sheetFormatPr baseColWidth="10" defaultRowHeight="14.4" x14ac:dyDescent="0.3"/>
  <cols>
    <col min="1" max="1" width="19.6640625" customWidth="1"/>
    <col min="2" max="2" width="20.6640625" customWidth="1"/>
    <col min="3" max="3" width="18.44140625" customWidth="1"/>
    <col min="4" max="4" width="20.109375" customWidth="1"/>
    <col min="5" max="5" width="22.109375" customWidth="1"/>
    <col min="6" max="6" width="21.21875" customWidth="1"/>
    <col min="7" max="7" width="21.88671875" customWidth="1"/>
    <col min="8" max="8" width="22.33203125" customWidth="1"/>
    <col min="9" max="9" width="23" customWidth="1"/>
    <col min="10" max="10" width="19" customWidth="1"/>
    <col min="11" max="11" width="19.33203125" customWidth="1"/>
  </cols>
  <sheetData>
    <row r="1" spans="1:13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3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3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3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3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3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3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3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pans="1:13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1:13" x14ac:dyDescent="0.3">
      <c r="A19" s="35"/>
      <c r="B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1:13" ht="25.8" customHeight="1" x14ac:dyDescent="0.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 ht="28.8" customHeight="1" x14ac:dyDescent="0.3">
      <c r="A22" s="2"/>
      <c r="B22" s="2"/>
      <c r="C22" s="3"/>
      <c r="D22" s="46" t="s">
        <v>0</v>
      </c>
      <c r="E22" s="47"/>
      <c r="F22" s="47"/>
      <c r="G22" s="47"/>
      <c r="H22" s="47"/>
      <c r="I22" s="47"/>
      <c r="J22" s="47"/>
      <c r="K22" s="3"/>
      <c r="M22" s="2"/>
    </row>
    <row r="23" spans="1:13" ht="28.8" customHeight="1" x14ac:dyDescent="0.3">
      <c r="A23" s="2"/>
      <c r="B23" s="2"/>
      <c r="C23" s="49" t="s">
        <v>1</v>
      </c>
      <c r="D23" s="47"/>
      <c r="E23" s="47"/>
      <c r="F23" s="47"/>
      <c r="G23" s="47"/>
      <c r="H23" s="47"/>
      <c r="I23" s="47"/>
      <c r="J23" s="47"/>
      <c r="K23" s="47"/>
      <c r="L23" s="2"/>
      <c r="M23" s="2"/>
    </row>
    <row r="24" spans="1:13" ht="25.8" customHeight="1" x14ac:dyDescent="0.3">
      <c r="A24" s="2"/>
      <c r="B24" s="2"/>
      <c r="C24" s="3"/>
      <c r="D24" s="50"/>
      <c r="E24" s="47"/>
      <c r="F24" s="47"/>
      <c r="G24" s="47"/>
      <c r="H24" s="47"/>
      <c r="I24" s="47"/>
      <c r="J24" s="47"/>
      <c r="K24" s="3"/>
      <c r="L24" s="2"/>
      <c r="M24" s="2"/>
    </row>
    <row r="25" spans="1:13" ht="25.8" customHeight="1" x14ac:dyDescent="0.5">
      <c r="A25" s="4"/>
      <c r="B25" s="5"/>
      <c r="C25" s="5"/>
      <c r="D25" s="6"/>
      <c r="E25" s="7"/>
      <c r="F25" s="7"/>
      <c r="G25" s="7"/>
      <c r="H25" s="7"/>
      <c r="I25" s="7"/>
      <c r="J25" s="8"/>
      <c r="K25" s="9"/>
      <c r="L25" s="4"/>
      <c r="M25" s="4"/>
    </row>
    <row r="26" spans="1:13" ht="25.8" customHeight="1" x14ac:dyDescent="0.5">
      <c r="A26" s="4"/>
      <c r="B26" s="5"/>
      <c r="C26" s="10" t="s">
        <v>2</v>
      </c>
      <c r="D26" s="5"/>
      <c r="E26" s="5"/>
      <c r="F26" s="1"/>
      <c r="G26" s="5"/>
      <c r="H26" s="5"/>
      <c r="I26" s="5"/>
      <c r="J26" s="5"/>
      <c r="K26" s="9"/>
      <c r="L26" s="4"/>
      <c r="M26" s="4"/>
    </row>
    <row r="27" spans="1:13" ht="25.8" customHeight="1" x14ac:dyDescent="0.5">
      <c r="A27" s="4"/>
      <c r="B27" s="5"/>
      <c r="C27" s="10" t="s">
        <v>3</v>
      </c>
      <c r="D27" s="5"/>
      <c r="E27" s="5"/>
      <c r="F27" s="1"/>
      <c r="G27" s="5"/>
      <c r="H27" s="5"/>
      <c r="I27" s="5"/>
      <c r="J27" s="5"/>
      <c r="K27" s="9"/>
      <c r="L27" s="4"/>
      <c r="M27" s="4"/>
    </row>
    <row r="28" spans="1:13" ht="25.8" customHeight="1" x14ac:dyDescent="0.5">
      <c r="A28" s="1"/>
      <c r="B28" s="11"/>
      <c r="C28" s="10" t="s">
        <v>4</v>
      </c>
      <c r="D28" s="5"/>
      <c r="E28" s="5"/>
      <c r="F28" s="1"/>
      <c r="G28" s="11"/>
      <c r="H28" s="11"/>
      <c r="I28" s="11"/>
      <c r="J28" s="11"/>
      <c r="K28" s="12"/>
      <c r="L28" s="1"/>
      <c r="M28" s="1"/>
    </row>
    <row r="29" spans="1:13" ht="25.8" customHeight="1" x14ac:dyDescent="0.5">
      <c r="A29" s="1"/>
      <c r="B29" s="11"/>
      <c r="C29" s="13" t="str">
        <f>"PRODUCTO OFERTADO: "&amp;D24</f>
        <v xml:space="preserve">PRODUCTO OFERTADO: </v>
      </c>
      <c r="D29" s="5"/>
      <c r="E29" s="5"/>
      <c r="F29" s="1"/>
      <c r="G29" s="11"/>
      <c r="H29" s="11"/>
      <c r="I29" s="11"/>
      <c r="J29" s="11"/>
      <c r="K29" s="12"/>
      <c r="L29" s="1"/>
      <c r="M29" s="1"/>
    </row>
    <row r="30" spans="1:13" ht="25.8" customHeight="1" x14ac:dyDescent="0.5">
      <c r="A30" s="1"/>
      <c r="B30" s="11"/>
      <c r="C30" s="13"/>
      <c r="D30" s="5"/>
      <c r="E30" s="5"/>
      <c r="F30" s="1"/>
      <c r="G30" s="11"/>
      <c r="H30" s="11"/>
      <c r="I30" s="11"/>
      <c r="J30" s="11"/>
      <c r="K30" s="12"/>
      <c r="L30" s="1"/>
      <c r="M30" s="1"/>
    </row>
    <row r="31" spans="1:13" ht="25.8" customHeight="1" x14ac:dyDescent="0.5">
      <c r="A31" s="1"/>
      <c r="B31" s="11"/>
      <c r="C31" s="14" t="s">
        <v>75</v>
      </c>
      <c r="D31" s="15"/>
      <c r="E31" s="15"/>
      <c r="F31" s="16"/>
      <c r="G31" s="11"/>
      <c r="H31" s="11"/>
      <c r="I31" s="11"/>
      <c r="J31" s="11"/>
      <c r="K31" s="12"/>
      <c r="L31" s="1"/>
      <c r="M31" s="1"/>
    </row>
    <row r="32" spans="1:13" ht="25.8" customHeight="1" x14ac:dyDescent="0.5">
      <c r="A32" s="1"/>
      <c r="B32" s="17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5.8" customHeight="1" x14ac:dyDescent="0.5">
      <c r="A33" s="1"/>
      <c r="B33" s="1"/>
      <c r="C33" s="1"/>
      <c r="D33" s="1"/>
      <c r="E33" s="1"/>
      <c r="F33" s="51" t="s">
        <v>74</v>
      </c>
      <c r="G33" s="52"/>
      <c r="H33" s="52"/>
      <c r="I33" s="52"/>
      <c r="J33" s="53"/>
      <c r="K33" s="1"/>
      <c r="L33" s="1"/>
      <c r="M33" s="1"/>
    </row>
    <row r="34" spans="1:13" ht="27.6" customHeight="1" x14ac:dyDescent="0.5">
      <c r="A34" s="1"/>
      <c r="B34" s="1"/>
      <c r="C34" s="1"/>
      <c r="D34" s="1"/>
      <c r="E34" s="1"/>
      <c r="F34" s="43" t="s">
        <v>6</v>
      </c>
      <c r="G34" s="43" t="s">
        <v>7</v>
      </c>
      <c r="H34" s="43" t="s">
        <v>8</v>
      </c>
      <c r="I34" s="43" t="s">
        <v>9</v>
      </c>
      <c r="J34" s="43" t="s">
        <v>10</v>
      </c>
      <c r="K34" s="1"/>
      <c r="L34" s="1"/>
      <c r="M34" s="1"/>
    </row>
    <row r="35" spans="1:13" ht="25.8" customHeight="1" x14ac:dyDescent="0.5">
      <c r="A35" s="1"/>
      <c r="B35" s="1"/>
      <c r="C35" s="1"/>
      <c r="D35" s="1"/>
      <c r="E35" s="1"/>
      <c r="F35" s="21">
        <v>47849</v>
      </c>
      <c r="G35" s="37">
        <v>1164.1687388571429</v>
      </c>
      <c r="H35" s="18"/>
      <c r="I35" s="18"/>
      <c r="J35" s="34"/>
      <c r="K35" s="1"/>
      <c r="L35" s="1"/>
      <c r="M35" s="1"/>
    </row>
    <row r="36" spans="1:13" ht="25.8" customHeight="1" x14ac:dyDescent="0.5">
      <c r="A36" s="1"/>
      <c r="B36" s="1"/>
      <c r="C36" s="1"/>
      <c r="D36" s="1"/>
      <c r="E36" s="1"/>
      <c r="F36" s="21">
        <v>47880</v>
      </c>
      <c r="G36" s="37">
        <v>1051.5072479999999</v>
      </c>
      <c r="H36" s="18"/>
      <c r="I36" s="18"/>
      <c r="J36" s="34"/>
      <c r="K36" s="1"/>
      <c r="L36" s="1"/>
      <c r="M36" s="1"/>
    </row>
    <row r="37" spans="1:13" ht="25.8" customHeight="1" x14ac:dyDescent="0.5">
      <c r="A37" s="1"/>
      <c r="B37" s="1"/>
      <c r="C37" s="1"/>
      <c r="D37" s="1"/>
      <c r="E37" s="1"/>
      <c r="F37" s="21">
        <v>47908</v>
      </c>
      <c r="G37" s="37">
        <v>1164.1687388571429</v>
      </c>
      <c r="H37" s="18"/>
      <c r="I37" s="18"/>
      <c r="J37" s="34"/>
      <c r="K37" s="1"/>
      <c r="L37" s="1"/>
      <c r="M37" s="1"/>
    </row>
    <row r="38" spans="1:13" ht="25.8" customHeight="1" x14ac:dyDescent="0.5">
      <c r="A38" s="1"/>
      <c r="B38" s="1"/>
      <c r="C38" s="1"/>
      <c r="D38" s="1"/>
      <c r="E38" s="1"/>
      <c r="F38" s="21">
        <v>47939</v>
      </c>
      <c r="G38" s="37">
        <v>1126.6149085714289</v>
      </c>
      <c r="H38" s="18"/>
      <c r="I38" s="18"/>
      <c r="J38" s="34"/>
      <c r="K38" s="1"/>
      <c r="L38" s="1"/>
      <c r="M38" s="1"/>
    </row>
    <row r="39" spans="1:13" ht="25.8" customHeight="1" x14ac:dyDescent="0.5">
      <c r="A39" s="1"/>
      <c r="B39" s="1"/>
      <c r="C39" s="1"/>
      <c r="D39" s="1"/>
      <c r="E39" s="1"/>
      <c r="F39" s="21">
        <v>47969</v>
      </c>
      <c r="G39" s="37">
        <v>1164.1687388571429</v>
      </c>
      <c r="H39" s="18"/>
      <c r="I39" s="18"/>
      <c r="J39" s="34"/>
      <c r="K39" s="1"/>
      <c r="L39" s="1"/>
      <c r="M39" s="1"/>
    </row>
    <row r="40" spans="1:13" ht="25.8" customHeight="1" x14ac:dyDescent="0.5">
      <c r="A40" s="1"/>
      <c r="B40" s="1"/>
      <c r="C40" s="1"/>
      <c r="D40" s="1"/>
      <c r="E40" s="1"/>
      <c r="F40" s="21">
        <v>48000</v>
      </c>
      <c r="G40" s="37">
        <v>1126.6149085714289</v>
      </c>
      <c r="H40" s="18"/>
      <c r="I40" s="18"/>
      <c r="J40" s="34"/>
      <c r="K40" s="1"/>
      <c r="L40" s="1"/>
      <c r="M40" s="1"/>
    </row>
    <row r="41" spans="1:13" ht="25.8" customHeight="1" x14ac:dyDescent="0.5">
      <c r="A41" s="19"/>
      <c r="B41" s="20">
        <v>31</v>
      </c>
      <c r="C41" s="1"/>
      <c r="D41" s="1"/>
      <c r="E41" s="1"/>
      <c r="F41" s="21">
        <v>48030</v>
      </c>
      <c r="G41" s="38">
        <v>1164.1687388571429</v>
      </c>
      <c r="H41" s="23"/>
      <c r="I41" s="22"/>
      <c r="J41" s="54"/>
      <c r="K41" s="1"/>
      <c r="L41" s="24"/>
      <c r="M41" s="24"/>
    </row>
    <row r="42" spans="1:13" ht="25.8" customHeight="1" x14ac:dyDescent="0.5">
      <c r="A42" s="19"/>
      <c r="B42" s="20">
        <v>31</v>
      </c>
      <c r="C42" s="1"/>
      <c r="D42" s="1"/>
      <c r="E42" s="1"/>
      <c r="F42" s="21">
        <v>48061</v>
      </c>
      <c r="G42" s="38">
        <v>1164.1687388571429</v>
      </c>
      <c r="H42" s="23"/>
      <c r="I42" s="22"/>
      <c r="J42" s="55"/>
      <c r="K42" s="1"/>
      <c r="L42" s="24"/>
      <c r="M42" s="24"/>
    </row>
    <row r="43" spans="1:13" ht="25.8" customHeight="1" x14ac:dyDescent="0.5">
      <c r="A43" s="25"/>
      <c r="B43" s="20">
        <v>30</v>
      </c>
      <c r="C43" s="1"/>
      <c r="D43" s="1"/>
      <c r="E43" s="1"/>
      <c r="F43" s="21">
        <v>48092</v>
      </c>
      <c r="G43" s="38">
        <v>1126.6149085714289</v>
      </c>
      <c r="H43" s="23"/>
      <c r="I43" s="22"/>
      <c r="J43" s="55"/>
      <c r="K43" s="1"/>
      <c r="L43" s="24"/>
      <c r="M43" s="24"/>
    </row>
    <row r="44" spans="1:13" ht="25.8" customHeight="1" x14ac:dyDescent="0.5">
      <c r="A44" s="25"/>
      <c r="B44" s="20">
        <v>31</v>
      </c>
      <c r="C44" s="1"/>
      <c r="D44" s="1"/>
      <c r="E44" s="1"/>
      <c r="F44" s="21">
        <v>48122</v>
      </c>
      <c r="G44" s="38">
        <v>1164.1687388571429</v>
      </c>
      <c r="H44" s="23"/>
      <c r="I44" s="22"/>
      <c r="J44" s="55"/>
      <c r="K44" s="1"/>
      <c r="L44" s="24"/>
      <c r="M44" s="24"/>
    </row>
    <row r="45" spans="1:13" ht="25.8" customHeight="1" x14ac:dyDescent="0.5">
      <c r="A45" s="19"/>
      <c r="B45" s="20">
        <v>30</v>
      </c>
      <c r="C45" s="1"/>
      <c r="D45" s="1"/>
      <c r="E45" s="1"/>
      <c r="F45" s="21">
        <v>48153</v>
      </c>
      <c r="G45" s="38">
        <v>1126.6149085714289</v>
      </c>
      <c r="H45" s="23"/>
      <c r="I45" s="22"/>
      <c r="J45" s="55"/>
      <c r="K45" s="1"/>
      <c r="L45" s="24"/>
      <c r="M45" s="24"/>
    </row>
    <row r="46" spans="1:13" ht="25.8" customHeight="1" x14ac:dyDescent="0.5">
      <c r="A46" s="19"/>
      <c r="B46" s="20">
        <v>31</v>
      </c>
      <c r="C46" s="1"/>
      <c r="D46" s="1"/>
      <c r="E46" s="1"/>
      <c r="F46" s="21">
        <v>48183</v>
      </c>
      <c r="G46" s="38">
        <v>1164.1687388571429</v>
      </c>
      <c r="H46" s="23"/>
      <c r="I46" s="22"/>
      <c r="J46" s="56"/>
      <c r="K46" s="1"/>
      <c r="L46" s="24"/>
      <c r="M46" s="24"/>
    </row>
    <row r="47" spans="1:13" ht="25.8" customHeight="1" x14ac:dyDescent="0.5">
      <c r="A47" s="1"/>
      <c r="B47" s="1"/>
      <c r="C47" s="1"/>
      <c r="D47" s="1"/>
      <c r="E47" s="1"/>
      <c r="F47" s="26" t="s">
        <v>11</v>
      </c>
      <c r="G47" s="27">
        <f>SUM(G35:G46)</f>
        <v>13707.148054285715</v>
      </c>
      <c r="H47" s="23">
        <f>I47/G47</f>
        <v>1</v>
      </c>
      <c r="I47" s="27">
        <f>G47</f>
        <v>13707.148054285715</v>
      </c>
      <c r="J47" s="28"/>
      <c r="K47" s="1"/>
      <c r="L47" s="1"/>
      <c r="M47" s="1"/>
    </row>
    <row r="48" spans="1:13" ht="25.8" customHeight="1" x14ac:dyDescent="0.5">
      <c r="A48" s="1"/>
      <c r="B48" s="1"/>
      <c r="C48" s="1"/>
      <c r="D48" s="1"/>
      <c r="E48" s="1"/>
      <c r="F48" s="29"/>
      <c r="G48" s="30"/>
      <c r="H48" s="1"/>
      <c r="I48" s="1"/>
      <c r="J48" s="1"/>
      <c r="K48" s="1"/>
      <c r="L48" s="1"/>
      <c r="M48" s="1"/>
    </row>
    <row r="49" spans="1:13" ht="25.8" customHeight="1" x14ac:dyDescent="0.5">
      <c r="A49" s="1"/>
      <c r="B49" s="31" t="s">
        <v>12</v>
      </c>
      <c r="C49" s="32"/>
      <c r="D49" s="32"/>
      <c r="E49" s="32"/>
      <c r="F49" s="32"/>
      <c r="G49" s="32"/>
      <c r="H49" s="1"/>
      <c r="I49" s="1"/>
      <c r="J49" s="1"/>
      <c r="K49" s="1"/>
      <c r="L49" s="32"/>
      <c r="M49" s="1"/>
    </row>
    <row r="50" spans="1:13" ht="25.8" customHeight="1" x14ac:dyDescent="0.5">
      <c r="A50" s="1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1"/>
    </row>
    <row r="51" spans="1:13" ht="25.8" customHeight="1" x14ac:dyDescent="0.5">
      <c r="A51" s="1"/>
      <c r="B51" s="48" t="s">
        <v>13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1"/>
    </row>
    <row r="52" spans="1:13" ht="25.8" customHeight="1" x14ac:dyDescent="0.5">
      <c r="A52" s="1"/>
      <c r="B52" s="48" t="s">
        <v>14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1"/>
    </row>
    <row r="53" spans="1:13" ht="25.8" customHeight="1" x14ac:dyDescent="0.5">
      <c r="A53" s="1"/>
      <c r="B53" s="44" t="s">
        <v>15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1"/>
    </row>
    <row r="54" spans="1:13" ht="42" customHeight="1" x14ac:dyDescent="0.5">
      <c r="A54" s="1"/>
      <c r="B54" s="57" t="s">
        <v>16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1"/>
    </row>
    <row r="55" spans="1:13" ht="25.8" customHeight="1" x14ac:dyDescent="0.5">
      <c r="A55" s="16"/>
      <c r="B55" s="44" t="s">
        <v>72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1"/>
    </row>
    <row r="56" spans="1:13" ht="25.8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5.8" customHeight="1" x14ac:dyDescent="0.5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1"/>
    </row>
  </sheetData>
  <mergeCells count="10">
    <mergeCell ref="B53:L53"/>
    <mergeCell ref="D22:J22"/>
    <mergeCell ref="B52:L52"/>
    <mergeCell ref="B54:L54"/>
    <mergeCell ref="B55:L55"/>
    <mergeCell ref="B51:L51"/>
    <mergeCell ref="C23:K23"/>
    <mergeCell ref="D24:J24"/>
    <mergeCell ref="F33:J33"/>
    <mergeCell ref="J41:J46"/>
  </mergeCells>
  <pageMargins left="0.7" right="0.7" top="0.75" bottom="0.75" header="0.3" footer="0.3"/>
  <pageSetup paperSize="9" scale="3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I60"/>
  <sheetViews>
    <sheetView workbookViewId="0">
      <pane ySplit="1" topLeftCell="A7" activePane="bottomLeft" state="frozen"/>
      <selection activeCell="C23" sqref="C23:K23"/>
      <selection pane="bottomLeft" activeCell="B27" sqref="B27:B30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20" customWidth="1"/>
    <col min="4" max="4" width="12" customWidth="1"/>
    <col min="5" max="8" width="8" customWidth="1"/>
    <col min="9" max="9" width="9" customWidth="1"/>
    <col min="10" max="33" width="11" customWidth="1"/>
    <col min="34" max="34" width="15" customWidth="1"/>
    <col min="35" max="35" width="19" customWidth="1"/>
  </cols>
  <sheetData>
    <row r="1" spans="1:35" ht="27.6" customHeight="1" x14ac:dyDescent="0.3">
      <c r="A1" s="43" t="s">
        <v>18</v>
      </c>
      <c r="B1" s="43" t="s">
        <v>19</v>
      </c>
      <c r="C1" s="43" t="s">
        <v>20</v>
      </c>
      <c r="D1" s="43" t="s">
        <v>21</v>
      </c>
      <c r="E1" s="43" t="s">
        <v>22</v>
      </c>
      <c r="F1" s="43" t="s">
        <v>23</v>
      </c>
      <c r="G1" s="43" t="s">
        <v>24</v>
      </c>
      <c r="H1" s="43" t="s">
        <v>25</v>
      </c>
      <c r="I1" s="43" t="s">
        <v>26</v>
      </c>
      <c r="J1" s="43" t="s">
        <v>27</v>
      </c>
      <c r="K1" s="43" t="s">
        <v>28</v>
      </c>
      <c r="L1" s="43" t="s">
        <v>29</v>
      </c>
      <c r="M1" s="43" t="s">
        <v>30</v>
      </c>
      <c r="N1" s="43" t="s">
        <v>31</v>
      </c>
      <c r="O1" s="43" t="s">
        <v>32</v>
      </c>
      <c r="P1" s="43" t="s">
        <v>33</v>
      </c>
      <c r="Q1" s="43" t="s">
        <v>34</v>
      </c>
      <c r="R1" s="43" t="s">
        <v>35</v>
      </c>
      <c r="S1" s="43" t="s">
        <v>36</v>
      </c>
      <c r="T1" s="43" t="s">
        <v>37</v>
      </c>
      <c r="U1" s="43" t="s">
        <v>38</v>
      </c>
      <c r="V1" s="43" t="s">
        <v>39</v>
      </c>
      <c r="W1" s="43" t="s">
        <v>40</v>
      </c>
      <c r="X1" s="43" t="s">
        <v>41</v>
      </c>
      <c r="Y1" s="43" t="s">
        <v>42</v>
      </c>
      <c r="Z1" s="43" t="s">
        <v>43</v>
      </c>
      <c r="AA1" s="43" t="s">
        <v>44</v>
      </c>
      <c r="AB1" s="43" t="s">
        <v>45</v>
      </c>
      <c r="AC1" s="43" t="s">
        <v>46</v>
      </c>
      <c r="AD1" s="43" t="s">
        <v>47</v>
      </c>
      <c r="AE1" s="43" t="s">
        <v>48</v>
      </c>
      <c r="AF1" s="43" t="s">
        <v>49</v>
      </c>
      <c r="AG1" s="43" t="s">
        <v>50</v>
      </c>
      <c r="AH1" s="43" t="s">
        <v>51</v>
      </c>
      <c r="AI1" s="43" t="s">
        <v>52</v>
      </c>
    </row>
    <row r="2" spans="1:35" x14ac:dyDescent="0.3">
      <c r="A2" s="40">
        <v>2031</v>
      </c>
      <c r="B2" s="40" t="s">
        <v>53</v>
      </c>
      <c r="C2" s="41" t="s">
        <v>54</v>
      </c>
      <c r="D2" s="41" t="s">
        <v>55</v>
      </c>
      <c r="E2" s="40">
        <v>21</v>
      </c>
      <c r="F2" s="40">
        <v>4</v>
      </c>
      <c r="G2" s="40">
        <v>4</v>
      </c>
      <c r="H2" s="40">
        <v>2</v>
      </c>
      <c r="I2" s="40">
        <v>31</v>
      </c>
      <c r="J2" s="39">
        <v>1564.742928571429</v>
      </c>
      <c r="K2" s="39">
        <v>1564.742928571429</v>
      </c>
      <c r="L2" s="39">
        <v>1564.742928571429</v>
      </c>
      <c r="M2" s="39">
        <v>1564.742928571429</v>
      </c>
      <c r="N2" s="39">
        <v>1564.742928571429</v>
      </c>
      <c r="O2" s="39">
        <v>1564.742928571429</v>
      </c>
      <c r="P2" s="39">
        <v>1564.742928571429</v>
      </c>
      <c r="Q2" s="39">
        <v>1564.742928571429</v>
      </c>
      <c r="R2" s="39">
        <v>1564.742928571429</v>
      </c>
      <c r="S2" s="39">
        <v>1564.742928571429</v>
      </c>
      <c r="T2" s="39">
        <v>1564.742928571429</v>
      </c>
      <c r="U2" s="39">
        <v>1564.742928571429</v>
      </c>
      <c r="V2" s="39">
        <v>1564.742928571429</v>
      </c>
      <c r="W2" s="39">
        <v>1564.742928571429</v>
      </c>
      <c r="X2" s="39">
        <v>1564.742928571429</v>
      </c>
      <c r="Y2" s="39">
        <v>1564.742928571429</v>
      </c>
      <c r="Z2" s="39">
        <v>1564.742928571429</v>
      </c>
      <c r="AA2" s="39">
        <v>1564.742928571429</v>
      </c>
      <c r="AB2" s="39">
        <v>1564.742928571429</v>
      </c>
      <c r="AC2" s="39">
        <v>1564.742928571429</v>
      </c>
      <c r="AD2" s="39">
        <v>1564.742928571429</v>
      </c>
      <c r="AE2" s="39">
        <v>1564.742928571429</v>
      </c>
      <c r="AF2" s="39">
        <v>1564.742928571429</v>
      </c>
      <c r="AG2" s="39">
        <v>1564.742928571429</v>
      </c>
      <c r="AH2" s="39">
        <v>37553.830285714299</v>
      </c>
      <c r="AI2" s="39">
        <v>788630.43600000022</v>
      </c>
    </row>
    <row r="3" spans="1:35" x14ac:dyDescent="0.3">
      <c r="A3" s="40">
        <v>2031</v>
      </c>
      <c r="B3" s="40" t="s">
        <v>53</v>
      </c>
      <c r="C3" s="41" t="s">
        <v>54</v>
      </c>
      <c r="D3" s="41" t="s">
        <v>56</v>
      </c>
      <c r="E3" s="40">
        <v>21</v>
      </c>
      <c r="F3" s="40">
        <v>4</v>
      </c>
      <c r="G3" s="40">
        <v>4</v>
      </c>
      <c r="H3" s="40">
        <v>2</v>
      </c>
      <c r="I3" s="40">
        <v>31</v>
      </c>
      <c r="J3" s="39">
        <v>1564.742928571429</v>
      </c>
      <c r="K3" s="39">
        <v>1564.742928571429</v>
      </c>
      <c r="L3" s="39">
        <v>1564.742928571429</v>
      </c>
      <c r="M3" s="39">
        <v>1564.742928571429</v>
      </c>
      <c r="N3" s="39">
        <v>1564.742928571429</v>
      </c>
      <c r="O3" s="39">
        <v>1564.742928571429</v>
      </c>
      <c r="P3" s="39">
        <v>1564.742928571429</v>
      </c>
      <c r="Q3" s="39">
        <v>1564.742928571429</v>
      </c>
      <c r="R3" s="39">
        <v>1564.742928571429</v>
      </c>
      <c r="S3" s="39">
        <v>1564.742928571429</v>
      </c>
      <c r="T3" s="39">
        <v>1564.742928571429</v>
      </c>
      <c r="U3" s="39">
        <v>1564.742928571429</v>
      </c>
      <c r="V3" s="39">
        <v>1564.742928571429</v>
      </c>
      <c r="W3" s="39">
        <v>1564.742928571429</v>
      </c>
      <c r="X3" s="39">
        <v>1564.742928571429</v>
      </c>
      <c r="Y3" s="39">
        <v>1564.742928571429</v>
      </c>
      <c r="Z3" s="39">
        <v>1564.742928571429</v>
      </c>
      <c r="AA3" s="39">
        <v>1564.742928571429</v>
      </c>
      <c r="AB3" s="39">
        <v>1564.742928571429</v>
      </c>
      <c r="AC3" s="39">
        <v>1564.742928571429</v>
      </c>
      <c r="AD3" s="39">
        <v>1564.742928571429</v>
      </c>
      <c r="AE3" s="39">
        <v>1564.742928571429</v>
      </c>
      <c r="AF3" s="39">
        <v>1564.742928571429</v>
      </c>
      <c r="AG3" s="39">
        <v>1564.742928571429</v>
      </c>
      <c r="AH3" s="39">
        <v>37553.830285714299</v>
      </c>
      <c r="AI3" s="39">
        <v>150215.3211428572</v>
      </c>
    </row>
    <row r="4" spans="1:35" x14ac:dyDescent="0.3">
      <c r="A4" s="40">
        <v>2031</v>
      </c>
      <c r="B4" s="40" t="s">
        <v>53</v>
      </c>
      <c r="C4" s="41" t="s">
        <v>54</v>
      </c>
      <c r="D4" s="41" t="s">
        <v>57</v>
      </c>
      <c r="E4" s="40">
        <v>21</v>
      </c>
      <c r="F4" s="40">
        <v>4</v>
      </c>
      <c r="G4" s="40">
        <v>4</v>
      </c>
      <c r="H4" s="40">
        <v>2</v>
      </c>
      <c r="I4" s="40">
        <v>31</v>
      </c>
      <c r="J4" s="39">
        <v>1564.742928571429</v>
      </c>
      <c r="K4" s="39">
        <v>1564.742928571429</v>
      </c>
      <c r="L4" s="39">
        <v>1564.742928571429</v>
      </c>
      <c r="M4" s="39">
        <v>1564.742928571429</v>
      </c>
      <c r="N4" s="39">
        <v>1564.742928571429</v>
      </c>
      <c r="O4" s="39">
        <v>1564.742928571429</v>
      </c>
      <c r="P4" s="39">
        <v>1564.742928571429</v>
      </c>
      <c r="Q4" s="39">
        <v>1564.742928571429</v>
      </c>
      <c r="R4" s="39">
        <v>1564.742928571429</v>
      </c>
      <c r="S4" s="39">
        <v>1564.742928571429</v>
      </c>
      <c r="T4" s="39">
        <v>1564.742928571429</v>
      </c>
      <c r="U4" s="39">
        <v>1564.742928571429</v>
      </c>
      <c r="V4" s="39">
        <v>1564.742928571429</v>
      </c>
      <c r="W4" s="39">
        <v>1564.742928571429</v>
      </c>
      <c r="X4" s="39">
        <v>1564.742928571429</v>
      </c>
      <c r="Y4" s="39">
        <v>1564.742928571429</v>
      </c>
      <c r="Z4" s="39">
        <v>1564.742928571429</v>
      </c>
      <c r="AA4" s="39">
        <v>1564.742928571429</v>
      </c>
      <c r="AB4" s="39">
        <v>1564.742928571429</v>
      </c>
      <c r="AC4" s="39">
        <v>1564.742928571429</v>
      </c>
      <c r="AD4" s="39">
        <v>1564.742928571429</v>
      </c>
      <c r="AE4" s="39">
        <v>1564.742928571429</v>
      </c>
      <c r="AF4" s="39">
        <v>1564.742928571429</v>
      </c>
      <c r="AG4" s="39">
        <v>1564.742928571429</v>
      </c>
      <c r="AH4" s="39">
        <v>37553.830285714299</v>
      </c>
      <c r="AI4" s="39">
        <v>150215.3211428572</v>
      </c>
    </row>
    <row r="5" spans="1:35" x14ac:dyDescent="0.3">
      <c r="A5" s="40">
        <v>2031</v>
      </c>
      <c r="B5" s="40" t="s">
        <v>53</v>
      </c>
      <c r="C5" s="41" t="s">
        <v>54</v>
      </c>
      <c r="D5" s="41" t="s">
        <v>58</v>
      </c>
      <c r="E5" s="40">
        <v>21</v>
      </c>
      <c r="F5" s="40">
        <v>4</v>
      </c>
      <c r="G5" s="40">
        <v>4</v>
      </c>
      <c r="H5" s="40">
        <v>2</v>
      </c>
      <c r="I5" s="40">
        <v>31</v>
      </c>
      <c r="J5" s="39">
        <v>1564.742928571429</v>
      </c>
      <c r="K5" s="39">
        <v>1564.742928571429</v>
      </c>
      <c r="L5" s="39">
        <v>1564.742928571429</v>
      </c>
      <c r="M5" s="39">
        <v>1564.742928571429</v>
      </c>
      <c r="N5" s="39">
        <v>1564.742928571429</v>
      </c>
      <c r="O5" s="39">
        <v>1564.742928571429</v>
      </c>
      <c r="P5" s="39">
        <v>1564.742928571429</v>
      </c>
      <c r="Q5" s="39">
        <v>1564.742928571429</v>
      </c>
      <c r="R5" s="39">
        <v>1564.742928571429</v>
      </c>
      <c r="S5" s="39">
        <v>1564.742928571429</v>
      </c>
      <c r="T5" s="39">
        <v>1564.742928571429</v>
      </c>
      <c r="U5" s="39">
        <v>1564.742928571429</v>
      </c>
      <c r="V5" s="39">
        <v>1564.742928571429</v>
      </c>
      <c r="W5" s="39">
        <v>1564.742928571429</v>
      </c>
      <c r="X5" s="39">
        <v>1564.742928571429</v>
      </c>
      <c r="Y5" s="39">
        <v>1564.742928571429</v>
      </c>
      <c r="Z5" s="39">
        <v>1564.742928571429</v>
      </c>
      <c r="AA5" s="39">
        <v>1564.742928571429</v>
      </c>
      <c r="AB5" s="39">
        <v>1564.742928571429</v>
      </c>
      <c r="AC5" s="39">
        <v>1564.742928571429</v>
      </c>
      <c r="AD5" s="39">
        <v>1564.742928571429</v>
      </c>
      <c r="AE5" s="39">
        <v>1564.742928571429</v>
      </c>
      <c r="AF5" s="39">
        <v>1564.742928571429</v>
      </c>
      <c r="AG5" s="39">
        <v>1564.742928571429</v>
      </c>
      <c r="AH5" s="39">
        <v>37553.830285714299</v>
      </c>
      <c r="AI5" s="39">
        <v>75107.660571428598</v>
      </c>
    </row>
    <row r="6" spans="1:35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</row>
    <row r="7" spans="1:35" x14ac:dyDescent="0.3">
      <c r="A7" s="40">
        <v>2031</v>
      </c>
      <c r="B7" s="40" t="s">
        <v>59</v>
      </c>
      <c r="C7" s="41" t="s">
        <v>54</v>
      </c>
      <c r="D7" s="41" t="s">
        <v>55</v>
      </c>
      <c r="E7" s="40">
        <v>20</v>
      </c>
      <c r="F7" s="40">
        <v>4</v>
      </c>
      <c r="G7" s="40">
        <v>4</v>
      </c>
      <c r="H7" s="40">
        <v>0</v>
      </c>
      <c r="I7" s="40">
        <v>28</v>
      </c>
      <c r="J7" s="39">
        <v>1564.742928571429</v>
      </c>
      <c r="K7" s="39">
        <v>1564.742928571429</v>
      </c>
      <c r="L7" s="39">
        <v>1564.742928571429</v>
      </c>
      <c r="M7" s="39">
        <v>1564.742928571429</v>
      </c>
      <c r="N7" s="39">
        <v>1564.742928571429</v>
      </c>
      <c r="O7" s="39">
        <v>1564.742928571429</v>
      </c>
      <c r="P7" s="39">
        <v>1564.742928571429</v>
      </c>
      <c r="Q7" s="39">
        <v>1564.742928571429</v>
      </c>
      <c r="R7" s="39">
        <v>1564.742928571429</v>
      </c>
      <c r="S7" s="39">
        <v>1564.742928571429</v>
      </c>
      <c r="T7" s="39">
        <v>1564.742928571429</v>
      </c>
      <c r="U7" s="39">
        <v>1564.742928571429</v>
      </c>
      <c r="V7" s="39">
        <v>1564.742928571429</v>
      </c>
      <c r="W7" s="39">
        <v>1564.742928571429</v>
      </c>
      <c r="X7" s="39">
        <v>1564.742928571429</v>
      </c>
      <c r="Y7" s="39">
        <v>1564.742928571429</v>
      </c>
      <c r="Z7" s="39">
        <v>1564.742928571429</v>
      </c>
      <c r="AA7" s="39">
        <v>1564.742928571429</v>
      </c>
      <c r="AB7" s="39">
        <v>1564.742928571429</v>
      </c>
      <c r="AC7" s="39">
        <v>1564.742928571429</v>
      </c>
      <c r="AD7" s="39">
        <v>1564.742928571429</v>
      </c>
      <c r="AE7" s="39">
        <v>1564.742928571429</v>
      </c>
      <c r="AF7" s="39">
        <v>1564.742928571429</v>
      </c>
      <c r="AG7" s="39">
        <v>1564.742928571429</v>
      </c>
      <c r="AH7" s="39">
        <v>37553.830285714299</v>
      </c>
      <c r="AI7" s="39">
        <v>751076.60571428598</v>
      </c>
    </row>
    <row r="8" spans="1:35" x14ac:dyDescent="0.3">
      <c r="A8" s="40">
        <v>2031</v>
      </c>
      <c r="B8" s="40" t="s">
        <v>59</v>
      </c>
      <c r="C8" s="41" t="s">
        <v>54</v>
      </c>
      <c r="D8" s="41" t="s">
        <v>56</v>
      </c>
      <c r="E8" s="40">
        <v>20</v>
      </c>
      <c r="F8" s="40">
        <v>4</v>
      </c>
      <c r="G8" s="40">
        <v>4</v>
      </c>
      <c r="H8" s="40">
        <v>0</v>
      </c>
      <c r="I8" s="40">
        <v>28</v>
      </c>
      <c r="J8" s="39">
        <v>1564.742928571429</v>
      </c>
      <c r="K8" s="39">
        <v>1564.742928571429</v>
      </c>
      <c r="L8" s="39">
        <v>1564.742928571429</v>
      </c>
      <c r="M8" s="39">
        <v>1564.742928571429</v>
      </c>
      <c r="N8" s="39">
        <v>1564.742928571429</v>
      </c>
      <c r="O8" s="39">
        <v>1564.742928571429</v>
      </c>
      <c r="P8" s="39">
        <v>1564.742928571429</v>
      </c>
      <c r="Q8" s="39">
        <v>1564.742928571429</v>
      </c>
      <c r="R8" s="39">
        <v>1564.742928571429</v>
      </c>
      <c r="S8" s="39">
        <v>1564.742928571429</v>
      </c>
      <c r="T8" s="39">
        <v>1564.742928571429</v>
      </c>
      <c r="U8" s="39">
        <v>1564.742928571429</v>
      </c>
      <c r="V8" s="39">
        <v>1564.742928571429</v>
      </c>
      <c r="W8" s="39">
        <v>1564.742928571429</v>
      </c>
      <c r="X8" s="39">
        <v>1564.742928571429</v>
      </c>
      <c r="Y8" s="39">
        <v>1564.742928571429</v>
      </c>
      <c r="Z8" s="39">
        <v>1564.742928571429</v>
      </c>
      <c r="AA8" s="39">
        <v>1564.742928571429</v>
      </c>
      <c r="AB8" s="39">
        <v>1564.742928571429</v>
      </c>
      <c r="AC8" s="39">
        <v>1564.742928571429</v>
      </c>
      <c r="AD8" s="39">
        <v>1564.742928571429</v>
      </c>
      <c r="AE8" s="39">
        <v>1564.742928571429</v>
      </c>
      <c r="AF8" s="39">
        <v>1564.742928571429</v>
      </c>
      <c r="AG8" s="39">
        <v>1564.742928571429</v>
      </c>
      <c r="AH8" s="39">
        <v>37553.830285714299</v>
      </c>
      <c r="AI8" s="39">
        <v>150215.3211428572</v>
      </c>
    </row>
    <row r="9" spans="1:35" x14ac:dyDescent="0.3">
      <c r="A9" s="40">
        <v>2031</v>
      </c>
      <c r="B9" s="40" t="s">
        <v>59</v>
      </c>
      <c r="C9" s="41" t="s">
        <v>54</v>
      </c>
      <c r="D9" s="41" t="s">
        <v>57</v>
      </c>
      <c r="E9" s="40">
        <v>20</v>
      </c>
      <c r="F9" s="40">
        <v>4</v>
      </c>
      <c r="G9" s="40">
        <v>4</v>
      </c>
      <c r="H9" s="40">
        <v>0</v>
      </c>
      <c r="I9" s="40">
        <v>28</v>
      </c>
      <c r="J9" s="39">
        <v>1564.742928571429</v>
      </c>
      <c r="K9" s="39">
        <v>1564.742928571429</v>
      </c>
      <c r="L9" s="39">
        <v>1564.742928571429</v>
      </c>
      <c r="M9" s="39">
        <v>1564.742928571429</v>
      </c>
      <c r="N9" s="39">
        <v>1564.742928571429</v>
      </c>
      <c r="O9" s="39">
        <v>1564.742928571429</v>
      </c>
      <c r="P9" s="39">
        <v>1564.742928571429</v>
      </c>
      <c r="Q9" s="39">
        <v>1564.742928571429</v>
      </c>
      <c r="R9" s="39">
        <v>1564.742928571429</v>
      </c>
      <c r="S9" s="39">
        <v>1564.742928571429</v>
      </c>
      <c r="T9" s="39">
        <v>1564.742928571429</v>
      </c>
      <c r="U9" s="39">
        <v>1564.742928571429</v>
      </c>
      <c r="V9" s="39">
        <v>1564.742928571429</v>
      </c>
      <c r="W9" s="39">
        <v>1564.742928571429</v>
      </c>
      <c r="X9" s="39">
        <v>1564.742928571429</v>
      </c>
      <c r="Y9" s="39">
        <v>1564.742928571429</v>
      </c>
      <c r="Z9" s="39">
        <v>1564.742928571429</v>
      </c>
      <c r="AA9" s="39">
        <v>1564.742928571429</v>
      </c>
      <c r="AB9" s="39">
        <v>1564.742928571429</v>
      </c>
      <c r="AC9" s="39">
        <v>1564.742928571429</v>
      </c>
      <c r="AD9" s="39">
        <v>1564.742928571429</v>
      </c>
      <c r="AE9" s="39">
        <v>1564.742928571429</v>
      </c>
      <c r="AF9" s="39">
        <v>1564.742928571429</v>
      </c>
      <c r="AG9" s="39">
        <v>1564.742928571429</v>
      </c>
      <c r="AH9" s="39">
        <v>37553.830285714299</v>
      </c>
      <c r="AI9" s="39">
        <v>150215.3211428572</v>
      </c>
    </row>
    <row r="10" spans="1:35" x14ac:dyDescent="0.3">
      <c r="A10" s="40">
        <v>2031</v>
      </c>
      <c r="B10" s="40" t="s">
        <v>59</v>
      </c>
      <c r="C10" s="41" t="s">
        <v>54</v>
      </c>
      <c r="D10" s="41" t="s">
        <v>58</v>
      </c>
      <c r="E10" s="40">
        <v>20</v>
      </c>
      <c r="F10" s="40">
        <v>4</v>
      </c>
      <c r="G10" s="40">
        <v>4</v>
      </c>
      <c r="H10" s="40">
        <v>0</v>
      </c>
      <c r="I10" s="40">
        <v>28</v>
      </c>
      <c r="J10" s="39">
        <v>1564.742928571429</v>
      </c>
      <c r="K10" s="39">
        <v>1564.742928571429</v>
      </c>
      <c r="L10" s="39">
        <v>1564.742928571429</v>
      </c>
      <c r="M10" s="39">
        <v>1564.742928571429</v>
      </c>
      <c r="N10" s="39">
        <v>1564.742928571429</v>
      </c>
      <c r="O10" s="39">
        <v>1564.742928571429</v>
      </c>
      <c r="P10" s="39">
        <v>1564.742928571429</v>
      </c>
      <c r="Q10" s="39">
        <v>1564.742928571429</v>
      </c>
      <c r="R10" s="39">
        <v>1564.742928571429</v>
      </c>
      <c r="S10" s="39">
        <v>1564.742928571429</v>
      </c>
      <c r="T10" s="39">
        <v>1564.742928571429</v>
      </c>
      <c r="U10" s="39">
        <v>1564.742928571429</v>
      </c>
      <c r="V10" s="39">
        <v>1564.742928571429</v>
      </c>
      <c r="W10" s="39">
        <v>1564.742928571429</v>
      </c>
      <c r="X10" s="39">
        <v>1564.742928571429</v>
      </c>
      <c r="Y10" s="39">
        <v>1564.742928571429</v>
      </c>
      <c r="Z10" s="39">
        <v>1564.742928571429</v>
      </c>
      <c r="AA10" s="39">
        <v>1564.742928571429</v>
      </c>
      <c r="AB10" s="39">
        <v>1564.742928571429</v>
      </c>
      <c r="AC10" s="39">
        <v>1564.742928571429</v>
      </c>
      <c r="AD10" s="39">
        <v>1564.742928571429</v>
      </c>
      <c r="AE10" s="39">
        <v>1564.742928571429</v>
      </c>
      <c r="AF10" s="39">
        <v>1564.742928571429</v>
      </c>
      <c r="AG10" s="39">
        <v>1564.742928571429</v>
      </c>
      <c r="AH10" s="39">
        <v>37553.830285714299</v>
      </c>
      <c r="AI10" s="39">
        <v>0</v>
      </c>
    </row>
    <row r="11" spans="1:35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r="12" spans="1:35" x14ac:dyDescent="0.3">
      <c r="A12" s="40">
        <v>2031</v>
      </c>
      <c r="B12" s="40" t="s">
        <v>60</v>
      </c>
      <c r="C12" s="41" t="s">
        <v>54</v>
      </c>
      <c r="D12" s="41" t="s">
        <v>55</v>
      </c>
      <c r="E12" s="40">
        <v>20</v>
      </c>
      <c r="F12" s="40">
        <v>5</v>
      </c>
      <c r="G12" s="40">
        <v>5</v>
      </c>
      <c r="H12" s="40">
        <v>1</v>
      </c>
      <c r="I12" s="40">
        <v>31</v>
      </c>
      <c r="J12" s="39">
        <v>1564.742928571429</v>
      </c>
      <c r="K12" s="39">
        <v>1564.742928571429</v>
      </c>
      <c r="L12" s="39">
        <v>1564.742928571429</v>
      </c>
      <c r="M12" s="39">
        <v>1564.742928571429</v>
      </c>
      <c r="N12" s="39">
        <v>1564.742928571429</v>
      </c>
      <c r="O12" s="39">
        <v>1564.742928571429</v>
      </c>
      <c r="P12" s="39">
        <v>1564.742928571429</v>
      </c>
      <c r="Q12" s="39">
        <v>1564.742928571429</v>
      </c>
      <c r="R12" s="39">
        <v>1564.742928571429</v>
      </c>
      <c r="S12" s="39">
        <v>1564.742928571429</v>
      </c>
      <c r="T12" s="39">
        <v>1564.742928571429</v>
      </c>
      <c r="U12" s="39">
        <v>1564.742928571429</v>
      </c>
      <c r="V12" s="39">
        <v>1564.742928571429</v>
      </c>
      <c r="W12" s="39">
        <v>1564.742928571429</v>
      </c>
      <c r="X12" s="39">
        <v>1564.742928571429</v>
      </c>
      <c r="Y12" s="39">
        <v>1564.742928571429</v>
      </c>
      <c r="Z12" s="39">
        <v>1564.742928571429</v>
      </c>
      <c r="AA12" s="39">
        <v>1564.742928571429</v>
      </c>
      <c r="AB12" s="39">
        <v>1564.742928571429</v>
      </c>
      <c r="AC12" s="39">
        <v>1564.742928571429</v>
      </c>
      <c r="AD12" s="39">
        <v>1564.742928571429</v>
      </c>
      <c r="AE12" s="39">
        <v>1564.742928571429</v>
      </c>
      <c r="AF12" s="39">
        <v>1564.742928571429</v>
      </c>
      <c r="AG12" s="39">
        <v>1564.742928571429</v>
      </c>
      <c r="AH12" s="39">
        <v>37553.830285714299</v>
      </c>
      <c r="AI12" s="39">
        <v>751076.60571428598</v>
      </c>
    </row>
    <row r="13" spans="1:35" x14ac:dyDescent="0.3">
      <c r="A13" s="40">
        <v>2031</v>
      </c>
      <c r="B13" s="40" t="s">
        <v>60</v>
      </c>
      <c r="C13" s="41" t="s">
        <v>54</v>
      </c>
      <c r="D13" s="41" t="s">
        <v>56</v>
      </c>
      <c r="E13" s="40">
        <v>20</v>
      </c>
      <c r="F13" s="40">
        <v>5</v>
      </c>
      <c r="G13" s="40">
        <v>5</v>
      </c>
      <c r="H13" s="40">
        <v>1</v>
      </c>
      <c r="I13" s="40">
        <v>31</v>
      </c>
      <c r="J13" s="39">
        <v>1564.742928571429</v>
      </c>
      <c r="K13" s="39">
        <v>1564.742928571429</v>
      </c>
      <c r="L13" s="39">
        <v>1564.742928571429</v>
      </c>
      <c r="M13" s="39">
        <v>1564.742928571429</v>
      </c>
      <c r="N13" s="39">
        <v>1564.742928571429</v>
      </c>
      <c r="O13" s="39">
        <v>1564.742928571429</v>
      </c>
      <c r="P13" s="39">
        <v>1564.742928571429</v>
      </c>
      <c r="Q13" s="39">
        <v>1564.742928571429</v>
      </c>
      <c r="R13" s="39">
        <v>1564.742928571429</v>
      </c>
      <c r="S13" s="39">
        <v>1564.742928571429</v>
      </c>
      <c r="T13" s="39">
        <v>1564.742928571429</v>
      </c>
      <c r="U13" s="39">
        <v>1564.742928571429</v>
      </c>
      <c r="V13" s="39">
        <v>1564.742928571429</v>
      </c>
      <c r="W13" s="39">
        <v>1564.742928571429</v>
      </c>
      <c r="X13" s="39">
        <v>1564.742928571429</v>
      </c>
      <c r="Y13" s="39">
        <v>1564.742928571429</v>
      </c>
      <c r="Z13" s="39">
        <v>1564.742928571429</v>
      </c>
      <c r="AA13" s="39">
        <v>1564.742928571429</v>
      </c>
      <c r="AB13" s="39">
        <v>1564.742928571429</v>
      </c>
      <c r="AC13" s="39">
        <v>1564.742928571429</v>
      </c>
      <c r="AD13" s="39">
        <v>1564.742928571429</v>
      </c>
      <c r="AE13" s="39">
        <v>1564.742928571429</v>
      </c>
      <c r="AF13" s="39">
        <v>1564.742928571429</v>
      </c>
      <c r="AG13" s="39">
        <v>1564.742928571429</v>
      </c>
      <c r="AH13" s="39">
        <v>37553.830285714299</v>
      </c>
      <c r="AI13" s="39">
        <v>187769.15142857149</v>
      </c>
    </row>
    <row r="14" spans="1:35" x14ac:dyDescent="0.3">
      <c r="A14" s="40">
        <v>2031</v>
      </c>
      <c r="B14" s="40" t="s">
        <v>60</v>
      </c>
      <c r="C14" s="41" t="s">
        <v>54</v>
      </c>
      <c r="D14" s="41" t="s">
        <v>57</v>
      </c>
      <c r="E14" s="40">
        <v>20</v>
      </c>
      <c r="F14" s="40">
        <v>5</v>
      </c>
      <c r="G14" s="40">
        <v>5</v>
      </c>
      <c r="H14" s="40">
        <v>1</v>
      </c>
      <c r="I14" s="40">
        <v>31</v>
      </c>
      <c r="J14" s="39">
        <v>1564.742928571429</v>
      </c>
      <c r="K14" s="39">
        <v>1564.742928571429</v>
      </c>
      <c r="L14" s="39">
        <v>1564.742928571429</v>
      </c>
      <c r="M14" s="39">
        <v>1564.742928571429</v>
      </c>
      <c r="N14" s="39">
        <v>1564.742928571429</v>
      </c>
      <c r="O14" s="39">
        <v>1564.742928571429</v>
      </c>
      <c r="P14" s="39">
        <v>1564.742928571429</v>
      </c>
      <c r="Q14" s="39">
        <v>1564.742928571429</v>
      </c>
      <c r="R14" s="39">
        <v>1564.742928571429</v>
      </c>
      <c r="S14" s="39">
        <v>1564.742928571429</v>
      </c>
      <c r="T14" s="39">
        <v>1564.742928571429</v>
      </c>
      <c r="U14" s="39">
        <v>1564.742928571429</v>
      </c>
      <c r="V14" s="39">
        <v>1564.742928571429</v>
      </c>
      <c r="W14" s="39">
        <v>1564.742928571429</v>
      </c>
      <c r="X14" s="39">
        <v>1564.742928571429</v>
      </c>
      <c r="Y14" s="39">
        <v>1564.742928571429</v>
      </c>
      <c r="Z14" s="39">
        <v>1564.742928571429</v>
      </c>
      <c r="AA14" s="39">
        <v>1564.742928571429</v>
      </c>
      <c r="AB14" s="39">
        <v>1564.742928571429</v>
      </c>
      <c r="AC14" s="39">
        <v>1564.742928571429</v>
      </c>
      <c r="AD14" s="39">
        <v>1564.742928571429</v>
      </c>
      <c r="AE14" s="39">
        <v>1564.742928571429</v>
      </c>
      <c r="AF14" s="39">
        <v>1564.742928571429</v>
      </c>
      <c r="AG14" s="39">
        <v>1564.742928571429</v>
      </c>
      <c r="AH14" s="39">
        <v>37553.830285714299</v>
      </c>
      <c r="AI14" s="39">
        <v>187769.15142857149</v>
      </c>
    </row>
    <row r="15" spans="1:35" x14ac:dyDescent="0.3">
      <c r="A15" s="40">
        <v>2031</v>
      </c>
      <c r="B15" s="40" t="s">
        <v>60</v>
      </c>
      <c r="C15" s="41" t="s">
        <v>54</v>
      </c>
      <c r="D15" s="41" t="s">
        <v>58</v>
      </c>
      <c r="E15" s="40">
        <v>20</v>
      </c>
      <c r="F15" s="40">
        <v>5</v>
      </c>
      <c r="G15" s="40">
        <v>5</v>
      </c>
      <c r="H15" s="40">
        <v>1</v>
      </c>
      <c r="I15" s="40">
        <v>31</v>
      </c>
      <c r="J15" s="39">
        <v>1564.742928571429</v>
      </c>
      <c r="K15" s="39">
        <v>1564.742928571429</v>
      </c>
      <c r="L15" s="39">
        <v>1564.742928571429</v>
      </c>
      <c r="M15" s="39">
        <v>1564.742928571429</v>
      </c>
      <c r="N15" s="39">
        <v>1564.742928571429</v>
      </c>
      <c r="O15" s="39">
        <v>1564.742928571429</v>
      </c>
      <c r="P15" s="39">
        <v>1564.742928571429</v>
      </c>
      <c r="Q15" s="39">
        <v>1564.742928571429</v>
      </c>
      <c r="R15" s="39">
        <v>1564.742928571429</v>
      </c>
      <c r="S15" s="39">
        <v>1564.742928571429</v>
      </c>
      <c r="T15" s="39">
        <v>1564.742928571429</v>
      </c>
      <c r="U15" s="39">
        <v>1564.742928571429</v>
      </c>
      <c r="V15" s="39">
        <v>1564.742928571429</v>
      </c>
      <c r="W15" s="39">
        <v>1564.742928571429</v>
      </c>
      <c r="X15" s="39">
        <v>1564.742928571429</v>
      </c>
      <c r="Y15" s="39">
        <v>1564.742928571429</v>
      </c>
      <c r="Z15" s="39">
        <v>1564.742928571429</v>
      </c>
      <c r="AA15" s="39">
        <v>1564.742928571429</v>
      </c>
      <c r="AB15" s="39">
        <v>1564.742928571429</v>
      </c>
      <c r="AC15" s="39">
        <v>1564.742928571429</v>
      </c>
      <c r="AD15" s="39">
        <v>1564.742928571429</v>
      </c>
      <c r="AE15" s="39">
        <v>1564.742928571429</v>
      </c>
      <c r="AF15" s="39">
        <v>1564.742928571429</v>
      </c>
      <c r="AG15" s="39">
        <v>1564.742928571429</v>
      </c>
      <c r="AH15" s="39">
        <v>37553.830285714299</v>
      </c>
      <c r="AI15" s="39">
        <v>37553.830285714299</v>
      </c>
    </row>
    <row r="16" spans="1:35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r="17" spans="1:35" x14ac:dyDescent="0.3">
      <c r="A17" s="40">
        <v>2031</v>
      </c>
      <c r="B17" s="40" t="s">
        <v>61</v>
      </c>
      <c r="C17" s="41" t="s">
        <v>54</v>
      </c>
      <c r="D17" s="41" t="s">
        <v>55</v>
      </c>
      <c r="E17" s="40">
        <v>20</v>
      </c>
      <c r="F17" s="40">
        <v>4</v>
      </c>
      <c r="G17" s="40">
        <v>4</v>
      </c>
      <c r="H17" s="40">
        <v>2</v>
      </c>
      <c r="I17" s="40">
        <v>30</v>
      </c>
      <c r="J17" s="39">
        <v>1564.742928571429</v>
      </c>
      <c r="K17" s="39">
        <v>1564.742928571429</v>
      </c>
      <c r="L17" s="39">
        <v>1564.742928571429</v>
      </c>
      <c r="M17" s="39">
        <v>1564.742928571429</v>
      </c>
      <c r="N17" s="39">
        <v>1564.742928571429</v>
      </c>
      <c r="O17" s="39">
        <v>1564.742928571429</v>
      </c>
      <c r="P17" s="39">
        <v>1564.742928571429</v>
      </c>
      <c r="Q17" s="39">
        <v>1564.742928571429</v>
      </c>
      <c r="R17" s="39">
        <v>1564.742928571429</v>
      </c>
      <c r="S17" s="39">
        <v>1564.742928571429</v>
      </c>
      <c r="T17" s="39">
        <v>1564.742928571429</v>
      </c>
      <c r="U17" s="39">
        <v>1564.742928571429</v>
      </c>
      <c r="V17" s="39">
        <v>1564.742928571429</v>
      </c>
      <c r="W17" s="39">
        <v>1564.742928571429</v>
      </c>
      <c r="X17" s="39">
        <v>1564.742928571429</v>
      </c>
      <c r="Y17" s="39">
        <v>1564.742928571429</v>
      </c>
      <c r="Z17" s="39">
        <v>1564.742928571429</v>
      </c>
      <c r="AA17" s="39">
        <v>1564.742928571429</v>
      </c>
      <c r="AB17" s="39">
        <v>1564.742928571429</v>
      </c>
      <c r="AC17" s="39">
        <v>1564.742928571429</v>
      </c>
      <c r="AD17" s="39">
        <v>1564.742928571429</v>
      </c>
      <c r="AE17" s="39">
        <v>1564.742928571429</v>
      </c>
      <c r="AF17" s="39">
        <v>1564.742928571429</v>
      </c>
      <c r="AG17" s="39">
        <v>1564.742928571429</v>
      </c>
      <c r="AH17" s="39">
        <v>37553.830285714299</v>
      </c>
      <c r="AI17" s="39">
        <v>751076.60571428598</v>
      </c>
    </row>
    <row r="18" spans="1:35" x14ac:dyDescent="0.3">
      <c r="A18" s="40">
        <v>2031</v>
      </c>
      <c r="B18" s="40" t="s">
        <v>61</v>
      </c>
      <c r="C18" s="41" t="s">
        <v>54</v>
      </c>
      <c r="D18" s="41" t="s">
        <v>56</v>
      </c>
      <c r="E18" s="40">
        <v>20</v>
      </c>
      <c r="F18" s="40">
        <v>4</v>
      </c>
      <c r="G18" s="40">
        <v>4</v>
      </c>
      <c r="H18" s="40">
        <v>2</v>
      </c>
      <c r="I18" s="40">
        <v>30</v>
      </c>
      <c r="J18" s="39">
        <v>1564.742928571429</v>
      </c>
      <c r="K18" s="39">
        <v>1564.742928571429</v>
      </c>
      <c r="L18" s="39">
        <v>1564.742928571429</v>
      </c>
      <c r="M18" s="39">
        <v>1564.742928571429</v>
      </c>
      <c r="N18" s="39">
        <v>1564.742928571429</v>
      </c>
      <c r="O18" s="39">
        <v>1564.742928571429</v>
      </c>
      <c r="P18" s="39">
        <v>1564.742928571429</v>
      </c>
      <c r="Q18" s="39">
        <v>1564.742928571429</v>
      </c>
      <c r="R18" s="39">
        <v>1564.742928571429</v>
      </c>
      <c r="S18" s="39">
        <v>1564.742928571429</v>
      </c>
      <c r="T18" s="39">
        <v>1564.742928571429</v>
      </c>
      <c r="U18" s="39">
        <v>1564.742928571429</v>
      </c>
      <c r="V18" s="39">
        <v>1564.742928571429</v>
      </c>
      <c r="W18" s="39">
        <v>1564.742928571429</v>
      </c>
      <c r="X18" s="39">
        <v>1564.742928571429</v>
      </c>
      <c r="Y18" s="39">
        <v>1564.742928571429</v>
      </c>
      <c r="Z18" s="39">
        <v>1564.742928571429</v>
      </c>
      <c r="AA18" s="39">
        <v>1564.742928571429</v>
      </c>
      <c r="AB18" s="39">
        <v>1564.742928571429</v>
      </c>
      <c r="AC18" s="39">
        <v>1564.742928571429</v>
      </c>
      <c r="AD18" s="39">
        <v>1564.742928571429</v>
      </c>
      <c r="AE18" s="39">
        <v>1564.742928571429</v>
      </c>
      <c r="AF18" s="39">
        <v>1564.742928571429</v>
      </c>
      <c r="AG18" s="39">
        <v>1564.742928571429</v>
      </c>
      <c r="AH18" s="39">
        <v>37553.830285714299</v>
      </c>
      <c r="AI18" s="39">
        <v>150215.3211428572</v>
      </c>
    </row>
    <row r="19" spans="1:35" x14ac:dyDescent="0.3">
      <c r="A19" s="40">
        <v>2031</v>
      </c>
      <c r="B19" s="40" t="s">
        <v>61</v>
      </c>
      <c r="C19" s="41" t="s">
        <v>54</v>
      </c>
      <c r="D19" s="41" t="s">
        <v>57</v>
      </c>
      <c r="E19" s="40">
        <v>20</v>
      </c>
      <c r="F19" s="40">
        <v>4</v>
      </c>
      <c r="G19" s="40">
        <v>4</v>
      </c>
      <c r="H19" s="40">
        <v>2</v>
      </c>
      <c r="I19" s="40">
        <v>30</v>
      </c>
      <c r="J19" s="39">
        <v>1564.742928571429</v>
      </c>
      <c r="K19" s="39">
        <v>1564.742928571429</v>
      </c>
      <c r="L19" s="39">
        <v>1564.742928571429</v>
      </c>
      <c r="M19" s="39">
        <v>1564.742928571429</v>
      </c>
      <c r="N19" s="39">
        <v>1564.742928571429</v>
      </c>
      <c r="O19" s="39">
        <v>1564.742928571429</v>
      </c>
      <c r="P19" s="39">
        <v>1564.742928571429</v>
      </c>
      <c r="Q19" s="39">
        <v>1564.742928571429</v>
      </c>
      <c r="R19" s="39">
        <v>1564.742928571429</v>
      </c>
      <c r="S19" s="39">
        <v>1564.742928571429</v>
      </c>
      <c r="T19" s="39">
        <v>1564.742928571429</v>
      </c>
      <c r="U19" s="39">
        <v>1564.742928571429</v>
      </c>
      <c r="V19" s="39">
        <v>1564.742928571429</v>
      </c>
      <c r="W19" s="39">
        <v>1564.742928571429</v>
      </c>
      <c r="X19" s="39">
        <v>1564.742928571429</v>
      </c>
      <c r="Y19" s="39">
        <v>1564.742928571429</v>
      </c>
      <c r="Z19" s="39">
        <v>1564.742928571429</v>
      </c>
      <c r="AA19" s="39">
        <v>1564.742928571429</v>
      </c>
      <c r="AB19" s="39">
        <v>1564.742928571429</v>
      </c>
      <c r="AC19" s="39">
        <v>1564.742928571429</v>
      </c>
      <c r="AD19" s="39">
        <v>1564.742928571429</v>
      </c>
      <c r="AE19" s="39">
        <v>1564.742928571429</v>
      </c>
      <c r="AF19" s="39">
        <v>1564.742928571429</v>
      </c>
      <c r="AG19" s="39">
        <v>1564.742928571429</v>
      </c>
      <c r="AH19" s="39">
        <v>37553.830285714299</v>
      </c>
      <c r="AI19" s="39">
        <v>150215.3211428572</v>
      </c>
    </row>
    <row r="20" spans="1:35" x14ac:dyDescent="0.3">
      <c r="A20" s="40">
        <v>2031</v>
      </c>
      <c r="B20" s="40" t="s">
        <v>61</v>
      </c>
      <c r="C20" s="41" t="s">
        <v>54</v>
      </c>
      <c r="D20" s="41" t="s">
        <v>58</v>
      </c>
      <c r="E20" s="40">
        <v>20</v>
      </c>
      <c r="F20" s="40">
        <v>4</v>
      </c>
      <c r="G20" s="40">
        <v>4</v>
      </c>
      <c r="H20" s="40">
        <v>2</v>
      </c>
      <c r="I20" s="40">
        <v>30</v>
      </c>
      <c r="J20" s="39">
        <v>1564.742928571429</v>
      </c>
      <c r="K20" s="39">
        <v>1564.742928571429</v>
      </c>
      <c r="L20" s="39">
        <v>1564.742928571429</v>
      </c>
      <c r="M20" s="39">
        <v>1564.742928571429</v>
      </c>
      <c r="N20" s="39">
        <v>1564.742928571429</v>
      </c>
      <c r="O20" s="39">
        <v>1564.742928571429</v>
      </c>
      <c r="P20" s="39">
        <v>1564.742928571429</v>
      </c>
      <c r="Q20" s="39">
        <v>1564.742928571429</v>
      </c>
      <c r="R20" s="39">
        <v>1564.742928571429</v>
      </c>
      <c r="S20" s="39">
        <v>1564.742928571429</v>
      </c>
      <c r="T20" s="39">
        <v>1564.742928571429</v>
      </c>
      <c r="U20" s="39">
        <v>1564.742928571429</v>
      </c>
      <c r="V20" s="39">
        <v>1564.742928571429</v>
      </c>
      <c r="W20" s="39">
        <v>1564.742928571429</v>
      </c>
      <c r="X20" s="39">
        <v>1564.742928571429</v>
      </c>
      <c r="Y20" s="39">
        <v>1564.742928571429</v>
      </c>
      <c r="Z20" s="39">
        <v>1564.742928571429</v>
      </c>
      <c r="AA20" s="39">
        <v>1564.742928571429</v>
      </c>
      <c r="AB20" s="39">
        <v>1564.742928571429</v>
      </c>
      <c r="AC20" s="39">
        <v>1564.742928571429</v>
      </c>
      <c r="AD20" s="39">
        <v>1564.742928571429</v>
      </c>
      <c r="AE20" s="39">
        <v>1564.742928571429</v>
      </c>
      <c r="AF20" s="39">
        <v>1564.742928571429</v>
      </c>
      <c r="AG20" s="39">
        <v>1564.742928571429</v>
      </c>
      <c r="AH20" s="39">
        <v>37553.830285714299</v>
      </c>
      <c r="AI20" s="39">
        <v>75107.660571428598</v>
      </c>
    </row>
    <row r="21" spans="1:35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r="22" spans="1:35" x14ac:dyDescent="0.3">
      <c r="A22" s="40">
        <v>2031</v>
      </c>
      <c r="B22" s="40" t="s">
        <v>62</v>
      </c>
      <c r="C22" s="41" t="s">
        <v>54</v>
      </c>
      <c r="D22" s="41" t="s">
        <v>55</v>
      </c>
      <c r="E22" s="40">
        <v>20</v>
      </c>
      <c r="F22" s="40">
        <v>5</v>
      </c>
      <c r="G22" s="40">
        <v>4</v>
      </c>
      <c r="H22" s="40">
        <v>2</v>
      </c>
      <c r="I22" s="40">
        <v>31</v>
      </c>
      <c r="J22" s="39">
        <v>1564.742928571429</v>
      </c>
      <c r="K22" s="39">
        <v>1564.742928571429</v>
      </c>
      <c r="L22" s="39">
        <v>1564.742928571429</v>
      </c>
      <c r="M22" s="39">
        <v>1564.742928571429</v>
      </c>
      <c r="N22" s="39">
        <v>1564.742928571429</v>
      </c>
      <c r="O22" s="39">
        <v>1564.742928571429</v>
      </c>
      <c r="P22" s="39">
        <v>1564.742928571429</v>
      </c>
      <c r="Q22" s="39">
        <v>1564.742928571429</v>
      </c>
      <c r="R22" s="39">
        <v>1564.742928571429</v>
      </c>
      <c r="S22" s="39">
        <v>1564.742928571429</v>
      </c>
      <c r="T22" s="39">
        <v>1564.742928571429</v>
      </c>
      <c r="U22" s="39">
        <v>1564.742928571429</v>
      </c>
      <c r="V22" s="39">
        <v>1564.742928571429</v>
      </c>
      <c r="W22" s="39">
        <v>1564.742928571429</v>
      </c>
      <c r="X22" s="39">
        <v>1564.742928571429</v>
      </c>
      <c r="Y22" s="39">
        <v>1564.742928571429</v>
      </c>
      <c r="Z22" s="39">
        <v>1564.742928571429</v>
      </c>
      <c r="AA22" s="39">
        <v>1564.742928571429</v>
      </c>
      <c r="AB22" s="39">
        <v>1564.742928571429</v>
      </c>
      <c r="AC22" s="39">
        <v>1564.742928571429</v>
      </c>
      <c r="AD22" s="39">
        <v>1564.742928571429</v>
      </c>
      <c r="AE22" s="39">
        <v>1564.742928571429</v>
      </c>
      <c r="AF22" s="39">
        <v>1564.742928571429</v>
      </c>
      <c r="AG22" s="39">
        <v>1564.742928571429</v>
      </c>
      <c r="AH22" s="39">
        <v>37553.830285714299</v>
      </c>
      <c r="AI22" s="39">
        <v>751076.60571428598</v>
      </c>
    </row>
    <row r="23" spans="1:35" x14ac:dyDescent="0.3">
      <c r="A23" s="40">
        <v>2031</v>
      </c>
      <c r="B23" s="40" t="s">
        <v>62</v>
      </c>
      <c r="C23" s="41" t="s">
        <v>54</v>
      </c>
      <c r="D23" s="41" t="s">
        <v>56</v>
      </c>
      <c r="E23" s="40">
        <v>20</v>
      </c>
      <c r="F23" s="40">
        <v>5</v>
      </c>
      <c r="G23" s="40">
        <v>4</v>
      </c>
      <c r="H23" s="40">
        <v>2</v>
      </c>
      <c r="I23" s="40">
        <v>31</v>
      </c>
      <c r="J23" s="39">
        <v>1564.742928571429</v>
      </c>
      <c r="K23" s="39">
        <v>1564.742928571429</v>
      </c>
      <c r="L23" s="39">
        <v>1564.742928571429</v>
      </c>
      <c r="M23" s="39">
        <v>1564.742928571429</v>
      </c>
      <c r="N23" s="39">
        <v>1564.742928571429</v>
      </c>
      <c r="O23" s="39">
        <v>1564.742928571429</v>
      </c>
      <c r="P23" s="39">
        <v>1564.742928571429</v>
      </c>
      <c r="Q23" s="39">
        <v>1564.742928571429</v>
      </c>
      <c r="R23" s="39">
        <v>1564.742928571429</v>
      </c>
      <c r="S23" s="39">
        <v>1564.742928571429</v>
      </c>
      <c r="T23" s="39">
        <v>1564.742928571429</v>
      </c>
      <c r="U23" s="39">
        <v>1564.742928571429</v>
      </c>
      <c r="V23" s="39">
        <v>1564.742928571429</v>
      </c>
      <c r="W23" s="39">
        <v>1564.742928571429</v>
      </c>
      <c r="X23" s="39">
        <v>1564.742928571429</v>
      </c>
      <c r="Y23" s="39">
        <v>1564.742928571429</v>
      </c>
      <c r="Z23" s="39">
        <v>1564.742928571429</v>
      </c>
      <c r="AA23" s="39">
        <v>1564.742928571429</v>
      </c>
      <c r="AB23" s="39">
        <v>1564.742928571429</v>
      </c>
      <c r="AC23" s="39">
        <v>1564.742928571429</v>
      </c>
      <c r="AD23" s="39">
        <v>1564.742928571429</v>
      </c>
      <c r="AE23" s="39">
        <v>1564.742928571429</v>
      </c>
      <c r="AF23" s="39">
        <v>1564.742928571429</v>
      </c>
      <c r="AG23" s="39">
        <v>1564.742928571429</v>
      </c>
      <c r="AH23" s="39">
        <v>37553.830285714299</v>
      </c>
      <c r="AI23" s="39">
        <v>187769.15142857149</v>
      </c>
    </row>
    <row r="24" spans="1:35" x14ac:dyDescent="0.3">
      <c r="A24" s="40">
        <v>2031</v>
      </c>
      <c r="B24" s="40" t="s">
        <v>62</v>
      </c>
      <c r="C24" s="41" t="s">
        <v>54</v>
      </c>
      <c r="D24" s="41" t="s">
        <v>57</v>
      </c>
      <c r="E24" s="40">
        <v>20</v>
      </c>
      <c r="F24" s="40">
        <v>5</v>
      </c>
      <c r="G24" s="40">
        <v>4</v>
      </c>
      <c r="H24" s="40">
        <v>2</v>
      </c>
      <c r="I24" s="40">
        <v>31</v>
      </c>
      <c r="J24" s="39">
        <v>1564.742928571429</v>
      </c>
      <c r="K24" s="39">
        <v>1564.742928571429</v>
      </c>
      <c r="L24" s="39">
        <v>1564.742928571429</v>
      </c>
      <c r="M24" s="39">
        <v>1564.742928571429</v>
      </c>
      <c r="N24" s="39">
        <v>1564.742928571429</v>
      </c>
      <c r="O24" s="39">
        <v>1564.742928571429</v>
      </c>
      <c r="P24" s="39">
        <v>1564.742928571429</v>
      </c>
      <c r="Q24" s="39">
        <v>1564.742928571429</v>
      </c>
      <c r="R24" s="39">
        <v>1564.742928571429</v>
      </c>
      <c r="S24" s="39">
        <v>1564.742928571429</v>
      </c>
      <c r="T24" s="39">
        <v>1564.742928571429</v>
      </c>
      <c r="U24" s="39">
        <v>1564.742928571429</v>
      </c>
      <c r="V24" s="39">
        <v>1564.742928571429</v>
      </c>
      <c r="W24" s="39">
        <v>1564.742928571429</v>
      </c>
      <c r="X24" s="39">
        <v>1564.742928571429</v>
      </c>
      <c r="Y24" s="39">
        <v>1564.742928571429</v>
      </c>
      <c r="Z24" s="39">
        <v>1564.742928571429</v>
      </c>
      <c r="AA24" s="39">
        <v>1564.742928571429</v>
      </c>
      <c r="AB24" s="39">
        <v>1564.742928571429</v>
      </c>
      <c r="AC24" s="39">
        <v>1564.742928571429</v>
      </c>
      <c r="AD24" s="39">
        <v>1564.742928571429</v>
      </c>
      <c r="AE24" s="39">
        <v>1564.742928571429</v>
      </c>
      <c r="AF24" s="39">
        <v>1564.742928571429</v>
      </c>
      <c r="AG24" s="39">
        <v>1564.742928571429</v>
      </c>
      <c r="AH24" s="39">
        <v>37553.830285714299</v>
      </c>
      <c r="AI24" s="39">
        <v>150215.3211428572</v>
      </c>
    </row>
    <row r="25" spans="1:35" x14ac:dyDescent="0.3">
      <c r="A25" s="40">
        <v>2031</v>
      </c>
      <c r="B25" s="40" t="s">
        <v>62</v>
      </c>
      <c r="C25" s="41" t="s">
        <v>54</v>
      </c>
      <c r="D25" s="41" t="s">
        <v>58</v>
      </c>
      <c r="E25" s="40">
        <v>20</v>
      </c>
      <c r="F25" s="40">
        <v>5</v>
      </c>
      <c r="G25" s="40">
        <v>4</v>
      </c>
      <c r="H25" s="40">
        <v>2</v>
      </c>
      <c r="I25" s="40">
        <v>31</v>
      </c>
      <c r="J25" s="39">
        <v>1564.742928571429</v>
      </c>
      <c r="K25" s="39">
        <v>1564.742928571429</v>
      </c>
      <c r="L25" s="39">
        <v>1564.742928571429</v>
      </c>
      <c r="M25" s="39">
        <v>1564.742928571429</v>
      </c>
      <c r="N25" s="39">
        <v>1564.742928571429</v>
      </c>
      <c r="O25" s="39">
        <v>1564.742928571429</v>
      </c>
      <c r="P25" s="39">
        <v>1564.742928571429</v>
      </c>
      <c r="Q25" s="39">
        <v>1564.742928571429</v>
      </c>
      <c r="R25" s="39">
        <v>1564.742928571429</v>
      </c>
      <c r="S25" s="39">
        <v>1564.742928571429</v>
      </c>
      <c r="T25" s="39">
        <v>1564.742928571429</v>
      </c>
      <c r="U25" s="39">
        <v>1564.742928571429</v>
      </c>
      <c r="V25" s="39">
        <v>1564.742928571429</v>
      </c>
      <c r="W25" s="39">
        <v>1564.742928571429</v>
      </c>
      <c r="X25" s="39">
        <v>1564.742928571429</v>
      </c>
      <c r="Y25" s="39">
        <v>1564.742928571429</v>
      </c>
      <c r="Z25" s="39">
        <v>1564.742928571429</v>
      </c>
      <c r="AA25" s="39">
        <v>1564.742928571429</v>
      </c>
      <c r="AB25" s="39">
        <v>1564.742928571429</v>
      </c>
      <c r="AC25" s="39">
        <v>1564.742928571429</v>
      </c>
      <c r="AD25" s="39">
        <v>1564.742928571429</v>
      </c>
      <c r="AE25" s="39">
        <v>1564.742928571429</v>
      </c>
      <c r="AF25" s="39">
        <v>1564.742928571429</v>
      </c>
      <c r="AG25" s="39">
        <v>1564.742928571429</v>
      </c>
      <c r="AH25" s="39">
        <v>37553.830285714299</v>
      </c>
      <c r="AI25" s="39">
        <v>75107.660571428598</v>
      </c>
    </row>
    <row r="26" spans="1:35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 spans="1:35" x14ac:dyDescent="0.3">
      <c r="A27" s="40">
        <v>2031</v>
      </c>
      <c r="B27" s="40" t="s">
        <v>63</v>
      </c>
      <c r="C27" s="41" t="s">
        <v>54</v>
      </c>
      <c r="D27" s="41" t="s">
        <v>55</v>
      </c>
      <c r="E27" s="40">
        <v>18</v>
      </c>
      <c r="F27" s="40">
        <v>4</v>
      </c>
      <c r="G27" s="40">
        <v>5</v>
      </c>
      <c r="H27" s="40">
        <v>3</v>
      </c>
      <c r="I27" s="40">
        <v>30</v>
      </c>
      <c r="J27" s="39">
        <v>1564.742928571429</v>
      </c>
      <c r="K27" s="39">
        <v>1564.742928571429</v>
      </c>
      <c r="L27" s="39">
        <v>1564.742928571429</v>
      </c>
      <c r="M27" s="39">
        <v>1564.742928571429</v>
      </c>
      <c r="N27" s="39">
        <v>1564.742928571429</v>
      </c>
      <c r="O27" s="39">
        <v>1564.742928571429</v>
      </c>
      <c r="P27" s="39">
        <v>1564.742928571429</v>
      </c>
      <c r="Q27" s="39">
        <v>1564.742928571429</v>
      </c>
      <c r="R27" s="39">
        <v>1564.742928571429</v>
      </c>
      <c r="S27" s="39">
        <v>1564.742928571429</v>
      </c>
      <c r="T27" s="39">
        <v>1564.742928571429</v>
      </c>
      <c r="U27" s="39">
        <v>1564.742928571429</v>
      </c>
      <c r="V27" s="39">
        <v>1564.742928571429</v>
      </c>
      <c r="W27" s="39">
        <v>1564.742928571429</v>
      </c>
      <c r="X27" s="39">
        <v>1564.742928571429</v>
      </c>
      <c r="Y27" s="39">
        <v>1564.742928571429</v>
      </c>
      <c r="Z27" s="39">
        <v>1564.742928571429</v>
      </c>
      <c r="AA27" s="39">
        <v>1564.742928571429</v>
      </c>
      <c r="AB27" s="39">
        <v>1564.742928571429</v>
      </c>
      <c r="AC27" s="39">
        <v>1564.742928571429</v>
      </c>
      <c r="AD27" s="39">
        <v>1564.742928571429</v>
      </c>
      <c r="AE27" s="39">
        <v>1564.742928571429</v>
      </c>
      <c r="AF27" s="39">
        <v>1564.742928571429</v>
      </c>
      <c r="AG27" s="39">
        <v>1564.742928571429</v>
      </c>
      <c r="AH27" s="39">
        <v>37553.830285714299</v>
      </c>
      <c r="AI27" s="39">
        <v>675968.94514285738</v>
      </c>
    </row>
    <row r="28" spans="1:35" x14ac:dyDescent="0.3">
      <c r="A28" s="40">
        <v>2031</v>
      </c>
      <c r="B28" s="40" t="s">
        <v>63</v>
      </c>
      <c r="C28" s="41" t="s">
        <v>54</v>
      </c>
      <c r="D28" s="41" t="s">
        <v>56</v>
      </c>
      <c r="E28" s="40">
        <v>18</v>
      </c>
      <c r="F28" s="40">
        <v>4</v>
      </c>
      <c r="G28" s="40">
        <v>5</v>
      </c>
      <c r="H28" s="40">
        <v>3</v>
      </c>
      <c r="I28" s="40">
        <v>30</v>
      </c>
      <c r="J28" s="39">
        <v>1564.742928571429</v>
      </c>
      <c r="K28" s="39">
        <v>1564.742928571429</v>
      </c>
      <c r="L28" s="39">
        <v>1564.742928571429</v>
      </c>
      <c r="M28" s="39">
        <v>1564.742928571429</v>
      </c>
      <c r="N28" s="39">
        <v>1564.742928571429</v>
      </c>
      <c r="O28" s="39">
        <v>1564.742928571429</v>
      </c>
      <c r="P28" s="39">
        <v>1564.742928571429</v>
      </c>
      <c r="Q28" s="39">
        <v>1564.742928571429</v>
      </c>
      <c r="R28" s="39">
        <v>1564.742928571429</v>
      </c>
      <c r="S28" s="39">
        <v>1564.742928571429</v>
      </c>
      <c r="T28" s="39">
        <v>1564.742928571429</v>
      </c>
      <c r="U28" s="39">
        <v>1564.742928571429</v>
      </c>
      <c r="V28" s="39">
        <v>1564.742928571429</v>
      </c>
      <c r="W28" s="39">
        <v>1564.742928571429</v>
      </c>
      <c r="X28" s="39">
        <v>1564.742928571429</v>
      </c>
      <c r="Y28" s="39">
        <v>1564.742928571429</v>
      </c>
      <c r="Z28" s="39">
        <v>1564.742928571429</v>
      </c>
      <c r="AA28" s="39">
        <v>1564.742928571429</v>
      </c>
      <c r="AB28" s="39">
        <v>1564.742928571429</v>
      </c>
      <c r="AC28" s="39">
        <v>1564.742928571429</v>
      </c>
      <c r="AD28" s="39">
        <v>1564.742928571429</v>
      </c>
      <c r="AE28" s="39">
        <v>1564.742928571429</v>
      </c>
      <c r="AF28" s="39">
        <v>1564.742928571429</v>
      </c>
      <c r="AG28" s="39">
        <v>1564.742928571429</v>
      </c>
      <c r="AH28" s="39">
        <v>37553.830285714299</v>
      </c>
      <c r="AI28" s="39">
        <v>150215.3211428572</v>
      </c>
    </row>
    <row r="29" spans="1:35" x14ac:dyDescent="0.3">
      <c r="A29" s="40">
        <v>2031</v>
      </c>
      <c r="B29" s="40" t="s">
        <v>63</v>
      </c>
      <c r="C29" s="41" t="s">
        <v>54</v>
      </c>
      <c r="D29" s="41" t="s">
        <v>57</v>
      </c>
      <c r="E29" s="40">
        <v>18</v>
      </c>
      <c r="F29" s="40">
        <v>4</v>
      </c>
      <c r="G29" s="40">
        <v>5</v>
      </c>
      <c r="H29" s="40">
        <v>3</v>
      </c>
      <c r="I29" s="40">
        <v>30</v>
      </c>
      <c r="J29" s="39">
        <v>1564.742928571429</v>
      </c>
      <c r="K29" s="39">
        <v>1564.742928571429</v>
      </c>
      <c r="L29" s="39">
        <v>1564.742928571429</v>
      </c>
      <c r="M29" s="39">
        <v>1564.742928571429</v>
      </c>
      <c r="N29" s="39">
        <v>1564.742928571429</v>
      </c>
      <c r="O29" s="39">
        <v>1564.742928571429</v>
      </c>
      <c r="P29" s="39">
        <v>1564.742928571429</v>
      </c>
      <c r="Q29" s="39">
        <v>1564.742928571429</v>
      </c>
      <c r="R29" s="39">
        <v>1564.742928571429</v>
      </c>
      <c r="S29" s="39">
        <v>1564.742928571429</v>
      </c>
      <c r="T29" s="39">
        <v>1564.742928571429</v>
      </c>
      <c r="U29" s="39">
        <v>1564.742928571429</v>
      </c>
      <c r="V29" s="39">
        <v>1564.742928571429</v>
      </c>
      <c r="W29" s="39">
        <v>1564.742928571429</v>
      </c>
      <c r="X29" s="39">
        <v>1564.742928571429</v>
      </c>
      <c r="Y29" s="39">
        <v>1564.742928571429</v>
      </c>
      <c r="Z29" s="39">
        <v>1564.742928571429</v>
      </c>
      <c r="AA29" s="39">
        <v>1564.742928571429</v>
      </c>
      <c r="AB29" s="39">
        <v>1564.742928571429</v>
      </c>
      <c r="AC29" s="39">
        <v>1564.742928571429</v>
      </c>
      <c r="AD29" s="39">
        <v>1564.742928571429</v>
      </c>
      <c r="AE29" s="39">
        <v>1564.742928571429</v>
      </c>
      <c r="AF29" s="39">
        <v>1564.742928571429</v>
      </c>
      <c r="AG29" s="39">
        <v>1564.742928571429</v>
      </c>
      <c r="AH29" s="39">
        <v>37553.830285714299</v>
      </c>
      <c r="AI29" s="39">
        <v>187769.15142857149</v>
      </c>
    </row>
    <row r="30" spans="1:35" x14ac:dyDescent="0.3">
      <c r="A30" s="40">
        <v>2031</v>
      </c>
      <c r="B30" s="40" t="s">
        <v>63</v>
      </c>
      <c r="C30" s="41" t="s">
        <v>54</v>
      </c>
      <c r="D30" s="41" t="s">
        <v>58</v>
      </c>
      <c r="E30" s="40">
        <v>18</v>
      </c>
      <c r="F30" s="40">
        <v>4</v>
      </c>
      <c r="G30" s="40">
        <v>5</v>
      </c>
      <c r="H30" s="40">
        <v>3</v>
      </c>
      <c r="I30" s="40">
        <v>30</v>
      </c>
      <c r="J30" s="39">
        <v>1564.742928571429</v>
      </c>
      <c r="K30" s="39">
        <v>1564.742928571429</v>
      </c>
      <c r="L30" s="39">
        <v>1564.742928571429</v>
      </c>
      <c r="M30" s="39">
        <v>1564.742928571429</v>
      </c>
      <c r="N30" s="39">
        <v>1564.742928571429</v>
      </c>
      <c r="O30" s="39">
        <v>1564.742928571429</v>
      </c>
      <c r="P30" s="39">
        <v>1564.742928571429</v>
      </c>
      <c r="Q30" s="39">
        <v>1564.742928571429</v>
      </c>
      <c r="R30" s="39">
        <v>1564.742928571429</v>
      </c>
      <c r="S30" s="39">
        <v>1564.742928571429</v>
      </c>
      <c r="T30" s="39">
        <v>1564.742928571429</v>
      </c>
      <c r="U30" s="39">
        <v>1564.742928571429</v>
      </c>
      <c r="V30" s="39">
        <v>1564.742928571429</v>
      </c>
      <c r="W30" s="39">
        <v>1564.742928571429</v>
      </c>
      <c r="X30" s="39">
        <v>1564.742928571429</v>
      </c>
      <c r="Y30" s="39">
        <v>1564.742928571429</v>
      </c>
      <c r="Z30" s="39">
        <v>1564.742928571429</v>
      </c>
      <c r="AA30" s="39">
        <v>1564.742928571429</v>
      </c>
      <c r="AB30" s="39">
        <v>1564.742928571429</v>
      </c>
      <c r="AC30" s="39">
        <v>1564.742928571429</v>
      </c>
      <c r="AD30" s="39">
        <v>1564.742928571429</v>
      </c>
      <c r="AE30" s="39">
        <v>1564.742928571429</v>
      </c>
      <c r="AF30" s="39">
        <v>1564.742928571429</v>
      </c>
      <c r="AG30" s="39">
        <v>1564.742928571429</v>
      </c>
      <c r="AH30" s="39">
        <v>37553.830285714299</v>
      </c>
      <c r="AI30" s="39">
        <v>112661.4908571429</v>
      </c>
    </row>
    <row r="31" spans="1:35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r="32" spans="1:35" x14ac:dyDescent="0.3">
      <c r="A32" s="40">
        <v>2031</v>
      </c>
      <c r="B32" s="40" t="s">
        <v>64</v>
      </c>
      <c r="C32" s="41" t="s">
        <v>54</v>
      </c>
      <c r="D32" s="41" t="s">
        <v>55</v>
      </c>
      <c r="E32" s="40">
        <v>23</v>
      </c>
      <c r="F32" s="40">
        <v>4</v>
      </c>
      <c r="G32" s="40">
        <v>3</v>
      </c>
      <c r="H32" s="40">
        <v>1</v>
      </c>
      <c r="I32" s="40">
        <v>31</v>
      </c>
      <c r="J32" s="39">
        <v>1564.742928571429</v>
      </c>
      <c r="K32" s="39">
        <v>1564.742928571429</v>
      </c>
      <c r="L32" s="39">
        <v>1564.742928571429</v>
      </c>
      <c r="M32" s="39">
        <v>1564.742928571429</v>
      </c>
      <c r="N32" s="39">
        <v>1564.742928571429</v>
      </c>
      <c r="O32" s="39">
        <v>1564.742928571429</v>
      </c>
      <c r="P32" s="39">
        <v>1564.742928571429</v>
      </c>
      <c r="Q32" s="39">
        <v>1564.742928571429</v>
      </c>
      <c r="R32" s="39">
        <v>1564.742928571429</v>
      </c>
      <c r="S32" s="39">
        <v>1564.742928571429</v>
      </c>
      <c r="T32" s="39">
        <v>1564.742928571429</v>
      </c>
      <c r="U32" s="39">
        <v>1564.742928571429</v>
      </c>
      <c r="V32" s="39">
        <v>1564.742928571429</v>
      </c>
      <c r="W32" s="39">
        <v>1564.742928571429</v>
      </c>
      <c r="X32" s="39">
        <v>1564.742928571429</v>
      </c>
      <c r="Y32" s="39">
        <v>1564.742928571429</v>
      </c>
      <c r="Z32" s="39">
        <v>1564.742928571429</v>
      </c>
      <c r="AA32" s="39">
        <v>1564.742928571429</v>
      </c>
      <c r="AB32" s="39">
        <v>1564.742928571429</v>
      </c>
      <c r="AC32" s="39">
        <v>1564.742928571429</v>
      </c>
      <c r="AD32" s="39">
        <v>1564.742928571429</v>
      </c>
      <c r="AE32" s="39">
        <v>1564.742928571429</v>
      </c>
      <c r="AF32" s="39">
        <v>1564.742928571429</v>
      </c>
      <c r="AG32" s="39">
        <v>1564.742928571429</v>
      </c>
      <c r="AH32" s="39">
        <v>37553.830285714299</v>
      </c>
      <c r="AI32" s="39">
        <v>863738.09657142893</v>
      </c>
    </row>
    <row r="33" spans="1:35" x14ac:dyDescent="0.3">
      <c r="A33" s="40">
        <v>2031</v>
      </c>
      <c r="B33" s="40" t="s">
        <v>64</v>
      </c>
      <c r="C33" s="41" t="s">
        <v>54</v>
      </c>
      <c r="D33" s="41" t="s">
        <v>56</v>
      </c>
      <c r="E33" s="40">
        <v>23</v>
      </c>
      <c r="F33" s="40">
        <v>4</v>
      </c>
      <c r="G33" s="40">
        <v>3</v>
      </c>
      <c r="H33" s="40">
        <v>1</v>
      </c>
      <c r="I33" s="40">
        <v>31</v>
      </c>
      <c r="J33" s="39">
        <v>1564.742928571429</v>
      </c>
      <c r="K33" s="39">
        <v>1564.742928571429</v>
      </c>
      <c r="L33" s="39">
        <v>1564.742928571429</v>
      </c>
      <c r="M33" s="39">
        <v>1564.742928571429</v>
      </c>
      <c r="N33" s="39">
        <v>1564.742928571429</v>
      </c>
      <c r="O33" s="39">
        <v>1564.742928571429</v>
      </c>
      <c r="P33" s="39">
        <v>1564.742928571429</v>
      </c>
      <c r="Q33" s="39">
        <v>1564.742928571429</v>
      </c>
      <c r="R33" s="39">
        <v>1564.742928571429</v>
      </c>
      <c r="S33" s="39">
        <v>1564.742928571429</v>
      </c>
      <c r="T33" s="39">
        <v>1564.742928571429</v>
      </c>
      <c r="U33" s="39">
        <v>1564.742928571429</v>
      </c>
      <c r="V33" s="39">
        <v>1564.742928571429</v>
      </c>
      <c r="W33" s="39">
        <v>1564.742928571429</v>
      </c>
      <c r="X33" s="39">
        <v>1564.742928571429</v>
      </c>
      <c r="Y33" s="39">
        <v>1564.742928571429</v>
      </c>
      <c r="Z33" s="39">
        <v>1564.742928571429</v>
      </c>
      <c r="AA33" s="39">
        <v>1564.742928571429</v>
      </c>
      <c r="AB33" s="39">
        <v>1564.742928571429</v>
      </c>
      <c r="AC33" s="39">
        <v>1564.742928571429</v>
      </c>
      <c r="AD33" s="39">
        <v>1564.742928571429</v>
      </c>
      <c r="AE33" s="39">
        <v>1564.742928571429</v>
      </c>
      <c r="AF33" s="39">
        <v>1564.742928571429</v>
      </c>
      <c r="AG33" s="39">
        <v>1564.742928571429</v>
      </c>
      <c r="AH33" s="39">
        <v>37553.830285714299</v>
      </c>
      <c r="AI33" s="39">
        <v>150215.3211428572</v>
      </c>
    </row>
    <row r="34" spans="1:35" x14ac:dyDescent="0.3">
      <c r="A34" s="40">
        <v>2031</v>
      </c>
      <c r="B34" s="40" t="s">
        <v>64</v>
      </c>
      <c r="C34" s="41" t="s">
        <v>54</v>
      </c>
      <c r="D34" s="41" t="s">
        <v>57</v>
      </c>
      <c r="E34" s="40">
        <v>23</v>
      </c>
      <c r="F34" s="40">
        <v>4</v>
      </c>
      <c r="G34" s="40">
        <v>3</v>
      </c>
      <c r="H34" s="40">
        <v>1</v>
      </c>
      <c r="I34" s="40">
        <v>31</v>
      </c>
      <c r="J34" s="39">
        <v>1564.742928571429</v>
      </c>
      <c r="K34" s="39">
        <v>1564.742928571429</v>
      </c>
      <c r="L34" s="39">
        <v>1564.742928571429</v>
      </c>
      <c r="M34" s="39">
        <v>1564.742928571429</v>
      </c>
      <c r="N34" s="39">
        <v>1564.742928571429</v>
      </c>
      <c r="O34" s="39">
        <v>1564.742928571429</v>
      </c>
      <c r="P34" s="39">
        <v>1564.742928571429</v>
      </c>
      <c r="Q34" s="39">
        <v>1564.742928571429</v>
      </c>
      <c r="R34" s="39">
        <v>1564.742928571429</v>
      </c>
      <c r="S34" s="39">
        <v>1564.742928571429</v>
      </c>
      <c r="T34" s="39">
        <v>1564.742928571429</v>
      </c>
      <c r="U34" s="39">
        <v>1564.742928571429</v>
      </c>
      <c r="V34" s="39">
        <v>1564.742928571429</v>
      </c>
      <c r="W34" s="39">
        <v>1564.742928571429</v>
      </c>
      <c r="X34" s="39">
        <v>1564.742928571429</v>
      </c>
      <c r="Y34" s="39">
        <v>1564.742928571429</v>
      </c>
      <c r="Z34" s="39">
        <v>1564.742928571429</v>
      </c>
      <c r="AA34" s="39">
        <v>1564.742928571429</v>
      </c>
      <c r="AB34" s="39">
        <v>1564.742928571429</v>
      </c>
      <c r="AC34" s="39">
        <v>1564.742928571429</v>
      </c>
      <c r="AD34" s="39">
        <v>1564.742928571429</v>
      </c>
      <c r="AE34" s="39">
        <v>1564.742928571429</v>
      </c>
      <c r="AF34" s="39">
        <v>1564.742928571429</v>
      </c>
      <c r="AG34" s="39">
        <v>1564.742928571429</v>
      </c>
      <c r="AH34" s="39">
        <v>37553.830285714299</v>
      </c>
      <c r="AI34" s="39">
        <v>112661.4908571429</v>
      </c>
    </row>
    <row r="35" spans="1:35" x14ac:dyDescent="0.3">
      <c r="A35" s="40">
        <v>2031</v>
      </c>
      <c r="B35" s="40" t="s">
        <v>64</v>
      </c>
      <c r="C35" s="41" t="s">
        <v>54</v>
      </c>
      <c r="D35" s="41" t="s">
        <v>58</v>
      </c>
      <c r="E35" s="40">
        <v>23</v>
      </c>
      <c r="F35" s="40">
        <v>4</v>
      </c>
      <c r="G35" s="40">
        <v>3</v>
      </c>
      <c r="H35" s="40">
        <v>1</v>
      </c>
      <c r="I35" s="40">
        <v>31</v>
      </c>
      <c r="J35" s="39">
        <v>1564.742928571429</v>
      </c>
      <c r="K35" s="39">
        <v>1564.742928571429</v>
      </c>
      <c r="L35" s="39">
        <v>1564.742928571429</v>
      </c>
      <c r="M35" s="39">
        <v>1564.742928571429</v>
      </c>
      <c r="N35" s="39">
        <v>1564.742928571429</v>
      </c>
      <c r="O35" s="39">
        <v>1564.742928571429</v>
      </c>
      <c r="P35" s="39">
        <v>1564.742928571429</v>
      </c>
      <c r="Q35" s="39">
        <v>1564.742928571429</v>
      </c>
      <c r="R35" s="39">
        <v>1564.742928571429</v>
      </c>
      <c r="S35" s="39">
        <v>1564.742928571429</v>
      </c>
      <c r="T35" s="39">
        <v>1564.742928571429</v>
      </c>
      <c r="U35" s="39">
        <v>1564.742928571429</v>
      </c>
      <c r="V35" s="39">
        <v>1564.742928571429</v>
      </c>
      <c r="W35" s="39">
        <v>1564.742928571429</v>
      </c>
      <c r="X35" s="39">
        <v>1564.742928571429</v>
      </c>
      <c r="Y35" s="39">
        <v>1564.742928571429</v>
      </c>
      <c r="Z35" s="39">
        <v>1564.742928571429</v>
      </c>
      <c r="AA35" s="39">
        <v>1564.742928571429</v>
      </c>
      <c r="AB35" s="39">
        <v>1564.742928571429</v>
      </c>
      <c r="AC35" s="39">
        <v>1564.742928571429</v>
      </c>
      <c r="AD35" s="39">
        <v>1564.742928571429</v>
      </c>
      <c r="AE35" s="39">
        <v>1564.742928571429</v>
      </c>
      <c r="AF35" s="39">
        <v>1564.742928571429</v>
      </c>
      <c r="AG35" s="39">
        <v>1564.742928571429</v>
      </c>
      <c r="AH35" s="39">
        <v>37553.830285714299</v>
      </c>
      <c r="AI35" s="39">
        <v>37553.830285714299</v>
      </c>
    </row>
    <row r="36" spans="1:35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spans="1:35" x14ac:dyDescent="0.3">
      <c r="A37" s="40">
        <v>2031</v>
      </c>
      <c r="B37" s="40" t="s">
        <v>65</v>
      </c>
      <c r="C37" s="41" t="s">
        <v>54</v>
      </c>
      <c r="D37" s="41" t="s">
        <v>55</v>
      </c>
      <c r="E37" s="40">
        <v>19</v>
      </c>
      <c r="F37" s="40">
        <v>5</v>
      </c>
      <c r="G37" s="40">
        <v>5</v>
      </c>
      <c r="H37" s="40">
        <v>2</v>
      </c>
      <c r="I37" s="40">
        <v>31</v>
      </c>
      <c r="J37" s="39">
        <v>1564.742928571429</v>
      </c>
      <c r="K37" s="39">
        <v>1564.742928571429</v>
      </c>
      <c r="L37" s="39">
        <v>1564.742928571429</v>
      </c>
      <c r="M37" s="39">
        <v>1564.742928571429</v>
      </c>
      <c r="N37" s="39">
        <v>1564.742928571429</v>
      </c>
      <c r="O37" s="39">
        <v>1564.742928571429</v>
      </c>
      <c r="P37" s="39">
        <v>1564.742928571429</v>
      </c>
      <c r="Q37" s="39">
        <v>1564.742928571429</v>
      </c>
      <c r="R37" s="39">
        <v>1564.742928571429</v>
      </c>
      <c r="S37" s="39">
        <v>1564.742928571429</v>
      </c>
      <c r="T37" s="39">
        <v>1564.742928571429</v>
      </c>
      <c r="U37" s="39">
        <v>1564.742928571429</v>
      </c>
      <c r="V37" s="39">
        <v>1564.742928571429</v>
      </c>
      <c r="W37" s="39">
        <v>1564.742928571429</v>
      </c>
      <c r="X37" s="39">
        <v>1564.742928571429</v>
      </c>
      <c r="Y37" s="39">
        <v>1564.742928571429</v>
      </c>
      <c r="Z37" s="39">
        <v>1564.742928571429</v>
      </c>
      <c r="AA37" s="39">
        <v>1564.742928571429</v>
      </c>
      <c r="AB37" s="39">
        <v>1564.742928571429</v>
      </c>
      <c r="AC37" s="39">
        <v>1564.742928571429</v>
      </c>
      <c r="AD37" s="39">
        <v>1564.742928571429</v>
      </c>
      <c r="AE37" s="39">
        <v>1564.742928571429</v>
      </c>
      <c r="AF37" s="39">
        <v>1564.742928571429</v>
      </c>
      <c r="AG37" s="39">
        <v>1564.742928571429</v>
      </c>
      <c r="AH37" s="39">
        <v>37553.830285714299</v>
      </c>
      <c r="AI37" s="39">
        <v>713522.77542857174</v>
      </c>
    </row>
    <row r="38" spans="1:35" x14ac:dyDescent="0.3">
      <c r="A38" s="40">
        <v>2031</v>
      </c>
      <c r="B38" s="40" t="s">
        <v>65</v>
      </c>
      <c r="C38" s="41" t="s">
        <v>54</v>
      </c>
      <c r="D38" s="41" t="s">
        <v>56</v>
      </c>
      <c r="E38" s="40">
        <v>19</v>
      </c>
      <c r="F38" s="40">
        <v>5</v>
      </c>
      <c r="G38" s="40">
        <v>5</v>
      </c>
      <c r="H38" s="40">
        <v>2</v>
      </c>
      <c r="I38" s="40">
        <v>31</v>
      </c>
      <c r="J38" s="39">
        <v>1564.742928571429</v>
      </c>
      <c r="K38" s="39">
        <v>1564.742928571429</v>
      </c>
      <c r="L38" s="39">
        <v>1564.742928571429</v>
      </c>
      <c r="M38" s="39">
        <v>1564.742928571429</v>
      </c>
      <c r="N38" s="39">
        <v>1564.742928571429</v>
      </c>
      <c r="O38" s="39">
        <v>1564.742928571429</v>
      </c>
      <c r="P38" s="39">
        <v>1564.742928571429</v>
      </c>
      <c r="Q38" s="39">
        <v>1564.742928571429</v>
      </c>
      <c r="R38" s="39">
        <v>1564.742928571429</v>
      </c>
      <c r="S38" s="39">
        <v>1564.742928571429</v>
      </c>
      <c r="T38" s="39">
        <v>1564.742928571429</v>
      </c>
      <c r="U38" s="39">
        <v>1564.742928571429</v>
      </c>
      <c r="V38" s="39">
        <v>1564.742928571429</v>
      </c>
      <c r="W38" s="39">
        <v>1564.742928571429</v>
      </c>
      <c r="X38" s="39">
        <v>1564.742928571429</v>
      </c>
      <c r="Y38" s="39">
        <v>1564.742928571429</v>
      </c>
      <c r="Z38" s="39">
        <v>1564.742928571429</v>
      </c>
      <c r="AA38" s="39">
        <v>1564.742928571429</v>
      </c>
      <c r="AB38" s="39">
        <v>1564.742928571429</v>
      </c>
      <c r="AC38" s="39">
        <v>1564.742928571429</v>
      </c>
      <c r="AD38" s="39">
        <v>1564.742928571429</v>
      </c>
      <c r="AE38" s="39">
        <v>1564.742928571429</v>
      </c>
      <c r="AF38" s="39">
        <v>1564.742928571429</v>
      </c>
      <c r="AG38" s="39">
        <v>1564.742928571429</v>
      </c>
      <c r="AH38" s="39">
        <v>37553.830285714299</v>
      </c>
      <c r="AI38" s="39">
        <v>187769.15142857149</v>
      </c>
    </row>
    <row r="39" spans="1:35" x14ac:dyDescent="0.3">
      <c r="A39" s="40">
        <v>2031</v>
      </c>
      <c r="B39" s="40" t="s">
        <v>65</v>
      </c>
      <c r="C39" s="41" t="s">
        <v>54</v>
      </c>
      <c r="D39" s="41" t="s">
        <v>57</v>
      </c>
      <c r="E39" s="40">
        <v>19</v>
      </c>
      <c r="F39" s="40">
        <v>5</v>
      </c>
      <c r="G39" s="40">
        <v>5</v>
      </c>
      <c r="H39" s="40">
        <v>2</v>
      </c>
      <c r="I39" s="40">
        <v>31</v>
      </c>
      <c r="J39" s="39">
        <v>1564.742928571429</v>
      </c>
      <c r="K39" s="39">
        <v>1564.742928571429</v>
      </c>
      <c r="L39" s="39">
        <v>1564.742928571429</v>
      </c>
      <c r="M39" s="39">
        <v>1564.742928571429</v>
      </c>
      <c r="N39" s="39">
        <v>1564.742928571429</v>
      </c>
      <c r="O39" s="39">
        <v>1564.742928571429</v>
      </c>
      <c r="P39" s="39">
        <v>1564.742928571429</v>
      </c>
      <c r="Q39" s="39">
        <v>1564.742928571429</v>
      </c>
      <c r="R39" s="39">
        <v>1564.742928571429</v>
      </c>
      <c r="S39" s="39">
        <v>1564.742928571429</v>
      </c>
      <c r="T39" s="39">
        <v>1564.742928571429</v>
      </c>
      <c r="U39" s="39">
        <v>1564.742928571429</v>
      </c>
      <c r="V39" s="39">
        <v>1564.742928571429</v>
      </c>
      <c r="W39" s="39">
        <v>1564.742928571429</v>
      </c>
      <c r="X39" s="39">
        <v>1564.742928571429</v>
      </c>
      <c r="Y39" s="39">
        <v>1564.742928571429</v>
      </c>
      <c r="Z39" s="39">
        <v>1564.742928571429</v>
      </c>
      <c r="AA39" s="39">
        <v>1564.742928571429</v>
      </c>
      <c r="AB39" s="39">
        <v>1564.742928571429</v>
      </c>
      <c r="AC39" s="39">
        <v>1564.742928571429</v>
      </c>
      <c r="AD39" s="39">
        <v>1564.742928571429</v>
      </c>
      <c r="AE39" s="39">
        <v>1564.742928571429</v>
      </c>
      <c r="AF39" s="39">
        <v>1564.742928571429</v>
      </c>
      <c r="AG39" s="39">
        <v>1564.742928571429</v>
      </c>
      <c r="AH39" s="39">
        <v>37553.830285714299</v>
      </c>
      <c r="AI39" s="39">
        <v>187769.15142857149</v>
      </c>
    </row>
    <row r="40" spans="1:35" x14ac:dyDescent="0.3">
      <c r="A40" s="40">
        <v>2031</v>
      </c>
      <c r="B40" s="40" t="s">
        <v>65</v>
      </c>
      <c r="C40" s="41" t="s">
        <v>54</v>
      </c>
      <c r="D40" s="41" t="s">
        <v>58</v>
      </c>
      <c r="E40" s="40">
        <v>19</v>
      </c>
      <c r="F40" s="40">
        <v>5</v>
      </c>
      <c r="G40" s="40">
        <v>5</v>
      </c>
      <c r="H40" s="40">
        <v>2</v>
      </c>
      <c r="I40" s="40">
        <v>31</v>
      </c>
      <c r="J40" s="39">
        <v>1564.742928571429</v>
      </c>
      <c r="K40" s="39">
        <v>1564.742928571429</v>
      </c>
      <c r="L40" s="39">
        <v>1564.742928571429</v>
      </c>
      <c r="M40" s="39">
        <v>1564.742928571429</v>
      </c>
      <c r="N40" s="39">
        <v>1564.742928571429</v>
      </c>
      <c r="O40" s="39">
        <v>1564.742928571429</v>
      </c>
      <c r="P40" s="39">
        <v>1564.742928571429</v>
      </c>
      <c r="Q40" s="39">
        <v>1564.742928571429</v>
      </c>
      <c r="R40" s="39">
        <v>1564.742928571429</v>
      </c>
      <c r="S40" s="39">
        <v>1564.742928571429</v>
      </c>
      <c r="T40" s="39">
        <v>1564.742928571429</v>
      </c>
      <c r="U40" s="39">
        <v>1564.742928571429</v>
      </c>
      <c r="V40" s="39">
        <v>1564.742928571429</v>
      </c>
      <c r="W40" s="39">
        <v>1564.742928571429</v>
      </c>
      <c r="X40" s="39">
        <v>1564.742928571429</v>
      </c>
      <c r="Y40" s="39">
        <v>1564.742928571429</v>
      </c>
      <c r="Z40" s="39">
        <v>1564.742928571429</v>
      </c>
      <c r="AA40" s="39">
        <v>1564.742928571429</v>
      </c>
      <c r="AB40" s="39">
        <v>1564.742928571429</v>
      </c>
      <c r="AC40" s="39">
        <v>1564.742928571429</v>
      </c>
      <c r="AD40" s="39">
        <v>1564.742928571429</v>
      </c>
      <c r="AE40" s="39">
        <v>1564.742928571429</v>
      </c>
      <c r="AF40" s="39">
        <v>1564.742928571429</v>
      </c>
      <c r="AG40" s="39">
        <v>1564.742928571429</v>
      </c>
      <c r="AH40" s="39">
        <v>37553.830285714299</v>
      </c>
      <c r="AI40" s="39">
        <v>75107.660571428598</v>
      </c>
    </row>
    <row r="41" spans="1:35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x14ac:dyDescent="0.3">
      <c r="A42" s="40">
        <v>2031</v>
      </c>
      <c r="B42" s="40" t="s">
        <v>66</v>
      </c>
      <c r="C42" s="41" t="s">
        <v>54</v>
      </c>
      <c r="D42" s="41" t="s">
        <v>55</v>
      </c>
      <c r="E42" s="40">
        <v>22</v>
      </c>
      <c r="F42" s="40">
        <v>4</v>
      </c>
      <c r="G42" s="40">
        <v>4</v>
      </c>
      <c r="H42" s="40">
        <v>0</v>
      </c>
      <c r="I42" s="40">
        <v>30</v>
      </c>
      <c r="J42" s="39">
        <v>1564.742928571429</v>
      </c>
      <c r="K42" s="39">
        <v>1564.742928571429</v>
      </c>
      <c r="L42" s="39">
        <v>1564.742928571429</v>
      </c>
      <c r="M42" s="39">
        <v>1564.742928571429</v>
      </c>
      <c r="N42" s="39">
        <v>1564.742928571429</v>
      </c>
      <c r="O42" s="39">
        <v>1564.742928571429</v>
      </c>
      <c r="P42" s="39">
        <v>1564.742928571429</v>
      </c>
      <c r="Q42" s="39">
        <v>1564.742928571429</v>
      </c>
      <c r="R42" s="39">
        <v>1564.742928571429</v>
      </c>
      <c r="S42" s="39">
        <v>1564.742928571429</v>
      </c>
      <c r="T42" s="39">
        <v>1564.742928571429</v>
      </c>
      <c r="U42" s="39">
        <v>1564.742928571429</v>
      </c>
      <c r="V42" s="39">
        <v>1564.742928571429</v>
      </c>
      <c r="W42" s="39">
        <v>1564.742928571429</v>
      </c>
      <c r="X42" s="39">
        <v>1564.742928571429</v>
      </c>
      <c r="Y42" s="39">
        <v>1564.742928571429</v>
      </c>
      <c r="Z42" s="39">
        <v>1564.742928571429</v>
      </c>
      <c r="AA42" s="39">
        <v>1564.742928571429</v>
      </c>
      <c r="AB42" s="39">
        <v>1564.742928571429</v>
      </c>
      <c r="AC42" s="39">
        <v>1564.742928571429</v>
      </c>
      <c r="AD42" s="39">
        <v>1564.742928571429</v>
      </c>
      <c r="AE42" s="39">
        <v>1564.742928571429</v>
      </c>
      <c r="AF42" s="39">
        <v>1564.742928571429</v>
      </c>
      <c r="AG42" s="39">
        <v>1564.742928571429</v>
      </c>
      <c r="AH42" s="39">
        <v>37553.830285714299</v>
      </c>
      <c r="AI42" s="39">
        <v>826184.26628571458</v>
      </c>
    </row>
    <row r="43" spans="1:35" x14ac:dyDescent="0.3">
      <c r="A43" s="40">
        <v>2031</v>
      </c>
      <c r="B43" s="40" t="s">
        <v>66</v>
      </c>
      <c r="C43" s="41" t="s">
        <v>54</v>
      </c>
      <c r="D43" s="41" t="s">
        <v>56</v>
      </c>
      <c r="E43" s="40">
        <v>22</v>
      </c>
      <c r="F43" s="40">
        <v>4</v>
      </c>
      <c r="G43" s="40">
        <v>4</v>
      </c>
      <c r="H43" s="40">
        <v>0</v>
      </c>
      <c r="I43" s="40">
        <v>30</v>
      </c>
      <c r="J43" s="39">
        <v>1564.742928571429</v>
      </c>
      <c r="K43" s="39">
        <v>1564.742928571429</v>
      </c>
      <c r="L43" s="39">
        <v>1564.742928571429</v>
      </c>
      <c r="M43" s="39">
        <v>1564.742928571429</v>
      </c>
      <c r="N43" s="39">
        <v>1564.742928571429</v>
      </c>
      <c r="O43" s="39">
        <v>1564.742928571429</v>
      </c>
      <c r="P43" s="39">
        <v>1564.742928571429</v>
      </c>
      <c r="Q43" s="39">
        <v>1564.742928571429</v>
      </c>
      <c r="R43" s="39">
        <v>1564.742928571429</v>
      </c>
      <c r="S43" s="39">
        <v>1564.742928571429</v>
      </c>
      <c r="T43" s="39">
        <v>1564.742928571429</v>
      </c>
      <c r="U43" s="39">
        <v>1564.742928571429</v>
      </c>
      <c r="V43" s="39">
        <v>1564.742928571429</v>
      </c>
      <c r="W43" s="39">
        <v>1564.742928571429</v>
      </c>
      <c r="X43" s="39">
        <v>1564.742928571429</v>
      </c>
      <c r="Y43" s="39">
        <v>1564.742928571429</v>
      </c>
      <c r="Z43" s="39">
        <v>1564.742928571429</v>
      </c>
      <c r="AA43" s="39">
        <v>1564.742928571429</v>
      </c>
      <c r="AB43" s="39">
        <v>1564.742928571429</v>
      </c>
      <c r="AC43" s="39">
        <v>1564.742928571429</v>
      </c>
      <c r="AD43" s="39">
        <v>1564.742928571429</v>
      </c>
      <c r="AE43" s="39">
        <v>1564.742928571429</v>
      </c>
      <c r="AF43" s="39">
        <v>1564.742928571429</v>
      </c>
      <c r="AG43" s="39">
        <v>1564.742928571429</v>
      </c>
      <c r="AH43" s="39">
        <v>37553.830285714299</v>
      </c>
      <c r="AI43" s="39">
        <v>150215.3211428572</v>
      </c>
    </row>
    <row r="44" spans="1:35" x14ac:dyDescent="0.3">
      <c r="A44" s="40">
        <v>2031</v>
      </c>
      <c r="B44" s="40" t="s">
        <v>66</v>
      </c>
      <c r="C44" s="41" t="s">
        <v>54</v>
      </c>
      <c r="D44" s="41" t="s">
        <v>57</v>
      </c>
      <c r="E44" s="40">
        <v>22</v>
      </c>
      <c r="F44" s="40">
        <v>4</v>
      </c>
      <c r="G44" s="40">
        <v>4</v>
      </c>
      <c r="H44" s="40">
        <v>0</v>
      </c>
      <c r="I44" s="40">
        <v>30</v>
      </c>
      <c r="J44" s="39">
        <v>1564.742928571429</v>
      </c>
      <c r="K44" s="39">
        <v>1564.742928571429</v>
      </c>
      <c r="L44" s="39">
        <v>1564.742928571429</v>
      </c>
      <c r="M44" s="39">
        <v>1564.742928571429</v>
      </c>
      <c r="N44" s="39">
        <v>1564.742928571429</v>
      </c>
      <c r="O44" s="39">
        <v>1564.742928571429</v>
      </c>
      <c r="P44" s="39">
        <v>1564.742928571429</v>
      </c>
      <c r="Q44" s="39">
        <v>1564.742928571429</v>
      </c>
      <c r="R44" s="39">
        <v>1564.742928571429</v>
      </c>
      <c r="S44" s="39">
        <v>1564.742928571429</v>
      </c>
      <c r="T44" s="39">
        <v>1564.742928571429</v>
      </c>
      <c r="U44" s="39">
        <v>1564.742928571429</v>
      </c>
      <c r="V44" s="39">
        <v>1564.742928571429</v>
      </c>
      <c r="W44" s="39">
        <v>1564.742928571429</v>
      </c>
      <c r="X44" s="39">
        <v>1564.742928571429</v>
      </c>
      <c r="Y44" s="39">
        <v>1564.742928571429</v>
      </c>
      <c r="Z44" s="39">
        <v>1564.742928571429</v>
      </c>
      <c r="AA44" s="39">
        <v>1564.742928571429</v>
      </c>
      <c r="AB44" s="39">
        <v>1564.742928571429</v>
      </c>
      <c r="AC44" s="39">
        <v>1564.742928571429</v>
      </c>
      <c r="AD44" s="39">
        <v>1564.742928571429</v>
      </c>
      <c r="AE44" s="39">
        <v>1564.742928571429</v>
      </c>
      <c r="AF44" s="39">
        <v>1564.742928571429</v>
      </c>
      <c r="AG44" s="39">
        <v>1564.742928571429</v>
      </c>
      <c r="AH44" s="39">
        <v>37553.830285714299</v>
      </c>
      <c r="AI44" s="39">
        <v>150215.3211428572</v>
      </c>
    </row>
    <row r="45" spans="1:35" x14ac:dyDescent="0.3">
      <c r="A45" s="40">
        <v>2031</v>
      </c>
      <c r="B45" s="40" t="s">
        <v>66</v>
      </c>
      <c r="C45" s="41" t="s">
        <v>54</v>
      </c>
      <c r="D45" s="41" t="s">
        <v>58</v>
      </c>
      <c r="E45" s="40">
        <v>22</v>
      </c>
      <c r="F45" s="40">
        <v>4</v>
      </c>
      <c r="G45" s="40">
        <v>4</v>
      </c>
      <c r="H45" s="40">
        <v>0</v>
      </c>
      <c r="I45" s="40">
        <v>30</v>
      </c>
      <c r="J45" s="39">
        <v>1564.742928571429</v>
      </c>
      <c r="K45" s="39">
        <v>1564.742928571429</v>
      </c>
      <c r="L45" s="39">
        <v>1564.742928571429</v>
      </c>
      <c r="M45" s="39">
        <v>1564.742928571429</v>
      </c>
      <c r="N45" s="39">
        <v>1564.742928571429</v>
      </c>
      <c r="O45" s="39">
        <v>1564.742928571429</v>
      </c>
      <c r="P45" s="39">
        <v>1564.742928571429</v>
      </c>
      <c r="Q45" s="39">
        <v>1564.742928571429</v>
      </c>
      <c r="R45" s="39">
        <v>1564.742928571429</v>
      </c>
      <c r="S45" s="39">
        <v>1564.742928571429</v>
      </c>
      <c r="T45" s="39">
        <v>1564.742928571429</v>
      </c>
      <c r="U45" s="39">
        <v>1564.742928571429</v>
      </c>
      <c r="V45" s="39">
        <v>1564.742928571429</v>
      </c>
      <c r="W45" s="39">
        <v>1564.742928571429</v>
      </c>
      <c r="X45" s="39">
        <v>1564.742928571429</v>
      </c>
      <c r="Y45" s="39">
        <v>1564.742928571429</v>
      </c>
      <c r="Z45" s="39">
        <v>1564.742928571429</v>
      </c>
      <c r="AA45" s="39">
        <v>1564.742928571429</v>
      </c>
      <c r="AB45" s="39">
        <v>1564.742928571429</v>
      </c>
      <c r="AC45" s="39">
        <v>1564.742928571429</v>
      </c>
      <c r="AD45" s="39">
        <v>1564.742928571429</v>
      </c>
      <c r="AE45" s="39">
        <v>1564.742928571429</v>
      </c>
      <c r="AF45" s="39">
        <v>1564.742928571429</v>
      </c>
      <c r="AG45" s="39">
        <v>1564.742928571429</v>
      </c>
      <c r="AH45" s="39">
        <v>37553.830285714299</v>
      </c>
      <c r="AI45" s="39">
        <v>0</v>
      </c>
    </row>
    <row r="46" spans="1:35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r="47" spans="1:35" x14ac:dyDescent="0.3">
      <c r="A47" s="40">
        <v>2031</v>
      </c>
      <c r="B47" s="40" t="s">
        <v>67</v>
      </c>
      <c r="C47" s="41" t="s">
        <v>54</v>
      </c>
      <c r="D47" s="41" t="s">
        <v>55</v>
      </c>
      <c r="E47" s="40">
        <v>22</v>
      </c>
      <c r="F47" s="40">
        <v>4</v>
      </c>
      <c r="G47" s="40">
        <v>4</v>
      </c>
      <c r="H47" s="40">
        <v>1</v>
      </c>
      <c r="I47" s="40">
        <v>31</v>
      </c>
      <c r="J47" s="39">
        <v>1564.742928571429</v>
      </c>
      <c r="K47" s="39">
        <v>1564.742928571429</v>
      </c>
      <c r="L47" s="39">
        <v>1564.742928571429</v>
      </c>
      <c r="M47" s="39">
        <v>1564.742928571429</v>
      </c>
      <c r="N47" s="39">
        <v>1564.742928571429</v>
      </c>
      <c r="O47" s="39">
        <v>1564.742928571429</v>
      </c>
      <c r="P47" s="39">
        <v>1564.742928571429</v>
      </c>
      <c r="Q47" s="39">
        <v>1564.742928571429</v>
      </c>
      <c r="R47" s="39">
        <v>1564.742928571429</v>
      </c>
      <c r="S47" s="39">
        <v>1564.742928571429</v>
      </c>
      <c r="T47" s="39">
        <v>1564.742928571429</v>
      </c>
      <c r="U47" s="39">
        <v>1564.742928571429</v>
      </c>
      <c r="V47" s="39">
        <v>1564.742928571429</v>
      </c>
      <c r="W47" s="39">
        <v>1564.742928571429</v>
      </c>
      <c r="X47" s="39">
        <v>1564.742928571429</v>
      </c>
      <c r="Y47" s="39">
        <v>1564.742928571429</v>
      </c>
      <c r="Z47" s="39">
        <v>1564.742928571429</v>
      </c>
      <c r="AA47" s="39">
        <v>1564.742928571429</v>
      </c>
      <c r="AB47" s="39">
        <v>1564.742928571429</v>
      </c>
      <c r="AC47" s="39">
        <v>1564.742928571429</v>
      </c>
      <c r="AD47" s="39">
        <v>1564.742928571429</v>
      </c>
      <c r="AE47" s="39">
        <v>1564.742928571429</v>
      </c>
      <c r="AF47" s="39">
        <v>1564.742928571429</v>
      </c>
      <c r="AG47" s="39">
        <v>1564.742928571429</v>
      </c>
      <c r="AH47" s="39">
        <v>37553.830285714299</v>
      </c>
      <c r="AI47" s="39">
        <v>826184.26628571458</v>
      </c>
    </row>
    <row r="48" spans="1:35" x14ac:dyDescent="0.3">
      <c r="A48" s="40">
        <v>2031</v>
      </c>
      <c r="B48" s="40" t="s">
        <v>67</v>
      </c>
      <c r="C48" s="41" t="s">
        <v>54</v>
      </c>
      <c r="D48" s="41" t="s">
        <v>56</v>
      </c>
      <c r="E48" s="40">
        <v>22</v>
      </c>
      <c r="F48" s="40">
        <v>4</v>
      </c>
      <c r="G48" s="40">
        <v>4</v>
      </c>
      <c r="H48" s="40">
        <v>1</v>
      </c>
      <c r="I48" s="40">
        <v>31</v>
      </c>
      <c r="J48" s="39">
        <v>1564.742928571429</v>
      </c>
      <c r="K48" s="39">
        <v>1564.742928571429</v>
      </c>
      <c r="L48" s="39">
        <v>1564.742928571429</v>
      </c>
      <c r="M48" s="39">
        <v>1564.742928571429</v>
      </c>
      <c r="N48" s="39">
        <v>1564.742928571429</v>
      </c>
      <c r="O48" s="39">
        <v>1564.742928571429</v>
      </c>
      <c r="P48" s="39">
        <v>1564.742928571429</v>
      </c>
      <c r="Q48" s="39">
        <v>1564.742928571429</v>
      </c>
      <c r="R48" s="39">
        <v>1564.742928571429</v>
      </c>
      <c r="S48" s="39">
        <v>1564.742928571429</v>
      </c>
      <c r="T48" s="39">
        <v>1564.742928571429</v>
      </c>
      <c r="U48" s="39">
        <v>1564.742928571429</v>
      </c>
      <c r="V48" s="39">
        <v>1564.742928571429</v>
      </c>
      <c r="W48" s="39">
        <v>1564.742928571429</v>
      </c>
      <c r="X48" s="39">
        <v>1564.742928571429</v>
      </c>
      <c r="Y48" s="39">
        <v>1564.742928571429</v>
      </c>
      <c r="Z48" s="39">
        <v>1564.742928571429</v>
      </c>
      <c r="AA48" s="39">
        <v>1564.742928571429</v>
      </c>
      <c r="AB48" s="39">
        <v>1564.742928571429</v>
      </c>
      <c r="AC48" s="39">
        <v>1564.742928571429</v>
      </c>
      <c r="AD48" s="39">
        <v>1564.742928571429</v>
      </c>
      <c r="AE48" s="39">
        <v>1564.742928571429</v>
      </c>
      <c r="AF48" s="39">
        <v>1564.742928571429</v>
      </c>
      <c r="AG48" s="39">
        <v>1564.742928571429</v>
      </c>
      <c r="AH48" s="39">
        <v>37553.830285714299</v>
      </c>
      <c r="AI48" s="39">
        <v>150215.3211428572</v>
      </c>
    </row>
    <row r="49" spans="1:35" x14ac:dyDescent="0.3">
      <c r="A49" s="40">
        <v>2031</v>
      </c>
      <c r="B49" s="40" t="s">
        <v>67</v>
      </c>
      <c r="C49" s="41" t="s">
        <v>54</v>
      </c>
      <c r="D49" s="41" t="s">
        <v>57</v>
      </c>
      <c r="E49" s="40">
        <v>22</v>
      </c>
      <c r="F49" s="40">
        <v>4</v>
      </c>
      <c r="G49" s="40">
        <v>4</v>
      </c>
      <c r="H49" s="40">
        <v>1</v>
      </c>
      <c r="I49" s="40">
        <v>31</v>
      </c>
      <c r="J49" s="39">
        <v>1564.742928571429</v>
      </c>
      <c r="K49" s="39">
        <v>1564.742928571429</v>
      </c>
      <c r="L49" s="39">
        <v>1564.742928571429</v>
      </c>
      <c r="M49" s="39">
        <v>1564.742928571429</v>
      </c>
      <c r="N49" s="39">
        <v>1564.742928571429</v>
      </c>
      <c r="O49" s="39">
        <v>1564.742928571429</v>
      </c>
      <c r="P49" s="39">
        <v>1564.742928571429</v>
      </c>
      <c r="Q49" s="39">
        <v>1564.742928571429</v>
      </c>
      <c r="R49" s="39">
        <v>1564.742928571429</v>
      </c>
      <c r="S49" s="39">
        <v>1564.742928571429</v>
      </c>
      <c r="T49" s="39">
        <v>1564.742928571429</v>
      </c>
      <c r="U49" s="39">
        <v>1564.742928571429</v>
      </c>
      <c r="V49" s="39">
        <v>1564.742928571429</v>
      </c>
      <c r="W49" s="39">
        <v>1564.742928571429</v>
      </c>
      <c r="X49" s="39">
        <v>1564.742928571429</v>
      </c>
      <c r="Y49" s="39">
        <v>1564.742928571429</v>
      </c>
      <c r="Z49" s="39">
        <v>1564.742928571429</v>
      </c>
      <c r="AA49" s="39">
        <v>1564.742928571429</v>
      </c>
      <c r="AB49" s="39">
        <v>1564.742928571429</v>
      </c>
      <c r="AC49" s="39">
        <v>1564.742928571429</v>
      </c>
      <c r="AD49" s="39">
        <v>1564.742928571429</v>
      </c>
      <c r="AE49" s="39">
        <v>1564.742928571429</v>
      </c>
      <c r="AF49" s="39">
        <v>1564.742928571429</v>
      </c>
      <c r="AG49" s="39">
        <v>1564.742928571429</v>
      </c>
      <c r="AH49" s="39">
        <v>37553.830285714299</v>
      </c>
      <c r="AI49" s="39">
        <v>150215.3211428572</v>
      </c>
    </row>
    <row r="50" spans="1:35" x14ac:dyDescent="0.3">
      <c r="A50" s="40">
        <v>2031</v>
      </c>
      <c r="B50" s="40" t="s">
        <v>67</v>
      </c>
      <c r="C50" s="41" t="s">
        <v>54</v>
      </c>
      <c r="D50" s="41" t="s">
        <v>58</v>
      </c>
      <c r="E50" s="40">
        <v>22</v>
      </c>
      <c r="F50" s="40">
        <v>4</v>
      </c>
      <c r="G50" s="40">
        <v>4</v>
      </c>
      <c r="H50" s="40">
        <v>1</v>
      </c>
      <c r="I50" s="40">
        <v>31</v>
      </c>
      <c r="J50" s="39">
        <v>1564.742928571429</v>
      </c>
      <c r="K50" s="39">
        <v>1564.742928571429</v>
      </c>
      <c r="L50" s="39">
        <v>1564.742928571429</v>
      </c>
      <c r="M50" s="39">
        <v>1564.742928571429</v>
      </c>
      <c r="N50" s="39">
        <v>1564.742928571429</v>
      </c>
      <c r="O50" s="39">
        <v>1564.742928571429</v>
      </c>
      <c r="P50" s="39">
        <v>1564.742928571429</v>
      </c>
      <c r="Q50" s="39">
        <v>1564.742928571429</v>
      </c>
      <c r="R50" s="39">
        <v>1564.742928571429</v>
      </c>
      <c r="S50" s="39">
        <v>1564.742928571429</v>
      </c>
      <c r="T50" s="39">
        <v>1564.742928571429</v>
      </c>
      <c r="U50" s="39">
        <v>1564.742928571429</v>
      </c>
      <c r="V50" s="39">
        <v>1564.742928571429</v>
      </c>
      <c r="W50" s="39">
        <v>1564.742928571429</v>
      </c>
      <c r="X50" s="39">
        <v>1564.742928571429</v>
      </c>
      <c r="Y50" s="39">
        <v>1564.742928571429</v>
      </c>
      <c r="Z50" s="39">
        <v>1564.742928571429</v>
      </c>
      <c r="AA50" s="39">
        <v>1564.742928571429</v>
      </c>
      <c r="AB50" s="39">
        <v>1564.742928571429</v>
      </c>
      <c r="AC50" s="39">
        <v>1564.742928571429</v>
      </c>
      <c r="AD50" s="39">
        <v>1564.742928571429</v>
      </c>
      <c r="AE50" s="39">
        <v>1564.742928571429</v>
      </c>
      <c r="AF50" s="39">
        <v>1564.742928571429</v>
      </c>
      <c r="AG50" s="39">
        <v>1564.742928571429</v>
      </c>
      <c r="AH50" s="39">
        <v>37553.830285714299</v>
      </c>
      <c r="AI50" s="39">
        <v>37553.830285714299</v>
      </c>
    </row>
    <row r="51" spans="1:35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r="52" spans="1:35" x14ac:dyDescent="0.3">
      <c r="A52" s="40">
        <v>2031</v>
      </c>
      <c r="B52" s="40" t="s">
        <v>68</v>
      </c>
      <c r="C52" s="41" t="s">
        <v>54</v>
      </c>
      <c r="D52" s="41" t="s">
        <v>55</v>
      </c>
      <c r="E52" s="40">
        <v>18</v>
      </c>
      <c r="F52" s="40">
        <v>5</v>
      </c>
      <c r="G52" s="40">
        <v>5</v>
      </c>
      <c r="H52" s="40">
        <v>2</v>
      </c>
      <c r="I52" s="40">
        <v>30</v>
      </c>
      <c r="J52" s="39">
        <v>1564.742928571429</v>
      </c>
      <c r="K52" s="39">
        <v>1564.742928571429</v>
      </c>
      <c r="L52" s="39">
        <v>1564.742928571429</v>
      </c>
      <c r="M52" s="39">
        <v>1564.742928571429</v>
      </c>
      <c r="N52" s="39">
        <v>1564.742928571429</v>
      </c>
      <c r="O52" s="39">
        <v>1564.742928571429</v>
      </c>
      <c r="P52" s="39">
        <v>1564.742928571429</v>
      </c>
      <c r="Q52" s="39">
        <v>1564.742928571429</v>
      </c>
      <c r="R52" s="39">
        <v>1564.742928571429</v>
      </c>
      <c r="S52" s="39">
        <v>1564.742928571429</v>
      </c>
      <c r="T52" s="39">
        <v>1564.742928571429</v>
      </c>
      <c r="U52" s="39">
        <v>1564.742928571429</v>
      </c>
      <c r="V52" s="39">
        <v>1564.742928571429</v>
      </c>
      <c r="W52" s="39">
        <v>1564.742928571429</v>
      </c>
      <c r="X52" s="39">
        <v>1564.742928571429</v>
      </c>
      <c r="Y52" s="39">
        <v>1564.742928571429</v>
      </c>
      <c r="Z52" s="39">
        <v>1564.742928571429</v>
      </c>
      <c r="AA52" s="39">
        <v>1564.742928571429</v>
      </c>
      <c r="AB52" s="39">
        <v>1564.742928571429</v>
      </c>
      <c r="AC52" s="39">
        <v>1564.742928571429</v>
      </c>
      <c r="AD52" s="39">
        <v>1564.742928571429</v>
      </c>
      <c r="AE52" s="39">
        <v>1564.742928571429</v>
      </c>
      <c r="AF52" s="39">
        <v>1564.742928571429</v>
      </c>
      <c r="AG52" s="39">
        <v>1564.742928571429</v>
      </c>
      <c r="AH52" s="39">
        <v>37553.830285714299</v>
      </c>
      <c r="AI52" s="39">
        <v>675968.94514285738</v>
      </c>
    </row>
    <row r="53" spans="1:35" x14ac:dyDescent="0.3">
      <c r="A53" s="40">
        <v>2031</v>
      </c>
      <c r="B53" s="40" t="s">
        <v>68</v>
      </c>
      <c r="C53" s="41" t="s">
        <v>54</v>
      </c>
      <c r="D53" s="41" t="s">
        <v>56</v>
      </c>
      <c r="E53" s="40">
        <v>18</v>
      </c>
      <c r="F53" s="40">
        <v>5</v>
      </c>
      <c r="G53" s="40">
        <v>5</v>
      </c>
      <c r="H53" s="40">
        <v>2</v>
      </c>
      <c r="I53" s="40">
        <v>30</v>
      </c>
      <c r="J53" s="39">
        <v>1564.742928571429</v>
      </c>
      <c r="K53" s="39">
        <v>1564.742928571429</v>
      </c>
      <c r="L53" s="39">
        <v>1564.742928571429</v>
      </c>
      <c r="M53" s="39">
        <v>1564.742928571429</v>
      </c>
      <c r="N53" s="39">
        <v>1564.742928571429</v>
      </c>
      <c r="O53" s="39">
        <v>1564.742928571429</v>
      </c>
      <c r="P53" s="39">
        <v>1564.742928571429</v>
      </c>
      <c r="Q53" s="39">
        <v>1564.742928571429</v>
      </c>
      <c r="R53" s="39">
        <v>1564.742928571429</v>
      </c>
      <c r="S53" s="39">
        <v>1564.742928571429</v>
      </c>
      <c r="T53" s="39">
        <v>1564.742928571429</v>
      </c>
      <c r="U53" s="39">
        <v>1564.742928571429</v>
      </c>
      <c r="V53" s="39">
        <v>1564.742928571429</v>
      </c>
      <c r="W53" s="39">
        <v>1564.742928571429</v>
      </c>
      <c r="X53" s="39">
        <v>1564.742928571429</v>
      </c>
      <c r="Y53" s="39">
        <v>1564.742928571429</v>
      </c>
      <c r="Z53" s="39">
        <v>1564.742928571429</v>
      </c>
      <c r="AA53" s="39">
        <v>1564.742928571429</v>
      </c>
      <c r="AB53" s="39">
        <v>1564.742928571429</v>
      </c>
      <c r="AC53" s="39">
        <v>1564.742928571429</v>
      </c>
      <c r="AD53" s="39">
        <v>1564.742928571429</v>
      </c>
      <c r="AE53" s="39">
        <v>1564.742928571429</v>
      </c>
      <c r="AF53" s="39">
        <v>1564.742928571429</v>
      </c>
      <c r="AG53" s="39">
        <v>1564.742928571429</v>
      </c>
      <c r="AH53" s="39">
        <v>37553.830285714299</v>
      </c>
      <c r="AI53" s="39">
        <v>187769.15142857149</v>
      </c>
    </row>
    <row r="54" spans="1:35" x14ac:dyDescent="0.3">
      <c r="A54" s="40">
        <v>2031</v>
      </c>
      <c r="B54" s="40" t="s">
        <v>68</v>
      </c>
      <c r="C54" s="41" t="s">
        <v>54</v>
      </c>
      <c r="D54" s="41" t="s">
        <v>57</v>
      </c>
      <c r="E54" s="40">
        <v>18</v>
      </c>
      <c r="F54" s="40">
        <v>5</v>
      </c>
      <c r="G54" s="40">
        <v>5</v>
      </c>
      <c r="H54" s="40">
        <v>2</v>
      </c>
      <c r="I54" s="40">
        <v>30</v>
      </c>
      <c r="J54" s="39">
        <v>1564.742928571429</v>
      </c>
      <c r="K54" s="39">
        <v>1564.742928571429</v>
      </c>
      <c r="L54" s="39">
        <v>1564.742928571429</v>
      </c>
      <c r="M54" s="39">
        <v>1564.742928571429</v>
      </c>
      <c r="N54" s="39">
        <v>1564.742928571429</v>
      </c>
      <c r="O54" s="39">
        <v>1564.742928571429</v>
      </c>
      <c r="P54" s="39">
        <v>1564.742928571429</v>
      </c>
      <c r="Q54" s="39">
        <v>1564.742928571429</v>
      </c>
      <c r="R54" s="39">
        <v>1564.742928571429</v>
      </c>
      <c r="S54" s="39">
        <v>1564.742928571429</v>
      </c>
      <c r="T54" s="39">
        <v>1564.742928571429</v>
      </c>
      <c r="U54" s="39">
        <v>1564.742928571429</v>
      </c>
      <c r="V54" s="39">
        <v>1564.742928571429</v>
      </c>
      <c r="W54" s="39">
        <v>1564.742928571429</v>
      </c>
      <c r="X54" s="39">
        <v>1564.742928571429</v>
      </c>
      <c r="Y54" s="39">
        <v>1564.742928571429</v>
      </c>
      <c r="Z54" s="39">
        <v>1564.742928571429</v>
      </c>
      <c r="AA54" s="39">
        <v>1564.742928571429</v>
      </c>
      <c r="AB54" s="39">
        <v>1564.742928571429</v>
      </c>
      <c r="AC54" s="39">
        <v>1564.742928571429</v>
      </c>
      <c r="AD54" s="39">
        <v>1564.742928571429</v>
      </c>
      <c r="AE54" s="39">
        <v>1564.742928571429</v>
      </c>
      <c r="AF54" s="39">
        <v>1564.742928571429</v>
      </c>
      <c r="AG54" s="39">
        <v>1564.742928571429</v>
      </c>
      <c r="AH54" s="39">
        <v>37553.830285714299</v>
      </c>
      <c r="AI54" s="39">
        <v>187769.15142857149</v>
      </c>
    </row>
    <row r="55" spans="1:35" x14ac:dyDescent="0.3">
      <c r="A55" s="40">
        <v>2031</v>
      </c>
      <c r="B55" s="40" t="s">
        <v>68</v>
      </c>
      <c r="C55" s="41" t="s">
        <v>54</v>
      </c>
      <c r="D55" s="41" t="s">
        <v>58</v>
      </c>
      <c r="E55" s="40">
        <v>18</v>
      </c>
      <c r="F55" s="40">
        <v>5</v>
      </c>
      <c r="G55" s="40">
        <v>5</v>
      </c>
      <c r="H55" s="40">
        <v>2</v>
      </c>
      <c r="I55" s="40">
        <v>30</v>
      </c>
      <c r="J55" s="39">
        <v>1564.742928571429</v>
      </c>
      <c r="K55" s="39">
        <v>1564.742928571429</v>
      </c>
      <c r="L55" s="39">
        <v>1564.742928571429</v>
      </c>
      <c r="M55" s="39">
        <v>1564.742928571429</v>
      </c>
      <c r="N55" s="39">
        <v>1564.742928571429</v>
      </c>
      <c r="O55" s="39">
        <v>1564.742928571429</v>
      </c>
      <c r="P55" s="39">
        <v>1564.742928571429</v>
      </c>
      <c r="Q55" s="39">
        <v>1564.742928571429</v>
      </c>
      <c r="R55" s="39">
        <v>1564.742928571429</v>
      </c>
      <c r="S55" s="39">
        <v>1564.742928571429</v>
      </c>
      <c r="T55" s="39">
        <v>1564.742928571429</v>
      </c>
      <c r="U55" s="39">
        <v>1564.742928571429</v>
      </c>
      <c r="V55" s="39">
        <v>1564.742928571429</v>
      </c>
      <c r="W55" s="39">
        <v>1564.742928571429</v>
      </c>
      <c r="X55" s="39">
        <v>1564.742928571429</v>
      </c>
      <c r="Y55" s="39">
        <v>1564.742928571429</v>
      </c>
      <c r="Z55" s="39">
        <v>1564.742928571429</v>
      </c>
      <c r="AA55" s="39">
        <v>1564.742928571429</v>
      </c>
      <c r="AB55" s="39">
        <v>1564.742928571429</v>
      </c>
      <c r="AC55" s="39">
        <v>1564.742928571429</v>
      </c>
      <c r="AD55" s="39">
        <v>1564.742928571429</v>
      </c>
      <c r="AE55" s="39">
        <v>1564.742928571429</v>
      </c>
      <c r="AF55" s="39">
        <v>1564.742928571429</v>
      </c>
      <c r="AG55" s="39">
        <v>1564.742928571429</v>
      </c>
      <c r="AH55" s="39">
        <v>37553.830285714299</v>
      </c>
      <c r="AI55" s="39">
        <v>75107.660571428598</v>
      </c>
    </row>
    <row r="56" spans="1:35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5" x14ac:dyDescent="0.3">
      <c r="A57" s="40">
        <v>2031</v>
      </c>
      <c r="B57" s="40" t="s">
        <v>69</v>
      </c>
      <c r="C57" s="41" t="s">
        <v>54</v>
      </c>
      <c r="D57" s="41" t="s">
        <v>55</v>
      </c>
      <c r="E57" s="40">
        <v>21</v>
      </c>
      <c r="F57" s="40">
        <v>4</v>
      </c>
      <c r="G57" s="40">
        <v>4</v>
      </c>
      <c r="H57" s="40">
        <v>2</v>
      </c>
      <c r="I57" s="40">
        <v>31</v>
      </c>
      <c r="J57" s="39">
        <v>1564.742928571429</v>
      </c>
      <c r="K57" s="39">
        <v>1564.742928571429</v>
      </c>
      <c r="L57" s="39">
        <v>1564.742928571429</v>
      </c>
      <c r="M57" s="39">
        <v>1564.742928571429</v>
      </c>
      <c r="N57" s="39">
        <v>1564.742928571429</v>
      </c>
      <c r="O57" s="39">
        <v>1564.742928571429</v>
      </c>
      <c r="P57" s="39">
        <v>1564.742928571429</v>
      </c>
      <c r="Q57" s="39">
        <v>1564.742928571429</v>
      </c>
      <c r="R57" s="39">
        <v>1564.742928571429</v>
      </c>
      <c r="S57" s="39">
        <v>1564.742928571429</v>
      </c>
      <c r="T57" s="39">
        <v>1564.742928571429</v>
      </c>
      <c r="U57" s="39">
        <v>1564.742928571429</v>
      </c>
      <c r="V57" s="39">
        <v>1564.742928571429</v>
      </c>
      <c r="W57" s="39">
        <v>1564.742928571429</v>
      </c>
      <c r="X57" s="39">
        <v>1564.742928571429</v>
      </c>
      <c r="Y57" s="39">
        <v>1564.742928571429</v>
      </c>
      <c r="Z57" s="39">
        <v>1564.742928571429</v>
      </c>
      <c r="AA57" s="39">
        <v>1564.742928571429</v>
      </c>
      <c r="AB57" s="39">
        <v>1564.742928571429</v>
      </c>
      <c r="AC57" s="39">
        <v>1564.742928571429</v>
      </c>
      <c r="AD57" s="39">
        <v>1564.742928571429</v>
      </c>
      <c r="AE57" s="39">
        <v>1564.742928571429</v>
      </c>
      <c r="AF57" s="39">
        <v>1564.742928571429</v>
      </c>
      <c r="AG57" s="39">
        <v>1564.742928571429</v>
      </c>
      <c r="AH57" s="39">
        <v>37553.830285714299</v>
      </c>
      <c r="AI57" s="39">
        <v>788630.43600000022</v>
      </c>
    </row>
    <row r="58" spans="1:35" x14ac:dyDescent="0.3">
      <c r="A58" s="40">
        <v>2031</v>
      </c>
      <c r="B58" s="40" t="s">
        <v>69</v>
      </c>
      <c r="C58" s="41" t="s">
        <v>54</v>
      </c>
      <c r="D58" s="41" t="s">
        <v>56</v>
      </c>
      <c r="E58" s="40">
        <v>21</v>
      </c>
      <c r="F58" s="40">
        <v>4</v>
      </c>
      <c r="G58" s="40">
        <v>4</v>
      </c>
      <c r="H58" s="40">
        <v>2</v>
      </c>
      <c r="I58" s="40">
        <v>31</v>
      </c>
      <c r="J58" s="39">
        <v>1564.742928571429</v>
      </c>
      <c r="K58" s="39">
        <v>1564.742928571429</v>
      </c>
      <c r="L58" s="39">
        <v>1564.742928571429</v>
      </c>
      <c r="M58" s="39">
        <v>1564.742928571429</v>
      </c>
      <c r="N58" s="39">
        <v>1564.742928571429</v>
      </c>
      <c r="O58" s="39">
        <v>1564.742928571429</v>
      </c>
      <c r="P58" s="39">
        <v>1564.742928571429</v>
      </c>
      <c r="Q58" s="39">
        <v>1564.742928571429</v>
      </c>
      <c r="R58" s="39">
        <v>1564.742928571429</v>
      </c>
      <c r="S58" s="39">
        <v>1564.742928571429</v>
      </c>
      <c r="T58" s="39">
        <v>1564.742928571429</v>
      </c>
      <c r="U58" s="39">
        <v>1564.742928571429</v>
      </c>
      <c r="V58" s="39">
        <v>1564.742928571429</v>
      </c>
      <c r="W58" s="39">
        <v>1564.742928571429</v>
      </c>
      <c r="X58" s="39">
        <v>1564.742928571429</v>
      </c>
      <c r="Y58" s="39">
        <v>1564.742928571429</v>
      </c>
      <c r="Z58" s="39">
        <v>1564.742928571429</v>
      </c>
      <c r="AA58" s="39">
        <v>1564.742928571429</v>
      </c>
      <c r="AB58" s="39">
        <v>1564.742928571429</v>
      </c>
      <c r="AC58" s="39">
        <v>1564.742928571429</v>
      </c>
      <c r="AD58" s="39">
        <v>1564.742928571429</v>
      </c>
      <c r="AE58" s="39">
        <v>1564.742928571429</v>
      </c>
      <c r="AF58" s="39">
        <v>1564.742928571429</v>
      </c>
      <c r="AG58" s="39">
        <v>1564.742928571429</v>
      </c>
      <c r="AH58" s="39">
        <v>37553.830285714299</v>
      </c>
      <c r="AI58" s="39">
        <v>150215.3211428572</v>
      </c>
    </row>
    <row r="59" spans="1:35" x14ac:dyDescent="0.3">
      <c r="A59" s="40">
        <v>2031</v>
      </c>
      <c r="B59" s="40" t="s">
        <v>69</v>
      </c>
      <c r="C59" s="41" t="s">
        <v>54</v>
      </c>
      <c r="D59" s="41" t="s">
        <v>57</v>
      </c>
      <c r="E59" s="40">
        <v>21</v>
      </c>
      <c r="F59" s="40">
        <v>4</v>
      </c>
      <c r="G59" s="40">
        <v>4</v>
      </c>
      <c r="H59" s="40">
        <v>2</v>
      </c>
      <c r="I59" s="40">
        <v>31</v>
      </c>
      <c r="J59" s="39">
        <v>1564.742928571429</v>
      </c>
      <c r="K59" s="39">
        <v>1564.742928571429</v>
      </c>
      <c r="L59" s="39">
        <v>1564.742928571429</v>
      </c>
      <c r="M59" s="39">
        <v>1564.742928571429</v>
      </c>
      <c r="N59" s="39">
        <v>1564.742928571429</v>
      </c>
      <c r="O59" s="39">
        <v>1564.742928571429</v>
      </c>
      <c r="P59" s="39">
        <v>1564.742928571429</v>
      </c>
      <c r="Q59" s="39">
        <v>1564.742928571429</v>
      </c>
      <c r="R59" s="39">
        <v>1564.742928571429</v>
      </c>
      <c r="S59" s="39">
        <v>1564.742928571429</v>
      </c>
      <c r="T59" s="39">
        <v>1564.742928571429</v>
      </c>
      <c r="U59" s="39">
        <v>1564.742928571429</v>
      </c>
      <c r="V59" s="39">
        <v>1564.742928571429</v>
      </c>
      <c r="W59" s="39">
        <v>1564.742928571429</v>
      </c>
      <c r="X59" s="39">
        <v>1564.742928571429</v>
      </c>
      <c r="Y59" s="39">
        <v>1564.742928571429</v>
      </c>
      <c r="Z59" s="39">
        <v>1564.742928571429</v>
      </c>
      <c r="AA59" s="39">
        <v>1564.742928571429</v>
      </c>
      <c r="AB59" s="39">
        <v>1564.742928571429</v>
      </c>
      <c r="AC59" s="39">
        <v>1564.742928571429</v>
      </c>
      <c r="AD59" s="39">
        <v>1564.742928571429</v>
      </c>
      <c r="AE59" s="39">
        <v>1564.742928571429</v>
      </c>
      <c r="AF59" s="39">
        <v>1564.742928571429</v>
      </c>
      <c r="AG59" s="39">
        <v>1564.742928571429</v>
      </c>
      <c r="AH59" s="39">
        <v>37553.830285714299</v>
      </c>
      <c r="AI59" s="39">
        <v>150215.3211428572</v>
      </c>
    </row>
    <row r="60" spans="1:35" x14ac:dyDescent="0.3">
      <c r="A60" s="40">
        <v>2031</v>
      </c>
      <c r="B60" s="40" t="s">
        <v>69</v>
      </c>
      <c r="C60" s="41" t="s">
        <v>54</v>
      </c>
      <c r="D60" s="41" t="s">
        <v>58</v>
      </c>
      <c r="E60" s="40">
        <v>21</v>
      </c>
      <c r="F60" s="40">
        <v>4</v>
      </c>
      <c r="G60" s="40">
        <v>4</v>
      </c>
      <c r="H60" s="40">
        <v>2</v>
      </c>
      <c r="I60" s="40">
        <v>31</v>
      </c>
      <c r="J60" s="39">
        <v>1564.742928571429</v>
      </c>
      <c r="K60" s="39">
        <v>1564.742928571429</v>
      </c>
      <c r="L60" s="39">
        <v>1564.742928571429</v>
      </c>
      <c r="M60" s="39">
        <v>1564.742928571429</v>
      </c>
      <c r="N60" s="39">
        <v>1564.742928571429</v>
      </c>
      <c r="O60" s="39">
        <v>1564.742928571429</v>
      </c>
      <c r="P60" s="39">
        <v>1564.742928571429</v>
      </c>
      <c r="Q60" s="39">
        <v>1564.742928571429</v>
      </c>
      <c r="R60" s="39">
        <v>1564.742928571429</v>
      </c>
      <c r="S60" s="39">
        <v>1564.742928571429</v>
      </c>
      <c r="T60" s="39">
        <v>1564.742928571429</v>
      </c>
      <c r="U60" s="39">
        <v>1564.742928571429</v>
      </c>
      <c r="V60" s="39">
        <v>1564.742928571429</v>
      </c>
      <c r="W60" s="39">
        <v>1564.742928571429</v>
      </c>
      <c r="X60" s="39">
        <v>1564.742928571429</v>
      </c>
      <c r="Y60" s="39">
        <v>1564.742928571429</v>
      </c>
      <c r="Z60" s="39">
        <v>1564.742928571429</v>
      </c>
      <c r="AA60" s="39">
        <v>1564.742928571429</v>
      </c>
      <c r="AB60" s="39">
        <v>1564.742928571429</v>
      </c>
      <c r="AC60" s="39">
        <v>1564.742928571429</v>
      </c>
      <c r="AD60" s="39">
        <v>1564.742928571429</v>
      </c>
      <c r="AE60" s="39">
        <v>1564.742928571429</v>
      </c>
      <c r="AF60" s="39">
        <v>1564.742928571429</v>
      </c>
      <c r="AG60" s="39">
        <v>1564.742928571429</v>
      </c>
      <c r="AH60" s="39">
        <v>37553.830285714299</v>
      </c>
      <c r="AI60" s="39">
        <v>75107.660571428598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Oferta producto 1</vt:lpstr>
      <vt:lpstr>Cantidades producto 1</vt:lpstr>
      <vt:lpstr>Oferta producto 2</vt:lpstr>
      <vt:lpstr>Cantidades producto 2</vt:lpstr>
      <vt:lpstr>Oferta producto 3</vt:lpstr>
      <vt:lpstr>Cantidades producto 3</vt:lpstr>
      <vt:lpstr>Oferta producto 4</vt:lpstr>
      <vt:lpstr>Cantidades producto 4</vt:lpstr>
      <vt:lpstr>Oferta producto 5</vt:lpstr>
      <vt:lpstr>Cantidades producto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Arturo Marin Coronado</dc:creator>
  <cp:lastModifiedBy>Rodrigo Arturo Marin Coronado</cp:lastModifiedBy>
  <dcterms:created xsi:type="dcterms:W3CDTF">2026-04-21T17:44:59Z</dcterms:created>
  <dcterms:modified xsi:type="dcterms:W3CDTF">2026-05-15T17:00:23Z</dcterms:modified>
</cp:coreProperties>
</file>