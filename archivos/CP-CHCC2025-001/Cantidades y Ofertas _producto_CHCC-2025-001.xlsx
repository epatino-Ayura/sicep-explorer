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omprasEnergia\Convocatorias - General\CP-CHCC2025-01\2_\"/>
    </mc:Choice>
  </mc:AlternateContent>
  <xr:revisionPtr revIDLastSave="0" documentId="13_ncr:1_{874CFF49-17E0-4E46-AC22-4B2982B76AE3}" xr6:coauthVersionLast="47" xr6:coauthVersionMax="47" xr10:uidLastSave="{00000000-0000-0000-0000-000000000000}"/>
  <bookViews>
    <workbookView xWindow="1950" yWindow="1950" windowWidth="28800" windowHeight="11235" activeTab="1" xr2:uid="{DBCF6EBD-C4B3-4CEE-B16A-4B2AC1F0ECF6}"/>
  </bookViews>
  <sheets>
    <sheet name="Oferta Producto 1" sheetId="12" r:id="rId1"/>
    <sheet name="Oferta Producto 2" sheetId="13" r:id="rId2"/>
    <sheet name="Oferta Producto 3" sheetId="15" r:id="rId3"/>
    <sheet name="Oferta Producto 4" sheetId="16" r:id="rId4"/>
    <sheet name="Oferta Producto 5" sheetId="17" r:id="rId5"/>
    <sheet name="Oferta Producto 6" sheetId="18" r:id="rId6"/>
    <sheet name="Cantidad Producto 1" sheetId="1" r:id="rId7"/>
    <sheet name="Cantidad Producto 2" sheetId="2" r:id="rId8"/>
    <sheet name="Cantidad Producto 3" sheetId="3" r:id="rId9"/>
    <sheet name="Cantidad Producto 4" sheetId="4" r:id="rId10"/>
    <sheet name="Cantidad Producto 5" sheetId="5" r:id="rId11"/>
    <sheet name="Cantidad Producto 6" sheetId="6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8" l="1"/>
  <c r="C8" i="17"/>
  <c r="C8" i="16"/>
  <c r="C8" i="15"/>
  <c r="C8" i="13"/>
  <c r="C4" i="15"/>
  <c r="C4" i="16"/>
  <c r="C4" i="17"/>
  <c r="C4" i="18"/>
  <c r="C4" i="13"/>
  <c r="AC27" i="6" l="1"/>
  <c r="AE12" i="6" s="1"/>
  <c r="C19" i="18" s="1"/>
  <c r="AC11" i="6"/>
  <c r="AE8" i="6" s="1"/>
  <c r="C15" i="18" s="1"/>
  <c r="AC15" i="6"/>
  <c r="AE9" i="6" s="1"/>
  <c r="C16" i="18" s="1"/>
  <c r="AC19" i="6"/>
  <c r="AE10" i="6" s="1"/>
  <c r="C17" i="18" s="1"/>
  <c r="AC23" i="6"/>
  <c r="AE11" i="6" s="1"/>
  <c r="C18" i="18" s="1"/>
  <c r="AC31" i="6"/>
  <c r="AE13" i="6" s="1"/>
  <c r="C20" i="18" s="1"/>
  <c r="AC35" i="6"/>
  <c r="AE14" i="6" s="1"/>
  <c r="C21" i="18" s="1"/>
  <c r="AC39" i="6"/>
  <c r="AE15" i="6" s="1"/>
  <c r="C22" i="18" s="1"/>
  <c r="AC43" i="6"/>
  <c r="AE16" i="6" s="1"/>
  <c r="C23" i="18" s="1"/>
  <c r="AC47" i="6"/>
  <c r="AE17" i="6" s="1"/>
  <c r="C24" i="18" s="1"/>
  <c r="AC51" i="6"/>
  <c r="AE18" i="6" s="1"/>
  <c r="C25" i="18" s="1"/>
  <c r="AC7" i="6"/>
  <c r="AE7" i="6" s="1"/>
  <c r="C14" i="18" s="1"/>
  <c r="AC51" i="5"/>
  <c r="AE18" i="5" s="1"/>
  <c r="C25" i="17" s="1"/>
  <c r="AC47" i="5"/>
  <c r="AE17" i="5" s="1"/>
  <c r="C24" i="17" s="1"/>
  <c r="AC43" i="5"/>
  <c r="AE16" i="5" s="1"/>
  <c r="C23" i="17" s="1"/>
  <c r="AC39" i="5"/>
  <c r="AE15" i="5" s="1"/>
  <c r="C22" i="17" s="1"/>
  <c r="AC35" i="5"/>
  <c r="AE14" i="5" s="1"/>
  <c r="C21" i="17" s="1"/>
  <c r="AC31" i="5"/>
  <c r="AE13" i="5" s="1"/>
  <c r="C20" i="17" s="1"/>
  <c r="AC27" i="5"/>
  <c r="AE12" i="5" s="1"/>
  <c r="C19" i="17" s="1"/>
  <c r="AC23" i="5"/>
  <c r="AE11" i="5" s="1"/>
  <c r="C18" i="17" s="1"/>
  <c r="AC19" i="5"/>
  <c r="AE10" i="5" s="1"/>
  <c r="C17" i="17" s="1"/>
  <c r="AC15" i="5"/>
  <c r="AE9" i="5" s="1"/>
  <c r="C16" i="17" s="1"/>
  <c r="AC11" i="5"/>
  <c r="AE8" i="5" s="1"/>
  <c r="C15" i="17" s="1"/>
  <c r="AC7" i="5"/>
  <c r="AC7" i="4"/>
  <c r="AC11" i="4"/>
  <c r="AE8" i="4" s="1"/>
  <c r="C15" i="16" s="1"/>
  <c r="AC23" i="4"/>
  <c r="AE11" i="4" s="1"/>
  <c r="C18" i="16" s="1"/>
  <c r="AC51" i="4"/>
  <c r="AE18" i="4" s="1"/>
  <c r="C25" i="16" s="1"/>
  <c r="AC19" i="4"/>
  <c r="AE10" i="4" s="1"/>
  <c r="C17" i="16" s="1"/>
  <c r="AC31" i="4"/>
  <c r="AE13" i="4" s="1"/>
  <c r="C20" i="16" s="1"/>
  <c r="AC43" i="4"/>
  <c r="AE16" i="4" s="1"/>
  <c r="C23" i="16" s="1"/>
  <c r="AC7" i="3"/>
  <c r="AE7" i="3" s="1"/>
  <c r="C14" i="15" s="1"/>
  <c r="AC11" i="3"/>
  <c r="AE8" i="3" s="1"/>
  <c r="C15" i="15" s="1"/>
  <c r="AC35" i="3"/>
  <c r="AE14" i="3" s="1"/>
  <c r="C21" i="15" s="1"/>
  <c r="AC51" i="3"/>
  <c r="AE18" i="3" s="1"/>
  <c r="C25" i="15" s="1"/>
  <c r="AC19" i="3"/>
  <c r="AE10" i="3" s="1"/>
  <c r="C17" i="15" s="1"/>
  <c r="AC31" i="3"/>
  <c r="AE13" i="3" s="1"/>
  <c r="C20" i="15" s="1"/>
  <c r="AC43" i="3"/>
  <c r="AE16" i="3" s="1"/>
  <c r="C23" i="15" s="1"/>
  <c r="AC51" i="2"/>
  <c r="AE18" i="2" s="1"/>
  <c r="C25" i="13" s="1"/>
  <c r="E25" i="13" s="1"/>
  <c r="AC47" i="2"/>
  <c r="AE17" i="2" s="1"/>
  <c r="C24" i="13" s="1"/>
  <c r="E24" i="13" s="1"/>
  <c r="AC43" i="2"/>
  <c r="AE16" i="2" s="1"/>
  <c r="C23" i="13" s="1"/>
  <c r="E23" i="13" s="1"/>
  <c r="AC39" i="2"/>
  <c r="AE15" i="2" s="1"/>
  <c r="C22" i="13" s="1"/>
  <c r="E22" i="13" s="1"/>
  <c r="AC35" i="2"/>
  <c r="AE14" i="2" s="1"/>
  <c r="C21" i="13" s="1"/>
  <c r="E21" i="13" s="1"/>
  <c r="AC31" i="2"/>
  <c r="AE13" i="2" s="1"/>
  <c r="C20" i="13" s="1"/>
  <c r="E20" i="13" s="1"/>
  <c r="AC27" i="2"/>
  <c r="AE12" i="2" s="1"/>
  <c r="C19" i="13" s="1"/>
  <c r="E19" i="13" s="1"/>
  <c r="AC23" i="2"/>
  <c r="AE11" i="2" s="1"/>
  <c r="C18" i="13" s="1"/>
  <c r="E18" i="13" s="1"/>
  <c r="AC19" i="2"/>
  <c r="AE10" i="2" s="1"/>
  <c r="C17" i="13" s="1"/>
  <c r="E17" i="13" s="1"/>
  <c r="AC15" i="2"/>
  <c r="AE9" i="2" s="1"/>
  <c r="C16" i="13" s="1"/>
  <c r="E16" i="13" s="1"/>
  <c r="AC11" i="2"/>
  <c r="AE8" i="2" s="1"/>
  <c r="C15" i="13" s="1"/>
  <c r="E15" i="13" s="1"/>
  <c r="AC7" i="2"/>
  <c r="AC51" i="1"/>
  <c r="AE18" i="1" s="1"/>
  <c r="C25" i="12" s="1"/>
  <c r="E25" i="12" s="1"/>
  <c r="AC47" i="1"/>
  <c r="AE17" i="1" s="1"/>
  <c r="C24" i="12" s="1"/>
  <c r="E24" i="12" s="1"/>
  <c r="AC43" i="1"/>
  <c r="AE16" i="1" s="1"/>
  <c r="C23" i="12" s="1"/>
  <c r="E23" i="12" s="1"/>
  <c r="AC39" i="1"/>
  <c r="AE15" i="1" s="1"/>
  <c r="C22" i="12" s="1"/>
  <c r="E22" i="12" s="1"/>
  <c r="AC35" i="1"/>
  <c r="AE14" i="1" s="1"/>
  <c r="C21" i="12" s="1"/>
  <c r="E21" i="12" s="1"/>
  <c r="AC31" i="1"/>
  <c r="AE13" i="1" s="1"/>
  <c r="C20" i="12" s="1"/>
  <c r="E20" i="12" s="1"/>
  <c r="AC27" i="1"/>
  <c r="AE12" i="1" s="1"/>
  <c r="C19" i="12" s="1"/>
  <c r="E19" i="12" s="1"/>
  <c r="AC23" i="1"/>
  <c r="AE11" i="1" s="1"/>
  <c r="C18" i="12" s="1"/>
  <c r="E18" i="12" s="1"/>
  <c r="AC19" i="1"/>
  <c r="AE10" i="1" s="1"/>
  <c r="C17" i="12" s="1"/>
  <c r="E17" i="12" s="1"/>
  <c r="AC15" i="1"/>
  <c r="AE9" i="1" s="1"/>
  <c r="C16" i="12" s="1"/>
  <c r="E16" i="12" s="1"/>
  <c r="AC11" i="1"/>
  <c r="AE8" i="1" s="1"/>
  <c r="C15" i="12" s="1"/>
  <c r="E15" i="12" s="1"/>
  <c r="AC7" i="1"/>
  <c r="AE7" i="1" s="1"/>
  <c r="C14" i="12" s="1"/>
  <c r="E14" i="12" s="1"/>
  <c r="C26" i="18" l="1"/>
  <c r="AE19" i="1"/>
  <c r="AC55" i="5"/>
  <c r="AE7" i="5"/>
  <c r="C14" i="17" s="1"/>
  <c r="C26" i="17" s="1"/>
  <c r="AC55" i="2"/>
  <c r="AC55" i="1"/>
  <c r="AE7" i="2"/>
  <c r="C14" i="13" s="1"/>
  <c r="C26" i="12"/>
  <c r="E26" i="12"/>
  <c r="AC55" i="6"/>
  <c r="AC15" i="4"/>
  <c r="AE9" i="4" s="1"/>
  <c r="C16" i="16" s="1"/>
  <c r="AC39" i="4"/>
  <c r="AE15" i="4" s="1"/>
  <c r="C22" i="16" s="1"/>
  <c r="AC27" i="4"/>
  <c r="AE12" i="4" s="1"/>
  <c r="C19" i="16" s="1"/>
  <c r="AC47" i="4"/>
  <c r="AE17" i="4" s="1"/>
  <c r="C24" i="16" s="1"/>
  <c r="AC35" i="4"/>
  <c r="AE14" i="4" s="1"/>
  <c r="C21" i="16" s="1"/>
  <c r="AE7" i="4"/>
  <c r="C14" i="16" s="1"/>
  <c r="AC39" i="3"/>
  <c r="AE15" i="3" s="1"/>
  <c r="C22" i="15" s="1"/>
  <c r="AC27" i="3"/>
  <c r="AE12" i="3" s="1"/>
  <c r="C19" i="15" s="1"/>
  <c r="AC15" i="3"/>
  <c r="AE9" i="3" s="1"/>
  <c r="C16" i="15" s="1"/>
  <c r="AC47" i="3"/>
  <c r="AE17" i="3" s="1"/>
  <c r="C24" i="15" s="1"/>
  <c r="AC23" i="3"/>
  <c r="AE11" i="3" s="1"/>
  <c r="C18" i="15" s="1"/>
  <c r="C26" i="16" l="1"/>
  <c r="C26" i="15"/>
  <c r="E14" i="13"/>
  <c r="E26" i="13" s="1"/>
  <c r="C26" i="13"/>
  <c r="AC57" i="2" s="1"/>
  <c r="AC55" i="4"/>
  <c r="AC55" i="3"/>
</calcChain>
</file>

<file path=xl/sharedStrings.xml><?xml version="1.0" encoding="utf-8"?>
<sst xmlns="http://schemas.openxmlformats.org/spreadsheetml/2006/main" count="925" uniqueCount="77">
  <si>
    <t>Mes</t>
  </si>
  <si>
    <t>Tipo Día</t>
  </si>
  <si>
    <t>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</si>
  <si>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</si>
  <si>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</si>
  <si>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</si>
  <si>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</si>
  <si>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</si>
  <si>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</si>
  <si>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</si>
  <si>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</si>
  <si>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</si>
  <si>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</si>
  <si>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</si>
  <si>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</si>
  <si>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</si>
  <si>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</si>
  <si>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</si>
  <si>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</si>
  <si>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</si>
  <si>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</si>
  <si>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</si>
  <si>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</si>
  <si>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</si>
  <si>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</si>
  <si>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</si>
  <si>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</si>
  <si>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TOTAL MES</t>
  </si>
  <si>
    <t>Ene</t>
  </si>
  <si>
    <t xml:space="preserve"> Ordinario</t>
  </si>
  <si>
    <t xml:space="preserve"> Sábado</t>
  </si>
  <si>
    <t xml:space="preserve"> Domingo</t>
  </si>
  <si>
    <t xml:space="preserve"> Festivo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</si>
  <si>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</si>
  <si>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</si>
  <si>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</si>
  <si>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</si>
  <si>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</si>
  <si>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</si>
  <si>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</si>
  <si>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</si>
  <si>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</si>
  <si>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</si>
  <si>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</si>
  <si>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CENTRAL HIDROELECTRICA DE CALDAS S.A. E.S.P. -BENEFICIO E INTERÉS COLECTIVO</t>
  </si>
  <si>
    <t>CANTIDADES DE ENERGÍA SOLICITADAS (kWh)</t>
  </si>
  <si>
    <t>TOTAL AÑO kWh</t>
  </si>
  <si>
    <t>CANTIDADES DE ENERGÍA SOLICITADAS kWh)</t>
  </si>
  <si>
    <t>ANEXO. CANTIDADES DE ENERGÍA Y PRECIO</t>
  </si>
  <si>
    <t>PRODUCTO:</t>
  </si>
  <si>
    <t>CONVOCATORIA PUBLICA:</t>
  </si>
  <si>
    <t>OFERENTE:</t>
  </si>
  <si>
    <t>AÑO:</t>
  </si>
  <si>
    <t>CANTIDAD EN:</t>
  </si>
  <si>
    <t>KWh</t>
  </si>
  <si>
    <t>EN PESOS DE</t>
  </si>
  <si>
    <t>INDICADOR:</t>
  </si>
  <si>
    <t>IPP- PROVISIONAL</t>
  </si>
  <si>
    <t>TIPO DE CONTRATO:</t>
  </si>
  <si>
    <t>PC</t>
  </si>
  <si>
    <t>TIPO DE CARGA:</t>
  </si>
  <si>
    <t>CURVA</t>
  </si>
  <si>
    <t xml:space="preserve">Fecha </t>
  </si>
  <si>
    <t>Energia Solicitada kWh</t>
  </si>
  <si>
    <t>Porcentaje Ofertado %</t>
  </si>
  <si>
    <t>Energia Ofertada kWh</t>
  </si>
  <si>
    <t>Precio $/KWh</t>
  </si>
  <si>
    <t>Total año</t>
  </si>
  <si>
    <t>%</t>
  </si>
  <si>
    <t xml:space="preserve">Notas: </t>
  </si>
  <si>
    <r>
      <t>1.</t>
    </r>
    <r>
      <rPr>
        <sz val="7"/>
        <rFont val="Calibri Light"/>
        <family val="2"/>
        <scheme val="major"/>
      </rPr>
      <t xml:space="preserve"> </t>
    </r>
    <r>
      <rPr>
        <sz val="11"/>
        <rFont val="Calibri Light"/>
        <family val="2"/>
        <scheme val="major"/>
      </rPr>
      <t>La Energía Ofertada se distribuye en forma horaria de acuerdo con la curva de carga presentada en la hoja Cantidades Producto.</t>
    </r>
  </si>
  <si>
    <t>3.Tipo de Contrato: pague lo contratado.</t>
  </si>
  <si>
    <t xml:space="preserve">5.Con  % igual para todos  los meses del año, el precio debe ser el mismo para todos los meses del año
</t>
  </si>
  <si>
    <t>Total producto</t>
  </si>
  <si>
    <t>CP-CHCC2025-001</t>
  </si>
  <si>
    <t>2. Se aceptan ofertas siguiendo la curva</t>
  </si>
  <si>
    <t>4. Precio ofertado en $kWh, en pesos de febrero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</si>
</sst>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\ _€_-;_-@_-"/>
    <numFmt numFmtId="166" formatCode="_-* #,##0.00_-;\-* #,##0.00_-;_-* &quot;-&quot;_-;_-@_-"/>
    <numFmt numFmtId="168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ptos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2"/>
      <name val="Calibri Light"/>
      <family val="2"/>
      <scheme val="major"/>
    </font>
    <font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name val="Arial"/>
      <family val="2"/>
    </font>
    <font>
      <b/>
      <sz val="10"/>
      <name val="Calibri Light"/>
      <family val="2"/>
      <scheme val="major"/>
    </font>
    <font>
      <sz val="11"/>
      <color indexed="8"/>
      <name val="Calibri"/>
      <family val="2"/>
    </font>
    <font>
      <b/>
      <sz val="12"/>
      <color indexed="8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7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9" fillId="0" borderId="0"/>
    <xf numFmtId="0" fontId="3" fillId="0" borderId="0"/>
    <xf numFmtId="0" fontId="13" fillId="0" borderId="0"/>
    <xf numFmtId="0" fontId="15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/>
    </xf>
    <xf numFmtId="43" fontId="3" fillId="0" borderId="1" xfId="1" applyFont="1" applyBorder="1" applyAlignment="1">
      <alignment horizontal="center" vertical="center" wrapText="1"/>
    </xf>
    <xf numFmtId="3" fontId="6" fillId="0" borderId="0" xfId="0" applyNumberFormat="1" applyFont="1"/>
    <xf numFmtId="43" fontId="7" fillId="0" borderId="1" xfId="1" applyFont="1" applyBorder="1" applyAlignment="1">
      <alignment horizontal="center" vertical="center" wrapText="1"/>
    </xf>
    <xf numFmtId="0" fontId="7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3" borderId="0" xfId="2" applyFont="1" applyFill="1" applyAlignment="1">
      <alignment horizontal="left" vertical="top"/>
    </xf>
    <xf numFmtId="0" fontId="11" fillId="0" borderId="0" xfId="3" applyFont="1"/>
    <xf numFmtId="0" fontId="12" fillId="0" borderId="0" xfId="0" applyFont="1"/>
    <xf numFmtId="0" fontId="10" fillId="0" borderId="0" xfId="4" applyFont="1" applyAlignment="1">
      <alignment horizontal="left"/>
    </xf>
    <xf numFmtId="0" fontId="14" fillId="0" borderId="0" xfId="3" applyFont="1" applyAlignment="1">
      <alignment horizontal="left"/>
    </xf>
    <xf numFmtId="0" fontId="16" fillId="3" borderId="0" xfId="5" applyFont="1" applyFill="1"/>
    <xf numFmtId="0" fontId="10" fillId="3" borderId="0" xfId="4" applyFont="1" applyFill="1" applyAlignment="1">
      <alignment horizontal="left" wrapText="1"/>
    </xf>
    <xf numFmtId="4" fontId="10" fillId="3" borderId="0" xfId="4" applyNumberFormat="1" applyFont="1" applyFill="1" applyAlignment="1">
      <alignment horizontal="left"/>
    </xf>
    <xf numFmtId="0" fontId="10" fillId="3" borderId="0" xfId="4" applyFont="1" applyFill="1" applyAlignment="1">
      <alignment horizontal="left"/>
    </xf>
    <xf numFmtId="17" fontId="14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17" fontId="10" fillId="3" borderId="1" xfId="4" applyNumberFormat="1" applyFont="1" applyFill="1" applyBorder="1" applyAlignment="1">
      <alignment horizontal="left" wrapText="1"/>
    </xf>
    <xf numFmtId="17" fontId="10" fillId="0" borderId="1" xfId="4" applyNumberFormat="1" applyFont="1" applyBorder="1" applyAlignment="1">
      <alignment horizontal="left" wrapText="1"/>
    </xf>
    <xf numFmtId="0" fontId="14" fillId="0" borderId="0" xfId="3" applyFont="1" applyAlignment="1">
      <alignment horizontal="center"/>
    </xf>
    <xf numFmtId="17" fontId="14" fillId="0" borderId="1" xfId="0" applyNumberFormat="1" applyFont="1" applyBorder="1" applyAlignment="1">
      <alignment horizontal="center" vertical="center"/>
    </xf>
    <xf numFmtId="165" fontId="11" fillId="0" borderId="1" xfId="6" applyNumberFormat="1" applyFont="1" applyFill="1" applyBorder="1" applyAlignment="1">
      <alignment horizontal="center" vertical="center"/>
    </xf>
    <xf numFmtId="10" fontId="11" fillId="4" borderId="1" xfId="7" applyNumberFormat="1" applyFont="1" applyFill="1" applyBorder="1" applyAlignment="1">
      <alignment horizontal="center" vertical="center"/>
    </xf>
    <xf numFmtId="44" fontId="11" fillId="4" borderId="1" xfId="8" applyFont="1" applyFill="1" applyBorder="1" applyAlignment="1">
      <alignment vertical="center"/>
    </xf>
    <xf numFmtId="166" fontId="11" fillId="0" borderId="0" xfId="3" applyNumberFormat="1" applyFont="1"/>
    <xf numFmtId="165" fontId="14" fillId="0" borderId="1" xfId="6" applyNumberFormat="1" applyFont="1" applyFill="1" applyBorder="1" applyAlignment="1">
      <alignment horizontal="center" vertical="center"/>
    </xf>
    <xf numFmtId="9" fontId="11" fillId="4" borderId="1" xfId="7" applyFont="1" applyFill="1" applyBorder="1" applyAlignment="1">
      <alignment horizontal="center" vertical="center"/>
    </xf>
    <xf numFmtId="41" fontId="11" fillId="0" borderId="0" xfId="9" applyFont="1"/>
    <xf numFmtId="10" fontId="11" fillId="0" borderId="0" xfId="3" applyNumberFormat="1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43" fontId="11" fillId="0" borderId="0" xfId="3" applyNumberFormat="1" applyFont="1"/>
    <xf numFmtId="164" fontId="11" fillId="0" borderId="0" xfId="3" applyNumberFormat="1" applyFont="1"/>
    <xf numFmtId="4" fontId="8" fillId="0" borderId="1" xfId="0" applyNumberFormat="1" applyFont="1" applyBorder="1" applyAlignment="1">
      <alignment horizontal="center"/>
    </xf>
    <xf numFmtId="43" fontId="7" fillId="0" borderId="0" xfId="1" applyFont="1"/>
    <xf numFmtId="43" fontId="8" fillId="2" borderId="1" xfId="1" applyFont="1" applyFill="1" applyBorder="1" applyAlignment="1">
      <alignment horizontal="center" vertical="center" wrapText="1"/>
    </xf>
    <xf numFmtId="43" fontId="8" fillId="0" borderId="1" xfId="1" applyFont="1" applyBorder="1" applyAlignment="1">
      <alignment horizontal="center"/>
    </xf>
    <xf numFmtId="3" fontId="7" fillId="0" borderId="0" xfId="0" applyNumberFormat="1" applyFont="1"/>
    <xf numFmtId="43" fontId="12" fillId="0" borderId="0" xfId="0" applyNumberFormat="1" applyFont="1"/>
    <xf numFmtId="4" fontId="7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43" fontId="7" fillId="0" borderId="2" xfId="1" applyFont="1" applyBorder="1" applyAlignment="1">
      <alignment horizontal="center" vertical="center" wrapText="1"/>
    </xf>
    <xf numFmtId="43" fontId="7" fillId="0" borderId="3" xfId="1" applyFont="1" applyBorder="1" applyAlignment="1">
      <alignment horizontal="center" vertical="center" wrapText="1"/>
    </xf>
    <xf numFmtId="43" fontId="7" fillId="0" borderId="4" xfId="1" applyFont="1" applyBorder="1" applyAlignment="1">
      <alignment horizontal="center" vertical="center" wrapText="1"/>
    </xf>
    <xf numFmtId="43" fontId="8" fillId="0" borderId="1" xfId="1" applyFont="1" applyBorder="1" applyAlignment="1">
      <alignment horizontal="center"/>
    </xf>
    <xf numFmtId="0" fontId="8" fillId="0" borderId="0" xfId="0" applyFont="1" applyAlignment="1">
      <alignment horizontal="center"/>
    </xf>
    <xf numFmtId="3" fontId="7" fillId="0" borderId="2" xfId="0" applyNumberFormat="1" applyFont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3" fontId="7" fillId="0" borderId="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7" fillId="0" borderId="2" xfId="1" applyNumberFormat="1" applyFont="1" applyBorder="1" applyAlignment="1">
      <alignment horizontal="center" vertical="center" wrapText="1"/>
    </xf>
    <xf numFmtId="168" fontId="7" fillId="0" borderId="3" xfId="1" applyNumberFormat="1" applyFont="1" applyBorder="1" applyAlignment="1">
      <alignment horizontal="center" vertical="center" wrapText="1"/>
    </xf>
    <xf numFmtId="168" fontId="7" fillId="0" borderId="4" xfId="1" applyNumberFormat="1" applyFont="1" applyBorder="1" applyAlignment="1">
      <alignment horizontal="center" vertical="center" wrapText="1"/>
    </xf>
    <xf numFmtId="168" fontId="7" fillId="0" borderId="0" xfId="1" applyNumberFormat="1" applyFont="1"/>
    <xf numFmtId="168" fontId="8" fillId="0" borderId="1" xfId="1" applyNumberFormat="1" applyFont="1" applyBorder="1" applyAlignment="1">
      <alignment horizontal="center"/>
    </xf>
    <xf numFmtId="168" fontId="8" fillId="0" borderId="1" xfId="1" applyNumberFormat="1" applyFont="1" applyBorder="1" applyAlignment="1">
      <alignment horizontal="center"/>
    </xf>
    <xf numFmtId="168" fontId="3" fillId="0" borderId="1" xfId="1" applyNumberFormat="1" applyFont="1" applyBorder="1" applyAlignment="1">
      <alignment horizontal="center" vertical="center" wrapText="1"/>
    </xf>
    <xf numFmtId="168" fontId="3" fillId="0" borderId="2" xfId="1" applyNumberFormat="1" applyFont="1" applyBorder="1" applyAlignment="1">
      <alignment horizontal="center" vertical="center" wrapText="1"/>
    </xf>
    <xf numFmtId="168" fontId="3" fillId="0" borderId="3" xfId="1" applyNumberFormat="1" applyFont="1" applyBorder="1" applyAlignment="1">
      <alignment horizontal="center" vertical="center" wrapText="1"/>
    </xf>
    <xf numFmtId="168" fontId="3" fillId="0" borderId="4" xfId="1" applyNumberFormat="1" applyFont="1" applyBorder="1" applyAlignment="1">
      <alignment horizontal="center" vertical="center" wrapText="1"/>
    </xf>
    <xf numFmtId="168" fontId="3" fillId="0" borderId="0" xfId="1" applyNumberFormat="1" applyFont="1"/>
    <xf numFmtId="168" fontId="5" fillId="0" borderId="1" xfId="1" applyNumberFormat="1" applyFont="1" applyBorder="1" applyAlignment="1">
      <alignment horizontal="center"/>
    </xf>
    <xf numFmtId="168" fontId="5" fillId="0" borderId="1" xfId="1" applyNumberFormat="1" applyFont="1" applyBorder="1" applyAlignment="1">
      <alignment horizontal="center"/>
    </xf>
  </cellXfs>
  <cellStyles count="10">
    <cellStyle name="Millares" xfId="1" builtinId="3"/>
    <cellStyle name="Millares [0] 2" xfId="6" xr:uid="{0EA07DCC-854A-4F1A-B1E5-0D0296A936D5}"/>
    <cellStyle name="Millares [0] 3" xfId="9" xr:uid="{F0060658-987A-48E1-A5A6-8CCAA327086E}"/>
    <cellStyle name="Moneda 2" xfId="8" xr:uid="{EC3682A8-E881-462C-A8F6-3831E16C7F0E}"/>
    <cellStyle name="Normal" xfId="0" builtinId="0"/>
    <cellStyle name="Normal 3 2" xfId="3" xr:uid="{9E89C3C0-3B7A-42E3-AE86-D2559E2D33CF}"/>
    <cellStyle name="Normal_ENE99" xfId="4" xr:uid="{4912E6F3-3141-4459-B182-28057013CBDA}"/>
    <cellStyle name="Normal_GC00-001" xfId="2" xr:uid="{12C5EDDB-28C3-4989-90A7-3A05677D6917}"/>
    <cellStyle name="Normal_TABLA DE COMO SE ARMA PRECIOS" xfId="5" xr:uid="{E3DFA84D-E2C3-49CD-AB44-1B60CD32F390}"/>
    <cellStyle name="Porcentaje 2" xfId="7" xr:uid="{A293A1C8-D519-442D-AB85-A3E837E68D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37AC-72E1-41DA-96EF-2505A973EFA1}">
  <dimension ref="B1:K38"/>
  <sheetViews>
    <sheetView showGridLines="0" topLeftCell="A13" workbookViewId="0">
      <selection sqref="A1:I34"/>
    </sheetView>
  </sheetViews>
  <sheetFormatPr baseColWidth="10" defaultColWidth="10.85546875" defaultRowHeight="15" x14ac:dyDescent="0.25"/>
  <cols>
    <col min="1" max="1" width="4.5703125" style="15" customWidth="1"/>
    <col min="2" max="2" width="25.5703125" style="15" customWidth="1"/>
    <col min="3" max="3" width="20.7109375" style="15" bestFit="1" customWidth="1"/>
    <col min="4" max="4" width="12.5703125" style="15" customWidth="1"/>
    <col min="5" max="5" width="15.28515625" style="15" bestFit="1" customWidth="1"/>
    <col min="6" max="6" width="9" style="15" customWidth="1"/>
    <col min="7" max="16384" width="10.85546875" style="15"/>
  </cols>
  <sheetData>
    <row r="1" spans="2:11" ht="15.75" x14ac:dyDescent="0.25">
      <c r="B1" s="13" t="s">
        <v>48</v>
      </c>
      <c r="C1" s="14"/>
      <c r="D1" s="14"/>
      <c r="E1" s="14"/>
      <c r="F1" s="14"/>
      <c r="G1" s="14"/>
      <c r="H1" s="14"/>
      <c r="I1" s="14"/>
      <c r="J1" s="14"/>
      <c r="K1" s="14"/>
    </row>
    <row r="2" spans="2:11" ht="15.75" x14ac:dyDescent="0.25">
      <c r="B2" s="16" t="s">
        <v>49</v>
      </c>
      <c r="C2" s="17">
        <v>1</v>
      </c>
      <c r="D2" s="14"/>
      <c r="E2" s="14"/>
      <c r="F2" s="14"/>
      <c r="G2" s="14"/>
      <c r="H2" s="14"/>
      <c r="I2" s="14"/>
      <c r="J2" s="14"/>
      <c r="K2" s="14"/>
    </row>
    <row r="3" spans="2:11" ht="15.75" x14ac:dyDescent="0.25">
      <c r="B3" s="18"/>
      <c r="C3" s="17"/>
      <c r="D3" s="14"/>
      <c r="E3" s="14"/>
      <c r="F3" s="14"/>
      <c r="G3" s="14"/>
      <c r="H3" s="14"/>
      <c r="I3" s="14"/>
      <c r="J3" s="14"/>
      <c r="K3" s="14"/>
    </row>
    <row r="4" spans="2:11" ht="31.5" x14ac:dyDescent="0.25">
      <c r="B4" s="19" t="s">
        <v>50</v>
      </c>
      <c r="C4" s="20" t="s">
        <v>74</v>
      </c>
      <c r="D4" s="14"/>
      <c r="E4" s="14"/>
      <c r="F4" s="14"/>
      <c r="G4" s="14"/>
      <c r="H4" s="14"/>
      <c r="I4" s="14"/>
      <c r="J4" s="14"/>
      <c r="K4" s="14"/>
    </row>
    <row r="5" spans="2:11" ht="15.75" x14ac:dyDescent="0.25">
      <c r="B5" s="21" t="s">
        <v>51</v>
      </c>
      <c r="C5" s="20"/>
      <c r="D5" s="14"/>
      <c r="E5" s="14"/>
      <c r="F5" s="14"/>
      <c r="G5" s="14"/>
      <c r="H5" s="14"/>
      <c r="I5" s="14"/>
      <c r="J5" s="14"/>
      <c r="K5" s="14"/>
    </row>
    <row r="6" spans="2:11" ht="15.75" x14ac:dyDescent="0.25">
      <c r="B6" s="21" t="s">
        <v>52</v>
      </c>
      <c r="C6" s="21">
        <v>2027</v>
      </c>
      <c r="D6" s="14"/>
      <c r="E6" s="14"/>
      <c r="F6" s="14"/>
      <c r="G6" s="14"/>
      <c r="H6" s="14"/>
      <c r="I6" s="14"/>
      <c r="J6" s="14"/>
      <c r="K6" s="14"/>
    </row>
    <row r="7" spans="2:11" ht="15.75" x14ac:dyDescent="0.25">
      <c r="B7" s="21" t="s">
        <v>53</v>
      </c>
      <c r="C7" s="20" t="s">
        <v>54</v>
      </c>
      <c r="D7" s="14"/>
      <c r="E7" s="14"/>
      <c r="F7" s="14"/>
      <c r="G7" s="14"/>
      <c r="H7" s="14"/>
      <c r="I7" s="14"/>
      <c r="J7" s="14"/>
      <c r="K7" s="14"/>
    </row>
    <row r="8" spans="2:11" ht="15.75" x14ac:dyDescent="0.25">
      <c r="B8" s="21" t="s">
        <v>55</v>
      </c>
      <c r="C8" s="22">
        <v>45689</v>
      </c>
      <c r="D8" s="14"/>
      <c r="E8" s="14"/>
      <c r="F8" s="14"/>
      <c r="G8" s="14"/>
      <c r="H8" s="14"/>
      <c r="I8" s="14"/>
      <c r="J8" s="14"/>
      <c r="K8" s="14"/>
    </row>
    <row r="9" spans="2:11" ht="15.75" x14ac:dyDescent="0.25">
      <c r="B9" s="19" t="s">
        <v>56</v>
      </c>
      <c r="C9" s="23" t="s">
        <v>57</v>
      </c>
      <c r="D9" s="14"/>
      <c r="E9" s="14"/>
      <c r="F9" s="14"/>
      <c r="G9" s="14"/>
      <c r="H9" s="14"/>
      <c r="I9" s="14"/>
      <c r="J9" s="14"/>
      <c r="K9" s="14"/>
    </row>
    <row r="10" spans="2:11" ht="15.75" x14ac:dyDescent="0.25">
      <c r="B10" s="21" t="s">
        <v>58</v>
      </c>
      <c r="C10" s="23" t="s">
        <v>59</v>
      </c>
      <c r="D10" s="14"/>
      <c r="E10" s="14"/>
      <c r="F10" s="14"/>
      <c r="G10" s="14"/>
      <c r="H10" s="14"/>
      <c r="I10" s="14"/>
      <c r="J10" s="14"/>
      <c r="K10" s="14"/>
    </row>
    <row r="11" spans="2:11" ht="15.75" x14ac:dyDescent="0.25">
      <c r="B11" s="21" t="s">
        <v>60</v>
      </c>
      <c r="C11" s="23" t="s">
        <v>61</v>
      </c>
      <c r="D11" s="14"/>
      <c r="E11" s="14"/>
      <c r="F11" s="14"/>
      <c r="G11" s="14"/>
      <c r="H11" s="14"/>
      <c r="I11" s="14"/>
      <c r="J11" s="14"/>
      <c r="K11" s="14"/>
    </row>
    <row r="12" spans="2:11" x14ac:dyDescent="0.25"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2:11" ht="63" x14ac:dyDescent="0.25">
      <c r="B13" s="24" t="s">
        <v>62</v>
      </c>
      <c r="C13" s="24" t="s">
        <v>63</v>
      </c>
      <c r="D13" s="25" t="s">
        <v>64</v>
      </c>
      <c r="E13" s="24" t="s">
        <v>65</v>
      </c>
      <c r="F13" s="24" t="s">
        <v>66</v>
      </c>
      <c r="G13" s="26"/>
      <c r="H13" s="26"/>
      <c r="I13" s="26"/>
      <c r="J13" s="14"/>
      <c r="K13" s="14"/>
    </row>
    <row r="14" spans="2:11" x14ac:dyDescent="0.25">
      <c r="B14" s="27">
        <v>46388</v>
      </c>
      <c r="C14" s="28">
        <f>+'Cantidad Producto 1'!AE7</f>
        <v>16083668.260000002</v>
      </c>
      <c r="D14" s="29"/>
      <c r="E14" s="28">
        <f>+C14*D14</f>
        <v>0</v>
      </c>
      <c r="F14" s="30"/>
      <c r="G14" s="31"/>
      <c r="H14" s="14"/>
      <c r="I14" s="14"/>
      <c r="J14" s="14"/>
      <c r="K14" s="14"/>
    </row>
    <row r="15" spans="2:11" x14ac:dyDescent="0.25">
      <c r="B15" s="27">
        <v>46419</v>
      </c>
      <c r="C15" s="28">
        <f>+'Cantidad Producto 1'!AE8</f>
        <v>16772713.08</v>
      </c>
      <c r="D15" s="29"/>
      <c r="E15" s="28">
        <f t="shared" ref="E15:E25" si="0">+C15*D15</f>
        <v>0</v>
      </c>
      <c r="F15" s="30"/>
      <c r="G15" s="31"/>
      <c r="H15" s="14"/>
      <c r="I15" s="14"/>
      <c r="J15" s="14"/>
      <c r="K15" s="14"/>
    </row>
    <row r="16" spans="2:11" x14ac:dyDescent="0.25">
      <c r="B16" s="27">
        <v>46447</v>
      </c>
      <c r="C16" s="28">
        <f>+'Cantidad Producto 1'!AE9</f>
        <v>15930449.180000002</v>
      </c>
      <c r="D16" s="29"/>
      <c r="E16" s="28">
        <f t="shared" si="0"/>
        <v>0</v>
      </c>
      <c r="F16" s="30"/>
      <c r="G16" s="31"/>
      <c r="H16" s="14"/>
      <c r="I16" s="14"/>
      <c r="J16" s="14"/>
      <c r="K16" s="14"/>
    </row>
    <row r="17" spans="2:11" x14ac:dyDescent="0.25">
      <c r="B17" s="27">
        <v>46478</v>
      </c>
      <c r="C17" s="28">
        <f>+'Cantidad Producto 1'!AE10</f>
        <v>15981097.020000003</v>
      </c>
      <c r="D17" s="29"/>
      <c r="E17" s="28">
        <f t="shared" si="0"/>
        <v>0</v>
      </c>
      <c r="F17" s="30"/>
      <c r="G17" s="31"/>
      <c r="H17" s="14"/>
      <c r="I17" s="14"/>
      <c r="J17" s="14"/>
      <c r="K17" s="14"/>
    </row>
    <row r="18" spans="2:11" x14ac:dyDescent="0.25">
      <c r="B18" s="27">
        <v>46508</v>
      </c>
      <c r="C18" s="28">
        <f>+'Cantidad Producto 1'!AE11</f>
        <v>14566450.679999998</v>
      </c>
      <c r="D18" s="29"/>
      <c r="E18" s="28">
        <f t="shared" si="0"/>
        <v>0</v>
      </c>
      <c r="F18" s="30"/>
      <c r="G18" s="31"/>
      <c r="H18" s="14"/>
      <c r="I18" s="14"/>
      <c r="J18" s="14"/>
      <c r="K18" s="14"/>
    </row>
    <row r="19" spans="2:11" x14ac:dyDescent="0.25">
      <c r="B19" s="27">
        <v>46539</v>
      </c>
      <c r="C19" s="28">
        <f>+'Cantidad Producto 1'!AE12</f>
        <v>14674688.720000001</v>
      </c>
      <c r="D19" s="29"/>
      <c r="E19" s="28">
        <f t="shared" si="0"/>
        <v>0</v>
      </c>
      <c r="F19" s="30"/>
      <c r="G19" s="31"/>
      <c r="H19" s="14"/>
      <c r="I19" s="14"/>
      <c r="J19" s="14"/>
      <c r="K19" s="14"/>
    </row>
    <row r="20" spans="2:11" x14ac:dyDescent="0.25">
      <c r="B20" s="27">
        <v>46569</v>
      </c>
      <c r="C20" s="28">
        <f>+'Cantidad Producto 1'!AE13</f>
        <v>13313300.01</v>
      </c>
      <c r="D20" s="29"/>
      <c r="E20" s="28">
        <f t="shared" si="0"/>
        <v>0</v>
      </c>
      <c r="F20" s="30"/>
      <c r="G20" s="31"/>
      <c r="H20" s="14"/>
      <c r="I20" s="14"/>
      <c r="J20" s="14"/>
      <c r="K20" s="14"/>
    </row>
    <row r="21" spans="2:11" x14ac:dyDescent="0.25">
      <c r="B21" s="27">
        <v>46600</v>
      </c>
      <c r="C21" s="28">
        <f>+'Cantidad Producto 1'!AE14</f>
        <v>12973894.809999999</v>
      </c>
      <c r="D21" s="29"/>
      <c r="E21" s="28">
        <f t="shared" si="0"/>
        <v>0</v>
      </c>
      <c r="F21" s="30"/>
      <c r="G21" s="31"/>
      <c r="H21" s="14"/>
      <c r="I21" s="14"/>
      <c r="J21" s="14"/>
      <c r="K21" s="14"/>
    </row>
    <row r="22" spans="2:11" x14ac:dyDescent="0.25">
      <c r="B22" s="27">
        <v>46631</v>
      </c>
      <c r="C22" s="28">
        <f>+'Cantidad Producto 1'!AE15</f>
        <v>14018103.16</v>
      </c>
      <c r="D22" s="29"/>
      <c r="E22" s="28">
        <f t="shared" si="0"/>
        <v>0</v>
      </c>
      <c r="F22" s="30"/>
      <c r="G22" s="31"/>
      <c r="H22" s="14"/>
      <c r="I22" s="14"/>
      <c r="J22" s="14"/>
      <c r="K22" s="14"/>
    </row>
    <row r="23" spans="2:11" x14ac:dyDescent="0.25">
      <c r="B23" s="27">
        <v>46661</v>
      </c>
      <c r="C23" s="28">
        <f>+'Cantidad Producto 1'!AE16</f>
        <v>13266334.339999998</v>
      </c>
      <c r="D23" s="29"/>
      <c r="E23" s="28">
        <f t="shared" si="0"/>
        <v>0</v>
      </c>
      <c r="F23" s="30"/>
      <c r="G23" s="31"/>
      <c r="H23" s="14"/>
      <c r="I23" s="14"/>
      <c r="J23" s="14"/>
      <c r="K23" s="14"/>
    </row>
    <row r="24" spans="2:11" x14ac:dyDescent="0.25">
      <c r="B24" s="27">
        <v>46692</v>
      </c>
      <c r="C24" s="28">
        <f>+'Cantidad Producto 1'!AE17</f>
        <v>13751174.84</v>
      </c>
      <c r="D24" s="29"/>
      <c r="E24" s="28">
        <f t="shared" si="0"/>
        <v>0</v>
      </c>
      <c r="F24" s="30"/>
      <c r="G24" s="31"/>
      <c r="H24" s="14"/>
      <c r="I24" s="14"/>
      <c r="J24" s="14"/>
      <c r="K24" s="14"/>
    </row>
    <row r="25" spans="2:11" x14ac:dyDescent="0.25">
      <c r="B25" s="27">
        <v>46722</v>
      </c>
      <c r="C25" s="28">
        <f>+'Cantidad Producto 1'!AE18</f>
        <v>12975104.330000002</v>
      </c>
      <c r="D25" s="29"/>
      <c r="E25" s="28">
        <f t="shared" si="0"/>
        <v>0</v>
      </c>
      <c r="F25" s="30"/>
      <c r="G25" s="31"/>
      <c r="H25" s="14"/>
      <c r="I25" s="14"/>
      <c r="J25" s="14"/>
      <c r="K25" s="14"/>
    </row>
    <row r="26" spans="2:11" x14ac:dyDescent="0.25">
      <c r="B26" s="27" t="s">
        <v>67</v>
      </c>
      <c r="C26" s="32">
        <f>SUM(C14:C25)</f>
        <v>174306978.43000004</v>
      </c>
      <c r="D26" s="33" t="s">
        <v>68</v>
      </c>
      <c r="E26" s="32">
        <f>SUM(E14:E25)</f>
        <v>0</v>
      </c>
      <c r="F26" s="30"/>
      <c r="G26" s="31"/>
      <c r="H26" s="14"/>
      <c r="I26" s="14"/>
      <c r="J26" s="14"/>
      <c r="K26" s="14"/>
    </row>
    <row r="27" spans="2:11" x14ac:dyDescent="0.25">
      <c r="B27" s="14"/>
      <c r="C27" s="34"/>
      <c r="D27" s="14"/>
      <c r="E27" s="14"/>
      <c r="F27" s="14"/>
      <c r="G27" s="14"/>
      <c r="H27" s="14"/>
      <c r="I27" s="14"/>
      <c r="J27" s="14"/>
      <c r="K27" s="14"/>
    </row>
    <row r="28" spans="2:11" x14ac:dyDescent="0.25">
      <c r="B28" s="14"/>
      <c r="C28" s="34"/>
      <c r="D28" s="35"/>
      <c r="E28" s="35"/>
      <c r="F28" s="14"/>
      <c r="G28" s="14"/>
      <c r="H28" s="14"/>
      <c r="I28" s="14"/>
      <c r="J28" s="14"/>
      <c r="K28" s="14"/>
    </row>
    <row r="29" spans="2:11" x14ac:dyDescent="0.25">
      <c r="B29" s="36" t="s">
        <v>69</v>
      </c>
      <c r="C29" s="36"/>
      <c r="D29" s="36"/>
      <c r="E29" s="36"/>
      <c r="F29" s="36"/>
      <c r="G29" s="36"/>
      <c r="H29" s="36"/>
      <c r="I29" s="36"/>
      <c r="J29" s="36"/>
      <c r="K29" s="36"/>
    </row>
    <row r="30" spans="2:11" x14ac:dyDescent="0.25">
      <c r="B30" s="37" t="s">
        <v>70</v>
      </c>
      <c r="C30" s="37"/>
      <c r="D30" s="37"/>
      <c r="E30" s="37"/>
      <c r="F30" s="37"/>
      <c r="G30" s="37"/>
      <c r="H30" s="37"/>
      <c r="I30" s="37"/>
      <c r="J30" s="37"/>
      <c r="K30" s="37"/>
    </row>
    <row r="31" spans="2:11" x14ac:dyDescent="0.25">
      <c r="B31" s="37" t="s">
        <v>75</v>
      </c>
      <c r="C31" s="37"/>
      <c r="D31" s="37"/>
      <c r="E31" s="37"/>
      <c r="F31" s="37"/>
      <c r="G31" s="37"/>
      <c r="H31" s="37"/>
      <c r="I31" s="37"/>
      <c r="J31" s="37"/>
      <c r="K31" s="37"/>
    </row>
    <row r="32" spans="2:11" x14ac:dyDescent="0.25">
      <c r="B32" s="38" t="s">
        <v>71</v>
      </c>
      <c r="C32" s="38"/>
      <c r="D32" s="38"/>
      <c r="E32" s="38"/>
      <c r="F32" s="38"/>
      <c r="G32" s="38"/>
      <c r="H32" s="38"/>
      <c r="I32" s="38"/>
      <c r="J32" s="38"/>
      <c r="K32" s="38"/>
    </row>
    <row r="33" spans="2:11" x14ac:dyDescent="0.25">
      <c r="B33" s="37" t="s">
        <v>76</v>
      </c>
      <c r="C33" s="37"/>
      <c r="D33" s="37"/>
      <c r="E33" s="37"/>
      <c r="F33" s="37"/>
      <c r="G33" s="37"/>
      <c r="H33" s="37"/>
      <c r="I33" s="37"/>
      <c r="J33" s="37"/>
      <c r="K33" s="37"/>
    </row>
    <row r="34" spans="2:11" x14ac:dyDescent="0.25">
      <c r="B34" s="37" t="s">
        <v>72</v>
      </c>
      <c r="C34" s="39"/>
      <c r="D34" s="39"/>
      <c r="E34" s="39"/>
      <c r="F34" s="39"/>
      <c r="G34" s="39"/>
      <c r="H34" s="39"/>
      <c r="I34" s="39"/>
      <c r="J34" s="37"/>
      <c r="K34" s="37"/>
    </row>
    <row r="35" spans="2:11" x14ac:dyDescent="0.25">
      <c r="B35" s="14"/>
      <c r="C35" s="14"/>
      <c r="D35" s="40"/>
      <c r="E35" s="14"/>
      <c r="F35" s="14"/>
      <c r="G35" s="14"/>
      <c r="H35" s="14"/>
      <c r="I35" s="14"/>
      <c r="J35" s="14"/>
      <c r="K35" s="14"/>
    </row>
    <row r="36" spans="2:11" x14ac:dyDescent="0.25">
      <c r="B36" s="14"/>
      <c r="C36" s="41"/>
      <c r="D36" s="14"/>
      <c r="E36" s="14"/>
      <c r="F36" s="14"/>
      <c r="G36" s="14"/>
      <c r="H36" s="14"/>
      <c r="I36" s="14"/>
      <c r="J36" s="14"/>
      <c r="K36" s="14"/>
    </row>
    <row r="37" spans="2:11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2:11" x14ac:dyDescent="0.25">
      <c r="B38" s="14"/>
      <c r="C38" s="14"/>
      <c r="D38" s="14"/>
      <c r="E38" s="14"/>
      <c r="F38" s="14"/>
      <c r="G38" s="14"/>
      <c r="H38" s="14"/>
      <c r="I38" s="14"/>
      <c r="J38" s="14"/>
      <c r="K38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6FC62-12E7-4570-86B1-B08A72C865B9}">
  <dimension ref="B1:L39"/>
  <sheetViews>
    <sheetView showGridLines="0" tabSelected="1" workbookViewId="0">
      <selection activeCell="B1" sqref="B1:I34"/>
    </sheetView>
  </sheetViews>
  <sheetFormatPr baseColWidth="10" defaultColWidth="10.85546875" defaultRowHeight="15" x14ac:dyDescent="0.25"/>
  <cols>
    <col min="1" max="1" width="4.5703125" style="15" customWidth="1"/>
    <col min="2" max="2" width="25.5703125" style="15" customWidth="1"/>
    <col min="3" max="3" width="20.7109375" style="15" bestFit="1" customWidth="1"/>
    <col min="4" max="4" width="12.5703125" style="15" customWidth="1"/>
    <col min="5" max="5" width="15.28515625" style="15" bestFit="1" customWidth="1"/>
    <col min="6" max="6" width="9" style="15" customWidth="1"/>
    <col min="7" max="16384" width="10.85546875" style="15"/>
  </cols>
  <sheetData>
    <row r="1" spans="2:11" ht="15.75" x14ac:dyDescent="0.25">
      <c r="B1" s="13" t="s">
        <v>48</v>
      </c>
      <c r="C1" s="14"/>
      <c r="D1" s="14"/>
      <c r="E1" s="14"/>
      <c r="F1" s="14"/>
      <c r="G1" s="14"/>
      <c r="H1" s="14"/>
      <c r="I1" s="14"/>
      <c r="J1" s="14"/>
      <c r="K1" s="14"/>
    </row>
    <row r="2" spans="2:11" ht="15.75" x14ac:dyDescent="0.25">
      <c r="B2" s="16" t="s">
        <v>49</v>
      </c>
      <c r="C2" s="17">
        <v>2</v>
      </c>
      <c r="D2" s="14"/>
      <c r="E2" s="14"/>
      <c r="F2" s="14"/>
      <c r="G2" s="14"/>
      <c r="H2" s="14"/>
      <c r="I2" s="14"/>
      <c r="J2" s="14"/>
      <c r="K2" s="14"/>
    </row>
    <row r="3" spans="2:11" ht="15.75" x14ac:dyDescent="0.25">
      <c r="B3" s="18"/>
      <c r="C3" s="17"/>
      <c r="D3" s="14"/>
      <c r="E3" s="14"/>
      <c r="F3" s="14"/>
      <c r="G3" s="14"/>
      <c r="H3" s="14"/>
      <c r="I3" s="14"/>
      <c r="J3" s="14"/>
      <c r="K3" s="14"/>
    </row>
    <row r="4" spans="2:11" ht="31.5" x14ac:dyDescent="0.25">
      <c r="B4" s="19" t="s">
        <v>50</v>
      </c>
      <c r="C4" s="20" t="str">
        <f>+'Oferta Producto 1'!C4</f>
        <v>CP-CHCC2025-001</v>
      </c>
      <c r="D4" s="14"/>
      <c r="E4" s="14"/>
      <c r="F4" s="14"/>
      <c r="G4" s="14"/>
      <c r="H4" s="14"/>
      <c r="I4" s="14"/>
      <c r="J4" s="14"/>
      <c r="K4" s="14"/>
    </row>
    <row r="5" spans="2:11" ht="15.75" x14ac:dyDescent="0.25">
      <c r="B5" s="21" t="s">
        <v>51</v>
      </c>
      <c r="C5" s="20"/>
      <c r="D5" s="14"/>
      <c r="E5" s="14"/>
      <c r="F5" s="14"/>
      <c r="G5" s="14"/>
      <c r="H5" s="14"/>
      <c r="I5" s="14"/>
      <c r="J5" s="14"/>
      <c r="K5" s="14"/>
    </row>
    <row r="6" spans="2:11" ht="15.75" x14ac:dyDescent="0.25">
      <c r="B6" s="21" t="s">
        <v>52</v>
      </c>
      <c r="C6" s="21">
        <v>2028</v>
      </c>
      <c r="D6" s="14"/>
      <c r="E6" s="14"/>
      <c r="F6" s="14"/>
      <c r="G6" s="14"/>
      <c r="H6" s="14"/>
      <c r="I6" s="14"/>
      <c r="J6" s="14"/>
      <c r="K6" s="14"/>
    </row>
    <row r="7" spans="2:11" ht="15.75" x14ac:dyDescent="0.25">
      <c r="B7" s="21" t="s">
        <v>53</v>
      </c>
      <c r="C7" s="20" t="s">
        <v>54</v>
      </c>
      <c r="D7" s="14"/>
      <c r="E7" s="14"/>
      <c r="F7" s="14"/>
      <c r="G7" s="14"/>
      <c r="H7" s="14"/>
      <c r="I7" s="14"/>
      <c r="J7" s="14"/>
      <c r="K7" s="14"/>
    </row>
    <row r="8" spans="2:11" ht="15.75" x14ac:dyDescent="0.25">
      <c r="B8" s="21" t="s">
        <v>55</v>
      </c>
      <c r="C8" s="22">
        <f>+'Oferta Producto 1'!C8</f>
        <v>45689</v>
      </c>
      <c r="D8" s="14"/>
      <c r="E8" s="14"/>
      <c r="F8" s="14"/>
      <c r="G8" s="14"/>
      <c r="H8" s="14"/>
      <c r="I8" s="14"/>
      <c r="J8" s="14"/>
      <c r="K8" s="14"/>
    </row>
    <row r="9" spans="2:11" ht="15.75" x14ac:dyDescent="0.25">
      <c r="B9" s="19" t="s">
        <v>56</v>
      </c>
      <c r="C9" s="23" t="s">
        <v>57</v>
      </c>
      <c r="D9" s="14"/>
      <c r="E9" s="14"/>
      <c r="F9" s="14"/>
      <c r="G9" s="14"/>
      <c r="H9" s="14"/>
      <c r="I9" s="14"/>
      <c r="J9" s="14"/>
      <c r="K9" s="14"/>
    </row>
    <row r="10" spans="2:11" ht="15.75" x14ac:dyDescent="0.25">
      <c r="B10" s="21" t="s">
        <v>58</v>
      </c>
      <c r="C10" s="23" t="s">
        <v>59</v>
      </c>
      <c r="D10" s="14"/>
      <c r="E10" s="14"/>
      <c r="F10" s="14"/>
      <c r="G10" s="14"/>
      <c r="H10" s="14"/>
      <c r="I10" s="14"/>
      <c r="J10" s="14"/>
      <c r="K10" s="14"/>
    </row>
    <row r="11" spans="2:11" ht="15.75" x14ac:dyDescent="0.25">
      <c r="B11" s="21" t="s">
        <v>60</v>
      </c>
      <c r="C11" s="23" t="s">
        <v>61</v>
      </c>
      <c r="D11" s="14"/>
      <c r="E11" s="14"/>
      <c r="F11" s="14"/>
      <c r="G11" s="14"/>
      <c r="H11" s="14"/>
      <c r="I11" s="14"/>
      <c r="J11" s="14"/>
      <c r="K11" s="14"/>
    </row>
    <row r="12" spans="2:11" x14ac:dyDescent="0.25"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2:11" ht="63" x14ac:dyDescent="0.25">
      <c r="B13" s="24" t="s">
        <v>62</v>
      </c>
      <c r="C13" s="24" t="s">
        <v>63</v>
      </c>
      <c r="D13" s="25" t="s">
        <v>64</v>
      </c>
      <c r="E13" s="24" t="s">
        <v>65</v>
      </c>
      <c r="F13" s="24" t="s">
        <v>66</v>
      </c>
      <c r="G13" s="26"/>
      <c r="H13" s="26"/>
      <c r="I13" s="26"/>
      <c r="J13" s="14"/>
      <c r="K13" s="14"/>
    </row>
    <row r="14" spans="2:11" x14ac:dyDescent="0.25">
      <c r="B14" s="27">
        <v>46753</v>
      </c>
      <c r="C14" s="28">
        <f>+'Cantidad Producto 2'!AE7</f>
        <v>5640298.0099999998</v>
      </c>
      <c r="D14" s="29"/>
      <c r="E14" s="28">
        <f>+C14*D14</f>
        <v>0</v>
      </c>
      <c r="F14" s="30"/>
      <c r="G14" s="31"/>
      <c r="H14" s="14"/>
      <c r="I14" s="14"/>
      <c r="J14" s="14"/>
      <c r="K14" s="14"/>
    </row>
    <row r="15" spans="2:11" x14ac:dyDescent="0.25">
      <c r="B15" s="27">
        <v>46784</v>
      </c>
      <c r="C15" s="28">
        <f>+'Cantidad Producto 2'!AE8</f>
        <v>5481906.4900000012</v>
      </c>
      <c r="D15" s="29"/>
      <c r="E15" s="28">
        <f t="shared" ref="E15:E25" si="0">+C15*D15</f>
        <v>0</v>
      </c>
      <c r="F15" s="30"/>
      <c r="G15" s="31"/>
      <c r="H15" s="14"/>
      <c r="I15" s="14"/>
      <c r="J15" s="14"/>
      <c r="K15" s="14"/>
    </row>
    <row r="16" spans="2:11" x14ac:dyDescent="0.25">
      <c r="B16" s="27">
        <v>46813</v>
      </c>
      <c r="C16" s="28">
        <f>+'Cantidad Producto 2'!AE9</f>
        <v>5737244.8000000017</v>
      </c>
      <c r="D16" s="29"/>
      <c r="E16" s="28">
        <f t="shared" si="0"/>
        <v>0</v>
      </c>
      <c r="F16" s="30"/>
      <c r="G16" s="31"/>
      <c r="H16" s="14"/>
      <c r="I16" s="14"/>
      <c r="J16" s="14"/>
      <c r="K16" s="14"/>
    </row>
    <row r="17" spans="2:12" x14ac:dyDescent="0.25">
      <c r="B17" s="27">
        <v>46844</v>
      </c>
      <c r="C17" s="28">
        <f>+'Cantidad Producto 2'!AE10</f>
        <v>5761066.8499999996</v>
      </c>
      <c r="D17" s="29"/>
      <c r="E17" s="28">
        <f t="shared" si="0"/>
        <v>0</v>
      </c>
      <c r="F17" s="30"/>
      <c r="G17" s="31"/>
      <c r="H17" s="14"/>
      <c r="I17" s="14"/>
      <c r="J17" s="14"/>
      <c r="K17" s="14"/>
    </row>
    <row r="18" spans="2:12" x14ac:dyDescent="0.25">
      <c r="B18" s="27">
        <v>46874</v>
      </c>
      <c r="C18" s="28">
        <f>+'Cantidad Producto 2'!AE11</f>
        <v>5621176.8800000008</v>
      </c>
      <c r="D18" s="29"/>
      <c r="E18" s="28">
        <f t="shared" si="0"/>
        <v>0</v>
      </c>
      <c r="F18" s="30"/>
      <c r="G18" s="31"/>
      <c r="H18" s="14"/>
      <c r="I18" s="14"/>
      <c r="J18" s="14"/>
      <c r="K18" s="14"/>
    </row>
    <row r="19" spans="2:12" x14ac:dyDescent="0.25">
      <c r="B19" s="27">
        <v>46905</v>
      </c>
      <c r="C19" s="28">
        <f>+'Cantidad Producto 2'!AE12</f>
        <v>5640392.7800000003</v>
      </c>
      <c r="D19" s="29"/>
      <c r="E19" s="28">
        <f t="shared" si="0"/>
        <v>0</v>
      </c>
      <c r="F19" s="30"/>
      <c r="G19" s="31"/>
      <c r="H19" s="14"/>
      <c r="I19" s="14"/>
      <c r="J19" s="14"/>
      <c r="K19" s="14"/>
    </row>
    <row r="20" spans="2:12" x14ac:dyDescent="0.25">
      <c r="B20" s="27">
        <v>46935</v>
      </c>
      <c r="C20" s="28">
        <f>+'Cantidad Producto 2'!AE13</f>
        <v>5897064.8100000005</v>
      </c>
      <c r="D20" s="29"/>
      <c r="E20" s="28">
        <f t="shared" si="0"/>
        <v>0</v>
      </c>
      <c r="F20" s="30"/>
      <c r="G20" s="31"/>
      <c r="H20" s="14"/>
      <c r="I20" s="14"/>
      <c r="J20" s="14"/>
      <c r="K20" s="14"/>
    </row>
    <row r="21" spans="2:12" x14ac:dyDescent="0.25">
      <c r="B21" s="27">
        <v>46966</v>
      </c>
      <c r="C21" s="28">
        <f>+'Cantidad Producto 2'!AE14</f>
        <v>5698999.5299999993</v>
      </c>
      <c r="D21" s="29"/>
      <c r="E21" s="28">
        <f t="shared" si="0"/>
        <v>0</v>
      </c>
      <c r="F21" s="30"/>
      <c r="G21" s="31"/>
      <c r="H21" s="14"/>
      <c r="I21" s="14"/>
      <c r="J21" s="14"/>
      <c r="K21" s="14"/>
    </row>
    <row r="22" spans="2:12" x14ac:dyDescent="0.25">
      <c r="B22" s="27">
        <v>46997</v>
      </c>
      <c r="C22" s="28">
        <f>+'Cantidad Producto 2'!AE15</f>
        <v>5553537.8500000006</v>
      </c>
      <c r="D22" s="29"/>
      <c r="E22" s="28">
        <f t="shared" si="0"/>
        <v>0</v>
      </c>
      <c r="F22" s="30"/>
      <c r="G22" s="31"/>
      <c r="H22" s="14"/>
      <c r="I22" s="14"/>
      <c r="J22" s="14"/>
      <c r="K22" s="14"/>
    </row>
    <row r="23" spans="2:12" x14ac:dyDescent="0.25">
      <c r="B23" s="27">
        <v>47027</v>
      </c>
      <c r="C23" s="28">
        <f>+'Cantidad Producto 2'!AE16</f>
        <v>5705697.040000001</v>
      </c>
      <c r="D23" s="29"/>
      <c r="E23" s="28">
        <f t="shared" si="0"/>
        <v>0</v>
      </c>
      <c r="F23" s="30"/>
      <c r="G23" s="31"/>
      <c r="H23" s="14"/>
      <c r="I23" s="14"/>
      <c r="J23" s="14"/>
      <c r="K23" s="14"/>
    </row>
    <row r="24" spans="2:12" x14ac:dyDescent="0.25">
      <c r="B24" s="27">
        <v>47058</v>
      </c>
      <c r="C24" s="28">
        <f>+'Cantidad Producto 2'!AE17</f>
        <v>5600704.9200000009</v>
      </c>
      <c r="D24" s="29"/>
      <c r="E24" s="28">
        <f t="shared" si="0"/>
        <v>0</v>
      </c>
      <c r="F24" s="30"/>
      <c r="G24" s="31"/>
      <c r="H24" s="14"/>
      <c r="I24" s="14"/>
      <c r="J24" s="14"/>
      <c r="K24" s="14"/>
    </row>
    <row r="25" spans="2:12" x14ac:dyDescent="0.25">
      <c r="B25" s="27">
        <v>47088</v>
      </c>
      <c r="C25" s="28">
        <f>+'Cantidad Producto 2'!AE18</f>
        <v>5690344.3300000001</v>
      </c>
      <c r="D25" s="29"/>
      <c r="E25" s="28">
        <f t="shared" si="0"/>
        <v>0</v>
      </c>
      <c r="F25" s="30"/>
      <c r="G25" s="31"/>
      <c r="H25" s="14"/>
      <c r="I25" s="14"/>
      <c r="J25" s="14"/>
      <c r="K25" s="14"/>
    </row>
    <row r="26" spans="2:12" x14ac:dyDescent="0.25">
      <c r="B26" s="27" t="s">
        <v>73</v>
      </c>
      <c r="C26" s="32">
        <f>SUM(C14:C25)</f>
        <v>68028434.290000007</v>
      </c>
      <c r="D26" s="33" t="s">
        <v>68</v>
      </c>
      <c r="E26" s="32">
        <f>SUM(E14:E25)</f>
        <v>0</v>
      </c>
      <c r="F26" s="30"/>
      <c r="G26" s="31"/>
      <c r="H26" s="14"/>
      <c r="I26" s="14"/>
      <c r="J26" s="14"/>
      <c r="K26" s="14"/>
      <c r="L26" s="47"/>
    </row>
    <row r="27" spans="2:12" x14ac:dyDescent="0.25">
      <c r="B27" s="14"/>
      <c r="C27" s="34"/>
      <c r="D27" s="14"/>
      <c r="E27" s="14"/>
      <c r="F27" s="14"/>
      <c r="G27" s="14"/>
      <c r="H27" s="14"/>
      <c r="I27" s="14"/>
      <c r="J27" s="14"/>
      <c r="K27" s="14"/>
    </row>
    <row r="28" spans="2:12" x14ac:dyDescent="0.25">
      <c r="B28" s="14"/>
      <c r="C28" s="34"/>
      <c r="D28" s="35"/>
      <c r="E28" s="35"/>
      <c r="F28" s="14"/>
      <c r="G28" s="14"/>
      <c r="H28" s="14"/>
      <c r="I28" s="14"/>
      <c r="J28" s="14"/>
      <c r="K28" s="14"/>
    </row>
    <row r="29" spans="2:12" x14ac:dyDescent="0.25">
      <c r="B29" s="36" t="s">
        <v>69</v>
      </c>
      <c r="C29" s="36"/>
      <c r="D29" s="36"/>
      <c r="E29" s="36"/>
      <c r="F29" s="36"/>
      <c r="G29" s="36"/>
      <c r="H29" s="36"/>
      <c r="I29" s="36"/>
      <c r="J29" s="36"/>
      <c r="K29" s="36"/>
    </row>
    <row r="30" spans="2:12" x14ac:dyDescent="0.25">
      <c r="B30" s="37" t="s">
        <v>70</v>
      </c>
      <c r="C30" s="37"/>
      <c r="D30" s="37"/>
      <c r="E30" s="37"/>
      <c r="F30" s="37"/>
      <c r="G30" s="37"/>
      <c r="H30" s="37"/>
      <c r="I30" s="37"/>
      <c r="J30" s="37"/>
      <c r="K30" s="37"/>
    </row>
    <row r="31" spans="2:12" x14ac:dyDescent="0.25">
      <c r="B31" s="37" t="s">
        <v>75</v>
      </c>
      <c r="C31" s="37"/>
      <c r="D31" s="37"/>
      <c r="E31" s="37"/>
      <c r="F31" s="37"/>
      <c r="G31" s="37"/>
      <c r="H31" s="37"/>
      <c r="I31" s="38"/>
      <c r="J31" s="38"/>
      <c r="K31" s="38"/>
    </row>
    <row r="32" spans="2:12" x14ac:dyDescent="0.25">
      <c r="B32" s="38" t="s">
        <v>71</v>
      </c>
      <c r="C32" s="38"/>
      <c r="D32" s="38"/>
      <c r="E32" s="38"/>
      <c r="F32" s="38"/>
      <c r="G32" s="38"/>
      <c r="H32" s="38"/>
      <c r="I32" s="37"/>
      <c r="J32" s="37"/>
      <c r="K32" s="37"/>
    </row>
    <row r="33" spans="2:11" x14ac:dyDescent="0.25">
      <c r="B33" s="37" t="s">
        <v>76</v>
      </c>
      <c r="C33" s="37"/>
      <c r="D33" s="37"/>
      <c r="E33" s="37"/>
      <c r="F33" s="37"/>
      <c r="G33" s="37"/>
      <c r="H33" s="37"/>
      <c r="I33" s="37"/>
      <c r="J33" s="37"/>
      <c r="K33" s="37"/>
    </row>
    <row r="34" spans="2:11" x14ac:dyDescent="0.25">
      <c r="B34" s="37" t="s">
        <v>72</v>
      </c>
      <c r="C34" s="39"/>
      <c r="D34" s="39"/>
      <c r="E34" s="39"/>
      <c r="F34" s="39"/>
      <c r="G34" s="39"/>
      <c r="H34" s="39"/>
      <c r="I34" s="37"/>
      <c r="J34" s="37"/>
      <c r="K34" s="37"/>
    </row>
    <row r="35" spans="2:11" x14ac:dyDescent="0.25">
      <c r="B35" s="14"/>
      <c r="C35" s="14"/>
      <c r="D35" s="40"/>
      <c r="E35" s="14"/>
      <c r="F35" s="14"/>
      <c r="G35" s="14"/>
      <c r="H35" s="14"/>
      <c r="I35" s="37"/>
      <c r="J35" s="37"/>
      <c r="K35" s="37"/>
    </row>
    <row r="36" spans="2:11" x14ac:dyDescent="0.25">
      <c r="B36" s="14"/>
      <c r="C36" s="14"/>
      <c r="D36" s="40"/>
      <c r="E36" s="14"/>
      <c r="F36" s="14"/>
      <c r="G36" s="14"/>
      <c r="H36" s="14"/>
      <c r="I36" s="14"/>
      <c r="J36" s="14"/>
      <c r="K36" s="14"/>
    </row>
    <row r="37" spans="2:11" x14ac:dyDescent="0.25">
      <c r="B37" s="14"/>
      <c r="C37" s="41"/>
      <c r="D37" s="14"/>
      <c r="E37" s="14"/>
      <c r="F37" s="14"/>
      <c r="G37" s="14"/>
      <c r="H37" s="14"/>
      <c r="I37" s="14"/>
      <c r="J37" s="14"/>
      <c r="K37" s="14"/>
    </row>
    <row r="38" spans="2:11" x14ac:dyDescent="0.25"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2:11" x14ac:dyDescent="0.25">
      <c r="B39" s="14"/>
      <c r="C39" s="14"/>
      <c r="D39" s="14"/>
      <c r="E39" s="14"/>
      <c r="F39" s="14"/>
      <c r="G39" s="14"/>
      <c r="H39" s="14"/>
      <c r="I39" s="14"/>
      <c r="J39" s="14"/>
      <c r="K39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7252-20D2-406C-B666-585B0EB505A2}">
  <dimension ref="B1:K37"/>
  <sheetViews>
    <sheetView showGridLines="0" topLeftCell="A22" workbookViewId="0">
      <selection activeCell="C26" sqref="C26"/>
    </sheetView>
  </sheetViews>
  <sheetFormatPr baseColWidth="10" defaultColWidth="10.85546875" defaultRowHeight="15" x14ac:dyDescent="0.25"/>
  <cols>
    <col min="1" max="1" width="4.5703125" style="15" customWidth="1"/>
    <col min="2" max="2" width="25.5703125" style="15" customWidth="1"/>
    <col min="3" max="3" width="20.7109375" style="15" bestFit="1" customWidth="1"/>
    <col min="4" max="4" width="12.5703125" style="15" customWidth="1"/>
    <col min="5" max="5" width="15.28515625" style="15" bestFit="1" customWidth="1"/>
    <col min="6" max="6" width="9" style="15" customWidth="1"/>
    <col min="7" max="16384" width="10.85546875" style="15"/>
  </cols>
  <sheetData>
    <row r="1" spans="2:11" ht="15.75" x14ac:dyDescent="0.25">
      <c r="B1" s="13" t="s">
        <v>48</v>
      </c>
      <c r="C1" s="14"/>
      <c r="D1" s="14"/>
      <c r="E1" s="14"/>
      <c r="F1" s="14"/>
      <c r="G1" s="14"/>
      <c r="H1" s="14"/>
      <c r="I1" s="14"/>
      <c r="J1" s="14"/>
      <c r="K1" s="14"/>
    </row>
    <row r="2" spans="2:11" ht="15.75" x14ac:dyDescent="0.25">
      <c r="B2" s="16" t="s">
        <v>49</v>
      </c>
      <c r="C2" s="17">
        <v>3</v>
      </c>
      <c r="D2" s="14"/>
      <c r="E2" s="14"/>
      <c r="F2" s="14"/>
      <c r="G2" s="14"/>
      <c r="H2" s="14"/>
      <c r="I2" s="14"/>
      <c r="J2" s="14"/>
      <c r="K2" s="14"/>
    </row>
    <row r="3" spans="2:11" ht="15.75" x14ac:dyDescent="0.25">
      <c r="B3" s="18"/>
      <c r="C3" s="17"/>
      <c r="D3" s="14"/>
      <c r="E3" s="14"/>
      <c r="F3" s="14"/>
      <c r="G3" s="14"/>
      <c r="H3" s="14"/>
      <c r="I3" s="14"/>
      <c r="J3" s="14"/>
      <c r="K3" s="14"/>
    </row>
    <row r="4" spans="2:11" ht="31.5" x14ac:dyDescent="0.25">
      <c r="B4" s="19" t="s">
        <v>50</v>
      </c>
      <c r="C4" s="20" t="str">
        <f>+'Oferta Producto 1'!C4</f>
        <v>CP-CHCC2025-001</v>
      </c>
      <c r="D4" s="14"/>
      <c r="E4" s="14"/>
      <c r="F4" s="14"/>
      <c r="G4" s="14"/>
      <c r="H4" s="14"/>
      <c r="I4" s="14"/>
      <c r="J4" s="14"/>
      <c r="K4" s="14"/>
    </row>
    <row r="5" spans="2:11" ht="15.75" x14ac:dyDescent="0.25">
      <c r="B5" s="21" t="s">
        <v>51</v>
      </c>
      <c r="C5" s="20"/>
      <c r="D5" s="14"/>
      <c r="E5" s="14"/>
      <c r="F5" s="14"/>
      <c r="G5" s="14"/>
      <c r="H5" s="14"/>
      <c r="I5" s="14"/>
      <c r="J5" s="14"/>
      <c r="K5" s="14"/>
    </row>
    <row r="6" spans="2:11" ht="15.75" x14ac:dyDescent="0.25">
      <c r="B6" s="21" t="s">
        <v>52</v>
      </c>
      <c r="C6" s="21">
        <v>2029</v>
      </c>
      <c r="D6" s="14"/>
      <c r="E6" s="14"/>
      <c r="F6" s="14"/>
      <c r="G6" s="14"/>
      <c r="H6" s="14"/>
      <c r="I6" s="14"/>
      <c r="J6" s="14"/>
      <c r="K6" s="14"/>
    </row>
    <row r="7" spans="2:11" ht="15.75" x14ac:dyDescent="0.25">
      <c r="B7" s="21" t="s">
        <v>53</v>
      </c>
      <c r="C7" s="20" t="s">
        <v>54</v>
      </c>
      <c r="D7" s="14"/>
      <c r="E7" s="14"/>
      <c r="F7" s="14"/>
      <c r="G7" s="14"/>
      <c r="H7" s="14"/>
      <c r="I7" s="14"/>
      <c r="J7" s="14"/>
      <c r="K7" s="14"/>
    </row>
    <row r="8" spans="2:11" ht="15.75" x14ac:dyDescent="0.25">
      <c r="B8" s="21" t="s">
        <v>55</v>
      </c>
      <c r="C8" s="22">
        <f>+'Oferta Producto 1'!C8</f>
        <v>45689</v>
      </c>
      <c r="D8" s="14"/>
      <c r="E8" s="14"/>
      <c r="F8" s="14"/>
      <c r="G8" s="14"/>
      <c r="H8" s="14"/>
      <c r="I8" s="14"/>
      <c r="J8" s="14"/>
      <c r="K8" s="14"/>
    </row>
    <row r="9" spans="2:11" ht="15.75" x14ac:dyDescent="0.25">
      <c r="B9" s="19" t="s">
        <v>56</v>
      </c>
      <c r="C9" s="23" t="s">
        <v>57</v>
      </c>
      <c r="D9" s="14"/>
      <c r="E9" s="14"/>
      <c r="F9" s="14"/>
      <c r="G9" s="14"/>
      <c r="H9" s="14"/>
      <c r="I9" s="14"/>
      <c r="J9" s="14"/>
      <c r="K9" s="14"/>
    </row>
    <row r="10" spans="2:11" ht="15.75" x14ac:dyDescent="0.25">
      <c r="B10" s="21" t="s">
        <v>58</v>
      </c>
      <c r="C10" s="23" t="s">
        <v>59</v>
      </c>
      <c r="D10" s="14"/>
      <c r="E10" s="14"/>
      <c r="F10" s="14"/>
      <c r="G10" s="14"/>
      <c r="H10" s="14"/>
      <c r="I10" s="14"/>
      <c r="J10" s="14"/>
      <c r="K10" s="14"/>
    </row>
    <row r="11" spans="2:11" ht="15.75" x14ac:dyDescent="0.25">
      <c r="B11" s="21" t="s">
        <v>60</v>
      </c>
      <c r="C11" s="23" t="s">
        <v>61</v>
      </c>
      <c r="D11" s="14"/>
      <c r="E11" s="14"/>
      <c r="F11" s="14"/>
      <c r="G11" s="14"/>
      <c r="H11" s="14"/>
      <c r="I11" s="14"/>
      <c r="J11" s="14"/>
      <c r="K11" s="14"/>
    </row>
    <row r="12" spans="2:11" x14ac:dyDescent="0.25"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2:11" ht="63" x14ac:dyDescent="0.25">
      <c r="B13" s="24" t="s">
        <v>62</v>
      </c>
      <c r="C13" s="24" t="s">
        <v>63</v>
      </c>
      <c r="D13" s="25" t="s">
        <v>64</v>
      </c>
      <c r="E13" s="24" t="s">
        <v>65</v>
      </c>
      <c r="F13" s="24" t="s">
        <v>66</v>
      </c>
      <c r="G13" s="26"/>
      <c r="H13" s="26"/>
      <c r="I13" s="26"/>
      <c r="J13" s="14"/>
      <c r="K13" s="14"/>
    </row>
    <row r="14" spans="2:11" x14ac:dyDescent="0.25">
      <c r="B14" s="27">
        <v>47119</v>
      </c>
      <c r="C14" s="28">
        <f>+'Cantidad Producto 3'!AE7</f>
        <v>7611173.3899999997</v>
      </c>
      <c r="D14" s="29"/>
      <c r="E14" s="28"/>
      <c r="F14" s="30"/>
      <c r="G14" s="31"/>
      <c r="H14" s="14"/>
      <c r="I14" s="14"/>
      <c r="J14" s="14"/>
      <c r="K14" s="14"/>
    </row>
    <row r="15" spans="2:11" x14ac:dyDescent="0.25">
      <c r="B15" s="27">
        <v>47150</v>
      </c>
      <c r="C15" s="28">
        <f>+'Cantidad Producto 3'!AE8</f>
        <v>7372921.040000001</v>
      </c>
      <c r="D15" s="29"/>
      <c r="E15" s="28"/>
      <c r="F15" s="30"/>
      <c r="G15" s="31"/>
      <c r="H15" s="14"/>
      <c r="I15" s="14"/>
      <c r="J15" s="14"/>
      <c r="K15" s="14"/>
    </row>
    <row r="16" spans="2:11" x14ac:dyDescent="0.25">
      <c r="B16" s="27">
        <v>47178</v>
      </c>
      <c r="C16" s="28">
        <f>+'Cantidad Producto 3'!AE9</f>
        <v>7629884.0800000001</v>
      </c>
      <c r="D16" s="29"/>
      <c r="E16" s="28"/>
      <c r="F16" s="30"/>
      <c r="G16" s="31"/>
      <c r="H16" s="14"/>
      <c r="I16" s="14"/>
      <c r="J16" s="14"/>
      <c r="K16" s="14"/>
    </row>
    <row r="17" spans="2:11" x14ac:dyDescent="0.25">
      <c r="B17" s="27">
        <v>47209</v>
      </c>
      <c r="C17" s="28">
        <f>+'Cantidad Producto 3'!AE10</f>
        <v>7671929.6899999995</v>
      </c>
      <c r="D17" s="29"/>
      <c r="E17" s="28"/>
      <c r="F17" s="30"/>
      <c r="G17" s="31"/>
      <c r="H17" s="14"/>
      <c r="I17" s="14"/>
      <c r="J17" s="14"/>
      <c r="K17" s="14"/>
    </row>
    <row r="18" spans="2:11" x14ac:dyDescent="0.25">
      <c r="B18" s="27">
        <v>47239</v>
      </c>
      <c r="C18" s="28">
        <f>+'Cantidad Producto 3'!AE11</f>
        <v>7564719.2399999993</v>
      </c>
      <c r="D18" s="29"/>
      <c r="E18" s="28"/>
      <c r="F18" s="30"/>
      <c r="G18" s="31"/>
      <c r="H18" s="14"/>
      <c r="I18" s="14"/>
      <c r="J18" s="14"/>
      <c r="K18" s="14"/>
    </row>
    <row r="19" spans="2:11" x14ac:dyDescent="0.25">
      <c r="B19" s="27">
        <v>47270</v>
      </c>
      <c r="C19" s="28">
        <f>+'Cantidad Producto 3'!AE12</f>
        <v>7481094.2299999995</v>
      </c>
      <c r="D19" s="29"/>
      <c r="E19" s="28"/>
      <c r="F19" s="30"/>
      <c r="G19" s="31"/>
      <c r="H19" s="14"/>
      <c r="I19" s="14"/>
      <c r="J19" s="14"/>
      <c r="K19" s="14"/>
    </row>
    <row r="20" spans="2:11" x14ac:dyDescent="0.25">
      <c r="B20" s="27">
        <v>47300</v>
      </c>
      <c r="C20" s="28">
        <f>+'Cantidad Producto 3'!AE13</f>
        <v>7609421.9299999997</v>
      </c>
      <c r="D20" s="29"/>
      <c r="E20" s="28"/>
      <c r="F20" s="30"/>
      <c r="G20" s="31"/>
      <c r="H20" s="14"/>
      <c r="I20" s="14"/>
      <c r="J20" s="14"/>
      <c r="K20" s="14"/>
    </row>
    <row r="21" spans="2:11" x14ac:dyDescent="0.25">
      <c r="B21" s="27">
        <v>47331</v>
      </c>
      <c r="C21" s="28">
        <f>+'Cantidad Producto 3'!AE14</f>
        <v>7737642.9699999988</v>
      </c>
      <c r="D21" s="29"/>
      <c r="E21" s="28"/>
      <c r="F21" s="30"/>
      <c r="G21" s="31"/>
      <c r="H21" s="14"/>
      <c r="I21" s="14"/>
      <c r="J21" s="14"/>
      <c r="K21" s="14"/>
    </row>
    <row r="22" spans="2:11" x14ac:dyDescent="0.25">
      <c r="B22" s="27">
        <v>47362</v>
      </c>
      <c r="C22" s="28">
        <f>+'Cantidad Producto 3'!AE15</f>
        <v>7520959.6499999994</v>
      </c>
      <c r="D22" s="29"/>
      <c r="E22" s="28"/>
      <c r="F22" s="30"/>
      <c r="G22" s="31"/>
      <c r="H22" s="14"/>
      <c r="I22" s="14"/>
      <c r="J22" s="14"/>
      <c r="K22" s="14"/>
    </row>
    <row r="23" spans="2:11" x14ac:dyDescent="0.25">
      <c r="B23" s="27">
        <v>47392</v>
      </c>
      <c r="C23" s="28">
        <f>+'Cantidad Producto 3'!AE16</f>
        <v>7771992.7200000016</v>
      </c>
      <c r="D23" s="29"/>
      <c r="E23" s="28"/>
      <c r="F23" s="30"/>
      <c r="G23" s="31"/>
      <c r="H23" s="14"/>
      <c r="I23" s="14"/>
      <c r="J23" s="14"/>
      <c r="K23" s="14"/>
    </row>
    <row r="24" spans="2:11" x14ac:dyDescent="0.25">
      <c r="B24" s="27">
        <v>47423</v>
      </c>
      <c r="C24" s="28">
        <f>+'Cantidad Producto 3'!AE17</f>
        <v>7622142.1400000006</v>
      </c>
      <c r="D24" s="29"/>
      <c r="E24" s="28"/>
      <c r="F24" s="30"/>
      <c r="G24" s="31"/>
      <c r="H24" s="14"/>
      <c r="I24" s="14"/>
      <c r="J24" s="14"/>
      <c r="K24" s="14"/>
    </row>
    <row r="25" spans="2:11" x14ac:dyDescent="0.25">
      <c r="B25" s="27">
        <v>47453</v>
      </c>
      <c r="C25" s="28">
        <f>+'Cantidad Producto 3'!AE18</f>
        <v>7728670.0100000007</v>
      </c>
      <c r="D25" s="29"/>
      <c r="E25" s="28"/>
      <c r="F25" s="30"/>
      <c r="G25" s="31"/>
      <c r="H25" s="14"/>
      <c r="I25" s="14"/>
      <c r="J25" s="14"/>
      <c r="K25" s="14"/>
    </row>
    <row r="26" spans="2:11" x14ac:dyDescent="0.25">
      <c r="B26" s="27" t="s">
        <v>73</v>
      </c>
      <c r="C26" s="32">
        <f>SUM(C14:C25)</f>
        <v>91322551.090000004</v>
      </c>
      <c r="D26" s="33" t="s">
        <v>68</v>
      </c>
      <c r="E26" s="32"/>
      <c r="F26" s="30"/>
      <c r="G26" s="31"/>
      <c r="H26" s="14"/>
      <c r="I26" s="14"/>
      <c r="J26" s="14"/>
      <c r="K26" s="14"/>
    </row>
    <row r="27" spans="2:11" x14ac:dyDescent="0.25">
      <c r="B27" s="14"/>
      <c r="C27" s="34"/>
      <c r="D27" s="14"/>
      <c r="E27" s="14"/>
      <c r="F27" s="14"/>
      <c r="G27" s="14"/>
      <c r="H27" s="14"/>
      <c r="I27" s="14"/>
      <c r="J27" s="14"/>
      <c r="K27" s="14"/>
    </row>
    <row r="28" spans="2:11" x14ac:dyDescent="0.25">
      <c r="B28" s="14"/>
      <c r="C28" s="34"/>
      <c r="D28" s="35"/>
      <c r="E28" s="35"/>
      <c r="F28" s="14"/>
      <c r="G28" s="14"/>
      <c r="H28" s="14"/>
      <c r="I28" s="14"/>
      <c r="J28" s="14"/>
      <c r="K28" s="14"/>
    </row>
    <row r="29" spans="2:11" x14ac:dyDescent="0.25">
      <c r="B29" s="36" t="s">
        <v>69</v>
      </c>
      <c r="C29" s="36"/>
      <c r="D29" s="36"/>
      <c r="E29" s="36"/>
      <c r="F29" s="36"/>
      <c r="G29" s="36"/>
      <c r="H29" s="36"/>
      <c r="I29" s="36"/>
      <c r="J29" s="36"/>
      <c r="K29" s="36"/>
    </row>
    <row r="30" spans="2:11" x14ac:dyDescent="0.25">
      <c r="B30" s="37" t="s">
        <v>70</v>
      </c>
      <c r="C30" s="37"/>
      <c r="D30" s="37"/>
      <c r="E30" s="37"/>
      <c r="F30" s="37"/>
      <c r="G30" s="37"/>
      <c r="H30" s="37"/>
      <c r="I30" s="37"/>
      <c r="J30" s="37"/>
      <c r="K30" s="37"/>
    </row>
    <row r="31" spans="2:11" x14ac:dyDescent="0.25">
      <c r="B31" s="37" t="s">
        <v>75</v>
      </c>
      <c r="C31" s="37"/>
      <c r="D31" s="38"/>
      <c r="E31" s="38"/>
      <c r="F31" s="38"/>
      <c r="G31" s="38"/>
      <c r="H31" s="38"/>
      <c r="I31" s="38"/>
      <c r="J31" s="38"/>
      <c r="K31" s="38"/>
    </row>
    <row r="32" spans="2:11" x14ac:dyDescent="0.25">
      <c r="B32" s="38" t="s">
        <v>71</v>
      </c>
      <c r="C32" s="38"/>
      <c r="D32" s="37"/>
      <c r="E32" s="37"/>
      <c r="F32" s="37"/>
      <c r="G32" s="37"/>
      <c r="H32" s="37"/>
      <c r="I32" s="37"/>
      <c r="J32" s="37"/>
      <c r="K32" s="37"/>
    </row>
    <row r="33" spans="2:11" x14ac:dyDescent="0.25">
      <c r="B33" s="37" t="s">
        <v>76</v>
      </c>
      <c r="C33" s="37"/>
      <c r="D33" s="39"/>
      <c r="E33" s="39"/>
      <c r="F33" s="39"/>
      <c r="G33" s="39"/>
      <c r="H33" s="39"/>
      <c r="I33" s="39"/>
      <c r="J33" s="37"/>
      <c r="K33" s="37"/>
    </row>
    <row r="34" spans="2:11" x14ac:dyDescent="0.25">
      <c r="B34" s="37" t="s">
        <v>72</v>
      </c>
      <c r="C34" s="39"/>
      <c r="D34" s="40"/>
      <c r="E34" s="14"/>
      <c r="F34" s="14"/>
      <c r="G34" s="14"/>
      <c r="H34" s="14"/>
      <c r="I34" s="14"/>
      <c r="J34" s="14"/>
      <c r="K34" s="14"/>
    </row>
    <row r="35" spans="2:11" x14ac:dyDescent="0.25">
      <c r="B35" s="14"/>
      <c r="C35" s="41"/>
      <c r="D35" s="14"/>
      <c r="E35" s="14"/>
      <c r="F35" s="14"/>
      <c r="G35" s="14"/>
      <c r="H35" s="14"/>
      <c r="I35" s="14"/>
      <c r="J35" s="14"/>
      <c r="K35" s="14"/>
    </row>
    <row r="36" spans="2:11" x14ac:dyDescent="0.25"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2:11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8C8DD-D988-4207-97B7-937E1FB8D7BE}">
  <dimension ref="B1:K40"/>
  <sheetViews>
    <sheetView showGridLines="0" topLeftCell="A25" workbookViewId="0">
      <selection activeCell="C26" sqref="C26"/>
    </sheetView>
  </sheetViews>
  <sheetFormatPr baseColWidth="10" defaultColWidth="10.85546875" defaultRowHeight="15" x14ac:dyDescent="0.25"/>
  <cols>
    <col min="1" max="1" width="4.5703125" style="15" customWidth="1"/>
    <col min="2" max="2" width="25.5703125" style="15" customWidth="1"/>
    <col min="3" max="3" width="20.7109375" style="15" bestFit="1" customWidth="1"/>
    <col min="4" max="4" width="12.5703125" style="15" customWidth="1"/>
    <col min="5" max="5" width="15.28515625" style="15" bestFit="1" customWidth="1"/>
    <col min="6" max="6" width="9" style="15" customWidth="1"/>
    <col min="7" max="16384" width="10.85546875" style="15"/>
  </cols>
  <sheetData>
    <row r="1" spans="2:11" ht="15.75" x14ac:dyDescent="0.25">
      <c r="B1" s="13" t="s">
        <v>48</v>
      </c>
      <c r="C1" s="14"/>
      <c r="D1" s="14"/>
      <c r="E1" s="14"/>
      <c r="F1" s="14"/>
      <c r="G1" s="14"/>
      <c r="H1" s="14"/>
      <c r="I1" s="14"/>
      <c r="J1" s="14"/>
      <c r="K1" s="14"/>
    </row>
    <row r="2" spans="2:11" ht="15.75" x14ac:dyDescent="0.25">
      <c r="B2" s="16" t="s">
        <v>49</v>
      </c>
      <c r="C2" s="17">
        <v>4</v>
      </c>
      <c r="D2" s="14"/>
      <c r="E2" s="14"/>
      <c r="F2" s="14"/>
      <c r="G2" s="14"/>
      <c r="H2" s="14"/>
      <c r="I2" s="14"/>
      <c r="J2" s="14"/>
      <c r="K2" s="14"/>
    </row>
    <row r="3" spans="2:11" ht="15.75" x14ac:dyDescent="0.25">
      <c r="B3" s="18"/>
      <c r="C3" s="17"/>
      <c r="D3" s="14"/>
      <c r="E3" s="14"/>
      <c r="F3" s="14"/>
      <c r="G3" s="14"/>
      <c r="H3" s="14"/>
      <c r="I3" s="14"/>
      <c r="J3" s="14"/>
      <c r="K3" s="14"/>
    </row>
    <row r="4" spans="2:11" ht="31.5" x14ac:dyDescent="0.25">
      <c r="B4" s="19" t="s">
        <v>50</v>
      </c>
      <c r="C4" s="20" t="str">
        <f>+'Oferta Producto 1'!C4</f>
        <v>CP-CHCC2025-001</v>
      </c>
      <c r="D4" s="14"/>
      <c r="E4" s="14"/>
      <c r="F4" s="14"/>
      <c r="G4" s="14"/>
      <c r="H4" s="14"/>
      <c r="I4" s="14"/>
      <c r="J4" s="14"/>
      <c r="K4" s="14"/>
    </row>
    <row r="5" spans="2:11" ht="15.75" x14ac:dyDescent="0.25">
      <c r="B5" s="21" t="s">
        <v>51</v>
      </c>
      <c r="C5" s="20"/>
      <c r="D5" s="14"/>
      <c r="E5" s="14"/>
      <c r="F5" s="14"/>
      <c r="G5" s="14"/>
      <c r="H5" s="14"/>
      <c r="I5" s="14"/>
      <c r="J5" s="14"/>
      <c r="K5" s="14"/>
    </row>
    <row r="6" spans="2:11" ht="15.75" x14ac:dyDescent="0.25">
      <c r="B6" s="21" t="s">
        <v>52</v>
      </c>
      <c r="C6" s="21">
        <v>2030</v>
      </c>
      <c r="D6" s="14"/>
      <c r="E6" s="14"/>
      <c r="F6" s="14"/>
      <c r="G6" s="14"/>
      <c r="H6" s="14"/>
      <c r="I6" s="14"/>
      <c r="J6" s="14"/>
      <c r="K6" s="14"/>
    </row>
    <row r="7" spans="2:11" ht="15.75" x14ac:dyDescent="0.25">
      <c r="B7" s="21" t="s">
        <v>53</v>
      </c>
      <c r="C7" s="20" t="s">
        <v>54</v>
      </c>
      <c r="D7" s="14"/>
      <c r="E7" s="14"/>
      <c r="F7" s="14"/>
      <c r="G7" s="14"/>
      <c r="H7" s="14"/>
      <c r="I7" s="14"/>
      <c r="J7" s="14"/>
      <c r="K7" s="14"/>
    </row>
    <row r="8" spans="2:11" ht="15.75" x14ac:dyDescent="0.25">
      <c r="B8" s="21" t="s">
        <v>55</v>
      </c>
      <c r="C8" s="22">
        <f>+'Oferta Producto 1'!C8</f>
        <v>45689</v>
      </c>
      <c r="D8" s="14"/>
      <c r="E8" s="14"/>
      <c r="F8" s="14"/>
      <c r="G8" s="14"/>
      <c r="H8" s="14"/>
      <c r="I8" s="14"/>
      <c r="J8" s="14"/>
      <c r="K8" s="14"/>
    </row>
    <row r="9" spans="2:11" ht="15.75" x14ac:dyDescent="0.25">
      <c r="B9" s="19" t="s">
        <v>56</v>
      </c>
      <c r="C9" s="23" t="s">
        <v>57</v>
      </c>
      <c r="D9" s="14"/>
      <c r="E9" s="14"/>
      <c r="F9" s="14"/>
      <c r="G9" s="14"/>
      <c r="H9" s="14"/>
      <c r="I9" s="14"/>
      <c r="J9" s="14"/>
      <c r="K9" s="14"/>
    </row>
    <row r="10" spans="2:11" ht="15.75" x14ac:dyDescent="0.25">
      <c r="B10" s="21" t="s">
        <v>58</v>
      </c>
      <c r="C10" s="23" t="s">
        <v>59</v>
      </c>
      <c r="D10" s="14"/>
      <c r="E10" s="14"/>
      <c r="F10" s="14"/>
      <c r="G10" s="14"/>
      <c r="H10" s="14"/>
      <c r="I10" s="14"/>
      <c r="J10" s="14"/>
      <c r="K10" s="14"/>
    </row>
    <row r="11" spans="2:11" ht="15.75" x14ac:dyDescent="0.25">
      <c r="B11" s="21" t="s">
        <v>60</v>
      </c>
      <c r="C11" s="23" t="s">
        <v>61</v>
      </c>
      <c r="D11" s="14"/>
      <c r="E11" s="14"/>
      <c r="F11" s="14"/>
      <c r="G11" s="14"/>
      <c r="H11" s="14"/>
      <c r="I11" s="14"/>
      <c r="J11" s="14"/>
      <c r="K11" s="14"/>
    </row>
    <row r="12" spans="2:11" x14ac:dyDescent="0.25"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2:11" ht="63" x14ac:dyDescent="0.25">
      <c r="B13" s="24" t="s">
        <v>62</v>
      </c>
      <c r="C13" s="24" t="s">
        <v>63</v>
      </c>
      <c r="D13" s="25" t="s">
        <v>64</v>
      </c>
      <c r="E13" s="24" t="s">
        <v>65</v>
      </c>
      <c r="F13" s="24" t="s">
        <v>66</v>
      </c>
      <c r="G13" s="26"/>
      <c r="H13" s="26"/>
      <c r="I13" s="26"/>
      <c r="J13" s="14"/>
      <c r="K13" s="14"/>
    </row>
    <row r="14" spans="2:11" x14ac:dyDescent="0.25">
      <c r="B14" s="27">
        <v>47484</v>
      </c>
      <c r="C14" s="28">
        <f>+'Cantidad Producto 4'!AE7</f>
        <v>9409166.3599999994</v>
      </c>
      <c r="D14" s="29"/>
      <c r="E14" s="28"/>
      <c r="F14" s="30"/>
      <c r="G14" s="31"/>
      <c r="H14" s="14"/>
      <c r="I14" s="14"/>
      <c r="J14" s="14"/>
      <c r="K14" s="14"/>
    </row>
    <row r="15" spans="2:11" x14ac:dyDescent="0.25">
      <c r="B15" s="27">
        <v>47515</v>
      </c>
      <c r="C15" s="28">
        <f>+'Cantidad Producto 4'!AE8</f>
        <v>9079556.8000000007</v>
      </c>
      <c r="D15" s="29"/>
      <c r="E15" s="28"/>
      <c r="F15" s="30"/>
      <c r="G15" s="31"/>
      <c r="H15" s="14"/>
      <c r="I15" s="14"/>
      <c r="J15" s="14"/>
      <c r="K15" s="14"/>
    </row>
    <row r="16" spans="2:11" x14ac:dyDescent="0.25">
      <c r="B16" s="27">
        <v>47543</v>
      </c>
      <c r="C16" s="28">
        <f>+'Cantidad Producto 4'!AE9</f>
        <v>9418074.0099999998</v>
      </c>
      <c r="D16" s="29"/>
      <c r="E16" s="28"/>
      <c r="F16" s="30"/>
      <c r="G16" s="31"/>
      <c r="H16" s="14"/>
      <c r="I16" s="14"/>
      <c r="J16" s="14"/>
      <c r="K16" s="14"/>
    </row>
    <row r="17" spans="2:11" x14ac:dyDescent="0.25">
      <c r="B17" s="27">
        <v>47574</v>
      </c>
      <c r="C17" s="28">
        <f>+'Cantidad Producto 4'!AE10</f>
        <v>9434893.2400000021</v>
      </c>
      <c r="D17" s="29"/>
      <c r="E17" s="28"/>
      <c r="F17" s="30"/>
      <c r="G17" s="31"/>
      <c r="H17" s="14"/>
      <c r="I17" s="14"/>
      <c r="J17" s="14"/>
      <c r="K17" s="14"/>
    </row>
    <row r="18" spans="2:11" x14ac:dyDescent="0.25">
      <c r="B18" s="27">
        <v>47604</v>
      </c>
      <c r="C18" s="28">
        <f>+'Cantidad Producto 4'!AE11</f>
        <v>9337617.4099999983</v>
      </c>
      <c r="D18" s="29"/>
      <c r="E18" s="28"/>
      <c r="F18" s="30"/>
      <c r="G18" s="31"/>
      <c r="H18" s="14"/>
      <c r="I18" s="14"/>
      <c r="J18" s="14"/>
      <c r="K18" s="14"/>
    </row>
    <row r="19" spans="2:11" x14ac:dyDescent="0.25">
      <c r="B19" s="27">
        <v>47635</v>
      </c>
      <c r="C19" s="28">
        <f>+'Cantidad Producto 4'!AE12</f>
        <v>9246410.4500000011</v>
      </c>
      <c r="D19" s="29"/>
      <c r="E19" s="28"/>
      <c r="F19" s="30"/>
      <c r="G19" s="31"/>
      <c r="H19" s="14"/>
      <c r="I19" s="14"/>
      <c r="J19" s="14"/>
      <c r="K19" s="14"/>
    </row>
    <row r="20" spans="2:11" x14ac:dyDescent="0.25">
      <c r="B20" s="27">
        <v>47665</v>
      </c>
      <c r="C20" s="28">
        <f>+'Cantidad Producto 4'!AE13</f>
        <v>9352791.7399999984</v>
      </c>
      <c r="D20" s="29"/>
      <c r="E20" s="28"/>
      <c r="F20" s="30"/>
      <c r="G20" s="31"/>
      <c r="H20" s="14"/>
      <c r="I20" s="14"/>
      <c r="J20" s="14"/>
      <c r="K20" s="14"/>
    </row>
    <row r="21" spans="2:11" x14ac:dyDescent="0.25">
      <c r="B21" s="27">
        <v>47696</v>
      </c>
      <c r="C21" s="28">
        <f>+'Cantidad Producto 4'!AE14</f>
        <v>9545265.9800000004</v>
      </c>
      <c r="D21" s="29"/>
      <c r="E21" s="28"/>
      <c r="F21" s="30"/>
      <c r="G21" s="31"/>
      <c r="H21" s="14"/>
      <c r="I21" s="14"/>
      <c r="J21" s="14"/>
      <c r="K21" s="14"/>
    </row>
    <row r="22" spans="2:11" x14ac:dyDescent="0.25">
      <c r="B22" s="27">
        <v>47727</v>
      </c>
      <c r="C22" s="28">
        <f>+'Cantidad Producto 4'!AE15</f>
        <v>9276815.5199999996</v>
      </c>
      <c r="D22" s="29"/>
      <c r="E22" s="28"/>
      <c r="F22" s="30"/>
      <c r="G22" s="31"/>
      <c r="H22" s="14"/>
      <c r="I22" s="14"/>
      <c r="J22" s="14"/>
      <c r="K22" s="14"/>
    </row>
    <row r="23" spans="2:11" x14ac:dyDescent="0.25">
      <c r="B23" s="27">
        <v>47757</v>
      </c>
      <c r="C23" s="28">
        <f>+'Cantidad Producto 4'!AE16</f>
        <v>9574587.6500000004</v>
      </c>
      <c r="D23" s="29"/>
      <c r="E23" s="28"/>
      <c r="F23" s="30"/>
      <c r="G23" s="31"/>
      <c r="H23" s="14"/>
      <c r="I23" s="14"/>
      <c r="J23" s="14"/>
      <c r="K23" s="14"/>
    </row>
    <row r="24" spans="2:11" x14ac:dyDescent="0.25">
      <c r="B24" s="27">
        <v>47788</v>
      </c>
      <c r="C24" s="28">
        <f>+'Cantidad Producto 4'!AE17</f>
        <v>9400577.5400000028</v>
      </c>
      <c r="D24" s="29"/>
      <c r="E24" s="28"/>
      <c r="F24" s="30"/>
      <c r="G24" s="31"/>
      <c r="H24" s="14"/>
      <c r="I24" s="14"/>
      <c r="J24" s="14"/>
      <c r="K24" s="14"/>
    </row>
    <row r="25" spans="2:11" x14ac:dyDescent="0.25">
      <c r="B25" s="27">
        <v>47818</v>
      </c>
      <c r="C25" s="28">
        <f>+'Cantidad Producto 4'!AE18</f>
        <v>9542555.6300000008</v>
      </c>
      <c r="D25" s="29"/>
      <c r="E25" s="28"/>
      <c r="F25" s="30"/>
      <c r="G25" s="31"/>
      <c r="H25" s="14"/>
      <c r="I25" s="14"/>
      <c r="J25" s="14"/>
      <c r="K25" s="14"/>
    </row>
    <row r="26" spans="2:11" x14ac:dyDescent="0.25">
      <c r="B26" s="27" t="s">
        <v>73</v>
      </c>
      <c r="C26" s="32">
        <f>SUM(C14:C25)</f>
        <v>112618312.33000001</v>
      </c>
      <c r="D26" s="33" t="s">
        <v>68</v>
      </c>
      <c r="E26" s="32"/>
      <c r="F26" s="30"/>
      <c r="G26" s="31"/>
      <c r="H26" s="14"/>
      <c r="I26" s="14"/>
      <c r="J26" s="14"/>
      <c r="K26" s="14"/>
    </row>
    <row r="27" spans="2:11" x14ac:dyDescent="0.25">
      <c r="B27" s="14"/>
      <c r="C27" s="34"/>
      <c r="D27" s="14"/>
      <c r="E27" s="14"/>
      <c r="F27" s="14"/>
      <c r="G27" s="14"/>
      <c r="H27" s="14"/>
      <c r="I27" s="14"/>
      <c r="J27" s="14"/>
      <c r="K27" s="14"/>
    </row>
    <row r="28" spans="2:11" x14ac:dyDescent="0.25">
      <c r="B28" s="14"/>
      <c r="C28" s="34"/>
      <c r="D28" s="35"/>
      <c r="E28" s="35"/>
      <c r="F28" s="14"/>
      <c r="G28" s="14"/>
      <c r="H28" s="14"/>
      <c r="I28" s="14"/>
      <c r="J28" s="14"/>
      <c r="K28" s="14"/>
    </row>
    <row r="29" spans="2:11" x14ac:dyDescent="0.25">
      <c r="B29" s="36" t="s">
        <v>69</v>
      </c>
      <c r="C29" s="36"/>
      <c r="D29" s="36"/>
      <c r="E29" s="36"/>
      <c r="F29" s="36"/>
      <c r="G29" s="36"/>
      <c r="H29" s="36"/>
      <c r="I29" s="36"/>
      <c r="J29" s="36"/>
      <c r="K29" s="36"/>
    </row>
    <row r="30" spans="2:11" x14ac:dyDescent="0.25">
      <c r="B30" s="37" t="s">
        <v>70</v>
      </c>
      <c r="C30" s="37"/>
      <c r="D30" s="37"/>
      <c r="E30" s="37"/>
      <c r="F30" s="37"/>
      <c r="G30" s="37"/>
      <c r="H30" s="37"/>
      <c r="I30" s="37"/>
      <c r="J30" s="37"/>
      <c r="K30" s="37"/>
    </row>
    <row r="31" spans="2:11" x14ac:dyDescent="0.25">
      <c r="B31" s="37" t="s">
        <v>75</v>
      </c>
      <c r="C31" s="38"/>
      <c r="D31" s="38"/>
      <c r="E31" s="38"/>
      <c r="F31" s="38"/>
      <c r="G31" s="38"/>
      <c r="H31" s="38"/>
      <c r="I31" s="38"/>
      <c r="J31" s="38"/>
      <c r="K31" s="38"/>
    </row>
    <row r="32" spans="2:11" x14ac:dyDescent="0.25">
      <c r="B32" s="38" t="s">
        <v>71</v>
      </c>
      <c r="C32" s="37"/>
      <c r="D32" s="37"/>
      <c r="E32" s="37"/>
      <c r="F32" s="37"/>
      <c r="G32" s="37"/>
      <c r="H32" s="37"/>
      <c r="I32" s="37"/>
      <c r="J32" s="37"/>
      <c r="K32" s="37"/>
    </row>
    <row r="33" spans="2:11" x14ac:dyDescent="0.25">
      <c r="B33" s="37" t="s">
        <v>76</v>
      </c>
      <c r="C33" s="39"/>
      <c r="D33" s="39"/>
      <c r="E33" s="39"/>
      <c r="F33" s="39"/>
      <c r="G33" s="39"/>
      <c r="H33" s="39"/>
      <c r="I33" s="37"/>
      <c r="J33" s="37"/>
      <c r="K33" s="37"/>
    </row>
    <row r="34" spans="2:11" x14ac:dyDescent="0.25">
      <c r="B34" s="37" t="s">
        <v>72</v>
      </c>
      <c r="C34" s="37"/>
      <c r="D34" s="37"/>
      <c r="E34" s="37"/>
      <c r="F34" s="37"/>
      <c r="G34" s="37"/>
      <c r="H34" s="37"/>
      <c r="I34" s="37"/>
      <c r="J34" s="37"/>
      <c r="K34" s="37"/>
    </row>
    <row r="35" spans="2:11" x14ac:dyDescent="0.25"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2:11" x14ac:dyDescent="0.25">
      <c r="B36" s="37"/>
      <c r="C36" s="39"/>
      <c r="D36" s="39"/>
      <c r="E36" s="39"/>
      <c r="F36" s="39"/>
      <c r="G36" s="39"/>
      <c r="H36" s="39"/>
      <c r="I36" s="39"/>
      <c r="J36" s="37"/>
      <c r="K36" s="37"/>
    </row>
    <row r="37" spans="2:11" x14ac:dyDescent="0.25">
      <c r="B37" s="14"/>
      <c r="C37" s="14"/>
      <c r="D37" s="40"/>
      <c r="E37" s="14"/>
      <c r="F37" s="14"/>
      <c r="G37" s="14"/>
      <c r="H37" s="14"/>
      <c r="I37" s="14"/>
      <c r="J37" s="14"/>
      <c r="K37" s="14"/>
    </row>
    <row r="38" spans="2:11" x14ac:dyDescent="0.25">
      <c r="B38" s="14"/>
      <c r="C38" s="41"/>
      <c r="D38" s="14"/>
      <c r="E38" s="14"/>
      <c r="F38" s="14"/>
      <c r="G38" s="14"/>
      <c r="H38" s="14"/>
      <c r="I38" s="14"/>
      <c r="J38" s="14"/>
      <c r="K38" s="14"/>
    </row>
    <row r="39" spans="2:11" x14ac:dyDescent="0.25"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2:11" x14ac:dyDescent="0.25">
      <c r="B40" s="14"/>
      <c r="C40" s="14"/>
      <c r="D40" s="14"/>
      <c r="E40" s="14"/>
      <c r="F40" s="14"/>
      <c r="G40" s="14"/>
      <c r="H40" s="14"/>
      <c r="I40" s="14"/>
      <c r="J40" s="14"/>
      <c r="K40" s="1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E15A-FA7D-493A-B6A0-758A70899397}">
  <dimension ref="B1:K40"/>
  <sheetViews>
    <sheetView showGridLines="0" topLeftCell="A22" workbookViewId="0">
      <selection activeCell="C26" sqref="C26"/>
    </sheetView>
  </sheetViews>
  <sheetFormatPr baseColWidth="10" defaultColWidth="10.85546875" defaultRowHeight="15" x14ac:dyDescent="0.25"/>
  <cols>
    <col min="1" max="1" width="4.5703125" style="15" customWidth="1"/>
    <col min="2" max="2" width="25.5703125" style="15" customWidth="1"/>
    <col min="3" max="3" width="20.7109375" style="15" bestFit="1" customWidth="1"/>
    <col min="4" max="4" width="12.5703125" style="15" customWidth="1"/>
    <col min="5" max="5" width="15.28515625" style="15" bestFit="1" customWidth="1"/>
    <col min="6" max="6" width="9" style="15" customWidth="1"/>
    <col min="7" max="16384" width="10.85546875" style="15"/>
  </cols>
  <sheetData>
    <row r="1" spans="2:11" ht="15.75" x14ac:dyDescent="0.25">
      <c r="B1" s="13" t="s">
        <v>48</v>
      </c>
      <c r="C1" s="14"/>
      <c r="D1" s="14"/>
      <c r="E1" s="14"/>
      <c r="F1" s="14"/>
      <c r="G1" s="14"/>
      <c r="H1" s="14"/>
      <c r="I1" s="14"/>
      <c r="J1" s="14"/>
      <c r="K1" s="14"/>
    </row>
    <row r="2" spans="2:11" ht="15.75" x14ac:dyDescent="0.25">
      <c r="B2" s="16" t="s">
        <v>49</v>
      </c>
      <c r="C2" s="17">
        <v>5</v>
      </c>
      <c r="D2" s="14"/>
      <c r="E2" s="14"/>
      <c r="F2" s="14"/>
      <c r="G2" s="14"/>
      <c r="H2" s="14"/>
      <c r="I2" s="14"/>
      <c r="J2" s="14"/>
      <c r="K2" s="14"/>
    </row>
    <row r="3" spans="2:11" ht="15.75" x14ac:dyDescent="0.25">
      <c r="B3" s="18"/>
      <c r="C3" s="17"/>
      <c r="D3" s="14"/>
      <c r="E3" s="14"/>
      <c r="F3" s="14"/>
      <c r="G3" s="14"/>
      <c r="H3" s="14"/>
      <c r="I3" s="14"/>
      <c r="J3" s="14"/>
      <c r="K3" s="14"/>
    </row>
    <row r="4" spans="2:11" ht="31.5" x14ac:dyDescent="0.25">
      <c r="B4" s="19" t="s">
        <v>50</v>
      </c>
      <c r="C4" s="20" t="str">
        <f>+'Oferta Producto 1'!C4</f>
        <v>CP-CHCC2025-001</v>
      </c>
      <c r="D4" s="14"/>
      <c r="E4" s="14"/>
      <c r="F4" s="14"/>
      <c r="G4" s="14"/>
      <c r="H4" s="14"/>
      <c r="I4" s="14"/>
      <c r="J4" s="14"/>
      <c r="K4" s="14"/>
    </row>
    <row r="5" spans="2:11" ht="15.75" x14ac:dyDescent="0.25">
      <c r="B5" s="21" t="s">
        <v>51</v>
      </c>
      <c r="C5" s="20"/>
      <c r="D5" s="14"/>
      <c r="E5" s="14"/>
      <c r="F5" s="14"/>
      <c r="G5" s="14"/>
      <c r="H5" s="14"/>
      <c r="I5" s="14"/>
      <c r="J5" s="14"/>
      <c r="K5" s="14"/>
    </row>
    <row r="6" spans="2:11" ht="15.75" x14ac:dyDescent="0.25">
      <c r="B6" s="21" t="s">
        <v>52</v>
      </c>
      <c r="C6" s="21">
        <v>2031</v>
      </c>
      <c r="D6" s="14"/>
      <c r="E6" s="14"/>
      <c r="F6" s="14"/>
      <c r="G6" s="14"/>
      <c r="H6" s="14"/>
      <c r="I6" s="14"/>
      <c r="J6" s="14"/>
      <c r="K6" s="14"/>
    </row>
    <row r="7" spans="2:11" ht="15.75" x14ac:dyDescent="0.25">
      <c r="B7" s="21" t="s">
        <v>53</v>
      </c>
      <c r="C7" s="20" t="s">
        <v>54</v>
      </c>
      <c r="D7" s="14"/>
      <c r="E7" s="14"/>
      <c r="F7" s="14"/>
      <c r="G7" s="14"/>
      <c r="H7" s="14"/>
      <c r="I7" s="14"/>
      <c r="J7" s="14"/>
      <c r="K7" s="14"/>
    </row>
    <row r="8" spans="2:11" ht="15.75" x14ac:dyDescent="0.25">
      <c r="B8" s="21" t="s">
        <v>55</v>
      </c>
      <c r="C8" s="22">
        <f>+'Oferta Producto 1'!C8</f>
        <v>45689</v>
      </c>
      <c r="D8" s="14"/>
      <c r="E8" s="14"/>
      <c r="F8" s="14"/>
      <c r="G8" s="14"/>
      <c r="H8" s="14"/>
      <c r="I8" s="14"/>
      <c r="J8" s="14"/>
      <c r="K8" s="14"/>
    </row>
    <row r="9" spans="2:11" ht="15.75" x14ac:dyDescent="0.25">
      <c r="B9" s="19" t="s">
        <v>56</v>
      </c>
      <c r="C9" s="23" t="s">
        <v>57</v>
      </c>
      <c r="D9" s="14"/>
      <c r="E9" s="14"/>
      <c r="F9" s="14"/>
      <c r="G9" s="14"/>
      <c r="H9" s="14"/>
      <c r="I9" s="14"/>
      <c r="J9" s="14"/>
      <c r="K9" s="14"/>
    </row>
    <row r="10" spans="2:11" ht="15.75" x14ac:dyDescent="0.25">
      <c r="B10" s="21" t="s">
        <v>58</v>
      </c>
      <c r="C10" s="23" t="s">
        <v>59</v>
      </c>
      <c r="D10" s="14"/>
      <c r="E10" s="14"/>
      <c r="F10" s="14"/>
      <c r="G10" s="14"/>
      <c r="H10" s="14"/>
      <c r="I10" s="14"/>
      <c r="J10" s="14"/>
      <c r="K10" s="14"/>
    </row>
    <row r="11" spans="2:11" ht="15.75" x14ac:dyDescent="0.25">
      <c r="B11" s="21" t="s">
        <v>60</v>
      </c>
      <c r="C11" s="23" t="s">
        <v>61</v>
      </c>
      <c r="D11" s="14"/>
      <c r="E11" s="14"/>
      <c r="F11" s="14"/>
      <c r="G11" s="14"/>
      <c r="H11" s="14"/>
      <c r="I11" s="14"/>
      <c r="J11" s="14"/>
      <c r="K11" s="14"/>
    </row>
    <row r="12" spans="2:11" x14ac:dyDescent="0.25"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2:11" ht="63" x14ac:dyDescent="0.25">
      <c r="B13" s="24" t="s">
        <v>62</v>
      </c>
      <c r="C13" s="24" t="s">
        <v>63</v>
      </c>
      <c r="D13" s="25" t="s">
        <v>64</v>
      </c>
      <c r="E13" s="24" t="s">
        <v>65</v>
      </c>
      <c r="F13" s="24" t="s">
        <v>66</v>
      </c>
      <c r="G13" s="26"/>
      <c r="H13" s="26"/>
      <c r="I13" s="26"/>
      <c r="J13" s="14"/>
      <c r="K13" s="14"/>
    </row>
    <row r="14" spans="2:11" x14ac:dyDescent="0.25">
      <c r="B14" s="27">
        <v>47849</v>
      </c>
      <c r="C14" s="28">
        <f>+'Cantidad Producto 5'!AE7</f>
        <v>21420607.959999997</v>
      </c>
      <c r="D14" s="29"/>
      <c r="E14" s="28"/>
      <c r="F14" s="30"/>
      <c r="G14" s="31"/>
      <c r="H14" s="14"/>
      <c r="I14" s="14"/>
      <c r="J14" s="14"/>
      <c r="K14" s="14"/>
    </row>
    <row r="15" spans="2:11" x14ac:dyDescent="0.25">
      <c r="B15" s="27">
        <v>47880</v>
      </c>
      <c r="C15" s="28">
        <f>+'Cantidad Producto 5'!AE8</f>
        <v>21812342.960000005</v>
      </c>
      <c r="D15" s="29"/>
      <c r="E15" s="28"/>
      <c r="F15" s="30"/>
      <c r="G15" s="31"/>
      <c r="H15" s="14"/>
      <c r="I15" s="14"/>
      <c r="J15" s="14"/>
      <c r="K15" s="14"/>
    </row>
    <row r="16" spans="2:11" x14ac:dyDescent="0.25">
      <c r="B16" s="27">
        <v>47908</v>
      </c>
      <c r="C16" s="28">
        <f>+'Cantidad Producto 5'!AE9</f>
        <v>21131938.920000002</v>
      </c>
      <c r="D16" s="29"/>
      <c r="E16" s="28"/>
      <c r="F16" s="30"/>
      <c r="G16" s="31"/>
      <c r="H16" s="14"/>
      <c r="I16" s="14"/>
      <c r="J16" s="14"/>
      <c r="K16" s="14"/>
    </row>
    <row r="17" spans="2:11" x14ac:dyDescent="0.25">
      <c r="B17" s="27">
        <v>47939</v>
      </c>
      <c r="C17" s="28">
        <f>+'Cantidad Producto 5'!AE10</f>
        <v>21385626.280000001</v>
      </c>
      <c r="D17" s="29"/>
      <c r="E17" s="28"/>
      <c r="F17" s="30"/>
      <c r="G17" s="31"/>
      <c r="H17" s="14"/>
      <c r="I17" s="14"/>
      <c r="J17" s="14"/>
      <c r="K17" s="14"/>
    </row>
    <row r="18" spans="2:11" x14ac:dyDescent="0.25">
      <c r="B18" s="27">
        <v>47969</v>
      </c>
      <c r="C18" s="28">
        <f>+'Cantidad Producto 5'!AE11</f>
        <v>21461837.959999993</v>
      </c>
      <c r="D18" s="29"/>
      <c r="E18" s="28"/>
      <c r="F18" s="30"/>
      <c r="G18" s="31"/>
      <c r="H18" s="14"/>
      <c r="I18" s="14"/>
      <c r="J18" s="14"/>
      <c r="K18" s="14"/>
    </row>
    <row r="19" spans="2:11" x14ac:dyDescent="0.25">
      <c r="B19" s="27">
        <v>48000</v>
      </c>
      <c r="C19" s="28">
        <f>+'Cantidad Producto 5'!AE12</f>
        <v>21296893.5</v>
      </c>
      <c r="D19" s="29"/>
      <c r="E19" s="28"/>
      <c r="F19" s="30"/>
      <c r="G19" s="31"/>
      <c r="H19" s="14"/>
      <c r="I19" s="14"/>
      <c r="J19" s="14"/>
      <c r="K19" s="14"/>
    </row>
    <row r="20" spans="2:11" x14ac:dyDescent="0.25">
      <c r="B20" s="27">
        <v>48030</v>
      </c>
      <c r="C20" s="28">
        <f>+'Cantidad Producto 5'!AE13</f>
        <v>21324668.27</v>
      </c>
      <c r="D20" s="29"/>
      <c r="E20" s="28"/>
      <c r="F20" s="30"/>
      <c r="G20" s="31"/>
      <c r="H20" s="14"/>
      <c r="I20" s="14"/>
      <c r="J20" s="14"/>
      <c r="K20" s="14"/>
    </row>
    <row r="21" spans="2:11" x14ac:dyDescent="0.25">
      <c r="B21" s="27">
        <v>48061</v>
      </c>
      <c r="C21" s="28">
        <f>+'Cantidad Producto 5'!AE14</f>
        <v>21433378.880000003</v>
      </c>
      <c r="D21" s="29"/>
      <c r="E21" s="28"/>
      <c r="F21" s="30"/>
      <c r="G21" s="31"/>
      <c r="H21" s="14"/>
      <c r="I21" s="14"/>
      <c r="J21" s="14"/>
      <c r="K21" s="14"/>
    </row>
    <row r="22" spans="2:11" x14ac:dyDescent="0.25">
      <c r="B22" s="27">
        <v>48092</v>
      </c>
      <c r="C22" s="28">
        <f>+'Cantidad Producto 5'!AE15</f>
        <v>22122625.039999999</v>
      </c>
      <c r="D22" s="29"/>
      <c r="E22" s="28"/>
      <c r="F22" s="30"/>
      <c r="G22" s="31"/>
      <c r="H22" s="14"/>
      <c r="I22" s="14"/>
      <c r="J22" s="14"/>
      <c r="K22" s="14"/>
    </row>
    <row r="23" spans="2:11" x14ac:dyDescent="0.25">
      <c r="B23" s="27">
        <v>48122</v>
      </c>
      <c r="C23" s="28">
        <f>+'Cantidad Producto 5'!AE16</f>
        <v>21708117.110000003</v>
      </c>
      <c r="D23" s="29"/>
      <c r="E23" s="28"/>
      <c r="F23" s="30"/>
      <c r="G23" s="31"/>
      <c r="H23" s="14"/>
      <c r="I23" s="14"/>
      <c r="J23" s="14"/>
      <c r="K23" s="14"/>
    </row>
    <row r="24" spans="2:11" x14ac:dyDescent="0.25">
      <c r="B24" s="27">
        <v>48153</v>
      </c>
      <c r="C24" s="28">
        <f>+'Cantidad Producto 5'!AE17</f>
        <v>22105418.419999998</v>
      </c>
      <c r="D24" s="29"/>
      <c r="E24" s="28"/>
      <c r="F24" s="30"/>
      <c r="G24" s="31"/>
      <c r="H24" s="14"/>
      <c r="I24" s="14"/>
      <c r="J24" s="14"/>
      <c r="K24" s="14"/>
    </row>
    <row r="25" spans="2:11" x14ac:dyDescent="0.25">
      <c r="B25" s="27">
        <v>48183</v>
      </c>
      <c r="C25" s="28">
        <f>+'Cantidad Producto 5'!AE18</f>
        <v>21482701.52</v>
      </c>
      <c r="D25" s="29"/>
      <c r="E25" s="28"/>
      <c r="F25" s="30"/>
      <c r="G25" s="31"/>
      <c r="H25" s="14"/>
      <c r="I25" s="14"/>
      <c r="J25" s="14"/>
      <c r="K25" s="14"/>
    </row>
    <row r="26" spans="2:11" x14ac:dyDescent="0.25">
      <c r="B26" s="27" t="s">
        <v>73</v>
      </c>
      <c r="C26" s="32">
        <f>SUM(C14:C25)</f>
        <v>258686156.81999999</v>
      </c>
      <c r="D26" s="33" t="s">
        <v>68</v>
      </c>
      <c r="E26" s="32"/>
      <c r="F26" s="30"/>
      <c r="G26" s="31"/>
      <c r="H26" s="14"/>
      <c r="I26" s="14"/>
      <c r="J26" s="14"/>
      <c r="K26" s="14"/>
    </row>
    <row r="27" spans="2:11" x14ac:dyDescent="0.25">
      <c r="B27" s="14"/>
      <c r="C27" s="34"/>
      <c r="D27" s="14"/>
      <c r="E27" s="14"/>
      <c r="F27" s="14"/>
      <c r="G27" s="14"/>
      <c r="H27" s="14"/>
      <c r="I27" s="14"/>
      <c r="J27" s="14"/>
      <c r="K27" s="14"/>
    </row>
    <row r="28" spans="2:11" x14ac:dyDescent="0.25">
      <c r="B28" s="14"/>
      <c r="C28" s="34"/>
      <c r="D28" s="35"/>
      <c r="E28" s="35"/>
      <c r="F28" s="14"/>
      <c r="G28" s="14"/>
      <c r="H28" s="14"/>
      <c r="I28" s="14"/>
      <c r="J28" s="14"/>
      <c r="K28" s="14"/>
    </row>
    <row r="29" spans="2:11" x14ac:dyDescent="0.25">
      <c r="B29" s="36" t="s">
        <v>69</v>
      </c>
      <c r="C29" s="36"/>
      <c r="D29" s="36"/>
      <c r="E29" s="36"/>
      <c r="F29" s="36"/>
      <c r="G29" s="36"/>
      <c r="H29" s="36"/>
      <c r="I29" s="36"/>
      <c r="J29" s="36"/>
      <c r="K29" s="36"/>
    </row>
    <row r="30" spans="2:11" x14ac:dyDescent="0.25">
      <c r="B30" s="37" t="s">
        <v>70</v>
      </c>
      <c r="C30" s="37"/>
      <c r="D30" s="37"/>
      <c r="E30" s="37"/>
      <c r="F30" s="37"/>
      <c r="G30" s="37"/>
      <c r="H30" s="37"/>
      <c r="I30" s="37"/>
      <c r="J30" s="37"/>
      <c r="K30" s="37"/>
    </row>
    <row r="31" spans="2:11" x14ac:dyDescent="0.25">
      <c r="B31" s="37" t="s">
        <v>75</v>
      </c>
      <c r="C31" s="38"/>
      <c r="D31" s="38"/>
      <c r="E31" s="38"/>
      <c r="F31" s="38"/>
      <c r="G31" s="38"/>
      <c r="H31" s="38"/>
      <c r="I31" s="38"/>
      <c r="J31" s="38"/>
      <c r="K31" s="38"/>
    </row>
    <row r="32" spans="2:11" x14ac:dyDescent="0.25">
      <c r="B32" s="38" t="s">
        <v>71</v>
      </c>
      <c r="C32" s="37"/>
      <c r="D32" s="37"/>
      <c r="E32" s="37"/>
      <c r="F32" s="37"/>
      <c r="G32" s="37"/>
      <c r="H32" s="37"/>
      <c r="I32" s="37"/>
      <c r="J32" s="37"/>
      <c r="K32" s="37"/>
    </row>
    <row r="33" spans="2:11" x14ac:dyDescent="0.25">
      <c r="B33" s="37" t="s">
        <v>76</v>
      </c>
      <c r="C33" s="39"/>
      <c r="D33" s="39"/>
      <c r="E33" s="39"/>
      <c r="F33" s="39"/>
      <c r="G33" s="39"/>
      <c r="H33" s="39"/>
      <c r="I33" s="37"/>
      <c r="J33" s="37"/>
      <c r="K33" s="37"/>
    </row>
    <row r="34" spans="2:11" x14ac:dyDescent="0.25">
      <c r="B34" s="37" t="s">
        <v>72</v>
      </c>
      <c r="C34" s="37"/>
      <c r="D34" s="37"/>
      <c r="E34" s="37"/>
      <c r="F34" s="37"/>
      <c r="G34" s="37"/>
      <c r="H34" s="37"/>
      <c r="I34" s="37"/>
      <c r="J34" s="37"/>
      <c r="K34" s="37"/>
    </row>
    <row r="35" spans="2:11" x14ac:dyDescent="0.25"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2:11" x14ac:dyDescent="0.25">
      <c r="B36" s="37"/>
      <c r="C36" s="39"/>
      <c r="D36" s="39"/>
      <c r="E36" s="39"/>
      <c r="F36" s="39"/>
      <c r="G36" s="39"/>
      <c r="H36" s="39"/>
      <c r="I36" s="39"/>
      <c r="J36" s="37"/>
      <c r="K36" s="37"/>
    </row>
    <row r="37" spans="2:11" x14ac:dyDescent="0.25">
      <c r="B37" s="14"/>
      <c r="C37" s="14"/>
      <c r="D37" s="40"/>
      <c r="E37" s="14"/>
      <c r="F37" s="14"/>
      <c r="G37" s="14"/>
      <c r="H37" s="14"/>
      <c r="I37" s="14"/>
      <c r="J37" s="14"/>
      <c r="K37" s="14"/>
    </row>
    <row r="38" spans="2:11" x14ac:dyDescent="0.25">
      <c r="B38" s="14"/>
      <c r="C38" s="41"/>
      <c r="D38" s="14"/>
      <c r="E38" s="14"/>
      <c r="F38" s="14"/>
      <c r="G38" s="14"/>
      <c r="H38" s="14"/>
      <c r="I38" s="14"/>
      <c r="J38" s="14"/>
      <c r="K38" s="14"/>
    </row>
    <row r="39" spans="2:11" x14ac:dyDescent="0.25"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2:11" x14ac:dyDescent="0.25">
      <c r="B40" s="14"/>
      <c r="C40" s="14"/>
      <c r="D40" s="14"/>
      <c r="E40" s="14"/>
      <c r="F40" s="14"/>
      <c r="G40" s="14"/>
      <c r="H40" s="14"/>
      <c r="I40" s="14"/>
      <c r="J40" s="14"/>
      <c r="K40" s="14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6FD5-1C13-477A-8DC5-123589AF72F6}">
  <dimension ref="B1:K37"/>
  <sheetViews>
    <sheetView showGridLines="0" topLeftCell="A16" workbookViewId="0">
      <selection activeCell="C26" sqref="C26"/>
    </sheetView>
  </sheetViews>
  <sheetFormatPr baseColWidth="10" defaultColWidth="10.85546875" defaultRowHeight="15" x14ac:dyDescent="0.25"/>
  <cols>
    <col min="1" max="1" width="4.5703125" style="15" customWidth="1"/>
    <col min="2" max="2" width="25.5703125" style="15" customWidth="1"/>
    <col min="3" max="3" width="20.7109375" style="15" bestFit="1" customWidth="1"/>
    <col min="4" max="4" width="12.5703125" style="15" customWidth="1"/>
    <col min="5" max="5" width="15.28515625" style="15" bestFit="1" customWidth="1"/>
    <col min="6" max="6" width="9" style="15" customWidth="1"/>
    <col min="7" max="16384" width="10.85546875" style="15"/>
  </cols>
  <sheetData>
    <row r="1" spans="2:11" ht="15.75" x14ac:dyDescent="0.25">
      <c r="B1" s="13" t="s">
        <v>48</v>
      </c>
      <c r="C1" s="14"/>
      <c r="D1" s="14"/>
      <c r="E1" s="14"/>
      <c r="F1" s="14"/>
      <c r="G1" s="14"/>
      <c r="H1" s="14"/>
      <c r="I1" s="14"/>
      <c r="J1" s="14"/>
      <c r="K1" s="14"/>
    </row>
    <row r="2" spans="2:11" ht="15.75" x14ac:dyDescent="0.25">
      <c r="B2" s="16" t="s">
        <v>49</v>
      </c>
      <c r="C2" s="17">
        <v>6</v>
      </c>
      <c r="D2" s="14"/>
      <c r="E2" s="14"/>
      <c r="F2" s="14"/>
      <c r="G2" s="14"/>
      <c r="H2" s="14"/>
      <c r="I2" s="14"/>
      <c r="J2" s="14"/>
      <c r="K2" s="14"/>
    </row>
    <row r="3" spans="2:11" ht="15.75" x14ac:dyDescent="0.25">
      <c r="B3" s="18"/>
      <c r="C3" s="17"/>
      <c r="D3" s="14"/>
      <c r="E3" s="14"/>
      <c r="F3" s="14"/>
      <c r="G3" s="14"/>
      <c r="H3" s="14"/>
      <c r="I3" s="14"/>
      <c r="J3" s="14"/>
      <c r="K3" s="14"/>
    </row>
    <row r="4" spans="2:11" ht="31.5" x14ac:dyDescent="0.25">
      <c r="B4" s="19" t="s">
        <v>50</v>
      </c>
      <c r="C4" s="20" t="str">
        <f>+'Oferta Producto 1'!C4</f>
        <v>CP-CHCC2025-001</v>
      </c>
      <c r="D4" s="14"/>
      <c r="E4" s="14"/>
      <c r="F4" s="14"/>
      <c r="G4" s="14"/>
      <c r="H4" s="14"/>
      <c r="I4" s="14"/>
      <c r="J4" s="14"/>
      <c r="K4" s="14"/>
    </row>
    <row r="5" spans="2:11" ht="15.75" x14ac:dyDescent="0.25">
      <c r="B5" s="21" t="s">
        <v>51</v>
      </c>
      <c r="C5" s="20"/>
      <c r="D5" s="14"/>
      <c r="E5" s="14"/>
      <c r="F5" s="14"/>
      <c r="G5" s="14"/>
      <c r="H5" s="14"/>
      <c r="I5" s="14"/>
      <c r="J5" s="14"/>
      <c r="K5" s="14"/>
    </row>
    <row r="6" spans="2:11" ht="15.75" x14ac:dyDescent="0.25">
      <c r="B6" s="21" t="s">
        <v>52</v>
      </c>
      <c r="C6" s="21">
        <v>2032</v>
      </c>
      <c r="D6" s="14"/>
      <c r="E6" s="14"/>
      <c r="F6" s="14"/>
      <c r="G6" s="14"/>
      <c r="H6" s="14"/>
      <c r="I6" s="14"/>
      <c r="J6" s="14"/>
      <c r="K6" s="14"/>
    </row>
    <row r="7" spans="2:11" ht="15.75" x14ac:dyDescent="0.25">
      <c r="B7" s="21" t="s">
        <v>53</v>
      </c>
      <c r="C7" s="20" t="s">
        <v>54</v>
      </c>
      <c r="D7" s="14"/>
      <c r="E7" s="14"/>
      <c r="F7" s="14"/>
      <c r="G7" s="14"/>
      <c r="H7" s="14"/>
      <c r="I7" s="14"/>
      <c r="J7" s="14"/>
      <c r="K7" s="14"/>
    </row>
    <row r="8" spans="2:11" ht="15.75" x14ac:dyDescent="0.25">
      <c r="B8" s="21" t="s">
        <v>55</v>
      </c>
      <c r="C8" s="22">
        <f>+'Oferta Producto 1'!C8</f>
        <v>45689</v>
      </c>
      <c r="D8" s="14"/>
      <c r="E8" s="14"/>
      <c r="F8" s="14"/>
      <c r="G8" s="14"/>
      <c r="H8" s="14"/>
      <c r="I8" s="14"/>
      <c r="J8" s="14"/>
      <c r="K8" s="14"/>
    </row>
    <row r="9" spans="2:11" ht="15.75" x14ac:dyDescent="0.25">
      <c r="B9" s="19" t="s">
        <v>56</v>
      </c>
      <c r="C9" s="23" t="s">
        <v>57</v>
      </c>
      <c r="D9" s="14"/>
      <c r="E9" s="14"/>
      <c r="F9" s="14"/>
      <c r="G9" s="14"/>
      <c r="H9" s="14"/>
      <c r="I9" s="14"/>
      <c r="J9" s="14"/>
      <c r="K9" s="14"/>
    </row>
    <row r="10" spans="2:11" ht="15.75" x14ac:dyDescent="0.25">
      <c r="B10" s="21" t="s">
        <v>58</v>
      </c>
      <c r="C10" s="23" t="s">
        <v>59</v>
      </c>
      <c r="D10" s="14"/>
      <c r="E10" s="14"/>
      <c r="F10" s="14"/>
      <c r="G10" s="14"/>
      <c r="H10" s="14"/>
      <c r="I10" s="14"/>
      <c r="J10" s="14"/>
      <c r="K10" s="14"/>
    </row>
    <row r="11" spans="2:11" ht="15.75" x14ac:dyDescent="0.25">
      <c r="B11" s="21" t="s">
        <v>60</v>
      </c>
      <c r="C11" s="23" t="s">
        <v>61</v>
      </c>
      <c r="D11" s="14"/>
      <c r="E11" s="14"/>
      <c r="F11" s="14"/>
      <c r="G11" s="14"/>
      <c r="H11" s="14"/>
      <c r="I11" s="14"/>
      <c r="J11" s="14"/>
      <c r="K11" s="14"/>
    </row>
    <row r="12" spans="2:11" x14ac:dyDescent="0.25"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2:11" ht="63" x14ac:dyDescent="0.25">
      <c r="B13" s="24" t="s">
        <v>62</v>
      </c>
      <c r="C13" s="24" t="s">
        <v>63</v>
      </c>
      <c r="D13" s="25" t="s">
        <v>64</v>
      </c>
      <c r="E13" s="24" t="s">
        <v>65</v>
      </c>
      <c r="F13" s="24" t="s">
        <v>66</v>
      </c>
      <c r="G13" s="26"/>
      <c r="H13" s="26"/>
      <c r="I13" s="26"/>
      <c r="J13" s="14"/>
      <c r="K13" s="14"/>
    </row>
    <row r="14" spans="2:11" x14ac:dyDescent="0.25">
      <c r="B14" s="27">
        <v>48214</v>
      </c>
      <c r="C14" s="28">
        <f>+'Cantidad Producto 6'!AE7</f>
        <v>21728548.550000001</v>
      </c>
      <c r="D14" s="29"/>
      <c r="E14" s="28"/>
      <c r="F14" s="30"/>
      <c r="G14" s="31"/>
      <c r="H14" s="14"/>
      <c r="I14" s="14"/>
      <c r="J14" s="14"/>
      <c r="K14" s="14"/>
    </row>
    <row r="15" spans="2:11" x14ac:dyDescent="0.25">
      <c r="B15" s="27">
        <v>48245</v>
      </c>
      <c r="C15" s="28">
        <f>+'Cantidad Producto 6'!AE8</f>
        <v>21917429.32</v>
      </c>
      <c r="D15" s="29"/>
      <c r="E15" s="28"/>
      <c r="F15" s="30"/>
      <c r="G15" s="31"/>
      <c r="H15" s="14"/>
      <c r="I15" s="14"/>
      <c r="J15" s="14"/>
      <c r="K15" s="14"/>
    </row>
    <row r="16" spans="2:11" x14ac:dyDescent="0.25">
      <c r="B16" s="27">
        <v>48274</v>
      </c>
      <c r="C16" s="28">
        <f>+'Cantidad Producto 6'!AE9</f>
        <v>21438237.129999999</v>
      </c>
      <c r="D16" s="29"/>
      <c r="E16" s="28"/>
      <c r="F16" s="30"/>
      <c r="G16" s="31"/>
      <c r="H16" s="14"/>
      <c r="I16" s="14"/>
      <c r="J16" s="14"/>
      <c r="K16" s="14"/>
    </row>
    <row r="17" spans="2:11" x14ac:dyDescent="0.25">
      <c r="B17" s="27">
        <v>48305</v>
      </c>
      <c r="C17" s="28">
        <f>+'Cantidad Producto 6'!AE10</f>
        <v>21698464.32</v>
      </c>
      <c r="D17" s="29"/>
      <c r="E17" s="28"/>
      <c r="F17" s="30"/>
      <c r="G17" s="31"/>
      <c r="H17" s="14"/>
      <c r="I17" s="14"/>
      <c r="J17" s="14"/>
      <c r="K17" s="14"/>
    </row>
    <row r="18" spans="2:11" x14ac:dyDescent="0.25">
      <c r="B18" s="27">
        <v>48335</v>
      </c>
      <c r="C18" s="28">
        <f>+'Cantidad Producto 6'!AE11</f>
        <v>21766749.480000004</v>
      </c>
      <c r="D18" s="29"/>
      <c r="E18" s="28"/>
      <c r="F18" s="30"/>
      <c r="G18" s="31"/>
      <c r="H18" s="14"/>
      <c r="I18" s="14"/>
      <c r="J18" s="14"/>
      <c r="K18" s="14"/>
    </row>
    <row r="19" spans="2:11" x14ac:dyDescent="0.25">
      <c r="B19" s="27">
        <v>48366</v>
      </c>
      <c r="C19" s="28">
        <f>+'Cantidad Producto 6'!AE12</f>
        <v>21609648.240000002</v>
      </c>
      <c r="D19" s="29"/>
      <c r="E19" s="28"/>
      <c r="F19" s="30"/>
      <c r="G19" s="31"/>
      <c r="H19" s="14"/>
      <c r="I19" s="14"/>
      <c r="J19" s="14"/>
      <c r="K19" s="14"/>
    </row>
    <row r="20" spans="2:11" x14ac:dyDescent="0.25">
      <c r="B20" s="27">
        <v>48396</v>
      </c>
      <c r="C20" s="28">
        <f>+'Cantidad Producto 6'!AE13</f>
        <v>22030648.810000002</v>
      </c>
      <c r="D20" s="29"/>
      <c r="E20" s="28"/>
      <c r="F20" s="30"/>
      <c r="G20" s="31"/>
      <c r="H20" s="14"/>
      <c r="I20" s="14"/>
      <c r="J20" s="14"/>
      <c r="K20" s="14"/>
    </row>
    <row r="21" spans="2:11" x14ac:dyDescent="0.25">
      <c r="B21" s="27">
        <v>48427</v>
      </c>
      <c r="C21" s="28">
        <f>+'Cantidad Producto 6'!AE14</f>
        <v>21883418.030000001</v>
      </c>
      <c r="D21" s="29"/>
      <c r="E21" s="28"/>
      <c r="F21" s="30"/>
      <c r="G21" s="31"/>
      <c r="H21" s="14"/>
      <c r="I21" s="14"/>
      <c r="J21" s="14"/>
      <c r="K21" s="14"/>
    </row>
    <row r="22" spans="2:11" x14ac:dyDescent="0.25">
      <c r="B22" s="27">
        <v>48458</v>
      </c>
      <c r="C22" s="28">
        <f>+'Cantidad Producto 6'!AE15</f>
        <v>22427741.960000001</v>
      </c>
      <c r="D22" s="29"/>
      <c r="E22" s="28"/>
      <c r="F22" s="30"/>
      <c r="G22" s="31"/>
      <c r="H22" s="14"/>
      <c r="I22" s="14"/>
      <c r="J22" s="14"/>
      <c r="K22" s="14"/>
    </row>
    <row r="23" spans="2:11" x14ac:dyDescent="0.25">
      <c r="B23" s="27">
        <v>48488</v>
      </c>
      <c r="C23" s="28">
        <f>+'Cantidad Producto 6'!AE16</f>
        <v>22015326.210000001</v>
      </c>
      <c r="D23" s="29"/>
      <c r="E23" s="28"/>
      <c r="F23" s="30"/>
      <c r="G23" s="31"/>
      <c r="H23" s="14"/>
      <c r="I23" s="14"/>
      <c r="J23" s="14"/>
      <c r="K23" s="14"/>
    </row>
    <row r="24" spans="2:11" x14ac:dyDescent="0.25">
      <c r="B24" s="27">
        <v>48519</v>
      </c>
      <c r="C24" s="28">
        <f>+'Cantidad Producto 6'!AE17</f>
        <v>22410233.719999999</v>
      </c>
      <c r="D24" s="29"/>
      <c r="E24" s="28"/>
      <c r="F24" s="30"/>
      <c r="G24" s="31"/>
      <c r="H24" s="14"/>
      <c r="I24" s="14"/>
      <c r="J24" s="14"/>
      <c r="K24" s="14"/>
    </row>
    <row r="25" spans="2:11" x14ac:dyDescent="0.25">
      <c r="B25" s="27">
        <v>48549</v>
      </c>
      <c r="C25" s="28">
        <f>+'Cantidad Producto 6'!AE18</f>
        <v>21934849.270000003</v>
      </c>
      <c r="D25" s="29"/>
      <c r="E25" s="28"/>
      <c r="F25" s="30"/>
      <c r="G25" s="31"/>
      <c r="H25" s="14"/>
      <c r="I25" s="14"/>
      <c r="J25" s="14"/>
      <c r="K25" s="14"/>
    </row>
    <row r="26" spans="2:11" x14ac:dyDescent="0.25">
      <c r="B26" s="27" t="s">
        <v>73</v>
      </c>
      <c r="C26" s="32">
        <f>SUM(C14:C25)</f>
        <v>262861295.04000002</v>
      </c>
      <c r="D26" s="33" t="s">
        <v>68</v>
      </c>
      <c r="E26" s="32"/>
      <c r="F26" s="30"/>
      <c r="G26" s="31"/>
      <c r="H26" s="14"/>
      <c r="I26" s="14"/>
      <c r="J26" s="14"/>
      <c r="K26" s="14"/>
    </row>
    <row r="27" spans="2:11" x14ac:dyDescent="0.25">
      <c r="B27" s="14"/>
      <c r="C27" s="34"/>
      <c r="D27" s="14"/>
      <c r="E27" s="14"/>
      <c r="F27" s="14"/>
      <c r="G27" s="14"/>
      <c r="H27" s="14"/>
      <c r="I27" s="14"/>
      <c r="J27" s="14"/>
      <c r="K27" s="14"/>
    </row>
    <row r="28" spans="2:11" x14ac:dyDescent="0.25">
      <c r="B28" s="14"/>
      <c r="C28" s="34"/>
      <c r="D28" s="35"/>
      <c r="E28" s="35"/>
      <c r="F28" s="14"/>
      <c r="G28" s="14"/>
      <c r="H28" s="14"/>
      <c r="I28" s="14"/>
      <c r="J28" s="14"/>
      <c r="K28" s="14"/>
    </row>
    <row r="29" spans="2:11" x14ac:dyDescent="0.25">
      <c r="B29" s="36" t="s">
        <v>69</v>
      </c>
      <c r="C29" s="36"/>
      <c r="D29" s="36"/>
      <c r="E29" s="36"/>
      <c r="F29" s="36"/>
      <c r="G29" s="36"/>
      <c r="H29" s="36"/>
      <c r="I29" s="36"/>
      <c r="J29" s="36"/>
      <c r="K29" s="36"/>
    </row>
    <row r="30" spans="2:11" x14ac:dyDescent="0.25">
      <c r="B30" s="37" t="s">
        <v>70</v>
      </c>
      <c r="C30" s="37"/>
      <c r="D30" s="37"/>
      <c r="E30" s="37"/>
      <c r="F30" s="37"/>
      <c r="G30" s="37"/>
      <c r="H30" s="37"/>
      <c r="I30" s="37"/>
      <c r="J30" s="37"/>
      <c r="K30" s="37"/>
    </row>
    <row r="31" spans="2:11" x14ac:dyDescent="0.25">
      <c r="B31" s="37" t="s">
        <v>75</v>
      </c>
      <c r="C31" s="38"/>
      <c r="D31" s="38"/>
      <c r="E31" s="38"/>
      <c r="F31" s="38"/>
      <c r="G31" s="38"/>
      <c r="H31" s="38"/>
      <c r="I31" s="38"/>
      <c r="J31" s="38"/>
      <c r="K31" s="38"/>
    </row>
    <row r="32" spans="2:11" x14ac:dyDescent="0.25">
      <c r="B32" s="38" t="s">
        <v>71</v>
      </c>
      <c r="C32" s="37"/>
      <c r="D32" s="37"/>
      <c r="E32" s="37"/>
      <c r="F32" s="37"/>
      <c r="G32" s="37"/>
      <c r="H32" s="37"/>
      <c r="I32" s="37"/>
      <c r="J32" s="37"/>
      <c r="K32" s="37"/>
    </row>
    <row r="33" spans="2:11" x14ac:dyDescent="0.25">
      <c r="B33" s="37" t="s">
        <v>76</v>
      </c>
      <c r="C33" s="39"/>
      <c r="D33" s="39"/>
      <c r="E33" s="39"/>
      <c r="F33" s="39"/>
      <c r="G33" s="39"/>
      <c r="H33" s="39"/>
      <c r="I33" s="39"/>
      <c r="J33" s="37"/>
      <c r="K33" s="37"/>
    </row>
    <row r="34" spans="2:11" x14ac:dyDescent="0.25">
      <c r="B34" s="37" t="s">
        <v>72</v>
      </c>
      <c r="C34" s="14"/>
      <c r="D34" s="40"/>
      <c r="E34" s="14"/>
      <c r="F34" s="14"/>
      <c r="G34" s="14"/>
      <c r="H34" s="14"/>
      <c r="I34" s="14"/>
      <c r="J34" s="14"/>
      <c r="K34" s="14"/>
    </row>
    <row r="35" spans="2:11" x14ac:dyDescent="0.25">
      <c r="B35" s="14"/>
      <c r="C35" s="41"/>
      <c r="D35" s="14"/>
      <c r="E35" s="14"/>
      <c r="F35" s="14"/>
      <c r="G35" s="14"/>
      <c r="H35" s="14"/>
      <c r="I35" s="14"/>
      <c r="J35" s="14"/>
      <c r="K35" s="14"/>
    </row>
    <row r="36" spans="2:11" x14ac:dyDescent="0.25"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2:11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31E6-6327-4476-8FBA-8E7DDB215757}">
  <dimension ref="B1:AE62"/>
  <sheetViews>
    <sheetView showGridLines="0" topLeftCell="A2" zoomScale="70" zoomScaleNormal="70" workbookViewId="0">
      <selection activeCell="A2" sqref="A2:AD56"/>
    </sheetView>
  </sheetViews>
  <sheetFormatPr baseColWidth="10" defaultColWidth="11.42578125" defaultRowHeight="12" x14ac:dyDescent="0.2"/>
  <cols>
    <col min="1" max="1" width="7.28515625" style="10" customWidth="1"/>
    <col min="2" max="2" width="5.85546875" style="10" customWidth="1"/>
    <col min="3" max="3" width="9.7109375" style="10" bestFit="1" customWidth="1"/>
    <col min="4" max="4" width="7" style="10" customWidth="1"/>
    <col min="5" max="28" width="10.140625" style="10" bestFit="1" customWidth="1"/>
    <col min="29" max="29" width="13.7109375" style="10" customWidth="1"/>
    <col min="30" max="30" width="6.5703125" style="10" customWidth="1"/>
    <col min="31" max="31" width="10.140625" style="10" bestFit="1" customWidth="1"/>
    <col min="32" max="257" width="11.42578125" style="10"/>
    <col min="258" max="258" width="7" style="10" customWidth="1"/>
    <col min="259" max="259" width="10.7109375" style="10" customWidth="1"/>
    <col min="260" max="260" width="9.28515625" style="10" customWidth="1"/>
    <col min="261" max="284" width="7.28515625" style="10" customWidth="1"/>
    <col min="285" max="285" width="11.28515625" style="10" bestFit="1" customWidth="1"/>
    <col min="286" max="513" width="11.42578125" style="10"/>
    <col min="514" max="514" width="7" style="10" customWidth="1"/>
    <col min="515" max="515" width="10.7109375" style="10" customWidth="1"/>
    <col min="516" max="516" width="9.28515625" style="10" customWidth="1"/>
    <col min="517" max="540" width="7.28515625" style="10" customWidth="1"/>
    <col min="541" max="541" width="11.28515625" style="10" bestFit="1" customWidth="1"/>
    <col min="542" max="769" width="11.42578125" style="10"/>
    <col min="770" max="770" width="7" style="10" customWidth="1"/>
    <col min="771" max="771" width="10.7109375" style="10" customWidth="1"/>
    <col min="772" max="772" width="9.28515625" style="10" customWidth="1"/>
    <col min="773" max="796" width="7.28515625" style="10" customWidth="1"/>
    <col min="797" max="797" width="11.28515625" style="10" bestFit="1" customWidth="1"/>
    <col min="798" max="1025" width="11.42578125" style="10"/>
    <col min="1026" max="1026" width="7" style="10" customWidth="1"/>
    <col min="1027" max="1027" width="10.7109375" style="10" customWidth="1"/>
    <col min="1028" max="1028" width="9.28515625" style="10" customWidth="1"/>
    <col min="1029" max="1052" width="7.28515625" style="10" customWidth="1"/>
    <col min="1053" max="1053" width="11.28515625" style="10" bestFit="1" customWidth="1"/>
    <col min="1054" max="1281" width="11.42578125" style="10"/>
    <col min="1282" max="1282" width="7" style="10" customWidth="1"/>
    <col min="1283" max="1283" width="10.7109375" style="10" customWidth="1"/>
    <col min="1284" max="1284" width="9.28515625" style="10" customWidth="1"/>
    <col min="1285" max="1308" width="7.28515625" style="10" customWidth="1"/>
    <col min="1309" max="1309" width="11.28515625" style="10" bestFit="1" customWidth="1"/>
    <col min="1310" max="1537" width="11.42578125" style="10"/>
    <col min="1538" max="1538" width="7" style="10" customWidth="1"/>
    <col min="1539" max="1539" width="10.7109375" style="10" customWidth="1"/>
    <col min="1540" max="1540" width="9.28515625" style="10" customWidth="1"/>
    <col min="1541" max="1564" width="7.28515625" style="10" customWidth="1"/>
    <col min="1565" max="1565" width="11.28515625" style="10" bestFit="1" customWidth="1"/>
    <col min="1566" max="1793" width="11.42578125" style="10"/>
    <col min="1794" max="1794" width="7" style="10" customWidth="1"/>
    <col min="1795" max="1795" width="10.7109375" style="10" customWidth="1"/>
    <col min="1796" max="1796" width="9.28515625" style="10" customWidth="1"/>
    <col min="1797" max="1820" width="7.28515625" style="10" customWidth="1"/>
    <col min="1821" max="1821" width="11.28515625" style="10" bestFit="1" customWidth="1"/>
    <col min="1822" max="2049" width="11.42578125" style="10"/>
    <col min="2050" max="2050" width="7" style="10" customWidth="1"/>
    <col min="2051" max="2051" width="10.7109375" style="10" customWidth="1"/>
    <col min="2052" max="2052" width="9.28515625" style="10" customWidth="1"/>
    <col min="2053" max="2076" width="7.28515625" style="10" customWidth="1"/>
    <col min="2077" max="2077" width="11.28515625" style="10" bestFit="1" customWidth="1"/>
    <col min="2078" max="2305" width="11.42578125" style="10"/>
    <col min="2306" max="2306" width="7" style="10" customWidth="1"/>
    <col min="2307" max="2307" width="10.7109375" style="10" customWidth="1"/>
    <col min="2308" max="2308" width="9.28515625" style="10" customWidth="1"/>
    <col min="2309" max="2332" width="7.28515625" style="10" customWidth="1"/>
    <col min="2333" max="2333" width="11.28515625" style="10" bestFit="1" customWidth="1"/>
    <col min="2334" max="2561" width="11.42578125" style="10"/>
    <col min="2562" max="2562" width="7" style="10" customWidth="1"/>
    <col min="2563" max="2563" width="10.7109375" style="10" customWidth="1"/>
    <col min="2564" max="2564" width="9.28515625" style="10" customWidth="1"/>
    <col min="2565" max="2588" width="7.28515625" style="10" customWidth="1"/>
    <col min="2589" max="2589" width="11.28515625" style="10" bestFit="1" customWidth="1"/>
    <col min="2590" max="2817" width="11.42578125" style="10"/>
    <col min="2818" max="2818" width="7" style="10" customWidth="1"/>
    <col min="2819" max="2819" width="10.7109375" style="10" customWidth="1"/>
    <col min="2820" max="2820" width="9.28515625" style="10" customWidth="1"/>
    <col min="2821" max="2844" width="7.28515625" style="10" customWidth="1"/>
    <col min="2845" max="2845" width="11.28515625" style="10" bestFit="1" customWidth="1"/>
    <col min="2846" max="3073" width="11.42578125" style="10"/>
    <col min="3074" max="3074" width="7" style="10" customWidth="1"/>
    <col min="3075" max="3075" width="10.7109375" style="10" customWidth="1"/>
    <col min="3076" max="3076" width="9.28515625" style="10" customWidth="1"/>
    <col min="3077" max="3100" width="7.28515625" style="10" customWidth="1"/>
    <col min="3101" max="3101" width="11.28515625" style="10" bestFit="1" customWidth="1"/>
    <col min="3102" max="3329" width="11.42578125" style="10"/>
    <col min="3330" max="3330" width="7" style="10" customWidth="1"/>
    <col min="3331" max="3331" width="10.7109375" style="10" customWidth="1"/>
    <col min="3332" max="3332" width="9.28515625" style="10" customWidth="1"/>
    <col min="3333" max="3356" width="7.28515625" style="10" customWidth="1"/>
    <col min="3357" max="3357" width="11.28515625" style="10" bestFit="1" customWidth="1"/>
    <col min="3358" max="3585" width="11.42578125" style="10"/>
    <col min="3586" max="3586" width="7" style="10" customWidth="1"/>
    <col min="3587" max="3587" width="10.7109375" style="10" customWidth="1"/>
    <col min="3588" max="3588" width="9.28515625" style="10" customWidth="1"/>
    <col min="3589" max="3612" width="7.28515625" style="10" customWidth="1"/>
    <col min="3613" max="3613" width="11.28515625" style="10" bestFit="1" customWidth="1"/>
    <col min="3614" max="3841" width="11.42578125" style="10"/>
    <col min="3842" max="3842" width="7" style="10" customWidth="1"/>
    <col min="3843" max="3843" width="10.7109375" style="10" customWidth="1"/>
    <col min="3844" max="3844" width="9.28515625" style="10" customWidth="1"/>
    <col min="3845" max="3868" width="7.28515625" style="10" customWidth="1"/>
    <col min="3869" max="3869" width="11.28515625" style="10" bestFit="1" customWidth="1"/>
    <col min="3870" max="4097" width="11.42578125" style="10"/>
    <col min="4098" max="4098" width="7" style="10" customWidth="1"/>
    <col min="4099" max="4099" width="10.7109375" style="10" customWidth="1"/>
    <col min="4100" max="4100" width="9.28515625" style="10" customWidth="1"/>
    <col min="4101" max="4124" width="7.28515625" style="10" customWidth="1"/>
    <col min="4125" max="4125" width="11.28515625" style="10" bestFit="1" customWidth="1"/>
    <col min="4126" max="4353" width="11.42578125" style="10"/>
    <col min="4354" max="4354" width="7" style="10" customWidth="1"/>
    <col min="4355" max="4355" width="10.7109375" style="10" customWidth="1"/>
    <col min="4356" max="4356" width="9.28515625" style="10" customWidth="1"/>
    <col min="4357" max="4380" width="7.28515625" style="10" customWidth="1"/>
    <col min="4381" max="4381" width="11.28515625" style="10" bestFit="1" customWidth="1"/>
    <col min="4382" max="4609" width="11.42578125" style="10"/>
    <col min="4610" max="4610" width="7" style="10" customWidth="1"/>
    <col min="4611" max="4611" width="10.7109375" style="10" customWidth="1"/>
    <col min="4612" max="4612" width="9.28515625" style="10" customWidth="1"/>
    <col min="4613" max="4636" width="7.28515625" style="10" customWidth="1"/>
    <col min="4637" max="4637" width="11.28515625" style="10" bestFit="1" customWidth="1"/>
    <col min="4638" max="4865" width="11.42578125" style="10"/>
    <col min="4866" max="4866" width="7" style="10" customWidth="1"/>
    <col min="4867" max="4867" width="10.7109375" style="10" customWidth="1"/>
    <col min="4868" max="4868" width="9.28515625" style="10" customWidth="1"/>
    <col min="4869" max="4892" width="7.28515625" style="10" customWidth="1"/>
    <col min="4893" max="4893" width="11.28515625" style="10" bestFit="1" customWidth="1"/>
    <col min="4894" max="5121" width="11.42578125" style="10"/>
    <col min="5122" max="5122" width="7" style="10" customWidth="1"/>
    <col min="5123" max="5123" width="10.7109375" style="10" customWidth="1"/>
    <col min="5124" max="5124" width="9.28515625" style="10" customWidth="1"/>
    <col min="5125" max="5148" width="7.28515625" style="10" customWidth="1"/>
    <col min="5149" max="5149" width="11.28515625" style="10" bestFit="1" customWidth="1"/>
    <col min="5150" max="5377" width="11.42578125" style="10"/>
    <col min="5378" max="5378" width="7" style="10" customWidth="1"/>
    <col min="5379" max="5379" width="10.7109375" style="10" customWidth="1"/>
    <col min="5380" max="5380" width="9.28515625" style="10" customWidth="1"/>
    <col min="5381" max="5404" width="7.28515625" style="10" customWidth="1"/>
    <col min="5405" max="5405" width="11.28515625" style="10" bestFit="1" customWidth="1"/>
    <col min="5406" max="5633" width="11.42578125" style="10"/>
    <col min="5634" max="5634" width="7" style="10" customWidth="1"/>
    <col min="5635" max="5635" width="10.7109375" style="10" customWidth="1"/>
    <col min="5636" max="5636" width="9.28515625" style="10" customWidth="1"/>
    <col min="5637" max="5660" width="7.28515625" style="10" customWidth="1"/>
    <col min="5661" max="5661" width="11.28515625" style="10" bestFit="1" customWidth="1"/>
    <col min="5662" max="5889" width="11.42578125" style="10"/>
    <col min="5890" max="5890" width="7" style="10" customWidth="1"/>
    <col min="5891" max="5891" width="10.7109375" style="10" customWidth="1"/>
    <col min="5892" max="5892" width="9.28515625" style="10" customWidth="1"/>
    <col min="5893" max="5916" width="7.28515625" style="10" customWidth="1"/>
    <col min="5917" max="5917" width="11.28515625" style="10" bestFit="1" customWidth="1"/>
    <col min="5918" max="6145" width="11.42578125" style="10"/>
    <col min="6146" max="6146" width="7" style="10" customWidth="1"/>
    <col min="6147" max="6147" width="10.7109375" style="10" customWidth="1"/>
    <col min="6148" max="6148" width="9.28515625" style="10" customWidth="1"/>
    <col min="6149" max="6172" width="7.28515625" style="10" customWidth="1"/>
    <col min="6173" max="6173" width="11.28515625" style="10" bestFit="1" customWidth="1"/>
    <col min="6174" max="6401" width="11.42578125" style="10"/>
    <col min="6402" max="6402" width="7" style="10" customWidth="1"/>
    <col min="6403" max="6403" width="10.7109375" style="10" customWidth="1"/>
    <col min="6404" max="6404" width="9.28515625" style="10" customWidth="1"/>
    <col min="6405" max="6428" width="7.28515625" style="10" customWidth="1"/>
    <col min="6429" max="6429" width="11.28515625" style="10" bestFit="1" customWidth="1"/>
    <col min="6430" max="6657" width="11.42578125" style="10"/>
    <col min="6658" max="6658" width="7" style="10" customWidth="1"/>
    <col min="6659" max="6659" width="10.7109375" style="10" customWidth="1"/>
    <col min="6660" max="6660" width="9.28515625" style="10" customWidth="1"/>
    <col min="6661" max="6684" width="7.28515625" style="10" customWidth="1"/>
    <col min="6685" max="6685" width="11.28515625" style="10" bestFit="1" customWidth="1"/>
    <col min="6686" max="6913" width="11.42578125" style="10"/>
    <col min="6914" max="6914" width="7" style="10" customWidth="1"/>
    <col min="6915" max="6915" width="10.7109375" style="10" customWidth="1"/>
    <col min="6916" max="6916" width="9.28515625" style="10" customWidth="1"/>
    <col min="6917" max="6940" width="7.28515625" style="10" customWidth="1"/>
    <col min="6941" max="6941" width="11.28515625" style="10" bestFit="1" customWidth="1"/>
    <col min="6942" max="7169" width="11.42578125" style="10"/>
    <col min="7170" max="7170" width="7" style="10" customWidth="1"/>
    <col min="7171" max="7171" width="10.7109375" style="10" customWidth="1"/>
    <col min="7172" max="7172" width="9.28515625" style="10" customWidth="1"/>
    <col min="7173" max="7196" width="7.28515625" style="10" customWidth="1"/>
    <col min="7197" max="7197" width="11.28515625" style="10" bestFit="1" customWidth="1"/>
    <col min="7198" max="7425" width="11.42578125" style="10"/>
    <col min="7426" max="7426" width="7" style="10" customWidth="1"/>
    <col min="7427" max="7427" width="10.7109375" style="10" customWidth="1"/>
    <col min="7428" max="7428" width="9.28515625" style="10" customWidth="1"/>
    <col min="7429" max="7452" width="7.28515625" style="10" customWidth="1"/>
    <col min="7453" max="7453" width="11.28515625" style="10" bestFit="1" customWidth="1"/>
    <col min="7454" max="7681" width="11.42578125" style="10"/>
    <col min="7682" max="7682" width="7" style="10" customWidth="1"/>
    <col min="7683" max="7683" width="10.7109375" style="10" customWidth="1"/>
    <col min="7684" max="7684" width="9.28515625" style="10" customWidth="1"/>
    <col min="7685" max="7708" width="7.28515625" style="10" customWidth="1"/>
    <col min="7709" max="7709" width="11.28515625" style="10" bestFit="1" customWidth="1"/>
    <col min="7710" max="7937" width="11.42578125" style="10"/>
    <col min="7938" max="7938" width="7" style="10" customWidth="1"/>
    <col min="7939" max="7939" width="10.7109375" style="10" customWidth="1"/>
    <col min="7940" max="7940" width="9.28515625" style="10" customWidth="1"/>
    <col min="7941" max="7964" width="7.28515625" style="10" customWidth="1"/>
    <col min="7965" max="7965" width="11.28515625" style="10" bestFit="1" customWidth="1"/>
    <col min="7966" max="8193" width="11.42578125" style="10"/>
    <col min="8194" max="8194" width="7" style="10" customWidth="1"/>
    <col min="8195" max="8195" width="10.7109375" style="10" customWidth="1"/>
    <col min="8196" max="8196" width="9.28515625" style="10" customWidth="1"/>
    <col min="8197" max="8220" width="7.28515625" style="10" customWidth="1"/>
    <col min="8221" max="8221" width="11.28515625" style="10" bestFit="1" customWidth="1"/>
    <col min="8222" max="8449" width="11.42578125" style="10"/>
    <col min="8450" max="8450" width="7" style="10" customWidth="1"/>
    <col min="8451" max="8451" width="10.7109375" style="10" customWidth="1"/>
    <col min="8452" max="8452" width="9.28515625" style="10" customWidth="1"/>
    <col min="8453" max="8476" width="7.28515625" style="10" customWidth="1"/>
    <col min="8477" max="8477" width="11.28515625" style="10" bestFit="1" customWidth="1"/>
    <col min="8478" max="8705" width="11.42578125" style="10"/>
    <col min="8706" max="8706" width="7" style="10" customWidth="1"/>
    <col min="8707" max="8707" width="10.7109375" style="10" customWidth="1"/>
    <col min="8708" max="8708" width="9.28515625" style="10" customWidth="1"/>
    <col min="8709" max="8732" width="7.28515625" style="10" customWidth="1"/>
    <col min="8733" max="8733" width="11.28515625" style="10" bestFit="1" customWidth="1"/>
    <col min="8734" max="8961" width="11.42578125" style="10"/>
    <col min="8962" max="8962" width="7" style="10" customWidth="1"/>
    <col min="8963" max="8963" width="10.7109375" style="10" customWidth="1"/>
    <col min="8964" max="8964" width="9.28515625" style="10" customWidth="1"/>
    <col min="8965" max="8988" width="7.28515625" style="10" customWidth="1"/>
    <col min="8989" max="8989" width="11.28515625" style="10" bestFit="1" customWidth="1"/>
    <col min="8990" max="9217" width="11.42578125" style="10"/>
    <col min="9218" max="9218" width="7" style="10" customWidth="1"/>
    <col min="9219" max="9219" width="10.7109375" style="10" customWidth="1"/>
    <col min="9220" max="9220" width="9.28515625" style="10" customWidth="1"/>
    <col min="9221" max="9244" width="7.28515625" style="10" customWidth="1"/>
    <col min="9245" max="9245" width="11.28515625" style="10" bestFit="1" customWidth="1"/>
    <col min="9246" max="9473" width="11.42578125" style="10"/>
    <col min="9474" max="9474" width="7" style="10" customWidth="1"/>
    <col min="9475" max="9475" width="10.7109375" style="10" customWidth="1"/>
    <col min="9476" max="9476" width="9.28515625" style="10" customWidth="1"/>
    <col min="9477" max="9500" width="7.28515625" style="10" customWidth="1"/>
    <col min="9501" max="9501" width="11.28515625" style="10" bestFit="1" customWidth="1"/>
    <col min="9502" max="9729" width="11.42578125" style="10"/>
    <col min="9730" max="9730" width="7" style="10" customWidth="1"/>
    <col min="9731" max="9731" width="10.7109375" style="10" customWidth="1"/>
    <col min="9732" max="9732" width="9.28515625" style="10" customWidth="1"/>
    <col min="9733" max="9756" width="7.28515625" style="10" customWidth="1"/>
    <col min="9757" max="9757" width="11.28515625" style="10" bestFit="1" customWidth="1"/>
    <col min="9758" max="9985" width="11.42578125" style="10"/>
    <col min="9986" max="9986" width="7" style="10" customWidth="1"/>
    <col min="9987" max="9987" width="10.7109375" style="10" customWidth="1"/>
    <col min="9988" max="9988" width="9.28515625" style="10" customWidth="1"/>
    <col min="9989" max="10012" width="7.28515625" style="10" customWidth="1"/>
    <col min="10013" max="10013" width="11.28515625" style="10" bestFit="1" customWidth="1"/>
    <col min="10014" max="10241" width="11.42578125" style="10"/>
    <col min="10242" max="10242" width="7" style="10" customWidth="1"/>
    <col min="10243" max="10243" width="10.7109375" style="10" customWidth="1"/>
    <col min="10244" max="10244" width="9.28515625" style="10" customWidth="1"/>
    <col min="10245" max="10268" width="7.28515625" style="10" customWidth="1"/>
    <col min="10269" max="10269" width="11.28515625" style="10" bestFit="1" customWidth="1"/>
    <col min="10270" max="10497" width="11.42578125" style="10"/>
    <col min="10498" max="10498" width="7" style="10" customWidth="1"/>
    <col min="10499" max="10499" width="10.7109375" style="10" customWidth="1"/>
    <col min="10500" max="10500" width="9.28515625" style="10" customWidth="1"/>
    <col min="10501" max="10524" width="7.28515625" style="10" customWidth="1"/>
    <col min="10525" max="10525" width="11.28515625" style="10" bestFit="1" customWidth="1"/>
    <col min="10526" max="10753" width="11.42578125" style="10"/>
    <col min="10754" max="10754" width="7" style="10" customWidth="1"/>
    <col min="10755" max="10755" width="10.7109375" style="10" customWidth="1"/>
    <col min="10756" max="10756" width="9.28515625" style="10" customWidth="1"/>
    <col min="10757" max="10780" width="7.28515625" style="10" customWidth="1"/>
    <col min="10781" max="10781" width="11.28515625" style="10" bestFit="1" customWidth="1"/>
    <col min="10782" max="11009" width="11.42578125" style="10"/>
    <col min="11010" max="11010" width="7" style="10" customWidth="1"/>
    <col min="11011" max="11011" width="10.7109375" style="10" customWidth="1"/>
    <col min="11012" max="11012" width="9.28515625" style="10" customWidth="1"/>
    <col min="11013" max="11036" width="7.28515625" style="10" customWidth="1"/>
    <col min="11037" max="11037" width="11.28515625" style="10" bestFit="1" customWidth="1"/>
    <col min="11038" max="11265" width="11.42578125" style="10"/>
    <col min="11266" max="11266" width="7" style="10" customWidth="1"/>
    <col min="11267" max="11267" width="10.7109375" style="10" customWidth="1"/>
    <col min="11268" max="11268" width="9.28515625" style="10" customWidth="1"/>
    <col min="11269" max="11292" width="7.28515625" style="10" customWidth="1"/>
    <col min="11293" max="11293" width="11.28515625" style="10" bestFit="1" customWidth="1"/>
    <col min="11294" max="11521" width="11.42578125" style="10"/>
    <col min="11522" max="11522" width="7" style="10" customWidth="1"/>
    <col min="11523" max="11523" width="10.7109375" style="10" customWidth="1"/>
    <col min="11524" max="11524" width="9.28515625" style="10" customWidth="1"/>
    <col min="11525" max="11548" width="7.28515625" style="10" customWidth="1"/>
    <col min="11549" max="11549" width="11.28515625" style="10" bestFit="1" customWidth="1"/>
    <col min="11550" max="11777" width="11.42578125" style="10"/>
    <col min="11778" max="11778" width="7" style="10" customWidth="1"/>
    <col min="11779" max="11779" width="10.7109375" style="10" customWidth="1"/>
    <col min="11780" max="11780" width="9.28515625" style="10" customWidth="1"/>
    <col min="11781" max="11804" width="7.28515625" style="10" customWidth="1"/>
    <col min="11805" max="11805" width="11.28515625" style="10" bestFit="1" customWidth="1"/>
    <col min="11806" max="12033" width="11.42578125" style="10"/>
    <col min="12034" max="12034" width="7" style="10" customWidth="1"/>
    <col min="12035" max="12035" width="10.7109375" style="10" customWidth="1"/>
    <col min="12036" max="12036" width="9.28515625" style="10" customWidth="1"/>
    <col min="12037" max="12060" width="7.28515625" style="10" customWidth="1"/>
    <col min="12061" max="12061" width="11.28515625" style="10" bestFit="1" customWidth="1"/>
    <col min="12062" max="12289" width="11.42578125" style="10"/>
    <col min="12290" max="12290" width="7" style="10" customWidth="1"/>
    <col min="12291" max="12291" width="10.7109375" style="10" customWidth="1"/>
    <col min="12292" max="12292" width="9.28515625" style="10" customWidth="1"/>
    <col min="12293" max="12316" width="7.28515625" style="10" customWidth="1"/>
    <col min="12317" max="12317" width="11.28515625" style="10" bestFit="1" customWidth="1"/>
    <col min="12318" max="12545" width="11.42578125" style="10"/>
    <col min="12546" max="12546" width="7" style="10" customWidth="1"/>
    <col min="12547" max="12547" width="10.7109375" style="10" customWidth="1"/>
    <col min="12548" max="12548" width="9.28515625" style="10" customWidth="1"/>
    <col min="12549" max="12572" width="7.28515625" style="10" customWidth="1"/>
    <col min="12573" max="12573" width="11.28515625" style="10" bestFit="1" customWidth="1"/>
    <col min="12574" max="12801" width="11.42578125" style="10"/>
    <col min="12802" max="12802" width="7" style="10" customWidth="1"/>
    <col min="12803" max="12803" width="10.7109375" style="10" customWidth="1"/>
    <col min="12804" max="12804" width="9.28515625" style="10" customWidth="1"/>
    <col min="12805" max="12828" width="7.28515625" style="10" customWidth="1"/>
    <col min="12829" max="12829" width="11.28515625" style="10" bestFit="1" customWidth="1"/>
    <col min="12830" max="13057" width="11.42578125" style="10"/>
    <col min="13058" max="13058" width="7" style="10" customWidth="1"/>
    <col min="13059" max="13059" width="10.7109375" style="10" customWidth="1"/>
    <col min="13060" max="13060" width="9.28515625" style="10" customWidth="1"/>
    <col min="13061" max="13084" width="7.28515625" style="10" customWidth="1"/>
    <col min="13085" max="13085" width="11.28515625" style="10" bestFit="1" customWidth="1"/>
    <col min="13086" max="13313" width="11.42578125" style="10"/>
    <col min="13314" max="13314" width="7" style="10" customWidth="1"/>
    <col min="13315" max="13315" width="10.7109375" style="10" customWidth="1"/>
    <col min="13316" max="13316" width="9.28515625" style="10" customWidth="1"/>
    <col min="13317" max="13340" width="7.28515625" style="10" customWidth="1"/>
    <col min="13341" max="13341" width="11.28515625" style="10" bestFit="1" customWidth="1"/>
    <col min="13342" max="13569" width="11.42578125" style="10"/>
    <col min="13570" max="13570" width="7" style="10" customWidth="1"/>
    <col min="13571" max="13571" width="10.7109375" style="10" customWidth="1"/>
    <col min="13572" max="13572" width="9.28515625" style="10" customWidth="1"/>
    <col min="13573" max="13596" width="7.28515625" style="10" customWidth="1"/>
    <col min="13597" max="13597" width="11.28515625" style="10" bestFit="1" customWidth="1"/>
    <col min="13598" max="13825" width="11.42578125" style="10"/>
    <col min="13826" max="13826" width="7" style="10" customWidth="1"/>
    <col min="13827" max="13827" width="10.7109375" style="10" customWidth="1"/>
    <col min="13828" max="13828" width="9.28515625" style="10" customWidth="1"/>
    <col min="13829" max="13852" width="7.28515625" style="10" customWidth="1"/>
    <col min="13853" max="13853" width="11.28515625" style="10" bestFit="1" customWidth="1"/>
    <col min="13854" max="14081" width="11.42578125" style="10"/>
    <col min="14082" max="14082" width="7" style="10" customWidth="1"/>
    <col min="14083" max="14083" width="10.7109375" style="10" customWidth="1"/>
    <col min="14084" max="14084" width="9.28515625" style="10" customWidth="1"/>
    <col min="14085" max="14108" width="7.28515625" style="10" customWidth="1"/>
    <col min="14109" max="14109" width="11.28515625" style="10" bestFit="1" customWidth="1"/>
    <col min="14110" max="14337" width="11.42578125" style="10"/>
    <col min="14338" max="14338" width="7" style="10" customWidth="1"/>
    <col min="14339" max="14339" width="10.7109375" style="10" customWidth="1"/>
    <col min="14340" max="14340" width="9.28515625" style="10" customWidth="1"/>
    <col min="14341" max="14364" width="7.28515625" style="10" customWidth="1"/>
    <col min="14365" max="14365" width="11.28515625" style="10" bestFit="1" customWidth="1"/>
    <col min="14366" max="14593" width="11.42578125" style="10"/>
    <col min="14594" max="14594" width="7" style="10" customWidth="1"/>
    <col min="14595" max="14595" width="10.7109375" style="10" customWidth="1"/>
    <col min="14596" max="14596" width="9.28515625" style="10" customWidth="1"/>
    <col min="14597" max="14620" width="7.28515625" style="10" customWidth="1"/>
    <col min="14621" max="14621" width="11.28515625" style="10" bestFit="1" customWidth="1"/>
    <col min="14622" max="14849" width="11.42578125" style="10"/>
    <col min="14850" max="14850" width="7" style="10" customWidth="1"/>
    <col min="14851" max="14851" width="10.7109375" style="10" customWidth="1"/>
    <col min="14852" max="14852" width="9.28515625" style="10" customWidth="1"/>
    <col min="14853" max="14876" width="7.28515625" style="10" customWidth="1"/>
    <col min="14877" max="14877" width="11.28515625" style="10" bestFit="1" customWidth="1"/>
    <col min="14878" max="15105" width="11.42578125" style="10"/>
    <col min="15106" max="15106" width="7" style="10" customWidth="1"/>
    <col min="15107" max="15107" width="10.7109375" style="10" customWidth="1"/>
    <col min="15108" max="15108" width="9.28515625" style="10" customWidth="1"/>
    <col min="15109" max="15132" width="7.28515625" style="10" customWidth="1"/>
    <col min="15133" max="15133" width="11.28515625" style="10" bestFit="1" customWidth="1"/>
    <col min="15134" max="15361" width="11.42578125" style="10"/>
    <col min="15362" max="15362" width="7" style="10" customWidth="1"/>
    <col min="15363" max="15363" width="10.7109375" style="10" customWidth="1"/>
    <col min="15364" max="15364" width="9.28515625" style="10" customWidth="1"/>
    <col min="15365" max="15388" width="7.28515625" style="10" customWidth="1"/>
    <col min="15389" max="15389" width="11.28515625" style="10" bestFit="1" customWidth="1"/>
    <col min="15390" max="15617" width="11.42578125" style="10"/>
    <col min="15618" max="15618" width="7" style="10" customWidth="1"/>
    <col min="15619" max="15619" width="10.7109375" style="10" customWidth="1"/>
    <col min="15620" max="15620" width="9.28515625" style="10" customWidth="1"/>
    <col min="15621" max="15644" width="7.28515625" style="10" customWidth="1"/>
    <col min="15645" max="15645" width="11.28515625" style="10" bestFit="1" customWidth="1"/>
    <col min="15646" max="15873" width="11.42578125" style="10"/>
    <col min="15874" max="15874" width="7" style="10" customWidth="1"/>
    <col min="15875" max="15875" width="10.7109375" style="10" customWidth="1"/>
    <col min="15876" max="15876" width="9.28515625" style="10" customWidth="1"/>
    <col min="15877" max="15900" width="7.28515625" style="10" customWidth="1"/>
    <col min="15901" max="15901" width="11.28515625" style="10" bestFit="1" customWidth="1"/>
    <col min="15902" max="16129" width="11.42578125" style="10"/>
    <col min="16130" max="16130" width="7" style="10" customWidth="1"/>
    <col min="16131" max="16131" width="10.7109375" style="10" customWidth="1"/>
    <col min="16132" max="16132" width="9.28515625" style="10" customWidth="1"/>
    <col min="16133" max="16156" width="7.28515625" style="10" customWidth="1"/>
    <col min="16157" max="16157" width="11.28515625" style="10" bestFit="1" customWidth="1"/>
    <col min="16158" max="16384" width="11.42578125" style="10"/>
  </cols>
  <sheetData>
    <row r="1" spans="2:31" ht="18.600000000000001" customHeight="1" x14ac:dyDescent="0.2"/>
    <row r="2" spans="2:31" ht="18.600000000000001" customHeight="1" x14ac:dyDescent="0.2">
      <c r="B2" s="54" t="s">
        <v>45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</row>
    <row r="3" spans="2:31" ht="18.600000000000001" customHeight="1" x14ac:dyDescent="0.2">
      <c r="B3" s="54" t="s">
        <v>44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</row>
    <row r="4" spans="2:31" ht="18.600000000000001" customHeight="1" x14ac:dyDescent="0.2">
      <c r="B4" s="54">
        <v>2027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</row>
    <row r="5" spans="2:31" ht="18.600000000000001" customHeight="1" x14ac:dyDescent="0.2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2:31" ht="47.25" x14ac:dyDescent="0.2">
      <c r="B6" s="2" t="s">
        <v>0</v>
      </c>
      <c r="C6" s="3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16</v>
      </c>
      <c r="S6" s="2" t="s">
        <v>17</v>
      </c>
      <c r="T6" s="2" t="s">
        <v>18</v>
      </c>
      <c r="U6" s="2" t="s">
        <v>19</v>
      </c>
      <c r="V6" s="2" t="s">
        <v>20</v>
      </c>
      <c r="W6" s="2" t="s">
        <v>21</v>
      </c>
      <c r="X6" s="2" t="s">
        <v>22</v>
      </c>
      <c r="Y6" s="2" t="s">
        <v>23</v>
      </c>
      <c r="Z6" s="2" t="s">
        <v>24</v>
      </c>
      <c r="AA6" s="2" t="s">
        <v>25</v>
      </c>
      <c r="AB6" s="2" t="s">
        <v>26</v>
      </c>
      <c r="AC6" s="11" t="s">
        <v>27</v>
      </c>
    </row>
    <row r="7" spans="2:31" ht="18.600000000000001" customHeight="1" x14ac:dyDescent="0.2">
      <c r="B7" s="49" t="s">
        <v>28</v>
      </c>
      <c r="C7" s="4" t="s">
        <v>29</v>
      </c>
      <c r="D7" s="5">
        <v>19</v>
      </c>
      <c r="E7" s="7">
        <v>27916.71</v>
      </c>
      <c r="F7" s="7">
        <v>26213.35</v>
      </c>
      <c r="G7" s="7">
        <v>25314.080000000002</v>
      </c>
      <c r="H7" s="7">
        <v>25096.16</v>
      </c>
      <c r="I7" s="7">
        <v>12385.41</v>
      </c>
      <c r="J7" s="7">
        <v>14922.43</v>
      </c>
      <c r="K7" s="7">
        <v>16495.02</v>
      </c>
      <c r="L7" s="7">
        <v>25594.45</v>
      </c>
      <c r="M7" s="7">
        <v>25938.38</v>
      </c>
      <c r="N7" s="7">
        <v>26405.21</v>
      </c>
      <c r="O7" s="7">
        <v>27580.720000000001</v>
      </c>
      <c r="P7" s="7">
        <v>28794.09</v>
      </c>
      <c r="Q7" s="7">
        <v>28559.87</v>
      </c>
      <c r="R7" s="7">
        <v>28425.01</v>
      </c>
      <c r="S7" s="7">
        <v>28782.73</v>
      </c>
      <c r="T7" s="7">
        <v>28811.15</v>
      </c>
      <c r="U7" s="7">
        <v>28753.119999999999</v>
      </c>
      <c r="V7" s="7">
        <v>24602.82</v>
      </c>
      <c r="W7" s="7">
        <v>1321.31</v>
      </c>
      <c r="X7" s="7">
        <v>1380.56</v>
      </c>
      <c r="Y7" s="7">
        <v>1324.47</v>
      </c>
      <c r="Z7" s="7">
        <v>24067.93</v>
      </c>
      <c r="AA7" s="7">
        <v>20279.82</v>
      </c>
      <c r="AB7" s="7">
        <v>38081.71</v>
      </c>
      <c r="AC7" s="50">
        <f>+SUM(E7:AB7)*D7+SUM(E8:AB8)*D8+SUM(E9:AB9)*D9+SUM(E10:AB10)*D10</f>
        <v>16083668.260000002</v>
      </c>
      <c r="AE7" s="8">
        <f>+AC7</f>
        <v>16083668.260000002</v>
      </c>
    </row>
    <row r="8" spans="2:31" ht="18.600000000000001" customHeight="1" x14ac:dyDescent="0.2">
      <c r="B8" s="49" t="s">
        <v>28</v>
      </c>
      <c r="C8" s="4" t="s">
        <v>30</v>
      </c>
      <c r="D8" s="5">
        <v>5</v>
      </c>
      <c r="E8" s="7">
        <v>13373.88</v>
      </c>
      <c r="F8" s="7">
        <v>12303.68</v>
      </c>
      <c r="G8" s="7">
        <v>12021.35</v>
      </c>
      <c r="H8" s="7">
        <v>11967.23</v>
      </c>
      <c r="I8" s="7">
        <v>12040.98</v>
      </c>
      <c r="J8" s="7">
        <v>12798.69</v>
      </c>
      <c r="K8" s="7">
        <v>14032.8</v>
      </c>
      <c r="L8" s="7">
        <v>24028.43</v>
      </c>
      <c r="M8" s="7">
        <v>25574.49</v>
      </c>
      <c r="N8" s="7">
        <v>26577.82</v>
      </c>
      <c r="O8" s="7">
        <v>27147.86</v>
      </c>
      <c r="P8" s="7">
        <v>27730.71</v>
      </c>
      <c r="Q8" s="7">
        <v>28454.42</v>
      </c>
      <c r="R8" s="7">
        <v>27947.68</v>
      </c>
      <c r="S8" s="7">
        <v>27954.01</v>
      </c>
      <c r="T8" s="7">
        <v>26391.52</v>
      </c>
      <c r="U8" s="7">
        <v>26984.74</v>
      </c>
      <c r="V8" s="7">
        <v>22966.18</v>
      </c>
      <c r="W8" s="7">
        <v>25228.12</v>
      </c>
      <c r="X8" s="7">
        <v>25993.9</v>
      </c>
      <c r="Y8" s="7">
        <v>24775.16</v>
      </c>
      <c r="Z8" s="7">
        <v>22962.240000000002</v>
      </c>
      <c r="AA8" s="7">
        <v>20459.66</v>
      </c>
      <c r="AB8" s="7">
        <v>18437.34</v>
      </c>
      <c r="AC8" s="51"/>
      <c r="AE8" s="8">
        <f>+AC11</f>
        <v>16772713.08</v>
      </c>
    </row>
    <row r="9" spans="2:31" ht="18.600000000000001" customHeight="1" x14ac:dyDescent="0.2">
      <c r="B9" s="49" t="s">
        <v>28</v>
      </c>
      <c r="C9" s="4" t="s">
        <v>31</v>
      </c>
      <c r="D9" s="5">
        <v>5</v>
      </c>
      <c r="E9" s="7">
        <v>13917.79</v>
      </c>
      <c r="F9" s="7">
        <v>12754.14</v>
      </c>
      <c r="G9" s="7">
        <v>11992.67</v>
      </c>
      <c r="H9" s="7">
        <v>11601.79</v>
      </c>
      <c r="I9" s="7">
        <v>11221.58</v>
      </c>
      <c r="J9" s="7">
        <v>11194.6</v>
      </c>
      <c r="K9" s="7">
        <v>11297.69</v>
      </c>
      <c r="L9" s="7">
        <v>19903.12</v>
      </c>
      <c r="M9" s="7">
        <v>21539.02</v>
      </c>
      <c r="N9" s="7">
        <v>22656.63</v>
      </c>
      <c r="O9" s="7">
        <v>23557.49</v>
      </c>
      <c r="P9" s="7">
        <v>24657.23</v>
      </c>
      <c r="Q9" s="7">
        <v>25290.3</v>
      </c>
      <c r="R9" s="7">
        <v>25532.36</v>
      </c>
      <c r="S9" s="7">
        <v>24904.71</v>
      </c>
      <c r="T9" s="7">
        <v>24844.57</v>
      </c>
      <c r="U9" s="7">
        <v>24990.87</v>
      </c>
      <c r="V9" s="7">
        <v>21352.81</v>
      </c>
      <c r="W9" s="7">
        <v>24146.98</v>
      </c>
      <c r="X9" s="7">
        <v>25371.01</v>
      </c>
      <c r="Y9" s="7">
        <v>24497.32</v>
      </c>
      <c r="Z9" s="7">
        <v>22202</v>
      </c>
      <c r="AA9" s="7">
        <v>18957.16</v>
      </c>
      <c r="AB9" s="7">
        <v>16485.36</v>
      </c>
      <c r="AC9" s="51"/>
      <c r="AE9" s="8">
        <f>+AC15</f>
        <v>15930449.180000002</v>
      </c>
    </row>
    <row r="10" spans="2:31" ht="18.600000000000001" customHeight="1" x14ac:dyDescent="0.2">
      <c r="B10" s="49" t="s">
        <v>28</v>
      </c>
      <c r="C10" s="4" t="s">
        <v>32</v>
      </c>
      <c r="D10" s="5">
        <v>2</v>
      </c>
      <c r="E10" s="7">
        <v>13975.84</v>
      </c>
      <c r="F10" s="7">
        <v>13542.97</v>
      </c>
      <c r="G10" s="7">
        <v>12889.59</v>
      </c>
      <c r="H10" s="7">
        <v>12197.47</v>
      </c>
      <c r="I10" s="7">
        <v>11687.75</v>
      </c>
      <c r="J10" s="7">
        <v>11209.16</v>
      </c>
      <c r="K10" s="7">
        <v>10300.709999999999</v>
      </c>
      <c r="L10" s="7">
        <v>17927.669999999998</v>
      </c>
      <c r="M10" s="7">
        <v>19010.080000000002</v>
      </c>
      <c r="N10" s="7">
        <v>20572.400000000001</v>
      </c>
      <c r="O10" s="7">
        <v>21501.02</v>
      </c>
      <c r="P10" s="7">
        <v>22548.01</v>
      </c>
      <c r="Q10" s="7">
        <v>23928.94</v>
      </c>
      <c r="R10" s="7">
        <v>24738.14</v>
      </c>
      <c r="S10" s="7">
        <v>23873.26</v>
      </c>
      <c r="T10" s="7">
        <v>23964.61</v>
      </c>
      <c r="U10" s="7">
        <v>24297.16</v>
      </c>
      <c r="V10" s="7">
        <v>21176.59</v>
      </c>
      <c r="W10" s="7">
        <v>23526.28</v>
      </c>
      <c r="X10" s="7">
        <v>24197.88</v>
      </c>
      <c r="Y10" s="7">
        <v>23398.400000000001</v>
      </c>
      <c r="Z10" s="7">
        <v>21440.04</v>
      </c>
      <c r="AA10" s="7">
        <v>18901.88</v>
      </c>
      <c r="AB10" s="7">
        <v>16531.21</v>
      </c>
      <c r="AC10" s="52"/>
      <c r="AE10" s="8">
        <f>+AC19</f>
        <v>15981097.020000003</v>
      </c>
    </row>
    <row r="11" spans="2:31" ht="18.600000000000001" customHeight="1" x14ac:dyDescent="0.2">
      <c r="B11" s="49" t="s">
        <v>33</v>
      </c>
      <c r="C11" s="4" t="s">
        <v>29</v>
      </c>
      <c r="D11" s="5">
        <v>20</v>
      </c>
      <c r="E11" s="7">
        <v>33265.879999999997</v>
      </c>
      <c r="F11" s="7">
        <v>31548.6</v>
      </c>
      <c r="G11" s="7">
        <v>31007.89</v>
      </c>
      <c r="H11" s="7">
        <v>30763.75</v>
      </c>
      <c r="I11" s="7">
        <v>16266.69</v>
      </c>
      <c r="J11" s="7">
        <v>19913.990000000002</v>
      </c>
      <c r="K11" s="7">
        <v>19944.009999999998</v>
      </c>
      <c r="L11" s="7">
        <v>28368.95</v>
      </c>
      <c r="M11" s="7">
        <v>28494.13</v>
      </c>
      <c r="N11" s="7">
        <v>29029.52</v>
      </c>
      <c r="O11" s="7">
        <v>30176.3</v>
      </c>
      <c r="P11" s="7">
        <v>31330.55</v>
      </c>
      <c r="Q11" s="7">
        <v>30977.19</v>
      </c>
      <c r="R11" s="7">
        <v>31073.39</v>
      </c>
      <c r="S11" s="7">
        <v>31674.12</v>
      </c>
      <c r="T11" s="7">
        <v>31873.59</v>
      </c>
      <c r="U11" s="7">
        <v>31333.279999999999</v>
      </c>
      <c r="V11" s="7">
        <v>25877.62</v>
      </c>
      <c r="W11" s="7">
        <v>1443.12</v>
      </c>
      <c r="X11" s="7">
        <v>1548.13</v>
      </c>
      <c r="Y11" s="7">
        <v>1501.98</v>
      </c>
      <c r="Z11" s="7">
        <v>27394.14</v>
      </c>
      <c r="AA11" s="7">
        <v>23928.33</v>
      </c>
      <c r="AB11" s="7">
        <v>42507.199999999997</v>
      </c>
      <c r="AC11" s="50">
        <f>+SUM(E11:AB11)*D11+SUM(E12:AB12)*D12+SUM(E13:AB13)*D13+SUM(E14:AB14)*D14</f>
        <v>16772713.08</v>
      </c>
      <c r="AE11" s="8">
        <f>+AC23</f>
        <v>14566450.679999998</v>
      </c>
    </row>
    <row r="12" spans="2:31" ht="18.600000000000001" customHeight="1" x14ac:dyDescent="0.2">
      <c r="B12" s="49" t="s">
        <v>33</v>
      </c>
      <c r="C12" s="4" t="s">
        <v>30</v>
      </c>
      <c r="D12" s="5">
        <v>4</v>
      </c>
      <c r="E12" s="7">
        <v>16814.21</v>
      </c>
      <c r="F12" s="7">
        <v>15704.55</v>
      </c>
      <c r="G12" s="7">
        <v>14956.66</v>
      </c>
      <c r="H12" s="7">
        <v>14829.48</v>
      </c>
      <c r="I12" s="7">
        <v>15161.36</v>
      </c>
      <c r="J12" s="7">
        <v>15937.12</v>
      </c>
      <c r="K12" s="7">
        <v>15669.55</v>
      </c>
      <c r="L12" s="7">
        <v>26437.78</v>
      </c>
      <c r="M12" s="7">
        <v>28097.82</v>
      </c>
      <c r="N12" s="7">
        <v>28836.42</v>
      </c>
      <c r="O12" s="7">
        <v>30156.69</v>
      </c>
      <c r="P12" s="7">
        <v>31123.69</v>
      </c>
      <c r="Q12" s="7">
        <v>31548.57</v>
      </c>
      <c r="R12" s="7">
        <v>30651.43</v>
      </c>
      <c r="S12" s="7">
        <v>30150.080000000002</v>
      </c>
      <c r="T12" s="7">
        <v>29896.15</v>
      </c>
      <c r="U12" s="7">
        <v>29547.65</v>
      </c>
      <c r="V12" s="7">
        <v>24790.57</v>
      </c>
      <c r="W12" s="7">
        <v>27990.41</v>
      </c>
      <c r="X12" s="7">
        <v>30026.1</v>
      </c>
      <c r="Y12" s="7">
        <v>28794.6</v>
      </c>
      <c r="Z12" s="7">
        <v>26739.56</v>
      </c>
      <c r="AA12" s="7">
        <v>24154.73</v>
      </c>
      <c r="AB12" s="7">
        <v>21753.82</v>
      </c>
      <c r="AC12" s="51"/>
      <c r="AE12" s="8">
        <f>+AC27</f>
        <v>14674688.720000001</v>
      </c>
    </row>
    <row r="13" spans="2:31" ht="18.600000000000001" customHeight="1" x14ac:dyDescent="0.2">
      <c r="B13" s="49" t="s">
        <v>33</v>
      </c>
      <c r="C13" s="4" t="s">
        <v>31</v>
      </c>
      <c r="D13" s="5">
        <v>4</v>
      </c>
      <c r="E13" s="7">
        <v>17702.669999999998</v>
      </c>
      <c r="F13" s="7">
        <v>16325.48</v>
      </c>
      <c r="G13" s="7">
        <v>15569.38</v>
      </c>
      <c r="H13" s="7">
        <v>15102.69</v>
      </c>
      <c r="I13" s="7">
        <v>14583.29</v>
      </c>
      <c r="J13" s="7">
        <v>14560.76</v>
      </c>
      <c r="K13" s="7">
        <v>13472.01</v>
      </c>
      <c r="L13" s="7">
        <v>22325.42</v>
      </c>
      <c r="M13" s="7">
        <v>24210.91</v>
      </c>
      <c r="N13" s="7">
        <v>25907.05</v>
      </c>
      <c r="O13" s="7">
        <v>26822.639999999999</v>
      </c>
      <c r="P13" s="7">
        <v>27647.51</v>
      </c>
      <c r="Q13" s="7">
        <v>28616.82</v>
      </c>
      <c r="R13" s="7">
        <v>28332.720000000001</v>
      </c>
      <c r="S13" s="7">
        <v>27844.92</v>
      </c>
      <c r="T13" s="7">
        <v>27455.7</v>
      </c>
      <c r="U13" s="7">
        <v>26637.18</v>
      </c>
      <c r="V13" s="7">
        <v>23187.74</v>
      </c>
      <c r="W13" s="7">
        <v>26205.46</v>
      </c>
      <c r="X13" s="7">
        <v>28437.5</v>
      </c>
      <c r="Y13" s="7">
        <v>27931.43</v>
      </c>
      <c r="Z13" s="7">
        <v>25849.67</v>
      </c>
      <c r="AA13" s="7">
        <v>22835.64</v>
      </c>
      <c r="AB13" s="7">
        <v>19632.93</v>
      </c>
      <c r="AC13" s="51"/>
      <c r="AE13" s="8">
        <f>+AC31</f>
        <v>13313300.01</v>
      </c>
    </row>
    <row r="14" spans="2:31" ht="18.600000000000001" customHeight="1" x14ac:dyDescent="0.2">
      <c r="B14" s="49" t="s">
        <v>33</v>
      </c>
      <c r="C14" s="4" t="s">
        <v>32</v>
      </c>
      <c r="D14" s="5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52"/>
      <c r="AE14" s="8">
        <f>+AC35</f>
        <v>12973894.809999999</v>
      </c>
    </row>
    <row r="15" spans="2:31" ht="18.600000000000001" customHeight="1" x14ac:dyDescent="0.2">
      <c r="B15" s="49" t="s">
        <v>34</v>
      </c>
      <c r="C15" s="4" t="s">
        <v>29</v>
      </c>
      <c r="D15" s="5">
        <v>20</v>
      </c>
      <c r="E15" s="7">
        <v>29242.93</v>
      </c>
      <c r="F15" s="7">
        <v>27763.79</v>
      </c>
      <c r="G15" s="7">
        <v>27206.58</v>
      </c>
      <c r="H15" s="7">
        <v>26759.14</v>
      </c>
      <c r="I15" s="7">
        <v>14022.35</v>
      </c>
      <c r="J15" s="7">
        <v>16399.43</v>
      </c>
      <c r="K15" s="7">
        <v>15808.01</v>
      </c>
      <c r="L15" s="7">
        <v>24355.9</v>
      </c>
      <c r="M15" s="7">
        <v>24669.82</v>
      </c>
      <c r="N15" s="7">
        <v>25213</v>
      </c>
      <c r="O15" s="7">
        <v>26010.98</v>
      </c>
      <c r="P15" s="7">
        <v>26856</v>
      </c>
      <c r="Q15" s="7">
        <v>26758.18</v>
      </c>
      <c r="R15" s="7">
        <v>26966.34</v>
      </c>
      <c r="S15" s="7">
        <v>27616.19</v>
      </c>
      <c r="T15" s="7">
        <v>27654.17</v>
      </c>
      <c r="U15" s="7">
        <v>27233.46</v>
      </c>
      <c r="V15" s="7">
        <v>22649.06</v>
      </c>
      <c r="W15" s="7">
        <v>1250.04</v>
      </c>
      <c r="X15" s="7">
        <v>1351.52</v>
      </c>
      <c r="Y15" s="7">
        <v>1316.75</v>
      </c>
      <c r="Z15" s="7">
        <v>24241.96</v>
      </c>
      <c r="AA15" s="7">
        <v>21355.58</v>
      </c>
      <c r="AB15" s="7">
        <v>38670.61</v>
      </c>
      <c r="AC15" s="50">
        <f>+SUM(E15:AB15)*D15+SUM(E16:AB16)*D16+SUM(E17:AB17)*D17+SUM(E18:AB18)*D18</f>
        <v>15930449.180000002</v>
      </c>
      <c r="AE15" s="8">
        <f>+AC39</f>
        <v>14018103.16</v>
      </c>
    </row>
    <row r="16" spans="2:31" ht="18.600000000000001" customHeight="1" x14ac:dyDescent="0.2">
      <c r="B16" s="49" t="s">
        <v>34</v>
      </c>
      <c r="C16" s="4" t="s">
        <v>30</v>
      </c>
      <c r="D16" s="5">
        <v>4</v>
      </c>
      <c r="E16" s="7">
        <v>15082.83</v>
      </c>
      <c r="F16" s="7">
        <v>13978.44</v>
      </c>
      <c r="G16" s="7">
        <v>13505.5</v>
      </c>
      <c r="H16" s="7">
        <v>13287.71</v>
      </c>
      <c r="I16" s="7">
        <v>13271.87</v>
      </c>
      <c r="J16" s="7">
        <v>13825.08</v>
      </c>
      <c r="K16" s="7">
        <v>12608.12</v>
      </c>
      <c r="L16" s="7">
        <v>22433.439999999999</v>
      </c>
      <c r="M16" s="7">
        <v>23872.57</v>
      </c>
      <c r="N16" s="7">
        <v>24807.19</v>
      </c>
      <c r="O16" s="7">
        <v>25302.89</v>
      </c>
      <c r="P16" s="7">
        <v>25843.98</v>
      </c>
      <c r="Q16" s="7">
        <v>25961.4</v>
      </c>
      <c r="R16" s="7">
        <v>25868.04</v>
      </c>
      <c r="S16" s="7">
        <v>25676.61</v>
      </c>
      <c r="T16" s="7">
        <v>25484.81</v>
      </c>
      <c r="U16" s="7">
        <v>25013.8</v>
      </c>
      <c r="V16" s="7">
        <v>21184.799999999999</v>
      </c>
      <c r="W16" s="7">
        <v>24177.919999999998</v>
      </c>
      <c r="X16" s="7">
        <v>25378.15</v>
      </c>
      <c r="Y16" s="7">
        <v>24369.69</v>
      </c>
      <c r="Z16" s="7">
        <v>23152.880000000001</v>
      </c>
      <c r="AA16" s="7">
        <v>21227.29</v>
      </c>
      <c r="AB16" s="7">
        <v>19508.099999999999</v>
      </c>
      <c r="AC16" s="51"/>
      <c r="AE16" s="8">
        <f>+AC43</f>
        <v>13266334.339999998</v>
      </c>
    </row>
    <row r="17" spans="2:31" ht="18.600000000000001" customHeight="1" x14ac:dyDescent="0.2">
      <c r="B17" s="49" t="s">
        <v>34</v>
      </c>
      <c r="C17" s="4" t="s">
        <v>31</v>
      </c>
      <c r="D17" s="5">
        <v>4</v>
      </c>
      <c r="E17" s="7">
        <v>15349.09</v>
      </c>
      <c r="F17" s="7">
        <v>14239.51</v>
      </c>
      <c r="G17" s="7">
        <v>13671.36</v>
      </c>
      <c r="H17" s="7">
        <v>13205.86</v>
      </c>
      <c r="I17" s="7">
        <v>12950.02</v>
      </c>
      <c r="J17" s="7">
        <v>12852.08</v>
      </c>
      <c r="K17" s="7">
        <v>11005.9</v>
      </c>
      <c r="L17" s="7">
        <v>19430.830000000002</v>
      </c>
      <c r="M17" s="7">
        <v>21174.78</v>
      </c>
      <c r="N17" s="7">
        <v>22635.72</v>
      </c>
      <c r="O17" s="7">
        <v>22936.59</v>
      </c>
      <c r="P17" s="7">
        <v>23230.57</v>
      </c>
      <c r="Q17" s="7">
        <v>23667.759999999998</v>
      </c>
      <c r="R17" s="7">
        <v>24229.86</v>
      </c>
      <c r="S17" s="7">
        <v>23920.39</v>
      </c>
      <c r="T17" s="7">
        <v>23945.96</v>
      </c>
      <c r="U17" s="7">
        <v>23485.64</v>
      </c>
      <c r="V17" s="7">
        <v>19534.23</v>
      </c>
      <c r="W17" s="7">
        <v>22249.67</v>
      </c>
      <c r="X17" s="7">
        <v>24754.16</v>
      </c>
      <c r="Y17" s="7">
        <v>24488.87</v>
      </c>
      <c r="Z17" s="7">
        <v>23066.27</v>
      </c>
      <c r="AA17" s="7">
        <v>20570.84</v>
      </c>
      <c r="AB17" s="7">
        <v>18244.3</v>
      </c>
      <c r="AC17" s="51"/>
      <c r="AE17" s="8">
        <f>+AC47</f>
        <v>13751174.84</v>
      </c>
    </row>
    <row r="18" spans="2:31" ht="18.600000000000001" customHeight="1" x14ac:dyDescent="0.2">
      <c r="B18" s="49" t="s">
        <v>34</v>
      </c>
      <c r="C18" s="4" t="s">
        <v>32</v>
      </c>
      <c r="D18" s="5">
        <v>3</v>
      </c>
      <c r="E18" s="7">
        <v>14457.73</v>
      </c>
      <c r="F18" s="7">
        <v>13370.75</v>
      </c>
      <c r="G18" s="7">
        <v>12821</v>
      </c>
      <c r="H18" s="7">
        <v>12603.42</v>
      </c>
      <c r="I18" s="7">
        <v>12372.18</v>
      </c>
      <c r="J18" s="7">
        <v>12688.32</v>
      </c>
      <c r="K18" s="7">
        <v>11218.27</v>
      </c>
      <c r="L18" s="7">
        <v>20252.990000000002</v>
      </c>
      <c r="M18" s="7">
        <v>21955.72</v>
      </c>
      <c r="N18" s="7">
        <v>22046.43</v>
      </c>
      <c r="O18" s="7">
        <v>21832.84</v>
      </c>
      <c r="P18" s="7">
        <v>22626.81</v>
      </c>
      <c r="Q18" s="7">
        <v>23516.61</v>
      </c>
      <c r="R18" s="7">
        <v>23600.25</v>
      </c>
      <c r="S18" s="7">
        <v>22843.3</v>
      </c>
      <c r="T18" s="7">
        <v>22686.66</v>
      </c>
      <c r="U18" s="7">
        <v>22434.18</v>
      </c>
      <c r="V18" s="7">
        <v>18706.32</v>
      </c>
      <c r="W18" s="7">
        <v>21865.66</v>
      </c>
      <c r="X18" s="7">
        <v>22908.25</v>
      </c>
      <c r="Y18" s="7">
        <v>22304.11</v>
      </c>
      <c r="Z18" s="7">
        <v>22198.14</v>
      </c>
      <c r="AA18" s="7">
        <v>20898.5</v>
      </c>
      <c r="AB18" s="7">
        <v>19244.86</v>
      </c>
      <c r="AC18" s="52"/>
      <c r="AE18" s="8">
        <f>+AC51</f>
        <v>12975104.330000002</v>
      </c>
    </row>
    <row r="19" spans="2:31" ht="18.600000000000001" customHeight="1" x14ac:dyDescent="0.2">
      <c r="B19" s="49" t="s">
        <v>35</v>
      </c>
      <c r="C19" s="4" t="s">
        <v>29</v>
      </c>
      <c r="D19" s="5">
        <v>22</v>
      </c>
      <c r="E19" s="7">
        <v>29715.26</v>
      </c>
      <c r="F19" s="7">
        <v>27972.53</v>
      </c>
      <c r="G19" s="7">
        <v>27331.7</v>
      </c>
      <c r="H19" s="7">
        <v>27203.56</v>
      </c>
      <c r="I19" s="7">
        <v>14204.54</v>
      </c>
      <c r="J19" s="7">
        <v>17774.02</v>
      </c>
      <c r="K19" s="7">
        <v>17861.39</v>
      </c>
      <c r="L19" s="7">
        <v>25611.54</v>
      </c>
      <c r="M19" s="7">
        <v>24753.54</v>
      </c>
      <c r="N19" s="7">
        <v>24982.42</v>
      </c>
      <c r="O19" s="7">
        <v>25840.46</v>
      </c>
      <c r="P19" s="7">
        <v>25546.59</v>
      </c>
      <c r="Q19" s="7">
        <v>25931.9</v>
      </c>
      <c r="R19" s="7">
        <v>26412.54</v>
      </c>
      <c r="S19" s="7">
        <v>27292.37</v>
      </c>
      <c r="T19" s="7">
        <v>27658.87</v>
      </c>
      <c r="U19" s="7">
        <v>27799.599999999999</v>
      </c>
      <c r="V19" s="7">
        <v>23826.93</v>
      </c>
      <c r="W19" s="7">
        <v>1355.39</v>
      </c>
      <c r="X19" s="7">
        <v>1396.52</v>
      </c>
      <c r="Y19" s="7">
        <v>1349.84</v>
      </c>
      <c r="Z19" s="7">
        <v>24860.97</v>
      </c>
      <c r="AA19" s="7">
        <v>21399.040000000001</v>
      </c>
      <c r="AB19" s="7">
        <v>38918.550000000003</v>
      </c>
      <c r="AC19" s="50">
        <f>+SUM(E19:AB19)*D19+SUM(E20:AB20)*D20+SUM(E21:AB21)*D21+SUM(E22:AB22)*D22</f>
        <v>15981097.020000003</v>
      </c>
      <c r="AE19" s="8">
        <f>SUM(AE7:AE18)</f>
        <v>174306978.43000004</v>
      </c>
    </row>
    <row r="20" spans="2:31" ht="18.600000000000001" customHeight="1" x14ac:dyDescent="0.2">
      <c r="B20" s="49" t="s">
        <v>35</v>
      </c>
      <c r="C20" s="4" t="s">
        <v>30</v>
      </c>
      <c r="D20" s="5">
        <v>4</v>
      </c>
      <c r="E20" s="7">
        <v>15265.86</v>
      </c>
      <c r="F20" s="7">
        <v>14461.24</v>
      </c>
      <c r="G20" s="7">
        <v>13541.6</v>
      </c>
      <c r="H20" s="7">
        <v>13492.49</v>
      </c>
      <c r="I20" s="7">
        <v>13890.1</v>
      </c>
      <c r="J20" s="7">
        <v>14710.61</v>
      </c>
      <c r="K20" s="7">
        <v>13704.26</v>
      </c>
      <c r="L20" s="7">
        <v>24897.94</v>
      </c>
      <c r="M20" s="7">
        <v>26766.18</v>
      </c>
      <c r="N20" s="7">
        <v>27340.959999999999</v>
      </c>
      <c r="O20" s="7">
        <v>27642.78</v>
      </c>
      <c r="P20" s="7">
        <v>27782.02</v>
      </c>
      <c r="Q20" s="7">
        <v>28507.4</v>
      </c>
      <c r="R20" s="7">
        <v>27290.43</v>
      </c>
      <c r="S20" s="7">
        <v>27008.52</v>
      </c>
      <c r="T20" s="7">
        <v>27103.78</v>
      </c>
      <c r="U20" s="7">
        <v>27087.87</v>
      </c>
      <c r="V20" s="7">
        <v>20986.21</v>
      </c>
      <c r="W20" s="7">
        <v>26487.89</v>
      </c>
      <c r="X20" s="7">
        <v>27608.51</v>
      </c>
      <c r="Y20" s="7">
        <v>26460.15</v>
      </c>
      <c r="Z20" s="7">
        <v>24922.48</v>
      </c>
      <c r="AA20" s="7">
        <v>22381.83</v>
      </c>
      <c r="AB20" s="7">
        <v>21828.94</v>
      </c>
      <c r="AC20" s="51"/>
      <c r="AE20" s="46"/>
    </row>
    <row r="21" spans="2:31" ht="18.600000000000001" customHeight="1" x14ac:dyDescent="0.2">
      <c r="B21" s="49" t="s">
        <v>35</v>
      </c>
      <c r="C21" s="4" t="s">
        <v>31</v>
      </c>
      <c r="D21" s="5">
        <v>4</v>
      </c>
      <c r="E21" s="7">
        <v>15969.34</v>
      </c>
      <c r="F21" s="7">
        <v>15023.08</v>
      </c>
      <c r="G21" s="7">
        <v>14374.66</v>
      </c>
      <c r="H21" s="7">
        <v>13888.49</v>
      </c>
      <c r="I21" s="7">
        <v>13421.84</v>
      </c>
      <c r="J21" s="7">
        <v>13319.29</v>
      </c>
      <c r="K21" s="7">
        <v>11938.02</v>
      </c>
      <c r="L21" s="7">
        <v>20502.45</v>
      </c>
      <c r="M21" s="7">
        <v>22041.03</v>
      </c>
      <c r="N21" s="7">
        <v>22962.91</v>
      </c>
      <c r="O21" s="7">
        <v>23787.54</v>
      </c>
      <c r="P21" s="7">
        <v>24640.76</v>
      </c>
      <c r="Q21" s="7">
        <v>26072.400000000001</v>
      </c>
      <c r="R21" s="7">
        <v>26576.22</v>
      </c>
      <c r="S21" s="7">
        <v>25669.360000000001</v>
      </c>
      <c r="T21" s="7">
        <v>25382.78</v>
      </c>
      <c r="U21" s="7">
        <v>24820.26</v>
      </c>
      <c r="V21" s="7">
        <v>21602.54</v>
      </c>
      <c r="W21" s="7">
        <v>24935.49</v>
      </c>
      <c r="X21" s="7">
        <v>25872.14</v>
      </c>
      <c r="Y21" s="7">
        <v>25477.88</v>
      </c>
      <c r="Z21" s="7">
        <v>23471.11</v>
      </c>
      <c r="AA21" s="7">
        <v>20772.150000000001</v>
      </c>
      <c r="AB21" s="7">
        <v>18082.080000000002</v>
      </c>
      <c r="AC21" s="51"/>
      <c r="AE21" s="46"/>
    </row>
    <row r="22" spans="2:31" ht="18.600000000000001" customHeight="1" x14ac:dyDescent="0.2">
      <c r="B22" s="49" t="s">
        <v>35</v>
      </c>
      <c r="C22" s="4" t="s">
        <v>32</v>
      </c>
      <c r="D22" s="5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52"/>
    </row>
    <row r="23" spans="2:31" ht="18.600000000000001" customHeight="1" x14ac:dyDescent="0.2">
      <c r="B23" s="49" t="s">
        <v>36</v>
      </c>
      <c r="C23" s="4" t="s">
        <v>29</v>
      </c>
      <c r="D23" s="5">
        <v>19</v>
      </c>
      <c r="E23" s="7">
        <v>28459.24</v>
      </c>
      <c r="F23" s="7">
        <v>27200.85</v>
      </c>
      <c r="G23" s="7">
        <v>26572.82</v>
      </c>
      <c r="H23" s="7">
        <v>26459.57</v>
      </c>
      <c r="I23" s="7">
        <v>13702.93</v>
      </c>
      <c r="J23" s="7">
        <v>16838.3</v>
      </c>
      <c r="K23" s="7">
        <v>15731.6</v>
      </c>
      <c r="L23" s="7">
        <v>22599.65</v>
      </c>
      <c r="M23" s="7">
        <v>20240.349999999999</v>
      </c>
      <c r="N23" s="7">
        <v>19586.669999999998</v>
      </c>
      <c r="O23" s="7">
        <v>20153.8</v>
      </c>
      <c r="P23" s="7">
        <v>21068.560000000001</v>
      </c>
      <c r="Q23" s="7">
        <v>20642.77</v>
      </c>
      <c r="R23" s="7">
        <v>20972.67</v>
      </c>
      <c r="S23" s="7">
        <v>22005.62</v>
      </c>
      <c r="T23" s="7">
        <v>23089.35</v>
      </c>
      <c r="U23" s="7">
        <v>24973.74</v>
      </c>
      <c r="V23" s="7">
        <v>22035.57</v>
      </c>
      <c r="W23" s="7">
        <v>1321.66</v>
      </c>
      <c r="X23" s="7">
        <v>1356.32</v>
      </c>
      <c r="Y23" s="7">
        <v>1301.71</v>
      </c>
      <c r="Z23" s="7">
        <v>24121.03</v>
      </c>
      <c r="AA23" s="7">
        <v>21102.82</v>
      </c>
      <c r="AB23" s="7">
        <v>38156.85</v>
      </c>
      <c r="AC23" s="50">
        <f>+SUM(E23:AB23)*D23+SUM(E24:AB24)*D24+SUM(E25:AB25)*D25+SUM(E26:AB26)*D26</f>
        <v>14566450.679999998</v>
      </c>
    </row>
    <row r="24" spans="2:31" ht="18.600000000000001" customHeight="1" x14ac:dyDescent="0.2">
      <c r="B24" s="49" t="s">
        <v>36</v>
      </c>
      <c r="C24" s="4" t="s">
        <v>30</v>
      </c>
      <c r="D24" s="5">
        <v>4</v>
      </c>
      <c r="E24" s="7">
        <v>14822.72</v>
      </c>
      <c r="F24" s="7">
        <v>13966.94</v>
      </c>
      <c r="G24" s="7">
        <v>13517.02</v>
      </c>
      <c r="H24" s="7">
        <v>13233.35</v>
      </c>
      <c r="I24" s="7">
        <v>13563.38</v>
      </c>
      <c r="J24" s="7">
        <v>14023.6</v>
      </c>
      <c r="K24" s="7">
        <v>12749.42</v>
      </c>
      <c r="L24" s="7">
        <v>21668.99</v>
      </c>
      <c r="M24" s="7">
        <v>20982.89</v>
      </c>
      <c r="N24" s="7">
        <v>20998.6</v>
      </c>
      <c r="O24" s="7">
        <v>21037.439999999999</v>
      </c>
      <c r="P24" s="7">
        <v>21627.07</v>
      </c>
      <c r="Q24" s="7">
        <v>21602.94</v>
      </c>
      <c r="R24" s="7">
        <v>21099.93</v>
      </c>
      <c r="S24" s="7">
        <v>21308.98</v>
      </c>
      <c r="T24" s="7">
        <v>22017.4</v>
      </c>
      <c r="U24" s="7">
        <v>24047.040000000001</v>
      </c>
      <c r="V24" s="7">
        <v>21306.77</v>
      </c>
      <c r="W24" s="7">
        <v>25799.91</v>
      </c>
      <c r="X24" s="7">
        <v>26613.72</v>
      </c>
      <c r="Y24" s="7">
        <v>25496.65</v>
      </c>
      <c r="Z24" s="7">
        <v>23976.13</v>
      </c>
      <c r="AA24" s="7">
        <v>21715.9</v>
      </c>
      <c r="AB24" s="7">
        <v>19110.8</v>
      </c>
      <c r="AC24" s="51"/>
    </row>
    <row r="25" spans="2:31" ht="18.600000000000001" customHeight="1" x14ac:dyDescent="0.2">
      <c r="B25" s="49" t="s">
        <v>36</v>
      </c>
      <c r="C25" s="4" t="s">
        <v>31</v>
      </c>
      <c r="D25" s="5">
        <v>5</v>
      </c>
      <c r="E25" s="7">
        <v>15102.48</v>
      </c>
      <c r="F25" s="7">
        <v>14136.57</v>
      </c>
      <c r="G25" s="7">
        <v>13554.93</v>
      </c>
      <c r="H25" s="7">
        <v>13038</v>
      </c>
      <c r="I25" s="7">
        <v>12915.12</v>
      </c>
      <c r="J25" s="7">
        <v>12500.83</v>
      </c>
      <c r="K25" s="7">
        <v>10148.459999999999</v>
      </c>
      <c r="L25" s="7">
        <v>17591.740000000002</v>
      </c>
      <c r="M25" s="7">
        <v>17244.849999999999</v>
      </c>
      <c r="N25" s="7">
        <v>17814.349999999999</v>
      </c>
      <c r="O25" s="7">
        <v>18327.46</v>
      </c>
      <c r="P25" s="7">
        <v>19189.490000000002</v>
      </c>
      <c r="Q25" s="7">
        <v>19290.98</v>
      </c>
      <c r="R25" s="7">
        <v>18963.84</v>
      </c>
      <c r="S25" s="7">
        <v>18682.48</v>
      </c>
      <c r="T25" s="7">
        <v>19512.8</v>
      </c>
      <c r="U25" s="7">
        <v>21716.04</v>
      </c>
      <c r="V25" s="7">
        <v>19287.759999999998</v>
      </c>
      <c r="W25" s="7">
        <v>23960.74</v>
      </c>
      <c r="X25" s="7">
        <v>25179.8</v>
      </c>
      <c r="Y25" s="7">
        <v>24785.03</v>
      </c>
      <c r="Z25" s="7">
        <v>23233.83</v>
      </c>
      <c r="AA25" s="7">
        <v>20871.150000000001</v>
      </c>
      <c r="AB25" s="7">
        <v>18105.14</v>
      </c>
      <c r="AC25" s="51"/>
    </row>
    <row r="26" spans="2:31" ht="18.600000000000001" customHeight="1" x14ac:dyDescent="0.2">
      <c r="B26" s="49" t="s">
        <v>36</v>
      </c>
      <c r="C26" s="4" t="s">
        <v>32</v>
      </c>
      <c r="D26" s="5">
        <v>3</v>
      </c>
      <c r="E26" s="7">
        <v>14268.25</v>
      </c>
      <c r="F26" s="7">
        <v>13381.75</v>
      </c>
      <c r="G26" s="7">
        <v>13058.88</v>
      </c>
      <c r="H26" s="7">
        <v>12700.09</v>
      </c>
      <c r="I26" s="7">
        <v>12840.31</v>
      </c>
      <c r="J26" s="7">
        <v>12835.33</v>
      </c>
      <c r="K26" s="7">
        <v>10635.99</v>
      </c>
      <c r="L26" s="7">
        <v>18190.97</v>
      </c>
      <c r="M26" s="7">
        <v>17775.59</v>
      </c>
      <c r="N26" s="7">
        <v>18161.150000000001</v>
      </c>
      <c r="O26" s="7">
        <v>19225.62</v>
      </c>
      <c r="P26" s="7">
        <v>20760.8</v>
      </c>
      <c r="Q26" s="7">
        <v>21572.57</v>
      </c>
      <c r="R26" s="7">
        <v>21316.13</v>
      </c>
      <c r="S26" s="7">
        <v>21092.58</v>
      </c>
      <c r="T26" s="7">
        <v>21687.48</v>
      </c>
      <c r="U26" s="7">
        <v>23458.16</v>
      </c>
      <c r="V26" s="7">
        <v>21112.959999999999</v>
      </c>
      <c r="W26" s="7">
        <v>26015.86</v>
      </c>
      <c r="X26" s="7">
        <v>27210.13</v>
      </c>
      <c r="Y26" s="7">
        <v>26038.7</v>
      </c>
      <c r="Z26" s="7">
        <v>24170.880000000001</v>
      </c>
      <c r="AA26" s="7">
        <v>21351.02</v>
      </c>
      <c r="AB26" s="7">
        <v>18250.939999999999</v>
      </c>
      <c r="AC26" s="52"/>
    </row>
    <row r="27" spans="2:31" ht="18.600000000000001" customHeight="1" x14ac:dyDescent="0.2">
      <c r="B27" s="49" t="s">
        <v>37</v>
      </c>
      <c r="C27" s="4" t="s">
        <v>29</v>
      </c>
      <c r="D27" s="5">
        <v>21</v>
      </c>
      <c r="E27" s="7">
        <v>29252.04</v>
      </c>
      <c r="F27" s="7">
        <v>27630.51</v>
      </c>
      <c r="G27" s="7">
        <v>27106.63</v>
      </c>
      <c r="H27" s="7">
        <v>27007.5</v>
      </c>
      <c r="I27" s="7">
        <v>13767.24</v>
      </c>
      <c r="J27" s="7">
        <v>15901.29</v>
      </c>
      <c r="K27" s="7">
        <v>15114.58</v>
      </c>
      <c r="L27" s="7">
        <v>23050.58</v>
      </c>
      <c r="M27" s="7">
        <v>21388.15</v>
      </c>
      <c r="N27" s="7">
        <v>21103.46</v>
      </c>
      <c r="O27" s="7">
        <v>21649.11</v>
      </c>
      <c r="P27" s="7">
        <v>22949.64</v>
      </c>
      <c r="Q27" s="7">
        <v>22495.94</v>
      </c>
      <c r="R27" s="7">
        <v>22469.84</v>
      </c>
      <c r="S27" s="7">
        <v>23472.880000000001</v>
      </c>
      <c r="T27" s="7">
        <v>24167.4</v>
      </c>
      <c r="U27" s="7">
        <v>26017.75</v>
      </c>
      <c r="V27" s="7">
        <v>22677.22</v>
      </c>
      <c r="W27" s="7">
        <v>1359.32</v>
      </c>
      <c r="X27" s="7">
        <v>1401.12</v>
      </c>
      <c r="Y27" s="7">
        <v>1338.49</v>
      </c>
      <c r="Z27" s="7">
        <v>24820.06</v>
      </c>
      <c r="AA27" s="7">
        <v>21635.7</v>
      </c>
      <c r="AB27" s="7">
        <v>39143.49</v>
      </c>
      <c r="AC27" s="50">
        <f>+SUM(E27:AB27)*D27+SUM(E28:AB28)*D28+SUM(E29:AB29)*D29+SUM(E30:AB30)*D30</f>
        <v>14674688.720000001</v>
      </c>
    </row>
    <row r="28" spans="2:31" ht="18.600000000000001" customHeight="1" x14ac:dyDescent="0.2">
      <c r="B28" s="49" t="s">
        <v>37</v>
      </c>
      <c r="C28" s="4" t="s">
        <v>30</v>
      </c>
      <c r="D28" s="5">
        <v>4</v>
      </c>
      <c r="E28" s="7">
        <v>15397.19</v>
      </c>
      <c r="F28" s="7">
        <v>14345.16</v>
      </c>
      <c r="G28" s="7">
        <v>14033.25</v>
      </c>
      <c r="H28" s="7">
        <v>13688.7</v>
      </c>
      <c r="I28" s="7">
        <v>14088.44</v>
      </c>
      <c r="J28" s="7">
        <v>14582.39</v>
      </c>
      <c r="K28" s="7">
        <v>13383.44</v>
      </c>
      <c r="L28" s="7">
        <v>22591.34</v>
      </c>
      <c r="M28" s="7">
        <v>21817.23</v>
      </c>
      <c r="N28" s="7">
        <v>21810.7</v>
      </c>
      <c r="O28" s="7">
        <v>21821.85</v>
      </c>
      <c r="P28" s="7">
        <v>22700.69</v>
      </c>
      <c r="Q28" s="7">
        <v>22682.78</v>
      </c>
      <c r="R28" s="7">
        <v>22319.56</v>
      </c>
      <c r="S28" s="7">
        <v>22740.02</v>
      </c>
      <c r="T28" s="7">
        <v>23451.07</v>
      </c>
      <c r="U28" s="7">
        <v>25285.34</v>
      </c>
      <c r="V28" s="7">
        <v>22220.98</v>
      </c>
      <c r="W28" s="7">
        <v>26767.22</v>
      </c>
      <c r="X28" s="7">
        <v>27987.200000000001</v>
      </c>
      <c r="Y28" s="7">
        <v>26796.14</v>
      </c>
      <c r="Z28" s="7">
        <v>24937.4</v>
      </c>
      <c r="AA28" s="7">
        <v>22587.08</v>
      </c>
      <c r="AB28" s="7">
        <v>19980.43</v>
      </c>
      <c r="AC28" s="51"/>
    </row>
    <row r="29" spans="2:31" ht="18.600000000000001" customHeight="1" x14ac:dyDescent="0.2">
      <c r="B29" s="49" t="s">
        <v>37</v>
      </c>
      <c r="C29" s="4" t="s">
        <v>31</v>
      </c>
      <c r="D29" s="5">
        <v>4</v>
      </c>
      <c r="E29" s="7">
        <v>15647.31</v>
      </c>
      <c r="F29" s="7">
        <v>14970.55</v>
      </c>
      <c r="G29" s="7">
        <v>14159.52</v>
      </c>
      <c r="H29" s="7">
        <v>13858.62</v>
      </c>
      <c r="I29" s="7">
        <v>13696.78</v>
      </c>
      <c r="J29" s="7">
        <v>13282.09</v>
      </c>
      <c r="K29" s="7">
        <v>10509.98</v>
      </c>
      <c r="L29" s="7">
        <v>18318.02</v>
      </c>
      <c r="M29" s="7">
        <v>17960</v>
      </c>
      <c r="N29" s="7">
        <v>18064.96</v>
      </c>
      <c r="O29" s="7">
        <v>18305.61</v>
      </c>
      <c r="P29" s="7">
        <v>19309.53</v>
      </c>
      <c r="Q29" s="7">
        <v>20008.53</v>
      </c>
      <c r="R29" s="7">
        <v>19826.07</v>
      </c>
      <c r="S29" s="7">
        <v>20087.509999999998</v>
      </c>
      <c r="T29" s="7">
        <v>20772.02</v>
      </c>
      <c r="U29" s="7">
        <v>22469.32</v>
      </c>
      <c r="V29" s="7">
        <v>19967.28</v>
      </c>
      <c r="W29" s="7">
        <v>24348.82</v>
      </c>
      <c r="X29" s="7">
        <v>25462.77</v>
      </c>
      <c r="Y29" s="7">
        <v>24737.23</v>
      </c>
      <c r="Z29" s="7">
        <v>23212.26</v>
      </c>
      <c r="AA29" s="7">
        <v>21045.91</v>
      </c>
      <c r="AB29" s="7">
        <v>18561.150000000001</v>
      </c>
      <c r="AC29" s="51"/>
    </row>
    <row r="30" spans="2:31" ht="18.600000000000001" customHeight="1" x14ac:dyDescent="0.2">
      <c r="B30" s="49" t="s">
        <v>37</v>
      </c>
      <c r="C30" s="4" t="s">
        <v>32</v>
      </c>
      <c r="D30" s="5">
        <v>1</v>
      </c>
      <c r="E30" s="7">
        <v>15301.19</v>
      </c>
      <c r="F30" s="7">
        <v>14438.48</v>
      </c>
      <c r="G30" s="7">
        <v>13810.72</v>
      </c>
      <c r="H30" s="7">
        <v>13437.35</v>
      </c>
      <c r="I30" s="7">
        <v>13656.67</v>
      </c>
      <c r="J30" s="7">
        <v>13449.77</v>
      </c>
      <c r="K30" s="7">
        <v>10855.47</v>
      </c>
      <c r="L30" s="7">
        <v>17929.939999999999</v>
      </c>
      <c r="M30" s="7">
        <v>17696.02</v>
      </c>
      <c r="N30" s="7">
        <v>17218.79</v>
      </c>
      <c r="O30" s="7">
        <v>18486.3</v>
      </c>
      <c r="P30" s="7">
        <v>20025.259999999998</v>
      </c>
      <c r="Q30" s="7">
        <v>20544.55</v>
      </c>
      <c r="R30" s="7">
        <v>19526.150000000001</v>
      </c>
      <c r="S30" s="7">
        <v>20006.3</v>
      </c>
      <c r="T30" s="7">
        <v>20577.05</v>
      </c>
      <c r="U30" s="7">
        <v>21958.85</v>
      </c>
      <c r="V30" s="7">
        <v>21235.53</v>
      </c>
      <c r="W30" s="7">
        <v>26664.98</v>
      </c>
      <c r="X30" s="7">
        <v>27470.85</v>
      </c>
      <c r="Y30" s="7">
        <v>26157.25</v>
      </c>
      <c r="Z30" s="7">
        <v>23785.46</v>
      </c>
      <c r="AA30" s="7">
        <v>20747.21</v>
      </c>
      <c r="AB30" s="7">
        <v>18000.080000000002</v>
      </c>
      <c r="AC30" s="52"/>
    </row>
    <row r="31" spans="2:31" ht="18.600000000000001" customHeight="1" x14ac:dyDescent="0.2">
      <c r="B31" s="49" t="s">
        <v>38</v>
      </c>
      <c r="C31" s="4" t="s">
        <v>29</v>
      </c>
      <c r="D31" s="5">
        <v>20</v>
      </c>
      <c r="E31" s="7">
        <v>26685.46</v>
      </c>
      <c r="F31" s="7">
        <v>24845.040000000001</v>
      </c>
      <c r="G31" s="7">
        <v>24191.67</v>
      </c>
      <c r="H31" s="7">
        <v>23834.16</v>
      </c>
      <c r="I31" s="7">
        <v>11625.64</v>
      </c>
      <c r="J31" s="7">
        <v>14399.14</v>
      </c>
      <c r="K31" s="7">
        <v>12822.7</v>
      </c>
      <c r="L31" s="7">
        <v>19508.13</v>
      </c>
      <c r="M31" s="7">
        <v>17469.13</v>
      </c>
      <c r="N31" s="7">
        <v>17162.189999999999</v>
      </c>
      <c r="O31" s="7">
        <v>17820.86</v>
      </c>
      <c r="P31" s="7">
        <v>19405.900000000001</v>
      </c>
      <c r="Q31" s="7">
        <v>18621.939999999999</v>
      </c>
      <c r="R31" s="7">
        <v>18761.03</v>
      </c>
      <c r="S31" s="7">
        <v>20115.04</v>
      </c>
      <c r="T31" s="7">
        <v>20871.09</v>
      </c>
      <c r="U31" s="7">
        <v>22450.28</v>
      </c>
      <c r="V31" s="7">
        <v>21762.51</v>
      </c>
      <c r="W31" s="7">
        <v>1311.43</v>
      </c>
      <c r="X31" s="7">
        <v>1382.79</v>
      </c>
      <c r="Y31" s="7">
        <v>1322.76</v>
      </c>
      <c r="Z31" s="7">
        <v>24343.08</v>
      </c>
      <c r="AA31" s="7">
        <v>21168.46</v>
      </c>
      <c r="AB31" s="7">
        <v>39738.22</v>
      </c>
      <c r="AC31" s="50">
        <f>+SUM(E31:AB31)*D31+SUM(E32:AB32)*D32+SUM(E33:AB33)*D33+SUM(E34:AB34)*D34</f>
        <v>13313300.01</v>
      </c>
    </row>
    <row r="32" spans="2:31" ht="18.600000000000001" customHeight="1" x14ac:dyDescent="0.2">
      <c r="B32" s="49" t="s">
        <v>38</v>
      </c>
      <c r="C32" s="4" t="s">
        <v>30</v>
      </c>
      <c r="D32" s="5">
        <v>5</v>
      </c>
      <c r="E32" s="7">
        <v>11349.26</v>
      </c>
      <c r="F32" s="7">
        <v>10735.2</v>
      </c>
      <c r="G32" s="7">
        <v>10165.379999999999</v>
      </c>
      <c r="H32" s="7">
        <v>10235.58</v>
      </c>
      <c r="I32" s="7">
        <v>10449.26</v>
      </c>
      <c r="J32" s="7">
        <v>11000.87</v>
      </c>
      <c r="K32" s="7">
        <v>9879.5</v>
      </c>
      <c r="L32" s="7">
        <v>18146.66</v>
      </c>
      <c r="M32" s="7">
        <v>17611.419999999998</v>
      </c>
      <c r="N32" s="7">
        <v>17824.189999999999</v>
      </c>
      <c r="O32" s="7">
        <v>17807.63</v>
      </c>
      <c r="P32" s="7">
        <v>18760.59</v>
      </c>
      <c r="Q32" s="7">
        <v>18471.16</v>
      </c>
      <c r="R32" s="7">
        <v>18265.509999999998</v>
      </c>
      <c r="S32" s="7">
        <v>18377.25</v>
      </c>
      <c r="T32" s="7">
        <v>19064.689999999999</v>
      </c>
      <c r="U32" s="7">
        <v>21138.74</v>
      </c>
      <c r="V32" s="7">
        <v>20878.080000000002</v>
      </c>
      <c r="W32" s="7">
        <v>25217.46</v>
      </c>
      <c r="X32" s="7">
        <v>26810.36</v>
      </c>
      <c r="Y32" s="7">
        <v>25615.17</v>
      </c>
      <c r="Z32" s="7">
        <v>24043.71</v>
      </c>
      <c r="AA32" s="7">
        <v>21481.48</v>
      </c>
      <c r="AB32" s="7">
        <v>18737.34</v>
      </c>
      <c r="AC32" s="51"/>
    </row>
    <row r="33" spans="2:29" ht="18.600000000000001" customHeight="1" x14ac:dyDescent="0.2">
      <c r="B33" s="49" t="s">
        <v>38</v>
      </c>
      <c r="C33" s="4" t="s">
        <v>31</v>
      </c>
      <c r="D33" s="5">
        <v>4</v>
      </c>
      <c r="E33" s="7">
        <v>12675.55</v>
      </c>
      <c r="F33" s="7">
        <v>11936.94</v>
      </c>
      <c r="G33" s="7">
        <v>10980.33</v>
      </c>
      <c r="H33" s="7">
        <v>10704.59</v>
      </c>
      <c r="I33" s="7">
        <v>10554.04</v>
      </c>
      <c r="J33" s="7">
        <v>10187.959999999999</v>
      </c>
      <c r="K33" s="7">
        <v>7486.1</v>
      </c>
      <c r="L33" s="7">
        <v>14420.02</v>
      </c>
      <c r="M33" s="7">
        <v>13893.99</v>
      </c>
      <c r="N33" s="7">
        <v>14491.76</v>
      </c>
      <c r="O33" s="7">
        <v>15111.96</v>
      </c>
      <c r="P33" s="7">
        <v>16646.7</v>
      </c>
      <c r="Q33" s="7">
        <v>17080.919999999998</v>
      </c>
      <c r="R33" s="7">
        <v>17088.93</v>
      </c>
      <c r="S33" s="7">
        <v>17181.96</v>
      </c>
      <c r="T33" s="7">
        <v>17872.59</v>
      </c>
      <c r="U33" s="7">
        <v>19828.2</v>
      </c>
      <c r="V33" s="7">
        <v>19916.2</v>
      </c>
      <c r="W33" s="7">
        <v>24329.360000000001</v>
      </c>
      <c r="X33" s="7">
        <v>25850.14</v>
      </c>
      <c r="Y33" s="7">
        <v>24623.33</v>
      </c>
      <c r="Z33" s="7">
        <v>22938.06</v>
      </c>
      <c r="AA33" s="7">
        <v>21097.38</v>
      </c>
      <c r="AB33" s="7">
        <v>18546</v>
      </c>
      <c r="AC33" s="51"/>
    </row>
    <row r="34" spans="2:29" ht="18.600000000000001" customHeight="1" x14ac:dyDescent="0.2">
      <c r="B34" s="49" t="s">
        <v>38</v>
      </c>
      <c r="C34" s="4" t="s">
        <v>32</v>
      </c>
      <c r="D34" s="5">
        <v>2</v>
      </c>
      <c r="E34" s="7">
        <v>12175.01</v>
      </c>
      <c r="F34" s="7">
        <v>11316.7</v>
      </c>
      <c r="G34" s="7">
        <v>10669.49</v>
      </c>
      <c r="H34" s="7">
        <v>10799.56</v>
      </c>
      <c r="I34" s="7">
        <v>10366.64</v>
      </c>
      <c r="J34" s="7">
        <v>10480.629999999999</v>
      </c>
      <c r="K34" s="7">
        <v>8141.21</v>
      </c>
      <c r="L34" s="7">
        <v>15235.86</v>
      </c>
      <c r="M34" s="7">
        <v>14811.42</v>
      </c>
      <c r="N34" s="7">
        <v>14512.15</v>
      </c>
      <c r="O34" s="7">
        <v>15636.97</v>
      </c>
      <c r="P34" s="7">
        <v>16677.66</v>
      </c>
      <c r="Q34" s="7">
        <v>17010.580000000002</v>
      </c>
      <c r="R34" s="7">
        <v>16985.400000000001</v>
      </c>
      <c r="S34" s="7">
        <v>17447.560000000001</v>
      </c>
      <c r="T34" s="7">
        <v>18239.45</v>
      </c>
      <c r="U34" s="7">
        <v>19557.48</v>
      </c>
      <c r="V34" s="7">
        <v>19367.38</v>
      </c>
      <c r="W34" s="7">
        <v>23803.66</v>
      </c>
      <c r="X34" s="7">
        <v>25390.05</v>
      </c>
      <c r="Y34" s="7">
        <v>24506.06</v>
      </c>
      <c r="Z34" s="7">
        <v>22534.67</v>
      </c>
      <c r="AA34" s="7">
        <v>20545.96</v>
      </c>
      <c r="AB34" s="7">
        <v>18199.71</v>
      </c>
      <c r="AC34" s="52"/>
    </row>
    <row r="35" spans="2:29" ht="18.600000000000001" customHeight="1" x14ac:dyDescent="0.2">
      <c r="B35" s="49" t="s">
        <v>39</v>
      </c>
      <c r="C35" s="4" t="s">
        <v>29</v>
      </c>
      <c r="D35" s="5">
        <v>21</v>
      </c>
      <c r="E35" s="7">
        <v>25642.43</v>
      </c>
      <c r="F35" s="7">
        <v>24333.8</v>
      </c>
      <c r="G35" s="7">
        <v>23574.43</v>
      </c>
      <c r="H35" s="7">
        <v>23462.16</v>
      </c>
      <c r="I35" s="7">
        <v>11698.08</v>
      </c>
      <c r="J35" s="7">
        <v>14985.23</v>
      </c>
      <c r="K35" s="7">
        <v>13446.56</v>
      </c>
      <c r="L35" s="7">
        <v>19657.71</v>
      </c>
      <c r="M35" s="7">
        <v>17525.21</v>
      </c>
      <c r="N35" s="7">
        <v>16908.86</v>
      </c>
      <c r="O35" s="7">
        <v>17493.77</v>
      </c>
      <c r="P35" s="7">
        <v>18504.55</v>
      </c>
      <c r="Q35" s="7">
        <v>17702.98</v>
      </c>
      <c r="R35" s="7">
        <v>18218.82</v>
      </c>
      <c r="S35" s="7">
        <v>19470.990000000002</v>
      </c>
      <c r="T35" s="7">
        <v>20263.93</v>
      </c>
      <c r="U35" s="7">
        <v>22116.31</v>
      </c>
      <c r="V35" s="7">
        <v>20558.97</v>
      </c>
      <c r="W35" s="7">
        <v>1274.78</v>
      </c>
      <c r="X35" s="7">
        <v>1333.05</v>
      </c>
      <c r="Y35" s="7">
        <v>1280.1300000000001</v>
      </c>
      <c r="Z35" s="7">
        <v>23608.82</v>
      </c>
      <c r="AA35" s="7">
        <v>20006.599999999999</v>
      </c>
      <c r="AB35" s="7">
        <v>38453.760000000002</v>
      </c>
      <c r="AC35" s="50">
        <f>+SUM(E35:AB35)*D35+SUM(E36:AB36)*D36+SUM(E37:AB37)*D37+SUM(E38:AB38)*D38</f>
        <v>12973894.809999999</v>
      </c>
    </row>
    <row r="36" spans="2:29" ht="18.600000000000001" customHeight="1" x14ac:dyDescent="0.2">
      <c r="B36" s="49" t="s">
        <v>39</v>
      </c>
      <c r="C36" s="4" t="s">
        <v>30</v>
      </c>
      <c r="D36" s="5">
        <v>3</v>
      </c>
      <c r="E36" s="7">
        <v>12939.74</v>
      </c>
      <c r="F36" s="7">
        <v>12013.28</v>
      </c>
      <c r="G36" s="7">
        <v>11584.56</v>
      </c>
      <c r="H36" s="7">
        <v>11419.52</v>
      </c>
      <c r="I36" s="7">
        <v>11738.71</v>
      </c>
      <c r="J36" s="7">
        <v>12299.3</v>
      </c>
      <c r="K36" s="7">
        <v>10448.4</v>
      </c>
      <c r="L36" s="7">
        <v>18731.57</v>
      </c>
      <c r="M36" s="7">
        <v>17885.02</v>
      </c>
      <c r="N36" s="7">
        <v>18066.810000000001</v>
      </c>
      <c r="O36" s="7">
        <v>18186.900000000001</v>
      </c>
      <c r="P36" s="7">
        <v>19183.34</v>
      </c>
      <c r="Q36" s="7">
        <v>18347.990000000002</v>
      </c>
      <c r="R36" s="7">
        <v>18088.89</v>
      </c>
      <c r="S36" s="7">
        <v>18106.919999999998</v>
      </c>
      <c r="T36" s="7">
        <v>18746.72</v>
      </c>
      <c r="U36" s="7">
        <v>21092.14</v>
      </c>
      <c r="V36" s="7">
        <v>19980.86</v>
      </c>
      <c r="W36" s="7">
        <v>25100.560000000001</v>
      </c>
      <c r="X36" s="7">
        <v>25853.78</v>
      </c>
      <c r="Y36" s="7">
        <v>24522.639999999999</v>
      </c>
      <c r="Z36" s="7">
        <v>22933.26</v>
      </c>
      <c r="AA36" s="7">
        <v>19853.27</v>
      </c>
      <c r="AB36" s="7">
        <v>17981.240000000002</v>
      </c>
      <c r="AC36" s="51"/>
    </row>
    <row r="37" spans="2:29" ht="18.600000000000001" customHeight="1" x14ac:dyDescent="0.2">
      <c r="B37" s="49" t="s">
        <v>39</v>
      </c>
      <c r="C37" s="4" t="s">
        <v>31</v>
      </c>
      <c r="D37" s="5">
        <v>5</v>
      </c>
      <c r="E37" s="7">
        <v>12022.48</v>
      </c>
      <c r="F37" s="7">
        <v>11432.61</v>
      </c>
      <c r="G37" s="7">
        <v>10953.69</v>
      </c>
      <c r="H37" s="7">
        <v>10595.06</v>
      </c>
      <c r="I37" s="7">
        <v>10322.83</v>
      </c>
      <c r="J37" s="7">
        <v>10354.86</v>
      </c>
      <c r="K37" s="7">
        <v>6821.94</v>
      </c>
      <c r="L37" s="7">
        <v>13474.9</v>
      </c>
      <c r="M37" s="7">
        <v>13112.3</v>
      </c>
      <c r="N37" s="7">
        <v>13186.49</v>
      </c>
      <c r="O37" s="7">
        <v>13875.94</v>
      </c>
      <c r="P37" s="7">
        <v>14985.52</v>
      </c>
      <c r="Q37" s="7">
        <v>15139.06</v>
      </c>
      <c r="R37" s="7">
        <v>15763.99</v>
      </c>
      <c r="S37" s="7">
        <v>15878.58</v>
      </c>
      <c r="T37" s="7">
        <v>16492.62</v>
      </c>
      <c r="U37" s="7">
        <v>18694.650000000001</v>
      </c>
      <c r="V37" s="7">
        <v>17967.68</v>
      </c>
      <c r="W37" s="7">
        <v>22797.87</v>
      </c>
      <c r="X37" s="7">
        <v>24018.42</v>
      </c>
      <c r="Y37" s="7">
        <v>23526.3</v>
      </c>
      <c r="Z37" s="7">
        <v>22035.17</v>
      </c>
      <c r="AA37" s="7">
        <v>18521.87</v>
      </c>
      <c r="AB37" s="7">
        <v>16602.21</v>
      </c>
      <c r="AC37" s="51"/>
    </row>
    <row r="38" spans="2:29" ht="18.600000000000001" customHeight="1" x14ac:dyDescent="0.2">
      <c r="B38" s="49" t="s">
        <v>39</v>
      </c>
      <c r="C38" s="4" t="s">
        <v>32</v>
      </c>
      <c r="D38" s="5">
        <v>2</v>
      </c>
      <c r="E38" s="7">
        <v>11417.77</v>
      </c>
      <c r="F38" s="7">
        <v>10963.15</v>
      </c>
      <c r="G38" s="7">
        <v>10328.01</v>
      </c>
      <c r="H38" s="7">
        <v>10292.120000000001</v>
      </c>
      <c r="I38" s="7">
        <v>10393.56</v>
      </c>
      <c r="J38" s="7">
        <v>10551.12</v>
      </c>
      <c r="K38" s="7">
        <v>7956.4</v>
      </c>
      <c r="L38" s="7">
        <v>15206.96</v>
      </c>
      <c r="M38" s="7">
        <v>14390.32</v>
      </c>
      <c r="N38" s="7">
        <v>15206.77</v>
      </c>
      <c r="O38" s="7">
        <v>16239.46</v>
      </c>
      <c r="P38" s="7">
        <v>18119.830000000002</v>
      </c>
      <c r="Q38" s="7">
        <v>17799.96</v>
      </c>
      <c r="R38" s="7">
        <v>17778.34</v>
      </c>
      <c r="S38" s="7">
        <v>17850.61</v>
      </c>
      <c r="T38" s="7">
        <v>18357.88</v>
      </c>
      <c r="U38" s="7">
        <v>19923.150000000001</v>
      </c>
      <c r="V38" s="7">
        <v>19840.91</v>
      </c>
      <c r="W38" s="7">
        <v>24291.32</v>
      </c>
      <c r="X38" s="7">
        <v>25984.37</v>
      </c>
      <c r="Y38" s="7">
        <v>24885.02</v>
      </c>
      <c r="Z38" s="7">
        <v>22747.89</v>
      </c>
      <c r="AA38" s="7">
        <v>19389.86</v>
      </c>
      <c r="AB38" s="7">
        <v>16951.63</v>
      </c>
      <c r="AC38" s="52"/>
    </row>
    <row r="39" spans="2:29" ht="18.600000000000001" customHeight="1" x14ac:dyDescent="0.2">
      <c r="B39" s="49" t="s">
        <v>40</v>
      </c>
      <c r="C39" s="4" t="s">
        <v>29</v>
      </c>
      <c r="D39" s="5">
        <v>22</v>
      </c>
      <c r="E39" s="7">
        <v>28581.48</v>
      </c>
      <c r="F39" s="7">
        <v>27213.73</v>
      </c>
      <c r="G39" s="7">
        <v>26704.59</v>
      </c>
      <c r="H39" s="7">
        <v>26379.72</v>
      </c>
      <c r="I39" s="7">
        <v>13246.73</v>
      </c>
      <c r="J39" s="7">
        <v>16378.41</v>
      </c>
      <c r="K39" s="7">
        <v>15049.85</v>
      </c>
      <c r="L39" s="7">
        <v>21634.66</v>
      </c>
      <c r="M39" s="7">
        <v>19300.849999999999</v>
      </c>
      <c r="N39" s="7">
        <v>18927.75</v>
      </c>
      <c r="O39" s="7">
        <v>19237.7</v>
      </c>
      <c r="P39" s="7">
        <v>20329.96</v>
      </c>
      <c r="Q39" s="7">
        <v>19948.099999999999</v>
      </c>
      <c r="R39" s="7">
        <v>20486.93</v>
      </c>
      <c r="S39" s="7">
        <v>21859.06</v>
      </c>
      <c r="T39" s="7">
        <v>22991.200000000001</v>
      </c>
      <c r="U39" s="7">
        <v>24749.47</v>
      </c>
      <c r="V39" s="7">
        <v>23033.62</v>
      </c>
      <c r="W39" s="7">
        <v>1415.25</v>
      </c>
      <c r="X39" s="7">
        <v>1433</v>
      </c>
      <c r="Y39" s="7">
        <v>1374.47</v>
      </c>
      <c r="Z39" s="7">
        <v>25059.37</v>
      </c>
      <c r="AA39" s="7">
        <v>21631.23</v>
      </c>
      <c r="AB39" s="7">
        <v>40743.629999999997</v>
      </c>
      <c r="AC39" s="50">
        <f>+SUM(E39:AB39)*D39+SUM(E40:AB40)*D40+SUM(E41:AB41)*D41+SUM(E42:AB42)*D42</f>
        <v>14018103.16</v>
      </c>
    </row>
    <row r="40" spans="2:29" ht="18.600000000000001" customHeight="1" x14ac:dyDescent="0.2">
      <c r="B40" s="49" t="s">
        <v>40</v>
      </c>
      <c r="C40" s="4" t="s">
        <v>30</v>
      </c>
      <c r="D40" s="5">
        <v>4</v>
      </c>
      <c r="E40" s="7">
        <v>14654.14</v>
      </c>
      <c r="F40" s="7">
        <v>13383.57</v>
      </c>
      <c r="G40" s="7">
        <v>12959.54</v>
      </c>
      <c r="H40" s="7">
        <v>12684.13</v>
      </c>
      <c r="I40" s="7">
        <v>13105.69</v>
      </c>
      <c r="J40" s="7">
        <v>13716.21</v>
      </c>
      <c r="K40" s="7">
        <v>12300.84</v>
      </c>
      <c r="L40" s="7">
        <v>20263.77</v>
      </c>
      <c r="M40" s="7">
        <v>19859.53</v>
      </c>
      <c r="N40" s="7">
        <v>19829.64</v>
      </c>
      <c r="O40" s="7">
        <v>19736.55</v>
      </c>
      <c r="P40" s="7">
        <v>20229.259999999998</v>
      </c>
      <c r="Q40" s="7">
        <v>20027.939999999999</v>
      </c>
      <c r="R40" s="7">
        <v>19767.05</v>
      </c>
      <c r="S40" s="7">
        <v>20042.099999999999</v>
      </c>
      <c r="T40" s="7">
        <v>20975.5</v>
      </c>
      <c r="U40" s="7">
        <v>23471.94</v>
      </c>
      <c r="V40" s="7">
        <v>21931.89</v>
      </c>
      <c r="W40" s="7">
        <v>26853.37</v>
      </c>
      <c r="X40" s="7">
        <v>26717.13</v>
      </c>
      <c r="Y40" s="7">
        <v>25876.52</v>
      </c>
      <c r="Z40" s="7">
        <v>23530.76</v>
      </c>
      <c r="AA40" s="7">
        <v>21178.92</v>
      </c>
      <c r="AB40" s="7">
        <v>19157.25</v>
      </c>
      <c r="AC40" s="51"/>
    </row>
    <row r="41" spans="2:29" ht="18.600000000000001" customHeight="1" x14ac:dyDescent="0.2">
      <c r="B41" s="49" t="s">
        <v>40</v>
      </c>
      <c r="C41" s="4" t="s">
        <v>31</v>
      </c>
      <c r="D41" s="5">
        <v>4</v>
      </c>
      <c r="E41" s="7">
        <v>14167.5</v>
      </c>
      <c r="F41" s="7">
        <v>13357.36</v>
      </c>
      <c r="G41" s="7">
        <v>12850.85</v>
      </c>
      <c r="H41" s="7">
        <v>12403.75</v>
      </c>
      <c r="I41" s="7">
        <v>12118.74</v>
      </c>
      <c r="J41" s="7">
        <v>11589.86</v>
      </c>
      <c r="K41" s="7">
        <v>8904.2000000000007</v>
      </c>
      <c r="L41" s="7">
        <v>15757.13</v>
      </c>
      <c r="M41" s="7">
        <v>15605.26</v>
      </c>
      <c r="N41" s="7">
        <v>15603.16</v>
      </c>
      <c r="O41" s="7">
        <v>15890.28</v>
      </c>
      <c r="P41" s="7">
        <v>16519.03</v>
      </c>
      <c r="Q41" s="7">
        <v>16967.14</v>
      </c>
      <c r="R41" s="7">
        <v>17025.16</v>
      </c>
      <c r="S41" s="7">
        <v>17732.560000000001</v>
      </c>
      <c r="T41" s="7">
        <v>18852.02</v>
      </c>
      <c r="U41" s="7">
        <v>20898.2</v>
      </c>
      <c r="V41" s="7">
        <v>20453.57</v>
      </c>
      <c r="W41" s="7">
        <v>25813.19</v>
      </c>
      <c r="X41" s="7">
        <v>26074.41</v>
      </c>
      <c r="Y41" s="7">
        <v>25508.69</v>
      </c>
      <c r="Z41" s="7">
        <v>22906.07</v>
      </c>
      <c r="AA41" s="7">
        <v>20099.32</v>
      </c>
      <c r="AB41" s="7">
        <v>17765.919999999998</v>
      </c>
      <c r="AC41" s="51"/>
    </row>
    <row r="42" spans="2:29" ht="18.600000000000001" customHeight="1" x14ac:dyDescent="0.2">
      <c r="B42" s="49" t="s">
        <v>40</v>
      </c>
      <c r="C42" s="4" t="s">
        <v>32</v>
      </c>
      <c r="D42" s="5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52"/>
    </row>
    <row r="43" spans="2:29" ht="18.600000000000001" customHeight="1" x14ac:dyDescent="0.2">
      <c r="B43" s="49" t="s">
        <v>41</v>
      </c>
      <c r="C43" s="4" t="s">
        <v>29</v>
      </c>
      <c r="D43" s="5">
        <v>20</v>
      </c>
      <c r="E43" s="7">
        <v>26558.52</v>
      </c>
      <c r="F43" s="7">
        <v>24595.64</v>
      </c>
      <c r="G43" s="7">
        <v>23997.15</v>
      </c>
      <c r="H43" s="7">
        <v>24097.97</v>
      </c>
      <c r="I43" s="7">
        <v>12154.46</v>
      </c>
      <c r="J43" s="7">
        <v>14975.36</v>
      </c>
      <c r="K43" s="7">
        <v>13670.79</v>
      </c>
      <c r="L43" s="7">
        <v>20314.28</v>
      </c>
      <c r="M43" s="7">
        <v>17695.71</v>
      </c>
      <c r="N43" s="7">
        <v>17263.41</v>
      </c>
      <c r="O43" s="7">
        <v>17310.11</v>
      </c>
      <c r="P43" s="7">
        <v>18064.740000000002</v>
      </c>
      <c r="Q43" s="7">
        <v>17737.12</v>
      </c>
      <c r="R43" s="7">
        <v>18125.05</v>
      </c>
      <c r="S43" s="7">
        <v>19707.689999999999</v>
      </c>
      <c r="T43" s="7">
        <v>20820.64</v>
      </c>
      <c r="U43" s="7">
        <v>22974.639999999999</v>
      </c>
      <c r="V43" s="7">
        <v>22128.6</v>
      </c>
      <c r="W43" s="7">
        <v>1343.37</v>
      </c>
      <c r="X43" s="7">
        <v>1330.58</v>
      </c>
      <c r="Y43" s="7">
        <v>1246.1600000000001</v>
      </c>
      <c r="Z43" s="7">
        <v>22952.68</v>
      </c>
      <c r="AA43" s="7">
        <v>19689</v>
      </c>
      <c r="AB43" s="7">
        <v>37855.97</v>
      </c>
      <c r="AC43" s="50">
        <f>+SUM(E43:AB43)*D43+SUM(E44:AB44)*D44+SUM(E45:AB45)*D45+SUM(E46:AB46)*D46</f>
        <v>13266334.339999998</v>
      </c>
    </row>
    <row r="44" spans="2:29" ht="18.600000000000001" customHeight="1" x14ac:dyDescent="0.2">
      <c r="B44" s="49" t="s">
        <v>41</v>
      </c>
      <c r="C44" s="4" t="s">
        <v>30</v>
      </c>
      <c r="D44" s="5">
        <v>5</v>
      </c>
      <c r="E44" s="7">
        <v>13298.74</v>
      </c>
      <c r="F44" s="7">
        <v>12177.5</v>
      </c>
      <c r="G44" s="7">
        <v>11654.46</v>
      </c>
      <c r="H44" s="7">
        <v>11581.14</v>
      </c>
      <c r="I44" s="7">
        <v>11954.84</v>
      </c>
      <c r="J44" s="7">
        <v>12366.29</v>
      </c>
      <c r="K44" s="7">
        <v>10495.73</v>
      </c>
      <c r="L44" s="7">
        <v>19353.18</v>
      </c>
      <c r="M44" s="7">
        <v>17969.45</v>
      </c>
      <c r="N44" s="7">
        <v>18180.62</v>
      </c>
      <c r="O44" s="7">
        <v>17801.16</v>
      </c>
      <c r="P44" s="7">
        <v>18344.36</v>
      </c>
      <c r="Q44" s="7">
        <v>18319.060000000001</v>
      </c>
      <c r="R44" s="7">
        <v>18073.240000000002</v>
      </c>
      <c r="S44" s="7">
        <v>18826.490000000002</v>
      </c>
      <c r="T44" s="7">
        <v>19807.14</v>
      </c>
      <c r="U44" s="7">
        <v>21923.85</v>
      </c>
      <c r="V44" s="7">
        <v>20665.8</v>
      </c>
      <c r="W44" s="7">
        <v>26754.25</v>
      </c>
      <c r="X44" s="7">
        <v>26430.39</v>
      </c>
      <c r="Y44" s="7">
        <v>25421.45</v>
      </c>
      <c r="Z44" s="7">
        <v>23864.62</v>
      </c>
      <c r="AA44" s="7">
        <v>21148.2</v>
      </c>
      <c r="AB44" s="7">
        <v>19129.240000000002</v>
      </c>
      <c r="AC44" s="51"/>
    </row>
    <row r="45" spans="2:29" ht="18.600000000000001" customHeight="1" x14ac:dyDescent="0.2">
      <c r="B45" s="49" t="s">
        <v>41</v>
      </c>
      <c r="C45" s="4" t="s">
        <v>31</v>
      </c>
      <c r="D45" s="5">
        <v>5</v>
      </c>
      <c r="E45" s="7">
        <v>13878.09</v>
      </c>
      <c r="F45" s="7">
        <v>12917.21</v>
      </c>
      <c r="G45" s="7">
        <v>12169.18</v>
      </c>
      <c r="H45" s="7">
        <v>11675.78</v>
      </c>
      <c r="I45" s="7">
        <v>11612.04</v>
      </c>
      <c r="J45" s="7">
        <v>11017.32</v>
      </c>
      <c r="K45" s="7">
        <v>8001.52</v>
      </c>
      <c r="L45" s="7">
        <v>14968.15</v>
      </c>
      <c r="M45" s="7">
        <v>14658.96</v>
      </c>
      <c r="N45" s="7">
        <v>15515.18</v>
      </c>
      <c r="O45" s="7">
        <v>14938.82</v>
      </c>
      <c r="P45" s="7">
        <v>15630.33</v>
      </c>
      <c r="Q45" s="7">
        <v>16055.96</v>
      </c>
      <c r="R45" s="7">
        <v>15908.04</v>
      </c>
      <c r="S45" s="7">
        <v>16934.54</v>
      </c>
      <c r="T45" s="7">
        <v>17880.259999999998</v>
      </c>
      <c r="U45" s="7">
        <v>19303.18</v>
      </c>
      <c r="V45" s="7">
        <v>19246.939999999999</v>
      </c>
      <c r="W45" s="7">
        <v>24129.03</v>
      </c>
      <c r="X45" s="7">
        <v>24571.54</v>
      </c>
      <c r="Y45" s="7">
        <v>23517.01</v>
      </c>
      <c r="Z45" s="7">
        <v>21345.64</v>
      </c>
      <c r="AA45" s="7">
        <v>18684.5</v>
      </c>
      <c r="AB45" s="7">
        <v>16289.41</v>
      </c>
      <c r="AC45" s="51"/>
    </row>
    <row r="46" spans="2:29" ht="18.600000000000001" customHeight="1" x14ac:dyDescent="0.2">
      <c r="B46" s="49" t="s">
        <v>41</v>
      </c>
      <c r="C46" s="4" t="s">
        <v>32</v>
      </c>
      <c r="D46" s="5">
        <v>1</v>
      </c>
      <c r="E46" s="7">
        <v>12212.65</v>
      </c>
      <c r="F46" s="7">
        <v>11623.56</v>
      </c>
      <c r="G46" s="7">
        <v>10920.5</v>
      </c>
      <c r="H46" s="7">
        <v>10751.4</v>
      </c>
      <c r="I46" s="7">
        <v>10999.35</v>
      </c>
      <c r="J46" s="7">
        <v>10970</v>
      </c>
      <c r="K46" s="7">
        <v>7351.18</v>
      </c>
      <c r="L46" s="7">
        <v>14965.88</v>
      </c>
      <c r="M46" s="7">
        <v>13827.17</v>
      </c>
      <c r="N46" s="7">
        <v>14978.83</v>
      </c>
      <c r="O46" s="7">
        <v>15122.4</v>
      </c>
      <c r="P46" s="7">
        <v>16914.98</v>
      </c>
      <c r="Q46" s="7">
        <v>17363.03</v>
      </c>
      <c r="R46" s="7">
        <v>17612.91</v>
      </c>
      <c r="S46" s="7">
        <v>18066.32</v>
      </c>
      <c r="T46" s="7">
        <v>18290.68</v>
      </c>
      <c r="U46" s="7">
        <v>19694.86</v>
      </c>
      <c r="V46" s="7">
        <v>21108.27</v>
      </c>
      <c r="W46" s="7">
        <v>26762.15</v>
      </c>
      <c r="X46" s="7">
        <v>26467.759999999998</v>
      </c>
      <c r="Y46" s="7">
        <v>25277.62</v>
      </c>
      <c r="Z46" s="7">
        <v>23196.65</v>
      </c>
      <c r="AA46" s="7">
        <v>20071.61</v>
      </c>
      <c r="AB46" s="7">
        <v>17642.63</v>
      </c>
      <c r="AC46" s="52"/>
    </row>
    <row r="47" spans="2:29" ht="18.600000000000001" customHeight="1" x14ac:dyDescent="0.2">
      <c r="B47" s="49" t="s">
        <v>42</v>
      </c>
      <c r="C47" s="4" t="s">
        <v>29</v>
      </c>
      <c r="D47" s="5">
        <v>20</v>
      </c>
      <c r="E47" s="7">
        <v>27854.959999999999</v>
      </c>
      <c r="F47" s="7">
        <v>26458.89</v>
      </c>
      <c r="G47" s="7">
        <v>26094.59</v>
      </c>
      <c r="H47" s="7">
        <v>25949.01</v>
      </c>
      <c r="I47" s="7">
        <v>13024.38</v>
      </c>
      <c r="J47" s="7">
        <v>15898.13</v>
      </c>
      <c r="K47" s="7">
        <v>15006.95</v>
      </c>
      <c r="L47" s="7">
        <v>21964.85</v>
      </c>
      <c r="M47" s="7">
        <v>19288.16</v>
      </c>
      <c r="N47" s="7">
        <v>18884.400000000001</v>
      </c>
      <c r="O47" s="7">
        <v>18876.759999999998</v>
      </c>
      <c r="P47" s="7">
        <v>19874.669999999998</v>
      </c>
      <c r="Q47" s="7">
        <v>19667.72</v>
      </c>
      <c r="R47" s="7">
        <v>19783.919999999998</v>
      </c>
      <c r="S47" s="7">
        <v>21468.959999999999</v>
      </c>
      <c r="T47" s="7">
        <v>22558.560000000001</v>
      </c>
      <c r="U47" s="7">
        <v>24561.63</v>
      </c>
      <c r="V47" s="7">
        <v>23630.49</v>
      </c>
      <c r="W47" s="7">
        <v>1446.49</v>
      </c>
      <c r="X47" s="7">
        <v>1435.64</v>
      </c>
      <c r="Y47" s="7">
        <v>1339.04</v>
      </c>
      <c r="Z47" s="7">
        <v>24431.32</v>
      </c>
      <c r="AA47" s="7">
        <v>21258.28</v>
      </c>
      <c r="AB47" s="7">
        <v>41064.74</v>
      </c>
      <c r="AC47" s="50">
        <f>+SUM(E47:AB47)*D47+SUM(E48:AB48)*D48+SUM(E49:AB49)*D49+SUM(E50:AB50)*D50</f>
        <v>13751174.84</v>
      </c>
    </row>
    <row r="48" spans="2:29" ht="18.600000000000001" customHeight="1" x14ac:dyDescent="0.2">
      <c r="B48" s="49" t="s">
        <v>42</v>
      </c>
      <c r="C48" s="4" t="s">
        <v>30</v>
      </c>
      <c r="D48" s="5">
        <v>4</v>
      </c>
      <c r="E48" s="7">
        <v>13477.31</v>
      </c>
      <c r="F48" s="7">
        <v>12497.66</v>
      </c>
      <c r="G48" s="7">
        <v>12219.8</v>
      </c>
      <c r="H48" s="7">
        <v>12015.73</v>
      </c>
      <c r="I48" s="7">
        <v>12702.09</v>
      </c>
      <c r="J48" s="7">
        <v>13141.55</v>
      </c>
      <c r="K48" s="7">
        <v>12132.35</v>
      </c>
      <c r="L48" s="7">
        <v>20810.55</v>
      </c>
      <c r="M48" s="7">
        <v>19782.82</v>
      </c>
      <c r="N48" s="7">
        <v>19620.5</v>
      </c>
      <c r="O48" s="7">
        <v>19338.84</v>
      </c>
      <c r="P48" s="7">
        <v>19583.18</v>
      </c>
      <c r="Q48" s="7">
        <v>19357.27</v>
      </c>
      <c r="R48" s="7">
        <v>19526</v>
      </c>
      <c r="S48" s="7">
        <v>20326.64</v>
      </c>
      <c r="T48" s="7">
        <v>21479.759999999998</v>
      </c>
      <c r="U48" s="7">
        <v>23137.19</v>
      </c>
      <c r="V48" s="7">
        <v>22397.360000000001</v>
      </c>
      <c r="W48" s="7">
        <v>27463.439999999999</v>
      </c>
      <c r="X48" s="7">
        <v>27509.360000000001</v>
      </c>
      <c r="Y48" s="7">
        <v>25803.97</v>
      </c>
      <c r="Z48" s="7">
        <v>24020.12</v>
      </c>
      <c r="AA48" s="7">
        <v>21814.71</v>
      </c>
      <c r="AB48" s="7">
        <v>19487.07</v>
      </c>
      <c r="AC48" s="51"/>
    </row>
    <row r="49" spans="2:29" ht="18.600000000000001" customHeight="1" x14ac:dyDescent="0.2">
      <c r="B49" s="49" t="s">
        <v>42</v>
      </c>
      <c r="C49" s="4" t="s">
        <v>31</v>
      </c>
      <c r="D49" s="5">
        <v>4</v>
      </c>
      <c r="E49" s="7">
        <v>13693.26</v>
      </c>
      <c r="F49" s="7">
        <v>12872.33</v>
      </c>
      <c r="G49" s="7">
        <v>12080.94</v>
      </c>
      <c r="H49" s="7">
        <v>11868.42</v>
      </c>
      <c r="I49" s="7">
        <v>11982.63</v>
      </c>
      <c r="J49" s="7">
        <v>11537.5</v>
      </c>
      <c r="K49" s="7">
        <v>8770.19</v>
      </c>
      <c r="L49" s="7">
        <v>15689.7</v>
      </c>
      <c r="M49" s="7">
        <v>15156.1</v>
      </c>
      <c r="N49" s="7">
        <v>15234.42</v>
      </c>
      <c r="O49" s="7">
        <v>15237.52</v>
      </c>
      <c r="P49" s="7">
        <v>16774.07</v>
      </c>
      <c r="Q49" s="7">
        <v>17148.669999999998</v>
      </c>
      <c r="R49" s="7">
        <v>17781.599999999999</v>
      </c>
      <c r="S49" s="7">
        <v>18463.09</v>
      </c>
      <c r="T49" s="7">
        <v>19381.86</v>
      </c>
      <c r="U49" s="7">
        <v>21663.66</v>
      </c>
      <c r="V49" s="7">
        <v>21121.35</v>
      </c>
      <c r="W49" s="7">
        <v>25810.720000000001</v>
      </c>
      <c r="X49" s="7">
        <v>25944.49</v>
      </c>
      <c r="Y49" s="7">
        <v>24811.18</v>
      </c>
      <c r="Z49" s="7">
        <v>23101.040000000001</v>
      </c>
      <c r="AA49" s="7">
        <v>20543.8</v>
      </c>
      <c r="AB49" s="7">
        <v>17990.95</v>
      </c>
      <c r="AC49" s="51"/>
    </row>
    <row r="50" spans="2:29" ht="18.600000000000001" customHeight="1" x14ac:dyDescent="0.2">
      <c r="B50" s="49" t="s">
        <v>42</v>
      </c>
      <c r="C50" s="4" t="s">
        <v>32</v>
      </c>
      <c r="D50" s="5">
        <v>2</v>
      </c>
      <c r="E50" s="7">
        <v>12767.65</v>
      </c>
      <c r="F50" s="7">
        <v>12035.76</v>
      </c>
      <c r="G50" s="7">
        <v>11803.73</v>
      </c>
      <c r="H50" s="7">
        <v>11444.06</v>
      </c>
      <c r="I50" s="7">
        <v>11529.17</v>
      </c>
      <c r="J50" s="7">
        <v>11908.28</v>
      </c>
      <c r="K50" s="7">
        <v>8654.2900000000009</v>
      </c>
      <c r="L50" s="7">
        <v>15365.75</v>
      </c>
      <c r="M50" s="7">
        <v>14665.8</v>
      </c>
      <c r="N50" s="7">
        <v>15219.61</v>
      </c>
      <c r="O50" s="7">
        <v>15656.14</v>
      </c>
      <c r="P50" s="7">
        <v>16920.71</v>
      </c>
      <c r="Q50" s="7">
        <v>17399.96</v>
      </c>
      <c r="R50" s="7">
        <v>17849.259999999998</v>
      </c>
      <c r="S50" s="7">
        <v>18242.060000000001</v>
      </c>
      <c r="T50" s="7">
        <v>18858.259999999998</v>
      </c>
      <c r="U50" s="7">
        <v>20237.93</v>
      </c>
      <c r="V50" s="7">
        <v>21078.66</v>
      </c>
      <c r="W50" s="7">
        <v>26397.1</v>
      </c>
      <c r="X50" s="7">
        <v>26372.28</v>
      </c>
      <c r="Y50" s="7">
        <v>25024.48</v>
      </c>
      <c r="Z50" s="7">
        <v>22496.240000000002</v>
      </c>
      <c r="AA50" s="7">
        <v>19726.77</v>
      </c>
      <c r="AB50" s="7">
        <v>17098.55</v>
      </c>
      <c r="AC50" s="52"/>
    </row>
    <row r="51" spans="2:29" ht="18.600000000000001" customHeight="1" x14ac:dyDescent="0.2">
      <c r="B51" s="49" t="s">
        <v>43</v>
      </c>
      <c r="C51" s="4" t="s">
        <v>29</v>
      </c>
      <c r="D51" s="5">
        <v>22</v>
      </c>
      <c r="E51" s="7">
        <v>26511.279999999999</v>
      </c>
      <c r="F51" s="7">
        <v>24720.52</v>
      </c>
      <c r="G51" s="7">
        <v>24070.46</v>
      </c>
      <c r="H51" s="7">
        <v>23889.85</v>
      </c>
      <c r="I51" s="7">
        <v>11683.6</v>
      </c>
      <c r="J51" s="7">
        <v>13084.22</v>
      </c>
      <c r="K51" s="7">
        <v>11634.73</v>
      </c>
      <c r="L51" s="7">
        <v>19410.96</v>
      </c>
      <c r="M51" s="7">
        <v>17680.599999999999</v>
      </c>
      <c r="N51" s="7">
        <v>17370.38</v>
      </c>
      <c r="O51" s="7">
        <v>17510.86</v>
      </c>
      <c r="P51" s="7">
        <v>18399.259999999998</v>
      </c>
      <c r="Q51" s="7">
        <v>18287.29</v>
      </c>
      <c r="R51" s="7">
        <v>18387.2</v>
      </c>
      <c r="S51" s="7">
        <v>19382.18</v>
      </c>
      <c r="T51" s="7">
        <v>20445.96</v>
      </c>
      <c r="U51" s="7">
        <v>22407.81</v>
      </c>
      <c r="V51" s="7">
        <v>21822.720000000001</v>
      </c>
      <c r="W51" s="7">
        <v>1343.34</v>
      </c>
      <c r="X51" s="7">
        <v>1332.06</v>
      </c>
      <c r="Y51" s="7">
        <v>1268.06</v>
      </c>
      <c r="Z51" s="7">
        <v>23382.87</v>
      </c>
      <c r="AA51" s="7">
        <v>20688.18</v>
      </c>
      <c r="AB51" s="7">
        <v>39559.660000000003</v>
      </c>
      <c r="AC51" s="50">
        <f>+SUM(E51:AB51)*D51+SUM(E52:AB52)*D52+SUM(E53:AB53)*D53+SUM(E54:AB54)*D54</f>
        <v>12975104.330000002</v>
      </c>
    </row>
    <row r="52" spans="2:29" ht="18.600000000000001" customHeight="1" x14ac:dyDescent="0.2">
      <c r="B52" s="49" t="s">
        <v>43</v>
      </c>
      <c r="C52" s="4" t="s">
        <v>30</v>
      </c>
      <c r="D52" s="5">
        <v>3</v>
      </c>
      <c r="E52" s="7">
        <v>12949.04</v>
      </c>
      <c r="F52" s="7">
        <v>11853.7</v>
      </c>
      <c r="G52" s="7">
        <v>11325.35</v>
      </c>
      <c r="H52" s="7">
        <v>11193.08</v>
      </c>
      <c r="I52" s="7">
        <v>11406.06</v>
      </c>
      <c r="J52" s="7">
        <v>12107.12</v>
      </c>
      <c r="K52" s="7">
        <v>10051.280000000001</v>
      </c>
      <c r="L52" s="7">
        <v>18426.95</v>
      </c>
      <c r="M52" s="7">
        <v>17526.86</v>
      </c>
      <c r="N52" s="7">
        <v>17324.84</v>
      </c>
      <c r="O52" s="7">
        <v>16973.82</v>
      </c>
      <c r="P52" s="7">
        <v>17166.45</v>
      </c>
      <c r="Q52" s="7">
        <v>17609.18</v>
      </c>
      <c r="R52" s="7">
        <v>17337.46</v>
      </c>
      <c r="S52" s="7">
        <v>17286.04</v>
      </c>
      <c r="T52" s="7">
        <v>18290.53</v>
      </c>
      <c r="U52" s="7">
        <v>20379.48</v>
      </c>
      <c r="V52" s="7">
        <v>20033.330000000002</v>
      </c>
      <c r="W52" s="7">
        <v>24923.5</v>
      </c>
      <c r="X52" s="7">
        <v>24577.08</v>
      </c>
      <c r="Y52" s="7">
        <v>23352.5</v>
      </c>
      <c r="Z52" s="7">
        <v>21597.61</v>
      </c>
      <c r="AA52" s="7">
        <v>19733.669999999998</v>
      </c>
      <c r="AB52" s="7">
        <v>17932.599999999999</v>
      </c>
      <c r="AC52" s="51"/>
    </row>
    <row r="53" spans="2:29" ht="18.600000000000001" customHeight="1" x14ac:dyDescent="0.2">
      <c r="B53" s="49" t="s">
        <v>43</v>
      </c>
      <c r="C53" s="4" t="s">
        <v>31</v>
      </c>
      <c r="D53" s="5">
        <v>4</v>
      </c>
      <c r="E53" s="7">
        <v>13113.59</v>
      </c>
      <c r="F53" s="7">
        <v>12140.69</v>
      </c>
      <c r="G53" s="7">
        <v>11396.85</v>
      </c>
      <c r="H53" s="7">
        <v>11024.71</v>
      </c>
      <c r="I53" s="7">
        <v>10650.89</v>
      </c>
      <c r="J53" s="7">
        <v>10348.040000000001</v>
      </c>
      <c r="K53" s="7">
        <v>7358.2</v>
      </c>
      <c r="L53" s="7">
        <v>13659.34</v>
      </c>
      <c r="M53" s="7">
        <v>13120.16</v>
      </c>
      <c r="N53" s="7">
        <v>13219.7</v>
      </c>
      <c r="O53" s="7">
        <v>13123.2</v>
      </c>
      <c r="P53" s="7">
        <v>13591.45</v>
      </c>
      <c r="Q53" s="7">
        <v>14650.55</v>
      </c>
      <c r="R53" s="7">
        <v>15034.3</v>
      </c>
      <c r="S53" s="7">
        <v>15721.91</v>
      </c>
      <c r="T53" s="7">
        <v>16540.12</v>
      </c>
      <c r="U53" s="7">
        <v>18099.169999999998</v>
      </c>
      <c r="V53" s="7">
        <v>18098.64</v>
      </c>
      <c r="W53" s="7">
        <v>23576.65</v>
      </c>
      <c r="X53" s="7">
        <v>24287.51</v>
      </c>
      <c r="Y53" s="7">
        <v>23784.65</v>
      </c>
      <c r="Z53" s="7">
        <v>22365.439999999999</v>
      </c>
      <c r="AA53" s="7">
        <v>19742.7</v>
      </c>
      <c r="AB53" s="7">
        <v>17074.98</v>
      </c>
      <c r="AC53" s="51"/>
    </row>
    <row r="54" spans="2:29" ht="18.600000000000001" customHeight="1" x14ac:dyDescent="0.2">
      <c r="B54" s="49" t="s">
        <v>43</v>
      </c>
      <c r="C54" s="4" t="s">
        <v>32</v>
      </c>
      <c r="D54" s="5">
        <v>2</v>
      </c>
      <c r="E54" s="7">
        <v>13533.73</v>
      </c>
      <c r="F54" s="7">
        <v>12989.52</v>
      </c>
      <c r="G54" s="7">
        <v>12189.6</v>
      </c>
      <c r="H54" s="7">
        <v>11369.79</v>
      </c>
      <c r="I54" s="7">
        <v>10800.66</v>
      </c>
      <c r="J54" s="7">
        <v>10158.969999999999</v>
      </c>
      <c r="K54" s="7">
        <v>6221.86</v>
      </c>
      <c r="L54" s="7">
        <v>12330</v>
      </c>
      <c r="M54" s="7">
        <v>11066.3</v>
      </c>
      <c r="N54" s="7">
        <v>10900.46</v>
      </c>
      <c r="O54" s="7">
        <v>11100.52</v>
      </c>
      <c r="P54" s="7">
        <v>12014.38</v>
      </c>
      <c r="Q54" s="7">
        <v>13031.32</v>
      </c>
      <c r="R54" s="7">
        <v>13759.87</v>
      </c>
      <c r="S54" s="7">
        <v>14328.67</v>
      </c>
      <c r="T54" s="7">
        <v>15278.49</v>
      </c>
      <c r="U54" s="7">
        <v>17720.939999999999</v>
      </c>
      <c r="V54" s="7">
        <v>17253.740000000002</v>
      </c>
      <c r="W54" s="7">
        <v>22923.73</v>
      </c>
      <c r="X54" s="7">
        <v>23249.360000000001</v>
      </c>
      <c r="Y54" s="7">
        <v>22471.03</v>
      </c>
      <c r="Z54" s="7">
        <v>20859.48</v>
      </c>
      <c r="AA54" s="7">
        <v>18277.84</v>
      </c>
      <c r="AB54" s="7">
        <v>16224.18</v>
      </c>
      <c r="AC54" s="52"/>
    </row>
    <row r="55" spans="2:29" ht="18.600000000000001" customHeight="1" x14ac:dyDescent="0.2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53" t="s">
        <v>46</v>
      </c>
      <c r="AA55" s="53"/>
      <c r="AB55" s="53"/>
      <c r="AC55" s="6">
        <f>SUM(AC7:AC54)</f>
        <v>174306978.43000004</v>
      </c>
    </row>
    <row r="56" spans="2:29" ht="18.600000000000001" customHeight="1" x14ac:dyDescent="0.2">
      <c r="AC56" s="46"/>
    </row>
    <row r="62" spans="2:29" x14ac:dyDescent="0.2">
      <c r="E62" s="10">
        <v>1000</v>
      </c>
    </row>
  </sheetData>
  <mergeCells count="28">
    <mergeCell ref="B11:B14"/>
    <mergeCell ref="AC11:AC14"/>
    <mergeCell ref="B2:AC2"/>
    <mergeCell ref="B3:AC3"/>
    <mergeCell ref="B4:AC4"/>
    <mergeCell ref="B7:B10"/>
    <mergeCell ref="AC7:AC10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BA4E-9842-4819-951E-3BCE0245619B}">
  <dimension ref="B1:AE58"/>
  <sheetViews>
    <sheetView showGridLines="0" zoomScale="70" zoomScaleNormal="70" workbookViewId="0">
      <selection activeCell="A2" sqref="A2:AD56"/>
    </sheetView>
  </sheetViews>
  <sheetFormatPr baseColWidth="10" defaultColWidth="11.42578125" defaultRowHeight="12" x14ac:dyDescent="0.2"/>
  <cols>
    <col min="1" max="1" width="6.140625" style="10" customWidth="1"/>
    <col min="2" max="2" width="7" style="10" customWidth="1"/>
    <col min="3" max="3" width="9.7109375" style="10" bestFit="1" customWidth="1"/>
    <col min="4" max="4" width="6.42578125" style="10" customWidth="1"/>
    <col min="5" max="27" width="10.140625" style="43" bestFit="1" customWidth="1"/>
    <col min="28" max="28" width="10" style="43" bestFit="1" customWidth="1"/>
    <col min="29" max="29" width="16.85546875" style="43" customWidth="1"/>
    <col min="30" max="30" width="7.140625" style="10" customWidth="1"/>
    <col min="31" max="257" width="11.42578125" style="10"/>
    <col min="258" max="258" width="7" style="10" customWidth="1"/>
    <col min="259" max="259" width="10.7109375" style="10" customWidth="1"/>
    <col min="260" max="260" width="9.28515625" style="10" customWidth="1"/>
    <col min="261" max="284" width="7.28515625" style="10" customWidth="1"/>
    <col min="285" max="285" width="11.28515625" style="10" bestFit="1" customWidth="1"/>
    <col min="286" max="513" width="11.42578125" style="10"/>
    <col min="514" max="514" width="7" style="10" customWidth="1"/>
    <col min="515" max="515" width="10.7109375" style="10" customWidth="1"/>
    <col min="516" max="516" width="9.28515625" style="10" customWidth="1"/>
    <col min="517" max="540" width="7.28515625" style="10" customWidth="1"/>
    <col min="541" max="541" width="11.28515625" style="10" bestFit="1" customWidth="1"/>
    <col min="542" max="769" width="11.42578125" style="10"/>
    <col min="770" max="770" width="7" style="10" customWidth="1"/>
    <col min="771" max="771" width="10.7109375" style="10" customWidth="1"/>
    <col min="772" max="772" width="9.28515625" style="10" customWidth="1"/>
    <col min="773" max="796" width="7.28515625" style="10" customWidth="1"/>
    <col min="797" max="797" width="11.28515625" style="10" bestFit="1" customWidth="1"/>
    <col min="798" max="1025" width="11.42578125" style="10"/>
    <col min="1026" max="1026" width="7" style="10" customWidth="1"/>
    <col min="1027" max="1027" width="10.7109375" style="10" customWidth="1"/>
    <col min="1028" max="1028" width="9.28515625" style="10" customWidth="1"/>
    <col min="1029" max="1052" width="7.28515625" style="10" customWidth="1"/>
    <col min="1053" max="1053" width="11.28515625" style="10" bestFit="1" customWidth="1"/>
    <col min="1054" max="1281" width="11.42578125" style="10"/>
    <col min="1282" max="1282" width="7" style="10" customWidth="1"/>
    <col min="1283" max="1283" width="10.7109375" style="10" customWidth="1"/>
    <col min="1284" max="1284" width="9.28515625" style="10" customWidth="1"/>
    <col min="1285" max="1308" width="7.28515625" style="10" customWidth="1"/>
    <col min="1309" max="1309" width="11.28515625" style="10" bestFit="1" customWidth="1"/>
    <col min="1310" max="1537" width="11.42578125" style="10"/>
    <col min="1538" max="1538" width="7" style="10" customWidth="1"/>
    <col min="1539" max="1539" width="10.7109375" style="10" customWidth="1"/>
    <col min="1540" max="1540" width="9.28515625" style="10" customWidth="1"/>
    <col min="1541" max="1564" width="7.28515625" style="10" customWidth="1"/>
    <col min="1565" max="1565" width="11.28515625" style="10" bestFit="1" customWidth="1"/>
    <col min="1566" max="1793" width="11.42578125" style="10"/>
    <col min="1794" max="1794" width="7" style="10" customWidth="1"/>
    <col min="1795" max="1795" width="10.7109375" style="10" customWidth="1"/>
    <col min="1796" max="1796" width="9.28515625" style="10" customWidth="1"/>
    <col min="1797" max="1820" width="7.28515625" style="10" customWidth="1"/>
    <col min="1821" max="1821" width="11.28515625" style="10" bestFit="1" customWidth="1"/>
    <col min="1822" max="2049" width="11.42578125" style="10"/>
    <col min="2050" max="2050" width="7" style="10" customWidth="1"/>
    <col min="2051" max="2051" width="10.7109375" style="10" customWidth="1"/>
    <col min="2052" max="2052" width="9.28515625" style="10" customWidth="1"/>
    <col min="2053" max="2076" width="7.28515625" style="10" customWidth="1"/>
    <col min="2077" max="2077" width="11.28515625" style="10" bestFit="1" customWidth="1"/>
    <col min="2078" max="2305" width="11.42578125" style="10"/>
    <col min="2306" max="2306" width="7" style="10" customWidth="1"/>
    <col min="2307" max="2307" width="10.7109375" style="10" customWidth="1"/>
    <col min="2308" max="2308" width="9.28515625" style="10" customWidth="1"/>
    <col min="2309" max="2332" width="7.28515625" style="10" customWidth="1"/>
    <col min="2333" max="2333" width="11.28515625" style="10" bestFit="1" customWidth="1"/>
    <col min="2334" max="2561" width="11.42578125" style="10"/>
    <col min="2562" max="2562" width="7" style="10" customWidth="1"/>
    <col min="2563" max="2563" width="10.7109375" style="10" customWidth="1"/>
    <col min="2564" max="2564" width="9.28515625" style="10" customWidth="1"/>
    <col min="2565" max="2588" width="7.28515625" style="10" customWidth="1"/>
    <col min="2589" max="2589" width="11.28515625" style="10" bestFit="1" customWidth="1"/>
    <col min="2590" max="2817" width="11.42578125" style="10"/>
    <col min="2818" max="2818" width="7" style="10" customWidth="1"/>
    <col min="2819" max="2819" width="10.7109375" style="10" customWidth="1"/>
    <col min="2820" max="2820" width="9.28515625" style="10" customWidth="1"/>
    <col min="2821" max="2844" width="7.28515625" style="10" customWidth="1"/>
    <col min="2845" max="2845" width="11.28515625" style="10" bestFit="1" customWidth="1"/>
    <col min="2846" max="3073" width="11.42578125" style="10"/>
    <col min="3074" max="3074" width="7" style="10" customWidth="1"/>
    <col min="3075" max="3075" width="10.7109375" style="10" customWidth="1"/>
    <col min="3076" max="3076" width="9.28515625" style="10" customWidth="1"/>
    <col min="3077" max="3100" width="7.28515625" style="10" customWidth="1"/>
    <col min="3101" max="3101" width="11.28515625" style="10" bestFit="1" customWidth="1"/>
    <col min="3102" max="3329" width="11.42578125" style="10"/>
    <col min="3330" max="3330" width="7" style="10" customWidth="1"/>
    <col min="3331" max="3331" width="10.7109375" style="10" customWidth="1"/>
    <col min="3332" max="3332" width="9.28515625" style="10" customWidth="1"/>
    <col min="3333" max="3356" width="7.28515625" style="10" customWidth="1"/>
    <col min="3357" max="3357" width="11.28515625" style="10" bestFit="1" customWidth="1"/>
    <col min="3358" max="3585" width="11.42578125" style="10"/>
    <col min="3586" max="3586" width="7" style="10" customWidth="1"/>
    <col min="3587" max="3587" width="10.7109375" style="10" customWidth="1"/>
    <col min="3588" max="3588" width="9.28515625" style="10" customWidth="1"/>
    <col min="3589" max="3612" width="7.28515625" style="10" customWidth="1"/>
    <col min="3613" max="3613" width="11.28515625" style="10" bestFit="1" customWidth="1"/>
    <col min="3614" max="3841" width="11.42578125" style="10"/>
    <col min="3842" max="3842" width="7" style="10" customWidth="1"/>
    <col min="3843" max="3843" width="10.7109375" style="10" customWidth="1"/>
    <col min="3844" max="3844" width="9.28515625" style="10" customWidth="1"/>
    <col min="3845" max="3868" width="7.28515625" style="10" customWidth="1"/>
    <col min="3869" max="3869" width="11.28515625" style="10" bestFit="1" customWidth="1"/>
    <col min="3870" max="4097" width="11.42578125" style="10"/>
    <col min="4098" max="4098" width="7" style="10" customWidth="1"/>
    <col min="4099" max="4099" width="10.7109375" style="10" customWidth="1"/>
    <col min="4100" max="4100" width="9.28515625" style="10" customWidth="1"/>
    <col min="4101" max="4124" width="7.28515625" style="10" customWidth="1"/>
    <col min="4125" max="4125" width="11.28515625" style="10" bestFit="1" customWidth="1"/>
    <col min="4126" max="4353" width="11.42578125" style="10"/>
    <col min="4354" max="4354" width="7" style="10" customWidth="1"/>
    <col min="4355" max="4355" width="10.7109375" style="10" customWidth="1"/>
    <col min="4356" max="4356" width="9.28515625" style="10" customWidth="1"/>
    <col min="4357" max="4380" width="7.28515625" style="10" customWidth="1"/>
    <col min="4381" max="4381" width="11.28515625" style="10" bestFit="1" customWidth="1"/>
    <col min="4382" max="4609" width="11.42578125" style="10"/>
    <col min="4610" max="4610" width="7" style="10" customWidth="1"/>
    <col min="4611" max="4611" width="10.7109375" style="10" customWidth="1"/>
    <col min="4612" max="4612" width="9.28515625" style="10" customWidth="1"/>
    <col min="4613" max="4636" width="7.28515625" style="10" customWidth="1"/>
    <col min="4637" max="4637" width="11.28515625" style="10" bestFit="1" customWidth="1"/>
    <col min="4638" max="4865" width="11.42578125" style="10"/>
    <col min="4866" max="4866" width="7" style="10" customWidth="1"/>
    <col min="4867" max="4867" width="10.7109375" style="10" customWidth="1"/>
    <col min="4868" max="4868" width="9.28515625" style="10" customWidth="1"/>
    <col min="4869" max="4892" width="7.28515625" style="10" customWidth="1"/>
    <col min="4893" max="4893" width="11.28515625" style="10" bestFit="1" customWidth="1"/>
    <col min="4894" max="5121" width="11.42578125" style="10"/>
    <col min="5122" max="5122" width="7" style="10" customWidth="1"/>
    <col min="5123" max="5123" width="10.7109375" style="10" customWidth="1"/>
    <col min="5124" max="5124" width="9.28515625" style="10" customWidth="1"/>
    <col min="5125" max="5148" width="7.28515625" style="10" customWidth="1"/>
    <col min="5149" max="5149" width="11.28515625" style="10" bestFit="1" customWidth="1"/>
    <col min="5150" max="5377" width="11.42578125" style="10"/>
    <col min="5378" max="5378" width="7" style="10" customWidth="1"/>
    <col min="5379" max="5379" width="10.7109375" style="10" customWidth="1"/>
    <col min="5380" max="5380" width="9.28515625" style="10" customWidth="1"/>
    <col min="5381" max="5404" width="7.28515625" style="10" customWidth="1"/>
    <col min="5405" max="5405" width="11.28515625" style="10" bestFit="1" customWidth="1"/>
    <col min="5406" max="5633" width="11.42578125" style="10"/>
    <col min="5634" max="5634" width="7" style="10" customWidth="1"/>
    <col min="5635" max="5635" width="10.7109375" style="10" customWidth="1"/>
    <col min="5636" max="5636" width="9.28515625" style="10" customWidth="1"/>
    <col min="5637" max="5660" width="7.28515625" style="10" customWidth="1"/>
    <col min="5661" max="5661" width="11.28515625" style="10" bestFit="1" customWidth="1"/>
    <col min="5662" max="5889" width="11.42578125" style="10"/>
    <col min="5890" max="5890" width="7" style="10" customWidth="1"/>
    <col min="5891" max="5891" width="10.7109375" style="10" customWidth="1"/>
    <col min="5892" max="5892" width="9.28515625" style="10" customWidth="1"/>
    <col min="5893" max="5916" width="7.28515625" style="10" customWidth="1"/>
    <col min="5917" max="5917" width="11.28515625" style="10" bestFit="1" customWidth="1"/>
    <col min="5918" max="6145" width="11.42578125" style="10"/>
    <col min="6146" max="6146" width="7" style="10" customWidth="1"/>
    <col min="6147" max="6147" width="10.7109375" style="10" customWidth="1"/>
    <col min="6148" max="6148" width="9.28515625" style="10" customWidth="1"/>
    <col min="6149" max="6172" width="7.28515625" style="10" customWidth="1"/>
    <col min="6173" max="6173" width="11.28515625" style="10" bestFit="1" customWidth="1"/>
    <col min="6174" max="6401" width="11.42578125" style="10"/>
    <col min="6402" max="6402" width="7" style="10" customWidth="1"/>
    <col min="6403" max="6403" width="10.7109375" style="10" customWidth="1"/>
    <col min="6404" max="6404" width="9.28515625" style="10" customWidth="1"/>
    <col min="6405" max="6428" width="7.28515625" style="10" customWidth="1"/>
    <col min="6429" max="6429" width="11.28515625" style="10" bestFit="1" customWidth="1"/>
    <col min="6430" max="6657" width="11.42578125" style="10"/>
    <col min="6658" max="6658" width="7" style="10" customWidth="1"/>
    <col min="6659" max="6659" width="10.7109375" style="10" customWidth="1"/>
    <col min="6660" max="6660" width="9.28515625" style="10" customWidth="1"/>
    <col min="6661" max="6684" width="7.28515625" style="10" customWidth="1"/>
    <col min="6685" max="6685" width="11.28515625" style="10" bestFit="1" customWidth="1"/>
    <col min="6686" max="6913" width="11.42578125" style="10"/>
    <col min="6914" max="6914" width="7" style="10" customWidth="1"/>
    <col min="6915" max="6915" width="10.7109375" style="10" customWidth="1"/>
    <col min="6916" max="6916" width="9.28515625" style="10" customWidth="1"/>
    <col min="6917" max="6940" width="7.28515625" style="10" customWidth="1"/>
    <col min="6941" max="6941" width="11.28515625" style="10" bestFit="1" customWidth="1"/>
    <col min="6942" max="7169" width="11.42578125" style="10"/>
    <col min="7170" max="7170" width="7" style="10" customWidth="1"/>
    <col min="7171" max="7171" width="10.7109375" style="10" customWidth="1"/>
    <col min="7172" max="7172" width="9.28515625" style="10" customWidth="1"/>
    <col min="7173" max="7196" width="7.28515625" style="10" customWidth="1"/>
    <col min="7197" max="7197" width="11.28515625" style="10" bestFit="1" customWidth="1"/>
    <col min="7198" max="7425" width="11.42578125" style="10"/>
    <col min="7426" max="7426" width="7" style="10" customWidth="1"/>
    <col min="7427" max="7427" width="10.7109375" style="10" customWidth="1"/>
    <col min="7428" max="7428" width="9.28515625" style="10" customWidth="1"/>
    <col min="7429" max="7452" width="7.28515625" style="10" customWidth="1"/>
    <col min="7453" max="7453" width="11.28515625" style="10" bestFit="1" customWidth="1"/>
    <col min="7454" max="7681" width="11.42578125" style="10"/>
    <col min="7682" max="7682" width="7" style="10" customWidth="1"/>
    <col min="7683" max="7683" width="10.7109375" style="10" customWidth="1"/>
    <col min="7684" max="7684" width="9.28515625" style="10" customWidth="1"/>
    <col min="7685" max="7708" width="7.28515625" style="10" customWidth="1"/>
    <col min="7709" max="7709" width="11.28515625" style="10" bestFit="1" customWidth="1"/>
    <col min="7710" max="7937" width="11.42578125" style="10"/>
    <col min="7938" max="7938" width="7" style="10" customWidth="1"/>
    <col min="7939" max="7939" width="10.7109375" style="10" customWidth="1"/>
    <col min="7940" max="7940" width="9.28515625" style="10" customWidth="1"/>
    <col min="7941" max="7964" width="7.28515625" style="10" customWidth="1"/>
    <col min="7965" max="7965" width="11.28515625" style="10" bestFit="1" customWidth="1"/>
    <col min="7966" max="8193" width="11.42578125" style="10"/>
    <col min="8194" max="8194" width="7" style="10" customWidth="1"/>
    <col min="8195" max="8195" width="10.7109375" style="10" customWidth="1"/>
    <col min="8196" max="8196" width="9.28515625" style="10" customWidth="1"/>
    <col min="8197" max="8220" width="7.28515625" style="10" customWidth="1"/>
    <col min="8221" max="8221" width="11.28515625" style="10" bestFit="1" customWidth="1"/>
    <col min="8222" max="8449" width="11.42578125" style="10"/>
    <col min="8450" max="8450" width="7" style="10" customWidth="1"/>
    <col min="8451" max="8451" width="10.7109375" style="10" customWidth="1"/>
    <col min="8452" max="8452" width="9.28515625" style="10" customWidth="1"/>
    <col min="8453" max="8476" width="7.28515625" style="10" customWidth="1"/>
    <col min="8477" max="8477" width="11.28515625" style="10" bestFit="1" customWidth="1"/>
    <col min="8478" max="8705" width="11.42578125" style="10"/>
    <col min="8706" max="8706" width="7" style="10" customWidth="1"/>
    <col min="8707" max="8707" width="10.7109375" style="10" customWidth="1"/>
    <col min="8708" max="8708" width="9.28515625" style="10" customWidth="1"/>
    <col min="8709" max="8732" width="7.28515625" style="10" customWidth="1"/>
    <col min="8733" max="8733" width="11.28515625" style="10" bestFit="1" customWidth="1"/>
    <col min="8734" max="8961" width="11.42578125" style="10"/>
    <col min="8962" max="8962" width="7" style="10" customWidth="1"/>
    <col min="8963" max="8963" width="10.7109375" style="10" customWidth="1"/>
    <col min="8964" max="8964" width="9.28515625" style="10" customWidth="1"/>
    <col min="8965" max="8988" width="7.28515625" style="10" customWidth="1"/>
    <col min="8989" max="8989" width="11.28515625" style="10" bestFit="1" customWidth="1"/>
    <col min="8990" max="9217" width="11.42578125" style="10"/>
    <col min="9218" max="9218" width="7" style="10" customWidth="1"/>
    <col min="9219" max="9219" width="10.7109375" style="10" customWidth="1"/>
    <col min="9220" max="9220" width="9.28515625" style="10" customWidth="1"/>
    <col min="9221" max="9244" width="7.28515625" style="10" customWidth="1"/>
    <col min="9245" max="9245" width="11.28515625" style="10" bestFit="1" customWidth="1"/>
    <col min="9246" max="9473" width="11.42578125" style="10"/>
    <col min="9474" max="9474" width="7" style="10" customWidth="1"/>
    <col min="9475" max="9475" width="10.7109375" style="10" customWidth="1"/>
    <col min="9476" max="9476" width="9.28515625" style="10" customWidth="1"/>
    <col min="9477" max="9500" width="7.28515625" style="10" customWidth="1"/>
    <col min="9501" max="9501" width="11.28515625" style="10" bestFit="1" customWidth="1"/>
    <col min="9502" max="9729" width="11.42578125" style="10"/>
    <col min="9730" max="9730" width="7" style="10" customWidth="1"/>
    <col min="9731" max="9731" width="10.7109375" style="10" customWidth="1"/>
    <col min="9732" max="9732" width="9.28515625" style="10" customWidth="1"/>
    <col min="9733" max="9756" width="7.28515625" style="10" customWidth="1"/>
    <col min="9757" max="9757" width="11.28515625" style="10" bestFit="1" customWidth="1"/>
    <col min="9758" max="9985" width="11.42578125" style="10"/>
    <col min="9986" max="9986" width="7" style="10" customWidth="1"/>
    <col min="9987" max="9987" width="10.7109375" style="10" customWidth="1"/>
    <col min="9988" max="9988" width="9.28515625" style="10" customWidth="1"/>
    <col min="9989" max="10012" width="7.28515625" style="10" customWidth="1"/>
    <col min="10013" max="10013" width="11.28515625" style="10" bestFit="1" customWidth="1"/>
    <col min="10014" max="10241" width="11.42578125" style="10"/>
    <col min="10242" max="10242" width="7" style="10" customWidth="1"/>
    <col min="10243" max="10243" width="10.7109375" style="10" customWidth="1"/>
    <col min="10244" max="10244" width="9.28515625" style="10" customWidth="1"/>
    <col min="10245" max="10268" width="7.28515625" style="10" customWidth="1"/>
    <col min="10269" max="10269" width="11.28515625" style="10" bestFit="1" customWidth="1"/>
    <col min="10270" max="10497" width="11.42578125" style="10"/>
    <col min="10498" max="10498" width="7" style="10" customWidth="1"/>
    <col min="10499" max="10499" width="10.7109375" style="10" customWidth="1"/>
    <col min="10500" max="10500" width="9.28515625" style="10" customWidth="1"/>
    <col min="10501" max="10524" width="7.28515625" style="10" customWidth="1"/>
    <col min="10525" max="10525" width="11.28515625" style="10" bestFit="1" customWidth="1"/>
    <col min="10526" max="10753" width="11.42578125" style="10"/>
    <col min="10754" max="10754" width="7" style="10" customWidth="1"/>
    <col min="10755" max="10755" width="10.7109375" style="10" customWidth="1"/>
    <col min="10756" max="10756" width="9.28515625" style="10" customWidth="1"/>
    <col min="10757" max="10780" width="7.28515625" style="10" customWidth="1"/>
    <col min="10781" max="10781" width="11.28515625" style="10" bestFit="1" customWidth="1"/>
    <col min="10782" max="11009" width="11.42578125" style="10"/>
    <col min="11010" max="11010" width="7" style="10" customWidth="1"/>
    <col min="11011" max="11011" width="10.7109375" style="10" customWidth="1"/>
    <col min="11012" max="11012" width="9.28515625" style="10" customWidth="1"/>
    <col min="11013" max="11036" width="7.28515625" style="10" customWidth="1"/>
    <col min="11037" max="11037" width="11.28515625" style="10" bestFit="1" customWidth="1"/>
    <col min="11038" max="11265" width="11.42578125" style="10"/>
    <col min="11266" max="11266" width="7" style="10" customWidth="1"/>
    <col min="11267" max="11267" width="10.7109375" style="10" customWidth="1"/>
    <col min="11268" max="11268" width="9.28515625" style="10" customWidth="1"/>
    <col min="11269" max="11292" width="7.28515625" style="10" customWidth="1"/>
    <col min="11293" max="11293" width="11.28515625" style="10" bestFit="1" customWidth="1"/>
    <col min="11294" max="11521" width="11.42578125" style="10"/>
    <col min="11522" max="11522" width="7" style="10" customWidth="1"/>
    <col min="11523" max="11523" width="10.7109375" style="10" customWidth="1"/>
    <col min="11524" max="11524" width="9.28515625" style="10" customWidth="1"/>
    <col min="11525" max="11548" width="7.28515625" style="10" customWidth="1"/>
    <col min="11549" max="11549" width="11.28515625" style="10" bestFit="1" customWidth="1"/>
    <col min="11550" max="11777" width="11.42578125" style="10"/>
    <col min="11778" max="11778" width="7" style="10" customWidth="1"/>
    <col min="11779" max="11779" width="10.7109375" style="10" customWidth="1"/>
    <col min="11780" max="11780" width="9.28515625" style="10" customWidth="1"/>
    <col min="11781" max="11804" width="7.28515625" style="10" customWidth="1"/>
    <col min="11805" max="11805" width="11.28515625" style="10" bestFit="1" customWidth="1"/>
    <col min="11806" max="12033" width="11.42578125" style="10"/>
    <col min="12034" max="12034" width="7" style="10" customWidth="1"/>
    <col min="12035" max="12035" width="10.7109375" style="10" customWidth="1"/>
    <col min="12036" max="12036" width="9.28515625" style="10" customWidth="1"/>
    <col min="12037" max="12060" width="7.28515625" style="10" customWidth="1"/>
    <col min="12061" max="12061" width="11.28515625" style="10" bestFit="1" customWidth="1"/>
    <col min="12062" max="12289" width="11.42578125" style="10"/>
    <col min="12290" max="12290" width="7" style="10" customWidth="1"/>
    <col min="12291" max="12291" width="10.7109375" style="10" customWidth="1"/>
    <col min="12292" max="12292" width="9.28515625" style="10" customWidth="1"/>
    <col min="12293" max="12316" width="7.28515625" style="10" customWidth="1"/>
    <col min="12317" max="12317" width="11.28515625" style="10" bestFit="1" customWidth="1"/>
    <col min="12318" max="12545" width="11.42578125" style="10"/>
    <col min="12546" max="12546" width="7" style="10" customWidth="1"/>
    <col min="12547" max="12547" width="10.7109375" style="10" customWidth="1"/>
    <col min="12548" max="12548" width="9.28515625" style="10" customWidth="1"/>
    <col min="12549" max="12572" width="7.28515625" style="10" customWidth="1"/>
    <col min="12573" max="12573" width="11.28515625" style="10" bestFit="1" customWidth="1"/>
    <col min="12574" max="12801" width="11.42578125" style="10"/>
    <col min="12802" max="12802" width="7" style="10" customWidth="1"/>
    <col min="12803" max="12803" width="10.7109375" style="10" customWidth="1"/>
    <col min="12804" max="12804" width="9.28515625" style="10" customWidth="1"/>
    <col min="12805" max="12828" width="7.28515625" style="10" customWidth="1"/>
    <col min="12829" max="12829" width="11.28515625" style="10" bestFit="1" customWidth="1"/>
    <col min="12830" max="13057" width="11.42578125" style="10"/>
    <col min="13058" max="13058" width="7" style="10" customWidth="1"/>
    <col min="13059" max="13059" width="10.7109375" style="10" customWidth="1"/>
    <col min="13060" max="13060" width="9.28515625" style="10" customWidth="1"/>
    <col min="13061" max="13084" width="7.28515625" style="10" customWidth="1"/>
    <col min="13085" max="13085" width="11.28515625" style="10" bestFit="1" customWidth="1"/>
    <col min="13086" max="13313" width="11.42578125" style="10"/>
    <col min="13314" max="13314" width="7" style="10" customWidth="1"/>
    <col min="13315" max="13315" width="10.7109375" style="10" customWidth="1"/>
    <col min="13316" max="13316" width="9.28515625" style="10" customWidth="1"/>
    <col min="13317" max="13340" width="7.28515625" style="10" customWidth="1"/>
    <col min="13341" max="13341" width="11.28515625" style="10" bestFit="1" customWidth="1"/>
    <col min="13342" max="13569" width="11.42578125" style="10"/>
    <col min="13570" max="13570" width="7" style="10" customWidth="1"/>
    <col min="13571" max="13571" width="10.7109375" style="10" customWidth="1"/>
    <col min="13572" max="13572" width="9.28515625" style="10" customWidth="1"/>
    <col min="13573" max="13596" width="7.28515625" style="10" customWidth="1"/>
    <col min="13597" max="13597" width="11.28515625" style="10" bestFit="1" customWidth="1"/>
    <col min="13598" max="13825" width="11.42578125" style="10"/>
    <col min="13826" max="13826" width="7" style="10" customWidth="1"/>
    <col min="13827" max="13827" width="10.7109375" style="10" customWidth="1"/>
    <col min="13828" max="13828" width="9.28515625" style="10" customWidth="1"/>
    <col min="13829" max="13852" width="7.28515625" style="10" customWidth="1"/>
    <col min="13853" max="13853" width="11.28515625" style="10" bestFit="1" customWidth="1"/>
    <col min="13854" max="14081" width="11.42578125" style="10"/>
    <col min="14082" max="14082" width="7" style="10" customWidth="1"/>
    <col min="14083" max="14083" width="10.7109375" style="10" customWidth="1"/>
    <col min="14084" max="14084" width="9.28515625" style="10" customWidth="1"/>
    <col min="14085" max="14108" width="7.28515625" style="10" customWidth="1"/>
    <col min="14109" max="14109" width="11.28515625" style="10" bestFit="1" customWidth="1"/>
    <col min="14110" max="14337" width="11.42578125" style="10"/>
    <col min="14338" max="14338" width="7" style="10" customWidth="1"/>
    <col min="14339" max="14339" width="10.7109375" style="10" customWidth="1"/>
    <col min="14340" max="14340" width="9.28515625" style="10" customWidth="1"/>
    <col min="14341" max="14364" width="7.28515625" style="10" customWidth="1"/>
    <col min="14365" max="14365" width="11.28515625" style="10" bestFit="1" customWidth="1"/>
    <col min="14366" max="14593" width="11.42578125" style="10"/>
    <col min="14594" max="14594" width="7" style="10" customWidth="1"/>
    <col min="14595" max="14595" width="10.7109375" style="10" customWidth="1"/>
    <col min="14596" max="14596" width="9.28515625" style="10" customWidth="1"/>
    <col min="14597" max="14620" width="7.28515625" style="10" customWidth="1"/>
    <col min="14621" max="14621" width="11.28515625" style="10" bestFit="1" customWidth="1"/>
    <col min="14622" max="14849" width="11.42578125" style="10"/>
    <col min="14850" max="14850" width="7" style="10" customWidth="1"/>
    <col min="14851" max="14851" width="10.7109375" style="10" customWidth="1"/>
    <col min="14852" max="14852" width="9.28515625" style="10" customWidth="1"/>
    <col min="14853" max="14876" width="7.28515625" style="10" customWidth="1"/>
    <col min="14877" max="14877" width="11.28515625" style="10" bestFit="1" customWidth="1"/>
    <col min="14878" max="15105" width="11.42578125" style="10"/>
    <col min="15106" max="15106" width="7" style="10" customWidth="1"/>
    <col min="15107" max="15107" width="10.7109375" style="10" customWidth="1"/>
    <col min="15108" max="15108" width="9.28515625" style="10" customWidth="1"/>
    <col min="15109" max="15132" width="7.28515625" style="10" customWidth="1"/>
    <col min="15133" max="15133" width="11.28515625" style="10" bestFit="1" customWidth="1"/>
    <col min="15134" max="15361" width="11.42578125" style="10"/>
    <col min="15362" max="15362" width="7" style="10" customWidth="1"/>
    <col min="15363" max="15363" width="10.7109375" style="10" customWidth="1"/>
    <col min="15364" max="15364" width="9.28515625" style="10" customWidth="1"/>
    <col min="15365" max="15388" width="7.28515625" style="10" customWidth="1"/>
    <col min="15389" max="15389" width="11.28515625" style="10" bestFit="1" customWidth="1"/>
    <col min="15390" max="15617" width="11.42578125" style="10"/>
    <col min="15618" max="15618" width="7" style="10" customWidth="1"/>
    <col min="15619" max="15619" width="10.7109375" style="10" customWidth="1"/>
    <col min="15620" max="15620" width="9.28515625" style="10" customWidth="1"/>
    <col min="15621" max="15644" width="7.28515625" style="10" customWidth="1"/>
    <col min="15645" max="15645" width="11.28515625" style="10" bestFit="1" customWidth="1"/>
    <col min="15646" max="15873" width="11.42578125" style="10"/>
    <col min="15874" max="15874" width="7" style="10" customWidth="1"/>
    <col min="15875" max="15875" width="10.7109375" style="10" customWidth="1"/>
    <col min="15876" max="15876" width="9.28515625" style="10" customWidth="1"/>
    <col min="15877" max="15900" width="7.28515625" style="10" customWidth="1"/>
    <col min="15901" max="15901" width="11.28515625" style="10" bestFit="1" customWidth="1"/>
    <col min="15902" max="16129" width="11.42578125" style="10"/>
    <col min="16130" max="16130" width="7" style="10" customWidth="1"/>
    <col min="16131" max="16131" width="10.7109375" style="10" customWidth="1"/>
    <col min="16132" max="16132" width="9.28515625" style="10" customWidth="1"/>
    <col min="16133" max="16156" width="7.28515625" style="10" customWidth="1"/>
    <col min="16157" max="16157" width="11.28515625" style="10" bestFit="1" customWidth="1"/>
    <col min="16158" max="16384" width="11.42578125" style="10"/>
  </cols>
  <sheetData>
    <row r="1" spans="2:31" ht="18.600000000000001" customHeight="1" x14ac:dyDescent="0.2"/>
    <row r="2" spans="2:31" ht="18.600000000000001" customHeight="1" x14ac:dyDescent="0.2">
      <c r="B2" s="59" t="s">
        <v>45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</row>
    <row r="3" spans="2:31" ht="18.600000000000001" customHeight="1" x14ac:dyDescent="0.2">
      <c r="B3" s="59" t="s">
        <v>44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spans="2:31" ht="18.600000000000001" customHeight="1" x14ac:dyDescent="0.2">
      <c r="B4" s="59">
        <v>2028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</row>
    <row r="5" spans="2:31" ht="18.600000000000001" customHeight="1" x14ac:dyDescent="0.2"/>
    <row r="6" spans="2:31" ht="31.5" x14ac:dyDescent="0.2">
      <c r="B6" s="2" t="s">
        <v>0</v>
      </c>
      <c r="C6" s="3" t="s">
        <v>1</v>
      </c>
      <c r="D6" s="2" t="s">
        <v>2</v>
      </c>
      <c r="E6" s="44" t="s">
        <v>3</v>
      </c>
      <c r="F6" s="44" t="s">
        <v>4</v>
      </c>
      <c r="G6" s="44" t="s">
        <v>5</v>
      </c>
      <c r="H6" s="44" t="s">
        <v>6</v>
      </c>
      <c r="I6" s="44" t="s">
        <v>7</v>
      </c>
      <c r="J6" s="44" t="s">
        <v>8</v>
      </c>
      <c r="K6" s="44" t="s">
        <v>9</v>
      </c>
      <c r="L6" s="44" t="s">
        <v>10</v>
      </c>
      <c r="M6" s="44" t="s">
        <v>11</v>
      </c>
      <c r="N6" s="44" t="s">
        <v>12</v>
      </c>
      <c r="O6" s="44" t="s">
        <v>13</v>
      </c>
      <c r="P6" s="44" t="s">
        <v>14</v>
      </c>
      <c r="Q6" s="44" t="s">
        <v>15</v>
      </c>
      <c r="R6" s="44" t="s">
        <v>16</v>
      </c>
      <c r="S6" s="44" t="s">
        <v>17</v>
      </c>
      <c r="T6" s="44" t="s">
        <v>18</v>
      </c>
      <c r="U6" s="44" t="s">
        <v>19</v>
      </c>
      <c r="V6" s="44" t="s">
        <v>20</v>
      </c>
      <c r="W6" s="44" t="s">
        <v>21</v>
      </c>
      <c r="X6" s="44" t="s">
        <v>22</v>
      </c>
      <c r="Y6" s="44" t="s">
        <v>23</v>
      </c>
      <c r="Z6" s="44" t="s">
        <v>24</v>
      </c>
      <c r="AA6" s="44" t="s">
        <v>25</v>
      </c>
      <c r="AB6" s="44" t="s">
        <v>26</v>
      </c>
      <c r="AC6" s="44" t="s">
        <v>27</v>
      </c>
    </row>
    <row r="7" spans="2:31" ht="18.600000000000001" customHeight="1" x14ac:dyDescent="0.2">
      <c r="B7" s="49" t="s">
        <v>28</v>
      </c>
      <c r="C7" s="4" t="s">
        <v>29</v>
      </c>
      <c r="D7" s="5">
        <v>20</v>
      </c>
      <c r="E7" s="9">
        <v>4795.18</v>
      </c>
      <c r="F7" s="9">
        <v>4422.26</v>
      </c>
      <c r="G7" s="9">
        <v>4182.2299999999996</v>
      </c>
      <c r="H7" s="9">
        <v>4208.0200000000004</v>
      </c>
      <c r="I7" s="9">
        <v>4732.92</v>
      </c>
      <c r="J7" s="9">
        <v>6399.93</v>
      </c>
      <c r="K7" s="9">
        <v>7172.62</v>
      </c>
      <c r="L7" s="9">
        <v>11449.46</v>
      </c>
      <c r="M7" s="9">
        <v>9497.35</v>
      </c>
      <c r="N7" s="9">
        <v>8741.52</v>
      </c>
      <c r="O7" s="9">
        <v>9007.82</v>
      </c>
      <c r="P7" s="9">
        <v>9582.7900000000009</v>
      </c>
      <c r="Q7" s="9">
        <v>9113.16</v>
      </c>
      <c r="R7" s="9">
        <v>9288.2000000000007</v>
      </c>
      <c r="S7" s="9">
        <v>9942.2000000000007</v>
      </c>
      <c r="T7" s="9">
        <v>10745.36</v>
      </c>
      <c r="U7" s="9">
        <v>13346.71</v>
      </c>
      <c r="V7" s="9">
        <v>8237.1200000000008</v>
      </c>
      <c r="W7" s="9">
        <v>9417.92</v>
      </c>
      <c r="X7" s="9">
        <v>9518.5499999999993</v>
      </c>
      <c r="Y7" s="9">
        <v>8961.73</v>
      </c>
      <c r="Z7" s="9">
        <v>7735.16</v>
      </c>
      <c r="AA7" s="9">
        <v>5927.34</v>
      </c>
      <c r="AB7" s="9">
        <v>4813.55</v>
      </c>
      <c r="AC7" s="55">
        <f>+SUM(E7:AB7)*D7+SUM(E8:AB8)*D8+SUM(E9:AB9)*D9+SUM(E10:AB10)*D10</f>
        <v>5640298.0099999998</v>
      </c>
      <c r="AE7" s="8">
        <f>+AC7</f>
        <v>5640298.0099999998</v>
      </c>
    </row>
    <row r="8" spans="2:31" ht="18.600000000000001" customHeight="1" x14ac:dyDescent="0.2">
      <c r="B8" s="49" t="s">
        <v>28</v>
      </c>
      <c r="C8" s="4" t="s">
        <v>30</v>
      </c>
      <c r="D8" s="5">
        <v>4</v>
      </c>
      <c r="E8" s="9">
        <v>5341.02</v>
      </c>
      <c r="F8" s="9">
        <v>4673.09</v>
      </c>
      <c r="G8" s="9">
        <v>4596.3100000000004</v>
      </c>
      <c r="H8" s="9">
        <v>4607.49</v>
      </c>
      <c r="I8" s="9">
        <v>4669.12</v>
      </c>
      <c r="J8" s="9">
        <v>5259.9</v>
      </c>
      <c r="K8" s="9">
        <v>5853.06</v>
      </c>
      <c r="L8" s="9">
        <v>10786.6</v>
      </c>
      <c r="M8" s="9">
        <v>9390.93</v>
      </c>
      <c r="N8" s="9">
        <v>9153.2800000000007</v>
      </c>
      <c r="O8" s="9">
        <v>9064.7000000000007</v>
      </c>
      <c r="P8" s="9">
        <v>9304.7999999999993</v>
      </c>
      <c r="Q8" s="9">
        <v>9790.9599999999991</v>
      </c>
      <c r="R8" s="9">
        <v>9710.9500000000007</v>
      </c>
      <c r="S8" s="9">
        <v>10304.26</v>
      </c>
      <c r="T8" s="9">
        <v>9684.2999999999993</v>
      </c>
      <c r="U8" s="9">
        <v>12792.01</v>
      </c>
      <c r="V8" s="9">
        <v>7535.84</v>
      </c>
      <c r="W8" s="9">
        <v>8893.94</v>
      </c>
      <c r="X8" s="9">
        <v>8613.52</v>
      </c>
      <c r="Y8" s="9">
        <v>8121.44</v>
      </c>
      <c r="Z8" s="9">
        <v>7412.84</v>
      </c>
      <c r="AA8" s="9">
        <v>6280.62</v>
      </c>
      <c r="AB8" s="9">
        <v>5418</v>
      </c>
      <c r="AC8" s="56"/>
      <c r="AE8" s="8">
        <f>+AC11</f>
        <v>5481906.4900000012</v>
      </c>
    </row>
    <row r="9" spans="2:31" ht="18.600000000000001" customHeight="1" x14ac:dyDescent="0.2">
      <c r="B9" s="49" t="s">
        <v>28</v>
      </c>
      <c r="C9" s="4" t="s">
        <v>31</v>
      </c>
      <c r="D9" s="5">
        <v>5</v>
      </c>
      <c r="E9" s="9">
        <v>5415.14</v>
      </c>
      <c r="F9" s="9">
        <v>4822.0200000000004</v>
      </c>
      <c r="G9" s="9">
        <v>4229.3</v>
      </c>
      <c r="H9" s="9">
        <v>3974.61</v>
      </c>
      <c r="I9" s="9">
        <v>3763.91</v>
      </c>
      <c r="J9" s="9">
        <v>3912.26</v>
      </c>
      <c r="K9" s="9">
        <v>3706.78</v>
      </c>
      <c r="L9" s="9">
        <v>8036.66</v>
      </c>
      <c r="M9" s="9">
        <v>6751.02</v>
      </c>
      <c r="N9" s="9">
        <v>6433.25</v>
      </c>
      <c r="O9" s="9">
        <v>6527.87</v>
      </c>
      <c r="P9" s="9">
        <v>7351.59</v>
      </c>
      <c r="Q9" s="9">
        <v>7417.07</v>
      </c>
      <c r="R9" s="9">
        <v>7863.24</v>
      </c>
      <c r="S9" s="9">
        <v>7963.08</v>
      </c>
      <c r="T9" s="9">
        <v>8875.0400000000009</v>
      </c>
      <c r="U9" s="9">
        <v>11628.66</v>
      </c>
      <c r="V9" s="9">
        <v>6565.36</v>
      </c>
      <c r="W9" s="9">
        <v>8600.2900000000009</v>
      </c>
      <c r="X9" s="9">
        <v>8506.7000000000007</v>
      </c>
      <c r="Y9" s="9">
        <v>7933.08</v>
      </c>
      <c r="Z9" s="9">
        <v>6518.19</v>
      </c>
      <c r="AA9" s="9">
        <v>5178.4399999999996</v>
      </c>
      <c r="AB9" s="9">
        <v>3970.85</v>
      </c>
      <c r="AC9" s="56"/>
      <c r="AE9" s="8">
        <f>+AC15</f>
        <v>5737244.8000000017</v>
      </c>
    </row>
    <row r="10" spans="2:31" ht="18.600000000000001" customHeight="1" x14ac:dyDescent="0.2">
      <c r="B10" s="49" t="s">
        <v>28</v>
      </c>
      <c r="C10" s="4" t="s">
        <v>32</v>
      </c>
      <c r="D10" s="5">
        <v>2</v>
      </c>
      <c r="E10" s="9">
        <v>5017.75</v>
      </c>
      <c r="F10" s="9">
        <v>4911.88</v>
      </c>
      <c r="G10" s="9">
        <v>4535.5600000000004</v>
      </c>
      <c r="H10" s="9">
        <v>4306.0200000000004</v>
      </c>
      <c r="I10" s="9">
        <v>4019.58</v>
      </c>
      <c r="J10" s="9">
        <v>3738.56</v>
      </c>
      <c r="K10" s="9">
        <v>2852.81</v>
      </c>
      <c r="L10" s="9">
        <v>6719.24</v>
      </c>
      <c r="M10" s="9">
        <v>5094.08</v>
      </c>
      <c r="N10" s="9">
        <v>5085.5200000000004</v>
      </c>
      <c r="O10" s="9">
        <v>5096.1099999999997</v>
      </c>
      <c r="P10" s="9">
        <v>5703.4</v>
      </c>
      <c r="Q10" s="9">
        <v>6528.94</v>
      </c>
      <c r="R10" s="9">
        <v>7585.87</v>
      </c>
      <c r="S10" s="9">
        <v>7311.71</v>
      </c>
      <c r="T10" s="9">
        <v>8435.4500000000007</v>
      </c>
      <c r="U10" s="9">
        <v>11351.04</v>
      </c>
      <c r="V10" s="9">
        <v>7044.55</v>
      </c>
      <c r="W10" s="9">
        <v>7942.62</v>
      </c>
      <c r="X10" s="9">
        <v>7637.06</v>
      </c>
      <c r="Y10" s="9">
        <v>7092.93</v>
      </c>
      <c r="Z10" s="9">
        <v>6010.56</v>
      </c>
      <c r="AA10" s="9">
        <v>5176.24</v>
      </c>
      <c r="AB10" s="9">
        <v>4181.54</v>
      </c>
      <c r="AC10" s="57"/>
      <c r="AE10" s="8">
        <f>+AC19</f>
        <v>5761066.8499999996</v>
      </c>
    </row>
    <row r="11" spans="2:31" ht="18.600000000000001" customHeight="1" x14ac:dyDescent="0.2">
      <c r="B11" s="49" t="s">
        <v>33</v>
      </c>
      <c r="C11" s="4" t="s">
        <v>29</v>
      </c>
      <c r="D11" s="5">
        <v>21</v>
      </c>
      <c r="E11" s="9">
        <v>6287.98</v>
      </c>
      <c r="F11" s="9">
        <v>5906.83</v>
      </c>
      <c r="G11" s="9">
        <v>5773.14</v>
      </c>
      <c r="H11" s="9">
        <v>5719.78</v>
      </c>
      <c r="I11" s="9">
        <v>6183.41</v>
      </c>
      <c r="J11" s="9">
        <v>7836.22</v>
      </c>
      <c r="K11" s="9">
        <v>6903.5</v>
      </c>
      <c r="L11" s="9">
        <v>10726.16</v>
      </c>
      <c r="M11" s="9">
        <v>8715.9</v>
      </c>
      <c r="N11" s="9">
        <v>8114.23</v>
      </c>
      <c r="O11" s="9">
        <v>8120.13</v>
      </c>
      <c r="P11" s="9">
        <v>8653.77</v>
      </c>
      <c r="Q11" s="9">
        <v>8509.5</v>
      </c>
      <c r="R11" s="9">
        <v>8712.17</v>
      </c>
      <c r="S11" s="9">
        <v>9489.2199999999993</v>
      </c>
      <c r="T11" s="9">
        <v>10427.68</v>
      </c>
      <c r="U11" s="9">
        <v>12502.94</v>
      </c>
      <c r="V11" s="9">
        <v>6582.31</v>
      </c>
      <c r="W11" s="9">
        <v>8581.7900000000009</v>
      </c>
      <c r="X11" s="9">
        <v>9203.2199999999993</v>
      </c>
      <c r="Y11" s="9">
        <v>8961.7000000000007</v>
      </c>
      <c r="Z11" s="9">
        <v>8176.5</v>
      </c>
      <c r="AA11" s="9">
        <v>7164.28</v>
      </c>
      <c r="AB11" s="9">
        <v>6200.37</v>
      </c>
      <c r="AC11" s="55">
        <f>+SUM(E11:AB11)*D11+SUM(E12:AB12)*D12+SUM(E13:AB13)*D13+SUM(E14:AB14)*D14</f>
        <v>5481906.4900000012</v>
      </c>
      <c r="AE11" s="8">
        <f>+AC23</f>
        <v>5621176.8800000008</v>
      </c>
    </row>
    <row r="12" spans="2:31" ht="18.600000000000001" customHeight="1" x14ac:dyDescent="0.2">
      <c r="B12" s="49" t="s">
        <v>33</v>
      </c>
      <c r="C12" s="4" t="s">
        <v>30</v>
      </c>
      <c r="D12" s="5">
        <v>4</v>
      </c>
      <c r="E12" s="9">
        <v>6546.1</v>
      </c>
      <c r="F12" s="9">
        <v>6071.22</v>
      </c>
      <c r="G12" s="9">
        <v>5751.07</v>
      </c>
      <c r="H12" s="9">
        <v>5684.92</v>
      </c>
      <c r="I12" s="9">
        <v>5845.48</v>
      </c>
      <c r="J12" s="9">
        <v>6247.98</v>
      </c>
      <c r="K12" s="9">
        <v>5176.7</v>
      </c>
      <c r="L12" s="9">
        <v>9997.43</v>
      </c>
      <c r="M12" s="9">
        <v>8632.3799999999992</v>
      </c>
      <c r="N12" s="9">
        <v>8133.06</v>
      </c>
      <c r="O12" s="9">
        <v>8162.73</v>
      </c>
      <c r="P12" s="9">
        <v>8598.86</v>
      </c>
      <c r="Q12" s="9">
        <v>8778.42</v>
      </c>
      <c r="R12" s="9">
        <v>8577</v>
      </c>
      <c r="S12" s="9">
        <v>8847.8799999999992</v>
      </c>
      <c r="T12" s="9">
        <v>9606.57</v>
      </c>
      <c r="U12" s="9">
        <v>11742.16</v>
      </c>
      <c r="V12" s="9">
        <v>6240.9</v>
      </c>
      <c r="W12" s="9">
        <v>8326.82</v>
      </c>
      <c r="X12" s="9">
        <v>8936.3700000000008</v>
      </c>
      <c r="Y12" s="9">
        <v>8584.49</v>
      </c>
      <c r="Z12" s="9">
        <v>7948.11</v>
      </c>
      <c r="AA12" s="9">
        <v>7167.26</v>
      </c>
      <c r="AB12" s="9">
        <v>6379.1</v>
      </c>
      <c r="AC12" s="56"/>
      <c r="AE12" s="8">
        <f>+AC27</f>
        <v>5640392.7800000003</v>
      </c>
    </row>
    <row r="13" spans="2:31" ht="18.600000000000001" customHeight="1" x14ac:dyDescent="0.2">
      <c r="B13" s="49" t="s">
        <v>33</v>
      </c>
      <c r="C13" s="4" t="s">
        <v>31</v>
      </c>
      <c r="D13" s="5">
        <v>4</v>
      </c>
      <c r="E13" s="9">
        <v>6872.18</v>
      </c>
      <c r="F13" s="9">
        <v>6286.87</v>
      </c>
      <c r="G13" s="9">
        <v>5968.54</v>
      </c>
      <c r="H13" s="9">
        <v>5768.71</v>
      </c>
      <c r="I13" s="9">
        <v>5584.37</v>
      </c>
      <c r="J13" s="9">
        <v>5608.47</v>
      </c>
      <c r="K13" s="9">
        <v>4118.5</v>
      </c>
      <c r="L13" s="9">
        <v>8220.15</v>
      </c>
      <c r="M13" s="9">
        <v>6995.16</v>
      </c>
      <c r="N13" s="9">
        <v>6829.66</v>
      </c>
      <c r="O13" s="9">
        <v>6731.94</v>
      </c>
      <c r="P13" s="9">
        <v>7169.58</v>
      </c>
      <c r="Q13" s="9">
        <v>7571.94</v>
      </c>
      <c r="R13" s="9">
        <v>7631.67</v>
      </c>
      <c r="S13" s="9">
        <v>7932.18</v>
      </c>
      <c r="T13" s="9">
        <v>8603.4599999999991</v>
      </c>
      <c r="U13" s="9">
        <v>10573.17</v>
      </c>
      <c r="V13" s="9">
        <v>5753.66</v>
      </c>
      <c r="W13" s="9">
        <v>7762.15</v>
      </c>
      <c r="X13" s="9">
        <v>8422.91</v>
      </c>
      <c r="Y13" s="9">
        <v>8292.75</v>
      </c>
      <c r="Z13" s="9">
        <v>7669.54</v>
      </c>
      <c r="AA13" s="9">
        <v>6777.04</v>
      </c>
      <c r="AB13" s="9">
        <v>5722.18</v>
      </c>
      <c r="AC13" s="56"/>
      <c r="AE13" s="8">
        <f>+AC31</f>
        <v>5897064.8100000005</v>
      </c>
    </row>
    <row r="14" spans="2:31" ht="18.600000000000001" customHeight="1" x14ac:dyDescent="0.2">
      <c r="B14" s="49" t="s">
        <v>33</v>
      </c>
      <c r="C14" s="4" t="s">
        <v>32</v>
      </c>
      <c r="D14" s="5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57"/>
      <c r="AE14" s="8">
        <f>+AC35</f>
        <v>5698999.5299999993</v>
      </c>
    </row>
    <row r="15" spans="2:31" ht="18.600000000000001" customHeight="1" x14ac:dyDescent="0.2">
      <c r="B15" s="49" t="s">
        <v>34</v>
      </c>
      <c r="C15" s="4" t="s">
        <v>29</v>
      </c>
      <c r="D15" s="5">
        <v>22</v>
      </c>
      <c r="E15" s="9">
        <v>7399.95</v>
      </c>
      <c r="F15" s="9">
        <v>6953.96</v>
      </c>
      <c r="G15" s="9">
        <v>6782.7</v>
      </c>
      <c r="H15" s="9">
        <v>6599.1</v>
      </c>
      <c r="I15" s="9">
        <v>6739.66</v>
      </c>
      <c r="J15" s="9">
        <v>7514.3</v>
      </c>
      <c r="K15" s="9">
        <v>5478.54</v>
      </c>
      <c r="L15" s="9">
        <v>9617.58</v>
      </c>
      <c r="M15" s="9">
        <v>7851.04</v>
      </c>
      <c r="N15" s="9">
        <v>7309.16</v>
      </c>
      <c r="O15" s="9">
        <v>7196.55</v>
      </c>
      <c r="P15" s="9">
        <v>7691.3</v>
      </c>
      <c r="Q15" s="9">
        <v>7856.23</v>
      </c>
      <c r="R15" s="9">
        <v>8233.17</v>
      </c>
      <c r="S15" s="9">
        <v>9086.34</v>
      </c>
      <c r="T15" s="9">
        <v>9911.01</v>
      </c>
      <c r="U15" s="9">
        <v>11969.58</v>
      </c>
      <c r="V15" s="9">
        <v>6224.48</v>
      </c>
      <c r="W15" s="9">
        <v>8240.5</v>
      </c>
      <c r="X15" s="9">
        <v>9317.7800000000007</v>
      </c>
      <c r="Y15" s="9">
        <v>9377.2800000000007</v>
      </c>
      <c r="Z15" s="9">
        <v>8812.7900000000009</v>
      </c>
      <c r="AA15" s="9">
        <v>7977.79</v>
      </c>
      <c r="AB15" s="9">
        <v>7488.56</v>
      </c>
      <c r="AC15" s="55">
        <f>+SUM(E15:AB15)*D15+SUM(E16:AB16)*D16+SUM(E17:AB17)*D17+SUM(E18:AB18)*D18</f>
        <v>5737244.8000000017</v>
      </c>
      <c r="AE15" s="8">
        <f>+AC39</f>
        <v>5553537.8500000006</v>
      </c>
    </row>
    <row r="16" spans="2:31" ht="18.600000000000001" customHeight="1" x14ac:dyDescent="0.2">
      <c r="B16" s="49" t="s">
        <v>34</v>
      </c>
      <c r="C16" s="4" t="s">
        <v>30</v>
      </c>
      <c r="D16" s="5">
        <v>4</v>
      </c>
      <c r="E16" s="9">
        <v>7450.24</v>
      </c>
      <c r="F16" s="9">
        <v>6814.19</v>
      </c>
      <c r="G16" s="9">
        <v>6524.31</v>
      </c>
      <c r="H16" s="9">
        <v>6398.73</v>
      </c>
      <c r="I16" s="9">
        <v>6288.24</v>
      </c>
      <c r="J16" s="9">
        <v>6498.67</v>
      </c>
      <c r="K16" s="9">
        <v>4055.3</v>
      </c>
      <c r="L16" s="9">
        <v>8666.2800000000007</v>
      </c>
      <c r="M16" s="9">
        <v>7290.88</v>
      </c>
      <c r="N16" s="9">
        <v>6941.48</v>
      </c>
      <c r="O16" s="9">
        <v>6684.78</v>
      </c>
      <c r="P16" s="9">
        <v>6935.6</v>
      </c>
      <c r="Q16" s="9">
        <v>7074.81</v>
      </c>
      <c r="R16" s="9">
        <v>7441.66</v>
      </c>
      <c r="S16" s="9">
        <v>7964.43</v>
      </c>
      <c r="T16" s="9">
        <v>8757.84</v>
      </c>
      <c r="U16" s="9">
        <v>10814.52</v>
      </c>
      <c r="V16" s="9">
        <v>5551.24</v>
      </c>
      <c r="W16" s="9">
        <v>8003.98</v>
      </c>
      <c r="X16" s="9">
        <v>8350.76</v>
      </c>
      <c r="Y16" s="9">
        <v>8122.38</v>
      </c>
      <c r="Z16" s="9">
        <v>7983.01</v>
      </c>
      <c r="AA16" s="9">
        <v>7650.76</v>
      </c>
      <c r="AB16" s="9">
        <v>7166.58</v>
      </c>
      <c r="AC16" s="56"/>
      <c r="AE16" s="8">
        <f>+AC43</f>
        <v>5705697.040000001</v>
      </c>
    </row>
    <row r="17" spans="2:31" ht="18.600000000000001" customHeight="1" x14ac:dyDescent="0.2">
      <c r="B17" s="49" t="s">
        <v>34</v>
      </c>
      <c r="C17" s="4" t="s">
        <v>31</v>
      </c>
      <c r="D17" s="5">
        <v>4</v>
      </c>
      <c r="E17" s="9">
        <v>7573.88</v>
      </c>
      <c r="F17" s="9">
        <v>6961.96</v>
      </c>
      <c r="G17" s="9">
        <v>6641.42</v>
      </c>
      <c r="H17" s="9">
        <v>6394.56</v>
      </c>
      <c r="I17" s="9">
        <v>6252.75</v>
      </c>
      <c r="J17" s="9">
        <v>6265.79</v>
      </c>
      <c r="K17" s="9">
        <v>3773.24</v>
      </c>
      <c r="L17" s="9">
        <v>7753.8</v>
      </c>
      <c r="M17" s="9">
        <v>6395.06</v>
      </c>
      <c r="N17" s="9">
        <v>6223.66</v>
      </c>
      <c r="O17" s="9">
        <v>5753.64</v>
      </c>
      <c r="P17" s="9">
        <v>5812.08</v>
      </c>
      <c r="Q17" s="9">
        <v>5981.03</v>
      </c>
      <c r="R17" s="9">
        <v>6657.88</v>
      </c>
      <c r="S17" s="9">
        <v>7114.09</v>
      </c>
      <c r="T17" s="9">
        <v>8090.63</v>
      </c>
      <c r="U17" s="9">
        <v>10184.450000000001</v>
      </c>
      <c r="V17" s="9">
        <v>5027.8900000000003</v>
      </c>
      <c r="W17" s="9">
        <v>7173.45</v>
      </c>
      <c r="X17" s="9">
        <v>8389.68</v>
      </c>
      <c r="Y17" s="9">
        <v>8570.2099999999991</v>
      </c>
      <c r="Z17" s="9">
        <v>8267.44</v>
      </c>
      <c r="AA17" s="9">
        <v>7622.16</v>
      </c>
      <c r="AB17" s="9">
        <v>6755.64</v>
      </c>
      <c r="AC17" s="56"/>
      <c r="AE17" s="8">
        <f>+AC47</f>
        <v>5600704.9200000009</v>
      </c>
    </row>
    <row r="18" spans="2:31" ht="18.600000000000001" customHeight="1" x14ac:dyDescent="0.2">
      <c r="B18" s="49" t="s">
        <v>34</v>
      </c>
      <c r="C18" s="4" t="s">
        <v>32</v>
      </c>
      <c r="D18" s="5">
        <v>1</v>
      </c>
      <c r="E18" s="9">
        <v>7112.83</v>
      </c>
      <c r="F18" s="9">
        <v>6491.99</v>
      </c>
      <c r="G18" s="9">
        <v>6142.52</v>
      </c>
      <c r="H18" s="9">
        <v>6049.75</v>
      </c>
      <c r="I18" s="9">
        <v>5854.12</v>
      </c>
      <c r="J18" s="9">
        <v>6118.94</v>
      </c>
      <c r="K18" s="9">
        <v>3866.19</v>
      </c>
      <c r="L18" s="9">
        <v>8267.3700000000008</v>
      </c>
      <c r="M18" s="9">
        <v>7021.74</v>
      </c>
      <c r="N18" s="9">
        <v>5841.44</v>
      </c>
      <c r="O18" s="9">
        <v>4818.4799999999996</v>
      </c>
      <c r="P18" s="9">
        <v>5159.6400000000003</v>
      </c>
      <c r="Q18" s="9">
        <v>5687.1</v>
      </c>
      <c r="R18" s="9">
        <v>6120.08</v>
      </c>
      <c r="S18" s="9">
        <v>6314.65</v>
      </c>
      <c r="T18" s="9">
        <v>7137.09</v>
      </c>
      <c r="U18" s="9">
        <v>9421.7099999999991</v>
      </c>
      <c r="V18" s="9">
        <v>4667.16</v>
      </c>
      <c r="W18" s="9">
        <v>7247.85</v>
      </c>
      <c r="X18" s="9">
        <v>6974.78</v>
      </c>
      <c r="Y18" s="9">
        <v>7086.88</v>
      </c>
      <c r="Z18" s="9">
        <v>8214.56</v>
      </c>
      <c r="AA18" s="9">
        <v>7948.97</v>
      </c>
      <c r="AB18" s="9">
        <v>7565.02</v>
      </c>
      <c r="AC18" s="57"/>
      <c r="AE18" s="8">
        <f>+AC51</f>
        <v>5690344.3300000001</v>
      </c>
    </row>
    <row r="19" spans="2:31" ht="18.600000000000001" customHeight="1" x14ac:dyDescent="0.2">
      <c r="B19" s="49" t="s">
        <v>35</v>
      </c>
      <c r="C19" s="4" t="s">
        <v>29</v>
      </c>
      <c r="D19" s="5">
        <v>18</v>
      </c>
      <c r="E19" s="9">
        <v>7163.23</v>
      </c>
      <c r="F19" s="9">
        <v>6660.7</v>
      </c>
      <c r="G19" s="9">
        <v>6465.7</v>
      </c>
      <c r="H19" s="9">
        <v>6401.78</v>
      </c>
      <c r="I19" s="9">
        <v>6871.59</v>
      </c>
      <c r="J19" s="9">
        <v>8531.0400000000009</v>
      </c>
      <c r="K19" s="9">
        <v>6904.66</v>
      </c>
      <c r="L19" s="9">
        <v>10488.37</v>
      </c>
      <c r="M19" s="9">
        <v>7862.3</v>
      </c>
      <c r="N19" s="9">
        <v>7080.85</v>
      </c>
      <c r="O19" s="9">
        <v>7013.69</v>
      </c>
      <c r="P19" s="9">
        <v>6650.58</v>
      </c>
      <c r="Q19" s="9">
        <v>7141.65</v>
      </c>
      <c r="R19" s="9">
        <v>7700.05</v>
      </c>
      <c r="S19" s="9">
        <v>8750.1200000000008</v>
      </c>
      <c r="T19" s="9">
        <v>9802.49</v>
      </c>
      <c r="U19" s="9">
        <v>12324.13</v>
      </c>
      <c r="V19" s="9">
        <v>6826.35</v>
      </c>
      <c r="W19" s="9">
        <v>9362.64</v>
      </c>
      <c r="X19" s="9">
        <v>9546.49</v>
      </c>
      <c r="Y19" s="9">
        <v>9407.3799999999992</v>
      </c>
      <c r="Z19" s="9">
        <v>8762.84</v>
      </c>
      <c r="AA19" s="9">
        <v>7632.75</v>
      </c>
      <c r="AB19" s="9">
        <v>6835.74</v>
      </c>
      <c r="AC19" s="55">
        <f>+SUM(E19:AB19)*D19+SUM(E20:AB20)*D20+SUM(E21:AB21)*D21+SUM(E22:AB22)*D22</f>
        <v>5761066.8499999996</v>
      </c>
    </row>
    <row r="20" spans="2:31" ht="18.600000000000001" customHeight="1" x14ac:dyDescent="0.2">
      <c r="B20" s="49" t="s">
        <v>35</v>
      </c>
      <c r="C20" s="4" t="s">
        <v>30</v>
      </c>
      <c r="D20" s="5">
        <v>5</v>
      </c>
      <c r="E20" s="9">
        <v>7595.77</v>
      </c>
      <c r="F20" s="9">
        <v>7166.67</v>
      </c>
      <c r="G20" s="9">
        <v>6569.58</v>
      </c>
      <c r="H20" s="9">
        <v>6578.65</v>
      </c>
      <c r="I20" s="9">
        <v>6784.82</v>
      </c>
      <c r="J20" s="9">
        <v>7189.17</v>
      </c>
      <c r="K20" s="9">
        <v>5210.4799999999996</v>
      </c>
      <c r="L20" s="9">
        <v>10542.07</v>
      </c>
      <c r="M20" s="9">
        <v>9392.48</v>
      </c>
      <c r="N20" s="9">
        <v>8666.91</v>
      </c>
      <c r="O20" s="9">
        <v>8228.41</v>
      </c>
      <c r="P20" s="9">
        <v>8165.86</v>
      </c>
      <c r="Q20" s="9">
        <v>8557.85</v>
      </c>
      <c r="R20" s="9">
        <v>8298.64</v>
      </c>
      <c r="S20" s="9">
        <v>8787.66</v>
      </c>
      <c r="T20" s="9">
        <v>9784.48</v>
      </c>
      <c r="U20" s="9">
        <v>12278.94</v>
      </c>
      <c r="V20" s="9">
        <v>6158.3</v>
      </c>
      <c r="W20" s="9">
        <v>9625.1</v>
      </c>
      <c r="X20" s="9">
        <v>10119.219999999999</v>
      </c>
      <c r="Y20" s="9">
        <v>9776.9500000000007</v>
      </c>
      <c r="Z20" s="9">
        <v>9323.73</v>
      </c>
      <c r="AA20" s="9">
        <v>8466.08</v>
      </c>
      <c r="AB20" s="9">
        <v>8002.46</v>
      </c>
      <c r="AC20" s="56"/>
    </row>
    <row r="21" spans="2:31" ht="18.600000000000001" customHeight="1" x14ac:dyDescent="0.2">
      <c r="B21" s="49" t="s">
        <v>35</v>
      </c>
      <c r="C21" s="4" t="s">
        <v>31</v>
      </c>
      <c r="D21" s="5">
        <v>5</v>
      </c>
      <c r="E21" s="9">
        <v>7984.04</v>
      </c>
      <c r="F21" s="9">
        <v>7518.01</v>
      </c>
      <c r="G21" s="9">
        <v>7179.97</v>
      </c>
      <c r="H21" s="9">
        <v>6939.12</v>
      </c>
      <c r="I21" s="9">
        <v>6657.5</v>
      </c>
      <c r="J21" s="9">
        <v>6650.56</v>
      </c>
      <c r="K21" s="9">
        <v>4409.28</v>
      </c>
      <c r="L21" s="9">
        <v>8436.73</v>
      </c>
      <c r="M21" s="9">
        <v>6859.38</v>
      </c>
      <c r="N21" s="9">
        <v>6270.26</v>
      </c>
      <c r="O21" s="9">
        <v>6202.22</v>
      </c>
      <c r="P21" s="9">
        <v>6776.73</v>
      </c>
      <c r="Q21" s="9">
        <v>7757.52</v>
      </c>
      <c r="R21" s="9">
        <v>8351.06</v>
      </c>
      <c r="S21" s="9">
        <v>8397.2900000000009</v>
      </c>
      <c r="T21" s="9">
        <v>9184.92</v>
      </c>
      <c r="U21" s="9">
        <v>11166.41</v>
      </c>
      <c r="V21" s="9">
        <v>6186.42</v>
      </c>
      <c r="W21" s="9">
        <v>8877.5</v>
      </c>
      <c r="X21" s="9">
        <v>9037.3700000000008</v>
      </c>
      <c r="Y21" s="9">
        <v>9102.44</v>
      </c>
      <c r="Z21" s="9">
        <v>8471.5400000000009</v>
      </c>
      <c r="AA21" s="9">
        <v>7676.97</v>
      </c>
      <c r="AB21" s="9">
        <v>6625.73</v>
      </c>
      <c r="AC21" s="56"/>
    </row>
    <row r="22" spans="2:31" ht="18.600000000000001" customHeight="1" x14ac:dyDescent="0.2">
      <c r="B22" s="49" t="s">
        <v>35</v>
      </c>
      <c r="C22" s="4" t="s">
        <v>32</v>
      </c>
      <c r="D22" s="5">
        <v>2</v>
      </c>
      <c r="E22" s="9">
        <v>8403.69</v>
      </c>
      <c r="F22" s="9">
        <v>7927.65</v>
      </c>
      <c r="G22" s="9">
        <v>7538.19</v>
      </c>
      <c r="H22" s="9">
        <v>7083.76</v>
      </c>
      <c r="I22" s="9">
        <v>6791.25</v>
      </c>
      <c r="J22" s="9">
        <v>6629.09</v>
      </c>
      <c r="K22" s="9">
        <v>4295.3</v>
      </c>
      <c r="L22" s="9">
        <v>8332.85</v>
      </c>
      <c r="M22" s="9">
        <v>6955.93</v>
      </c>
      <c r="N22" s="9">
        <v>6756.46</v>
      </c>
      <c r="O22" s="9">
        <v>7206.53</v>
      </c>
      <c r="P22" s="9">
        <v>7459.39</v>
      </c>
      <c r="Q22" s="9">
        <v>7931.7</v>
      </c>
      <c r="R22" s="9">
        <v>8608.23</v>
      </c>
      <c r="S22" s="9">
        <v>8813.16</v>
      </c>
      <c r="T22" s="9">
        <v>9610.11</v>
      </c>
      <c r="U22" s="9">
        <v>11710.02</v>
      </c>
      <c r="V22" s="9">
        <v>6738.65</v>
      </c>
      <c r="W22" s="9">
        <v>9639.84</v>
      </c>
      <c r="X22" s="9">
        <v>10153.5</v>
      </c>
      <c r="Y22" s="9">
        <v>10405.39</v>
      </c>
      <c r="Z22" s="9">
        <v>9055.1299999999992</v>
      </c>
      <c r="AA22" s="9">
        <v>7169.16</v>
      </c>
      <c r="AB22" s="9">
        <v>5661.24</v>
      </c>
      <c r="AC22" s="57"/>
    </row>
    <row r="23" spans="2:31" ht="18.600000000000001" customHeight="1" x14ac:dyDescent="0.2">
      <c r="B23" s="49" t="s">
        <v>36</v>
      </c>
      <c r="C23" s="4" t="s">
        <v>29</v>
      </c>
      <c r="D23" s="5">
        <v>21</v>
      </c>
      <c r="E23" s="9">
        <v>6631.98</v>
      </c>
      <c r="F23" s="9">
        <v>6309.35</v>
      </c>
      <c r="G23" s="9">
        <v>6127.96</v>
      </c>
      <c r="H23" s="9">
        <v>6058.05</v>
      </c>
      <c r="I23" s="9">
        <v>6352.79</v>
      </c>
      <c r="J23" s="9">
        <v>7591.55</v>
      </c>
      <c r="K23" s="9">
        <v>5977.84</v>
      </c>
      <c r="L23" s="9">
        <v>9901.09</v>
      </c>
      <c r="M23" s="9">
        <v>7719.29</v>
      </c>
      <c r="N23" s="9">
        <v>6946.51</v>
      </c>
      <c r="O23" s="9">
        <v>7009.08</v>
      </c>
      <c r="P23" s="9">
        <v>7463.71</v>
      </c>
      <c r="Q23" s="9">
        <v>7349</v>
      </c>
      <c r="R23" s="9">
        <v>7721.46</v>
      </c>
      <c r="S23" s="9">
        <v>8492.9</v>
      </c>
      <c r="T23" s="9">
        <v>9493.7900000000009</v>
      </c>
      <c r="U23" s="9">
        <v>11690.09</v>
      </c>
      <c r="V23" s="9">
        <v>6054.2</v>
      </c>
      <c r="W23" s="9">
        <v>8671.32</v>
      </c>
      <c r="X23" s="9">
        <v>8794</v>
      </c>
      <c r="Y23" s="9">
        <v>8528.3799999999992</v>
      </c>
      <c r="Z23" s="9">
        <v>8106.91</v>
      </c>
      <c r="AA23" s="9">
        <v>7347.66</v>
      </c>
      <c r="AB23" s="9">
        <v>6537.29</v>
      </c>
      <c r="AC23" s="55">
        <f>+SUM(E23:AB23)*D23+SUM(E24:AB24)*D24+SUM(E25:AB25)*D25+SUM(E26:AB26)*D26</f>
        <v>5621176.8800000008</v>
      </c>
    </row>
    <row r="24" spans="2:31" ht="18.600000000000001" customHeight="1" x14ac:dyDescent="0.2">
      <c r="B24" s="49" t="s">
        <v>36</v>
      </c>
      <c r="C24" s="4" t="s">
        <v>30</v>
      </c>
      <c r="D24" s="5">
        <v>4</v>
      </c>
      <c r="E24" s="9">
        <v>7132.57</v>
      </c>
      <c r="F24" s="9">
        <v>6646.84</v>
      </c>
      <c r="G24" s="9">
        <v>6429.93</v>
      </c>
      <c r="H24" s="9">
        <v>6243.66</v>
      </c>
      <c r="I24" s="9">
        <v>6388.59</v>
      </c>
      <c r="J24" s="9">
        <v>6534.56</v>
      </c>
      <c r="K24" s="9">
        <v>4882.32</v>
      </c>
      <c r="L24" s="9">
        <v>9654.93</v>
      </c>
      <c r="M24" s="9">
        <v>8255.07</v>
      </c>
      <c r="N24" s="9">
        <v>7847.67</v>
      </c>
      <c r="O24" s="9">
        <v>7558.91</v>
      </c>
      <c r="P24" s="9">
        <v>7880.65</v>
      </c>
      <c r="Q24" s="9">
        <v>7893.66</v>
      </c>
      <c r="R24" s="9">
        <v>7784.98</v>
      </c>
      <c r="S24" s="9">
        <v>8254.64</v>
      </c>
      <c r="T24" s="9">
        <v>9081.75</v>
      </c>
      <c r="U24" s="9">
        <v>11395.61</v>
      </c>
      <c r="V24" s="9">
        <v>6005.98</v>
      </c>
      <c r="W24" s="9">
        <v>8803.92</v>
      </c>
      <c r="X24" s="9">
        <v>8903.9599999999991</v>
      </c>
      <c r="Y24" s="9">
        <v>8572.6200000000008</v>
      </c>
      <c r="Z24" s="9">
        <v>8185.68</v>
      </c>
      <c r="AA24" s="9">
        <v>7574.66</v>
      </c>
      <c r="AB24" s="9">
        <v>6529.26</v>
      </c>
      <c r="AC24" s="56"/>
    </row>
    <row r="25" spans="2:31" ht="18.600000000000001" customHeight="1" x14ac:dyDescent="0.2">
      <c r="B25" s="49" t="s">
        <v>36</v>
      </c>
      <c r="C25" s="4" t="s">
        <v>31</v>
      </c>
      <c r="D25" s="5">
        <v>4</v>
      </c>
      <c r="E25" s="9">
        <v>7186.8</v>
      </c>
      <c r="F25" s="9">
        <v>6676.95</v>
      </c>
      <c r="G25" s="9">
        <v>6400.76</v>
      </c>
      <c r="H25" s="9">
        <v>6121.73</v>
      </c>
      <c r="I25" s="9">
        <v>6094.72</v>
      </c>
      <c r="J25" s="9">
        <v>5948.13</v>
      </c>
      <c r="K25" s="9">
        <v>3843.66</v>
      </c>
      <c r="L25" s="9">
        <v>7949.91</v>
      </c>
      <c r="M25" s="9">
        <v>6610.89</v>
      </c>
      <c r="N25" s="9">
        <v>6446.5</v>
      </c>
      <c r="O25" s="9">
        <v>6484.47</v>
      </c>
      <c r="P25" s="9">
        <v>7014.6</v>
      </c>
      <c r="Q25" s="9">
        <v>7082.66</v>
      </c>
      <c r="R25" s="9">
        <v>6984.04</v>
      </c>
      <c r="S25" s="9">
        <v>7036.75</v>
      </c>
      <c r="T25" s="9">
        <v>7968.7</v>
      </c>
      <c r="U25" s="9">
        <v>10405.73</v>
      </c>
      <c r="V25" s="9">
        <v>5349.14</v>
      </c>
      <c r="W25" s="9">
        <v>8154.4</v>
      </c>
      <c r="X25" s="9">
        <v>8469.24</v>
      </c>
      <c r="Y25" s="9">
        <v>8399.4</v>
      </c>
      <c r="Z25" s="9">
        <v>8036.6</v>
      </c>
      <c r="AA25" s="9">
        <v>7489.68</v>
      </c>
      <c r="AB25" s="9">
        <v>6377.22</v>
      </c>
      <c r="AC25" s="56"/>
    </row>
    <row r="26" spans="2:31" ht="18.600000000000001" customHeight="1" x14ac:dyDescent="0.2">
      <c r="B26" s="49" t="s">
        <v>36</v>
      </c>
      <c r="C26" s="4" t="s">
        <v>32</v>
      </c>
      <c r="D26" s="5">
        <v>2</v>
      </c>
      <c r="E26" s="9">
        <v>6944.36</v>
      </c>
      <c r="F26" s="9">
        <v>6463.17</v>
      </c>
      <c r="G26" s="9">
        <v>6310.72</v>
      </c>
      <c r="H26" s="9">
        <v>6102.82</v>
      </c>
      <c r="I26" s="9">
        <v>6182.62</v>
      </c>
      <c r="J26" s="9">
        <v>6265.65</v>
      </c>
      <c r="K26" s="9">
        <v>4309.17</v>
      </c>
      <c r="L26" s="9">
        <v>8480.43</v>
      </c>
      <c r="M26" s="9">
        <v>7196.83</v>
      </c>
      <c r="N26" s="9">
        <v>6836.54</v>
      </c>
      <c r="O26" s="9">
        <v>7152.34</v>
      </c>
      <c r="P26" s="9">
        <v>8002.03</v>
      </c>
      <c r="Q26" s="9">
        <v>8472.7900000000009</v>
      </c>
      <c r="R26" s="9">
        <v>8471.24</v>
      </c>
      <c r="S26" s="9">
        <v>8614.08</v>
      </c>
      <c r="T26" s="9">
        <v>9385.36</v>
      </c>
      <c r="U26" s="9">
        <v>11487.15</v>
      </c>
      <c r="V26" s="9">
        <v>6557.78</v>
      </c>
      <c r="W26" s="9">
        <v>9444.52</v>
      </c>
      <c r="X26" s="9">
        <v>9544.64</v>
      </c>
      <c r="Y26" s="9">
        <v>8998.14</v>
      </c>
      <c r="Z26" s="9">
        <v>8592.92</v>
      </c>
      <c r="AA26" s="9">
        <v>7954.46</v>
      </c>
      <c r="AB26" s="9">
        <v>6668.38</v>
      </c>
      <c r="AC26" s="57"/>
    </row>
    <row r="27" spans="2:31" ht="18.600000000000001" customHeight="1" x14ac:dyDescent="0.2">
      <c r="B27" s="49" t="s">
        <v>37</v>
      </c>
      <c r="C27" s="4" t="s">
        <v>29</v>
      </c>
      <c r="D27" s="5">
        <v>20</v>
      </c>
      <c r="E27" s="9">
        <v>6502.73</v>
      </c>
      <c r="F27" s="9">
        <v>6071.39</v>
      </c>
      <c r="G27" s="9">
        <v>5951.62</v>
      </c>
      <c r="H27" s="9">
        <v>5893.62</v>
      </c>
      <c r="I27" s="9">
        <v>6209.8</v>
      </c>
      <c r="J27" s="9">
        <v>7057.56</v>
      </c>
      <c r="K27" s="9">
        <v>5664.42</v>
      </c>
      <c r="L27" s="9">
        <v>10044.14</v>
      </c>
      <c r="M27" s="9">
        <v>8314.01</v>
      </c>
      <c r="N27" s="9">
        <v>7762.94</v>
      </c>
      <c r="O27" s="9">
        <v>7768.81</v>
      </c>
      <c r="P27" s="9">
        <v>8444.32</v>
      </c>
      <c r="Q27" s="9">
        <v>8307.9599999999991</v>
      </c>
      <c r="R27" s="9">
        <v>8404.68</v>
      </c>
      <c r="S27" s="9">
        <v>9171.0300000000007</v>
      </c>
      <c r="T27" s="9">
        <v>9886.56</v>
      </c>
      <c r="U27" s="9">
        <v>12084.39</v>
      </c>
      <c r="V27" s="9">
        <v>6481.22</v>
      </c>
      <c r="W27" s="9">
        <v>9276.85</v>
      </c>
      <c r="X27" s="9">
        <v>9338.94</v>
      </c>
      <c r="Y27" s="9">
        <v>8976.51</v>
      </c>
      <c r="Z27" s="9">
        <v>8500.3700000000008</v>
      </c>
      <c r="AA27" s="9">
        <v>7587.98</v>
      </c>
      <c r="AB27" s="9">
        <v>6585.89</v>
      </c>
      <c r="AC27" s="55">
        <f>+SUM(E27:AB27)*D27+SUM(E28:AB28)*D28+SUM(E29:AB29)*D29+SUM(E30:AB30)*D30</f>
        <v>5640392.7800000003</v>
      </c>
    </row>
    <row r="28" spans="2:31" ht="18.600000000000001" customHeight="1" x14ac:dyDescent="0.2">
      <c r="B28" s="49" t="s">
        <v>37</v>
      </c>
      <c r="C28" s="4" t="s">
        <v>30</v>
      </c>
      <c r="D28" s="5">
        <v>4</v>
      </c>
      <c r="E28" s="9">
        <v>7329.24</v>
      </c>
      <c r="F28" s="9">
        <v>6724.56</v>
      </c>
      <c r="G28" s="9">
        <v>6618.1</v>
      </c>
      <c r="H28" s="9">
        <v>6411.22</v>
      </c>
      <c r="I28" s="9">
        <v>6588.25</v>
      </c>
      <c r="J28" s="9">
        <v>6826.03</v>
      </c>
      <c r="K28" s="9">
        <v>5209.67</v>
      </c>
      <c r="L28" s="9">
        <v>10184.530000000001</v>
      </c>
      <c r="M28" s="9">
        <v>8682.09</v>
      </c>
      <c r="N28" s="9">
        <v>8283.32</v>
      </c>
      <c r="O28" s="9">
        <v>7982.17</v>
      </c>
      <c r="P28" s="9">
        <v>8466.6200000000008</v>
      </c>
      <c r="Q28" s="9">
        <v>8465.7099999999991</v>
      </c>
      <c r="R28" s="9">
        <v>8404.5</v>
      </c>
      <c r="S28" s="9">
        <v>8993.7199999999993</v>
      </c>
      <c r="T28" s="9">
        <v>9810.15</v>
      </c>
      <c r="U28" s="9">
        <v>12032.26</v>
      </c>
      <c r="V28" s="9">
        <v>6634.9</v>
      </c>
      <c r="W28" s="9">
        <v>9408.0499999999993</v>
      </c>
      <c r="X28" s="9">
        <v>9888.7099999999991</v>
      </c>
      <c r="Y28" s="9">
        <v>9562.7800000000007</v>
      </c>
      <c r="Z28" s="9">
        <v>9009.56</v>
      </c>
      <c r="AA28" s="9">
        <v>8270.69</v>
      </c>
      <c r="AB28" s="9">
        <v>7238.72</v>
      </c>
      <c r="AC28" s="56"/>
    </row>
    <row r="29" spans="2:31" ht="18.600000000000001" customHeight="1" x14ac:dyDescent="0.2">
      <c r="B29" s="49" t="s">
        <v>37</v>
      </c>
      <c r="C29" s="4" t="s">
        <v>31</v>
      </c>
      <c r="D29" s="5">
        <v>4</v>
      </c>
      <c r="E29" s="9">
        <v>7373.77</v>
      </c>
      <c r="F29" s="9">
        <v>7076.45</v>
      </c>
      <c r="G29" s="9">
        <v>6639.1</v>
      </c>
      <c r="H29" s="9">
        <v>6529.67</v>
      </c>
      <c r="I29" s="9">
        <v>6473.66</v>
      </c>
      <c r="J29" s="9">
        <v>6342.87</v>
      </c>
      <c r="K29" s="9">
        <v>3893.52</v>
      </c>
      <c r="L29" s="9">
        <v>8253.5300000000007</v>
      </c>
      <c r="M29" s="9">
        <v>6892.04</v>
      </c>
      <c r="N29" s="9">
        <v>6391.99</v>
      </c>
      <c r="O29" s="9">
        <v>6279.79</v>
      </c>
      <c r="P29" s="9">
        <v>6863.8</v>
      </c>
      <c r="Q29" s="9">
        <v>7258.08</v>
      </c>
      <c r="R29" s="9">
        <v>7283.11</v>
      </c>
      <c r="S29" s="9">
        <v>7841.68</v>
      </c>
      <c r="T29" s="9">
        <v>8663.23</v>
      </c>
      <c r="U29" s="9">
        <v>10724.55</v>
      </c>
      <c r="V29" s="9">
        <v>5948.52</v>
      </c>
      <c r="W29" s="9">
        <v>8596.48</v>
      </c>
      <c r="X29" s="9">
        <v>8686.92</v>
      </c>
      <c r="Y29" s="9">
        <v>8423.01</v>
      </c>
      <c r="Z29" s="9">
        <v>8083.65</v>
      </c>
      <c r="AA29" s="9">
        <v>7579.78</v>
      </c>
      <c r="AB29" s="9">
        <v>6640.41</v>
      </c>
      <c r="AC29" s="56"/>
    </row>
    <row r="30" spans="2:31" ht="18.600000000000001" customHeight="1" x14ac:dyDescent="0.2">
      <c r="B30" s="49" t="s">
        <v>37</v>
      </c>
      <c r="C30" s="4" t="s">
        <v>32</v>
      </c>
      <c r="D30" s="5">
        <v>2</v>
      </c>
      <c r="E30" s="9">
        <v>7246.3</v>
      </c>
      <c r="F30" s="9">
        <v>6813.46</v>
      </c>
      <c r="G30" s="9">
        <v>6446.04</v>
      </c>
      <c r="H30" s="9">
        <v>6265.76</v>
      </c>
      <c r="I30" s="9">
        <v>6427.36</v>
      </c>
      <c r="J30" s="9">
        <v>6392.67</v>
      </c>
      <c r="K30" s="9">
        <v>4161.1400000000003</v>
      </c>
      <c r="L30" s="9">
        <v>7954.41</v>
      </c>
      <c r="M30" s="9">
        <v>6829.18</v>
      </c>
      <c r="N30" s="9">
        <v>5780.53</v>
      </c>
      <c r="O30" s="9">
        <v>6242.32</v>
      </c>
      <c r="P30" s="9">
        <v>7052.9</v>
      </c>
      <c r="Q30" s="9">
        <v>7305.36</v>
      </c>
      <c r="R30" s="9">
        <v>6734.94</v>
      </c>
      <c r="S30" s="9">
        <v>7464.58</v>
      </c>
      <c r="T30" s="9">
        <v>8282.16</v>
      </c>
      <c r="U30" s="9">
        <v>10079.32</v>
      </c>
      <c r="V30" s="9">
        <v>6383.27</v>
      </c>
      <c r="W30" s="9">
        <v>9800.9599999999991</v>
      </c>
      <c r="X30" s="9">
        <v>9538.33</v>
      </c>
      <c r="Y30" s="9">
        <v>9016.15</v>
      </c>
      <c r="Z30" s="9">
        <v>8172.86</v>
      </c>
      <c r="AA30" s="9">
        <v>7193.01</v>
      </c>
      <c r="AB30" s="9">
        <v>6205.66</v>
      </c>
      <c r="AC30" s="57"/>
    </row>
    <row r="31" spans="2:31" ht="18.600000000000001" customHeight="1" x14ac:dyDescent="0.2">
      <c r="B31" s="49" t="s">
        <v>38</v>
      </c>
      <c r="C31" s="4" t="s">
        <v>29</v>
      </c>
      <c r="D31" s="5">
        <v>19</v>
      </c>
      <c r="E31" s="9">
        <v>6959.7</v>
      </c>
      <c r="F31" s="9">
        <v>6489.5</v>
      </c>
      <c r="G31" s="9">
        <v>6318.74</v>
      </c>
      <c r="H31" s="9">
        <v>6202.4</v>
      </c>
      <c r="I31" s="9">
        <v>6579.17</v>
      </c>
      <c r="J31" s="9">
        <v>7763.92</v>
      </c>
      <c r="K31" s="9">
        <v>5919.02</v>
      </c>
      <c r="L31" s="9">
        <v>10151.43</v>
      </c>
      <c r="M31" s="9">
        <v>8194.68</v>
      </c>
      <c r="N31" s="9">
        <v>7664.69</v>
      </c>
      <c r="O31" s="9">
        <v>7775.84</v>
      </c>
      <c r="P31" s="9">
        <v>8715.99</v>
      </c>
      <c r="Q31" s="9">
        <v>8321.7099999999991</v>
      </c>
      <c r="R31" s="9">
        <v>8514.3700000000008</v>
      </c>
      <c r="S31" s="9">
        <v>9487.35</v>
      </c>
      <c r="T31" s="9">
        <v>10215.75</v>
      </c>
      <c r="U31" s="9">
        <v>12196.44</v>
      </c>
      <c r="V31" s="9">
        <v>6620.02</v>
      </c>
      <c r="W31" s="9">
        <v>9522.35</v>
      </c>
      <c r="X31" s="9">
        <v>9847.35</v>
      </c>
      <c r="Y31" s="9">
        <v>9476.9500000000007</v>
      </c>
      <c r="Z31" s="9">
        <v>8830</v>
      </c>
      <c r="AA31" s="9">
        <v>7971.39</v>
      </c>
      <c r="AB31" s="9">
        <v>6687.26</v>
      </c>
      <c r="AC31" s="55">
        <f>+SUM(E31:AB31)*D31+SUM(E32:AB32)*D32+SUM(E33:AB33)*D33+SUM(E34:AB34)*D34</f>
        <v>5897064.8100000005</v>
      </c>
    </row>
    <row r="32" spans="2:31" ht="18.600000000000001" customHeight="1" x14ac:dyDescent="0.2">
      <c r="B32" s="49" t="s">
        <v>38</v>
      </c>
      <c r="C32" s="4" t="s">
        <v>30</v>
      </c>
      <c r="D32" s="5">
        <v>5</v>
      </c>
      <c r="E32" s="9">
        <v>6318.7</v>
      </c>
      <c r="F32" s="9">
        <v>6041.92</v>
      </c>
      <c r="G32" s="9">
        <v>5703.49</v>
      </c>
      <c r="H32" s="9">
        <v>5773.86</v>
      </c>
      <c r="I32" s="9">
        <v>5877.26</v>
      </c>
      <c r="J32" s="9">
        <v>6132.77</v>
      </c>
      <c r="K32" s="9">
        <v>4691.22</v>
      </c>
      <c r="L32" s="9">
        <v>9593.75</v>
      </c>
      <c r="M32" s="9">
        <v>8276.57</v>
      </c>
      <c r="N32" s="9">
        <v>8023.38</v>
      </c>
      <c r="O32" s="9">
        <v>7718.96</v>
      </c>
      <c r="P32" s="9">
        <v>8318.84</v>
      </c>
      <c r="Q32" s="9">
        <v>8087.42</v>
      </c>
      <c r="R32" s="9">
        <v>8176.96</v>
      </c>
      <c r="S32" s="9">
        <v>8511.7000000000007</v>
      </c>
      <c r="T32" s="9">
        <v>9341.8799999999992</v>
      </c>
      <c r="U32" s="9">
        <v>11713.91</v>
      </c>
      <c r="V32" s="9">
        <v>6404.37</v>
      </c>
      <c r="W32" s="9">
        <v>9130.6200000000008</v>
      </c>
      <c r="X32" s="9">
        <v>9710.3799999999992</v>
      </c>
      <c r="Y32" s="9">
        <v>9305.82</v>
      </c>
      <c r="Z32" s="9">
        <v>8867.2000000000007</v>
      </c>
      <c r="AA32" s="9">
        <v>8014.57</v>
      </c>
      <c r="AB32" s="9">
        <v>6836.34</v>
      </c>
      <c r="AC32" s="56"/>
    </row>
    <row r="33" spans="2:29" ht="18.600000000000001" customHeight="1" x14ac:dyDescent="0.2">
      <c r="B33" s="49" t="s">
        <v>38</v>
      </c>
      <c r="C33" s="4" t="s">
        <v>31</v>
      </c>
      <c r="D33" s="5">
        <v>5</v>
      </c>
      <c r="E33" s="9">
        <v>7047.34</v>
      </c>
      <c r="F33" s="9">
        <v>6696.62</v>
      </c>
      <c r="G33" s="9">
        <v>6166.21</v>
      </c>
      <c r="H33" s="9">
        <v>6041.95</v>
      </c>
      <c r="I33" s="9">
        <v>5994.43</v>
      </c>
      <c r="J33" s="9">
        <v>5802.68</v>
      </c>
      <c r="K33" s="9">
        <v>3545.77</v>
      </c>
      <c r="L33" s="9">
        <v>7938.7</v>
      </c>
      <c r="M33" s="9">
        <v>6479.58</v>
      </c>
      <c r="N33" s="9">
        <v>6362.26</v>
      </c>
      <c r="O33" s="9">
        <v>6504.15</v>
      </c>
      <c r="P33" s="9">
        <v>7498.64</v>
      </c>
      <c r="Q33" s="9">
        <v>7703.38</v>
      </c>
      <c r="R33" s="9">
        <v>7821.21</v>
      </c>
      <c r="S33" s="9">
        <v>8195.44</v>
      </c>
      <c r="T33" s="9">
        <v>9000.58</v>
      </c>
      <c r="U33" s="9">
        <v>11284.97</v>
      </c>
      <c r="V33" s="9">
        <v>6386.65</v>
      </c>
      <c r="W33" s="9">
        <v>9070.92</v>
      </c>
      <c r="X33" s="9">
        <v>9380.67</v>
      </c>
      <c r="Y33" s="9">
        <v>8702.11</v>
      </c>
      <c r="Z33" s="9">
        <v>8229.8799999999992</v>
      </c>
      <c r="AA33" s="9">
        <v>8111.58</v>
      </c>
      <c r="AB33" s="9">
        <v>7113.36</v>
      </c>
      <c r="AC33" s="56"/>
    </row>
    <row r="34" spans="2:29" ht="18.600000000000001" customHeight="1" x14ac:dyDescent="0.2">
      <c r="B34" s="49" t="s">
        <v>38</v>
      </c>
      <c r="C34" s="4" t="s">
        <v>32</v>
      </c>
      <c r="D34" s="5">
        <v>2</v>
      </c>
      <c r="E34" s="9">
        <v>6906.44</v>
      </c>
      <c r="F34" s="9">
        <v>6474.27</v>
      </c>
      <c r="G34" s="9">
        <v>6068.53</v>
      </c>
      <c r="H34" s="9">
        <v>6198.96</v>
      </c>
      <c r="I34" s="9">
        <v>5891.82</v>
      </c>
      <c r="J34" s="9">
        <v>5976.11</v>
      </c>
      <c r="K34" s="9">
        <v>3904</v>
      </c>
      <c r="L34" s="9">
        <v>8223.4</v>
      </c>
      <c r="M34" s="9">
        <v>7027.77</v>
      </c>
      <c r="N34" s="9">
        <v>6199.2</v>
      </c>
      <c r="O34" s="9">
        <v>6665.78</v>
      </c>
      <c r="P34" s="9">
        <v>7207.66</v>
      </c>
      <c r="Q34" s="9">
        <v>7276.11</v>
      </c>
      <c r="R34" s="9">
        <v>7436.5</v>
      </c>
      <c r="S34" s="9">
        <v>8080.48</v>
      </c>
      <c r="T34" s="9">
        <v>8989.89</v>
      </c>
      <c r="U34" s="9">
        <v>10864.18</v>
      </c>
      <c r="V34" s="9">
        <v>5700.86</v>
      </c>
      <c r="W34" s="9">
        <v>8399.23</v>
      </c>
      <c r="X34" s="9">
        <v>8859.06</v>
      </c>
      <c r="Y34" s="9">
        <v>8569.36</v>
      </c>
      <c r="Z34" s="9">
        <v>7895.22</v>
      </c>
      <c r="AA34" s="9">
        <v>7682.72</v>
      </c>
      <c r="AB34" s="9">
        <v>6860.24</v>
      </c>
      <c r="AC34" s="57"/>
    </row>
    <row r="35" spans="2:29" ht="18.600000000000001" customHeight="1" x14ac:dyDescent="0.2">
      <c r="B35" s="49" t="s">
        <v>39</v>
      </c>
      <c r="C35" s="4" t="s">
        <v>29</v>
      </c>
      <c r="D35" s="5">
        <v>21</v>
      </c>
      <c r="E35" s="9">
        <v>6562.45</v>
      </c>
      <c r="F35" s="9">
        <v>6259.91</v>
      </c>
      <c r="G35" s="9">
        <v>6009.94</v>
      </c>
      <c r="H35" s="9">
        <v>5951.65</v>
      </c>
      <c r="I35" s="9">
        <v>6436.86</v>
      </c>
      <c r="J35" s="9">
        <v>8013.11</v>
      </c>
      <c r="K35" s="9">
        <v>6249.6</v>
      </c>
      <c r="L35" s="9">
        <v>10167.57</v>
      </c>
      <c r="M35" s="9">
        <v>8170.46</v>
      </c>
      <c r="N35" s="9">
        <v>7447.4</v>
      </c>
      <c r="O35" s="9">
        <v>7539.65</v>
      </c>
      <c r="P35" s="9">
        <v>8093.81</v>
      </c>
      <c r="Q35" s="9">
        <v>7652</v>
      </c>
      <c r="R35" s="9">
        <v>8089.49</v>
      </c>
      <c r="S35" s="9">
        <v>8943.25</v>
      </c>
      <c r="T35" s="9">
        <v>9703.64</v>
      </c>
      <c r="U35" s="9">
        <v>11907.57</v>
      </c>
      <c r="V35" s="9">
        <v>5849.77</v>
      </c>
      <c r="W35" s="9">
        <v>9094.68</v>
      </c>
      <c r="X35" s="9">
        <v>9338.4599999999991</v>
      </c>
      <c r="Y35" s="9">
        <v>8997.56</v>
      </c>
      <c r="Z35" s="9">
        <v>8344.01</v>
      </c>
      <c r="AA35" s="9">
        <v>7142.56</v>
      </c>
      <c r="AB35" s="9">
        <v>6299.11</v>
      </c>
      <c r="AC35" s="55">
        <f>+SUM(E35:AB35)*D35+SUM(E36:AB36)*D36+SUM(E37:AB37)*D37+SUM(E38:AB38)*D38</f>
        <v>5698999.5299999993</v>
      </c>
    </row>
    <row r="36" spans="2:29" ht="18.600000000000001" customHeight="1" x14ac:dyDescent="0.2">
      <c r="B36" s="49" t="s">
        <v>39</v>
      </c>
      <c r="C36" s="4" t="s">
        <v>30</v>
      </c>
      <c r="D36" s="5">
        <v>4</v>
      </c>
      <c r="E36" s="9">
        <v>7336.51</v>
      </c>
      <c r="F36" s="9">
        <v>6796.46</v>
      </c>
      <c r="G36" s="9">
        <v>6566.87</v>
      </c>
      <c r="H36" s="9">
        <v>6486.99</v>
      </c>
      <c r="I36" s="9">
        <v>6648.96</v>
      </c>
      <c r="J36" s="9">
        <v>6822.85</v>
      </c>
      <c r="K36" s="9">
        <v>4840.7</v>
      </c>
      <c r="L36" s="9">
        <v>9841</v>
      </c>
      <c r="M36" s="9">
        <v>8400.8799999999992</v>
      </c>
      <c r="N36" s="9">
        <v>8212.58</v>
      </c>
      <c r="O36" s="9">
        <v>7963.33</v>
      </c>
      <c r="P36" s="9">
        <v>8597.5</v>
      </c>
      <c r="Q36" s="9">
        <v>7990.53</v>
      </c>
      <c r="R36" s="9">
        <v>8044.21</v>
      </c>
      <c r="S36" s="9">
        <v>8277.8799999999992</v>
      </c>
      <c r="T36" s="9">
        <v>9071.84</v>
      </c>
      <c r="U36" s="9">
        <v>11640.6</v>
      </c>
      <c r="V36" s="9">
        <v>5936.9</v>
      </c>
      <c r="W36" s="9">
        <v>9273.39</v>
      </c>
      <c r="X36" s="9">
        <v>9228.2800000000007</v>
      </c>
      <c r="Y36" s="9">
        <v>8673.92</v>
      </c>
      <c r="Z36" s="9">
        <v>8225.7199999999993</v>
      </c>
      <c r="AA36" s="9">
        <v>6954.53</v>
      </c>
      <c r="AB36" s="9">
        <v>6431.26</v>
      </c>
      <c r="AC36" s="56"/>
    </row>
    <row r="37" spans="2:29" ht="18.600000000000001" customHeight="1" x14ac:dyDescent="0.2">
      <c r="B37" s="49" t="s">
        <v>39</v>
      </c>
      <c r="C37" s="4" t="s">
        <v>31</v>
      </c>
      <c r="D37" s="5">
        <v>4</v>
      </c>
      <c r="E37" s="9">
        <v>6437.27</v>
      </c>
      <c r="F37" s="9">
        <v>6164.75</v>
      </c>
      <c r="G37" s="9">
        <v>5952.25</v>
      </c>
      <c r="H37" s="9">
        <v>5815.96</v>
      </c>
      <c r="I37" s="9">
        <v>5655.54</v>
      </c>
      <c r="J37" s="9">
        <v>5693.7</v>
      </c>
      <c r="K37" s="9">
        <v>2741.96</v>
      </c>
      <c r="L37" s="9">
        <v>6960.01</v>
      </c>
      <c r="M37" s="9">
        <v>5684.48</v>
      </c>
      <c r="N37" s="9">
        <v>5316.21</v>
      </c>
      <c r="O37" s="9">
        <v>5578.05</v>
      </c>
      <c r="P37" s="9">
        <v>6319.36</v>
      </c>
      <c r="Q37" s="9">
        <v>6317</v>
      </c>
      <c r="R37" s="9">
        <v>6796.57</v>
      </c>
      <c r="S37" s="9">
        <v>7144.11</v>
      </c>
      <c r="T37" s="9">
        <v>7948.77</v>
      </c>
      <c r="U37" s="9">
        <v>10395.25</v>
      </c>
      <c r="V37" s="9">
        <v>5025.76</v>
      </c>
      <c r="W37" s="9">
        <v>8154.86</v>
      </c>
      <c r="X37" s="9">
        <v>8485.42</v>
      </c>
      <c r="Y37" s="9">
        <v>8447.61</v>
      </c>
      <c r="Z37" s="9">
        <v>8106.68</v>
      </c>
      <c r="AA37" s="9">
        <v>6664.2</v>
      </c>
      <c r="AB37" s="9">
        <v>6053.79</v>
      </c>
      <c r="AC37" s="56"/>
    </row>
    <row r="38" spans="2:29" ht="18.600000000000001" customHeight="1" x14ac:dyDescent="0.2">
      <c r="B38" s="49" t="s">
        <v>39</v>
      </c>
      <c r="C38" s="4" t="s">
        <v>32</v>
      </c>
      <c r="D38" s="5">
        <v>2</v>
      </c>
      <c r="E38" s="9">
        <v>6358.4</v>
      </c>
      <c r="F38" s="9">
        <v>6129.9</v>
      </c>
      <c r="G38" s="9">
        <v>5743.48</v>
      </c>
      <c r="H38" s="9">
        <v>5783.08</v>
      </c>
      <c r="I38" s="9">
        <v>5854.85</v>
      </c>
      <c r="J38" s="9">
        <v>5969.75</v>
      </c>
      <c r="K38" s="9">
        <v>3878.25</v>
      </c>
      <c r="L38" s="9">
        <v>8486.9500000000007</v>
      </c>
      <c r="M38" s="9">
        <v>7054.32</v>
      </c>
      <c r="N38" s="9">
        <v>7124.32</v>
      </c>
      <c r="O38" s="9">
        <v>7394.52</v>
      </c>
      <c r="P38" s="9">
        <v>8519.06</v>
      </c>
      <c r="Q38" s="9">
        <v>8056.3</v>
      </c>
      <c r="R38" s="9">
        <v>8244.41</v>
      </c>
      <c r="S38" s="9">
        <v>8631.2999999999993</v>
      </c>
      <c r="T38" s="9">
        <v>9309.6299999999992</v>
      </c>
      <c r="U38" s="9">
        <v>11173</v>
      </c>
      <c r="V38" s="9">
        <v>6187.61</v>
      </c>
      <c r="W38" s="9">
        <v>9049.35</v>
      </c>
      <c r="X38" s="9">
        <v>9696.08</v>
      </c>
      <c r="Y38" s="9">
        <v>9275.2000000000007</v>
      </c>
      <c r="Z38" s="9">
        <v>8614.81</v>
      </c>
      <c r="AA38" s="9">
        <v>7410.5</v>
      </c>
      <c r="AB38" s="9">
        <v>6530.84</v>
      </c>
      <c r="AC38" s="57"/>
    </row>
    <row r="39" spans="2:29" ht="18.600000000000001" customHeight="1" x14ac:dyDescent="0.2">
      <c r="B39" s="49" t="s">
        <v>40</v>
      </c>
      <c r="C39" s="4" t="s">
        <v>29</v>
      </c>
      <c r="D39" s="5">
        <v>21</v>
      </c>
      <c r="E39" s="9">
        <v>6691.04</v>
      </c>
      <c r="F39" s="9">
        <v>6379.31</v>
      </c>
      <c r="G39" s="9">
        <v>6266.46</v>
      </c>
      <c r="H39" s="9">
        <v>6159.33</v>
      </c>
      <c r="I39" s="9">
        <v>6574.88</v>
      </c>
      <c r="J39" s="9">
        <v>7906.88</v>
      </c>
      <c r="K39" s="9">
        <v>6186.48</v>
      </c>
      <c r="L39" s="9">
        <v>10253.66</v>
      </c>
      <c r="M39" s="9">
        <v>8064.34</v>
      </c>
      <c r="N39" s="9">
        <v>7481.02</v>
      </c>
      <c r="O39" s="9">
        <v>7249.42</v>
      </c>
      <c r="P39" s="9">
        <v>7831.34</v>
      </c>
      <c r="Q39" s="9">
        <v>7706.36</v>
      </c>
      <c r="R39" s="9">
        <v>8116.3</v>
      </c>
      <c r="S39" s="9">
        <v>9056.25</v>
      </c>
      <c r="T39" s="9">
        <v>10070.299999999999</v>
      </c>
      <c r="U39" s="9">
        <v>12178.65</v>
      </c>
      <c r="V39" s="9">
        <v>6188</v>
      </c>
      <c r="W39" s="9">
        <v>9201.74</v>
      </c>
      <c r="X39" s="9">
        <v>9135.5</v>
      </c>
      <c r="Y39" s="9">
        <v>8885.42</v>
      </c>
      <c r="Z39" s="9">
        <v>8123.94</v>
      </c>
      <c r="AA39" s="9">
        <v>7172.94</v>
      </c>
      <c r="AB39" s="9">
        <v>6291.76</v>
      </c>
      <c r="AC39" s="55">
        <f>+SUM(E39:AB39)*D39+SUM(E40:AB40)*D40+SUM(E41:AB41)*D41+SUM(E42:AB42)*D42</f>
        <v>5553537.8500000006</v>
      </c>
    </row>
    <row r="40" spans="2:29" ht="18.600000000000001" customHeight="1" x14ac:dyDescent="0.2">
      <c r="B40" s="49" t="s">
        <v>40</v>
      </c>
      <c r="C40" s="4" t="s">
        <v>30</v>
      </c>
      <c r="D40" s="5">
        <v>5</v>
      </c>
      <c r="E40" s="9">
        <v>7428.34</v>
      </c>
      <c r="F40" s="9">
        <v>6771.21</v>
      </c>
      <c r="G40" s="9">
        <v>6589.24</v>
      </c>
      <c r="H40" s="9">
        <v>6452.5</v>
      </c>
      <c r="I40" s="9">
        <v>6668.97</v>
      </c>
      <c r="J40" s="9">
        <v>6981.8</v>
      </c>
      <c r="K40" s="9">
        <v>5217.1000000000004</v>
      </c>
      <c r="L40" s="9">
        <v>9687.01</v>
      </c>
      <c r="M40" s="9">
        <v>8435.9699999999993</v>
      </c>
      <c r="N40" s="9">
        <v>7988.79</v>
      </c>
      <c r="O40" s="9">
        <v>7596.34</v>
      </c>
      <c r="P40" s="9">
        <v>7924.68</v>
      </c>
      <c r="Q40" s="9">
        <v>7771.4</v>
      </c>
      <c r="R40" s="9">
        <v>7767.62</v>
      </c>
      <c r="S40" s="9">
        <v>8217.11</v>
      </c>
      <c r="T40" s="9">
        <v>9196.81</v>
      </c>
      <c r="U40" s="9">
        <v>11842.76</v>
      </c>
      <c r="V40" s="9">
        <v>5776.96</v>
      </c>
      <c r="W40" s="9">
        <v>8617.0400000000009</v>
      </c>
      <c r="X40" s="9">
        <v>8457.74</v>
      </c>
      <c r="Y40" s="9">
        <v>8387.16</v>
      </c>
      <c r="Z40" s="9">
        <v>7469.92</v>
      </c>
      <c r="AA40" s="9">
        <v>6925.15</v>
      </c>
      <c r="AB40" s="9">
        <v>6325.07</v>
      </c>
      <c r="AC40" s="56"/>
    </row>
    <row r="41" spans="2:29" ht="18.600000000000001" customHeight="1" x14ac:dyDescent="0.2">
      <c r="B41" s="49" t="s">
        <v>40</v>
      </c>
      <c r="C41" s="4" t="s">
        <v>31</v>
      </c>
      <c r="D41" s="5">
        <v>4</v>
      </c>
      <c r="E41" s="9">
        <v>7072.28</v>
      </c>
      <c r="F41" s="9">
        <v>6712.5</v>
      </c>
      <c r="G41" s="9">
        <v>6480.5</v>
      </c>
      <c r="H41" s="9">
        <v>6285.55</v>
      </c>
      <c r="I41" s="9">
        <v>6205.34</v>
      </c>
      <c r="J41" s="9">
        <v>5869.27</v>
      </c>
      <c r="K41" s="9">
        <v>3638.52</v>
      </c>
      <c r="L41" s="9">
        <v>7746.54</v>
      </c>
      <c r="M41" s="9">
        <v>6528.61</v>
      </c>
      <c r="N41" s="9">
        <v>5993.08</v>
      </c>
      <c r="O41" s="9">
        <v>5861.01</v>
      </c>
      <c r="P41" s="9">
        <v>6145.72</v>
      </c>
      <c r="Q41" s="9">
        <v>6304.95</v>
      </c>
      <c r="R41" s="9">
        <v>6496.1</v>
      </c>
      <c r="S41" s="9">
        <v>7236.73</v>
      </c>
      <c r="T41" s="9">
        <v>8340.7999999999993</v>
      </c>
      <c r="U41" s="9">
        <v>10660.1</v>
      </c>
      <c r="V41" s="9">
        <v>5595.5</v>
      </c>
      <c r="W41" s="9">
        <v>8574.4599999999991</v>
      </c>
      <c r="X41" s="9">
        <v>8340.27</v>
      </c>
      <c r="Y41" s="9">
        <v>8336.2099999999991</v>
      </c>
      <c r="Z41" s="9">
        <v>7387.87</v>
      </c>
      <c r="AA41" s="9">
        <v>6783.76</v>
      </c>
      <c r="AB41" s="9">
        <v>6018.5</v>
      </c>
      <c r="AC41" s="56"/>
    </row>
    <row r="42" spans="2:29" ht="18.600000000000001" customHeight="1" x14ac:dyDescent="0.2">
      <c r="B42" s="49" t="s">
        <v>40</v>
      </c>
      <c r="C42" s="4" t="s">
        <v>32</v>
      </c>
      <c r="D42" s="5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57"/>
    </row>
    <row r="43" spans="2:29" ht="18.600000000000001" customHeight="1" x14ac:dyDescent="0.2">
      <c r="B43" s="49" t="s">
        <v>41</v>
      </c>
      <c r="C43" s="4" t="s">
        <v>29</v>
      </c>
      <c r="D43" s="5">
        <v>21</v>
      </c>
      <c r="E43" s="9">
        <v>7225.86</v>
      </c>
      <c r="F43" s="9">
        <v>6809.44</v>
      </c>
      <c r="G43" s="9">
        <v>6561.61</v>
      </c>
      <c r="H43" s="9">
        <v>6596.98</v>
      </c>
      <c r="I43" s="9">
        <v>7157.82</v>
      </c>
      <c r="J43" s="9">
        <v>8364.4500000000007</v>
      </c>
      <c r="K43" s="9">
        <v>5806.32</v>
      </c>
      <c r="L43" s="9">
        <v>9822.31</v>
      </c>
      <c r="M43" s="9">
        <v>7393.5</v>
      </c>
      <c r="N43" s="9">
        <v>6889.25</v>
      </c>
      <c r="O43" s="9">
        <v>6469.96</v>
      </c>
      <c r="P43" s="9">
        <v>6674.99</v>
      </c>
      <c r="Q43" s="9">
        <v>6508.37</v>
      </c>
      <c r="R43" s="9">
        <v>6929.89</v>
      </c>
      <c r="S43" s="9">
        <v>8380.27</v>
      </c>
      <c r="T43" s="9">
        <v>9492.1</v>
      </c>
      <c r="U43" s="9">
        <v>12009.96</v>
      </c>
      <c r="V43" s="9">
        <v>6331.01</v>
      </c>
      <c r="W43" s="9">
        <v>9473.94</v>
      </c>
      <c r="X43" s="9">
        <v>9312.76</v>
      </c>
      <c r="Y43" s="9">
        <v>8581.17</v>
      </c>
      <c r="Z43" s="9">
        <v>8225.89</v>
      </c>
      <c r="AA43" s="9">
        <v>7219.97</v>
      </c>
      <c r="AB43" s="9">
        <v>6596.32</v>
      </c>
      <c r="AC43" s="55">
        <f>+SUM(E43:AB43)*D43+SUM(E44:AB44)*D44+SUM(E45:AB45)*D45+SUM(E46:AB46)*D46</f>
        <v>5705697.040000001</v>
      </c>
    </row>
    <row r="44" spans="2:29" ht="18.600000000000001" customHeight="1" x14ac:dyDescent="0.2">
      <c r="B44" s="49" t="s">
        <v>41</v>
      </c>
      <c r="C44" s="4" t="s">
        <v>30</v>
      </c>
      <c r="D44" s="5">
        <v>4</v>
      </c>
      <c r="E44" s="9">
        <v>8001.92</v>
      </c>
      <c r="F44" s="9">
        <v>7453.66</v>
      </c>
      <c r="G44" s="9">
        <v>7134.96</v>
      </c>
      <c r="H44" s="9">
        <v>7130.04</v>
      </c>
      <c r="I44" s="9">
        <v>7302.41</v>
      </c>
      <c r="J44" s="9">
        <v>7250.14</v>
      </c>
      <c r="K44" s="9">
        <v>4336.25</v>
      </c>
      <c r="L44" s="9">
        <v>9756.0400000000009</v>
      </c>
      <c r="M44" s="9">
        <v>7700.92</v>
      </c>
      <c r="N44" s="9">
        <v>7561.16</v>
      </c>
      <c r="O44" s="9">
        <v>6733.81</v>
      </c>
      <c r="P44" s="9">
        <v>6920.29</v>
      </c>
      <c r="Q44" s="9">
        <v>6907.58</v>
      </c>
      <c r="R44" s="9">
        <v>6958.79</v>
      </c>
      <c r="S44" s="9">
        <v>8165.64</v>
      </c>
      <c r="T44" s="9">
        <v>9465.83</v>
      </c>
      <c r="U44" s="9">
        <v>11912</v>
      </c>
      <c r="V44" s="9">
        <v>5395.32</v>
      </c>
      <c r="W44" s="9">
        <v>10298.42</v>
      </c>
      <c r="X44" s="9">
        <v>10128.219999999999</v>
      </c>
      <c r="Y44" s="9">
        <v>10087.24</v>
      </c>
      <c r="Z44" s="9">
        <v>9882.0400000000009</v>
      </c>
      <c r="AA44" s="9">
        <v>8830.7199999999993</v>
      </c>
      <c r="AB44" s="9">
        <v>8233.24</v>
      </c>
      <c r="AC44" s="56"/>
    </row>
    <row r="45" spans="2:29" ht="18.600000000000001" customHeight="1" x14ac:dyDescent="0.2">
      <c r="B45" s="49" t="s">
        <v>41</v>
      </c>
      <c r="C45" s="4" t="s">
        <v>31</v>
      </c>
      <c r="D45" s="5">
        <v>5</v>
      </c>
      <c r="E45" s="9">
        <v>8356.42</v>
      </c>
      <c r="F45" s="9">
        <v>8037.51</v>
      </c>
      <c r="G45" s="9">
        <v>7559.21</v>
      </c>
      <c r="H45" s="9">
        <v>7226.6</v>
      </c>
      <c r="I45" s="9">
        <v>7326.94</v>
      </c>
      <c r="J45" s="9">
        <v>6700.64</v>
      </c>
      <c r="K45" s="9">
        <v>3162.92</v>
      </c>
      <c r="L45" s="9">
        <v>7626.89</v>
      </c>
      <c r="M45" s="9">
        <v>6560.55</v>
      </c>
      <c r="N45" s="9">
        <v>6907.37</v>
      </c>
      <c r="O45" s="9">
        <v>6052.3</v>
      </c>
      <c r="P45" s="9">
        <v>6326.8</v>
      </c>
      <c r="Q45" s="9">
        <v>6440.68</v>
      </c>
      <c r="R45" s="9">
        <v>6357.73</v>
      </c>
      <c r="S45" s="9">
        <v>7741.19</v>
      </c>
      <c r="T45" s="9">
        <v>8980.56</v>
      </c>
      <c r="U45" s="9">
        <v>10634.12</v>
      </c>
      <c r="V45" s="9">
        <v>5483.83</v>
      </c>
      <c r="W45" s="9">
        <v>8692.64</v>
      </c>
      <c r="X45" s="9">
        <v>8772.9699999999993</v>
      </c>
      <c r="Y45" s="9">
        <v>8434.2000000000007</v>
      </c>
      <c r="Z45" s="9">
        <v>7651.94</v>
      </c>
      <c r="AA45" s="9">
        <v>6946.45</v>
      </c>
      <c r="AB45" s="9">
        <v>6138.59</v>
      </c>
      <c r="AC45" s="56"/>
    </row>
    <row r="46" spans="2:29" ht="18.600000000000001" customHeight="1" x14ac:dyDescent="0.2">
      <c r="B46" s="49" t="s">
        <v>41</v>
      </c>
      <c r="C46" s="4" t="s">
        <v>32</v>
      </c>
      <c r="D46" s="5">
        <v>1</v>
      </c>
      <c r="E46" s="9">
        <v>6681.16</v>
      </c>
      <c r="F46" s="9">
        <v>6828.65</v>
      </c>
      <c r="G46" s="9">
        <v>6293.86</v>
      </c>
      <c r="H46" s="9">
        <v>6254.46</v>
      </c>
      <c r="I46" s="9">
        <v>6493.23</v>
      </c>
      <c r="J46" s="9">
        <v>6582.68</v>
      </c>
      <c r="K46" s="9">
        <v>2369.4699999999998</v>
      </c>
      <c r="L46" s="9">
        <v>7587.36</v>
      </c>
      <c r="M46" s="9">
        <v>5597.07</v>
      </c>
      <c r="N46" s="9">
        <v>6182.52</v>
      </c>
      <c r="O46" s="9">
        <v>5610.74</v>
      </c>
      <c r="P46" s="9">
        <v>6715.44</v>
      </c>
      <c r="Q46" s="9">
        <v>6870.04</v>
      </c>
      <c r="R46" s="9">
        <v>7335.65</v>
      </c>
      <c r="S46" s="9">
        <v>8584.1200000000008</v>
      </c>
      <c r="T46" s="9">
        <v>8768.2900000000009</v>
      </c>
      <c r="U46" s="9">
        <v>10666.46</v>
      </c>
      <c r="V46" s="9">
        <v>6503.61</v>
      </c>
      <c r="W46" s="9">
        <v>10719.63</v>
      </c>
      <c r="X46" s="9">
        <v>10398.42</v>
      </c>
      <c r="Y46" s="9">
        <v>10102.719999999999</v>
      </c>
      <c r="Z46" s="9">
        <v>9781.66</v>
      </c>
      <c r="AA46" s="9">
        <v>8716.16</v>
      </c>
      <c r="AB46" s="9">
        <v>7754.89</v>
      </c>
      <c r="AC46" s="57"/>
    </row>
    <row r="47" spans="2:29" ht="18.600000000000001" customHeight="1" x14ac:dyDescent="0.2">
      <c r="B47" s="49" t="s">
        <v>42</v>
      </c>
      <c r="C47" s="4" t="s">
        <v>29</v>
      </c>
      <c r="D47" s="5">
        <v>20</v>
      </c>
      <c r="E47" s="9">
        <v>6736.35</v>
      </c>
      <c r="F47" s="9">
        <v>6476.19</v>
      </c>
      <c r="G47" s="9">
        <v>6495.81</v>
      </c>
      <c r="H47" s="9">
        <v>6438.6</v>
      </c>
      <c r="I47" s="9">
        <v>7154.98</v>
      </c>
      <c r="J47" s="9">
        <v>8579.35</v>
      </c>
      <c r="K47" s="9">
        <v>6490.13</v>
      </c>
      <c r="L47" s="9">
        <v>10727.62</v>
      </c>
      <c r="M47" s="9">
        <v>8233.6</v>
      </c>
      <c r="N47" s="9">
        <v>7528.86</v>
      </c>
      <c r="O47" s="9">
        <v>7126.47</v>
      </c>
      <c r="P47" s="9">
        <v>7618.46</v>
      </c>
      <c r="Q47" s="9">
        <v>7311.31</v>
      </c>
      <c r="R47" s="9">
        <v>7478.81</v>
      </c>
      <c r="S47" s="9">
        <v>8742.76</v>
      </c>
      <c r="T47" s="9">
        <v>9747.93</v>
      </c>
      <c r="U47" s="9">
        <v>11982.73</v>
      </c>
      <c r="V47" s="9">
        <v>6325.46</v>
      </c>
      <c r="W47" s="9">
        <v>10068.709999999999</v>
      </c>
      <c r="X47" s="9">
        <v>9821.5499999999993</v>
      </c>
      <c r="Y47" s="9">
        <v>8631.0499999999993</v>
      </c>
      <c r="Z47" s="9">
        <v>7791.57</v>
      </c>
      <c r="AA47" s="9">
        <v>7043.32</v>
      </c>
      <c r="AB47" s="9">
        <v>6341.45</v>
      </c>
      <c r="AC47" s="55">
        <f>+SUM(E47:AB47)*D47+SUM(E48:AB48)*D48+SUM(E49:AB49)*D49+SUM(E50:AB50)*D50</f>
        <v>5600704.9200000009</v>
      </c>
    </row>
    <row r="48" spans="2:29" ht="18.600000000000001" customHeight="1" x14ac:dyDescent="0.2">
      <c r="B48" s="49" t="s">
        <v>42</v>
      </c>
      <c r="C48" s="4" t="s">
        <v>30</v>
      </c>
      <c r="D48" s="5">
        <v>4</v>
      </c>
      <c r="E48" s="9">
        <v>7483.78</v>
      </c>
      <c r="F48" s="9">
        <v>6944.94</v>
      </c>
      <c r="G48" s="9">
        <v>6784.63</v>
      </c>
      <c r="H48" s="9">
        <v>6685.23</v>
      </c>
      <c r="I48" s="9">
        <v>7040.38</v>
      </c>
      <c r="J48" s="9">
        <v>6943.86</v>
      </c>
      <c r="K48" s="9">
        <v>5526.14</v>
      </c>
      <c r="L48" s="9">
        <v>10635.49</v>
      </c>
      <c r="M48" s="9">
        <v>8958.2900000000009</v>
      </c>
      <c r="N48" s="9">
        <v>8243.02</v>
      </c>
      <c r="O48" s="9">
        <v>7691.08</v>
      </c>
      <c r="P48" s="9">
        <v>7687.2</v>
      </c>
      <c r="Q48" s="9">
        <v>7068.86</v>
      </c>
      <c r="R48" s="9">
        <v>7561.36</v>
      </c>
      <c r="S48" s="9">
        <v>8548.57</v>
      </c>
      <c r="T48" s="9">
        <v>9801.7000000000007</v>
      </c>
      <c r="U48" s="9">
        <v>11833.11</v>
      </c>
      <c r="V48" s="9">
        <v>6294.46</v>
      </c>
      <c r="W48" s="9">
        <v>9367.07</v>
      </c>
      <c r="X48" s="9">
        <v>9596.82</v>
      </c>
      <c r="Y48" s="9">
        <v>8740.64</v>
      </c>
      <c r="Z48" s="9">
        <v>8216.4599999999991</v>
      </c>
      <c r="AA48" s="9">
        <v>7703.48</v>
      </c>
      <c r="AB48" s="9">
        <v>6913.52</v>
      </c>
      <c r="AC48" s="56"/>
    </row>
    <row r="49" spans="2:29" ht="18.600000000000001" customHeight="1" x14ac:dyDescent="0.2">
      <c r="B49" s="49" t="s">
        <v>42</v>
      </c>
      <c r="C49" s="4" t="s">
        <v>31</v>
      </c>
      <c r="D49" s="5">
        <v>4</v>
      </c>
      <c r="E49" s="9">
        <v>7393.06</v>
      </c>
      <c r="F49" s="9">
        <v>6997.26</v>
      </c>
      <c r="G49" s="9">
        <v>6441.4</v>
      </c>
      <c r="H49" s="9">
        <v>6558.57</v>
      </c>
      <c r="I49" s="9">
        <v>6677.22</v>
      </c>
      <c r="J49" s="9">
        <v>6228.84</v>
      </c>
      <c r="K49" s="9">
        <v>3423.42</v>
      </c>
      <c r="L49" s="9">
        <v>7459.1</v>
      </c>
      <c r="M49" s="9">
        <v>6306.33</v>
      </c>
      <c r="N49" s="9">
        <v>5869.93</v>
      </c>
      <c r="O49" s="9">
        <v>5497.26</v>
      </c>
      <c r="P49" s="9">
        <v>6870.3</v>
      </c>
      <c r="Q49" s="9">
        <v>6789.44</v>
      </c>
      <c r="R49" s="9">
        <v>7130.33</v>
      </c>
      <c r="S49" s="9">
        <v>7978.42</v>
      </c>
      <c r="T49" s="9">
        <v>8861.9</v>
      </c>
      <c r="U49" s="9">
        <v>11901.9</v>
      </c>
      <c r="V49" s="9">
        <v>6344.29</v>
      </c>
      <c r="W49" s="9">
        <v>9059.69</v>
      </c>
      <c r="X49" s="9">
        <v>9082.7800000000007</v>
      </c>
      <c r="Y49" s="9">
        <v>8437.5400000000009</v>
      </c>
      <c r="Z49" s="9">
        <v>8048.16</v>
      </c>
      <c r="AA49" s="9">
        <v>7195.94</v>
      </c>
      <c r="AB49" s="9">
        <v>6322.38</v>
      </c>
      <c r="AC49" s="56"/>
    </row>
    <row r="50" spans="2:29" ht="18.600000000000001" customHeight="1" x14ac:dyDescent="0.2">
      <c r="B50" s="49" t="s">
        <v>42</v>
      </c>
      <c r="C50" s="4" t="s">
        <v>32</v>
      </c>
      <c r="D50" s="5">
        <v>2</v>
      </c>
      <c r="E50" s="9">
        <v>7087.06</v>
      </c>
      <c r="F50" s="9">
        <v>6820.32</v>
      </c>
      <c r="G50" s="9">
        <v>6757.68</v>
      </c>
      <c r="H50" s="9">
        <v>6350.28</v>
      </c>
      <c r="I50" s="9">
        <v>6595.44</v>
      </c>
      <c r="J50" s="9">
        <v>6732.54</v>
      </c>
      <c r="K50" s="9">
        <v>3372.03</v>
      </c>
      <c r="L50" s="9">
        <v>7081.69</v>
      </c>
      <c r="M50" s="9">
        <v>5948.96</v>
      </c>
      <c r="N50" s="9">
        <v>5718.12</v>
      </c>
      <c r="O50" s="9">
        <v>5450.99</v>
      </c>
      <c r="P50" s="9">
        <v>5986.85</v>
      </c>
      <c r="Q50" s="9">
        <v>5868.75</v>
      </c>
      <c r="R50" s="9">
        <v>6407.33</v>
      </c>
      <c r="S50" s="9">
        <v>6905.15</v>
      </c>
      <c r="T50" s="9">
        <v>7612.05</v>
      </c>
      <c r="U50" s="9">
        <v>9861.4599999999991</v>
      </c>
      <c r="V50" s="9">
        <v>5789.28</v>
      </c>
      <c r="W50" s="9">
        <v>8952.0400000000009</v>
      </c>
      <c r="X50" s="9">
        <v>8646.15</v>
      </c>
      <c r="Y50" s="9">
        <v>7994.76</v>
      </c>
      <c r="Z50" s="9">
        <v>7163.05</v>
      </c>
      <c r="AA50" s="9">
        <v>6475.43</v>
      </c>
      <c r="AB50" s="9">
        <v>5553.25</v>
      </c>
      <c r="AC50" s="57"/>
    </row>
    <row r="51" spans="2:29" ht="18.600000000000001" customHeight="1" x14ac:dyDescent="0.2">
      <c r="B51" s="49" t="s">
        <v>43</v>
      </c>
      <c r="C51" s="4" t="s">
        <v>29</v>
      </c>
      <c r="D51" s="5">
        <v>19</v>
      </c>
      <c r="E51" s="9">
        <v>7343.18</v>
      </c>
      <c r="F51" s="9">
        <v>6902.01</v>
      </c>
      <c r="G51" s="9">
        <v>6788.94</v>
      </c>
      <c r="H51" s="9">
        <v>6745.91</v>
      </c>
      <c r="I51" s="9">
        <v>7166.03</v>
      </c>
      <c r="J51" s="9">
        <v>7984.01</v>
      </c>
      <c r="K51" s="9">
        <v>5747.96</v>
      </c>
      <c r="L51" s="9">
        <v>10409.73</v>
      </c>
      <c r="M51" s="9">
        <v>8363.76</v>
      </c>
      <c r="N51" s="9">
        <v>7611.53</v>
      </c>
      <c r="O51" s="9">
        <v>7238.88</v>
      </c>
      <c r="P51" s="9">
        <v>7849.69</v>
      </c>
      <c r="Q51" s="9">
        <v>7636.06</v>
      </c>
      <c r="R51" s="9">
        <v>7915.68</v>
      </c>
      <c r="S51" s="9">
        <v>8838.2199999999993</v>
      </c>
      <c r="T51" s="9">
        <v>10030.209999999999</v>
      </c>
      <c r="U51" s="9">
        <v>12398.82</v>
      </c>
      <c r="V51" s="9">
        <v>6998.2</v>
      </c>
      <c r="W51" s="9">
        <v>10602.5</v>
      </c>
      <c r="X51" s="9">
        <v>9969.6299999999992</v>
      </c>
      <c r="Y51" s="9">
        <v>9393.42</v>
      </c>
      <c r="Z51" s="9">
        <v>8737.9</v>
      </c>
      <c r="AA51" s="9">
        <v>8122.56</v>
      </c>
      <c r="AB51" s="9">
        <v>7418.66</v>
      </c>
      <c r="AC51" s="55">
        <f>+SUM(E51:AB51)*D51+SUM(E52:AB52)*D52+SUM(E53:AB53)*D53+SUM(E54:AB54)*D54</f>
        <v>5690344.3300000001</v>
      </c>
    </row>
    <row r="52" spans="2:29" ht="18.600000000000001" customHeight="1" x14ac:dyDescent="0.2">
      <c r="B52" s="49" t="s">
        <v>43</v>
      </c>
      <c r="C52" s="4" t="s">
        <v>30</v>
      </c>
      <c r="D52" s="5">
        <v>5</v>
      </c>
      <c r="E52" s="9">
        <v>8158.16</v>
      </c>
      <c r="F52" s="9">
        <v>7493.84</v>
      </c>
      <c r="G52" s="9">
        <v>7128.59</v>
      </c>
      <c r="H52" s="9">
        <v>7014.07</v>
      </c>
      <c r="I52" s="9">
        <v>6927.36</v>
      </c>
      <c r="J52" s="9">
        <v>7043.3</v>
      </c>
      <c r="K52" s="9">
        <v>4088.52</v>
      </c>
      <c r="L52" s="9">
        <v>9494.44</v>
      </c>
      <c r="M52" s="9">
        <v>8251.26</v>
      </c>
      <c r="N52" s="9">
        <v>7730.96</v>
      </c>
      <c r="O52" s="9">
        <v>6984.35</v>
      </c>
      <c r="P52" s="9">
        <v>6796.78</v>
      </c>
      <c r="Q52" s="9">
        <v>7380.72</v>
      </c>
      <c r="R52" s="9">
        <v>7034.69</v>
      </c>
      <c r="S52" s="9">
        <v>6920.88</v>
      </c>
      <c r="T52" s="9">
        <v>7993.24</v>
      </c>
      <c r="U52" s="9">
        <v>10536.61</v>
      </c>
      <c r="V52" s="9">
        <v>5390.56</v>
      </c>
      <c r="W52" s="9">
        <v>8654.8799999999992</v>
      </c>
      <c r="X52" s="9">
        <v>8165.96</v>
      </c>
      <c r="Y52" s="9">
        <v>7504.82</v>
      </c>
      <c r="Z52" s="9">
        <v>6796.07</v>
      </c>
      <c r="AA52" s="9">
        <v>6797.2</v>
      </c>
      <c r="AB52" s="9">
        <v>6730.8</v>
      </c>
      <c r="AC52" s="56"/>
    </row>
    <row r="53" spans="2:29" ht="18.600000000000001" customHeight="1" x14ac:dyDescent="0.2">
      <c r="B53" s="49" t="s">
        <v>43</v>
      </c>
      <c r="C53" s="4" t="s">
        <v>31</v>
      </c>
      <c r="D53" s="5">
        <v>5</v>
      </c>
      <c r="E53" s="9">
        <v>7753.73</v>
      </c>
      <c r="F53" s="9">
        <v>7299.3</v>
      </c>
      <c r="G53" s="9">
        <v>6802.59</v>
      </c>
      <c r="H53" s="9">
        <v>6731.6</v>
      </c>
      <c r="I53" s="9">
        <v>6284.94</v>
      </c>
      <c r="J53" s="9">
        <v>5758.21</v>
      </c>
      <c r="K53" s="9">
        <v>2097.61</v>
      </c>
      <c r="L53" s="9">
        <v>5504.92</v>
      </c>
      <c r="M53" s="9">
        <v>4354.78</v>
      </c>
      <c r="N53" s="9">
        <v>4010.99</v>
      </c>
      <c r="O53" s="9">
        <v>3700.14</v>
      </c>
      <c r="P53" s="9">
        <v>4052.68</v>
      </c>
      <c r="Q53" s="9">
        <v>4975.7</v>
      </c>
      <c r="R53" s="9">
        <v>5619.74</v>
      </c>
      <c r="S53" s="9">
        <v>6403.34</v>
      </c>
      <c r="T53" s="9">
        <v>7153.45</v>
      </c>
      <c r="U53" s="9">
        <v>9068.74</v>
      </c>
      <c r="V53" s="9">
        <v>4047.19</v>
      </c>
      <c r="W53" s="9">
        <v>7854.78</v>
      </c>
      <c r="X53" s="9">
        <v>8621.18</v>
      </c>
      <c r="Y53" s="9">
        <v>9072.4599999999991</v>
      </c>
      <c r="Z53" s="9">
        <v>8743.76</v>
      </c>
      <c r="AA53" s="9">
        <v>7197.37</v>
      </c>
      <c r="AB53" s="9">
        <v>5454.2</v>
      </c>
      <c r="AC53" s="56"/>
    </row>
    <row r="54" spans="2:29" ht="18.600000000000001" customHeight="1" x14ac:dyDescent="0.2">
      <c r="B54" s="49" t="s">
        <v>43</v>
      </c>
      <c r="C54" s="4" t="s">
        <v>32</v>
      </c>
      <c r="D54" s="5">
        <v>2</v>
      </c>
      <c r="E54" s="9">
        <v>8202.74</v>
      </c>
      <c r="F54" s="9">
        <v>7967.55</v>
      </c>
      <c r="G54" s="9">
        <v>7461.37</v>
      </c>
      <c r="H54" s="9">
        <v>6869.82</v>
      </c>
      <c r="I54" s="9">
        <v>6546.63</v>
      </c>
      <c r="J54" s="9">
        <v>6038.92</v>
      </c>
      <c r="K54" s="9">
        <v>2281.6</v>
      </c>
      <c r="L54" s="9">
        <v>5988.61</v>
      </c>
      <c r="M54" s="9">
        <v>4315.01</v>
      </c>
      <c r="N54" s="9">
        <v>3529.11</v>
      </c>
      <c r="O54" s="9">
        <v>3308.86</v>
      </c>
      <c r="P54" s="9">
        <v>3679.48</v>
      </c>
      <c r="Q54" s="9">
        <v>4177.9399999999996</v>
      </c>
      <c r="R54" s="9">
        <v>4817.78</v>
      </c>
      <c r="S54" s="9">
        <v>5648.84</v>
      </c>
      <c r="T54" s="9">
        <v>6839.04</v>
      </c>
      <c r="U54" s="9">
        <v>9550.2199999999993</v>
      </c>
      <c r="V54" s="9">
        <v>4275.0200000000004</v>
      </c>
      <c r="W54" s="9">
        <v>8445.49</v>
      </c>
      <c r="X54" s="9">
        <v>8622.27</v>
      </c>
      <c r="Y54" s="9">
        <v>8533.86</v>
      </c>
      <c r="Z54" s="9">
        <v>8031.16</v>
      </c>
      <c r="AA54" s="9">
        <v>6896.6</v>
      </c>
      <c r="AB54" s="9">
        <v>6162.44</v>
      </c>
      <c r="AC54" s="57"/>
    </row>
    <row r="55" spans="2:29" ht="18.600000000000001" customHeight="1" x14ac:dyDescent="0.2">
      <c r="Z55" s="58" t="s">
        <v>46</v>
      </c>
      <c r="AA55" s="58"/>
      <c r="AB55" s="58"/>
      <c r="AC55" s="45">
        <f>SUM(AC7:AC54)</f>
        <v>68028434.290000007</v>
      </c>
    </row>
    <row r="56" spans="2:29" ht="18.600000000000001" customHeight="1" x14ac:dyDescent="0.2"/>
    <row r="57" spans="2:29" x14ac:dyDescent="0.2">
      <c r="AC57" s="43">
        <f>+AC55-'Oferta Producto 2'!C26</f>
        <v>0</v>
      </c>
    </row>
    <row r="58" spans="2:29" x14ac:dyDescent="0.2">
      <c r="E58" s="43">
        <v>1000</v>
      </c>
    </row>
  </sheetData>
  <mergeCells count="28">
    <mergeCell ref="B11:B14"/>
    <mergeCell ref="AC11:AC14"/>
    <mergeCell ref="B2:AC2"/>
    <mergeCell ref="B3:AC3"/>
    <mergeCell ref="B4:AC4"/>
    <mergeCell ref="B7:B10"/>
    <mergeCell ref="AC7:AC10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A76D-5B63-4C5A-88E3-208EAE805E69}">
  <dimension ref="B1:AE61"/>
  <sheetViews>
    <sheetView showGridLines="0" topLeftCell="A11" zoomScale="70" zoomScaleNormal="70" workbookViewId="0">
      <selection activeCell="A2" sqref="A2:AD57"/>
    </sheetView>
  </sheetViews>
  <sheetFormatPr baseColWidth="10" defaultColWidth="11.42578125" defaultRowHeight="12" x14ac:dyDescent="0.2"/>
  <cols>
    <col min="1" max="1" width="6.5703125" style="10" customWidth="1"/>
    <col min="2" max="2" width="6.28515625" style="10" bestFit="1" customWidth="1"/>
    <col min="3" max="3" width="10.140625" style="10" bestFit="1" customWidth="1"/>
    <col min="4" max="4" width="6" style="10" bestFit="1" customWidth="1"/>
    <col min="5" max="11" width="9.42578125" style="10" bestFit="1" customWidth="1"/>
    <col min="12" max="28" width="9.7109375" style="10" bestFit="1" customWidth="1"/>
    <col min="29" max="29" width="13.140625" style="10" bestFit="1" customWidth="1"/>
    <col min="30" max="30" width="5.85546875" style="10" customWidth="1"/>
    <col min="31" max="257" width="11.42578125" style="10"/>
    <col min="258" max="258" width="7" style="10" customWidth="1"/>
    <col min="259" max="259" width="10.7109375" style="10" customWidth="1"/>
    <col min="260" max="260" width="9.28515625" style="10" customWidth="1"/>
    <col min="261" max="284" width="7.28515625" style="10" customWidth="1"/>
    <col min="285" max="285" width="11.28515625" style="10" bestFit="1" customWidth="1"/>
    <col min="286" max="513" width="11.42578125" style="10"/>
    <col min="514" max="514" width="7" style="10" customWidth="1"/>
    <col min="515" max="515" width="10.7109375" style="10" customWidth="1"/>
    <col min="516" max="516" width="9.28515625" style="10" customWidth="1"/>
    <col min="517" max="540" width="7.28515625" style="10" customWidth="1"/>
    <col min="541" max="541" width="11.28515625" style="10" bestFit="1" customWidth="1"/>
    <col min="542" max="769" width="11.42578125" style="10"/>
    <col min="770" max="770" width="7" style="10" customWidth="1"/>
    <col min="771" max="771" width="10.7109375" style="10" customWidth="1"/>
    <col min="772" max="772" width="9.28515625" style="10" customWidth="1"/>
    <col min="773" max="796" width="7.28515625" style="10" customWidth="1"/>
    <col min="797" max="797" width="11.28515625" style="10" bestFit="1" customWidth="1"/>
    <col min="798" max="1025" width="11.42578125" style="10"/>
    <col min="1026" max="1026" width="7" style="10" customWidth="1"/>
    <col min="1027" max="1027" width="10.7109375" style="10" customWidth="1"/>
    <col min="1028" max="1028" width="9.28515625" style="10" customWidth="1"/>
    <col min="1029" max="1052" width="7.28515625" style="10" customWidth="1"/>
    <col min="1053" max="1053" width="11.28515625" style="10" bestFit="1" customWidth="1"/>
    <col min="1054" max="1281" width="11.42578125" style="10"/>
    <col min="1282" max="1282" width="7" style="10" customWidth="1"/>
    <col min="1283" max="1283" width="10.7109375" style="10" customWidth="1"/>
    <col min="1284" max="1284" width="9.28515625" style="10" customWidth="1"/>
    <col min="1285" max="1308" width="7.28515625" style="10" customWidth="1"/>
    <col min="1309" max="1309" width="11.28515625" style="10" bestFit="1" customWidth="1"/>
    <col min="1310" max="1537" width="11.42578125" style="10"/>
    <col min="1538" max="1538" width="7" style="10" customWidth="1"/>
    <col min="1539" max="1539" width="10.7109375" style="10" customWidth="1"/>
    <col min="1540" max="1540" width="9.28515625" style="10" customWidth="1"/>
    <col min="1541" max="1564" width="7.28515625" style="10" customWidth="1"/>
    <col min="1565" max="1565" width="11.28515625" style="10" bestFit="1" customWidth="1"/>
    <col min="1566" max="1793" width="11.42578125" style="10"/>
    <col min="1794" max="1794" width="7" style="10" customWidth="1"/>
    <col min="1795" max="1795" width="10.7109375" style="10" customWidth="1"/>
    <col min="1796" max="1796" width="9.28515625" style="10" customWidth="1"/>
    <col min="1797" max="1820" width="7.28515625" style="10" customWidth="1"/>
    <col min="1821" max="1821" width="11.28515625" style="10" bestFit="1" customWidth="1"/>
    <col min="1822" max="2049" width="11.42578125" style="10"/>
    <col min="2050" max="2050" width="7" style="10" customWidth="1"/>
    <col min="2051" max="2051" width="10.7109375" style="10" customWidth="1"/>
    <col min="2052" max="2052" width="9.28515625" style="10" customWidth="1"/>
    <col min="2053" max="2076" width="7.28515625" style="10" customWidth="1"/>
    <col min="2077" max="2077" width="11.28515625" style="10" bestFit="1" customWidth="1"/>
    <col min="2078" max="2305" width="11.42578125" style="10"/>
    <col min="2306" max="2306" width="7" style="10" customWidth="1"/>
    <col min="2307" max="2307" width="10.7109375" style="10" customWidth="1"/>
    <col min="2308" max="2308" width="9.28515625" style="10" customWidth="1"/>
    <col min="2309" max="2332" width="7.28515625" style="10" customWidth="1"/>
    <col min="2333" max="2333" width="11.28515625" style="10" bestFit="1" customWidth="1"/>
    <col min="2334" max="2561" width="11.42578125" style="10"/>
    <col min="2562" max="2562" width="7" style="10" customWidth="1"/>
    <col min="2563" max="2563" width="10.7109375" style="10" customWidth="1"/>
    <col min="2564" max="2564" width="9.28515625" style="10" customWidth="1"/>
    <col min="2565" max="2588" width="7.28515625" style="10" customWidth="1"/>
    <col min="2589" max="2589" width="11.28515625" style="10" bestFit="1" customWidth="1"/>
    <col min="2590" max="2817" width="11.42578125" style="10"/>
    <col min="2818" max="2818" width="7" style="10" customWidth="1"/>
    <col min="2819" max="2819" width="10.7109375" style="10" customWidth="1"/>
    <col min="2820" max="2820" width="9.28515625" style="10" customWidth="1"/>
    <col min="2821" max="2844" width="7.28515625" style="10" customWidth="1"/>
    <col min="2845" max="2845" width="11.28515625" style="10" bestFit="1" customWidth="1"/>
    <col min="2846" max="3073" width="11.42578125" style="10"/>
    <col min="3074" max="3074" width="7" style="10" customWidth="1"/>
    <col min="3075" max="3075" width="10.7109375" style="10" customWidth="1"/>
    <col min="3076" max="3076" width="9.28515625" style="10" customWidth="1"/>
    <col min="3077" max="3100" width="7.28515625" style="10" customWidth="1"/>
    <col min="3101" max="3101" width="11.28515625" style="10" bestFit="1" customWidth="1"/>
    <col min="3102" max="3329" width="11.42578125" style="10"/>
    <col min="3330" max="3330" width="7" style="10" customWidth="1"/>
    <col min="3331" max="3331" width="10.7109375" style="10" customWidth="1"/>
    <col min="3332" max="3332" width="9.28515625" style="10" customWidth="1"/>
    <col min="3333" max="3356" width="7.28515625" style="10" customWidth="1"/>
    <col min="3357" max="3357" width="11.28515625" style="10" bestFit="1" customWidth="1"/>
    <col min="3358" max="3585" width="11.42578125" style="10"/>
    <col min="3586" max="3586" width="7" style="10" customWidth="1"/>
    <col min="3587" max="3587" width="10.7109375" style="10" customWidth="1"/>
    <col min="3588" max="3588" width="9.28515625" style="10" customWidth="1"/>
    <col min="3589" max="3612" width="7.28515625" style="10" customWidth="1"/>
    <col min="3613" max="3613" width="11.28515625" style="10" bestFit="1" customWidth="1"/>
    <col min="3614" max="3841" width="11.42578125" style="10"/>
    <col min="3842" max="3842" width="7" style="10" customWidth="1"/>
    <col min="3843" max="3843" width="10.7109375" style="10" customWidth="1"/>
    <col min="3844" max="3844" width="9.28515625" style="10" customWidth="1"/>
    <col min="3845" max="3868" width="7.28515625" style="10" customWidth="1"/>
    <col min="3869" max="3869" width="11.28515625" style="10" bestFit="1" customWidth="1"/>
    <col min="3870" max="4097" width="11.42578125" style="10"/>
    <col min="4098" max="4098" width="7" style="10" customWidth="1"/>
    <col min="4099" max="4099" width="10.7109375" style="10" customWidth="1"/>
    <col min="4100" max="4100" width="9.28515625" style="10" customWidth="1"/>
    <col min="4101" max="4124" width="7.28515625" style="10" customWidth="1"/>
    <col min="4125" max="4125" width="11.28515625" style="10" bestFit="1" customWidth="1"/>
    <col min="4126" max="4353" width="11.42578125" style="10"/>
    <col min="4354" max="4354" width="7" style="10" customWidth="1"/>
    <col min="4355" max="4355" width="10.7109375" style="10" customWidth="1"/>
    <col min="4356" max="4356" width="9.28515625" style="10" customWidth="1"/>
    <col min="4357" max="4380" width="7.28515625" style="10" customWidth="1"/>
    <col min="4381" max="4381" width="11.28515625" style="10" bestFit="1" customWidth="1"/>
    <col min="4382" max="4609" width="11.42578125" style="10"/>
    <col min="4610" max="4610" width="7" style="10" customWidth="1"/>
    <col min="4611" max="4611" width="10.7109375" style="10" customWidth="1"/>
    <col min="4612" max="4612" width="9.28515625" style="10" customWidth="1"/>
    <col min="4613" max="4636" width="7.28515625" style="10" customWidth="1"/>
    <col min="4637" max="4637" width="11.28515625" style="10" bestFit="1" customWidth="1"/>
    <col min="4638" max="4865" width="11.42578125" style="10"/>
    <col min="4866" max="4866" width="7" style="10" customWidth="1"/>
    <col min="4867" max="4867" width="10.7109375" style="10" customWidth="1"/>
    <col min="4868" max="4868" width="9.28515625" style="10" customWidth="1"/>
    <col min="4869" max="4892" width="7.28515625" style="10" customWidth="1"/>
    <col min="4893" max="4893" width="11.28515625" style="10" bestFit="1" customWidth="1"/>
    <col min="4894" max="5121" width="11.42578125" style="10"/>
    <col min="5122" max="5122" width="7" style="10" customWidth="1"/>
    <col min="5123" max="5123" width="10.7109375" style="10" customWidth="1"/>
    <col min="5124" max="5124" width="9.28515625" style="10" customWidth="1"/>
    <col min="5125" max="5148" width="7.28515625" style="10" customWidth="1"/>
    <col min="5149" max="5149" width="11.28515625" style="10" bestFit="1" customWidth="1"/>
    <col min="5150" max="5377" width="11.42578125" style="10"/>
    <col min="5378" max="5378" width="7" style="10" customWidth="1"/>
    <col min="5379" max="5379" width="10.7109375" style="10" customWidth="1"/>
    <col min="5380" max="5380" width="9.28515625" style="10" customWidth="1"/>
    <col min="5381" max="5404" width="7.28515625" style="10" customWidth="1"/>
    <col min="5405" max="5405" width="11.28515625" style="10" bestFit="1" customWidth="1"/>
    <col min="5406" max="5633" width="11.42578125" style="10"/>
    <col min="5634" max="5634" width="7" style="10" customWidth="1"/>
    <col min="5635" max="5635" width="10.7109375" style="10" customWidth="1"/>
    <col min="5636" max="5636" width="9.28515625" style="10" customWidth="1"/>
    <col min="5637" max="5660" width="7.28515625" style="10" customWidth="1"/>
    <col min="5661" max="5661" width="11.28515625" style="10" bestFit="1" customWidth="1"/>
    <col min="5662" max="5889" width="11.42578125" style="10"/>
    <col min="5890" max="5890" width="7" style="10" customWidth="1"/>
    <col min="5891" max="5891" width="10.7109375" style="10" customWidth="1"/>
    <col min="5892" max="5892" width="9.28515625" style="10" customWidth="1"/>
    <col min="5893" max="5916" width="7.28515625" style="10" customWidth="1"/>
    <col min="5917" max="5917" width="11.28515625" style="10" bestFit="1" customWidth="1"/>
    <col min="5918" max="6145" width="11.42578125" style="10"/>
    <col min="6146" max="6146" width="7" style="10" customWidth="1"/>
    <col min="6147" max="6147" width="10.7109375" style="10" customWidth="1"/>
    <col min="6148" max="6148" width="9.28515625" style="10" customWidth="1"/>
    <col min="6149" max="6172" width="7.28515625" style="10" customWidth="1"/>
    <col min="6173" max="6173" width="11.28515625" style="10" bestFit="1" customWidth="1"/>
    <col min="6174" max="6401" width="11.42578125" style="10"/>
    <col min="6402" max="6402" width="7" style="10" customWidth="1"/>
    <col min="6403" max="6403" width="10.7109375" style="10" customWidth="1"/>
    <col min="6404" max="6404" width="9.28515625" style="10" customWidth="1"/>
    <col min="6405" max="6428" width="7.28515625" style="10" customWidth="1"/>
    <col min="6429" max="6429" width="11.28515625" style="10" bestFit="1" customWidth="1"/>
    <col min="6430" max="6657" width="11.42578125" style="10"/>
    <col min="6658" max="6658" width="7" style="10" customWidth="1"/>
    <col min="6659" max="6659" width="10.7109375" style="10" customWidth="1"/>
    <col min="6660" max="6660" width="9.28515625" style="10" customWidth="1"/>
    <col min="6661" max="6684" width="7.28515625" style="10" customWidth="1"/>
    <col min="6685" max="6685" width="11.28515625" style="10" bestFit="1" customWidth="1"/>
    <col min="6686" max="6913" width="11.42578125" style="10"/>
    <col min="6914" max="6914" width="7" style="10" customWidth="1"/>
    <col min="6915" max="6915" width="10.7109375" style="10" customWidth="1"/>
    <col min="6916" max="6916" width="9.28515625" style="10" customWidth="1"/>
    <col min="6917" max="6940" width="7.28515625" style="10" customWidth="1"/>
    <col min="6941" max="6941" width="11.28515625" style="10" bestFit="1" customWidth="1"/>
    <col min="6942" max="7169" width="11.42578125" style="10"/>
    <col min="7170" max="7170" width="7" style="10" customWidth="1"/>
    <col min="7171" max="7171" width="10.7109375" style="10" customWidth="1"/>
    <col min="7172" max="7172" width="9.28515625" style="10" customWidth="1"/>
    <col min="7173" max="7196" width="7.28515625" style="10" customWidth="1"/>
    <col min="7197" max="7197" width="11.28515625" style="10" bestFit="1" customWidth="1"/>
    <col min="7198" max="7425" width="11.42578125" style="10"/>
    <col min="7426" max="7426" width="7" style="10" customWidth="1"/>
    <col min="7427" max="7427" width="10.7109375" style="10" customWidth="1"/>
    <col min="7428" max="7428" width="9.28515625" style="10" customWidth="1"/>
    <col min="7429" max="7452" width="7.28515625" style="10" customWidth="1"/>
    <col min="7453" max="7453" width="11.28515625" style="10" bestFit="1" customWidth="1"/>
    <col min="7454" max="7681" width="11.42578125" style="10"/>
    <col min="7682" max="7682" width="7" style="10" customWidth="1"/>
    <col min="7683" max="7683" width="10.7109375" style="10" customWidth="1"/>
    <col min="7684" max="7684" width="9.28515625" style="10" customWidth="1"/>
    <col min="7685" max="7708" width="7.28515625" style="10" customWidth="1"/>
    <col min="7709" max="7709" width="11.28515625" style="10" bestFit="1" customWidth="1"/>
    <col min="7710" max="7937" width="11.42578125" style="10"/>
    <col min="7938" max="7938" width="7" style="10" customWidth="1"/>
    <col min="7939" max="7939" width="10.7109375" style="10" customWidth="1"/>
    <col min="7940" max="7940" width="9.28515625" style="10" customWidth="1"/>
    <col min="7941" max="7964" width="7.28515625" style="10" customWidth="1"/>
    <col min="7965" max="7965" width="11.28515625" style="10" bestFit="1" customWidth="1"/>
    <col min="7966" max="8193" width="11.42578125" style="10"/>
    <col min="8194" max="8194" width="7" style="10" customWidth="1"/>
    <col min="8195" max="8195" width="10.7109375" style="10" customWidth="1"/>
    <col min="8196" max="8196" width="9.28515625" style="10" customWidth="1"/>
    <col min="8197" max="8220" width="7.28515625" style="10" customWidth="1"/>
    <col min="8221" max="8221" width="11.28515625" style="10" bestFit="1" customWidth="1"/>
    <col min="8222" max="8449" width="11.42578125" style="10"/>
    <col min="8450" max="8450" width="7" style="10" customWidth="1"/>
    <col min="8451" max="8451" width="10.7109375" style="10" customWidth="1"/>
    <col min="8452" max="8452" width="9.28515625" style="10" customWidth="1"/>
    <col min="8453" max="8476" width="7.28515625" style="10" customWidth="1"/>
    <col min="8477" max="8477" width="11.28515625" style="10" bestFit="1" customWidth="1"/>
    <col min="8478" max="8705" width="11.42578125" style="10"/>
    <col min="8706" max="8706" width="7" style="10" customWidth="1"/>
    <col min="8707" max="8707" width="10.7109375" style="10" customWidth="1"/>
    <col min="8708" max="8708" width="9.28515625" style="10" customWidth="1"/>
    <col min="8709" max="8732" width="7.28515625" style="10" customWidth="1"/>
    <col min="8733" max="8733" width="11.28515625" style="10" bestFit="1" customWidth="1"/>
    <col min="8734" max="8961" width="11.42578125" style="10"/>
    <col min="8962" max="8962" width="7" style="10" customWidth="1"/>
    <col min="8963" max="8963" width="10.7109375" style="10" customWidth="1"/>
    <col min="8964" max="8964" width="9.28515625" style="10" customWidth="1"/>
    <col min="8965" max="8988" width="7.28515625" style="10" customWidth="1"/>
    <col min="8989" max="8989" width="11.28515625" style="10" bestFit="1" customWidth="1"/>
    <col min="8990" max="9217" width="11.42578125" style="10"/>
    <col min="9218" max="9218" width="7" style="10" customWidth="1"/>
    <col min="9219" max="9219" width="10.7109375" style="10" customWidth="1"/>
    <col min="9220" max="9220" width="9.28515625" style="10" customWidth="1"/>
    <col min="9221" max="9244" width="7.28515625" style="10" customWidth="1"/>
    <col min="9245" max="9245" width="11.28515625" style="10" bestFit="1" customWidth="1"/>
    <col min="9246" max="9473" width="11.42578125" style="10"/>
    <col min="9474" max="9474" width="7" style="10" customWidth="1"/>
    <col min="9475" max="9475" width="10.7109375" style="10" customWidth="1"/>
    <col min="9476" max="9476" width="9.28515625" style="10" customWidth="1"/>
    <col min="9477" max="9500" width="7.28515625" style="10" customWidth="1"/>
    <col min="9501" max="9501" width="11.28515625" style="10" bestFit="1" customWidth="1"/>
    <col min="9502" max="9729" width="11.42578125" style="10"/>
    <col min="9730" max="9730" width="7" style="10" customWidth="1"/>
    <col min="9731" max="9731" width="10.7109375" style="10" customWidth="1"/>
    <col min="9732" max="9732" width="9.28515625" style="10" customWidth="1"/>
    <col min="9733" max="9756" width="7.28515625" style="10" customWidth="1"/>
    <col min="9757" max="9757" width="11.28515625" style="10" bestFit="1" customWidth="1"/>
    <col min="9758" max="9985" width="11.42578125" style="10"/>
    <col min="9986" max="9986" width="7" style="10" customWidth="1"/>
    <col min="9987" max="9987" width="10.7109375" style="10" customWidth="1"/>
    <col min="9988" max="9988" width="9.28515625" style="10" customWidth="1"/>
    <col min="9989" max="10012" width="7.28515625" style="10" customWidth="1"/>
    <col min="10013" max="10013" width="11.28515625" style="10" bestFit="1" customWidth="1"/>
    <col min="10014" max="10241" width="11.42578125" style="10"/>
    <col min="10242" max="10242" width="7" style="10" customWidth="1"/>
    <col min="10243" max="10243" width="10.7109375" style="10" customWidth="1"/>
    <col min="10244" max="10244" width="9.28515625" style="10" customWidth="1"/>
    <col min="10245" max="10268" width="7.28515625" style="10" customWidth="1"/>
    <col min="10269" max="10269" width="11.28515625" style="10" bestFit="1" customWidth="1"/>
    <col min="10270" max="10497" width="11.42578125" style="10"/>
    <col min="10498" max="10498" width="7" style="10" customWidth="1"/>
    <col min="10499" max="10499" width="10.7109375" style="10" customWidth="1"/>
    <col min="10500" max="10500" width="9.28515625" style="10" customWidth="1"/>
    <col min="10501" max="10524" width="7.28515625" style="10" customWidth="1"/>
    <col min="10525" max="10525" width="11.28515625" style="10" bestFit="1" customWidth="1"/>
    <col min="10526" max="10753" width="11.42578125" style="10"/>
    <col min="10754" max="10754" width="7" style="10" customWidth="1"/>
    <col min="10755" max="10755" width="10.7109375" style="10" customWidth="1"/>
    <col min="10756" max="10756" width="9.28515625" style="10" customWidth="1"/>
    <col min="10757" max="10780" width="7.28515625" style="10" customWidth="1"/>
    <col min="10781" max="10781" width="11.28515625" style="10" bestFit="1" customWidth="1"/>
    <col min="10782" max="11009" width="11.42578125" style="10"/>
    <col min="11010" max="11010" width="7" style="10" customWidth="1"/>
    <col min="11011" max="11011" width="10.7109375" style="10" customWidth="1"/>
    <col min="11012" max="11012" width="9.28515625" style="10" customWidth="1"/>
    <col min="11013" max="11036" width="7.28515625" style="10" customWidth="1"/>
    <col min="11037" max="11037" width="11.28515625" style="10" bestFit="1" customWidth="1"/>
    <col min="11038" max="11265" width="11.42578125" style="10"/>
    <col min="11266" max="11266" width="7" style="10" customWidth="1"/>
    <col min="11267" max="11267" width="10.7109375" style="10" customWidth="1"/>
    <col min="11268" max="11268" width="9.28515625" style="10" customWidth="1"/>
    <col min="11269" max="11292" width="7.28515625" style="10" customWidth="1"/>
    <col min="11293" max="11293" width="11.28515625" style="10" bestFit="1" customWidth="1"/>
    <col min="11294" max="11521" width="11.42578125" style="10"/>
    <col min="11522" max="11522" width="7" style="10" customWidth="1"/>
    <col min="11523" max="11523" width="10.7109375" style="10" customWidth="1"/>
    <col min="11524" max="11524" width="9.28515625" style="10" customWidth="1"/>
    <col min="11525" max="11548" width="7.28515625" style="10" customWidth="1"/>
    <col min="11549" max="11549" width="11.28515625" style="10" bestFit="1" customWidth="1"/>
    <col min="11550" max="11777" width="11.42578125" style="10"/>
    <col min="11778" max="11778" width="7" style="10" customWidth="1"/>
    <col min="11779" max="11779" width="10.7109375" style="10" customWidth="1"/>
    <col min="11780" max="11780" width="9.28515625" style="10" customWidth="1"/>
    <col min="11781" max="11804" width="7.28515625" style="10" customWidth="1"/>
    <col min="11805" max="11805" width="11.28515625" style="10" bestFit="1" customWidth="1"/>
    <col min="11806" max="12033" width="11.42578125" style="10"/>
    <col min="12034" max="12034" width="7" style="10" customWidth="1"/>
    <col min="12035" max="12035" width="10.7109375" style="10" customWidth="1"/>
    <col min="12036" max="12036" width="9.28515625" style="10" customWidth="1"/>
    <col min="12037" max="12060" width="7.28515625" style="10" customWidth="1"/>
    <col min="12061" max="12061" width="11.28515625" style="10" bestFit="1" customWidth="1"/>
    <col min="12062" max="12289" width="11.42578125" style="10"/>
    <col min="12290" max="12290" width="7" style="10" customWidth="1"/>
    <col min="12291" max="12291" width="10.7109375" style="10" customWidth="1"/>
    <col min="12292" max="12292" width="9.28515625" style="10" customWidth="1"/>
    <col min="12293" max="12316" width="7.28515625" style="10" customWidth="1"/>
    <col min="12317" max="12317" width="11.28515625" style="10" bestFit="1" customWidth="1"/>
    <col min="12318" max="12545" width="11.42578125" style="10"/>
    <col min="12546" max="12546" width="7" style="10" customWidth="1"/>
    <col min="12547" max="12547" width="10.7109375" style="10" customWidth="1"/>
    <col min="12548" max="12548" width="9.28515625" style="10" customWidth="1"/>
    <col min="12549" max="12572" width="7.28515625" style="10" customWidth="1"/>
    <col min="12573" max="12573" width="11.28515625" style="10" bestFit="1" customWidth="1"/>
    <col min="12574" max="12801" width="11.42578125" style="10"/>
    <col min="12802" max="12802" width="7" style="10" customWidth="1"/>
    <col min="12803" max="12803" width="10.7109375" style="10" customWidth="1"/>
    <col min="12804" max="12804" width="9.28515625" style="10" customWidth="1"/>
    <col min="12805" max="12828" width="7.28515625" style="10" customWidth="1"/>
    <col min="12829" max="12829" width="11.28515625" style="10" bestFit="1" customWidth="1"/>
    <col min="12830" max="13057" width="11.42578125" style="10"/>
    <col min="13058" max="13058" width="7" style="10" customWidth="1"/>
    <col min="13059" max="13059" width="10.7109375" style="10" customWidth="1"/>
    <col min="13060" max="13060" width="9.28515625" style="10" customWidth="1"/>
    <col min="13061" max="13084" width="7.28515625" style="10" customWidth="1"/>
    <col min="13085" max="13085" width="11.28515625" style="10" bestFit="1" customWidth="1"/>
    <col min="13086" max="13313" width="11.42578125" style="10"/>
    <col min="13314" max="13314" width="7" style="10" customWidth="1"/>
    <col min="13315" max="13315" width="10.7109375" style="10" customWidth="1"/>
    <col min="13316" max="13316" width="9.28515625" style="10" customWidth="1"/>
    <col min="13317" max="13340" width="7.28515625" style="10" customWidth="1"/>
    <col min="13341" max="13341" width="11.28515625" style="10" bestFit="1" customWidth="1"/>
    <col min="13342" max="13569" width="11.42578125" style="10"/>
    <col min="13570" max="13570" width="7" style="10" customWidth="1"/>
    <col min="13571" max="13571" width="10.7109375" style="10" customWidth="1"/>
    <col min="13572" max="13572" width="9.28515625" style="10" customWidth="1"/>
    <col min="13573" max="13596" width="7.28515625" style="10" customWidth="1"/>
    <col min="13597" max="13597" width="11.28515625" style="10" bestFit="1" customWidth="1"/>
    <col min="13598" max="13825" width="11.42578125" style="10"/>
    <col min="13826" max="13826" width="7" style="10" customWidth="1"/>
    <col min="13827" max="13827" width="10.7109375" style="10" customWidth="1"/>
    <col min="13828" max="13828" width="9.28515625" style="10" customWidth="1"/>
    <col min="13829" max="13852" width="7.28515625" style="10" customWidth="1"/>
    <col min="13853" max="13853" width="11.28515625" style="10" bestFit="1" customWidth="1"/>
    <col min="13854" max="14081" width="11.42578125" style="10"/>
    <col min="14082" max="14082" width="7" style="10" customWidth="1"/>
    <col min="14083" max="14083" width="10.7109375" style="10" customWidth="1"/>
    <col min="14084" max="14084" width="9.28515625" style="10" customWidth="1"/>
    <col min="14085" max="14108" width="7.28515625" style="10" customWidth="1"/>
    <col min="14109" max="14109" width="11.28515625" style="10" bestFit="1" customWidth="1"/>
    <col min="14110" max="14337" width="11.42578125" style="10"/>
    <col min="14338" max="14338" width="7" style="10" customWidth="1"/>
    <col min="14339" max="14339" width="10.7109375" style="10" customWidth="1"/>
    <col min="14340" max="14340" width="9.28515625" style="10" customWidth="1"/>
    <col min="14341" max="14364" width="7.28515625" style="10" customWidth="1"/>
    <col min="14365" max="14365" width="11.28515625" style="10" bestFit="1" customWidth="1"/>
    <col min="14366" max="14593" width="11.42578125" style="10"/>
    <col min="14594" max="14594" width="7" style="10" customWidth="1"/>
    <col min="14595" max="14595" width="10.7109375" style="10" customWidth="1"/>
    <col min="14596" max="14596" width="9.28515625" style="10" customWidth="1"/>
    <col min="14597" max="14620" width="7.28515625" style="10" customWidth="1"/>
    <col min="14621" max="14621" width="11.28515625" style="10" bestFit="1" customWidth="1"/>
    <col min="14622" max="14849" width="11.42578125" style="10"/>
    <col min="14850" max="14850" width="7" style="10" customWidth="1"/>
    <col min="14851" max="14851" width="10.7109375" style="10" customWidth="1"/>
    <col min="14852" max="14852" width="9.28515625" style="10" customWidth="1"/>
    <col min="14853" max="14876" width="7.28515625" style="10" customWidth="1"/>
    <col min="14877" max="14877" width="11.28515625" style="10" bestFit="1" customWidth="1"/>
    <col min="14878" max="15105" width="11.42578125" style="10"/>
    <col min="15106" max="15106" width="7" style="10" customWidth="1"/>
    <col min="15107" max="15107" width="10.7109375" style="10" customWidth="1"/>
    <col min="15108" max="15108" width="9.28515625" style="10" customWidth="1"/>
    <col min="15109" max="15132" width="7.28515625" style="10" customWidth="1"/>
    <col min="15133" max="15133" width="11.28515625" style="10" bestFit="1" customWidth="1"/>
    <col min="15134" max="15361" width="11.42578125" style="10"/>
    <col min="15362" max="15362" width="7" style="10" customWidth="1"/>
    <col min="15363" max="15363" width="10.7109375" style="10" customWidth="1"/>
    <col min="15364" max="15364" width="9.28515625" style="10" customWidth="1"/>
    <col min="15365" max="15388" width="7.28515625" style="10" customWidth="1"/>
    <col min="15389" max="15389" width="11.28515625" style="10" bestFit="1" customWidth="1"/>
    <col min="15390" max="15617" width="11.42578125" style="10"/>
    <col min="15618" max="15618" width="7" style="10" customWidth="1"/>
    <col min="15619" max="15619" width="10.7109375" style="10" customWidth="1"/>
    <col min="15620" max="15620" width="9.28515625" style="10" customWidth="1"/>
    <col min="15621" max="15644" width="7.28515625" style="10" customWidth="1"/>
    <col min="15645" max="15645" width="11.28515625" style="10" bestFit="1" customWidth="1"/>
    <col min="15646" max="15873" width="11.42578125" style="10"/>
    <col min="15874" max="15874" width="7" style="10" customWidth="1"/>
    <col min="15875" max="15875" width="10.7109375" style="10" customWidth="1"/>
    <col min="15876" max="15876" width="9.28515625" style="10" customWidth="1"/>
    <col min="15877" max="15900" width="7.28515625" style="10" customWidth="1"/>
    <col min="15901" max="15901" width="11.28515625" style="10" bestFit="1" customWidth="1"/>
    <col min="15902" max="16129" width="11.42578125" style="10"/>
    <col min="16130" max="16130" width="7" style="10" customWidth="1"/>
    <col min="16131" max="16131" width="10.7109375" style="10" customWidth="1"/>
    <col min="16132" max="16132" width="9.28515625" style="10" customWidth="1"/>
    <col min="16133" max="16156" width="7.28515625" style="10" customWidth="1"/>
    <col min="16157" max="16157" width="11.28515625" style="10" bestFit="1" customWidth="1"/>
    <col min="16158" max="16384" width="11.42578125" style="10"/>
  </cols>
  <sheetData>
    <row r="1" spans="2:31" ht="18.600000000000001" customHeight="1" x14ac:dyDescent="0.2"/>
    <row r="2" spans="2:31" ht="18.600000000000001" customHeight="1" x14ac:dyDescent="0.2">
      <c r="B2" s="59" t="s">
        <v>45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</row>
    <row r="3" spans="2:31" ht="18.600000000000001" customHeight="1" x14ac:dyDescent="0.2">
      <c r="B3" s="59" t="s">
        <v>44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spans="2:31" ht="18.600000000000001" customHeight="1" x14ac:dyDescent="0.2">
      <c r="B4" s="59">
        <v>2029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</row>
    <row r="5" spans="2:31" ht="18.600000000000001" customHeight="1" x14ac:dyDescent="0.2"/>
    <row r="6" spans="2:31" ht="31.5" x14ac:dyDescent="0.2">
      <c r="B6" s="2" t="s">
        <v>0</v>
      </c>
      <c r="C6" s="3" t="s">
        <v>1</v>
      </c>
      <c r="D6" s="2" t="s">
        <v>2</v>
      </c>
      <c r="E6" s="12" t="s">
        <v>3</v>
      </c>
      <c r="F6" s="12" t="s">
        <v>4</v>
      </c>
      <c r="G6" s="12" t="s">
        <v>5</v>
      </c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14</v>
      </c>
      <c r="Q6" s="12" t="s">
        <v>15</v>
      </c>
      <c r="R6" s="12" t="s">
        <v>16</v>
      </c>
      <c r="S6" s="12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2" t="s">
        <v>22</v>
      </c>
      <c r="Y6" s="12" t="s">
        <v>23</v>
      </c>
      <c r="Z6" s="12" t="s">
        <v>24</v>
      </c>
      <c r="AA6" s="12" t="s">
        <v>25</v>
      </c>
      <c r="AB6" s="12" t="s">
        <v>26</v>
      </c>
      <c r="AC6" s="12" t="s">
        <v>27</v>
      </c>
    </row>
    <row r="7" spans="2:31" ht="18.600000000000001" customHeight="1" x14ac:dyDescent="0.2">
      <c r="B7" s="49" t="s">
        <v>28</v>
      </c>
      <c r="C7" s="4" t="s">
        <v>29</v>
      </c>
      <c r="D7" s="5">
        <v>21</v>
      </c>
      <c r="E7" s="64">
        <v>5598.18</v>
      </c>
      <c r="F7" s="64">
        <v>5172.8999999999996</v>
      </c>
      <c r="G7" s="64">
        <v>4914.58</v>
      </c>
      <c r="H7" s="64">
        <v>4925.18</v>
      </c>
      <c r="I7" s="64">
        <v>5494.77</v>
      </c>
      <c r="J7" s="64">
        <v>7328.16</v>
      </c>
      <c r="K7" s="64">
        <v>7977.3</v>
      </c>
      <c r="L7" s="64">
        <v>13061.36</v>
      </c>
      <c r="M7" s="64">
        <v>11080.12</v>
      </c>
      <c r="N7" s="64">
        <v>10339.58</v>
      </c>
      <c r="O7" s="64">
        <v>10649.46</v>
      </c>
      <c r="P7" s="64">
        <v>11321.78</v>
      </c>
      <c r="Q7" s="64">
        <v>10894.94</v>
      </c>
      <c r="R7" s="64">
        <v>11075.02</v>
      </c>
      <c r="S7" s="64">
        <v>11798.31</v>
      </c>
      <c r="T7" s="64">
        <v>12629.96</v>
      </c>
      <c r="U7" s="64">
        <v>15212.58</v>
      </c>
      <c r="V7" s="64">
        <v>14223.66</v>
      </c>
      <c r="W7" s="64">
        <v>15928.36</v>
      </c>
      <c r="X7" s="64">
        <v>16378.35</v>
      </c>
      <c r="Y7" s="64">
        <v>15527.75</v>
      </c>
      <c r="Z7" s="64">
        <v>13755.37</v>
      </c>
      <c r="AA7" s="64">
        <v>11116.12</v>
      </c>
      <c r="AB7" s="64">
        <v>9296.52</v>
      </c>
      <c r="AC7" s="65">
        <f>+SUM(E7:AB7)*D7+SUM(E8:AB8)*D8+SUM(E9:AB9)*D9+SUM(E10:AB10)*D10</f>
        <v>7611173.3899999997</v>
      </c>
      <c r="AE7" s="8">
        <f>+AC7</f>
        <v>7611173.3899999997</v>
      </c>
    </row>
    <row r="8" spans="2:31" ht="18.600000000000001" customHeight="1" x14ac:dyDescent="0.2">
      <c r="B8" s="49" t="s">
        <v>28</v>
      </c>
      <c r="C8" s="4" t="s">
        <v>30</v>
      </c>
      <c r="D8" s="5">
        <v>4</v>
      </c>
      <c r="E8" s="64">
        <v>6143.69</v>
      </c>
      <c r="F8" s="64">
        <v>5414.84</v>
      </c>
      <c r="G8" s="64">
        <v>5315.46</v>
      </c>
      <c r="H8" s="64">
        <v>5319.85</v>
      </c>
      <c r="I8" s="64">
        <v>5374.47</v>
      </c>
      <c r="J8" s="64">
        <v>5974.42</v>
      </c>
      <c r="K8" s="64">
        <v>6414.48</v>
      </c>
      <c r="L8" s="64">
        <v>12196.36</v>
      </c>
      <c r="M8" s="64">
        <v>10917.3</v>
      </c>
      <c r="N8" s="64">
        <v>10704.94</v>
      </c>
      <c r="O8" s="64">
        <v>10603.85</v>
      </c>
      <c r="P8" s="64">
        <v>10879.2</v>
      </c>
      <c r="Q8" s="64">
        <v>11423.46</v>
      </c>
      <c r="R8" s="64">
        <v>11320.13</v>
      </c>
      <c r="S8" s="64">
        <v>11920.72</v>
      </c>
      <c r="T8" s="64">
        <v>11278.88</v>
      </c>
      <c r="U8" s="64">
        <v>14400.62</v>
      </c>
      <c r="V8" s="64">
        <v>13194.93</v>
      </c>
      <c r="W8" s="64">
        <v>15145.73</v>
      </c>
      <c r="X8" s="64">
        <v>15237.18</v>
      </c>
      <c r="Y8" s="64">
        <v>14415.86</v>
      </c>
      <c r="Z8" s="64">
        <v>13270.16</v>
      </c>
      <c r="AA8" s="64">
        <v>11527.91</v>
      </c>
      <c r="AB8" s="64">
        <v>10028.74</v>
      </c>
      <c r="AC8" s="66"/>
      <c r="AE8" s="8">
        <f>+AC11</f>
        <v>7372921.040000001</v>
      </c>
    </row>
    <row r="9" spans="2:31" ht="18.600000000000001" customHeight="1" x14ac:dyDescent="0.2">
      <c r="B9" s="49" t="s">
        <v>28</v>
      </c>
      <c r="C9" s="4" t="s">
        <v>31</v>
      </c>
      <c r="D9" s="5">
        <v>4</v>
      </c>
      <c r="E9" s="64">
        <v>6303.3</v>
      </c>
      <c r="F9" s="64">
        <v>5623.89</v>
      </c>
      <c r="G9" s="64">
        <v>5007.09</v>
      </c>
      <c r="H9" s="64">
        <v>4729.12</v>
      </c>
      <c r="I9" s="64">
        <v>4469.17</v>
      </c>
      <c r="J9" s="64">
        <v>4555.01</v>
      </c>
      <c r="K9" s="64">
        <v>4135.8</v>
      </c>
      <c r="L9" s="64">
        <v>9102.15</v>
      </c>
      <c r="M9" s="64">
        <v>7943.58</v>
      </c>
      <c r="N9" s="64">
        <v>7698.23</v>
      </c>
      <c r="O9" s="64">
        <v>7815.93</v>
      </c>
      <c r="P9" s="64">
        <v>8669.36</v>
      </c>
      <c r="Q9" s="64">
        <v>8854.32</v>
      </c>
      <c r="R9" s="64">
        <v>9326.7099999999991</v>
      </c>
      <c r="S9" s="64">
        <v>9401.34</v>
      </c>
      <c r="T9" s="64">
        <v>10307.34</v>
      </c>
      <c r="U9" s="64">
        <v>13043.83</v>
      </c>
      <c r="V9" s="64">
        <v>11881.72</v>
      </c>
      <c r="W9" s="64">
        <v>14436.88</v>
      </c>
      <c r="X9" s="64">
        <v>14815.6</v>
      </c>
      <c r="Y9" s="64">
        <v>14082.1</v>
      </c>
      <c r="Z9" s="64">
        <v>12183.99</v>
      </c>
      <c r="AA9" s="64">
        <v>10103.86</v>
      </c>
      <c r="AB9" s="64">
        <v>8212.74</v>
      </c>
      <c r="AC9" s="66"/>
      <c r="AE9" s="8">
        <f>+AC15</f>
        <v>7629884.0800000001</v>
      </c>
    </row>
    <row r="10" spans="2:31" ht="18.600000000000001" customHeight="1" x14ac:dyDescent="0.2">
      <c r="B10" s="49" t="s">
        <v>28</v>
      </c>
      <c r="C10" s="4" t="s">
        <v>32</v>
      </c>
      <c r="D10" s="5">
        <v>2</v>
      </c>
      <c r="E10" s="64">
        <v>5980.4</v>
      </c>
      <c r="F10" s="64">
        <v>5845.75</v>
      </c>
      <c r="G10" s="64">
        <v>5430.27</v>
      </c>
      <c r="H10" s="64">
        <v>5120.4399999999996</v>
      </c>
      <c r="I10" s="64">
        <v>4769.1099999999997</v>
      </c>
      <c r="J10" s="64">
        <v>4416.57</v>
      </c>
      <c r="K10" s="64">
        <v>3231.53</v>
      </c>
      <c r="L10" s="64">
        <v>7623.39</v>
      </c>
      <c r="M10" s="64">
        <v>6071.41</v>
      </c>
      <c r="N10" s="64">
        <v>6165.45</v>
      </c>
      <c r="O10" s="64">
        <v>6221.25</v>
      </c>
      <c r="P10" s="64">
        <v>6896.23</v>
      </c>
      <c r="Q10" s="64">
        <v>7849.24</v>
      </c>
      <c r="R10" s="64">
        <v>8935.92</v>
      </c>
      <c r="S10" s="64">
        <v>8653.8700000000008</v>
      </c>
      <c r="T10" s="64">
        <v>9763.26</v>
      </c>
      <c r="U10" s="64">
        <v>12668.89</v>
      </c>
      <c r="V10" s="64">
        <v>12118.14</v>
      </c>
      <c r="W10" s="64">
        <v>13791.68</v>
      </c>
      <c r="X10" s="64">
        <v>13879.25</v>
      </c>
      <c r="Y10" s="64">
        <v>13105.05</v>
      </c>
      <c r="Z10" s="64">
        <v>11542.36</v>
      </c>
      <c r="AA10" s="64">
        <v>10017.799999999999</v>
      </c>
      <c r="AB10" s="64">
        <v>8383.7000000000007</v>
      </c>
      <c r="AC10" s="67"/>
      <c r="AE10" s="8">
        <f>+AC19</f>
        <v>7671929.6899999995</v>
      </c>
    </row>
    <row r="11" spans="2:31" ht="18.600000000000001" customHeight="1" x14ac:dyDescent="0.2">
      <c r="B11" s="49" t="s">
        <v>33</v>
      </c>
      <c r="C11" s="4" t="s">
        <v>29</v>
      </c>
      <c r="D11" s="5">
        <v>20</v>
      </c>
      <c r="E11" s="64">
        <v>7454.75</v>
      </c>
      <c r="F11" s="64">
        <v>7020.65</v>
      </c>
      <c r="G11" s="64">
        <v>6883.6</v>
      </c>
      <c r="H11" s="64">
        <v>6827.34</v>
      </c>
      <c r="I11" s="64">
        <v>7399.57</v>
      </c>
      <c r="J11" s="64">
        <v>9427.24</v>
      </c>
      <c r="K11" s="64">
        <v>8335.59</v>
      </c>
      <c r="L11" s="64">
        <v>13013.86</v>
      </c>
      <c r="M11" s="64">
        <v>10915.1</v>
      </c>
      <c r="N11" s="64">
        <v>10293.31</v>
      </c>
      <c r="O11" s="64">
        <v>10366.93</v>
      </c>
      <c r="P11" s="64">
        <v>10976.31</v>
      </c>
      <c r="Q11" s="64">
        <v>10802.38</v>
      </c>
      <c r="R11" s="64">
        <v>11051.78</v>
      </c>
      <c r="S11" s="64">
        <v>11935.81</v>
      </c>
      <c r="T11" s="64">
        <v>12922.82</v>
      </c>
      <c r="U11" s="64">
        <v>14985.47</v>
      </c>
      <c r="V11" s="64">
        <v>12891.16</v>
      </c>
      <c r="W11" s="64">
        <v>15421.42</v>
      </c>
      <c r="X11" s="64">
        <v>16580.32</v>
      </c>
      <c r="Y11" s="64">
        <v>16020.2</v>
      </c>
      <c r="Z11" s="64">
        <v>14553.24</v>
      </c>
      <c r="AA11" s="64">
        <v>12600.37</v>
      </c>
      <c r="AB11" s="64">
        <v>10933.02</v>
      </c>
      <c r="AC11" s="65">
        <f>+SUM(E11:AB11)*D11+SUM(E12:AB12)*D12+SUM(E13:AB13)*D13+SUM(E14:AB14)*D14</f>
        <v>7372921.040000001</v>
      </c>
      <c r="AE11" s="8">
        <f>+AC23</f>
        <v>7564719.2399999993</v>
      </c>
    </row>
    <row r="12" spans="2:31" ht="18.600000000000001" customHeight="1" x14ac:dyDescent="0.2">
      <c r="B12" s="49" t="s">
        <v>33</v>
      </c>
      <c r="C12" s="4" t="s">
        <v>30</v>
      </c>
      <c r="D12" s="5">
        <v>4</v>
      </c>
      <c r="E12" s="64">
        <v>7745.22</v>
      </c>
      <c r="F12" s="64">
        <v>7187.52</v>
      </c>
      <c r="G12" s="64">
        <v>6805.49</v>
      </c>
      <c r="H12" s="64">
        <v>6737.7</v>
      </c>
      <c r="I12" s="64">
        <v>6919.12</v>
      </c>
      <c r="J12" s="64">
        <v>7359.19</v>
      </c>
      <c r="K12" s="64">
        <v>6116.46</v>
      </c>
      <c r="L12" s="64">
        <v>12032.02</v>
      </c>
      <c r="M12" s="64">
        <v>10775.4</v>
      </c>
      <c r="N12" s="64">
        <v>10275.65</v>
      </c>
      <c r="O12" s="64">
        <v>10398.92</v>
      </c>
      <c r="P12" s="64">
        <v>10888.91</v>
      </c>
      <c r="Q12" s="64">
        <v>11130.86</v>
      </c>
      <c r="R12" s="64">
        <v>10858.07</v>
      </c>
      <c r="S12" s="64">
        <v>11102.53</v>
      </c>
      <c r="T12" s="64">
        <v>11857.53</v>
      </c>
      <c r="U12" s="64">
        <v>14003.9</v>
      </c>
      <c r="V12" s="64">
        <v>12311.32</v>
      </c>
      <c r="W12" s="64">
        <v>14927.3</v>
      </c>
      <c r="X12" s="64">
        <v>16042.79</v>
      </c>
      <c r="Y12" s="64">
        <v>15342.49</v>
      </c>
      <c r="Z12" s="64">
        <v>14232.08</v>
      </c>
      <c r="AA12" s="64">
        <v>12805.39</v>
      </c>
      <c r="AB12" s="64">
        <v>11360.88</v>
      </c>
      <c r="AC12" s="66"/>
      <c r="AE12" s="8">
        <f>+AC27</f>
        <v>7481094.2299999995</v>
      </c>
    </row>
    <row r="13" spans="2:31" ht="18.600000000000001" customHeight="1" x14ac:dyDescent="0.2">
      <c r="B13" s="49" t="s">
        <v>33</v>
      </c>
      <c r="C13" s="4" t="s">
        <v>31</v>
      </c>
      <c r="D13" s="5">
        <v>4</v>
      </c>
      <c r="E13" s="64">
        <v>8173.8</v>
      </c>
      <c r="F13" s="64">
        <v>7475.84</v>
      </c>
      <c r="G13" s="64">
        <v>7098.35</v>
      </c>
      <c r="H13" s="64">
        <v>6856.84</v>
      </c>
      <c r="I13" s="64">
        <v>6587.7</v>
      </c>
      <c r="J13" s="64">
        <v>6563.26</v>
      </c>
      <c r="K13" s="64">
        <v>4832.84</v>
      </c>
      <c r="L13" s="64">
        <v>9727.77</v>
      </c>
      <c r="M13" s="64">
        <v>8651.59</v>
      </c>
      <c r="N13" s="64">
        <v>8618.5400000000009</v>
      </c>
      <c r="O13" s="64">
        <v>8566.5400000000009</v>
      </c>
      <c r="P13" s="64">
        <v>9045.23</v>
      </c>
      <c r="Q13" s="64">
        <v>9572.7099999999991</v>
      </c>
      <c r="R13" s="64">
        <v>9634.59</v>
      </c>
      <c r="S13" s="64">
        <v>9907.65</v>
      </c>
      <c r="T13" s="64">
        <v>10555.64</v>
      </c>
      <c r="U13" s="64">
        <v>12469.2</v>
      </c>
      <c r="V13" s="64">
        <v>11434.52</v>
      </c>
      <c r="W13" s="64">
        <v>13983.57</v>
      </c>
      <c r="X13" s="64">
        <v>15222.7</v>
      </c>
      <c r="Y13" s="64">
        <v>14908.51</v>
      </c>
      <c r="Z13" s="64">
        <v>13753.52</v>
      </c>
      <c r="AA13" s="64">
        <v>12069.37</v>
      </c>
      <c r="AB13" s="64">
        <v>10242.040000000001</v>
      </c>
      <c r="AC13" s="66"/>
      <c r="AE13" s="8">
        <f>+AC31</f>
        <v>7609421.9299999997</v>
      </c>
    </row>
    <row r="14" spans="2:31" ht="18.600000000000001" customHeight="1" x14ac:dyDescent="0.2">
      <c r="B14" s="49" t="s">
        <v>33</v>
      </c>
      <c r="C14" s="4" t="s">
        <v>32</v>
      </c>
      <c r="D14" s="5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7"/>
      <c r="AE14" s="8">
        <f>+AC35</f>
        <v>7737642.9699999988</v>
      </c>
    </row>
    <row r="15" spans="2:31" ht="18.600000000000001" customHeight="1" x14ac:dyDescent="0.2">
      <c r="B15" s="49" t="s">
        <v>34</v>
      </c>
      <c r="C15" s="4" t="s">
        <v>29</v>
      </c>
      <c r="D15" s="5">
        <v>19</v>
      </c>
      <c r="E15" s="64">
        <v>7658.98</v>
      </c>
      <c r="F15" s="64">
        <v>7206.31</v>
      </c>
      <c r="G15" s="64">
        <v>7034.55</v>
      </c>
      <c r="H15" s="64">
        <v>6899.39</v>
      </c>
      <c r="I15" s="64">
        <v>7246.99</v>
      </c>
      <c r="J15" s="64">
        <v>8675.7999999999993</v>
      </c>
      <c r="K15" s="64">
        <v>7126.42</v>
      </c>
      <c r="L15" s="64">
        <v>11910.05</v>
      </c>
      <c r="M15" s="64">
        <v>9981.7999999999993</v>
      </c>
      <c r="N15" s="64">
        <v>9416.41</v>
      </c>
      <c r="O15" s="64">
        <v>9378.81</v>
      </c>
      <c r="P15" s="64">
        <v>9897.7000000000007</v>
      </c>
      <c r="Q15" s="64">
        <v>9867.56</v>
      </c>
      <c r="R15" s="64">
        <v>10199.17</v>
      </c>
      <c r="S15" s="64">
        <v>11116.55</v>
      </c>
      <c r="T15" s="64">
        <v>11997.47</v>
      </c>
      <c r="U15" s="64">
        <v>14108.69</v>
      </c>
      <c r="V15" s="64">
        <v>12429.98</v>
      </c>
      <c r="W15" s="64">
        <v>14867.31</v>
      </c>
      <c r="X15" s="64">
        <v>16092.36</v>
      </c>
      <c r="Y15" s="64">
        <v>15653.25</v>
      </c>
      <c r="Z15" s="64">
        <v>14381.84</v>
      </c>
      <c r="AA15" s="64">
        <v>12623.47</v>
      </c>
      <c r="AB15" s="64">
        <v>11315.55</v>
      </c>
      <c r="AC15" s="65">
        <f>+SUM(E15:AB15)*D15+SUM(E16:AB16)*D16+SUM(E17:AB17)*D17+SUM(E18:AB18)*D18</f>
        <v>7629884.0800000001</v>
      </c>
      <c r="AE15" s="8">
        <f>+AC39</f>
        <v>7520959.6499999994</v>
      </c>
    </row>
    <row r="16" spans="2:31" ht="18.600000000000001" customHeight="1" x14ac:dyDescent="0.2">
      <c r="B16" s="49" t="s">
        <v>34</v>
      </c>
      <c r="C16" s="4" t="s">
        <v>30</v>
      </c>
      <c r="D16" s="5">
        <v>5</v>
      </c>
      <c r="E16" s="64">
        <v>7884.37</v>
      </c>
      <c r="F16" s="64">
        <v>7218.77</v>
      </c>
      <c r="G16" s="64">
        <v>6933.42</v>
      </c>
      <c r="H16" s="64">
        <v>6800.72</v>
      </c>
      <c r="I16" s="64">
        <v>6797.95</v>
      </c>
      <c r="J16" s="64">
        <v>7138.63</v>
      </c>
      <c r="K16" s="64">
        <v>5217.97</v>
      </c>
      <c r="L16" s="64">
        <v>10776.07</v>
      </c>
      <c r="M16" s="64">
        <v>9508.7000000000007</v>
      </c>
      <c r="N16" s="64">
        <v>9173.52</v>
      </c>
      <c r="O16" s="64">
        <v>8957.58</v>
      </c>
      <c r="P16" s="64">
        <v>9297.36</v>
      </c>
      <c r="Q16" s="64">
        <v>9395.6299999999992</v>
      </c>
      <c r="R16" s="64">
        <v>9546.7199999999993</v>
      </c>
      <c r="S16" s="64">
        <v>9964.1299999999992</v>
      </c>
      <c r="T16" s="64">
        <v>10708.94</v>
      </c>
      <c r="U16" s="64">
        <v>12781.09</v>
      </c>
      <c r="V16" s="64">
        <v>11554.9</v>
      </c>
      <c r="W16" s="64">
        <v>14361.77</v>
      </c>
      <c r="X16" s="64">
        <v>15090.32</v>
      </c>
      <c r="Y16" s="64">
        <v>14473.14</v>
      </c>
      <c r="Z16" s="64">
        <v>13717.3</v>
      </c>
      <c r="AA16" s="64">
        <v>12531.94</v>
      </c>
      <c r="AB16" s="64">
        <v>11349.99</v>
      </c>
      <c r="AC16" s="66"/>
      <c r="AE16" s="8">
        <f>+AC43</f>
        <v>7771992.7200000016</v>
      </c>
    </row>
    <row r="17" spans="2:31" ht="18.600000000000001" customHeight="1" x14ac:dyDescent="0.2">
      <c r="B17" s="49" t="s">
        <v>34</v>
      </c>
      <c r="C17" s="4" t="s">
        <v>31</v>
      </c>
      <c r="D17" s="5">
        <v>4</v>
      </c>
      <c r="E17" s="64">
        <v>8041.38</v>
      </c>
      <c r="F17" s="64">
        <v>7372.7</v>
      </c>
      <c r="G17" s="64">
        <v>7029.48</v>
      </c>
      <c r="H17" s="64">
        <v>6751.95</v>
      </c>
      <c r="I17" s="64">
        <v>6605.45</v>
      </c>
      <c r="J17" s="64">
        <v>6558.06</v>
      </c>
      <c r="K17" s="64">
        <v>4256.32</v>
      </c>
      <c r="L17" s="64">
        <v>9000.74</v>
      </c>
      <c r="M17" s="64">
        <v>7911.12</v>
      </c>
      <c r="N17" s="64">
        <v>7885.41</v>
      </c>
      <c r="O17" s="64">
        <v>7555.85</v>
      </c>
      <c r="P17" s="64">
        <v>7749.65</v>
      </c>
      <c r="Q17" s="64">
        <v>8039.71</v>
      </c>
      <c r="R17" s="64">
        <v>8579.1</v>
      </c>
      <c r="S17" s="64">
        <v>8927.75</v>
      </c>
      <c r="T17" s="64">
        <v>9799.86</v>
      </c>
      <c r="U17" s="64">
        <v>11863.56</v>
      </c>
      <c r="V17" s="64">
        <v>10553.34</v>
      </c>
      <c r="W17" s="64">
        <v>13201.36</v>
      </c>
      <c r="X17" s="64">
        <v>14702.17</v>
      </c>
      <c r="Y17" s="64">
        <v>14525.2</v>
      </c>
      <c r="Z17" s="64">
        <v>13648.06</v>
      </c>
      <c r="AA17" s="64">
        <v>12122.24</v>
      </c>
      <c r="AB17" s="64">
        <v>10591.14</v>
      </c>
      <c r="AC17" s="66"/>
      <c r="AE17" s="8">
        <f>+AC47</f>
        <v>7622142.1400000006</v>
      </c>
    </row>
    <row r="18" spans="2:31" ht="18.600000000000001" customHeight="1" x14ac:dyDescent="0.2">
      <c r="B18" s="49" t="s">
        <v>34</v>
      </c>
      <c r="C18" s="4" t="s">
        <v>32</v>
      </c>
      <c r="D18" s="5">
        <v>3</v>
      </c>
      <c r="E18" s="64">
        <v>7514.54</v>
      </c>
      <c r="F18" s="64">
        <v>6860.05</v>
      </c>
      <c r="G18" s="64">
        <v>6530.17</v>
      </c>
      <c r="H18" s="64">
        <v>6397.48</v>
      </c>
      <c r="I18" s="64">
        <v>6266.44</v>
      </c>
      <c r="J18" s="64">
        <v>6461.42</v>
      </c>
      <c r="K18" s="64">
        <v>4382.26</v>
      </c>
      <c r="L18" s="64">
        <v>9486.16</v>
      </c>
      <c r="M18" s="64">
        <v>8370.17</v>
      </c>
      <c r="N18" s="64">
        <v>7539.36</v>
      </c>
      <c r="O18" s="64">
        <v>6912.58</v>
      </c>
      <c r="P18" s="64">
        <v>7400.99</v>
      </c>
      <c r="Q18" s="64">
        <v>7955.2</v>
      </c>
      <c r="R18" s="64">
        <v>8211.51</v>
      </c>
      <c r="S18" s="64">
        <v>8297.2800000000007</v>
      </c>
      <c r="T18" s="64">
        <v>9060.9699999999993</v>
      </c>
      <c r="U18" s="64">
        <v>11246.54</v>
      </c>
      <c r="V18" s="64">
        <v>10064.799999999999</v>
      </c>
      <c r="W18" s="64">
        <v>12969.4</v>
      </c>
      <c r="X18" s="64">
        <v>13629.49</v>
      </c>
      <c r="Y18" s="64">
        <v>13247.29</v>
      </c>
      <c r="Z18" s="64">
        <v>13123.63</v>
      </c>
      <c r="AA18" s="64">
        <v>12312.32</v>
      </c>
      <c r="AB18" s="64">
        <v>11177.03</v>
      </c>
      <c r="AC18" s="67"/>
      <c r="AE18" s="8">
        <f>+AC51</f>
        <v>7728670.0100000007</v>
      </c>
    </row>
    <row r="19" spans="2:31" ht="18.600000000000001" customHeight="1" x14ac:dyDescent="0.2">
      <c r="B19" s="49" t="s">
        <v>35</v>
      </c>
      <c r="C19" s="4" t="s">
        <v>29</v>
      </c>
      <c r="D19" s="5">
        <v>21</v>
      </c>
      <c r="E19" s="64">
        <v>7475.1</v>
      </c>
      <c r="F19" s="64">
        <v>6972.72</v>
      </c>
      <c r="G19" s="64">
        <v>6785.14</v>
      </c>
      <c r="H19" s="64">
        <v>6747.88</v>
      </c>
      <c r="I19" s="64">
        <v>7354.09</v>
      </c>
      <c r="J19" s="64">
        <v>9460.66</v>
      </c>
      <c r="K19" s="64">
        <v>8294.98</v>
      </c>
      <c r="L19" s="64">
        <v>12634.4</v>
      </c>
      <c r="M19" s="64">
        <v>10009.16</v>
      </c>
      <c r="N19" s="64">
        <v>9251.56</v>
      </c>
      <c r="O19" s="64">
        <v>9238.82</v>
      </c>
      <c r="P19" s="64">
        <v>9084.19</v>
      </c>
      <c r="Q19" s="64">
        <v>9337.58</v>
      </c>
      <c r="R19" s="64">
        <v>9832.4</v>
      </c>
      <c r="S19" s="64">
        <v>10881.32</v>
      </c>
      <c r="T19" s="64">
        <v>11956.26</v>
      </c>
      <c r="U19" s="64">
        <v>14404.21</v>
      </c>
      <c r="V19" s="64">
        <v>12995.72</v>
      </c>
      <c r="W19" s="64">
        <v>15958.5</v>
      </c>
      <c r="X19" s="64">
        <v>16456.259999999998</v>
      </c>
      <c r="Y19" s="64">
        <v>15888.31</v>
      </c>
      <c r="Z19" s="64">
        <v>14601.83</v>
      </c>
      <c r="AA19" s="64">
        <v>12525.2</v>
      </c>
      <c r="AB19" s="64">
        <v>10868.63</v>
      </c>
      <c r="AC19" s="65">
        <f>+SUM(E19:AB19)*D19+SUM(E20:AB20)*D20+SUM(E21:AB21)*D21+SUM(E22:AB22)*D22</f>
        <v>7671929.6899999995</v>
      </c>
    </row>
    <row r="20" spans="2:31" ht="18.600000000000001" customHeight="1" x14ac:dyDescent="0.2">
      <c r="B20" s="49" t="s">
        <v>35</v>
      </c>
      <c r="C20" s="4" t="s">
        <v>30</v>
      </c>
      <c r="D20" s="5">
        <v>4</v>
      </c>
      <c r="E20" s="64">
        <v>7988.65</v>
      </c>
      <c r="F20" s="64">
        <v>7507.96</v>
      </c>
      <c r="G20" s="64">
        <v>6965.41</v>
      </c>
      <c r="H20" s="64">
        <v>6933.42</v>
      </c>
      <c r="I20" s="64">
        <v>7169.98</v>
      </c>
      <c r="J20" s="64">
        <v>7659.43</v>
      </c>
      <c r="K20" s="64">
        <v>5840.87</v>
      </c>
      <c r="L20" s="64">
        <v>12220.83</v>
      </c>
      <c r="M20" s="64">
        <v>11189.74</v>
      </c>
      <c r="N20" s="64">
        <v>10634.82</v>
      </c>
      <c r="O20" s="64">
        <v>10298.74</v>
      </c>
      <c r="P20" s="64">
        <v>10394.5</v>
      </c>
      <c r="Q20" s="64">
        <v>10859.05</v>
      </c>
      <c r="R20" s="64">
        <v>10346.219999999999</v>
      </c>
      <c r="S20" s="64">
        <v>10715.12</v>
      </c>
      <c r="T20" s="64">
        <v>11629.76</v>
      </c>
      <c r="U20" s="64">
        <v>13972.87</v>
      </c>
      <c r="V20" s="64">
        <v>11309.64</v>
      </c>
      <c r="W20" s="64">
        <v>15577.36</v>
      </c>
      <c r="X20" s="64">
        <v>16246.01</v>
      </c>
      <c r="Y20" s="64">
        <v>15554.56</v>
      </c>
      <c r="Z20" s="64">
        <v>14627.92</v>
      </c>
      <c r="AA20" s="64">
        <v>13101.38</v>
      </c>
      <c r="AB20" s="64">
        <v>12610.14</v>
      </c>
      <c r="AC20" s="66"/>
    </row>
    <row r="21" spans="2:31" ht="18.600000000000001" customHeight="1" x14ac:dyDescent="0.2">
      <c r="B21" s="49" t="s">
        <v>35</v>
      </c>
      <c r="C21" s="4" t="s">
        <v>31</v>
      </c>
      <c r="D21" s="5">
        <v>5</v>
      </c>
      <c r="E21" s="64">
        <v>8401.14</v>
      </c>
      <c r="F21" s="64">
        <v>7836.4</v>
      </c>
      <c r="G21" s="64">
        <v>7450.55</v>
      </c>
      <c r="H21" s="64">
        <v>7164.02</v>
      </c>
      <c r="I21" s="64">
        <v>6892.94</v>
      </c>
      <c r="J21" s="64">
        <v>6841.18</v>
      </c>
      <c r="K21" s="64">
        <v>4810.78</v>
      </c>
      <c r="L21" s="64">
        <v>9650.14</v>
      </c>
      <c r="M21" s="64">
        <v>8425.31</v>
      </c>
      <c r="N21" s="64">
        <v>8070.34</v>
      </c>
      <c r="O21" s="64">
        <v>8037.89</v>
      </c>
      <c r="P21" s="64">
        <v>8548.18</v>
      </c>
      <c r="Q21" s="64">
        <v>9413.5499999999993</v>
      </c>
      <c r="R21" s="64">
        <v>9923.14</v>
      </c>
      <c r="S21" s="64">
        <v>9926.9</v>
      </c>
      <c r="T21" s="64">
        <v>10618.03</v>
      </c>
      <c r="U21" s="64">
        <v>12626.12</v>
      </c>
      <c r="V21" s="64">
        <v>11653.85</v>
      </c>
      <c r="W21" s="64">
        <v>14647.23</v>
      </c>
      <c r="X21" s="64">
        <v>15216.08</v>
      </c>
      <c r="Y21" s="64">
        <v>14968.7</v>
      </c>
      <c r="Z21" s="64">
        <v>13764.78</v>
      </c>
      <c r="AA21" s="64">
        <v>12140.22</v>
      </c>
      <c r="AB21" s="64">
        <v>10412.299999999999</v>
      </c>
      <c r="AC21" s="66"/>
    </row>
    <row r="22" spans="2:31" ht="18.600000000000001" customHeight="1" x14ac:dyDescent="0.2">
      <c r="B22" s="49" t="s">
        <v>35</v>
      </c>
      <c r="C22" s="4" t="s">
        <v>32</v>
      </c>
      <c r="D22" s="5">
        <v>0</v>
      </c>
      <c r="E22" s="64">
        <v>0</v>
      </c>
      <c r="F22" s="64">
        <v>0</v>
      </c>
      <c r="G22" s="64">
        <v>0</v>
      </c>
      <c r="H22" s="64">
        <v>0</v>
      </c>
      <c r="I22" s="64">
        <v>0</v>
      </c>
      <c r="J22" s="64"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0</v>
      </c>
      <c r="AC22" s="67"/>
    </row>
    <row r="23" spans="2:31" ht="18.600000000000001" customHeight="1" x14ac:dyDescent="0.2">
      <c r="B23" s="49" t="s">
        <v>36</v>
      </c>
      <c r="C23" s="4" t="s">
        <v>29</v>
      </c>
      <c r="D23" s="5">
        <v>21</v>
      </c>
      <c r="E23" s="64">
        <v>6945.8</v>
      </c>
      <c r="F23" s="64">
        <v>6592.29</v>
      </c>
      <c r="G23" s="64">
        <v>6413.42</v>
      </c>
      <c r="H23" s="64">
        <v>6382.33</v>
      </c>
      <c r="I23" s="64">
        <v>6883.13</v>
      </c>
      <c r="J23" s="64">
        <v>8695.98</v>
      </c>
      <c r="K23" s="64">
        <v>7538.77</v>
      </c>
      <c r="L23" s="64">
        <v>12058.1</v>
      </c>
      <c r="M23" s="64">
        <v>9800.14</v>
      </c>
      <c r="N23" s="64">
        <v>9045.09</v>
      </c>
      <c r="O23" s="64">
        <v>9151.4500000000007</v>
      </c>
      <c r="P23" s="64">
        <v>9684.3799999999992</v>
      </c>
      <c r="Q23" s="64">
        <v>9450.75</v>
      </c>
      <c r="R23" s="64">
        <v>9731.0400000000009</v>
      </c>
      <c r="S23" s="64">
        <v>10552.78</v>
      </c>
      <c r="T23" s="64">
        <v>11541.46</v>
      </c>
      <c r="U23" s="64">
        <v>13725.56</v>
      </c>
      <c r="V23" s="64">
        <v>12208.29</v>
      </c>
      <c r="W23" s="64">
        <v>15187.34</v>
      </c>
      <c r="X23" s="64">
        <v>15597.51</v>
      </c>
      <c r="Y23" s="64">
        <v>14955.08</v>
      </c>
      <c r="Z23" s="64">
        <v>13829.43</v>
      </c>
      <c r="AA23" s="64">
        <v>12057.98</v>
      </c>
      <c r="AB23" s="64">
        <v>10423.24</v>
      </c>
      <c r="AC23" s="65">
        <f>+SUM(E23:AB23)*D23+SUM(E24:AB24)*D24+SUM(E25:AB25)*D25+SUM(E26:AB26)*D26</f>
        <v>7564719.2399999993</v>
      </c>
    </row>
    <row r="24" spans="2:31" ht="18.600000000000001" customHeight="1" x14ac:dyDescent="0.2">
      <c r="B24" s="49" t="s">
        <v>36</v>
      </c>
      <c r="C24" s="4" t="s">
        <v>30</v>
      </c>
      <c r="D24" s="5">
        <v>4</v>
      </c>
      <c r="E24" s="64">
        <v>7529.08</v>
      </c>
      <c r="F24" s="64">
        <v>7035.64</v>
      </c>
      <c r="G24" s="64">
        <v>6773.56</v>
      </c>
      <c r="H24" s="64">
        <v>6610.03</v>
      </c>
      <c r="I24" s="64">
        <v>6802.26</v>
      </c>
      <c r="J24" s="64">
        <v>7070.46</v>
      </c>
      <c r="K24" s="64">
        <v>5819.32</v>
      </c>
      <c r="L24" s="64">
        <v>11526.45</v>
      </c>
      <c r="M24" s="64">
        <v>10228.379999999999</v>
      </c>
      <c r="N24" s="64">
        <v>9856.75</v>
      </c>
      <c r="O24" s="64">
        <v>9662.2199999999993</v>
      </c>
      <c r="P24" s="64">
        <v>10005.92</v>
      </c>
      <c r="Q24" s="64">
        <v>10005.68</v>
      </c>
      <c r="R24" s="64">
        <v>9806.6</v>
      </c>
      <c r="S24" s="64">
        <v>10154.459999999999</v>
      </c>
      <c r="T24" s="64">
        <v>10927.09</v>
      </c>
      <c r="U24" s="64">
        <v>13184.12</v>
      </c>
      <c r="V24" s="64">
        <v>11780.11</v>
      </c>
      <c r="W24" s="64">
        <v>14812.94</v>
      </c>
      <c r="X24" s="64">
        <v>15288.32</v>
      </c>
      <c r="Y24" s="64">
        <v>14634.97</v>
      </c>
      <c r="Z24" s="64">
        <v>13741.5</v>
      </c>
      <c r="AA24" s="64">
        <v>12415.35</v>
      </c>
      <c r="AB24" s="64">
        <v>10773.5</v>
      </c>
      <c r="AC24" s="66"/>
    </row>
    <row r="25" spans="2:31" ht="18.600000000000001" customHeight="1" x14ac:dyDescent="0.2">
      <c r="B25" s="49" t="s">
        <v>36</v>
      </c>
      <c r="C25" s="4" t="s">
        <v>31</v>
      </c>
      <c r="D25" s="5">
        <v>4</v>
      </c>
      <c r="E25" s="64">
        <v>7691.68</v>
      </c>
      <c r="F25" s="64">
        <v>7133.74</v>
      </c>
      <c r="G25" s="64">
        <v>6796.9</v>
      </c>
      <c r="H25" s="64">
        <v>6498.69</v>
      </c>
      <c r="I25" s="64">
        <v>6429.67</v>
      </c>
      <c r="J25" s="64">
        <v>6196.29</v>
      </c>
      <c r="K25" s="64">
        <v>4324.4799999999996</v>
      </c>
      <c r="L25" s="64">
        <v>9192.61</v>
      </c>
      <c r="M25" s="64">
        <v>8086.19</v>
      </c>
      <c r="N25" s="64">
        <v>8030.63</v>
      </c>
      <c r="O25" s="64">
        <v>8107.37</v>
      </c>
      <c r="P25" s="64">
        <v>8606.36</v>
      </c>
      <c r="Q25" s="64">
        <v>8675.8700000000008</v>
      </c>
      <c r="R25" s="64">
        <v>8578.0400000000009</v>
      </c>
      <c r="S25" s="64">
        <v>8645.68</v>
      </c>
      <c r="T25" s="64">
        <v>9490.4599999999991</v>
      </c>
      <c r="U25" s="64">
        <v>11827.67</v>
      </c>
      <c r="V25" s="64">
        <v>10597.19</v>
      </c>
      <c r="W25" s="64">
        <v>13734.1</v>
      </c>
      <c r="X25" s="64">
        <v>14447.04</v>
      </c>
      <c r="Y25" s="64">
        <v>14212.71</v>
      </c>
      <c r="Z25" s="64">
        <v>13301.02</v>
      </c>
      <c r="AA25" s="64">
        <v>11913.33</v>
      </c>
      <c r="AB25" s="64">
        <v>10189.379999999999</v>
      </c>
      <c r="AC25" s="66"/>
    </row>
    <row r="26" spans="2:31" ht="18.600000000000001" customHeight="1" x14ac:dyDescent="0.2">
      <c r="B26" s="49" t="s">
        <v>36</v>
      </c>
      <c r="C26" s="4" t="s">
        <v>32</v>
      </c>
      <c r="D26" s="5">
        <v>2</v>
      </c>
      <c r="E26" s="64">
        <v>7210.72</v>
      </c>
      <c r="F26" s="64">
        <v>6697.42</v>
      </c>
      <c r="G26" s="64">
        <v>6510.76</v>
      </c>
      <c r="H26" s="64">
        <v>6303.36</v>
      </c>
      <c r="I26" s="64">
        <v>6385.49</v>
      </c>
      <c r="J26" s="64">
        <v>6386.27</v>
      </c>
      <c r="K26" s="64">
        <v>4600.92</v>
      </c>
      <c r="L26" s="64">
        <v>9531.85</v>
      </c>
      <c r="M26" s="64">
        <v>8388.6</v>
      </c>
      <c r="N26" s="64">
        <v>8229.58</v>
      </c>
      <c r="O26" s="64">
        <v>8621.1299999999992</v>
      </c>
      <c r="P26" s="64">
        <v>9509.2999999999993</v>
      </c>
      <c r="Q26" s="64">
        <v>9985.5499999999993</v>
      </c>
      <c r="R26" s="64">
        <v>9928.34</v>
      </c>
      <c r="S26" s="64">
        <v>10027.200000000001</v>
      </c>
      <c r="T26" s="64">
        <v>10735.39</v>
      </c>
      <c r="U26" s="64">
        <v>12829.8</v>
      </c>
      <c r="V26" s="64">
        <v>11647.77</v>
      </c>
      <c r="W26" s="64">
        <v>14921.99</v>
      </c>
      <c r="X26" s="64">
        <v>15625.88</v>
      </c>
      <c r="Y26" s="64">
        <v>14941.58</v>
      </c>
      <c r="Z26" s="64">
        <v>13842.76</v>
      </c>
      <c r="AA26" s="64">
        <v>12183.46</v>
      </c>
      <c r="AB26" s="64">
        <v>10271.81</v>
      </c>
      <c r="AC26" s="67"/>
    </row>
    <row r="27" spans="2:31" ht="18.600000000000001" customHeight="1" x14ac:dyDescent="0.2">
      <c r="B27" s="49" t="s">
        <v>37</v>
      </c>
      <c r="C27" s="4" t="s">
        <v>29</v>
      </c>
      <c r="D27" s="5">
        <v>19</v>
      </c>
      <c r="E27" s="64">
        <v>6920.17</v>
      </c>
      <c r="F27" s="64">
        <v>6469.07</v>
      </c>
      <c r="G27" s="64">
        <v>6322.79</v>
      </c>
      <c r="H27" s="64">
        <v>6294.99</v>
      </c>
      <c r="I27" s="64">
        <v>6738.24</v>
      </c>
      <c r="J27" s="64">
        <v>7972.55</v>
      </c>
      <c r="K27" s="64">
        <v>6988.5</v>
      </c>
      <c r="L27" s="64">
        <v>12119.8</v>
      </c>
      <c r="M27" s="64">
        <v>10256.06</v>
      </c>
      <c r="N27" s="64">
        <v>9708.2000000000007</v>
      </c>
      <c r="O27" s="64">
        <v>9800.81</v>
      </c>
      <c r="P27" s="64">
        <v>10553.04</v>
      </c>
      <c r="Q27" s="64">
        <v>10304.459999999999</v>
      </c>
      <c r="R27" s="64">
        <v>10381.76</v>
      </c>
      <c r="S27" s="64">
        <v>11189.17</v>
      </c>
      <c r="T27" s="64">
        <v>11954.66</v>
      </c>
      <c r="U27" s="64">
        <v>14126.51</v>
      </c>
      <c r="V27" s="64">
        <v>12528.32</v>
      </c>
      <c r="W27" s="64">
        <v>15574.28</v>
      </c>
      <c r="X27" s="64">
        <v>16067.48</v>
      </c>
      <c r="Y27" s="64">
        <v>15335.57</v>
      </c>
      <c r="Z27" s="64">
        <v>14191.22</v>
      </c>
      <c r="AA27" s="64">
        <v>12325.99</v>
      </c>
      <c r="AB27" s="64">
        <v>10569.11</v>
      </c>
      <c r="AC27" s="65">
        <f>+SUM(E27:AB27)*D27+SUM(E28:AB28)*D28+SUM(E29:AB29)*D29+SUM(E30:AB30)*D30</f>
        <v>7481094.2299999995</v>
      </c>
    </row>
    <row r="28" spans="2:31" ht="18.600000000000001" customHeight="1" x14ac:dyDescent="0.2">
      <c r="B28" s="49" t="s">
        <v>37</v>
      </c>
      <c r="C28" s="4" t="s">
        <v>30</v>
      </c>
      <c r="D28" s="5">
        <v>5</v>
      </c>
      <c r="E28" s="64">
        <v>7678.7</v>
      </c>
      <c r="F28" s="64">
        <v>7071.54</v>
      </c>
      <c r="G28" s="64">
        <v>6890.66</v>
      </c>
      <c r="H28" s="64">
        <v>6690.98</v>
      </c>
      <c r="I28" s="64">
        <v>6923.43</v>
      </c>
      <c r="J28" s="64">
        <v>7207.86</v>
      </c>
      <c r="K28" s="64">
        <v>5989.39</v>
      </c>
      <c r="L28" s="64">
        <v>11854.01</v>
      </c>
      <c r="M28" s="64">
        <v>10503.61</v>
      </c>
      <c r="N28" s="64">
        <v>10116.86</v>
      </c>
      <c r="O28" s="64">
        <v>9901.15</v>
      </c>
      <c r="P28" s="64">
        <v>10409.64</v>
      </c>
      <c r="Q28" s="64">
        <v>10411.65</v>
      </c>
      <c r="R28" s="64">
        <v>10297.200000000001</v>
      </c>
      <c r="S28" s="64">
        <v>10770.09</v>
      </c>
      <c r="T28" s="64">
        <v>11546.04</v>
      </c>
      <c r="U28" s="64">
        <v>13693.6</v>
      </c>
      <c r="V28" s="64">
        <v>12256.52</v>
      </c>
      <c r="W28" s="64">
        <v>15323.84</v>
      </c>
      <c r="X28" s="64">
        <v>16038.05</v>
      </c>
      <c r="Y28" s="64">
        <v>15339.41</v>
      </c>
      <c r="Z28" s="64">
        <v>14251.82</v>
      </c>
      <c r="AA28" s="64">
        <v>12876.28</v>
      </c>
      <c r="AB28" s="64">
        <v>11229.01</v>
      </c>
      <c r="AC28" s="66"/>
    </row>
    <row r="29" spans="2:31" ht="18.600000000000001" customHeight="1" x14ac:dyDescent="0.2">
      <c r="B29" s="49" t="s">
        <v>37</v>
      </c>
      <c r="C29" s="4" t="s">
        <v>31</v>
      </c>
      <c r="D29" s="5">
        <v>4</v>
      </c>
      <c r="E29" s="64">
        <v>7821.53</v>
      </c>
      <c r="F29" s="64">
        <v>7432.99</v>
      </c>
      <c r="G29" s="64">
        <v>6963.84</v>
      </c>
      <c r="H29" s="64">
        <v>6791.39</v>
      </c>
      <c r="I29" s="64">
        <v>6698.37</v>
      </c>
      <c r="J29" s="64">
        <v>6460.6</v>
      </c>
      <c r="K29" s="64">
        <v>4335.87</v>
      </c>
      <c r="L29" s="64">
        <v>9402.16</v>
      </c>
      <c r="M29" s="64">
        <v>8287.9599999999991</v>
      </c>
      <c r="N29" s="64">
        <v>7964.24</v>
      </c>
      <c r="O29" s="64">
        <v>7879.71</v>
      </c>
      <c r="P29" s="64">
        <v>8459.6</v>
      </c>
      <c r="Q29" s="64">
        <v>8874.94</v>
      </c>
      <c r="R29" s="64">
        <v>8862.9599999999991</v>
      </c>
      <c r="S29" s="64">
        <v>9242.98</v>
      </c>
      <c r="T29" s="64">
        <v>10005.040000000001</v>
      </c>
      <c r="U29" s="64">
        <v>12054.37</v>
      </c>
      <c r="V29" s="64">
        <v>10933.8</v>
      </c>
      <c r="W29" s="64">
        <v>13908.86</v>
      </c>
      <c r="X29" s="64">
        <v>14566.06</v>
      </c>
      <c r="Y29" s="64">
        <v>14142.94</v>
      </c>
      <c r="Z29" s="64">
        <v>13247.86</v>
      </c>
      <c r="AA29" s="64">
        <v>11975.92</v>
      </c>
      <c r="AB29" s="64">
        <v>10408.86</v>
      </c>
      <c r="AC29" s="66"/>
    </row>
    <row r="30" spans="2:31" ht="18.600000000000001" customHeight="1" x14ac:dyDescent="0.2">
      <c r="B30" s="49" t="s">
        <v>37</v>
      </c>
      <c r="C30" s="4" t="s">
        <v>32</v>
      </c>
      <c r="D30" s="5">
        <v>2</v>
      </c>
      <c r="E30" s="64">
        <v>7627</v>
      </c>
      <c r="F30" s="64">
        <v>7128.76</v>
      </c>
      <c r="G30" s="64">
        <v>6766.96</v>
      </c>
      <c r="H30" s="64">
        <v>6549.83</v>
      </c>
      <c r="I30" s="64">
        <v>6678.24</v>
      </c>
      <c r="J30" s="64">
        <v>6557.38</v>
      </c>
      <c r="K30" s="64">
        <v>4535.38</v>
      </c>
      <c r="L30" s="64">
        <v>9178.58</v>
      </c>
      <c r="M30" s="64">
        <v>8136.64</v>
      </c>
      <c r="N30" s="64">
        <v>7475.25</v>
      </c>
      <c r="O30" s="64">
        <v>7982</v>
      </c>
      <c r="P30" s="64">
        <v>8872.18</v>
      </c>
      <c r="Q30" s="64">
        <v>9180.91</v>
      </c>
      <c r="R30" s="64">
        <v>8688.1200000000008</v>
      </c>
      <c r="S30" s="64">
        <v>9195.75</v>
      </c>
      <c r="T30" s="64">
        <v>9890.2999999999993</v>
      </c>
      <c r="U30" s="64">
        <v>11765.24</v>
      </c>
      <c r="V30" s="64">
        <v>11678.13</v>
      </c>
      <c r="W30" s="64">
        <v>15255.04</v>
      </c>
      <c r="X30" s="64">
        <v>15739.64</v>
      </c>
      <c r="Y30" s="64">
        <v>14974.94</v>
      </c>
      <c r="Z30" s="64">
        <v>13589.52</v>
      </c>
      <c r="AA30" s="64">
        <v>11811.05</v>
      </c>
      <c r="AB30" s="64">
        <v>10085.1</v>
      </c>
      <c r="AC30" s="67"/>
    </row>
    <row r="31" spans="2:31" ht="18.600000000000001" customHeight="1" x14ac:dyDescent="0.2">
      <c r="B31" s="49" t="s">
        <v>38</v>
      </c>
      <c r="C31" s="4" t="s">
        <v>29</v>
      </c>
      <c r="D31" s="5">
        <v>20</v>
      </c>
      <c r="E31" s="64">
        <v>7089.97</v>
      </c>
      <c r="F31" s="64">
        <v>6608.18</v>
      </c>
      <c r="G31" s="64">
        <v>6435.15</v>
      </c>
      <c r="H31" s="64">
        <v>6341.67</v>
      </c>
      <c r="I31" s="64">
        <v>6833.27</v>
      </c>
      <c r="J31" s="64">
        <v>8438.5400000000009</v>
      </c>
      <c r="K31" s="64">
        <v>7003.62</v>
      </c>
      <c r="L31" s="64">
        <v>11892.62</v>
      </c>
      <c r="M31" s="64">
        <v>9816.68</v>
      </c>
      <c r="N31" s="64">
        <v>9259.36</v>
      </c>
      <c r="O31" s="64">
        <v>9421.11</v>
      </c>
      <c r="P31" s="64">
        <v>10340.879999999999</v>
      </c>
      <c r="Q31" s="64">
        <v>9902.24</v>
      </c>
      <c r="R31" s="64">
        <v>10073.84</v>
      </c>
      <c r="S31" s="64">
        <v>11083.27</v>
      </c>
      <c r="T31" s="64">
        <v>11883.56</v>
      </c>
      <c r="U31" s="64">
        <v>13886.44</v>
      </c>
      <c r="V31" s="64">
        <v>12373.05</v>
      </c>
      <c r="W31" s="64">
        <v>15392.86</v>
      </c>
      <c r="X31" s="64">
        <v>16233.25</v>
      </c>
      <c r="Y31" s="64">
        <v>15529.24</v>
      </c>
      <c r="Z31" s="64">
        <v>14289.9</v>
      </c>
      <c r="AA31" s="64">
        <v>12424.63</v>
      </c>
      <c r="AB31" s="64">
        <v>10440.68</v>
      </c>
      <c r="AC31" s="65">
        <f>+SUM(E31:AB31)*D31+SUM(E32:AB32)*D32+SUM(E33:AB33)*D33+SUM(E34:AB34)*D34</f>
        <v>7609421.9299999997</v>
      </c>
    </row>
    <row r="32" spans="2:31" ht="18.600000000000001" customHeight="1" x14ac:dyDescent="0.2">
      <c r="B32" s="49" t="s">
        <v>38</v>
      </c>
      <c r="C32" s="4" t="s">
        <v>30</v>
      </c>
      <c r="D32" s="5">
        <v>4</v>
      </c>
      <c r="E32" s="64">
        <v>6673.99</v>
      </c>
      <c r="F32" s="64">
        <v>6317.77</v>
      </c>
      <c r="G32" s="64">
        <v>5987.41</v>
      </c>
      <c r="H32" s="64">
        <v>6028.06</v>
      </c>
      <c r="I32" s="64">
        <v>6151.8</v>
      </c>
      <c r="J32" s="64">
        <v>6470.85</v>
      </c>
      <c r="K32" s="64">
        <v>5302.3</v>
      </c>
      <c r="L32" s="64">
        <v>11110.29</v>
      </c>
      <c r="M32" s="64">
        <v>9901.0400000000009</v>
      </c>
      <c r="N32" s="64">
        <v>9644.52</v>
      </c>
      <c r="O32" s="64">
        <v>9416.7000000000007</v>
      </c>
      <c r="P32" s="64">
        <v>9970.24</v>
      </c>
      <c r="Q32" s="64">
        <v>9816.2099999999991</v>
      </c>
      <c r="R32" s="64">
        <v>9790.4699999999993</v>
      </c>
      <c r="S32" s="64">
        <v>10081.219999999999</v>
      </c>
      <c r="T32" s="64">
        <v>10841.97</v>
      </c>
      <c r="U32" s="64">
        <v>13118.2</v>
      </c>
      <c r="V32" s="64">
        <v>11852.12</v>
      </c>
      <c r="W32" s="64">
        <v>14801.87</v>
      </c>
      <c r="X32" s="64">
        <v>15734.08</v>
      </c>
      <c r="Y32" s="64">
        <v>15033.4</v>
      </c>
      <c r="Z32" s="64">
        <v>14108.91</v>
      </c>
      <c r="AA32" s="64">
        <v>12605.86</v>
      </c>
      <c r="AB32" s="64">
        <v>10888.28</v>
      </c>
      <c r="AC32" s="66"/>
    </row>
    <row r="33" spans="2:29" ht="18.600000000000001" customHeight="1" x14ac:dyDescent="0.2">
      <c r="B33" s="49" t="s">
        <v>38</v>
      </c>
      <c r="C33" s="4" t="s">
        <v>31</v>
      </c>
      <c r="D33" s="5">
        <v>5</v>
      </c>
      <c r="E33" s="64">
        <v>7440.76</v>
      </c>
      <c r="F33" s="64">
        <v>7013.78</v>
      </c>
      <c r="G33" s="64">
        <v>6459.36</v>
      </c>
      <c r="H33" s="64">
        <v>6300.6</v>
      </c>
      <c r="I33" s="64">
        <v>6217.28</v>
      </c>
      <c r="J33" s="64">
        <v>6008.68</v>
      </c>
      <c r="K33" s="64">
        <v>3927.36</v>
      </c>
      <c r="L33" s="64">
        <v>8972.48</v>
      </c>
      <c r="M33" s="64">
        <v>7766.16</v>
      </c>
      <c r="N33" s="64">
        <v>7730.06</v>
      </c>
      <c r="O33" s="64">
        <v>7868.47</v>
      </c>
      <c r="P33" s="64">
        <v>8757.23</v>
      </c>
      <c r="Q33" s="64">
        <v>9019.01</v>
      </c>
      <c r="R33" s="64">
        <v>9114.68</v>
      </c>
      <c r="S33" s="64">
        <v>9396.64</v>
      </c>
      <c r="T33" s="64">
        <v>10160.469999999999</v>
      </c>
      <c r="U33" s="64">
        <v>12353.63</v>
      </c>
      <c r="V33" s="64">
        <v>11280.41</v>
      </c>
      <c r="W33" s="64">
        <v>14274.03</v>
      </c>
      <c r="X33" s="64">
        <v>15168.97</v>
      </c>
      <c r="Y33" s="64">
        <v>14456.44</v>
      </c>
      <c r="Z33" s="64">
        <v>13468.52</v>
      </c>
      <c r="AA33" s="64">
        <v>12376.7</v>
      </c>
      <c r="AB33" s="64">
        <v>10777.07</v>
      </c>
      <c r="AC33" s="66"/>
    </row>
    <row r="34" spans="2:29" ht="18.600000000000001" customHeight="1" x14ac:dyDescent="0.2">
      <c r="B34" s="49" t="s">
        <v>38</v>
      </c>
      <c r="C34" s="4" t="s">
        <v>32</v>
      </c>
      <c r="D34" s="5">
        <v>2</v>
      </c>
      <c r="E34" s="64">
        <v>7152.78</v>
      </c>
      <c r="F34" s="64">
        <v>6656.3</v>
      </c>
      <c r="G34" s="64">
        <v>6280.79</v>
      </c>
      <c r="H34" s="64">
        <v>6356.4</v>
      </c>
      <c r="I34" s="64">
        <v>6106.63</v>
      </c>
      <c r="J34" s="64">
        <v>6174.47</v>
      </c>
      <c r="K34" s="64">
        <v>4303.3</v>
      </c>
      <c r="L34" s="64">
        <v>9438.11</v>
      </c>
      <c r="M34" s="64">
        <v>8291.85</v>
      </c>
      <c r="N34" s="64">
        <v>7733.78</v>
      </c>
      <c r="O34" s="64">
        <v>8164.88</v>
      </c>
      <c r="P34" s="64">
        <v>8767.19</v>
      </c>
      <c r="Q34" s="64">
        <v>8975.27</v>
      </c>
      <c r="R34" s="64">
        <v>9051.58</v>
      </c>
      <c r="S34" s="64">
        <v>9546.75</v>
      </c>
      <c r="T34" s="64">
        <v>10368.540000000001</v>
      </c>
      <c r="U34" s="64">
        <v>12200.7</v>
      </c>
      <c r="V34" s="64">
        <v>10971.61</v>
      </c>
      <c r="W34" s="64">
        <v>13979.77</v>
      </c>
      <c r="X34" s="64">
        <v>14911.24</v>
      </c>
      <c r="Y34" s="64">
        <v>14392.84</v>
      </c>
      <c r="Z34" s="64">
        <v>13239.03</v>
      </c>
      <c r="AA34" s="64">
        <v>12061.8</v>
      </c>
      <c r="AB34" s="64">
        <v>10578.16</v>
      </c>
      <c r="AC34" s="67"/>
    </row>
    <row r="35" spans="2:29" ht="18.600000000000001" customHeight="1" x14ac:dyDescent="0.2">
      <c r="B35" s="49" t="s">
        <v>39</v>
      </c>
      <c r="C35" s="4" t="s">
        <v>29</v>
      </c>
      <c r="D35" s="5">
        <v>21</v>
      </c>
      <c r="E35" s="64">
        <v>7102.7</v>
      </c>
      <c r="F35" s="64">
        <v>6734.98</v>
      </c>
      <c r="G35" s="64">
        <v>6524.19</v>
      </c>
      <c r="H35" s="64">
        <v>6491.03</v>
      </c>
      <c r="I35" s="64">
        <v>7105.72</v>
      </c>
      <c r="J35" s="64">
        <v>9067.6200000000008</v>
      </c>
      <c r="K35" s="64">
        <v>7691.65</v>
      </c>
      <c r="L35" s="64">
        <v>12299.2</v>
      </c>
      <c r="M35" s="64">
        <v>10190.719999999999</v>
      </c>
      <c r="N35" s="64">
        <v>9480</v>
      </c>
      <c r="O35" s="64">
        <v>9629.4</v>
      </c>
      <c r="P35" s="64">
        <v>10247.84</v>
      </c>
      <c r="Q35" s="64">
        <v>9787.86</v>
      </c>
      <c r="R35" s="64">
        <v>10170.57</v>
      </c>
      <c r="S35" s="64">
        <v>11125.52</v>
      </c>
      <c r="T35" s="64">
        <v>11942.46</v>
      </c>
      <c r="U35" s="64">
        <v>14108.2</v>
      </c>
      <c r="V35" s="64">
        <v>12168.12</v>
      </c>
      <c r="W35" s="64">
        <v>15517.3</v>
      </c>
      <c r="X35" s="64">
        <v>16234.38</v>
      </c>
      <c r="Y35" s="64">
        <v>15592.33</v>
      </c>
      <c r="Z35" s="64">
        <v>14376.27</v>
      </c>
      <c r="AA35" s="64">
        <v>12183.23</v>
      </c>
      <c r="AB35" s="64">
        <v>10513.82</v>
      </c>
      <c r="AC35" s="65">
        <f>+SUM(E35:AB35)*D35+SUM(E36:AB36)*D36+SUM(E37:AB37)*D37+SUM(E38:AB38)*D38</f>
        <v>7737642.9699999988</v>
      </c>
    </row>
    <row r="36" spans="2:29" ht="18.600000000000001" customHeight="1" x14ac:dyDescent="0.2">
      <c r="B36" s="49" t="s">
        <v>39</v>
      </c>
      <c r="C36" s="4" t="s">
        <v>30</v>
      </c>
      <c r="D36" s="5">
        <v>4</v>
      </c>
      <c r="E36" s="64">
        <v>7869.04</v>
      </c>
      <c r="F36" s="64">
        <v>7305.91</v>
      </c>
      <c r="G36" s="64">
        <v>7043.08</v>
      </c>
      <c r="H36" s="64">
        <v>6940.84</v>
      </c>
      <c r="I36" s="64">
        <v>7134.4</v>
      </c>
      <c r="J36" s="64">
        <v>7484.92</v>
      </c>
      <c r="K36" s="64">
        <v>5923.7</v>
      </c>
      <c r="L36" s="64">
        <v>11767.1</v>
      </c>
      <c r="M36" s="64">
        <v>10416.120000000001</v>
      </c>
      <c r="N36" s="64">
        <v>10171.01</v>
      </c>
      <c r="O36" s="64">
        <v>10051.07</v>
      </c>
      <c r="P36" s="64">
        <v>10657.87</v>
      </c>
      <c r="Q36" s="64">
        <v>10180.75</v>
      </c>
      <c r="R36" s="64">
        <v>10104.719999999999</v>
      </c>
      <c r="S36" s="64">
        <v>10328.879999999999</v>
      </c>
      <c r="T36" s="64">
        <v>11050.89</v>
      </c>
      <c r="U36" s="64">
        <v>13493.46</v>
      </c>
      <c r="V36" s="64">
        <v>11805.25</v>
      </c>
      <c r="W36" s="64">
        <v>15266.94</v>
      </c>
      <c r="X36" s="64">
        <v>15742.3</v>
      </c>
      <c r="Y36" s="64">
        <v>14938.59</v>
      </c>
      <c r="Z36" s="64">
        <v>13965.42</v>
      </c>
      <c r="AA36" s="64">
        <v>12102.3</v>
      </c>
      <c r="AB36" s="64">
        <v>10821.25</v>
      </c>
      <c r="AC36" s="66"/>
    </row>
    <row r="37" spans="2:29" ht="18.600000000000001" customHeight="1" x14ac:dyDescent="0.2">
      <c r="B37" s="49" t="s">
        <v>39</v>
      </c>
      <c r="C37" s="4" t="s">
        <v>31</v>
      </c>
      <c r="D37" s="5">
        <v>4</v>
      </c>
      <c r="E37" s="64">
        <v>7319.92</v>
      </c>
      <c r="F37" s="64">
        <v>6953.84</v>
      </c>
      <c r="G37" s="64">
        <v>6660.71</v>
      </c>
      <c r="H37" s="64">
        <v>6443.21</v>
      </c>
      <c r="I37" s="64">
        <v>6287.39</v>
      </c>
      <c r="J37" s="64">
        <v>6319.88</v>
      </c>
      <c r="K37" s="64">
        <v>3763.56</v>
      </c>
      <c r="L37" s="64">
        <v>8657.1</v>
      </c>
      <c r="M37" s="64">
        <v>7587.6</v>
      </c>
      <c r="N37" s="64">
        <v>7277.37</v>
      </c>
      <c r="O37" s="64">
        <v>7483.28</v>
      </c>
      <c r="P37" s="64">
        <v>8151.63</v>
      </c>
      <c r="Q37" s="64">
        <v>8256.11</v>
      </c>
      <c r="R37" s="64">
        <v>8707.6</v>
      </c>
      <c r="S37" s="64">
        <v>8987.4500000000007</v>
      </c>
      <c r="T37" s="64">
        <v>9696.07</v>
      </c>
      <c r="U37" s="64">
        <v>12039.86</v>
      </c>
      <c r="V37" s="64">
        <v>10566.05</v>
      </c>
      <c r="W37" s="64">
        <v>13853.08</v>
      </c>
      <c r="X37" s="64">
        <v>14607.25</v>
      </c>
      <c r="Y37" s="64">
        <v>14304.43</v>
      </c>
      <c r="Z37" s="64">
        <v>13391.98</v>
      </c>
      <c r="AA37" s="64">
        <v>11268.89</v>
      </c>
      <c r="AB37" s="64">
        <v>9973.16</v>
      </c>
      <c r="AC37" s="66"/>
    </row>
    <row r="38" spans="2:29" ht="18.600000000000001" customHeight="1" x14ac:dyDescent="0.2">
      <c r="B38" s="49" t="s">
        <v>39</v>
      </c>
      <c r="C38" s="4" t="s">
        <v>32</v>
      </c>
      <c r="D38" s="5">
        <v>2</v>
      </c>
      <c r="E38" s="64">
        <v>6970.63</v>
      </c>
      <c r="F38" s="64">
        <v>6685.73</v>
      </c>
      <c r="G38" s="64">
        <v>6302.57</v>
      </c>
      <c r="H38" s="64">
        <v>6276.14</v>
      </c>
      <c r="I38" s="64">
        <v>6340.39</v>
      </c>
      <c r="J38" s="64">
        <v>6447.78</v>
      </c>
      <c r="K38" s="64">
        <v>4435.84</v>
      </c>
      <c r="L38" s="64">
        <v>9674.18</v>
      </c>
      <c r="M38" s="64">
        <v>8335.58</v>
      </c>
      <c r="N38" s="64">
        <v>8467.93</v>
      </c>
      <c r="O38" s="64">
        <v>8885.86</v>
      </c>
      <c r="P38" s="64">
        <v>10013.65</v>
      </c>
      <c r="Q38" s="64">
        <v>9845.52</v>
      </c>
      <c r="R38" s="64">
        <v>9908.9699999999993</v>
      </c>
      <c r="S38" s="64">
        <v>10161.75</v>
      </c>
      <c r="T38" s="64">
        <v>10808.44</v>
      </c>
      <c r="U38" s="64">
        <v>12787.63</v>
      </c>
      <c r="V38" s="64">
        <v>11710.02</v>
      </c>
      <c r="W38" s="64">
        <v>14780.3</v>
      </c>
      <c r="X38" s="64">
        <v>15802.72</v>
      </c>
      <c r="Y38" s="64">
        <v>15135.06</v>
      </c>
      <c r="Z38" s="64">
        <v>13826.88</v>
      </c>
      <c r="AA38" s="64">
        <v>11786.13</v>
      </c>
      <c r="AB38" s="64">
        <v>10191.67</v>
      </c>
      <c r="AC38" s="67"/>
    </row>
    <row r="39" spans="2:29" ht="18.600000000000001" customHeight="1" x14ac:dyDescent="0.2">
      <c r="B39" s="49" t="s">
        <v>40</v>
      </c>
      <c r="C39" s="4" t="s">
        <v>29</v>
      </c>
      <c r="D39" s="5">
        <v>20</v>
      </c>
      <c r="E39" s="64">
        <v>7269.64</v>
      </c>
      <c r="F39" s="64">
        <v>6928.73</v>
      </c>
      <c r="G39" s="64">
        <v>6803.59</v>
      </c>
      <c r="H39" s="64">
        <v>6719.44</v>
      </c>
      <c r="I39" s="64">
        <v>7278.3</v>
      </c>
      <c r="J39" s="64">
        <v>9004.4599999999991</v>
      </c>
      <c r="K39" s="64">
        <v>7658.5</v>
      </c>
      <c r="L39" s="64">
        <v>12456.8</v>
      </c>
      <c r="M39" s="64">
        <v>10191.66</v>
      </c>
      <c r="N39" s="64">
        <v>9568.19</v>
      </c>
      <c r="O39" s="64">
        <v>9494.6</v>
      </c>
      <c r="P39" s="64">
        <v>10090.39</v>
      </c>
      <c r="Q39" s="64">
        <v>9898.2999999999993</v>
      </c>
      <c r="R39" s="64">
        <v>10307.709999999999</v>
      </c>
      <c r="S39" s="64">
        <v>11319.86</v>
      </c>
      <c r="T39" s="64">
        <v>12334.37</v>
      </c>
      <c r="U39" s="64">
        <v>14452.7</v>
      </c>
      <c r="V39" s="64">
        <v>12414.49</v>
      </c>
      <c r="W39" s="64">
        <v>15815.55</v>
      </c>
      <c r="X39" s="64">
        <v>16017.49</v>
      </c>
      <c r="Y39" s="64">
        <v>15369.1</v>
      </c>
      <c r="Z39" s="64">
        <v>14016.28</v>
      </c>
      <c r="AA39" s="64">
        <v>12104.68</v>
      </c>
      <c r="AB39" s="64">
        <v>10471.5</v>
      </c>
      <c r="AC39" s="65">
        <f>+SUM(E39:AB39)*D39+SUM(E40:AB40)*D40+SUM(E41:AB41)*D41+SUM(E42:AB42)*D42</f>
        <v>7520959.6499999994</v>
      </c>
    </row>
    <row r="40" spans="2:29" ht="18.600000000000001" customHeight="1" x14ac:dyDescent="0.2">
      <c r="B40" s="49" t="s">
        <v>40</v>
      </c>
      <c r="C40" s="4" t="s">
        <v>30</v>
      </c>
      <c r="D40" s="5">
        <v>5</v>
      </c>
      <c r="E40" s="64">
        <v>8051.72</v>
      </c>
      <c r="F40" s="64">
        <v>7351.78</v>
      </c>
      <c r="G40" s="64">
        <v>7122.24</v>
      </c>
      <c r="H40" s="64">
        <v>6970.1</v>
      </c>
      <c r="I40" s="64">
        <v>7200.51</v>
      </c>
      <c r="J40" s="64">
        <v>7527.19</v>
      </c>
      <c r="K40" s="64">
        <v>6145.65</v>
      </c>
      <c r="L40" s="64">
        <v>11697.14</v>
      </c>
      <c r="M40" s="64">
        <v>10509.83</v>
      </c>
      <c r="N40" s="64">
        <v>10075.35</v>
      </c>
      <c r="O40" s="64">
        <v>9772.66</v>
      </c>
      <c r="P40" s="64">
        <v>10030.68</v>
      </c>
      <c r="Q40" s="64">
        <v>9932.08</v>
      </c>
      <c r="R40" s="64">
        <v>9895.19</v>
      </c>
      <c r="S40" s="64">
        <v>10299.870000000001</v>
      </c>
      <c r="T40" s="64">
        <v>11207.02</v>
      </c>
      <c r="U40" s="64">
        <v>13732.69</v>
      </c>
      <c r="V40" s="64">
        <v>11799.78</v>
      </c>
      <c r="W40" s="64">
        <v>15003.52</v>
      </c>
      <c r="X40" s="64">
        <v>14924.1</v>
      </c>
      <c r="Y40" s="64">
        <v>14463.19</v>
      </c>
      <c r="Z40" s="64">
        <v>13151.34</v>
      </c>
      <c r="AA40" s="64">
        <v>11839.79</v>
      </c>
      <c r="AB40" s="64">
        <v>10605.25</v>
      </c>
      <c r="AC40" s="66"/>
    </row>
    <row r="41" spans="2:29" ht="18.600000000000001" customHeight="1" x14ac:dyDescent="0.2">
      <c r="B41" s="49" t="s">
        <v>40</v>
      </c>
      <c r="C41" s="4" t="s">
        <v>31</v>
      </c>
      <c r="D41" s="5">
        <v>5</v>
      </c>
      <c r="E41" s="64">
        <v>7766.04</v>
      </c>
      <c r="F41" s="64">
        <v>7329.15</v>
      </c>
      <c r="G41" s="64">
        <v>7056.87</v>
      </c>
      <c r="H41" s="64">
        <v>6810.35</v>
      </c>
      <c r="I41" s="64">
        <v>6647.78</v>
      </c>
      <c r="J41" s="64">
        <v>6344.74</v>
      </c>
      <c r="K41" s="64">
        <v>4263.91</v>
      </c>
      <c r="L41" s="64">
        <v>9195.0499999999993</v>
      </c>
      <c r="M41" s="64">
        <v>8144.82</v>
      </c>
      <c r="N41" s="64">
        <v>7719.8</v>
      </c>
      <c r="O41" s="64">
        <v>7630.41</v>
      </c>
      <c r="P41" s="64">
        <v>7967.08</v>
      </c>
      <c r="Q41" s="64">
        <v>8230.1200000000008</v>
      </c>
      <c r="R41" s="64">
        <v>8368.94</v>
      </c>
      <c r="S41" s="64">
        <v>9020.34</v>
      </c>
      <c r="T41" s="64">
        <v>10036.93</v>
      </c>
      <c r="U41" s="64">
        <v>12291.68</v>
      </c>
      <c r="V41" s="64">
        <v>10981.04</v>
      </c>
      <c r="W41" s="64">
        <v>14429.95</v>
      </c>
      <c r="X41" s="64">
        <v>14569.46</v>
      </c>
      <c r="Y41" s="64">
        <v>14256.8</v>
      </c>
      <c r="Z41" s="64">
        <v>12802.64</v>
      </c>
      <c r="AA41" s="64">
        <v>11235.28</v>
      </c>
      <c r="AB41" s="64">
        <v>9838.76</v>
      </c>
      <c r="AC41" s="66"/>
    </row>
    <row r="42" spans="2:29" ht="18.600000000000001" customHeight="1" x14ac:dyDescent="0.2">
      <c r="B42" s="49" t="s">
        <v>40</v>
      </c>
      <c r="C42" s="4" t="s">
        <v>32</v>
      </c>
      <c r="D42" s="5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7"/>
    </row>
    <row r="43" spans="2:29" ht="18.600000000000001" customHeight="1" x14ac:dyDescent="0.2">
      <c r="B43" s="49" t="s">
        <v>41</v>
      </c>
      <c r="C43" s="4" t="s">
        <v>29</v>
      </c>
      <c r="D43" s="5">
        <v>22</v>
      </c>
      <c r="E43" s="64">
        <v>7875.58</v>
      </c>
      <c r="F43" s="64">
        <v>7431.8</v>
      </c>
      <c r="G43" s="64">
        <v>7197.85</v>
      </c>
      <c r="H43" s="64">
        <v>7243.11</v>
      </c>
      <c r="I43" s="64">
        <v>7928.5</v>
      </c>
      <c r="J43" s="64">
        <v>9469.11</v>
      </c>
      <c r="K43" s="64">
        <v>7077.8</v>
      </c>
      <c r="L43" s="64">
        <v>11858.62</v>
      </c>
      <c r="M43" s="64">
        <v>9317.2099999999991</v>
      </c>
      <c r="N43" s="64">
        <v>8773.7099999999991</v>
      </c>
      <c r="O43" s="64">
        <v>8411.36</v>
      </c>
      <c r="P43" s="64">
        <v>8698.14</v>
      </c>
      <c r="Q43" s="64">
        <v>8510.5400000000009</v>
      </c>
      <c r="R43" s="64">
        <v>8957.0499999999993</v>
      </c>
      <c r="S43" s="64">
        <v>10466.16</v>
      </c>
      <c r="T43" s="64">
        <v>11594.12</v>
      </c>
      <c r="U43" s="64">
        <v>14106.61</v>
      </c>
      <c r="V43" s="64">
        <v>12708.92</v>
      </c>
      <c r="W43" s="64">
        <v>16523.34</v>
      </c>
      <c r="X43" s="64">
        <v>16301.92</v>
      </c>
      <c r="Y43" s="64">
        <v>15173.62</v>
      </c>
      <c r="Z43" s="64">
        <v>14181.67</v>
      </c>
      <c r="AA43" s="64">
        <v>12247.63</v>
      </c>
      <c r="AB43" s="64">
        <v>10836.02</v>
      </c>
      <c r="AC43" s="65">
        <f>+SUM(E43:AB43)*D43+SUM(E44:AB44)*D44+SUM(E45:AB45)*D45+SUM(E46:AB46)*D46</f>
        <v>7771992.7200000016</v>
      </c>
    </row>
    <row r="44" spans="2:29" ht="18.600000000000001" customHeight="1" x14ac:dyDescent="0.2">
      <c r="B44" s="49" t="s">
        <v>41</v>
      </c>
      <c r="C44" s="4" t="s">
        <v>30</v>
      </c>
      <c r="D44" s="5">
        <v>4</v>
      </c>
      <c r="E44" s="64">
        <v>8741.16</v>
      </c>
      <c r="F44" s="64">
        <v>8146.45</v>
      </c>
      <c r="G44" s="64">
        <v>7797.82</v>
      </c>
      <c r="H44" s="64">
        <v>7787.31</v>
      </c>
      <c r="I44" s="64">
        <v>7993.02</v>
      </c>
      <c r="J44" s="64">
        <v>8009.79</v>
      </c>
      <c r="K44" s="64">
        <v>5230.8599999999997</v>
      </c>
      <c r="L44" s="64">
        <v>11599.76</v>
      </c>
      <c r="M44" s="64">
        <v>9628.3700000000008</v>
      </c>
      <c r="N44" s="64">
        <v>9519.92</v>
      </c>
      <c r="O44" s="64">
        <v>8744.7199999999993</v>
      </c>
      <c r="P44" s="64">
        <v>8971.11</v>
      </c>
      <c r="Q44" s="64">
        <v>8955.06</v>
      </c>
      <c r="R44" s="64">
        <v>8970.39</v>
      </c>
      <c r="S44" s="64">
        <v>10108.52</v>
      </c>
      <c r="T44" s="64">
        <v>11355.65</v>
      </c>
      <c r="U44" s="64">
        <v>13808.08</v>
      </c>
      <c r="V44" s="64">
        <v>11540.12</v>
      </c>
      <c r="W44" s="64">
        <v>16998.900000000001</v>
      </c>
      <c r="X44" s="64">
        <v>16767.29</v>
      </c>
      <c r="Y44" s="64">
        <v>16336.76</v>
      </c>
      <c r="Z44" s="64">
        <v>15601.12</v>
      </c>
      <c r="AA44" s="64">
        <v>13866.62</v>
      </c>
      <c r="AB44" s="64">
        <v>12623.03</v>
      </c>
      <c r="AC44" s="66"/>
    </row>
    <row r="45" spans="2:29" ht="18.600000000000001" customHeight="1" x14ac:dyDescent="0.2">
      <c r="B45" s="49" t="s">
        <v>41</v>
      </c>
      <c r="C45" s="4" t="s">
        <v>31</v>
      </c>
      <c r="D45" s="5">
        <v>4</v>
      </c>
      <c r="E45" s="64">
        <v>9146.2800000000007</v>
      </c>
      <c r="F45" s="64">
        <v>8770.06</v>
      </c>
      <c r="G45" s="64">
        <v>8248.24</v>
      </c>
      <c r="H45" s="64">
        <v>7887.83</v>
      </c>
      <c r="I45" s="64">
        <v>7941.2</v>
      </c>
      <c r="J45" s="64">
        <v>7302.01</v>
      </c>
      <c r="K45" s="64">
        <v>3795.68</v>
      </c>
      <c r="L45" s="64">
        <v>8946.76</v>
      </c>
      <c r="M45" s="64">
        <v>7990.89</v>
      </c>
      <c r="N45" s="64">
        <v>8407</v>
      </c>
      <c r="O45" s="64">
        <v>7560.4</v>
      </c>
      <c r="P45" s="64">
        <v>7900.07</v>
      </c>
      <c r="Q45" s="64">
        <v>8088.77</v>
      </c>
      <c r="R45" s="64">
        <v>8017.74</v>
      </c>
      <c r="S45" s="64">
        <v>9360.1299999999992</v>
      </c>
      <c r="T45" s="64">
        <v>10548.48</v>
      </c>
      <c r="U45" s="64">
        <v>12213.68</v>
      </c>
      <c r="V45" s="64">
        <v>11049.39</v>
      </c>
      <c r="W45" s="64">
        <v>14962.59</v>
      </c>
      <c r="X45" s="64">
        <v>15194.31</v>
      </c>
      <c r="Y45" s="64">
        <v>14547.74</v>
      </c>
      <c r="Z45" s="64">
        <v>13215</v>
      </c>
      <c r="AA45" s="64">
        <v>11702.1</v>
      </c>
      <c r="AB45" s="64">
        <v>10177.870000000001</v>
      </c>
      <c r="AC45" s="66"/>
    </row>
    <row r="46" spans="2:29" ht="18.600000000000001" customHeight="1" x14ac:dyDescent="0.2">
      <c r="B46" s="49" t="s">
        <v>41</v>
      </c>
      <c r="C46" s="4" t="s">
        <v>32</v>
      </c>
      <c r="D46" s="5">
        <v>1</v>
      </c>
      <c r="E46" s="64">
        <v>7460.11</v>
      </c>
      <c r="F46" s="64">
        <v>7529.56</v>
      </c>
      <c r="G46" s="64">
        <v>6974.63</v>
      </c>
      <c r="H46" s="64">
        <v>6917.86</v>
      </c>
      <c r="I46" s="64">
        <v>7151.54</v>
      </c>
      <c r="J46" s="64">
        <v>7190.24</v>
      </c>
      <c r="K46" s="64">
        <v>3019.84</v>
      </c>
      <c r="L46" s="64">
        <v>8913.34</v>
      </c>
      <c r="M46" s="64">
        <v>7060.24</v>
      </c>
      <c r="N46" s="64">
        <v>7729.88</v>
      </c>
      <c r="O46" s="64">
        <v>7266.82</v>
      </c>
      <c r="P46" s="64">
        <v>8502.35</v>
      </c>
      <c r="Q46" s="64">
        <v>8720.9599999999991</v>
      </c>
      <c r="R46" s="64">
        <v>9181.2800000000007</v>
      </c>
      <c r="S46" s="64">
        <v>10275.24</v>
      </c>
      <c r="T46" s="64">
        <v>10482.32</v>
      </c>
      <c r="U46" s="64">
        <v>12316.22</v>
      </c>
      <c r="V46" s="64">
        <v>12540.78</v>
      </c>
      <c r="W46" s="64">
        <v>17301.77</v>
      </c>
      <c r="X46" s="64">
        <v>16962.580000000002</v>
      </c>
      <c r="Y46" s="64">
        <v>16292.67</v>
      </c>
      <c r="Z46" s="64">
        <v>15260.99</v>
      </c>
      <c r="AA46" s="64">
        <v>13349.36</v>
      </c>
      <c r="AB46" s="64">
        <v>11699.36</v>
      </c>
      <c r="AC46" s="67"/>
    </row>
    <row r="47" spans="2:29" ht="18.600000000000001" customHeight="1" x14ac:dyDescent="0.2">
      <c r="B47" s="49" t="s">
        <v>42</v>
      </c>
      <c r="C47" s="4" t="s">
        <v>29</v>
      </c>
      <c r="D47" s="5">
        <v>20</v>
      </c>
      <c r="E47" s="64">
        <v>7506.48</v>
      </c>
      <c r="F47" s="64">
        <v>7206.71</v>
      </c>
      <c r="G47" s="64">
        <v>7210.27</v>
      </c>
      <c r="H47" s="64">
        <v>7160.93</v>
      </c>
      <c r="I47" s="64">
        <v>7977.2</v>
      </c>
      <c r="J47" s="64">
        <v>9693.5300000000007</v>
      </c>
      <c r="K47" s="64">
        <v>7759.27</v>
      </c>
      <c r="L47" s="64">
        <v>12827.35</v>
      </c>
      <c r="M47" s="64">
        <v>10216.459999999999</v>
      </c>
      <c r="N47" s="64">
        <v>9511.07</v>
      </c>
      <c r="O47" s="64">
        <v>9142.69</v>
      </c>
      <c r="P47" s="64">
        <v>9692.84</v>
      </c>
      <c r="Q47" s="64">
        <v>9379.99</v>
      </c>
      <c r="R47" s="64">
        <v>9547.0300000000007</v>
      </c>
      <c r="S47" s="64">
        <v>10888.61</v>
      </c>
      <c r="T47" s="64">
        <v>11924.34</v>
      </c>
      <c r="U47" s="64">
        <v>14193.92</v>
      </c>
      <c r="V47" s="64">
        <v>12777.89</v>
      </c>
      <c r="W47" s="64">
        <v>17141.12</v>
      </c>
      <c r="X47" s="64">
        <v>16864.93</v>
      </c>
      <c r="Y47" s="64">
        <v>15299.37</v>
      </c>
      <c r="Z47" s="64">
        <v>13836.89</v>
      </c>
      <c r="AA47" s="64">
        <v>12151.92</v>
      </c>
      <c r="AB47" s="64">
        <v>10652.58</v>
      </c>
      <c r="AC47" s="65">
        <f>+SUM(E47:AB47)*D47+SUM(E48:AB48)*D48+SUM(E49:AB49)*D49+SUM(E50:AB50)*D50</f>
        <v>7622142.1400000006</v>
      </c>
    </row>
    <row r="48" spans="2:29" ht="18.600000000000001" customHeight="1" x14ac:dyDescent="0.2">
      <c r="B48" s="49" t="s">
        <v>42</v>
      </c>
      <c r="C48" s="4" t="s">
        <v>30</v>
      </c>
      <c r="D48" s="5">
        <v>4</v>
      </c>
      <c r="E48" s="64">
        <v>8272.33</v>
      </c>
      <c r="F48" s="64">
        <v>7677.98</v>
      </c>
      <c r="G48" s="64">
        <v>7512.82</v>
      </c>
      <c r="H48" s="64">
        <v>7397.39</v>
      </c>
      <c r="I48" s="64">
        <v>7813.88</v>
      </c>
      <c r="J48" s="64">
        <v>7792.13</v>
      </c>
      <c r="K48" s="64">
        <v>6391.4</v>
      </c>
      <c r="L48" s="64">
        <v>12498.23</v>
      </c>
      <c r="M48" s="64">
        <v>10900.57</v>
      </c>
      <c r="N48" s="64">
        <v>10240.16</v>
      </c>
      <c r="O48" s="64">
        <v>9689.93</v>
      </c>
      <c r="P48" s="64">
        <v>9684.8700000000008</v>
      </c>
      <c r="Q48" s="64">
        <v>9134.16</v>
      </c>
      <c r="R48" s="64">
        <v>9575.94</v>
      </c>
      <c r="S48" s="64">
        <v>10500.28</v>
      </c>
      <c r="T48" s="64">
        <v>11743.08</v>
      </c>
      <c r="U48" s="64">
        <v>13771.15</v>
      </c>
      <c r="V48" s="64">
        <v>12323.74</v>
      </c>
      <c r="W48" s="64">
        <v>16138.99</v>
      </c>
      <c r="X48" s="64">
        <v>16288.44</v>
      </c>
      <c r="Y48" s="64">
        <v>15059.5</v>
      </c>
      <c r="Z48" s="64">
        <v>14035.94</v>
      </c>
      <c r="AA48" s="64">
        <v>12851.47</v>
      </c>
      <c r="AB48" s="64">
        <v>11385</v>
      </c>
      <c r="AC48" s="66"/>
    </row>
    <row r="49" spans="2:29" ht="18.600000000000001" customHeight="1" x14ac:dyDescent="0.2">
      <c r="B49" s="49" t="s">
        <v>42</v>
      </c>
      <c r="C49" s="4" t="s">
        <v>31</v>
      </c>
      <c r="D49" s="5">
        <v>4</v>
      </c>
      <c r="E49" s="64">
        <v>8237.15</v>
      </c>
      <c r="F49" s="64">
        <v>7793.03</v>
      </c>
      <c r="G49" s="64">
        <v>7202.96</v>
      </c>
      <c r="H49" s="64">
        <v>7266.3</v>
      </c>
      <c r="I49" s="64">
        <v>7370.5</v>
      </c>
      <c r="J49" s="64">
        <v>6881.12</v>
      </c>
      <c r="K49" s="64">
        <v>4010.02</v>
      </c>
      <c r="L49" s="64">
        <v>8836.75</v>
      </c>
      <c r="M49" s="64">
        <v>7788.26</v>
      </c>
      <c r="N49" s="64">
        <v>7423.09</v>
      </c>
      <c r="O49" s="64">
        <v>7080.41</v>
      </c>
      <c r="P49" s="64">
        <v>8468.75</v>
      </c>
      <c r="Q49" s="64">
        <v>8481.06</v>
      </c>
      <c r="R49" s="64">
        <v>8891.68</v>
      </c>
      <c r="S49" s="64">
        <v>9685.39</v>
      </c>
      <c r="T49" s="64">
        <v>10574.71</v>
      </c>
      <c r="U49" s="64">
        <v>13532</v>
      </c>
      <c r="V49" s="64">
        <v>11932.21</v>
      </c>
      <c r="W49" s="64">
        <v>15358.27</v>
      </c>
      <c r="X49" s="64">
        <v>15406.62</v>
      </c>
      <c r="Y49" s="64">
        <v>14514.2</v>
      </c>
      <c r="Z49" s="64">
        <v>13592.13</v>
      </c>
      <c r="AA49" s="64">
        <v>12063.81</v>
      </c>
      <c r="AB49" s="64">
        <v>10483.530000000001</v>
      </c>
      <c r="AC49" s="66"/>
    </row>
    <row r="50" spans="2:29" ht="18.600000000000001" customHeight="1" x14ac:dyDescent="0.2">
      <c r="B50" s="49" t="s">
        <v>42</v>
      </c>
      <c r="C50" s="4" t="s">
        <v>32</v>
      </c>
      <c r="D50" s="5">
        <v>2</v>
      </c>
      <c r="E50" s="64">
        <v>7805.72</v>
      </c>
      <c r="F50" s="64">
        <v>7483.44</v>
      </c>
      <c r="G50" s="64">
        <v>7406.61</v>
      </c>
      <c r="H50" s="64">
        <v>7010.06</v>
      </c>
      <c r="I50" s="64">
        <v>7220.5</v>
      </c>
      <c r="J50" s="64">
        <v>7366.08</v>
      </c>
      <c r="K50" s="64">
        <v>3950.69</v>
      </c>
      <c r="L50" s="64">
        <v>8473.67</v>
      </c>
      <c r="M50" s="64">
        <v>7402.66</v>
      </c>
      <c r="N50" s="64">
        <v>7295.34</v>
      </c>
      <c r="O50" s="64">
        <v>7135.72</v>
      </c>
      <c r="P50" s="64">
        <v>7777.66</v>
      </c>
      <c r="Q50" s="64">
        <v>7784.37</v>
      </c>
      <c r="R50" s="64">
        <v>8320.7999999999993</v>
      </c>
      <c r="S50" s="64">
        <v>8769.1200000000008</v>
      </c>
      <c r="T50" s="64">
        <v>9459</v>
      </c>
      <c r="U50" s="64">
        <v>11610.14</v>
      </c>
      <c r="V50" s="64">
        <v>11613.76</v>
      </c>
      <c r="W50" s="64">
        <v>15506.44</v>
      </c>
      <c r="X50" s="64">
        <v>15253</v>
      </c>
      <c r="Y50" s="64">
        <v>14229.36</v>
      </c>
      <c r="Z50" s="64">
        <v>12677.25</v>
      </c>
      <c r="AA50" s="64">
        <v>11198.09</v>
      </c>
      <c r="AB50" s="64">
        <v>9581.0300000000007</v>
      </c>
      <c r="AC50" s="67"/>
    </row>
    <row r="51" spans="2:29" ht="18.600000000000001" customHeight="1" x14ac:dyDescent="0.2">
      <c r="B51" s="49" t="s">
        <v>43</v>
      </c>
      <c r="C51" s="4" t="s">
        <v>29</v>
      </c>
      <c r="D51" s="5">
        <v>20</v>
      </c>
      <c r="E51" s="64">
        <v>7813.18</v>
      </c>
      <c r="F51" s="64">
        <v>7335.88</v>
      </c>
      <c r="G51" s="64">
        <v>7209.73</v>
      </c>
      <c r="H51" s="64">
        <v>7163.03</v>
      </c>
      <c r="I51" s="64">
        <v>7620.88</v>
      </c>
      <c r="J51" s="64">
        <v>8497.09</v>
      </c>
      <c r="K51" s="64">
        <v>6302.26</v>
      </c>
      <c r="L51" s="64">
        <v>11973.9</v>
      </c>
      <c r="M51" s="64">
        <v>10055.459999999999</v>
      </c>
      <c r="N51" s="64">
        <v>9362.0400000000009</v>
      </c>
      <c r="O51" s="64">
        <v>9051.4699999999993</v>
      </c>
      <c r="P51" s="64">
        <v>9855.18</v>
      </c>
      <c r="Q51" s="64">
        <v>9511.23</v>
      </c>
      <c r="R51" s="64">
        <v>9813.4</v>
      </c>
      <c r="S51" s="64">
        <v>10723.68</v>
      </c>
      <c r="T51" s="64">
        <v>11857.28</v>
      </c>
      <c r="U51" s="64">
        <v>14201.62</v>
      </c>
      <c r="V51" s="64">
        <v>13019.72</v>
      </c>
      <c r="W51" s="64">
        <v>17319.95</v>
      </c>
      <c r="X51" s="64">
        <v>16654.98</v>
      </c>
      <c r="Y51" s="64">
        <v>15630.37</v>
      </c>
      <c r="Z51" s="64">
        <v>14340.04</v>
      </c>
      <c r="AA51" s="64">
        <v>12894.41</v>
      </c>
      <c r="AB51" s="64">
        <v>11399.46</v>
      </c>
      <c r="AC51" s="65">
        <f>+SUM(E51:AB51)*D51+SUM(E52:AB52)*D52+SUM(E53:AB53)*D53+SUM(E54:AB54)*D54</f>
        <v>7728670.0100000007</v>
      </c>
    </row>
    <row r="52" spans="2:29" ht="18.600000000000001" customHeight="1" x14ac:dyDescent="0.2">
      <c r="B52" s="49" t="s">
        <v>43</v>
      </c>
      <c r="C52" s="4" t="s">
        <v>30</v>
      </c>
      <c r="D52" s="5">
        <v>4</v>
      </c>
      <c r="E52" s="64">
        <v>8653.52</v>
      </c>
      <c r="F52" s="64">
        <v>7976.42</v>
      </c>
      <c r="G52" s="64">
        <v>7666.79</v>
      </c>
      <c r="H52" s="64">
        <v>7589.12</v>
      </c>
      <c r="I52" s="64">
        <v>7716.49</v>
      </c>
      <c r="J52" s="64">
        <v>8167.69</v>
      </c>
      <c r="K52" s="64">
        <v>5697.87</v>
      </c>
      <c r="L52" s="64">
        <v>12027.34</v>
      </c>
      <c r="M52" s="64">
        <v>10653.15</v>
      </c>
      <c r="N52" s="64">
        <v>10124.790000000001</v>
      </c>
      <c r="O52" s="64">
        <v>9553.77</v>
      </c>
      <c r="P52" s="64">
        <v>9576.74</v>
      </c>
      <c r="Q52" s="64">
        <v>9876.0300000000007</v>
      </c>
      <c r="R52" s="64">
        <v>9609.76</v>
      </c>
      <c r="S52" s="64">
        <v>9702.75</v>
      </c>
      <c r="T52" s="64">
        <v>10815.45</v>
      </c>
      <c r="U52" s="64">
        <v>13229.37</v>
      </c>
      <c r="V52" s="64">
        <v>11896.88</v>
      </c>
      <c r="W52" s="64">
        <v>15918.15</v>
      </c>
      <c r="X52" s="64">
        <v>15443.54</v>
      </c>
      <c r="Y52" s="64">
        <v>14397.63</v>
      </c>
      <c r="Z52" s="64">
        <v>13070.16</v>
      </c>
      <c r="AA52" s="64">
        <v>12187.08</v>
      </c>
      <c r="AB52" s="64">
        <v>11370.69</v>
      </c>
      <c r="AC52" s="66"/>
    </row>
    <row r="53" spans="2:29" ht="18.600000000000001" customHeight="1" x14ac:dyDescent="0.2">
      <c r="B53" s="49" t="s">
        <v>43</v>
      </c>
      <c r="C53" s="4" t="s">
        <v>31</v>
      </c>
      <c r="D53" s="5">
        <v>5</v>
      </c>
      <c r="E53" s="64">
        <v>8522.7000000000007</v>
      </c>
      <c r="F53" s="64">
        <v>7964.42</v>
      </c>
      <c r="G53" s="64">
        <v>7487.19</v>
      </c>
      <c r="H53" s="64">
        <v>7412.57</v>
      </c>
      <c r="I53" s="64">
        <v>7100.1</v>
      </c>
      <c r="J53" s="64">
        <v>6848.25</v>
      </c>
      <c r="K53" s="64">
        <v>3612.08</v>
      </c>
      <c r="L53" s="64">
        <v>8110.1</v>
      </c>
      <c r="M53" s="64">
        <v>7117.1</v>
      </c>
      <c r="N53" s="64">
        <v>6823.78</v>
      </c>
      <c r="O53" s="64">
        <v>6569.46</v>
      </c>
      <c r="P53" s="64">
        <v>7002.08</v>
      </c>
      <c r="Q53" s="64">
        <v>7735.04</v>
      </c>
      <c r="R53" s="64">
        <v>8042.71</v>
      </c>
      <c r="S53" s="64">
        <v>8789.5300000000007</v>
      </c>
      <c r="T53" s="64">
        <v>9523.6</v>
      </c>
      <c r="U53" s="64">
        <v>11525.95</v>
      </c>
      <c r="V53" s="64">
        <v>10359.620000000001</v>
      </c>
      <c r="W53" s="64">
        <v>14786.96</v>
      </c>
      <c r="X53" s="64">
        <v>15436.32</v>
      </c>
      <c r="Y53" s="64">
        <v>15481.24</v>
      </c>
      <c r="Z53" s="64">
        <v>14565.54</v>
      </c>
      <c r="AA53" s="64">
        <v>12450</v>
      </c>
      <c r="AB53" s="64">
        <v>10133.77</v>
      </c>
      <c r="AC53" s="66"/>
    </row>
    <row r="54" spans="2:29" ht="18.600000000000001" customHeight="1" x14ac:dyDescent="0.2">
      <c r="B54" s="49" t="s">
        <v>43</v>
      </c>
      <c r="C54" s="4" t="s">
        <v>32</v>
      </c>
      <c r="D54" s="5">
        <v>2</v>
      </c>
      <c r="E54" s="64">
        <v>8914.56</v>
      </c>
      <c r="F54" s="64">
        <v>8622.2099999999991</v>
      </c>
      <c r="G54" s="64">
        <v>8059.72</v>
      </c>
      <c r="H54" s="64">
        <v>7393.72</v>
      </c>
      <c r="I54" s="64">
        <v>7007.96</v>
      </c>
      <c r="J54" s="64">
        <v>6382.33</v>
      </c>
      <c r="K54" s="64">
        <v>2646.12</v>
      </c>
      <c r="L54" s="64">
        <v>7076.59</v>
      </c>
      <c r="M54" s="64">
        <v>5676.91</v>
      </c>
      <c r="N54" s="64">
        <v>4996.46</v>
      </c>
      <c r="O54" s="64">
        <v>4857.05</v>
      </c>
      <c r="P54" s="64">
        <v>5320.45</v>
      </c>
      <c r="Q54" s="64">
        <v>5877.39</v>
      </c>
      <c r="R54" s="64">
        <v>6491.53</v>
      </c>
      <c r="S54" s="64">
        <v>7176.94</v>
      </c>
      <c r="T54" s="64">
        <v>8352.93</v>
      </c>
      <c r="U54" s="64">
        <v>10980.18</v>
      </c>
      <c r="V54" s="64">
        <v>9766.26</v>
      </c>
      <c r="W54" s="64">
        <v>14425.19</v>
      </c>
      <c r="X54" s="64">
        <v>14673.2</v>
      </c>
      <c r="Y54" s="64">
        <v>14336.39</v>
      </c>
      <c r="Z54" s="64">
        <v>13355.37</v>
      </c>
      <c r="AA54" s="64">
        <v>11482.52</v>
      </c>
      <c r="AB54" s="64">
        <v>10057.99</v>
      </c>
      <c r="AC54" s="67"/>
    </row>
    <row r="55" spans="2:29" ht="18.600000000000001" customHeight="1" x14ac:dyDescent="0.2"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9" t="s">
        <v>46</v>
      </c>
      <c r="AA55" s="69"/>
      <c r="AB55" s="69"/>
      <c r="AC55" s="70">
        <f>SUM(AC7:AC54)</f>
        <v>91322551.090000004</v>
      </c>
    </row>
    <row r="56" spans="2:29" x14ac:dyDescent="0.2">
      <c r="AC56" s="48"/>
    </row>
    <row r="61" spans="2:29" x14ac:dyDescent="0.2">
      <c r="G61" s="10">
        <v>1000</v>
      </c>
    </row>
  </sheetData>
  <mergeCells count="28">
    <mergeCell ref="B11:B14"/>
    <mergeCell ref="AC11:AC14"/>
    <mergeCell ref="B2:AC2"/>
    <mergeCell ref="B3:AC3"/>
    <mergeCell ref="B4:AC4"/>
    <mergeCell ref="B7:B10"/>
    <mergeCell ref="AC7:AC10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C5743-416A-4153-B71E-12A6AC6E3C45}">
  <dimension ref="B1:AE57"/>
  <sheetViews>
    <sheetView showGridLines="0" topLeftCell="A35" zoomScale="70" zoomScaleNormal="70" workbookViewId="0">
      <selection activeCell="A2" sqref="A2:AD56"/>
    </sheetView>
  </sheetViews>
  <sheetFormatPr baseColWidth="10" defaultColWidth="11.42578125" defaultRowHeight="12" x14ac:dyDescent="0.2"/>
  <cols>
    <col min="1" max="1" width="7.28515625" style="10" customWidth="1"/>
    <col min="2" max="2" width="6.28515625" style="10" bestFit="1" customWidth="1"/>
    <col min="3" max="3" width="11.140625" style="10" customWidth="1"/>
    <col min="4" max="4" width="7" style="10" customWidth="1"/>
    <col min="5" max="8" width="9.7109375" style="10" bestFit="1" customWidth="1"/>
    <col min="9" max="9" width="9.42578125" style="10" bestFit="1" customWidth="1"/>
    <col min="10" max="27" width="9.7109375" style="10" bestFit="1" customWidth="1"/>
    <col min="28" max="28" width="10.140625" style="10" bestFit="1" customWidth="1"/>
    <col min="29" max="29" width="14" style="10" bestFit="1" customWidth="1"/>
    <col min="30" max="30" width="7.140625" style="10" customWidth="1"/>
    <col min="31" max="31" width="9.140625" style="10" bestFit="1" customWidth="1"/>
    <col min="32" max="257" width="11.42578125" style="10"/>
    <col min="258" max="258" width="7" style="10" customWidth="1"/>
    <col min="259" max="259" width="10.7109375" style="10" customWidth="1"/>
    <col min="260" max="260" width="9.28515625" style="10" customWidth="1"/>
    <col min="261" max="284" width="7.28515625" style="10" customWidth="1"/>
    <col min="285" max="285" width="11.28515625" style="10" bestFit="1" customWidth="1"/>
    <col min="286" max="513" width="11.42578125" style="10"/>
    <col min="514" max="514" width="7" style="10" customWidth="1"/>
    <col min="515" max="515" width="10.7109375" style="10" customWidth="1"/>
    <col min="516" max="516" width="9.28515625" style="10" customWidth="1"/>
    <col min="517" max="540" width="7.28515625" style="10" customWidth="1"/>
    <col min="541" max="541" width="11.28515625" style="10" bestFit="1" customWidth="1"/>
    <col min="542" max="769" width="11.42578125" style="10"/>
    <col min="770" max="770" width="7" style="10" customWidth="1"/>
    <col min="771" max="771" width="10.7109375" style="10" customWidth="1"/>
    <col min="772" max="772" width="9.28515625" style="10" customWidth="1"/>
    <col min="773" max="796" width="7.28515625" style="10" customWidth="1"/>
    <col min="797" max="797" width="11.28515625" style="10" bestFit="1" customWidth="1"/>
    <col min="798" max="1025" width="11.42578125" style="10"/>
    <col min="1026" max="1026" width="7" style="10" customWidth="1"/>
    <col min="1027" max="1027" width="10.7109375" style="10" customWidth="1"/>
    <col min="1028" max="1028" width="9.28515625" style="10" customWidth="1"/>
    <col min="1029" max="1052" width="7.28515625" style="10" customWidth="1"/>
    <col min="1053" max="1053" width="11.28515625" style="10" bestFit="1" customWidth="1"/>
    <col min="1054" max="1281" width="11.42578125" style="10"/>
    <col min="1282" max="1282" width="7" style="10" customWidth="1"/>
    <col min="1283" max="1283" width="10.7109375" style="10" customWidth="1"/>
    <col min="1284" max="1284" width="9.28515625" style="10" customWidth="1"/>
    <col min="1285" max="1308" width="7.28515625" style="10" customWidth="1"/>
    <col min="1309" max="1309" width="11.28515625" style="10" bestFit="1" customWidth="1"/>
    <col min="1310" max="1537" width="11.42578125" style="10"/>
    <col min="1538" max="1538" width="7" style="10" customWidth="1"/>
    <col min="1539" max="1539" width="10.7109375" style="10" customWidth="1"/>
    <col min="1540" max="1540" width="9.28515625" style="10" customWidth="1"/>
    <col min="1541" max="1564" width="7.28515625" style="10" customWidth="1"/>
    <col min="1565" max="1565" width="11.28515625" style="10" bestFit="1" customWidth="1"/>
    <col min="1566" max="1793" width="11.42578125" style="10"/>
    <col min="1794" max="1794" width="7" style="10" customWidth="1"/>
    <col min="1795" max="1795" width="10.7109375" style="10" customWidth="1"/>
    <col min="1796" max="1796" width="9.28515625" style="10" customWidth="1"/>
    <col min="1797" max="1820" width="7.28515625" style="10" customWidth="1"/>
    <col min="1821" max="1821" width="11.28515625" style="10" bestFit="1" customWidth="1"/>
    <col min="1822" max="2049" width="11.42578125" style="10"/>
    <col min="2050" max="2050" width="7" style="10" customWidth="1"/>
    <col min="2051" max="2051" width="10.7109375" style="10" customWidth="1"/>
    <col min="2052" max="2052" width="9.28515625" style="10" customWidth="1"/>
    <col min="2053" max="2076" width="7.28515625" style="10" customWidth="1"/>
    <col min="2077" max="2077" width="11.28515625" style="10" bestFit="1" customWidth="1"/>
    <col min="2078" max="2305" width="11.42578125" style="10"/>
    <col min="2306" max="2306" width="7" style="10" customWidth="1"/>
    <col min="2307" max="2307" width="10.7109375" style="10" customWidth="1"/>
    <col min="2308" max="2308" width="9.28515625" style="10" customWidth="1"/>
    <col min="2309" max="2332" width="7.28515625" style="10" customWidth="1"/>
    <col min="2333" max="2333" width="11.28515625" style="10" bestFit="1" customWidth="1"/>
    <col min="2334" max="2561" width="11.42578125" style="10"/>
    <col min="2562" max="2562" width="7" style="10" customWidth="1"/>
    <col min="2563" max="2563" width="10.7109375" style="10" customWidth="1"/>
    <col min="2564" max="2564" width="9.28515625" style="10" customWidth="1"/>
    <col min="2565" max="2588" width="7.28515625" style="10" customWidth="1"/>
    <col min="2589" max="2589" width="11.28515625" style="10" bestFit="1" customWidth="1"/>
    <col min="2590" max="2817" width="11.42578125" style="10"/>
    <col min="2818" max="2818" width="7" style="10" customWidth="1"/>
    <col min="2819" max="2819" width="10.7109375" style="10" customWidth="1"/>
    <col min="2820" max="2820" width="9.28515625" style="10" customWidth="1"/>
    <col min="2821" max="2844" width="7.28515625" style="10" customWidth="1"/>
    <col min="2845" max="2845" width="11.28515625" style="10" bestFit="1" customWidth="1"/>
    <col min="2846" max="3073" width="11.42578125" style="10"/>
    <col min="3074" max="3074" width="7" style="10" customWidth="1"/>
    <col min="3075" max="3075" width="10.7109375" style="10" customWidth="1"/>
    <col min="3076" max="3076" width="9.28515625" style="10" customWidth="1"/>
    <col min="3077" max="3100" width="7.28515625" style="10" customWidth="1"/>
    <col min="3101" max="3101" width="11.28515625" style="10" bestFit="1" customWidth="1"/>
    <col min="3102" max="3329" width="11.42578125" style="10"/>
    <col min="3330" max="3330" width="7" style="10" customWidth="1"/>
    <col min="3331" max="3331" width="10.7109375" style="10" customWidth="1"/>
    <col min="3332" max="3332" width="9.28515625" style="10" customWidth="1"/>
    <col min="3333" max="3356" width="7.28515625" style="10" customWidth="1"/>
    <col min="3357" max="3357" width="11.28515625" style="10" bestFit="1" customWidth="1"/>
    <col min="3358" max="3585" width="11.42578125" style="10"/>
    <col min="3586" max="3586" width="7" style="10" customWidth="1"/>
    <col min="3587" max="3587" width="10.7109375" style="10" customWidth="1"/>
    <col min="3588" max="3588" width="9.28515625" style="10" customWidth="1"/>
    <col min="3589" max="3612" width="7.28515625" style="10" customWidth="1"/>
    <col min="3613" max="3613" width="11.28515625" style="10" bestFit="1" customWidth="1"/>
    <col min="3614" max="3841" width="11.42578125" style="10"/>
    <col min="3842" max="3842" width="7" style="10" customWidth="1"/>
    <col min="3843" max="3843" width="10.7109375" style="10" customWidth="1"/>
    <col min="3844" max="3844" width="9.28515625" style="10" customWidth="1"/>
    <col min="3845" max="3868" width="7.28515625" style="10" customWidth="1"/>
    <col min="3869" max="3869" width="11.28515625" style="10" bestFit="1" customWidth="1"/>
    <col min="3870" max="4097" width="11.42578125" style="10"/>
    <col min="4098" max="4098" width="7" style="10" customWidth="1"/>
    <col min="4099" max="4099" width="10.7109375" style="10" customWidth="1"/>
    <col min="4100" max="4100" width="9.28515625" style="10" customWidth="1"/>
    <col min="4101" max="4124" width="7.28515625" style="10" customWidth="1"/>
    <col min="4125" max="4125" width="11.28515625" style="10" bestFit="1" customWidth="1"/>
    <col min="4126" max="4353" width="11.42578125" style="10"/>
    <col min="4354" max="4354" width="7" style="10" customWidth="1"/>
    <col min="4355" max="4355" width="10.7109375" style="10" customWidth="1"/>
    <col min="4356" max="4356" width="9.28515625" style="10" customWidth="1"/>
    <col min="4357" max="4380" width="7.28515625" style="10" customWidth="1"/>
    <col min="4381" max="4381" width="11.28515625" style="10" bestFit="1" customWidth="1"/>
    <col min="4382" max="4609" width="11.42578125" style="10"/>
    <col min="4610" max="4610" width="7" style="10" customWidth="1"/>
    <col min="4611" max="4611" width="10.7109375" style="10" customWidth="1"/>
    <col min="4612" max="4612" width="9.28515625" style="10" customWidth="1"/>
    <col min="4613" max="4636" width="7.28515625" style="10" customWidth="1"/>
    <col min="4637" max="4637" width="11.28515625" style="10" bestFit="1" customWidth="1"/>
    <col min="4638" max="4865" width="11.42578125" style="10"/>
    <col min="4866" max="4866" width="7" style="10" customWidth="1"/>
    <col min="4867" max="4867" width="10.7109375" style="10" customWidth="1"/>
    <col min="4868" max="4868" width="9.28515625" style="10" customWidth="1"/>
    <col min="4869" max="4892" width="7.28515625" style="10" customWidth="1"/>
    <col min="4893" max="4893" width="11.28515625" style="10" bestFit="1" customWidth="1"/>
    <col min="4894" max="5121" width="11.42578125" style="10"/>
    <col min="5122" max="5122" width="7" style="10" customWidth="1"/>
    <col min="5123" max="5123" width="10.7109375" style="10" customWidth="1"/>
    <col min="5124" max="5124" width="9.28515625" style="10" customWidth="1"/>
    <col min="5125" max="5148" width="7.28515625" style="10" customWidth="1"/>
    <col min="5149" max="5149" width="11.28515625" style="10" bestFit="1" customWidth="1"/>
    <col min="5150" max="5377" width="11.42578125" style="10"/>
    <col min="5378" max="5378" width="7" style="10" customWidth="1"/>
    <col min="5379" max="5379" width="10.7109375" style="10" customWidth="1"/>
    <col min="5380" max="5380" width="9.28515625" style="10" customWidth="1"/>
    <col min="5381" max="5404" width="7.28515625" style="10" customWidth="1"/>
    <col min="5405" max="5405" width="11.28515625" style="10" bestFit="1" customWidth="1"/>
    <col min="5406" max="5633" width="11.42578125" style="10"/>
    <col min="5634" max="5634" width="7" style="10" customWidth="1"/>
    <col min="5635" max="5635" width="10.7109375" style="10" customWidth="1"/>
    <col min="5636" max="5636" width="9.28515625" style="10" customWidth="1"/>
    <col min="5637" max="5660" width="7.28515625" style="10" customWidth="1"/>
    <col min="5661" max="5661" width="11.28515625" style="10" bestFit="1" customWidth="1"/>
    <col min="5662" max="5889" width="11.42578125" style="10"/>
    <col min="5890" max="5890" width="7" style="10" customWidth="1"/>
    <col min="5891" max="5891" width="10.7109375" style="10" customWidth="1"/>
    <col min="5892" max="5892" width="9.28515625" style="10" customWidth="1"/>
    <col min="5893" max="5916" width="7.28515625" style="10" customWidth="1"/>
    <col min="5917" max="5917" width="11.28515625" style="10" bestFit="1" customWidth="1"/>
    <col min="5918" max="6145" width="11.42578125" style="10"/>
    <col min="6146" max="6146" width="7" style="10" customWidth="1"/>
    <col min="6147" max="6147" width="10.7109375" style="10" customWidth="1"/>
    <col min="6148" max="6148" width="9.28515625" style="10" customWidth="1"/>
    <col min="6149" max="6172" width="7.28515625" style="10" customWidth="1"/>
    <col min="6173" max="6173" width="11.28515625" style="10" bestFit="1" customWidth="1"/>
    <col min="6174" max="6401" width="11.42578125" style="10"/>
    <col min="6402" max="6402" width="7" style="10" customWidth="1"/>
    <col min="6403" max="6403" width="10.7109375" style="10" customWidth="1"/>
    <col min="6404" max="6404" width="9.28515625" style="10" customWidth="1"/>
    <col min="6405" max="6428" width="7.28515625" style="10" customWidth="1"/>
    <col min="6429" max="6429" width="11.28515625" style="10" bestFit="1" customWidth="1"/>
    <col min="6430" max="6657" width="11.42578125" style="10"/>
    <col min="6658" max="6658" width="7" style="10" customWidth="1"/>
    <col min="6659" max="6659" width="10.7109375" style="10" customWidth="1"/>
    <col min="6660" max="6660" width="9.28515625" style="10" customWidth="1"/>
    <col min="6661" max="6684" width="7.28515625" style="10" customWidth="1"/>
    <col min="6685" max="6685" width="11.28515625" style="10" bestFit="1" customWidth="1"/>
    <col min="6686" max="6913" width="11.42578125" style="10"/>
    <col min="6914" max="6914" width="7" style="10" customWidth="1"/>
    <col min="6915" max="6915" width="10.7109375" style="10" customWidth="1"/>
    <col min="6916" max="6916" width="9.28515625" style="10" customWidth="1"/>
    <col min="6917" max="6940" width="7.28515625" style="10" customWidth="1"/>
    <col min="6941" max="6941" width="11.28515625" style="10" bestFit="1" customWidth="1"/>
    <col min="6942" max="7169" width="11.42578125" style="10"/>
    <col min="7170" max="7170" width="7" style="10" customWidth="1"/>
    <col min="7171" max="7171" width="10.7109375" style="10" customWidth="1"/>
    <col min="7172" max="7172" width="9.28515625" style="10" customWidth="1"/>
    <col min="7173" max="7196" width="7.28515625" style="10" customWidth="1"/>
    <col min="7197" max="7197" width="11.28515625" style="10" bestFit="1" customWidth="1"/>
    <col min="7198" max="7425" width="11.42578125" style="10"/>
    <col min="7426" max="7426" width="7" style="10" customWidth="1"/>
    <col min="7427" max="7427" width="10.7109375" style="10" customWidth="1"/>
    <col min="7428" max="7428" width="9.28515625" style="10" customWidth="1"/>
    <col min="7429" max="7452" width="7.28515625" style="10" customWidth="1"/>
    <col min="7453" max="7453" width="11.28515625" style="10" bestFit="1" customWidth="1"/>
    <col min="7454" max="7681" width="11.42578125" style="10"/>
    <col min="7682" max="7682" width="7" style="10" customWidth="1"/>
    <col min="7683" max="7683" width="10.7109375" style="10" customWidth="1"/>
    <col min="7684" max="7684" width="9.28515625" style="10" customWidth="1"/>
    <col min="7685" max="7708" width="7.28515625" style="10" customWidth="1"/>
    <col min="7709" max="7709" width="11.28515625" style="10" bestFit="1" customWidth="1"/>
    <col min="7710" max="7937" width="11.42578125" style="10"/>
    <col min="7938" max="7938" width="7" style="10" customWidth="1"/>
    <col min="7939" max="7939" width="10.7109375" style="10" customWidth="1"/>
    <col min="7940" max="7940" width="9.28515625" style="10" customWidth="1"/>
    <col min="7941" max="7964" width="7.28515625" style="10" customWidth="1"/>
    <col min="7965" max="7965" width="11.28515625" style="10" bestFit="1" customWidth="1"/>
    <col min="7966" max="8193" width="11.42578125" style="10"/>
    <col min="8194" max="8194" width="7" style="10" customWidth="1"/>
    <col min="8195" max="8195" width="10.7109375" style="10" customWidth="1"/>
    <col min="8196" max="8196" width="9.28515625" style="10" customWidth="1"/>
    <col min="8197" max="8220" width="7.28515625" style="10" customWidth="1"/>
    <col min="8221" max="8221" width="11.28515625" style="10" bestFit="1" customWidth="1"/>
    <col min="8222" max="8449" width="11.42578125" style="10"/>
    <col min="8450" max="8450" width="7" style="10" customWidth="1"/>
    <col min="8451" max="8451" width="10.7109375" style="10" customWidth="1"/>
    <col min="8452" max="8452" width="9.28515625" style="10" customWidth="1"/>
    <col min="8453" max="8476" width="7.28515625" style="10" customWidth="1"/>
    <col min="8477" max="8477" width="11.28515625" style="10" bestFit="1" customWidth="1"/>
    <col min="8478" max="8705" width="11.42578125" style="10"/>
    <col min="8706" max="8706" width="7" style="10" customWidth="1"/>
    <col min="8707" max="8707" width="10.7109375" style="10" customWidth="1"/>
    <col min="8708" max="8708" width="9.28515625" style="10" customWidth="1"/>
    <col min="8709" max="8732" width="7.28515625" style="10" customWidth="1"/>
    <col min="8733" max="8733" width="11.28515625" style="10" bestFit="1" customWidth="1"/>
    <col min="8734" max="8961" width="11.42578125" style="10"/>
    <col min="8962" max="8962" width="7" style="10" customWidth="1"/>
    <col min="8963" max="8963" width="10.7109375" style="10" customWidth="1"/>
    <col min="8964" max="8964" width="9.28515625" style="10" customWidth="1"/>
    <col min="8965" max="8988" width="7.28515625" style="10" customWidth="1"/>
    <col min="8989" max="8989" width="11.28515625" style="10" bestFit="1" customWidth="1"/>
    <col min="8990" max="9217" width="11.42578125" style="10"/>
    <col min="9218" max="9218" width="7" style="10" customWidth="1"/>
    <col min="9219" max="9219" width="10.7109375" style="10" customWidth="1"/>
    <col min="9220" max="9220" width="9.28515625" style="10" customWidth="1"/>
    <col min="9221" max="9244" width="7.28515625" style="10" customWidth="1"/>
    <col min="9245" max="9245" width="11.28515625" style="10" bestFit="1" customWidth="1"/>
    <col min="9246" max="9473" width="11.42578125" style="10"/>
    <col min="9474" max="9474" width="7" style="10" customWidth="1"/>
    <col min="9475" max="9475" width="10.7109375" style="10" customWidth="1"/>
    <col min="9476" max="9476" width="9.28515625" style="10" customWidth="1"/>
    <col min="9477" max="9500" width="7.28515625" style="10" customWidth="1"/>
    <col min="9501" max="9501" width="11.28515625" style="10" bestFit="1" customWidth="1"/>
    <col min="9502" max="9729" width="11.42578125" style="10"/>
    <col min="9730" max="9730" width="7" style="10" customWidth="1"/>
    <col min="9731" max="9731" width="10.7109375" style="10" customWidth="1"/>
    <col min="9732" max="9732" width="9.28515625" style="10" customWidth="1"/>
    <col min="9733" max="9756" width="7.28515625" style="10" customWidth="1"/>
    <col min="9757" max="9757" width="11.28515625" style="10" bestFit="1" customWidth="1"/>
    <col min="9758" max="9985" width="11.42578125" style="10"/>
    <col min="9986" max="9986" width="7" style="10" customWidth="1"/>
    <col min="9987" max="9987" width="10.7109375" style="10" customWidth="1"/>
    <col min="9988" max="9988" width="9.28515625" style="10" customWidth="1"/>
    <col min="9989" max="10012" width="7.28515625" style="10" customWidth="1"/>
    <col min="10013" max="10013" width="11.28515625" style="10" bestFit="1" customWidth="1"/>
    <col min="10014" max="10241" width="11.42578125" style="10"/>
    <col min="10242" max="10242" width="7" style="10" customWidth="1"/>
    <col min="10243" max="10243" width="10.7109375" style="10" customWidth="1"/>
    <col min="10244" max="10244" width="9.28515625" style="10" customWidth="1"/>
    <col min="10245" max="10268" width="7.28515625" style="10" customWidth="1"/>
    <col min="10269" max="10269" width="11.28515625" style="10" bestFit="1" customWidth="1"/>
    <col min="10270" max="10497" width="11.42578125" style="10"/>
    <col min="10498" max="10498" width="7" style="10" customWidth="1"/>
    <col min="10499" max="10499" width="10.7109375" style="10" customWidth="1"/>
    <col min="10500" max="10500" width="9.28515625" style="10" customWidth="1"/>
    <col min="10501" max="10524" width="7.28515625" style="10" customWidth="1"/>
    <col min="10525" max="10525" width="11.28515625" style="10" bestFit="1" customWidth="1"/>
    <col min="10526" max="10753" width="11.42578125" style="10"/>
    <col min="10754" max="10754" width="7" style="10" customWidth="1"/>
    <col min="10755" max="10755" width="10.7109375" style="10" customWidth="1"/>
    <col min="10756" max="10756" width="9.28515625" style="10" customWidth="1"/>
    <col min="10757" max="10780" width="7.28515625" style="10" customWidth="1"/>
    <col min="10781" max="10781" width="11.28515625" style="10" bestFit="1" customWidth="1"/>
    <col min="10782" max="11009" width="11.42578125" style="10"/>
    <col min="11010" max="11010" width="7" style="10" customWidth="1"/>
    <col min="11011" max="11011" width="10.7109375" style="10" customWidth="1"/>
    <col min="11012" max="11012" width="9.28515625" style="10" customWidth="1"/>
    <col min="11013" max="11036" width="7.28515625" style="10" customWidth="1"/>
    <col min="11037" max="11037" width="11.28515625" style="10" bestFit="1" customWidth="1"/>
    <col min="11038" max="11265" width="11.42578125" style="10"/>
    <col min="11266" max="11266" width="7" style="10" customWidth="1"/>
    <col min="11267" max="11267" width="10.7109375" style="10" customWidth="1"/>
    <col min="11268" max="11268" width="9.28515625" style="10" customWidth="1"/>
    <col min="11269" max="11292" width="7.28515625" style="10" customWidth="1"/>
    <col min="11293" max="11293" width="11.28515625" style="10" bestFit="1" customWidth="1"/>
    <col min="11294" max="11521" width="11.42578125" style="10"/>
    <col min="11522" max="11522" width="7" style="10" customWidth="1"/>
    <col min="11523" max="11523" width="10.7109375" style="10" customWidth="1"/>
    <col min="11524" max="11524" width="9.28515625" style="10" customWidth="1"/>
    <col min="11525" max="11548" width="7.28515625" style="10" customWidth="1"/>
    <col min="11549" max="11549" width="11.28515625" style="10" bestFit="1" customWidth="1"/>
    <col min="11550" max="11777" width="11.42578125" style="10"/>
    <col min="11778" max="11778" width="7" style="10" customWidth="1"/>
    <col min="11779" max="11779" width="10.7109375" style="10" customWidth="1"/>
    <col min="11780" max="11780" width="9.28515625" style="10" customWidth="1"/>
    <col min="11781" max="11804" width="7.28515625" style="10" customWidth="1"/>
    <col min="11805" max="11805" width="11.28515625" style="10" bestFit="1" customWidth="1"/>
    <col min="11806" max="12033" width="11.42578125" style="10"/>
    <col min="12034" max="12034" width="7" style="10" customWidth="1"/>
    <col min="12035" max="12035" width="10.7109375" style="10" customWidth="1"/>
    <col min="12036" max="12036" width="9.28515625" style="10" customWidth="1"/>
    <col min="12037" max="12060" width="7.28515625" style="10" customWidth="1"/>
    <col min="12061" max="12061" width="11.28515625" style="10" bestFit="1" customWidth="1"/>
    <col min="12062" max="12289" width="11.42578125" style="10"/>
    <col min="12290" max="12290" width="7" style="10" customWidth="1"/>
    <col min="12291" max="12291" width="10.7109375" style="10" customWidth="1"/>
    <col min="12292" max="12292" width="9.28515625" style="10" customWidth="1"/>
    <col min="12293" max="12316" width="7.28515625" style="10" customWidth="1"/>
    <col min="12317" max="12317" width="11.28515625" style="10" bestFit="1" customWidth="1"/>
    <col min="12318" max="12545" width="11.42578125" style="10"/>
    <col min="12546" max="12546" width="7" style="10" customWidth="1"/>
    <col min="12547" max="12547" width="10.7109375" style="10" customWidth="1"/>
    <col min="12548" max="12548" width="9.28515625" style="10" customWidth="1"/>
    <col min="12549" max="12572" width="7.28515625" style="10" customWidth="1"/>
    <col min="12573" max="12573" width="11.28515625" style="10" bestFit="1" customWidth="1"/>
    <col min="12574" max="12801" width="11.42578125" style="10"/>
    <col min="12802" max="12802" width="7" style="10" customWidth="1"/>
    <col min="12803" max="12803" width="10.7109375" style="10" customWidth="1"/>
    <col min="12804" max="12804" width="9.28515625" style="10" customWidth="1"/>
    <col min="12805" max="12828" width="7.28515625" style="10" customWidth="1"/>
    <col min="12829" max="12829" width="11.28515625" style="10" bestFit="1" customWidth="1"/>
    <col min="12830" max="13057" width="11.42578125" style="10"/>
    <col min="13058" max="13058" width="7" style="10" customWidth="1"/>
    <col min="13059" max="13059" width="10.7109375" style="10" customWidth="1"/>
    <col min="13060" max="13060" width="9.28515625" style="10" customWidth="1"/>
    <col min="13061" max="13084" width="7.28515625" style="10" customWidth="1"/>
    <col min="13085" max="13085" width="11.28515625" style="10" bestFit="1" customWidth="1"/>
    <col min="13086" max="13313" width="11.42578125" style="10"/>
    <col min="13314" max="13314" width="7" style="10" customWidth="1"/>
    <col min="13315" max="13315" width="10.7109375" style="10" customWidth="1"/>
    <col min="13316" max="13316" width="9.28515625" style="10" customWidth="1"/>
    <col min="13317" max="13340" width="7.28515625" style="10" customWidth="1"/>
    <col min="13341" max="13341" width="11.28515625" style="10" bestFit="1" customWidth="1"/>
    <col min="13342" max="13569" width="11.42578125" style="10"/>
    <col min="13570" max="13570" width="7" style="10" customWidth="1"/>
    <col min="13571" max="13571" width="10.7109375" style="10" customWidth="1"/>
    <col min="13572" max="13572" width="9.28515625" style="10" customWidth="1"/>
    <col min="13573" max="13596" width="7.28515625" style="10" customWidth="1"/>
    <col min="13597" max="13597" width="11.28515625" style="10" bestFit="1" customWidth="1"/>
    <col min="13598" max="13825" width="11.42578125" style="10"/>
    <col min="13826" max="13826" width="7" style="10" customWidth="1"/>
    <col min="13827" max="13827" width="10.7109375" style="10" customWidth="1"/>
    <col min="13828" max="13828" width="9.28515625" style="10" customWidth="1"/>
    <col min="13829" max="13852" width="7.28515625" style="10" customWidth="1"/>
    <col min="13853" max="13853" width="11.28515625" style="10" bestFit="1" customWidth="1"/>
    <col min="13854" max="14081" width="11.42578125" style="10"/>
    <col min="14082" max="14082" width="7" style="10" customWidth="1"/>
    <col min="14083" max="14083" width="10.7109375" style="10" customWidth="1"/>
    <col min="14084" max="14084" width="9.28515625" style="10" customWidth="1"/>
    <col min="14085" max="14108" width="7.28515625" style="10" customWidth="1"/>
    <col min="14109" max="14109" width="11.28515625" style="10" bestFit="1" customWidth="1"/>
    <col min="14110" max="14337" width="11.42578125" style="10"/>
    <col min="14338" max="14338" width="7" style="10" customWidth="1"/>
    <col min="14339" max="14339" width="10.7109375" style="10" customWidth="1"/>
    <col min="14340" max="14340" width="9.28515625" style="10" customWidth="1"/>
    <col min="14341" max="14364" width="7.28515625" style="10" customWidth="1"/>
    <col min="14365" max="14365" width="11.28515625" style="10" bestFit="1" customWidth="1"/>
    <col min="14366" max="14593" width="11.42578125" style="10"/>
    <col min="14594" max="14594" width="7" style="10" customWidth="1"/>
    <col min="14595" max="14595" width="10.7109375" style="10" customWidth="1"/>
    <col min="14596" max="14596" width="9.28515625" style="10" customWidth="1"/>
    <col min="14597" max="14620" width="7.28515625" style="10" customWidth="1"/>
    <col min="14621" max="14621" width="11.28515625" style="10" bestFit="1" customWidth="1"/>
    <col min="14622" max="14849" width="11.42578125" style="10"/>
    <col min="14850" max="14850" width="7" style="10" customWidth="1"/>
    <col min="14851" max="14851" width="10.7109375" style="10" customWidth="1"/>
    <col min="14852" max="14852" width="9.28515625" style="10" customWidth="1"/>
    <col min="14853" max="14876" width="7.28515625" style="10" customWidth="1"/>
    <col min="14877" max="14877" width="11.28515625" style="10" bestFit="1" customWidth="1"/>
    <col min="14878" max="15105" width="11.42578125" style="10"/>
    <col min="15106" max="15106" width="7" style="10" customWidth="1"/>
    <col min="15107" max="15107" width="10.7109375" style="10" customWidth="1"/>
    <col min="15108" max="15108" width="9.28515625" style="10" customWidth="1"/>
    <col min="15109" max="15132" width="7.28515625" style="10" customWidth="1"/>
    <col min="15133" max="15133" width="11.28515625" style="10" bestFit="1" customWidth="1"/>
    <col min="15134" max="15361" width="11.42578125" style="10"/>
    <col min="15362" max="15362" width="7" style="10" customWidth="1"/>
    <col min="15363" max="15363" width="10.7109375" style="10" customWidth="1"/>
    <col min="15364" max="15364" width="9.28515625" style="10" customWidth="1"/>
    <col min="15365" max="15388" width="7.28515625" style="10" customWidth="1"/>
    <col min="15389" max="15389" width="11.28515625" style="10" bestFit="1" customWidth="1"/>
    <col min="15390" max="15617" width="11.42578125" style="10"/>
    <col min="15618" max="15618" width="7" style="10" customWidth="1"/>
    <col min="15619" max="15619" width="10.7109375" style="10" customWidth="1"/>
    <col min="15620" max="15620" width="9.28515625" style="10" customWidth="1"/>
    <col min="15621" max="15644" width="7.28515625" style="10" customWidth="1"/>
    <col min="15645" max="15645" width="11.28515625" style="10" bestFit="1" customWidth="1"/>
    <col min="15646" max="15873" width="11.42578125" style="10"/>
    <col min="15874" max="15874" width="7" style="10" customWidth="1"/>
    <col min="15875" max="15875" width="10.7109375" style="10" customWidth="1"/>
    <col min="15876" max="15876" width="9.28515625" style="10" customWidth="1"/>
    <col min="15877" max="15900" width="7.28515625" style="10" customWidth="1"/>
    <col min="15901" max="15901" width="11.28515625" style="10" bestFit="1" customWidth="1"/>
    <col min="15902" max="16129" width="11.42578125" style="10"/>
    <col min="16130" max="16130" width="7" style="10" customWidth="1"/>
    <col min="16131" max="16131" width="10.7109375" style="10" customWidth="1"/>
    <col min="16132" max="16132" width="9.28515625" style="10" customWidth="1"/>
    <col min="16133" max="16156" width="7.28515625" style="10" customWidth="1"/>
    <col min="16157" max="16157" width="11.28515625" style="10" bestFit="1" customWidth="1"/>
    <col min="16158" max="16384" width="11.42578125" style="10"/>
  </cols>
  <sheetData>
    <row r="1" spans="2:31" ht="18.600000000000001" customHeight="1" x14ac:dyDescent="0.2"/>
    <row r="2" spans="2:31" ht="18.600000000000001" customHeight="1" x14ac:dyDescent="0.2">
      <c r="B2" s="59" t="s">
        <v>45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</row>
    <row r="3" spans="2:31" ht="18.600000000000001" customHeight="1" x14ac:dyDescent="0.2">
      <c r="B3" s="59" t="s">
        <v>44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spans="2:31" ht="18.600000000000001" customHeight="1" x14ac:dyDescent="0.2">
      <c r="B4" s="59">
        <v>2030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</row>
    <row r="5" spans="2:31" ht="18.600000000000001" customHeight="1" x14ac:dyDescent="0.2"/>
    <row r="6" spans="2:31" ht="31.5" x14ac:dyDescent="0.2">
      <c r="B6" s="2" t="s">
        <v>0</v>
      </c>
      <c r="C6" s="3" t="s">
        <v>1</v>
      </c>
      <c r="D6" s="2" t="s">
        <v>2</v>
      </c>
      <c r="E6" s="12" t="s">
        <v>3</v>
      </c>
      <c r="F6" s="12" t="s">
        <v>4</v>
      </c>
      <c r="G6" s="12" t="s">
        <v>5</v>
      </c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14</v>
      </c>
      <c r="Q6" s="12" t="s">
        <v>15</v>
      </c>
      <c r="R6" s="12" t="s">
        <v>16</v>
      </c>
      <c r="S6" s="12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2" t="s">
        <v>22</v>
      </c>
      <c r="Y6" s="12" t="s">
        <v>23</v>
      </c>
      <c r="Z6" s="12" t="s">
        <v>24</v>
      </c>
      <c r="AA6" s="12" t="s">
        <v>25</v>
      </c>
      <c r="AB6" s="12" t="s">
        <v>26</v>
      </c>
      <c r="AC6" s="12" t="s">
        <v>27</v>
      </c>
    </row>
    <row r="7" spans="2:31" ht="18.600000000000001" customHeight="1" x14ac:dyDescent="0.2">
      <c r="B7" s="49" t="s">
        <v>28</v>
      </c>
      <c r="C7" s="4" t="s">
        <v>29</v>
      </c>
      <c r="D7" s="5">
        <v>21</v>
      </c>
      <c r="E7" s="64">
        <v>17761.060000000001</v>
      </c>
      <c r="F7" s="64">
        <v>16460.45</v>
      </c>
      <c r="G7" s="64">
        <v>15732.11</v>
      </c>
      <c r="H7" s="64">
        <v>15659.66</v>
      </c>
      <c r="I7" s="64">
        <v>7261.06</v>
      </c>
      <c r="J7" s="64">
        <v>9135.43</v>
      </c>
      <c r="K7" s="64">
        <v>9977.93</v>
      </c>
      <c r="L7" s="64">
        <v>14741.24</v>
      </c>
      <c r="M7" s="64">
        <v>13491.62</v>
      </c>
      <c r="N7" s="64">
        <v>13225.72</v>
      </c>
      <c r="O7" s="64">
        <v>13768.42</v>
      </c>
      <c r="P7" s="64">
        <v>14644.39</v>
      </c>
      <c r="Q7" s="64">
        <v>14292.51</v>
      </c>
      <c r="R7" s="64">
        <v>14326.02</v>
      </c>
      <c r="S7" s="64">
        <v>14883.01</v>
      </c>
      <c r="T7" s="64">
        <v>15459.08</v>
      </c>
      <c r="U7" s="64">
        <v>17324.79</v>
      </c>
      <c r="V7" s="64">
        <v>16622.96</v>
      </c>
      <c r="W7" s="64">
        <v>923.24</v>
      </c>
      <c r="X7" s="64">
        <v>957.52</v>
      </c>
      <c r="Y7" s="64">
        <v>910.96</v>
      </c>
      <c r="Z7" s="64">
        <v>16346.52</v>
      </c>
      <c r="AA7" s="64">
        <v>13542.2</v>
      </c>
      <c r="AB7" s="64">
        <v>26836</v>
      </c>
      <c r="AC7" s="65">
        <f>+SUM(E7:AB7)*D7+SUM(E8:AB8)*D8+SUM(E9:AB9)*D9+SUM(E10:AB10)*D10</f>
        <v>9409166.3599999994</v>
      </c>
      <c r="AE7" s="8">
        <f>+AC7</f>
        <v>9409166.3599999994</v>
      </c>
    </row>
    <row r="8" spans="2:31" ht="18.600000000000001" customHeight="1" x14ac:dyDescent="0.2">
      <c r="B8" s="49" t="s">
        <v>28</v>
      </c>
      <c r="C8" s="4" t="s">
        <v>30</v>
      </c>
      <c r="D8" s="5">
        <v>4</v>
      </c>
      <c r="E8" s="64">
        <v>8116.14</v>
      </c>
      <c r="F8" s="64">
        <v>7278.79</v>
      </c>
      <c r="G8" s="64">
        <v>7046.78</v>
      </c>
      <c r="H8" s="64">
        <v>6984.78</v>
      </c>
      <c r="I8" s="64">
        <v>7085.95</v>
      </c>
      <c r="J8" s="64">
        <v>7732.01</v>
      </c>
      <c r="K8" s="64">
        <v>8275.81</v>
      </c>
      <c r="L8" s="64">
        <v>13734.85</v>
      </c>
      <c r="M8" s="64">
        <v>13265.89</v>
      </c>
      <c r="N8" s="64">
        <v>13431.84</v>
      </c>
      <c r="O8" s="64">
        <v>13584.02</v>
      </c>
      <c r="P8" s="64">
        <v>14070.7</v>
      </c>
      <c r="Q8" s="64">
        <v>14541.95</v>
      </c>
      <c r="R8" s="64">
        <v>14286.2</v>
      </c>
      <c r="S8" s="64">
        <v>14594.88</v>
      </c>
      <c r="T8" s="64">
        <v>13991.1</v>
      </c>
      <c r="U8" s="64">
        <v>16289.11</v>
      </c>
      <c r="V8" s="64">
        <v>15537.23</v>
      </c>
      <c r="W8" s="64">
        <v>17616.25</v>
      </c>
      <c r="X8" s="64">
        <v>18032.25</v>
      </c>
      <c r="Y8" s="64">
        <v>17103.98</v>
      </c>
      <c r="Z8" s="64">
        <v>15786.34</v>
      </c>
      <c r="AA8" s="64">
        <v>13865.5</v>
      </c>
      <c r="AB8" s="64">
        <v>12102.84</v>
      </c>
      <c r="AC8" s="66"/>
      <c r="AE8" s="8">
        <f>+AC11</f>
        <v>9079556.8000000007</v>
      </c>
    </row>
    <row r="9" spans="2:31" ht="18.600000000000001" customHeight="1" x14ac:dyDescent="0.2">
      <c r="B9" s="49" t="s">
        <v>28</v>
      </c>
      <c r="C9" s="4" t="s">
        <v>31</v>
      </c>
      <c r="D9" s="5">
        <v>4</v>
      </c>
      <c r="E9" s="64">
        <v>8337.3700000000008</v>
      </c>
      <c r="F9" s="64">
        <v>7522.38</v>
      </c>
      <c r="G9" s="64">
        <v>6896.15</v>
      </c>
      <c r="H9" s="64">
        <v>6586.86</v>
      </c>
      <c r="I9" s="64">
        <v>6342.54</v>
      </c>
      <c r="J9" s="64">
        <v>6435.2</v>
      </c>
      <c r="K9" s="64">
        <v>6119.49</v>
      </c>
      <c r="L9" s="64">
        <v>10680.36</v>
      </c>
      <c r="M9" s="64">
        <v>10327.540000000001</v>
      </c>
      <c r="N9" s="64">
        <v>10545.89</v>
      </c>
      <c r="O9" s="64">
        <v>10888.31</v>
      </c>
      <c r="P9" s="64">
        <v>11776.13</v>
      </c>
      <c r="Q9" s="64">
        <v>12097.96</v>
      </c>
      <c r="R9" s="64">
        <v>12384.58</v>
      </c>
      <c r="S9" s="64">
        <v>12276.95</v>
      </c>
      <c r="T9" s="64">
        <v>12860.51</v>
      </c>
      <c r="U9" s="64">
        <v>14832.69</v>
      </c>
      <c r="V9" s="64">
        <v>14202.74</v>
      </c>
      <c r="W9" s="64">
        <v>16698.330000000002</v>
      </c>
      <c r="X9" s="64">
        <v>17443.29</v>
      </c>
      <c r="Y9" s="64">
        <v>16721.84</v>
      </c>
      <c r="Z9" s="64">
        <v>14838.19</v>
      </c>
      <c r="AA9" s="64">
        <v>12541.64</v>
      </c>
      <c r="AB9" s="64">
        <v>10451.620000000001</v>
      </c>
      <c r="AC9" s="66"/>
      <c r="AE9" s="8">
        <f>+AC15</f>
        <v>9418074.0099999998</v>
      </c>
    </row>
    <row r="10" spans="2:31" ht="18.600000000000001" customHeight="1" x14ac:dyDescent="0.2">
      <c r="B10" s="49" t="s">
        <v>28</v>
      </c>
      <c r="C10" s="4" t="s">
        <v>32</v>
      </c>
      <c r="D10" s="5">
        <v>2</v>
      </c>
      <c r="E10" s="64">
        <v>8300.81</v>
      </c>
      <c r="F10" s="64">
        <v>7947.76</v>
      </c>
      <c r="G10" s="64">
        <v>7432.92</v>
      </c>
      <c r="H10" s="64">
        <v>7037.17</v>
      </c>
      <c r="I10" s="64">
        <v>6678.85</v>
      </c>
      <c r="J10" s="64">
        <v>6398.84</v>
      </c>
      <c r="K10" s="64">
        <v>5335.26</v>
      </c>
      <c r="L10" s="64">
        <v>9280.35</v>
      </c>
      <c r="M10" s="64">
        <v>8455.02</v>
      </c>
      <c r="N10" s="64">
        <v>8917.9699999999993</v>
      </c>
      <c r="O10" s="64">
        <v>9262.14</v>
      </c>
      <c r="P10" s="64">
        <v>10119.92</v>
      </c>
      <c r="Q10" s="64">
        <v>11070.45</v>
      </c>
      <c r="R10" s="64">
        <v>11866.52</v>
      </c>
      <c r="S10" s="64">
        <v>11505.31</v>
      </c>
      <c r="T10" s="64">
        <v>12240.06</v>
      </c>
      <c r="U10" s="64">
        <v>14369.46</v>
      </c>
      <c r="V10" s="64">
        <v>14216.94</v>
      </c>
      <c r="W10" s="64">
        <v>16233.32</v>
      </c>
      <c r="X10" s="64">
        <v>16657.02</v>
      </c>
      <c r="Y10" s="64">
        <v>15840.2</v>
      </c>
      <c r="Z10" s="64">
        <v>14206.55</v>
      </c>
      <c r="AA10" s="64">
        <v>12379.25</v>
      </c>
      <c r="AB10" s="64">
        <v>10522.64</v>
      </c>
      <c r="AC10" s="67"/>
      <c r="AE10" s="8">
        <f>+AC19</f>
        <v>9434893.2400000021</v>
      </c>
    </row>
    <row r="11" spans="2:31" ht="18.600000000000001" customHeight="1" x14ac:dyDescent="0.2">
      <c r="B11" s="49" t="s">
        <v>33</v>
      </c>
      <c r="C11" s="4" t="s">
        <v>29</v>
      </c>
      <c r="D11" s="5">
        <v>20</v>
      </c>
      <c r="E11" s="64">
        <v>19533.259999999998</v>
      </c>
      <c r="F11" s="64">
        <v>18377.810000000001</v>
      </c>
      <c r="G11" s="64">
        <v>17967.400000000001</v>
      </c>
      <c r="H11" s="64">
        <v>17815.8</v>
      </c>
      <c r="I11" s="64">
        <v>8977.2199999999993</v>
      </c>
      <c r="J11" s="64">
        <v>11405.14</v>
      </c>
      <c r="K11" s="64">
        <v>10952.57</v>
      </c>
      <c r="L11" s="64">
        <v>15127.24</v>
      </c>
      <c r="M11" s="64">
        <v>13682.56</v>
      </c>
      <c r="N11" s="64">
        <v>13431.98</v>
      </c>
      <c r="O11" s="64">
        <v>13789.87</v>
      </c>
      <c r="P11" s="64">
        <v>14547.37</v>
      </c>
      <c r="Q11" s="64">
        <v>14312.41</v>
      </c>
      <c r="R11" s="64">
        <v>14445.52</v>
      </c>
      <c r="S11" s="64">
        <v>15211</v>
      </c>
      <c r="T11" s="64">
        <v>15977.02</v>
      </c>
      <c r="U11" s="64">
        <v>17456.48</v>
      </c>
      <c r="V11" s="64">
        <v>15851.64</v>
      </c>
      <c r="W11" s="64">
        <v>915.22</v>
      </c>
      <c r="X11" s="64">
        <v>983.54</v>
      </c>
      <c r="Y11" s="64">
        <v>946.97</v>
      </c>
      <c r="Z11" s="64">
        <v>17182.990000000002</v>
      </c>
      <c r="AA11" s="64">
        <v>14797.27</v>
      </c>
      <c r="AB11" s="64">
        <v>27475.09</v>
      </c>
      <c r="AC11" s="65">
        <f>+SUM(E11:AB11)*D11+SUM(E12:AB12)*D12+SUM(E13:AB13)*D13+SUM(E14:AB14)*D14</f>
        <v>9079556.8000000007</v>
      </c>
      <c r="AE11" s="8">
        <f>+AC23</f>
        <v>9337617.4099999983</v>
      </c>
    </row>
    <row r="12" spans="2:31" ht="18.600000000000001" customHeight="1" x14ac:dyDescent="0.2">
      <c r="B12" s="49" t="s">
        <v>33</v>
      </c>
      <c r="C12" s="4" t="s">
        <v>30</v>
      </c>
      <c r="D12" s="5">
        <v>4</v>
      </c>
      <c r="E12" s="64">
        <v>9517.76</v>
      </c>
      <c r="F12" s="64">
        <v>8854.01</v>
      </c>
      <c r="G12" s="64">
        <v>8401.9</v>
      </c>
      <c r="H12" s="64">
        <v>8310.06</v>
      </c>
      <c r="I12" s="64">
        <v>8540.82</v>
      </c>
      <c r="J12" s="64">
        <v>9126.51</v>
      </c>
      <c r="K12" s="64">
        <v>8483.83</v>
      </c>
      <c r="L12" s="64">
        <v>14090.91</v>
      </c>
      <c r="M12" s="64">
        <v>13595.67</v>
      </c>
      <c r="N12" s="64">
        <v>13495.54</v>
      </c>
      <c r="O12" s="64">
        <v>13870.76</v>
      </c>
      <c r="P12" s="64">
        <v>14475.26</v>
      </c>
      <c r="Q12" s="64">
        <v>14711.31</v>
      </c>
      <c r="R12" s="64">
        <v>14265.23</v>
      </c>
      <c r="S12" s="64">
        <v>14272.58</v>
      </c>
      <c r="T12" s="64">
        <v>14785.46</v>
      </c>
      <c r="U12" s="64">
        <v>16344.42</v>
      </c>
      <c r="V12" s="64">
        <v>15171.36</v>
      </c>
      <c r="W12" s="64">
        <v>17685.98</v>
      </c>
      <c r="X12" s="64">
        <v>18993.91</v>
      </c>
      <c r="Y12" s="64">
        <v>18140.18</v>
      </c>
      <c r="Z12" s="64">
        <v>16825.07</v>
      </c>
      <c r="AA12" s="64">
        <v>15094.13</v>
      </c>
      <c r="AB12" s="64">
        <v>13351.83</v>
      </c>
      <c r="AC12" s="66"/>
      <c r="AE12" s="8">
        <f>+AC27</f>
        <v>9246410.4500000011</v>
      </c>
    </row>
    <row r="13" spans="2:31" ht="18.600000000000001" customHeight="1" x14ac:dyDescent="0.2">
      <c r="B13" s="49" t="s">
        <v>33</v>
      </c>
      <c r="C13" s="4" t="s">
        <v>31</v>
      </c>
      <c r="D13" s="5">
        <v>4</v>
      </c>
      <c r="E13" s="64">
        <v>9967.6299999999992</v>
      </c>
      <c r="F13" s="64">
        <v>9146.23</v>
      </c>
      <c r="G13" s="64">
        <v>8700.73</v>
      </c>
      <c r="H13" s="64">
        <v>8418.4599999999991</v>
      </c>
      <c r="I13" s="64">
        <v>8151.86</v>
      </c>
      <c r="J13" s="64">
        <v>8171.88</v>
      </c>
      <c r="K13" s="64">
        <v>6903.89</v>
      </c>
      <c r="L13" s="64">
        <v>11459.36</v>
      </c>
      <c r="M13" s="64">
        <v>11197.25</v>
      </c>
      <c r="N13" s="64">
        <v>11564.24</v>
      </c>
      <c r="O13" s="64">
        <v>11773.01</v>
      </c>
      <c r="P13" s="64">
        <v>12413.89</v>
      </c>
      <c r="Q13" s="64">
        <v>12966.41</v>
      </c>
      <c r="R13" s="64">
        <v>12905.68</v>
      </c>
      <c r="S13" s="64">
        <v>12962.06</v>
      </c>
      <c r="T13" s="64">
        <v>13331.33</v>
      </c>
      <c r="U13" s="64">
        <v>14663.43</v>
      </c>
      <c r="V13" s="64">
        <v>14126.39</v>
      </c>
      <c r="W13" s="64">
        <v>16593.91</v>
      </c>
      <c r="X13" s="64">
        <v>18081.95</v>
      </c>
      <c r="Y13" s="64">
        <v>17660.310000000001</v>
      </c>
      <c r="Z13" s="64">
        <v>16254.52</v>
      </c>
      <c r="AA13" s="64">
        <v>14196.67</v>
      </c>
      <c r="AB13" s="64">
        <v>12056.77</v>
      </c>
      <c r="AC13" s="66"/>
      <c r="AE13" s="8">
        <f>+AC31</f>
        <v>9352791.7399999984</v>
      </c>
    </row>
    <row r="14" spans="2:31" ht="18.600000000000001" customHeight="1" x14ac:dyDescent="0.2">
      <c r="B14" s="49" t="s">
        <v>33</v>
      </c>
      <c r="C14" s="4" t="s">
        <v>32</v>
      </c>
      <c r="D14" s="5">
        <v>0</v>
      </c>
      <c r="E14" s="64">
        <v>0</v>
      </c>
      <c r="F14" s="64">
        <v>0</v>
      </c>
      <c r="G14" s="64">
        <v>0</v>
      </c>
      <c r="H14" s="64">
        <v>0</v>
      </c>
      <c r="I14" s="64">
        <v>0</v>
      </c>
      <c r="J14" s="64"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64">
        <v>0</v>
      </c>
      <c r="X14" s="64">
        <v>0</v>
      </c>
      <c r="Y14" s="64">
        <v>0</v>
      </c>
      <c r="Z14" s="64">
        <v>0</v>
      </c>
      <c r="AA14" s="64">
        <v>0</v>
      </c>
      <c r="AB14" s="64">
        <v>0</v>
      </c>
      <c r="AC14" s="67"/>
      <c r="AE14" s="8">
        <f>+AC35</f>
        <v>9545265.9800000004</v>
      </c>
    </row>
    <row r="15" spans="2:31" ht="18.600000000000001" customHeight="1" x14ac:dyDescent="0.2">
      <c r="B15" s="49" t="s">
        <v>34</v>
      </c>
      <c r="C15" s="4" t="s">
        <v>29</v>
      </c>
      <c r="D15" s="5">
        <v>20</v>
      </c>
      <c r="E15" s="64">
        <v>19267.080000000002</v>
      </c>
      <c r="F15" s="64">
        <v>18111.61</v>
      </c>
      <c r="G15" s="64">
        <v>17647.04</v>
      </c>
      <c r="H15" s="64">
        <v>17344.07</v>
      </c>
      <c r="I15" s="64">
        <v>8733.36</v>
      </c>
      <c r="J15" s="64">
        <v>10528.12</v>
      </c>
      <c r="K15" s="64">
        <v>9565.91</v>
      </c>
      <c r="L15" s="64">
        <v>13856.24</v>
      </c>
      <c r="M15" s="64">
        <v>12561</v>
      </c>
      <c r="N15" s="64">
        <v>12344.42</v>
      </c>
      <c r="O15" s="64">
        <v>12581.44</v>
      </c>
      <c r="P15" s="64">
        <v>13223.67</v>
      </c>
      <c r="Q15" s="64">
        <v>13119.61</v>
      </c>
      <c r="R15" s="64">
        <v>13347.29</v>
      </c>
      <c r="S15" s="64">
        <v>14136.18</v>
      </c>
      <c r="T15" s="64">
        <v>14791.09</v>
      </c>
      <c r="U15" s="64">
        <v>16345.6</v>
      </c>
      <c r="V15" s="64">
        <v>15173.53</v>
      </c>
      <c r="W15" s="64">
        <v>877.98</v>
      </c>
      <c r="X15" s="64">
        <v>946.22</v>
      </c>
      <c r="Y15" s="64">
        <v>916.69</v>
      </c>
      <c r="Z15" s="64">
        <v>16803.560000000001</v>
      </c>
      <c r="AA15" s="64">
        <v>14681.97</v>
      </c>
      <c r="AB15" s="64">
        <v>27318.75</v>
      </c>
      <c r="AC15" s="65">
        <f>+SUM(E15:AB15)*D15+SUM(E16:AB16)*D16+SUM(E17:AB17)*D17+SUM(E18:AB18)*D18</f>
        <v>9418074.0099999998</v>
      </c>
      <c r="AE15" s="8">
        <f>+AC39</f>
        <v>9276815.5199999996</v>
      </c>
    </row>
    <row r="16" spans="2:31" ht="18.600000000000001" customHeight="1" x14ac:dyDescent="0.2">
      <c r="B16" s="49" t="s">
        <v>34</v>
      </c>
      <c r="C16" s="4" t="s">
        <v>30</v>
      </c>
      <c r="D16" s="5">
        <v>5</v>
      </c>
      <c r="E16" s="64">
        <v>9503.4699999999993</v>
      </c>
      <c r="F16" s="64">
        <v>8713.0499999999993</v>
      </c>
      <c r="G16" s="64">
        <v>8368.48</v>
      </c>
      <c r="H16" s="64">
        <v>8209.48</v>
      </c>
      <c r="I16" s="64">
        <v>8256.75</v>
      </c>
      <c r="J16" s="64">
        <v>8722.86</v>
      </c>
      <c r="K16" s="64">
        <v>7345.1</v>
      </c>
      <c r="L16" s="64">
        <v>12609.37</v>
      </c>
      <c r="M16" s="64">
        <v>12083.76</v>
      </c>
      <c r="N16" s="64">
        <v>12124.3</v>
      </c>
      <c r="O16" s="64">
        <v>12164.58</v>
      </c>
      <c r="P16" s="64">
        <v>12633.32</v>
      </c>
      <c r="Q16" s="64">
        <v>12714.06</v>
      </c>
      <c r="R16" s="64">
        <v>12698.35</v>
      </c>
      <c r="S16" s="64">
        <v>12901.57</v>
      </c>
      <c r="T16" s="64">
        <v>13379.04</v>
      </c>
      <c r="U16" s="64">
        <v>14880.15</v>
      </c>
      <c r="V16" s="64">
        <v>14197.52</v>
      </c>
      <c r="W16" s="64">
        <v>16960</v>
      </c>
      <c r="X16" s="64">
        <v>17822.79</v>
      </c>
      <c r="Y16" s="64">
        <v>17068.8</v>
      </c>
      <c r="Z16" s="64">
        <v>16099.54</v>
      </c>
      <c r="AA16" s="64">
        <v>14625.37</v>
      </c>
      <c r="AB16" s="64">
        <v>13168.14</v>
      </c>
      <c r="AC16" s="66"/>
      <c r="AE16" s="8">
        <f>+AC43</f>
        <v>9574587.6500000004</v>
      </c>
    </row>
    <row r="17" spans="2:31" ht="18.600000000000001" customHeight="1" x14ac:dyDescent="0.2">
      <c r="B17" s="49" t="s">
        <v>34</v>
      </c>
      <c r="C17" s="4" t="s">
        <v>31</v>
      </c>
      <c r="D17" s="5">
        <v>5</v>
      </c>
      <c r="E17" s="64">
        <v>9688.3700000000008</v>
      </c>
      <c r="F17" s="64">
        <v>8883.6299999999992</v>
      </c>
      <c r="G17" s="64">
        <v>8468.5400000000009</v>
      </c>
      <c r="H17" s="64">
        <v>8145.99</v>
      </c>
      <c r="I17" s="64">
        <v>8004.38</v>
      </c>
      <c r="J17" s="64">
        <v>7995.04</v>
      </c>
      <c r="K17" s="64">
        <v>6098.22</v>
      </c>
      <c r="L17" s="64">
        <v>10506.54</v>
      </c>
      <c r="M17" s="64">
        <v>10193.780000000001</v>
      </c>
      <c r="N17" s="64">
        <v>10587.23</v>
      </c>
      <c r="O17" s="64">
        <v>10523.11</v>
      </c>
      <c r="P17" s="64">
        <v>10836.25</v>
      </c>
      <c r="Q17" s="64">
        <v>11170.97</v>
      </c>
      <c r="R17" s="64">
        <v>11596.32</v>
      </c>
      <c r="S17" s="64">
        <v>11726.54</v>
      </c>
      <c r="T17" s="64">
        <v>12326.57</v>
      </c>
      <c r="U17" s="64">
        <v>13812.82</v>
      </c>
      <c r="V17" s="64">
        <v>13021.26</v>
      </c>
      <c r="W17" s="64">
        <v>15644.42</v>
      </c>
      <c r="X17" s="64">
        <v>17319.8</v>
      </c>
      <c r="Y17" s="64">
        <v>17034.259999999998</v>
      </c>
      <c r="Z17" s="64">
        <v>15934.37</v>
      </c>
      <c r="AA17" s="64">
        <v>14085.87</v>
      </c>
      <c r="AB17" s="64">
        <v>12273.33</v>
      </c>
      <c r="AC17" s="66"/>
      <c r="AE17" s="8">
        <f>+AC47</f>
        <v>9400577.5400000028</v>
      </c>
    </row>
    <row r="18" spans="2:31" ht="18.600000000000001" customHeight="1" x14ac:dyDescent="0.2">
      <c r="B18" s="49" t="s">
        <v>34</v>
      </c>
      <c r="C18" s="4" t="s">
        <v>32</v>
      </c>
      <c r="D18" s="5">
        <v>1</v>
      </c>
      <c r="E18" s="64">
        <v>9100.5</v>
      </c>
      <c r="F18" s="64">
        <v>8319.86</v>
      </c>
      <c r="G18" s="64">
        <v>7932.77</v>
      </c>
      <c r="H18" s="64">
        <v>7760.9</v>
      </c>
      <c r="I18" s="64">
        <v>7658.44</v>
      </c>
      <c r="J18" s="64">
        <v>7906.73</v>
      </c>
      <c r="K18" s="64">
        <v>6233.83</v>
      </c>
      <c r="L18" s="64">
        <v>11012.61</v>
      </c>
      <c r="M18" s="64">
        <v>10635.68</v>
      </c>
      <c r="N18" s="64">
        <v>10228.959999999999</v>
      </c>
      <c r="O18" s="64">
        <v>9914.91</v>
      </c>
      <c r="P18" s="64">
        <v>10555.46</v>
      </c>
      <c r="Q18" s="64">
        <v>11143.4</v>
      </c>
      <c r="R18" s="64">
        <v>11255.51</v>
      </c>
      <c r="S18" s="64">
        <v>11104.53</v>
      </c>
      <c r="T18" s="64">
        <v>11604.81</v>
      </c>
      <c r="U18" s="64">
        <v>13202.26</v>
      </c>
      <c r="V18" s="64">
        <v>12515.25</v>
      </c>
      <c r="W18" s="64">
        <v>15389.24</v>
      </c>
      <c r="X18" s="64">
        <v>16290.62</v>
      </c>
      <c r="Y18" s="64">
        <v>15760.58</v>
      </c>
      <c r="Z18" s="64">
        <v>15344.12</v>
      </c>
      <c r="AA18" s="64">
        <v>14269.81</v>
      </c>
      <c r="AB18" s="64">
        <v>12847.33</v>
      </c>
      <c r="AC18" s="67"/>
      <c r="AE18" s="8">
        <f>+AC51</f>
        <v>9542555.6300000008</v>
      </c>
    </row>
    <row r="19" spans="2:31" ht="18.600000000000001" customHeight="1" x14ac:dyDescent="0.2">
      <c r="B19" s="49" t="s">
        <v>35</v>
      </c>
      <c r="C19" s="4" t="s">
        <v>29</v>
      </c>
      <c r="D19" s="5">
        <v>20</v>
      </c>
      <c r="E19" s="64">
        <v>19674.02</v>
      </c>
      <c r="F19" s="64">
        <v>18354.580000000002</v>
      </c>
      <c r="G19" s="64">
        <v>17839.75</v>
      </c>
      <c r="H19" s="64">
        <v>17734.16</v>
      </c>
      <c r="I19" s="64">
        <v>8931.51</v>
      </c>
      <c r="J19" s="64">
        <v>11376.91</v>
      </c>
      <c r="K19" s="64">
        <v>10802.56</v>
      </c>
      <c r="L19" s="64">
        <v>14710.95</v>
      </c>
      <c r="M19" s="64">
        <v>12718.41</v>
      </c>
      <c r="N19" s="64">
        <v>12318.61</v>
      </c>
      <c r="O19" s="64">
        <v>12589.12</v>
      </c>
      <c r="P19" s="64">
        <v>12565.3</v>
      </c>
      <c r="Q19" s="64">
        <v>12754.78</v>
      </c>
      <c r="R19" s="64">
        <v>13149.61</v>
      </c>
      <c r="S19" s="64">
        <v>14060.97</v>
      </c>
      <c r="T19" s="64">
        <v>14910.26</v>
      </c>
      <c r="U19" s="64">
        <v>16787.580000000002</v>
      </c>
      <c r="V19" s="64">
        <v>15876.52</v>
      </c>
      <c r="W19" s="64">
        <v>942.2</v>
      </c>
      <c r="X19" s="64">
        <v>973.17</v>
      </c>
      <c r="Y19" s="64">
        <v>937.28</v>
      </c>
      <c r="Z19" s="64">
        <v>17185.560000000001</v>
      </c>
      <c r="AA19" s="64">
        <v>14722.6</v>
      </c>
      <c r="AB19" s="64">
        <v>27441.38</v>
      </c>
      <c r="AC19" s="65">
        <f>+SUM(E19:AB19)*D19+SUM(E20:AB20)*D20+SUM(E21:AB21)*D21+SUM(E22:AB22)*D22</f>
        <v>9434893.2400000021</v>
      </c>
    </row>
    <row r="20" spans="2:31" ht="18.600000000000001" customHeight="1" x14ac:dyDescent="0.2">
      <c r="B20" s="49" t="s">
        <v>35</v>
      </c>
      <c r="C20" s="4" t="s">
        <v>30</v>
      </c>
      <c r="D20" s="5">
        <v>4</v>
      </c>
      <c r="E20" s="64">
        <v>9689.26</v>
      </c>
      <c r="F20" s="64">
        <v>9086.2800000000007</v>
      </c>
      <c r="G20" s="64">
        <v>8478.89</v>
      </c>
      <c r="H20" s="64">
        <v>8416.6299999999992</v>
      </c>
      <c r="I20" s="64">
        <v>8698.27</v>
      </c>
      <c r="J20" s="64">
        <v>9309.9699999999993</v>
      </c>
      <c r="K20" s="64">
        <v>8010.75</v>
      </c>
      <c r="L20" s="64">
        <v>14147.65</v>
      </c>
      <c r="M20" s="64">
        <v>13879.56</v>
      </c>
      <c r="N20" s="64">
        <v>13731.76</v>
      </c>
      <c r="O20" s="64">
        <v>13659.74</v>
      </c>
      <c r="P20" s="64">
        <v>13892.43</v>
      </c>
      <c r="Q20" s="64">
        <v>14351.08</v>
      </c>
      <c r="R20" s="64">
        <v>13667.43</v>
      </c>
      <c r="S20" s="64">
        <v>13813.77</v>
      </c>
      <c r="T20" s="64">
        <v>14460.61</v>
      </c>
      <c r="U20" s="64">
        <v>16220.41</v>
      </c>
      <c r="V20" s="64">
        <v>14067.67</v>
      </c>
      <c r="W20" s="64">
        <v>18335.830000000002</v>
      </c>
      <c r="X20" s="64">
        <v>19113</v>
      </c>
      <c r="Y20" s="64">
        <v>18276.38</v>
      </c>
      <c r="Z20" s="64">
        <v>17147.650000000001</v>
      </c>
      <c r="AA20" s="64">
        <v>15322.51</v>
      </c>
      <c r="AB20" s="64">
        <v>14535.65</v>
      </c>
      <c r="AC20" s="66"/>
    </row>
    <row r="21" spans="2:31" ht="18.600000000000001" customHeight="1" x14ac:dyDescent="0.2">
      <c r="B21" s="49" t="s">
        <v>35</v>
      </c>
      <c r="C21" s="4" t="s">
        <v>31</v>
      </c>
      <c r="D21" s="5">
        <v>4</v>
      </c>
      <c r="E21" s="64">
        <v>10154.75</v>
      </c>
      <c r="F21" s="64">
        <v>9449.7199999999993</v>
      </c>
      <c r="G21" s="64">
        <v>8982.44</v>
      </c>
      <c r="H21" s="64">
        <v>8646.61</v>
      </c>
      <c r="I21" s="64">
        <v>8375.82</v>
      </c>
      <c r="J21" s="64">
        <v>8360.2900000000009</v>
      </c>
      <c r="K21" s="64">
        <v>6738.75</v>
      </c>
      <c r="L21" s="64">
        <v>11288.38</v>
      </c>
      <c r="M21" s="64">
        <v>10848.35</v>
      </c>
      <c r="N21" s="64">
        <v>10922.38</v>
      </c>
      <c r="O21" s="64">
        <v>11154.7</v>
      </c>
      <c r="P21" s="64">
        <v>11769.11</v>
      </c>
      <c r="Q21" s="64">
        <v>12667.05</v>
      </c>
      <c r="R21" s="64">
        <v>13072.71</v>
      </c>
      <c r="S21" s="64">
        <v>12849.4</v>
      </c>
      <c r="T21" s="64">
        <v>13252.27</v>
      </c>
      <c r="U21" s="64">
        <v>14691.83</v>
      </c>
      <c r="V21" s="64">
        <v>14242.78</v>
      </c>
      <c r="W21" s="64">
        <v>17250.580000000002</v>
      </c>
      <c r="X21" s="64">
        <v>17978.25</v>
      </c>
      <c r="Y21" s="64">
        <v>17614.61</v>
      </c>
      <c r="Z21" s="64">
        <v>16172.38</v>
      </c>
      <c r="AA21" s="64">
        <v>14218.77</v>
      </c>
      <c r="AB21" s="64">
        <v>12173.82</v>
      </c>
      <c r="AC21" s="66"/>
    </row>
    <row r="22" spans="2:31" ht="18.600000000000001" customHeight="1" x14ac:dyDescent="0.2">
      <c r="B22" s="49" t="s">
        <v>35</v>
      </c>
      <c r="C22" s="4" t="s">
        <v>32</v>
      </c>
      <c r="D22" s="5">
        <v>2</v>
      </c>
      <c r="E22" s="64">
        <v>10323.35</v>
      </c>
      <c r="F22" s="64">
        <v>9652.7800000000007</v>
      </c>
      <c r="G22" s="64">
        <v>9173.15</v>
      </c>
      <c r="H22" s="64">
        <v>8739.75</v>
      </c>
      <c r="I22" s="64">
        <v>8460.7800000000007</v>
      </c>
      <c r="J22" s="64">
        <v>8363.66</v>
      </c>
      <c r="K22" s="64">
        <v>6697.27</v>
      </c>
      <c r="L22" s="64">
        <v>11265.97</v>
      </c>
      <c r="M22" s="64">
        <v>10892.25</v>
      </c>
      <c r="N22" s="64">
        <v>11132.94</v>
      </c>
      <c r="O22" s="64">
        <v>11586.23</v>
      </c>
      <c r="P22" s="64">
        <v>12079.37</v>
      </c>
      <c r="Q22" s="64">
        <v>12771.51</v>
      </c>
      <c r="R22" s="64">
        <v>13212.34</v>
      </c>
      <c r="S22" s="64">
        <v>13062.66</v>
      </c>
      <c r="T22" s="64">
        <v>13459.77</v>
      </c>
      <c r="U22" s="64">
        <v>14943.16</v>
      </c>
      <c r="V22" s="64">
        <v>14470.88</v>
      </c>
      <c r="W22" s="64">
        <v>17807.349999999999</v>
      </c>
      <c r="X22" s="64">
        <v>18659.48</v>
      </c>
      <c r="Y22" s="64">
        <v>18366.03</v>
      </c>
      <c r="Z22" s="64">
        <v>16505.36</v>
      </c>
      <c r="AA22" s="64">
        <v>14073.03</v>
      </c>
      <c r="AB22" s="64">
        <v>11791.79</v>
      </c>
      <c r="AC22" s="67"/>
    </row>
    <row r="23" spans="2:31" ht="18.600000000000001" customHeight="1" x14ac:dyDescent="0.2">
      <c r="B23" s="49" t="s">
        <v>36</v>
      </c>
      <c r="C23" s="4" t="s">
        <v>29</v>
      </c>
      <c r="D23" s="5">
        <v>22</v>
      </c>
      <c r="E23" s="64">
        <v>18351.18</v>
      </c>
      <c r="F23" s="64">
        <v>17358.189999999999</v>
      </c>
      <c r="G23" s="64">
        <v>16865.560000000001</v>
      </c>
      <c r="H23" s="64">
        <v>16775.669999999998</v>
      </c>
      <c r="I23" s="64">
        <v>8378.6</v>
      </c>
      <c r="J23" s="64">
        <v>10529.75</v>
      </c>
      <c r="K23" s="64">
        <v>9969.57</v>
      </c>
      <c r="L23" s="64">
        <v>14021.86</v>
      </c>
      <c r="M23" s="64">
        <v>12401.13</v>
      </c>
      <c r="N23" s="64">
        <v>11999.67</v>
      </c>
      <c r="O23" s="64">
        <v>12389.73</v>
      </c>
      <c r="P23" s="64">
        <v>13068.34</v>
      </c>
      <c r="Q23" s="64">
        <v>12777.76</v>
      </c>
      <c r="R23" s="64">
        <v>12932.62</v>
      </c>
      <c r="S23" s="64">
        <v>13610.15</v>
      </c>
      <c r="T23" s="64">
        <v>14353.14</v>
      </c>
      <c r="U23" s="64">
        <v>15964.84</v>
      </c>
      <c r="V23" s="64">
        <v>14975.74</v>
      </c>
      <c r="W23" s="64">
        <v>897.03</v>
      </c>
      <c r="X23" s="64">
        <v>923.79</v>
      </c>
      <c r="Y23" s="64">
        <v>884.11</v>
      </c>
      <c r="Z23" s="64">
        <v>16296.94</v>
      </c>
      <c r="AA23" s="64">
        <v>14143.85</v>
      </c>
      <c r="AB23" s="64">
        <v>26319.97</v>
      </c>
      <c r="AC23" s="65">
        <f>+SUM(E23:AB23)*D23+SUM(E24:AB24)*D24+SUM(E25:AB25)*D25+SUM(E26:AB26)*D26</f>
        <v>9337617.4099999983</v>
      </c>
    </row>
    <row r="24" spans="2:31" ht="18.600000000000001" customHeight="1" x14ac:dyDescent="0.2">
      <c r="B24" s="49" t="s">
        <v>36</v>
      </c>
      <c r="C24" s="4" t="s">
        <v>30</v>
      </c>
      <c r="D24" s="5">
        <v>4</v>
      </c>
      <c r="E24" s="64">
        <v>9159.83</v>
      </c>
      <c r="F24" s="64">
        <v>8544.31</v>
      </c>
      <c r="G24" s="64">
        <v>8213.48</v>
      </c>
      <c r="H24" s="64">
        <v>8023.52</v>
      </c>
      <c r="I24" s="64">
        <v>8260.5</v>
      </c>
      <c r="J24" s="64">
        <v>8644.24</v>
      </c>
      <c r="K24" s="64">
        <v>7944.72</v>
      </c>
      <c r="L24" s="64">
        <v>13377.21</v>
      </c>
      <c r="M24" s="64">
        <v>12822.37</v>
      </c>
      <c r="N24" s="64">
        <v>12833.76</v>
      </c>
      <c r="O24" s="64">
        <v>12913.25</v>
      </c>
      <c r="P24" s="64">
        <v>13374.05</v>
      </c>
      <c r="Q24" s="64">
        <v>13356.77</v>
      </c>
      <c r="R24" s="64">
        <v>13004.34</v>
      </c>
      <c r="S24" s="64">
        <v>13124.84</v>
      </c>
      <c r="T24" s="64">
        <v>13632.81</v>
      </c>
      <c r="U24" s="64">
        <v>15316.27</v>
      </c>
      <c r="V24" s="64">
        <v>14454.51</v>
      </c>
      <c r="W24" s="64">
        <v>17468.2</v>
      </c>
      <c r="X24" s="64">
        <v>18025.59</v>
      </c>
      <c r="Y24" s="64">
        <v>17243.48</v>
      </c>
      <c r="Z24" s="64">
        <v>16148.92</v>
      </c>
      <c r="AA24" s="64">
        <v>14539.47</v>
      </c>
      <c r="AB24" s="64">
        <v>12623.45</v>
      </c>
      <c r="AC24" s="66"/>
    </row>
    <row r="25" spans="2:31" ht="18.600000000000001" customHeight="1" x14ac:dyDescent="0.2">
      <c r="B25" s="49" t="s">
        <v>36</v>
      </c>
      <c r="C25" s="4" t="s">
        <v>31</v>
      </c>
      <c r="D25" s="5">
        <v>4</v>
      </c>
      <c r="E25" s="64">
        <v>9355.59</v>
      </c>
      <c r="F25" s="64">
        <v>8665.67</v>
      </c>
      <c r="G25" s="64">
        <v>8247.94</v>
      </c>
      <c r="H25" s="64">
        <v>7905.44</v>
      </c>
      <c r="I25" s="64">
        <v>7835.7</v>
      </c>
      <c r="J25" s="64">
        <v>7615.68</v>
      </c>
      <c r="K25" s="64">
        <v>6178.53</v>
      </c>
      <c r="L25" s="64">
        <v>10728.59</v>
      </c>
      <c r="M25" s="64">
        <v>10390.52</v>
      </c>
      <c r="N25" s="64">
        <v>10752.59</v>
      </c>
      <c r="O25" s="64">
        <v>11097.77</v>
      </c>
      <c r="P25" s="64">
        <v>11704.59</v>
      </c>
      <c r="Q25" s="64">
        <v>11781.86</v>
      </c>
      <c r="R25" s="64">
        <v>11569.44</v>
      </c>
      <c r="S25" s="64">
        <v>11427.2</v>
      </c>
      <c r="T25" s="64">
        <v>11999.86</v>
      </c>
      <c r="U25" s="64">
        <v>13751.64</v>
      </c>
      <c r="V25" s="64">
        <v>13057.99</v>
      </c>
      <c r="W25" s="64">
        <v>16173.46</v>
      </c>
      <c r="X25" s="64">
        <v>17026.96</v>
      </c>
      <c r="Y25" s="64">
        <v>16703.259999999998</v>
      </c>
      <c r="Z25" s="64">
        <v>15583.59</v>
      </c>
      <c r="AA25" s="64">
        <v>13896.34</v>
      </c>
      <c r="AB25" s="64">
        <v>11881.48</v>
      </c>
      <c r="AC25" s="66"/>
    </row>
    <row r="26" spans="2:31" ht="18.600000000000001" customHeight="1" x14ac:dyDescent="0.2">
      <c r="B26" s="49" t="s">
        <v>36</v>
      </c>
      <c r="C26" s="4" t="s">
        <v>32</v>
      </c>
      <c r="D26" s="5">
        <v>1</v>
      </c>
      <c r="E26" s="64">
        <v>8759.11</v>
      </c>
      <c r="F26" s="64">
        <v>8130.71</v>
      </c>
      <c r="G26" s="64">
        <v>7877.51</v>
      </c>
      <c r="H26" s="64">
        <v>7638.95</v>
      </c>
      <c r="I26" s="64">
        <v>7748.17</v>
      </c>
      <c r="J26" s="64">
        <v>7782.41</v>
      </c>
      <c r="K26" s="64">
        <v>6432.89</v>
      </c>
      <c r="L26" s="64">
        <v>11038.9</v>
      </c>
      <c r="M26" s="64">
        <v>10640.95</v>
      </c>
      <c r="N26" s="64">
        <v>10909.59</v>
      </c>
      <c r="O26" s="64">
        <v>11606.72</v>
      </c>
      <c r="P26" s="64">
        <v>12648.95</v>
      </c>
      <c r="Q26" s="64">
        <v>13157.19</v>
      </c>
      <c r="R26" s="64">
        <v>12972.04</v>
      </c>
      <c r="S26" s="64">
        <v>12852.6</v>
      </c>
      <c r="T26" s="64">
        <v>13287.39</v>
      </c>
      <c r="U26" s="64">
        <v>14809.11</v>
      </c>
      <c r="V26" s="64">
        <v>14161.8</v>
      </c>
      <c r="W26" s="64">
        <v>17456.73</v>
      </c>
      <c r="X26" s="64">
        <v>18315.53</v>
      </c>
      <c r="Y26" s="64">
        <v>17505.05</v>
      </c>
      <c r="Z26" s="64">
        <v>16144.51</v>
      </c>
      <c r="AA26" s="64">
        <v>14129.33</v>
      </c>
      <c r="AB26" s="64">
        <v>11922.77</v>
      </c>
      <c r="AC26" s="67"/>
    </row>
    <row r="27" spans="2:31" ht="18.600000000000001" customHeight="1" x14ac:dyDescent="0.2">
      <c r="B27" s="49" t="s">
        <v>37</v>
      </c>
      <c r="C27" s="4" t="s">
        <v>29</v>
      </c>
      <c r="D27" s="5">
        <v>18</v>
      </c>
      <c r="E27" s="64">
        <v>18804.87</v>
      </c>
      <c r="F27" s="64">
        <v>17572.03</v>
      </c>
      <c r="G27" s="64">
        <v>17119</v>
      </c>
      <c r="H27" s="64">
        <v>17035.18</v>
      </c>
      <c r="I27" s="64">
        <v>8330.0400000000009</v>
      </c>
      <c r="J27" s="64">
        <v>9824.94</v>
      </c>
      <c r="K27" s="64">
        <v>9444.73</v>
      </c>
      <c r="L27" s="64">
        <v>14197.77</v>
      </c>
      <c r="M27" s="64">
        <v>12990.24</v>
      </c>
      <c r="N27" s="64">
        <v>12812.33</v>
      </c>
      <c r="O27" s="64">
        <v>13210.53</v>
      </c>
      <c r="P27" s="64">
        <v>14131.59</v>
      </c>
      <c r="Q27" s="64">
        <v>13817.39</v>
      </c>
      <c r="R27" s="64">
        <v>13776.14</v>
      </c>
      <c r="S27" s="64">
        <v>14436.26</v>
      </c>
      <c r="T27" s="64">
        <v>14962.24</v>
      </c>
      <c r="U27" s="64">
        <v>16555.669999999998</v>
      </c>
      <c r="V27" s="64">
        <v>15459.89</v>
      </c>
      <c r="W27" s="64">
        <v>922.86</v>
      </c>
      <c r="X27" s="64">
        <v>956.2</v>
      </c>
      <c r="Y27" s="64">
        <v>912.18</v>
      </c>
      <c r="Z27" s="64">
        <v>16839.759999999998</v>
      </c>
      <c r="AA27" s="64">
        <v>14580.68</v>
      </c>
      <c r="AB27" s="64">
        <v>27252.55</v>
      </c>
      <c r="AC27" s="65">
        <f>+SUM(E27:AB27)*D27+SUM(E28:AB28)*D28+SUM(E29:AB29)*D29+SUM(E30:AB30)*D30</f>
        <v>9246410.4500000011</v>
      </c>
    </row>
    <row r="28" spans="2:31" ht="18.600000000000001" customHeight="1" x14ac:dyDescent="0.2">
      <c r="B28" s="49" t="s">
        <v>37</v>
      </c>
      <c r="C28" s="4" t="s">
        <v>30</v>
      </c>
      <c r="D28" s="5">
        <v>5</v>
      </c>
      <c r="E28" s="64">
        <v>9418.4500000000007</v>
      </c>
      <c r="F28" s="64">
        <v>8687.89</v>
      </c>
      <c r="G28" s="64">
        <v>8426.1</v>
      </c>
      <c r="H28" s="64">
        <v>8195.39</v>
      </c>
      <c r="I28" s="64">
        <v>8480.7900000000009</v>
      </c>
      <c r="J28" s="64">
        <v>8866.9599999999991</v>
      </c>
      <c r="K28" s="64">
        <v>8211.99</v>
      </c>
      <c r="L28" s="64">
        <v>13814.97</v>
      </c>
      <c r="M28" s="64">
        <v>13225.99</v>
      </c>
      <c r="N28" s="64">
        <v>13221.06</v>
      </c>
      <c r="O28" s="64">
        <v>13284.9</v>
      </c>
      <c r="P28" s="64">
        <v>13926.23</v>
      </c>
      <c r="Q28" s="64">
        <v>13916.38</v>
      </c>
      <c r="R28" s="64">
        <v>13654.38</v>
      </c>
      <c r="S28" s="64">
        <v>13908.05</v>
      </c>
      <c r="T28" s="64">
        <v>14420.43</v>
      </c>
      <c r="U28" s="64">
        <v>15976.86</v>
      </c>
      <c r="V28" s="64">
        <v>15068.13</v>
      </c>
      <c r="W28" s="64">
        <v>18086.080000000002</v>
      </c>
      <c r="X28" s="64">
        <v>18961.810000000001</v>
      </c>
      <c r="Y28" s="64">
        <v>18125.240000000002</v>
      </c>
      <c r="Z28" s="64">
        <v>16818.62</v>
      </c>
      <c r="AA28" s="64">
        <v>15148.98</v>
      </c>
      <c r="AB28" s="64">
        <v>13200.47</v>
      </c>
      <c r="AC28" s="66"/>
    </row>
    <row r="29" spans="2:31" ht="18.600000000000001" customHeight="1" x14ac:dyDescent="0.2">
      <c r="B29" s="49" t="s">
        <v>37</v>
      </c>
      <c r="C29" s="4" t="s">
        <v>31</v>
      </c>
      <c r="D29" s="5">
        <v>5</v>
      </c>
      <c r="E29" s="64">
        <v>9607.41</v>
      </c>
      <c r="F29" s="64">
        <v>9078.68</v>
      </c>
      <c r="G29" s="64">
        <v>8519.5</v>
      </c>
      <c r="H29" s="64">
        <v>8295.94</v>
      </c>
      <c r="I29" s="64">
        <v>8202.84</v>
      </c>
      <c r="J29" s="64">
        <v>7974.4</v>
      </c>
      <c r="K29" s="64">
        <v>6296.51</v>
      </c>
      <c r="L29" s="64">
        <v>11052.03</v>
      </c>
      <c r="M29" s="64">
        <v>10722.62</v>
      </c>
      <c r="N29" s="64">
        <v>10818.08</v>
      </c>
      <c r="O29" s="64">
        <v>10995.57</v>
      </c>
      <c r="P29" s="64">
        <v>11700.69</v>
      </c>
      <c r="Q29" s="64">
        <v>12146.26</v>
      </c>
      <c r="R29" s="64">
        <v>12006.93</v>
      </c>
      <c r="S29" s="64">
        <v>12147.68</v>
      </c>
      <c r="T29" s="64">
        <v>12637.94</v>
      </c>
      <c r="U29" s="64">
        <v>14107.84</v>
      </c>
      <c r="V29" s="64">
        <v>13504.4</v>
      </c>
      <c r="W29" s="64">
        <v>16455.25</v>
      </c>
      <c r="X29" s="64">
        <v>17308.64</v>
      </c>
      <c r="Y29" s="64">
        <v>16803.330000000002</v>
      </c>
      <c r="Z29" s="64">
        <v>15691.58</v>
      </c>
      <c r="AA29" s="64">
        <v>14105.25</v>
      </c>
      <c r="AB29" s="64">
        <v>12244.89</v>
      </c>
      <c r="AC29" s="66"/>
    </row>
    <row r="30" spans="2:31" ht="18.600000000000001" customHeight="1" x14ac:dyDescent="0.2">
      <c r="B30" s="49" t="s">
        <v>37</v>
      </c>
      <c r="C30" s="4" t="s">
        <v>32</v>
      </c>
      <c r="D30" s="5">
        <v>2</v>
      </c>
      <c r="E30" s="64">
        <v>9360.17</v>
      </c>
      <c r="F30" s="64">
        <v>8726.66</v>
      </c>
      <c r="G30" s="64">
        <v>8297.27</v>
      </c>
      <c r="H30" s="64">
        <v>8035.51</v>
      </c>
      <c r="I30" s="64">
        <v>8181.05</v>
      </c>
      <c r="J30" s="64">
        <v>8092.06</v>
      </c>
      <c r="K30" s="64">
        <v>6494.2</v>
      </c>
      <c r="L30" s="64">
        <v>10832.75</v>
      </c>
      <c r="M30" s="64">
        <v>10537.4</v>
      </c>
      <c r="N30" s="64">
        <v>10328.959999999999</v>
      </c>
      <c r="O30" s="64">
        <v>11149.53</v>
      </c>
      <c r="P30" s="64">
        <v>12213.38</v>
      </c>
      <c r="Q30" s="64">
        <v>12556.72</v>
      </c>
      <c r="R30" s="64">
        <v>11922.11</v>
      </c>
      <c r="S30" s="64">
        <v>12186.71</v>
      </c>
      <c r="T30" s="64">
        <v>12590.87</v>
      </c>
      <c r="U30" s="64">
        <v>13902.76</v>
      </c>
      <c r="V30" s="64">
        <v>14349.2</v>
      </c>
      <c r="W30" s="64">
        <v>17899.64</v>
      </c>
      <c r="X30" s="64">
        <v>18635.62</v>
      </c>
      <c r="Y30" s="64">
        <v>17749.54</v>
      </c>
      <c r="Z30" s="64">
        <v>16109.06</v>
      </c>
      <c r="AA30" s="64">
        <v>13966.1</v>
      </c>
      <c r="AB30" s="64">
        <v>11906.3</v>
      </c>
      <c r="AC30" s="67"/>
    </row>
    <row r="31" spans="2:31" ht="18.600000000000001" customHeight="1" x14ac:dyDescent="0.2">
      <c r="B31" s="49" t="s">
        <v>38</v>
      </c>
      <c r="C31" s="4" t="s">
        <v>29</v>
      </c>
      <c r="D31" s="5">
        <v>22</v>
      </c>
      <c r="E31" s="64">
        <v>18817.12</v>
      </c>
      <c r="F31" s="64">
        <v>17526.52</v>
      </c>
      <c r="G31" s="64">
        <v>17037.830000000002</v>
      </c>
      <c r="H31" s="64">
        <v>16798.86</v>
      </c>
      <c r="I31" s="64">
        <v>8277.9</v>
      </c>
      <c r="J31" s="64">
        <v>10172.549999999999</v>
      </c>
      <c r="K31" s="64">
        <v>9305.92</v>
      </c>
      <c r="L31" s="64">
        <v>13752.56</v>
      </c>
      <c r="M31" s="64">
        <v>12312.57</v>
      </c>
      <c r="N31" s="64">
        <v>12110.86</v>
      </c>
      <c r="O31" s="64">
        <v>12558.2</v>
      </c>
      <c r="P31" s="64">
        <v>13620.37</v>
      </c>
      <c r="Q31" s="64">
        <v>13122.81</v>
      </c>
      <c r="R31" s="64">
        <v>13186.39</v>
      </c>
      <c r="S31" s="64">
        <v>14064.71</v>
      </c>
      <c r="T31" s="64">
        <v>14633.7</v>
      </c>
      <c r="U31" s="64">
        <v>16061.8</v>
      </c>
      <c r="V31" s="64">
        <v>15044.82</v>
      </c>
      <c r="W31" s="64">
        <v>898.61</v>
      </c>
      <c r="X31" s="64">
        <v>950.51</v>
      </c>
      <c r="Y31" s="64">
        <v>908.78</v>
      </c>
      <c r="Z31" s="64">
        <v>16713.169999999998</v>
      </c>
      <c r="AA31" s="64">
        <v>14475.14</v>
      </c>
      <c r="AB31" s="64">
        <v>26542.76</v>
      </c>
      <c r="AC31" s="65">
        <f>+SUM(E31:AB31)*D31+SUM(E32:AB32)*D32+SUM(E33:AB33)*D33+SUM(E34:AB34)*D34</f>
        <v>9352791.7399999984</v>
      </c>
    </row>
    <row r="32" spans="2:31" ht="18.600000000000001" customHeight="1" x14ac:dyDescent="0.2">
      <c r="B32" s="49" t="s">
        <v>38</v>
      </c>
      <c r="C32" s="4" t="s">
        <v>30</v>
      </c>
      <c r="D32" s="5">
        <v>3</v>
      </c>
      <c r="E32" s="64">
        <v>8253.34</v>
      </c>
      <c r="F32" s="64">
        <v>7771.95</v>
      </c>
      <c r="G32" s="64">
        <v>7379.3</v>
      </c>
      <c r="H32" s="64">
        <v>7395.74</v>
      </c>
      <c r="I32" s="64">
        <v>7555.64</v>
      </c>
      <c r="J32" s="64">
        <v>7982.16</v>
      </c>
      <c r="K32" s="64">
        <v>7336.1</v>
      </c>
      <c r="L32" s="64">
        <v>12860.64</v>
      </c>
      <c r="M32" s="64">
        <v>12401.23</v>
      </c>
      <c r="N32" s="64">
        <v>12523.57</v>
      </c>
      <c r="O32" s="64">
        <v>12559.71</v>
      </c>
      <c r="P32" s="64">
        <v>13221.41</v>
      </c>
      <c r="Q32" s="64">
        <v>13064.13</v>
      </c>
      <c r="R32" s="64">
        <v>12886.52</v>
      </c>
      <c r="S32" s="64">
        <v>12975.6</v>
      </c>
      <c r="T32" s="64">
        <v>13464.5</v>
      </c>
      <c r="U32" s="64">
        <v>15154.16</v>
      </c>
      <c r="V32" s="64">
        <v>14410.55</v>
      </c>
      <c r="W32" s="64">
        <v>17286.09</v>
      </c>
      <c r="X32" s="64">
        <v>18385.939999999999</v>
      </c>
      <c r="Y32" s="64">
        <v>17568.439999999999</v>
      </c>
      <c r="Z32" s="64">
        <v>16446.89</v>
      </c>
      <c r="AA32" s="64">
        <v>14664.62</v>
      </c>
      <c r="AB32" s="64">
        <v>12695.07</v>
      </c>
      <c r="AC32" s="66"/>
    </row>
    <row r="33" spans="2:29" ht="18.600000000000001" customHeight="1" x14ac:dyDescent="0.2">
      <c r="B33" s="49" t="s">
        <v>38</v>
      </c>
      <c r="C33" s="4" t="s">
        <v>31</v>
      </c>
      <c r="D33" s="5">
        <v>4</v>
      </c>
      <c r="E33" s="64">
        <v>9083.25</v>
      </c>
      <c r="F33" s="64">
        <v>8525.36</v>
      </c>
      <c r="G33" s="64">
        <v>7883.36</v>
      </c>
      <c r="H33" s="64">
        <v>7682.89</v>
      </c>
      <c r="I33" s="64">
        <v>7598.16</v>
      </c>
      <c r="J33" s="64">
        <v>7423.25</v>
      </c>
      <c r="K33" s="64">
        <v>5752.29</v>
      </c>
      <c r="L33" s="64">
        <v>10469.290000000001</v>
      </c>
      <c r="M33" s="64">
        <v>10026.83</v>
      </c>
      <c r="N33" s="64">
        <v>10393.280000000001</v>
      </c>
      <c r="O33" s="64">
        <v>10790.72</v>
      </c>
      <c r="P33" s="64">
        <v>11787.4</v>
      </c>
      <c r="Q33" s="64">
        <v>12071.97</v>
      </c>
      <c r="R33" s="64">
        <v>12064.87</v>
      </c>
      <c r="S33" s="64">
        <v>12123.61</v>
      </c>
      <c r="T33" s="64">
        <v>12625.91</v>
      </c>
      <c r="U33" s="64">
        <v>14229.71</v>
      </c>
      <c r="V33" s="64">
        <v>13652.73</v>
      </c>
      <c r="W33" s="64">
        <v>16583.400000000001</v>
      </c>
      <c r="X33" s="64">
        <v>17693.830000000002</v>
      </c>
      <c r="Y33" s="64">
        <v>16912.82</v>
      </c>
      <c r="Z33" s="64">
        <v>15744.95</v>
      </c>
      <c r="AA33" s="64">
        <v>14331.04</v>
      </c>
      <c r="AB33" s="64">
        <v>12454</v>
      </c>
      <c r="AC33" s="66"/>
    </row>
    <row r="34" spans="2:29" ht="18.600000000000001" customHeight="1" x14ac:dyDescent="0.2">
      <c r="B34" s="49" t="s">
        <v>38</v>
      </c>
      <c r="C34" s="4" t="s">
        <v>32</v>
      </c>
      <c r="D34" s="5">
        <v>2</v>
      </c>
      <c r="E34" s="64">
        <v>8724.1299999999992</v>
      </c>
      <c r="F34" s="64">
        <v>8100.57</v>
      </c>
      <c r="G34" s="64">
        <v>7665.95</v>
      </c>
      <c r="H34" s="64">
        <v>7712.78</v>
      </c>
      <c r="I34" s="64">
        <v>7481.65</v>
      </c>
      <c r="J34" s="64">
        <v>7606.79</v>
      </c>
      <c r="K34" s="64">
        <v>6168.23</v>
      </c>
      <c r="L34" s="64">
        <v>11004.73</v>
      </c>
      <c r="M34" s="64">
        <v>10576.41</v>
      </c>
      <c r="N34" s="64">
        <v>10448.1</v>
      </c>
      <c r="O34" s="64">
        <v>11149.9</v>
      </c>
      <c r="P34" s="64">
        <v>11894.01</v>
      </c>
      <c r="Q34" s="64">
        <v>12137.68</v>
      </c>
      <c r="R34" s="64">
        <v>12091.46</v>
      </c>
      <c r="S34" s="64">
        <v>12370.39</v>
      </c>
      <c r="T34" s="64">
        <v>12915.75</v>
      </c>
      <c r="U34" s="64">
        <v>14150.6</v>
      </c>
      <c r="V34" s="64">
        <v>13439.58</v>
      </c>
      <c r="W34" s="64">
        <v>16401.03</v>
      </c>
      <c r="X34" s="64">
        <v>17539.55</v>
      </c>
      <c r="Y34" s="64">
        <v>16926.060000000001</v>
      </c>
      <c r="Z34" s="64">
        <v>15560.62</v>
      </c>
      <c r="AA34" s="64">
        <v>14038.57</v>
      </c>
      <c r="AB34" s="64">
        <v>12277.48</v>
      </c>
      <c r="AC34" s="67"/>
    </row>
    <row r="35" spans="2:29" ht="18.600000000000001" customHeight="1" x14ac:dyDescent="0.2">
      <c r="B35" s="49" t="s">
        <v>39</v>
      </c>
      <c r="C35" s="4" t="s">
        <v>29</v>
      </c>
      <c r="D35" s="5">
        <v>20</v>
      </c>
      <c r="E35" s="64">
        <v>18964.37</v>
      </c>
      <c r="F35" s="64">
        <v>17938.16</v>
      </c>
      <c r="G35" s="64">
        <v>17362.5</v>
      </c>
      <c r="H35" s="64">
        <v>17260.78</v>
      </c>
      <c r="I35" s="64">
        <v>8638.7199999999993</v>
      </c>
      <c r="J35" s="64">
        <v>10962.87</v>
      </c>
      <c r="K35" s="64">
        <v>10194.040000000001</v>
      </c>
      <c r="L35" s="64">
        <v>14339.47</v>
      </c>
      <c r="M35" s="64">
        <v>12875.94</v>
      </c>
      <c r="N35" s="64">
        <v>12518.86</v>
      </c>
      <c r="O35" s="64">
        <v>12965.77</v>
      </c>
      <c r="P35" s="64">
        <v>13733.42</v>
      </c>
      <c r="Q35" s="64">
        <v>13188.61</v>
      </c>
      <c r="R35" s="64">
        <v>13454.91</v>
      </c>
      <c r="S35" s="64">
        <v>14277.61</v>
      </c>
      <c r="T35" s="64">
        <v>14843.83</v>
      </c>
      <c r="U35" s="64">
        <v>16439.18</v>
      </c>
      <c r="V35" s="64">
        <v>15014.85</v>
      </c>
      <c r="W35" s="64">
        <v>918.01</v>
      </c>
      <c r="X35" s="64">
        <v>962.24</v>
      </c>
      <c r="Y35" s="64">
        <v>921.67</v>
      </c>
      <c r="Z35" s="64">
        <v>16926.150000000001</v>
      </c>
      <c r="AA35" s="64">
        <v>14317.49</v>
      </c>
      <c r="AB35" s="64">
        <v>26827.19</v>
      </c>
      <c r="AC35" s="65">
        <f>+SUM(E35:AB35)*D35+SUM(E36:AB36)*D36+SUM(E37:AB37)*D37+SUM(E38:AB38)*D38</f>
        <v>9545265.9800000004</v>
      </c>
    </row>
    <row r="36" spans="2:29" ht="18.600000000000001" customHeight="1" x14ac:dyDescent="0.2">
      <c r="B36" s="49" t="s">
        <v>39</v>
      </c>
      <c r="C36" s="4" t="s">
        <v>30</v>
      </c>
      <c r="D36" s="5">
        <v>5</v>
      </c>
      <c r="E36" s="64">
        <v>9520.64</v>
      </c>
      <c r="F36" s="64">
        <v>8834.4500000000007</v>
      </c>
      <c r="G36" s="64">
        <v>8509.14</v>
      </c>
      <c r="H36" s="64">
        <v>8381.34</v>
      </c>
      <c r="I36" s="64">
        <v>8621.39</v>
      </c>
      <c r="J36" s="64">
        <v>9085.08</v>
      </c>
      <c r="K36" s="64">
        <v>8059.08</v>
      </c>
      <c r="L36" s="64">
        <v>13657.85</v>
      </c>
      <c r="M36" s="64">
        <v>13093.61</v>
      </c>
      <c r="N36" s="64">
        <v>13248.22</v>
      </c>
      <c r="O36" s="64">
        <v>13392.28</v>
      </c>
      <c r="P36" s="64">
        <v>14123.99</v>
      </c>
      <c r="Q36" s="64">
        <v>13637.52</v>
      </c>
      <c r="R36" s="64">
        <v>13402.05</v>
      </c>
      <c r="S36" s="64">
        <v>13402.46</v>
      </c>
      <c r="T36" s="64">
        <v>13850.08</v>
      </c>
      <c r="U36" s="64">
        <v>15715.72</v>
      </c>
      <c r="V36" s="64">
        <v>14549.12</v>
      </c>
      <c r="W36" s="64">
        <v>17992.55</v>
      </c>
      <c r="X36" s="64">
        <v>18605.05</v>
      </c>
      <c r="Y36" s="64">
        <v>17655.32</v>
      </c>
      <c r="Z36" s="64">
        <v>16451.900000000001</v>
      </c>
      <c r="AA36" s="64">
        <v>14286.66</v>
      </c>
      <c r="AB36" s="64">
        <v>12711.72</v>
      </c>
      <c r="AC36" s="66"/>
    </row>
    <row r="37" spans="2:29" ht="18.600000000000001" customHeight="1" x14ac:dyDescent="0.2">
      <c r="B37" s="49" t="s">
        <v>39</v>
      </c>
      <c r="C37" s="4" t="s">
        <v>31</v>
      </c>
      <c r="D37" s="5">
        <v>4</v>
      </c>
      <c r="E37" s="64">
        <v>9015.27</v>
      </c>
      <c r="F37" s="64">
        <v>8516.2099999999991</v>
      </c>
      <c r="G37" s="64">
        <v>8149.14</v>
      </c>
      <c r="H37" s="64">
        <v>7886.25</v>
      </c>
      <c r="I37" s="64">
        <v>7746.3</v>
      </c>
      <c r="J37" s="64">
        <v>7799.63</v>
      </c>
      <c r="K37" s="64">
        <v>5626.72</v>
      </c>
      <c r="L37" s="64">
        <v>10219.370000000001</v>
      </c>
      <c r="M37" s="64">
        <v>9954.7000000000007</v>
      </c>
      <c r="N37" s="64">
        <v>10089.77</v>
      </c>
      <c r="O37" s="64">
        <v>10572.94</v>
      </c>
      <c r="P37" s="64">
        <v>11379.31</v>
      </c>
      <c r="Q37" s="64">
        <v>11525.46</v>
      </c>
      <c r="R37" s="64">
        <v>11832.35</v>
      </c>
      <c r="S37" s="64">
        <v>11886.81</v>
      </c>
      <c r="T37" s="64">
        <v>12308.95</v>
      </c>
      <c r="U37" s="64">
        <v>14055.13</v>
      </c>
      <c r="V37" s="64">
        <v>13119.66</v>
      </c>
      <c r="W37" s="64">
        <v>16414.82</v>
      </c>
      <c r="X37" s="64">
        <v>17352.77</v>
      </c>
      <c r="Y37" s="64">
        <v>16932.310000000001</v>
      </c>
      <c r="Z37" s="64">
        <v>15770.29</v>
      </c>
      <c r="AA37" s="64">
        <v>13312.23</v>
      </c>
      <c r="AB37" s="64">
        <v>11718.5</v>
      </c>
      <c r="AC37" s="66"/>
    </row>
    <row r="38" spans="2:29" ht="18.600000000000001" customHeight="1" x14ac:dyDescent="0.2">
      <c r="B38" s="49" t="s">
        <v>39</v>
      </c>
      <c r="C38" s="4" t="s">
        <v>32</v>
      </c>
      <c r="D38" s="5">
        <v>2</v>
      </c>
      <c r="E38" s="64">
        <v>8621.7900000000009</v>
      </c>
      <c r="F38" s="64">
        <v>8217.7099999999991</v>
      </c>
      <c r="G38" s="64">
        <v>7747.01</v>
      </c>
      <c r="H38" s="64">
        <v>7689.33</v>
      </c>
      <c r="I38" s="64">
        <v>7770.08</v>
      </c>
      <c r="J38" s="64">
        <v>7918.12</v>
      </c>
      <c r="K38" s="64">
        <v>6314.39</v>
      </c>
      <c r="L38" s="64">
        <v>11250.34</v>
      </c>
      <c r="M38" s="64">
        <v>10731.56</v>
      </c>
      <c r="N38" s="64">
        <v>11315.98</v>
      </c>
      <c r="O38" s="64">
        <v>12023.29</v>
      </c>
      <c r="P38" s="64">
        <v>13323.9</v>
      </c>
      <c r="Q38" s="64">
        <v>13180.91</v>
      </c>
      <c r="R38" s="64">
        <v>13108.95</v>
      </c>
      <c r="S38" s="64">
        <v>13117.7</v>
      </c>
      <c r="T38" s="64">
        <v>13491.9</v>
      </c>
      <c r="U38" s="64">
        <v>14868.92</v>
      </c>
      <c r="V38" s="64">
        <v>14302.73</v>
      </c>
      <c r="W38" s="64">
        <v>17334.71</v>
      </c>
      <c r="X38" s="64">
        <v>18610.91</v>
      </c>
      <c r="Y38" s="64">
        <v>17826.86</v>
      </c>
      <c r="Z38" s="64">
        <v>16263.55</v>
      </c>
      <c r="AA38" s="64">
        <v>13859.66</v>
      </c>
      <c r="AB38" s="64">
        <v>11938.46</v>
      </c>
      <c r="AC38" s="67"/>
    </row>
    <row r="39" spans="2:29" ht="18.600000000000001" customHeight="1" x14ac:dyDescent="0.2">
      <c r="B39" s="49" t="s">
        <v>40</v>
      </c>
      <c r="C39" s="4" t="s">
        <v>29</v>
      </c>
      <c r="D39" s="5">
        <v>21</v>
      </c>
      <c r="E39" s="64">
        <v>19090.53</v>
      </c>
      <c r="F39" s="64">
        <v>18125.939999999999</v>
      </c>
      <c r="G39" s="64">
        <v>17748.95</v>
      </c>
      <c r="H39" s="64">
        <v>17541.77</v>
      </c>
      <c r="I39" s="64">
        <v>8787.83</v>
      </c>
      <c r="J39" s="64">
        <v>10858.39</v>
      </c>
      <c r="K39" s="64">
        <v>10139.61</v>
      </c>
      <c r="L39" s="64">
        <v>14497.1</v>
      </c>
      <c r="M39" s="64">
        <v>12890.07</v>
      </c>
      <c r="N39" s="64">
        <v>12606.45</v>
      </c>
      <c r="O39" s="64">
        <v>12795.49</v>
      </c>
      <c r="P39" s="64">
        <v>13549.77</v>
      </c>
      <c r="Q39" s="64">
        <v>13261.91</v>
      </c>
      <c r="R39" s="64">
        <v>13567.72</v>
      </c>
      <c r="S39" s="64">
        <v>14439.92</v>
      </c>
      <c r="T39" s="64">
        <v>15219.61</v>
      </c>
      <c r="U39" s="64">
        <v>16771.3</v>
      </c>
      <c r="V39" s="64">
        <v>15298.79</v>
      </c>
      <c r="W39" s="64">
        <v>937.53</v>
      </c>
      <c r="X39" s="64">
        <v>949.62</v>
      </c>
      <c r="Y39" s="64">
        <v>908.41</v>
      </c>
      <c r="Z39" s="64">
        <v>16535.59</v>
      </c>
      <c r="AA39" s="64">
        <v>14225.64</v>
      </c>
      <c r="AB39" s="64">
        <v>26444.5</v>
      </c>
      <c r="AC39" s="65">
        <f>+SUM(E39:AB39)*D39+SUM(E40:AB40)*D40+SUM(E41:AB41)*D41+SUM(E42:AB42)*D42</f>
        <v>9276815.5199999996</v>
      </c>
    </row>
    <row r="40" spans="2:29" ht="18.600000000000001" customHeight="1" x14ac:dyDescent="0.2">
      <c r="B40" s="49" t="s">
        <v>40</v>
      </c>
      <c r="C40" s="4" t="s">
        <v>30</v>
      </c>
      <c r="D40" s="5">
        <v>4</v>
      </c>
      <c r="E40" s="64">
        <v>9688.23</v>
      </c>
      <c r="F40" s="64">
        <v>8866.92</v>
      </c>
      <c r="G40" s="64">
        <v>8574.19</v>
      </c>
      <c r="H40" s="64">
        <v>8396.2800000000007</v>
      </c>
      <c r="I40" s="64">
        <v>8682.59</v>
      </c>
      <c r="J40" s="64">
        <v>9134.91</v>
      </c>
      <c r="K40" s="64">
        <v>8308.75</v>
      </c>
      <c r="L40" s="64">
        <v>13627.74</v>
      </c>
      <c r="M40" s="64">
        <v>13210.03</v>
      </c>
      <c r="N40" s="64">
        <v>13161.23</v>
      </c>
      <c r="O40" s="64">
        <v>13118.02</v>
      </c>
      <c r="P40" s="64">
        <v>13512.41</v>
      </c>
      <c r="Q40" s="64">
        <v>13389.24</v>
      </c>
      <c r="R40" s="64">
        <v>13183.19</v>
      </c>
      <c r="S40" s="64">
        <v>13361.19</v>
      </c>
      <c r="T40" s="64">
        <v>14001.26</v>
      </c>
      <c r="U40" s="64">
        <v>15929.24</v>
      </c>
      <c r="V40" s="64">
        <v>14577.91</v>
      </c>
      <c r="W40" s="64">
        <v>17810.54</v>
      </c>
      <c r="X40" s="64">
        <v>17747.919999999998</v>
      </c>
      <c r="Y40" s="64">
        <v>17117.53</v>
      </c>
      <c r="Z40" s="64">
        <v>15591.92</v>
      </c>
      <c r="AA40" s="64">
        <v>13991.25</v>
      </c>
      <c r="AB40" s="64">
        <v>12470.18</v>
      </c>
      <c r="AC40" s="66"/>
    </row>
    <row r="41" spans="2:29" ht="18.600000000000001" customHeight="1" x14ac:dyDescent="0.2">
      <c r="B41" s="49" t="s">
        <v>40</v>
      </c>
      <c r="C41" s="4" t="s">
        <v>31</v>
      </c>
      <c r="D41" s="5">
        <v>5</v>
      </c>
      <c r="E41" s="64">
        <v>9449.81</v>
      </c>
      <c r="F41" s="64">
        <v>8884.83</v>
      </c>
      <c r="G41" s="64">
        <v>8532.18</v>
      </c>
      <c r="H41" s="64">
        <v>8241.6200000000008</v>
      </c>
      <c r="I41" s="64">
        <v>8080.06</v>
      </c>
      <c r="J41" s="64">
        <v>7799.84</v>
      </c>
      <c r="K41" s="64">
        <v>6136.76</v>
      </c>
      <c r="L41" s="64">
        <v>10761.48</v>
      </c>
      <c r="M41" s="64">
        <v>10520.53</v>
      </c>
      <c r="N41" s="64">
        <v>10517.25</v>
      </c>
      <c r="O41" s="64">
        <v>10701.45</v>
      </c>
      <c r="P41" s="64">
        <v>11171.63</v>
      </c>
      <c r="Q41" s="64">
        <v>11452.71</v>
      </c>
      <c r="R41" s="64">
        <v>11455.59</v>
      </c>
      <c r="S41" s="64">
        <v>11877.58</v>
      </c>
      <c r="T41" s="64">
        <v>12606.38</v>
      </c>
      <c r="U41" s="64">
        <v>14279.68</v>
      </c>
      <c r="V41" s="64">
        <v>13524.92</v>
      </c>
      <c r="W41" s="64">
        <v>17050.29</v>
      </c>
      <c r="X41" s="64">
        <v>17295.02</v>
      </c>
      <c r="Y41" s="64">
        <v>16877.04</v>
      </c>
      <c r="Z41" s="64">
        <v>15164.29</v>
      </c>
      <c r="AA41" s="64">
        <v>13258.69</v>
      </c>
      <c r="AB41" s="64">
        <v>11553.09</v>
      </c>
      <c r="AC41" s="66"/>
    </row>
    <row r="42" spans="2:29" ht="18.600000000000001" customHeight="1" x14ac:dyDescent="0.2">
      <c r="B42" s="49" t="s">
        <v>40</v>
      </c>
      <c r="C42" s="4" t="s">
        <v>32</v>
      </c>
      <c r="D42" s="5">
        <v>0</v>
      </c>
      <c r="E42" s="64">
        <v>0</v>
      </c>
      <c r="F42" s="64">
        <v>0</v>
      </c>
      <c r="G42" s="64">
        <v>0</v>
      </c>
      <c r="H42" s="64">
        <v>0</v>
      </c>
      <c r="I42" s="64">
        <v>0</v>
      </c>
      <c r="J42" s="64">
        <v>0</v>
      </c>
      <c r="K42" s="64">
        <v>0</v>
      </c>
      <c r="L42" s="64">
        <v>0</v>
      </c>
      <c r="M42" s="64">
        <v>0</v>
      </c>
      <c r="N42" s="64">
        <v>0</v>
      </c>
      <c r="O42" s="64">
        <v>0</v>
      </c>
      <c r="P42" s="64">
        <v>0</v>
      </c>
      <c r="Q42" s="64">
        <v>0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64">
        <v>0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7"/>
    </row>
    <row r="43" spans="2:29" ht="18.600000000000001" customHeight="1" x14ac:dyDescent="0.2">
      <c r="B43" s="49" t="s">
        <v>41</v>
      </c>
      <c r="C43" s="4" t="s">
        <v>29</v>
      </c>
      <c r="D43" s="5">
        <v>22</v>
      </c>
      <c r="E43" s="64">
        <v>19391.18</v>
      </c>
      <c r="F43" s="64">
        <v>18260.59</v>
      </c>
      <c r="G43" s="64">
        <v>17723.84</v>
      </c>
      <c r="H43" s="64">
        <v>17773.66</v>
      </c>
      <c r="I43" s="64">
        <v>9034.58</v>
      </c>
      <c r="J43" s="64">
        <v>10941.94</v>
      </c>
      <c r="K43" s="64">
        <v>9833.42</v>
      </c>
      <c r="L43" s="64">
        <v>14255.67</v>
      </c>
      <c r="M43" s="64">
        <v>12439.89</v>
      </c>
      <c r="N43" s="64">
        <v>12224.58</v>
      </c>
      <c r="O43" s="64">
        <v>12255.63</v>
      </c>
      <c r="P43" s="64">
        <v>12791.84</v>
      </c>
      <c r="Q43" s="64">
        <v>12533.57</v>
      </c>
      <c r="R43" s="64">
        <v>12779.12</v>
      </c>
      <c r="S43" s="64">
        <v>13937.68</v>
      </c>
      <c r="T43" s="64">
        <v>14760.06</v>
      </c>
      <c r="U43" s="64">
        <v>16626.599999999999</v>
      </c>
      <c r="V43" s="64">
        <v>15781.01</v>
      </c>
      <c r="W43" s="64">
        <v>964.35</v>
      </c>
      <c r="X43" s="64">
        <v>953.22</v>
      </c>
      <c r="Y43" s="64">
        <v>891.27</v>
      </c>
      <c r="Z43" s="64">
        <v>16445.57</v>
      </c>
      <c r="AA43" s="64">
        <v>14105.6</v>
      </c>
      <c r="AB43" s="64">
        <v>26446.57</v>
      </c>
      <c r="AC43" s="65">
        <f>+SUM(E43:AB43)*D43+SUM(E44:AB44)*D44+SUM(E45:AB45)*D45+SUM(E46:AB46)*D46</f>
        <v>9574587.6500000004</v>
      </c>
    </row>
    <row r="44" spans="2:29" ht="18.600000000000001" customHeight="1" x14ac:dyDescent="0.2">
      <c r="B44" s="49" t="s">
        <v>41</v>
      </c>
      <c r="C44" s="4" t="s">
        <v>30</v>
      </c>
      <c r="D44" s="5">
        <v>4</v>
      </c>
      <c r="E44" s="64">
        <v>9838.67</v>
      </c>
      <c r="F44" s="64">
        <v>9155.36</v>
      </c>
      <c r="G44" s="64">
        <v>8761.2199999999993</v>
      </c>
      <c r="H44" s="64">
        <v>8698.11</v>
      </c>
      <c r="I44" s="64">
        <v>8973.09</v>
      </c>
      <c r="J44" s="64">
        <v>9248.5</v>
      </c>
      <c r="K44" s="64">
        <v>7705.04</v>
      </c>
      <c r="L44" s="64">
        <v>13686.46</v>
      </c>
      <c r="M44" s="64">
        <v>12637.18</v>
      </c>
      <c r="N44" s="64">
        <v>12859.83</v>
      </c>
      <c r="O44" s="64">
        <v>12547.89</v>
      </c>
      <c r="P44" s="64">
        <v>12968.63</v>
      </c>
      <c r="Q44" s="64">
        <v>12952.34</v>
      </c>
      <c r="R44" s="64">
        <v>12756.49</v>
      </c>
      <c r="S44" s="64">
        <v>13394.79</v>
      </c>
      <c r="T44" s="64">
        <v>14188.42</v>
      </c>
      <c r="U44" s="64">
        <v>15990.81</v>
      </c>
      <c r="V44" s="64">
        <v>14628.14</v>
      </c>
      <c r="W44" s="64">
        <v>19295.169999999998</v>
      </c>
      <c r="X44" s="64">
        <v>19064.13</v>
      </c>
      <c r="Y44" s="64">
        <v>18368.810000000001</v>
      </c>
      <c r="Z44" s="64">
        <v>17297.330000000002</v>
      </c>
      <c r="AA44" s="64">
        <v>15325.61</v>
      </c>
      <c r="AB44" s="64">
        <v>13750.64</v>
      </c>
      <c r="AC44" s="66"/>
    </row>
    <row r="45" spans="2:29" ht="18.600000000000001" customHeight="1" x14ac:dyDescent="0.2">
      <c r="B45" s="49" t="s">
        <v>41</v>
      </c>
      <c r="C45" s="4" t="s">
        <v>31</v>
      </c>
      <c r="D45" s="5">
        <v>4</v>
      </c>
      <c r="E45" s="64">
        <v>10245.049999999999</v>
      </c>
      <c r="F45" s="64">
        <v>9701.84</v>
      </c>
      <c r="G45" s="64">
        <v>9139.08</v>
      </c>
      <c r="H45" s="64">
        <v>8765.58</v>
      </c>
      <c r="I45" s="64">
        <v>8777.6299999999992</v>
      </c>
      <c r="J45" s="64">
        <v>8314</v>
      </c>
      <c r="K45" s="64">
        <v>5969.1</v>
      </c>
      <c r="L45" s="64">
        <v>10781.24</v>
      </c>
      <c r="M45" s="64">
        <v>10578.04</v>
      </c>
      <c r="N45" s="64">
        <v>11279.21</v>
      </c>
      <c r="O45" s="64">
        <v>10868.12</v>
      </c>
      <c r="P45" s="64">
        <v>11360.12</v>
      </c>
      <c r="Q45" s="64">
        <v>11606.05</v>
      </c>
      <c r="R45" s="64">
        <v>11438.7</v>
      </c>
      <c r="S45" s="64">
        <v>12251.78</v>
      </c>
      <c r="T45" s="64">
        <v>13022.23</v>
      </c>
      <c r="U45" s="64">
        <v>14231.3</v>
      </c>
      <c r="V45" s="64">
        <v>13709.35</v>
      </c>
      <c r="W45" s="64">
        <v>17339.599999999999</v>
      </c>
      <c r="X45" s="64">
        <v>17635.11</v>
      </c>
      <c r="Y45" s="64">
        <v>16863.89</v>
      </c>
      <c r="Z45" s="64">
        <v>15331.16</v>
      </c>
      <c r="AA45" s="64">
        <v>13438.48</v>
      </c>
      <c r="AB45" s="64">
        <v>11603.67</v>
      </c>
      <c r="AC45" s="66"/>
    </row>
    <row r="46" spans="2:29" ht="18.600000000000001" customHeight="1" x14ac:dyDescent="0.2">
      <c r="B46" s="49" t="s">
        <v>41</v>
      </c>
      <c r="C46" s="4" t="s">
        <v>32</v>
      </c>
      <c r="D46" s="5">
        <v>1</v>
      </c>
      <c r="E46" s="64">
        <v>8930.34</v>
      </c>
      <c r="F46" s="64">
        <v>8710.3700000000008</v>
      </c>
      <c r="G46" s="64">
        <v>8157.28</v>
      </c>
      <c r="H46" s="64">
        <v>8029.19</v>
      </c>
      <c r="I46" s="64">
        <v>8245.64</v>
      </c>
      <c r="J46" s="64">
        <v>8295.0499999999993</v>
      </c>
      <c r="K46" s="64">
        <v>5438.72</v>
      </c>
      <c r="L46" s="64">
        <v>10765.81</v>
      </c>
      <c r="M46" s="64">
        <v>9846</v>
      </c>
      <c r="N46" s="64">
        <v>10752.38</v>
      </c>
      <c r="O46" s="64">
        <v>10816.58</v>
      </c>
      <c r="P46" s="64">
        <v>12124.39</v>
      </c>
      <c r="Q46" s="64">
        <v>12426.18</v>
      </c>
      <c r="R46" s="64">
        <v>12574.33</v>
      </c>
      <c r="S46" s="64">
        <v>13074.39</v>
      </c>
      <c r="T46" s="64">
        <v>13174.82</v>
      </c>
      <c r="U46" s="64">
        <v>14511.52</v>
      </c>
      <c r="V46" s="64">
        <v>15160.79</v>
      </c>
      <c r="W46" s="64">
        <v>19366.34</v>
      </c>
      <c r="X46" s="64">
        <v>19126.57</v>
      </c>
      <c r="Y46" s="64">
        <v>18270.71</v>
      </c>
      <c r="Z46" s="64">
        <v>16831.939999999999</v>
      </c>
      <c r="AA46" s="64">
        <v>14589.31</v>
      </c>
      <c r="AB46" s="64">
        <v>12665.36</v>
      </c>
      <c r="AC46" s="67"/>
    </row>
    <row r="47" spans="2:29" ht="18.600000000000001" customHeight="1" x14ac:dyDescent="0.2">
      <c r="B47" s="49" t="s">
        <v>42</v>
      </c>
      <c r="C47" s="4" t="s">
        <v>29</v>
      </c>
      <c r="D47" s="5">
        <v>19</v>
      </c>
      <c r="E47" s="64">
        <v>19360.27</v>
      </c>
      <c r="F47" s="64">
        <v>18422.77</v>
      </c>
      <c r="G47" s="64">
        <v>18211.52</v>
      </c>
      <c r="H47" s="64">
        <v>18094.09</v>
      </c>
      <c r="I47" s="64">
        <v>9149.18</v>
      </c>
      <c r="J47" s="64">
        <v>11166.51</v>
      </c>
      <c r="K47" s="64">
        <v>10429.040000000001</v>
      </c>
      <c r="L47" s="64">
        <v>15107.16</v>
      </c>
      <c r="M47" s="64">
        <v>13235.5</v>
      </c>
      <c r="N47" s="64">
        <v>12917.22</v>
      </c>
      <c r="O47" s="64">
        <v>12924.38</v>
      </c>
      <c r="P47" s="64">
        <v>13632.75</v>
      </c>
      <c r="Q47" s="64">
        <v>13288.57</v>
      </c>
      <c r="R47" s="64">
        <v>13317.32</v>
      </c>
      <c r="S47" s="64">
        <v>14379.51</v>
      </c>
      <c r="T47" s="64">
        <v>15108.86</v>
      </c>
      <c r="U47" s="64">
        <v>16827.45</v>
      </c>
      <c r="V47" s="64">
        <v>15967.01</v>
      </c>
      <c r="W47" s="64">
        <v>992.98</v>
      </c>
      <c r="X47" s="64">
        <v>981.06</v>
      </c>
      <c r="Y47" s="64">
        <v>904.28</v>
      </c>
      <c r="Z47" s="64">
        <v>16369.34</v>
      </c>
      <c r="AA47" s="64">
        <v>14183.32</v>
      </c>
      <c r="AB47" s="64">
        <v>26773.74</v>
      </c>
      <c r="AC47" s="65">
        <f>+SUM(E47:AB47)*D47+SUM(E48:AB48)*D48+SUM(E49:AB49)*D49+SUM(E50:AB50)*D50</f>
        <v>9400577.5400000028</v>
      </c>
    </row>
    <row r="48" spans="2:29" ht="18.600000000000001" customHeight="1" x14ac:dyDescent="0.2">
      <c r="B48" s="49" t="s">
        <v>42</v>
      </c>
      <c r="C48" s="4" t="s">
        <v>30</v>
      </c>
      <c r="D48" s="5">
        <v>5</v>
      </c>
      <c r="E48" s="64">
        <v>9567.86</v>
      </c>
      <c r="F48" s="64">
        <v>8871.0300000000007</v>
      </c>
      <c r="G48" s="64">
        <v>8638.51</v>
      </c>
      <c r="H48" s="64">
        <v>8476.8700000000008</v>
      </c>
      <c r="I48" s="64">
        <v>8932.74</v>
      </c>
      <c r="J48" s="64">
        <v>9184.16</v>
      </c>
      <c r="K48" s="64">
        <v>8604.86</v>
      </c>
      <c r="L48" s="64">
        <v>14466.39</v>
      </c>
      <c r="M48" s="64">
        <v>13697.57</v>
      </c>
      <c r="N48" s="64">
        <v>13512.05</v>
      </c>
      <c r="O48" s="64">
        <v>13308.97</v>
      </c>
      <c r="P48" s="64">
        <v>13472.25</v>
      </c>
      <c r="Q48" s="64">
        <v>13116.76</v>
      </c>
      <c r="R48" s="64">
        <v>13232.35</v>
      </c>
      <c r="S48" s="64">
        <v>13744.61</v>
      </c>
      <c r="T48" s="64">
        <v>14568.69</v>
      </c>
      <c r="U48" s="64">
        <v>16039.16</v>
      </c>
      <c r="V48" s="64">
        <v>15210.61</v>
      </c>
      <c r="W48" s="64">
        <v>18797.939999999999</v>
      </c>
      <c r="X48" s="64">
        <v>18835.82</v>
      </c>
      <c r="Y48" s="64">
        <v>17570.54</v>
      </c>
      <c r="Z48" s="64">
        <v>16303.68</v>
      </c>
      <c r="AA48" s="64">
        <v>14744.94</v>
      </c>
      <c r="AB48" s="64">
        <v>12966.67</v>
      </c>
      <c r="AC48" s="66"/>
    </row>
    <row r="49" spans="2:29" ht="18.600000000000001" customHeight="1" x14ac:dyDescent="0.2">
      <c r="B49" s="49" t="s">
        <v>42</v>
      </c>
      <c r="C49" s="4" t="s">
        <v>31</v>
      </c>
      <c r="D49" s="5">
        <v>4</v>
      </c>
      <c r="E49" s="64">
        <v>9641.14</v>
      </c>
      <c r="F49" s="64">
        <v>9053.24</v>
      </c>
      <c r="G49" s="64">
        <v>8449.61</v>
      </c>
      <c r="H49" s="64">
        <v>8370.3700000000008</v>
      </c>
      <c r="I49" s="64">
        <v>8440.83</v>
      </c>
      <c r="J49" s="64">
        <v>8075.66</v>
      </c>
      <c r="K49" s="64">
        <v>6128.57</v>
      </c>
      <c r="L49" s="64">
        <v>10796.53</v>
      </c>
      <c r="M49" s="64">
        <v>10526.95</v>
      </c>
      <c r="N49" s="64">
        <v>10647.29</v>
      </c>
      <c r="O49" s="64">
        <v>10622.69</v>
      </c>
      <c r="P49" s="64">
        <v>11892.22</v>
      </c>
      <c r="Q49" s="64">
        <v>12040.73</v>
      </c>
      <c r="R49" s="64">
        <v>12289.6</v>
      </c>
      <c r="S49" s="64">
        <v>12686.98</v>
      </c>
      <c r="T49" s="64">
        <v>13237.21</v>
      </c>
      <c r="U49" s="64">
        <v>15314.76</v>
      </c>
      <c r="V49" s="64">
        <v>14480.3</v>
      </c>
      <c r="W49" s="64">
        <v>17756.66</v>
      </c>
      <c r="X49" s="64">
        <v>17829.43</v>
      </c>
      <c r="Y49" s="64">
        <v>16922.48</v>
      </c>
      <c r="Z49" s="64">
        <v>15708.95</v>
      </c>
      <c r="AA49" s="64">
        <v>13877.45</v>
      </c>
      <c r="AB49" s="64">
        <v>11981.84</v>
      </c>
      <c r="AC49" s="66"/>
    </row>
    <row r="50" spans="2:29" ht="18.600000000000001" customHeight="1" x14ac:dyDescent="0.2">
      <c r="B50" s="49" t="s">
        <v>42</v>
      </c>
      <c r="C50" s="4" t="s">
        <v>32</v>
      </c>
      <c r="D50" s="5">
        <v>2</v>
      </c>
      <c r="E50" s="64">
        <v>9110.07</v>
      </c>
      <c r="F50" s="64">
        <v>8608.24</v>
      </c>
      <c r="G50" s="64">
        <v>8430.02</v>
      </c>
      <c r="H50" s="64">
        <v>8090.31</v>
      </c>
      <c r="I50" s="64">
        <v>8281.61</v>
      </c>
      <c r="J50" s="64">
        <v>8431.5400000000009</v>
      </c>
      <c r="K50" s="64">
        <v>6084.67</v>
      </c>
      <c r="L50" s="64">
        <v>10572.18</v>
      </c>
      <c r="M50" s="64">
        <v>10182.92</v>
      </c>
      <c r="N50" s="64">
        <v>10568.96</v>
      </c>
      <c r="O50" s="64">
        <v>10853.58</v>
      </c>
      <c r="P50" s="64">
        <v>11679.94</v>
      </c>
      <c r="Q50" s="64">
        <v>11839.83</v>
      </c>
      <c r="R50" s="64">
        <v>12087.96</v>
      </c>
      <c r="S50" s="64">
        <v>12210.67</v>
      </c>
      <c r="T50" s="64">
        <v>12593.96</v>
      </c>
      <c r="U50" s="64">
        <v>14115.45</v>
      </c>
      <c r="V50" s="64">
        <v>14460.15</v>
      </c>
      <c r="W50" s="64">
        <v>18120.32</v>
      </c>
      <c r="X50" s="64">
        <v>17983.419999999998</v>
      </c>
      <c r="Y50" s="64">
        <v>16866.98</v>
      </c>
      <c r="Z50" s="64">
        <v>15031.93</v>
      </c>
      <c r="AA50" s="64">
        <v>13122.16</v>
      </c>
      <c r="AB50" s="64">
        <v>11189.96</v>
      </c>
      <c r="AC50" s="67"/>
    </row>
    <row r="51" spans="2:29" ht="18.600000000000001" customHeight="1" x14ac:dyDescent="0.2">
      <c r="B51" s="49" t="s">
        <v>43</v>
      </c>
      <c r="C51" s="4" t="s">
        <v>29</v>
      </c>
      <c r="D51" s="5">
        <v>21</v>
      </c>
      <c r="E51" s="64">
        <v>19837.5</v>
      </c>
      <c r="F51" s="64">
        <v>18517.98</v>
      </c>
      <c r="G51" s="64">
        <v>18055.439999999999</v>
      </c>
      <c r="H51" s="64">
        <v>17902.68</v>
      </c>
      <c r="I51" s="64">
        <v>8860.15</v>
      </c>
      <c r="J51" s="64">
        <v>9920.2099999999991</v>
      </c>
      <c r="K51" s="64">
        <v>8828.9500000000007</v>
      </c>
      <c r="L51" s="64">
        <v>14145.54</v>
      </c>
      <c r="M51" s="64">
        <v>12940.55</v>
      </c>
      <c r="N51" s="64">
        <v>12711.65</v>
      </c>
      <c r="O51" s="64">
        <v>12804.41</v>
      </c>
      <c r="P51" s="64">
        <v>13620.14</v>
      </c>
      <c r="Q51" s="64">
        <v>13382.63</v>
      </c>
      <c r="R51" s="64">
        <v>13479.21</v>
      </c>
      <c r="S51" s="64">
        <v>14185.45</v>
      </c>
      <c r="T51" s="64">
        <v>14980.84</v>
      </c>
      <c r="U51" s="64">
        <v>16676.86</v>
      </c>
      <c r="V51" s="64">
        <v>15928.19</v>
      </c>
      <c r="W51" s="64">
        <v>989.26</v>
      </c>
      <c r="X51" s="64">
        <v>971.86</v>
      </c>
      <c r="Y51" s="64">
        <v>919.74</v>
      </c>
      <c r="Z51" s="64">
        <v>16914.91</v>
      </c>
      <c r="AA51" s="64">
        <v>14998.07</v>
      </c>
      <c r="AB51" s="64">
        <v>28092.59</v>
      </c>
      <c r="AC51" s="65">
        <f>+SUM(E51:AB51)*D51+SUM(E52:AB52)*D52+SUM(E53:AB53)*D53+SUM(E54:AB54)*D54</f>
        <v>9542555.6300000008</v>
      </c>
    </row>
    <row r="52" spans="2:29" ht="18.600000000000001" customHeight="1" x14ac:dyDescent="0.2">
      <c r="B52" s="49" t="s">
        <v>43</v>
      </c>
      <c r="C52" s="4" t="s">
        <v>30</v>
      </c>
      <c r="D52" s="5">
        <v>4</v>
      </c>
      <c r="E52" s="64">
        <v>10027.02</v>
      </c>
      <c r="F52" s="64">
        <v>9187.59</v>
      </c>
      <c r="G52" s="64">
        <v>8784.2199999999993</v>
      </c>
      <c r="H52" s="64">
        <v>8639.81</v>
      </c>
      <c r="I52" s="64">
        <v>8757.65</v>
      </c>
      <c r="J52" s="64">
        <v>9224.24</v>
      </c>
      <c r="K52" s="64">
        <v>7615.73</v>
      </c>
      <c r="L52" s="64">
        <v>13492.46</v>
      </c>
      <c r="M52" s="64">
        <v>12945.98</v>
      </c>
      <c r="N52" s="64">
        <v>12883.7</v>
      </c>
      <c r="O52" s="64">
        <v>12644.74</v>
      </c>
      <c r="P52" s="64">
        <v>12810.19</v>
      </c>
      <c r="Q52" s="64">
        <v>13127.93</v>
      </c>
      <c r="R52" s="64">
        <v>12745.2</v>
      </c>
      <c r="S52" s="64">
        <v>12620.98</v>
      </c>
      <c r="T52" s="64">
        <v>13357.97</v>
      </c>
      <c r="U52" s="64">
        <v>15169.32</v>
      </c>
      <c r="V52" s="64">
        <v>14500.41</v>
      </c>
      <c r="W52" s="64">
        <v>18186.45</v>
      </c>
      <c r="X52" s="64">
        <v>17851.8</v>
      </c>
      <c r="Y52" s="64">
        <v>16811.75</v>
      </c>
      <c r="Z52" s="64">
        <v>15417.94</v>
      </c>
      <c r="AA52" s="64">
        <v>14230.5</v>
      </c>
      <c r="AB52" s="64">
        <v>12994.18</v>
      </c>
      <c r="AC52" s="66"/>
    </row>
    <row r="53" spans="2:29" ht="18.600000000000001" customHeight="1" x14ac:dyDescent="0.2">
      <c r="B53" s="49" t="s">
        <v>43</v>
      </c>
      <c r="C53" s="4" t="s">
        <v>31</v>
      </c>
      <c r="D53" s="5">
        <v>4</v>
      </c>
      <c r="E53" s="64">
        <v>9897.75</v>
      </c>
      <c r="F53" s="64">
        <v>9180.15</v>
      </c>
      <c r="G53" s="64">
        <v>8623.91</v>
      </c>
      <c r="H53" s="64">
        <v>8439.3700000000008</v>
      </c>
      <c r="I53" s="64">
        <v>8141.63</v>
      </c>
      <c r="J53" s="64">
        <v>7877.07</v>
      </c>
      <c r="K53" s="64">
        <v>5517.87</v>
      </c>
      <c r="L53" s="64">
        <v>9761.57</v>
      </c>
      <c r="M53" s="64">
        <v>9511.64</v>
      </c>
      <c r="N53" s="64">
        <v>9693.1299999999992</v>
      </c>
      <c r="O53" s="64">
        <v>9745.67</v>
      </c>
      <c r="P53" s="64">
        <v>10247.99</v>
      </c>
      <c r="Q53" s="64">
        <v>10942.74</v>
      </c>
      <c r="R53" s="64">
        <v>11208.56</v>
      </c>
      <c r="S53" s="64">
        <v>11633.92</v>
      </c>
      <c r="T53" s="64">
        <v>12082.46</v>
      </c>
      <c r="U53" s="64">
        <v>13449.11</v>
      </c>
      <c r="V53" s="64">
        <v>12924.79</v>
      </c>
      <c r="W53" s="64">
        <v>17032.310000000001</v>
      </c>
      <c r="X53" s="64">
        <v>17649.080000000002</v>
      </c>
      <c r="Y53" s="64">
        <v>17437.5</v>
      </c>
      <c r="Z53" s="64">
        <v>16318.36</v>
      </c>
      <c r="AA53" s="64">
        <v>14097.17</v>
      </c>
      <c r="AB53" s="64">
        <v>11710.94</v>
      </c>
      <c r="AC53" s="66"/>
    </row>
    <row r="54" spans="2:29" ht="18.600000000000001" customHeight="1" x14ac:dyDescent="0.2">
      <c r="B54" s="49" t="s">
        <v>43</v>
      </c>
      <c r="C54" s="4" t="s">
        <v>32</v>
      </c>
      <c r="D54" s="5">
        <v>2</v>
      </c>
      <c r="E54" s="64">
        <v>10303.48</v>
      </c>
      <c r="F54" s="64">
        <v>9847.5300000000007</v>
      </c>
      <c r="G54" s="64">
        <v>9237.77</v>
      </c>
      <c r="H54" s="64">
        <v>8607.1</v>
      </c>
      <c r="I54" s="64">
        <v>8236.52</v>
      </c>
      <c r="J54" s="64">
        <v>7780.03</v>
      </c>
      <c r="K54" s="64">
        <v>4958.7299999999996</v>
      </c>
      <c r="L54" s="64">
        <v>9136.58</v>
      </c>
      <c r="M54" s="64">
        <v>8363.16</v>
      </c>
      <c r="N54" s="64">
        <v>8219.35</v>
      </c>
      <c r="O54" s="64">
        <v>8394.5</v>
      </c>
      <c r="P54" s="64">
        <v>9067.6</v>
      </c>
      <c r="Q54" s="64">
        <v>9713.2099999999991</v>
      </c>
      <c r="R54" s="64">
        <v>10175.299999999999</v>
      </c>
      <c r="S54" s="64">
        <v>10556.66</v>
      </c>
      <c r="T54" s="64">
        <v>11310.98</v>
      </c>
      <c r="U54" s="64">
        <v>13276.04</v>
      </c>
      <c r="V54" s="64">
        <v>12596.99</v>
      </c>
      <c r="W54" s="64">
        <v>16798.43</v>
      </c>
      <c r="X54" s="64">
        <v>17046.07</v>
      </c>
      <c r="Y54" s="64">
        <v>16506.03</v>
      </c>
      <c r="Z54" s="64">
        <v>15327.62</v>
      </c>
      <c r="AA54" s="64">
        <v>13353.24</v>
      </c>
      <c r="AB54" s="64">
        <v>11679.49</v>
      </c>
      <c r="AC54" s="67"/>
    </row>
    <row r="55" spans="2:29" ht="18.600000000000001" customHeight="1" x14ac:dyDescent="0.2"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9" t="s">
        <v>46</v>
      </c>
      <c r="AA55" s="69"/>
      <c r="AB55" s="69"/>
      <c r="AC55" s="70">
        <f>SUM(AC7:AC54)</f>
        <v>112618312.33000001</v>
      </c>
    </row>
    <row r="57" spans="2:29" x14ac:dyDescent="0.2">
      <c r="AC57" s="48"/>
    </row>
  </sheetData>
  <mergeCells count="28">
    <mergeCell ref="B11:B14"/>
    <mergeCell ref="AC11:AC14"/>
    <mergeCell ref="B2:AC2"/>
    <mergeCell ref="B3:AC3"/>
    <mergeCell ref="B4:AC4"/>
    <mergeCell ref="B7:B10"/>
    <mergeCell ref="AC7:AC10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7E07-16A9-4B3B-B2DA-A1EBB89F3782}">
  <dimension ref="B1:AE62"/>
  <sheetViews>
    <sheetView showGridLines="0" topLeftCell="A34" zoomScale="70" zoomScaleNormal="70" workbookViewId="0">
      <selection activeCell="A2" sqref="A2:AD56"/>
    </sheetView>
  </sheetViews>
  <sheetFormatPr baseColWidth="10" defaultColWidth="11.42578125" defaultRowHeight="12" x14ac:dyDescent="0.2"/>
  <cols>
    <col min="1" max="1" width="9" style="10" customWidth="1"/>
    <col min="2" max="2" width="6.28515625" style="10" bestFit="1" customWidth="1"/>
    <col min="3" max="3" width="9.42578125" style="10" bestFit="1" customWidth="1"/>
    <col min="4" max="4" width="6" style="10" bestFit="1" customWidth="1"/>
    <col min="5" max="28" width="11.28515625" style="10" bestFit="1" customWidth="1"/>
    <col min="29" max="29" width="15.28515625" style="10" bestFit="1" customWidth="1"/>
    <col min="30" max="30" width="8.140625" style="10" customWidth="1"/>
    <col min="31" max="31" width="9.140625" style="10" bestFit="1" customWidth="1"/>
    <col min="32" max="257" width="11.42578125" style="10"/>
    <col min="258" max="258" width="7" style="10" customWidth="1"/>
    <col min="259" max="259" width="10.7109375" style="10" customWidth="1"/>
    <col min="260" max="260" width="9.28515625" style="10" customWidth="1"/>
    <col min="261" max="284" width="7.28515625" style="10" customWidth="1"/>
    <col min="285" max="285" width="11.28515625" style="10" bestFit="1" customWidth="1"/>
    <col min="286" max="513" width="11.42578125" style="10"/>
    <col min="514" max="514" width="7" style="10" customWidth="1"/>
    <col min="515" max="515" width="10.7109375" style="10" customWidth="1"/>
    <col min="516" max="516" width="9.28515625" style="10" customWidth="1"/>
    <col min="517" max="540" width="7.28515625" style="10" customWidth="1"/>
    <col min="541" max="541" width="11.28515625" style="10" bestFit="1" customWidth="1"/>
    <col min="542" max="769" width="11.42578125" style="10"/>
    <col min="770" max="770" width="7" style="10" customWidth="1"/>
    <col min="771" max="771" width="10.7109375" style="10" customWidth="1"/>
    <col min="772" max="772" width="9.28515625" style="10" customWidth="1"/>
    <col min="773" max="796" width="7.28515625" style="10" customWidth="1"/>
    <col min="797" max="797" width="11.28515625" style="10" bestFit="1" customWidth="1"/>
    <col min="798" max="1025" width="11.42578125" style="10"/>
    <col min="1026" max="1026" width="7" style="10" customWidth="1"/>
    <col min="1027" max="1027" width="10.7109375" style="10" customWidth="1"/>
    <col min="1028" max="1028" width="9.28515625" style="10" customWidth="1"/>
    <col min="1029" max="1052" width="7.28515625" style="10" customWidth="1"/>
    <col min="1053" max="1053" width="11.28515625" style="10" bestFit="1" customWidth="1"/>
    <col min="1054" max="1281" width="11.42578125" style="10"/>
    <col min="1282" max="1282" width="7" style="10" customWidth="1"/>
    <col min="1283" max="1283" width="10.7109375" style="10" customWidth="1"/>
    <col min="1284" max="1284" width="9.28515625" style="10" customWidth="1"/>
    <col min="1285" max="1308" width="7.28515625" style="10" customWidth="1"/>
    <col min="1309" max="1309" width="11.28515625" style="10" bestFit="1" customWidth="1"/>
    <col min="1310" max="1537" width="11.42578125" style="10"/>
    <col min="1538" max="1538" width="7" style="10" customWidth="1"/>
    <col min="1539" max="1539" width="10.7109375" style="10" customWidth="1"/>
    <col min="1540" max="1540" width="9.28515625" style="10" customWidth="1"/>
    <col min="1541" max="1564" width="7.28515625" style="10" customWidth="1"/>
    <col min="1565" max="1565" width="11.28515625" style="10" bestFit="1" customWidth="1"/>
    <col min="1566" max="1793" width="11.42578125" style="10"/>
    <col min="1794" max="1794" width="7" style="10" customWidth="1"/>
    <col min="1795" max="1795" width="10.7109375" style="10" customWidth="1"/>
    <col min="1796" max="1796" width="9.28515625" style="10" customWidth="1"/>
    <col min="1797" max="1820" width="7.28515625" style="10" customWidth="1"/>
    <col min="1821" max="1821" width="11.28515625" style="10" bestFit="1" customWidth="1"/>
    <col min="1822" max="2049" width="11.42578125" style="10"/>
    <col min="2050" max="2050" width="7" style="10" customWidth="1"/>
    <col min="2051" max="2051" width="10.7109375" style="10" customWidth="1"/>
    <col min="2052" max="2052" width="9.28515625" style="10" customWidth="1"/>
    <col min="2053" max="2076" width="7.28515625" style="10" customWidth="1"/>
    <col min="2077" max="2077" width="11.28515625" style="10" bestFit="1" customWidth="1"/>
    <col min="2078" max="2305" width="11.42578125" style="10"/>
    <col min="2306" max="2306" width="7" style="10" customWidth="1"/>
    <col min="2307" max="2307" width="10.7109375" style="10" customWidth="1"/>
    <col min="2308" max="2308" width="9.28515625" style="10" customWidth="1"/>
    <col min="2309" max="2332" width="7.28515625" style="10" customWidth="1"/>
    <col min="2333" max="2333" width="11.28515625" style="10" bestFit="1" customWidth="1"/>
    <col min="2334" max="2561" width="11.42578125" style="10"/>
    <col min="2562" max="2562" width="7" style="10" customWidth="1"/>
    <col min="2563" max="2563" width="10.7109375" style="10" customWidth="1"/>
    <col min="2564" max="2564" width="9.28515625" style="10" customWidth="1"/>
    <col min="2565" max="2588" width="7.28515625" style="10" customWidth="1"/>
    <col min="2589" max="2589" width="11.28515625" style="10" bestFit="1" customWidth="1"/>
    <col min="2590" max="2817" width="11.42578125" style="10"/>
    <col min="2818" max="2818" width="7" style="10" customWidth="1"/>
    <col min="2819" max="2819" width="10.7109375" style="10" customWidth="1"/>
    <col min="2820" max="2820" width="9.28515625" style="10" customWidth="1"/>
    <col min="2821" max="2844" width="7.28515625" style="10" customWidth="1"/>
    <col min="2845" max="2845" width="11.28515625" style="10" bestFit="1" customWidth="1"/>
    <col min="2846" max="3073" width="11.42578125" style="10"/>
    <col min="3074" max="3074" width="7" style="10" customWidth="1"/>
    <col min="3075" max="3075" width="10.7109375" style="10" customWidth="1"/>
    <col min="3076" max="3076" width="9.28515625" style="10" customWidth="1"/>
    <col min="3077" max="3100" width="7.28515625" style="10" customWidth="1"/>
    <col min="3101" max="3101" width="11.28515625" style="10" bestFit="1" customWidth="1"/>
    <col min="3102" max="3329" width="11.42578125" style="10"/>
    <col min="3330" max="3330" width="7" style="10" customWidth="1"/>
    <col min="3331" max="3331" width="10.7109375" style="10" customWidth="1"/>
    <col min="3332" max="3332" width="9.28515625" style="10" customWidth="1"/>
    <col min="3333" max="3356" width="7.28515625" style="10" customWidth="1"/>
    <col min="3357" max="3357" width="11.28515625" style="10" bestFit="1" customWidth="1"/>
    <col min="3358" max="3585" width="11.42578125" style="10"/>
    <col min="3586" max="3586" width="7" style="10" customWidth="1"/>
    <col min="3587" max="3587" width="10.7109375" style="10" customWidth="1"/>
    <col min="3588" max="3588" width="9.28515625" style="10" customWidth="1"/>
    <col min="3589" max="3612" width="7.28515625" style="10" customWidth="1"/>
    <col min="3613" max="3613" width="11.28515625" style="10" bestFit="1" customWidth="1"/>
    <col min="3614" max="3841" width="11.42578125" style="10"/>
    <col min="3842" max="3842" width="7" style="10" customWidth="1"/>
    <col min="3843" max="3843" width="10.7109375" style="10" customWidth="1"/>
    <col min="3844" max="3844" width="9.28515625" style="10" customWidth="1"/>
    <col min="3845" max="3868" width="7.28515625" style="10" customWidth="1"/>
    <col min="3869" max="3869" width="11.28515625" style="10" bestFit="1" customWidth="1"/>
    <col min="3870" max="4097" width="11.42578125" style="10"/>
    <col min="4098" max="4098" width="7" style="10" customWidth="1"/>
    <col min="4099" max="4099" width="10.7109375" style="10" customWidth="1"/>
    <col min="4100" max="4100" width="9.28515625" style="10" customWidth="1"/>
    <col min="4101" max="4124" width="7.28515625" style="10" customWidth="1"/>
    <col min="4125" max="4125" width="11.28515625" style="10" bestFit="1" customWidth="1"/>
    <col min="4126" max="4353" width="11.42578125" style="10"/>
    <col min="4354" max="4354" width="7" style="10" customWidth="1"/>
    <col min="4355" max="4355" width="10.7109375" style="10" customWidth="1"/>
    <col min="4356" max="4356" width="9.28515625" style="10" customWidth="1"/>
    <col min="4357" max="4380" width="7.28515625" style="10" customWidth="1"/>
    <col min="4381" max="4381" width="11.28515625" style="10" bestFit="1" customWidth="1"/>
    <col min="4382" max="4609" width="11.42578125" style="10"/>
    <col min="4610" max="4610" width="7" style="10" customWidth="1"/>
    <col min="4611" max="4611" width="10.7109375" style="10" customWidth="1"/>
    <col min="4612" max="4612" width="9.28515625" style="10" customWidth="1"/>
    <col min="4613" max="4636" width="7.28515625" style="10" customWidth="1"/>
    <col min="4637" max="4637" width="11.28515625" style="10" bestFit="1" customWidth="1"/>
    <col min="4638" max="4865" width="11.42578125" style="10"/>
    <col min="4866" max="4866" width="7" style="10" customWidth="1"/>
    <col min="4867" max="4867" width="10.7109375" style="10" customWidth="1"/>
    <col min="4868" max="4868" width="9.28515625" style="10" customWidth="1"/>
    <col min="4869" max="4892" width="7.28515625" style="10" customWidth="1"/>
    <col min="4893" max="4893" width="11.28515625" style="10" bestFit="1" customWidth="1"/>
    <col min="4894" max="5121" width="11.42578125" style="10"/>
    <col min="5122" max="5122" width="7" style="10" customWidth="1"/>
    <col min="5123" max="5123" width="10.7109375" style="10" customWidth="1"/>
    <col min="5124" max="5124" width="9.28515625" style="10" customWidth="1"/>
    <col min="5125" max="5148" width="7.28515625" style="10" customWidth="1"/>
    <col min="5149" max="5149" width="11.28515625" style="10" bestFit="1" customWidth="1"/>
    <col min="5150" max="5377" width="11.42578125" style="10"/>
    <col min="5378" max="5378" width="7" style="10" customWidth="1"/>
    <col min="5379" max="5379" width="10.7109375" style="10" customWidth="1"/>
    <col min="5380" max="5380" width="9.28515625" style="10" customWidth="1"/>
    <col min="5381" max="5404" width="7.28515625" style="10" customWidth="1"/>
    <col min="5405" max="5405" width="11.28515625" style="10" bestFit="1" customWidth="1"/>
    <col min="5406" max="5633" width="11.42578125" style="10"/>
    <col min="5634" max="5634" width="7" style="10" customWidth="1"/>
    <col min="5635" max="5635" width="10.7109375" style="10" customWidth="1"/>
    <col min="5636" max="5636" width="9.28515625" style="10" customWidth="1"/>
    <col min="5637" max="5660" width="7.28515625" style="10" customWidth="1"/>
    <col min="5661" max="5661" width="11.28515625" style="10" bestFit="1" customWidth="1"/>
    <col min="5662" max="5889" width="11.42578125" style="10"/>
    <col min="5890" max="5890" width="7" style="10" customWidth="1"/>
    <col min="5891" max="5891" width="10.7109375" style="10" customWidth="1"/>
    <col min="5892" max="5892" width="9.28515625" style="10" customWidth="1"/>
    <col min="5893" max="5916" width="7.28515625" style="10" customWidth="1"/>
    <col min="5917" max="5917" width="11.28515625" style="10" bestFit="1" customWidth="1"/>
    <col min="5918" max="6145" width="11.42578125" style="10"/>
    <col min="6146" max="6146" width="7" style="10" customWidth="1"/>
    <col min="6147" max="6147" width="10.7109375" style="10" customWidth="1"/>
    <col min="6148" max="6148" width="9.28515625" style="10" customWidth="1"/>
    <col min="6149" max="6172" width="7.28515625" style="10" customWidth="1"/>
    <col min="6173" max="6173" width="11.28515625" style="10" bestFit="1" customWidth="1"/>
    <col min="6174" max="6401" width="11.42578125" style="10"/>
    <col min="6402" max="6402" width="7" style="10" customWidth="1"/>
    <col min="6403" max="6403" width="10.7109375" style="10" customWidth="1"/>
    <col min="6404" max="6404" width="9.28515625" style="10" customWidth="1"/>
    <col min="6405" max="6428" width="7.28515625" style="10" customWidth="1"/>
    <col min="6429" max="6429" width="11.28515625" style="10" bestFit="1" customWidth="1"/>
    <col min="6430" max="6657" width="11.42578125" style="10"/>
    <col min="6658" max="6658" width="7" style="10" customWidth="1"/>
    <col min="6659" max="6659" width="10.7109375" style="10" customWidth="1"/>
    <col min="6660" max="6660" width="9.28515625" style="10" customWidth="1"/>
    <col min="6661" max="6684" width="7.28515625" style="10" customWidth="1"/>
    <col min="6685" max="6685" width="11.28515625" style="10" bestFit="1" customWidth="1"/>
    <col min="6686" max="6913" width="11.42578125" style="10"/>
    <col min="6914" max="6914" width="7" style="10" customWidth="1"/>
    <col min="6915" max="6915" width="10.7109375" style="10" customWidth="1"/>
    <col min="6916" max="6916" width="9.28515625" style="10" customWidth="1"/>
    <col min="6917" max="6940" width="7.28515625" style="10" customWidth="1"/>
    <col min="6941" max="6941" width="11.28515625" style="10" bestFit="1" customWidth="1"/>
    <col min="6942" max="7169" width="11.42578125" style="10"/>
    <col min="7170" max="7170" width="7" style="10" customWidth="1"/>
    <col min="7171" max="7171" width="10.7109375" style="10" customWidth="1"/>
    <col min="7172" max="7172" width="9.28515625" style="10" customWidth="1"/>
    <col min="7173" max="7196" width="7.28515625" style="10" customWidth="1"/>
    <col min="7197" max="7197" width="11.28515625" style="10" bestFit="1" customWidth="1"/>
    <col min="7198" max="7425" width="11.42578125" style="10"/>
    <col min="7426" max="7426" width="7" style="10" customWidth="1"/>
    <col min="7427" max="7427" width="10.7109375" style="10" customWidth="1"/>
    <col min="7428" max="7428" width="9.28515625" style="10" customWidth="1"/>
    <col min="7429" max="7452" width="7.28515625" style="10" customWidth="1"/>
    <col min="7453" max="7453" width="11.28515625" style="10" bestFit="1" customWidth="1"/>
    <col min="7454" max="7681" width="11.42578125" style="10"/>
    <col min="7682" max="7682" width="7" style="10" customWidth="1"/>
    <col min="7683" max="7683" width="10.7109375" style="10" customWidth="1"/>
    <col min="7684" max="7684" width="9.28515625" style="10" customWidth="1"/>
    <col min="7685" max="7708" width="7.28515625" style="10" customWidth="1"/>
    <col min="7709" max="7709" width="11.28515625" style="10" bestFit="1" customWidth="1"/>
    <col min="7710" max="7937" width="11.42578125" style="10"/>
    <col min="7938" max="7938" width="7" style="10" customWidth="1"/>
    <col min="7939" max="7939" width="10.7109375" style="10" customWidth="1"/>
    <col min="7940" max="7940" width="9.28515625" style="10" customWidth="1"/>
    <col min="7941" max="7964" width="7.28515625" style="10" customWidth="1"/>
    <col min="7965" max="7965" width="11.28515625" style="10" bestFit="1" customWidth="1"/>
    <col min="7966" max="8193" width="11.42578125" style="10"/>
    <col min="8194" max="8194" width="7" style="10" customWidth="1"/>
    <col min="8195" max="8195" width="10.7109375" style="10" customWidth="1"/>
    <col min="8196" max="8196" width="9.28515625" style="10" customWidth="1"/>
    <col min="8197" max="8220" width="7.28515625" style="10" customWidth="1"/>
    <col min="8221" max="8221" width="11.28515625" style="10" bestFit="1" customWidth="1"/>
    <col min="8222" max="8449" width="11.42578125" style="10"/>
    <col min="8450" max="8450" width="7" style="10" customWidth="1"/>
    <col min="8451" max="8451" width="10.7109375" style="10" customWidth="1"/>
    <col min="8452" max="8452" width="9.28515625" style="10" customWidth="1"/>
    <col min="8453" max="8476" width="7.28515625" style="10" customWidth="1"/>
    <col min="8477" max="8477" width="11.28515625" style="10" bestFit="1" customWidth="1"/>
    <col min="8478" max="8705" width="11.42578125" style="10"/>
    <col min="8706" max="8706" width="7" style="10" customWidth="1"/>
    <col min="8707" max="8707" width="10.7109375" style="10" customWidth="1"/>
    <col min="8708" max="8708" width="9.28515625" style="10" customWidth="1"/>
    <col min="8709" max="8732" width="7.28515625" style="10" customWidth="1"/>
    <col min="8733" max="8733" width="11.28515625" style="10" bestFit="1" customWidth="1"/>
    <col min="8734" max="8961" width="11.42578125" style="10"/>
    <col min="8962" max="8962" width="7" style="10" customWidth="1"/>
    <col min="8963" max="8963" width="10.7109375" style="10" customWidth="1"/>
    <col min="8964" max="8964" width="9.28515625" style="10" customWidth="1"/>
    <col min="8965" max="8988" width="7.28515625" style="10" customWidth="1"/>
    <col min="8989" max="8989" width="11.28515625" style="10" bestFit="1" customWidth="1"/>
    <col min="8990" max="9217" width="11.42578125" style="10"/>
    <col min="9218" max="9218" width="7" style="10" customWidth="1"/>
    <col min="9219" max="9219" width="10.7109375" style="10" customWidth="1"/>
    <col min="9220" max="9220" width="9.28515625" style="10" customWidth="1"/>
    <col min="9221" max="9244" width="7.28515625" style="10" customWidth="1"/>
    <col min="9245" max="9245" width="11.28515625" style="10" bestFit="1" customWidth="1"/>
    <col min="9246" max="9473" width="11.42578125" style="10"/>
    <col min="9474" max="9474" width="7" style="10" customWidth="1"/>
    <col min="9475" max="9475" width="10.7109375" style="10" customWidth="1"/>
    <col min="9476" max="9476" width="9.28515625" style="10" customWidth="1"/>
    <col min="9477" max="9500" width="7.28515625" style="10" customWidth="1"/>
    <col min="9501" max="9501" width="11.28515625" style="10" bestFit="1" customWidth="1"/>
    <col min="9502" max="9729" width="11.42578125" style="10"/>
    <col min="9730" max="9730" width="7" style="10" customWidth="1"/>
    <col min="9731" max="9731" width="10.7109375" style="10" customWidth="1"/>
    <col min="9732" max="9732" width="9.28515625" style="10" customWidth="1"/>
    <col min="9733" max="9756" width="7.28515625" style="10" customWidth="1"/>
    <col min="9757" max="9757" width="11.28515625" style="10" bestFit="1" customWidth="1"/>
    <col min="9758" max="9985" width="11.42578125" style="10"/>
    <col min="9986" max="9986" width="7" style="10" customWidth="1"/>
    <col min="9987" max="9987" width="10.7109375" style="10" customWidth="1"/>
    <col min="9988" max="9988" width="9.28515625" style="10" customWidth="1"/>
    <col min="9989" max="10012" width="7.28515625" style="10" customWidth="1"/>
    <col min="10013" max="10013" width="11.28515625" style="10" bestFit="1" customWidth="1"/>
    <col min="10014" max="10241" width="11.42578125" style="10"/>
    <col min="10242" max="10242" width="7" style="10" customWidth="1"/>
    <col min="10243" max="10243" width="10.7109375" style="10" customWidth="1"/>
    <col min="10244" max="10244" width="9.28515625" style="10" customWidth="1"/>
    <col min="10245" max="10268" width="7.28515625" style="10" customWidth="1"/>
    <col min="10269" max="10269" width="11.28515625" style="10" bestFit="1" customWidth="1"/>
    <col min="10270" max="10497" width="11.42578125" style="10"/>
    <col min="10498" max="10498" width="7" style="10" customWidth="1"/>
    <col min="10499" max="10499" width="10.7109375" style="10" customWidth="1"/>
    <col min="10500" max="10500" width="9.28515625" style="10" customWidth="1"/>
    <col min="10501" max="10524" width="7.28515625" style="10" customWidth="1"/>
    <col min="10525" max="10525" width="11.28515625" style="10" bestFit="1" customWidth="1"/>
    <col min="10526" max="10753" width="11.42578125" style="10"/>
    <col min="10754" max="10754" width="7" style="10" customWidth="1"/>
    <col min="10755" max="10755" width="10.7109375" style="10" customWidth="1"/>
    <col min="10756" max="10756" width="9.28515625" style="10" customWidth="1"/>
    <col min="10757" max="10780" width="7.28515625" style="10" customWidth="1"/>
    <col min="10781" max="10781" width="11.28515625" style="10" bestFit="1" customWidth="1"/>
    <col min="10782" max="11009" width="11.42578125" style="10"/>
    <col min="11010" max="11010" width="7" style="10" customWidth="1"/>
    <col min="11011" max="11011" width="10.7109375" style="10" customWidth="1"/>
    <col min="11012" max="11012" width="9.28515625" style="10" customWidth="1"/>
    <col min="11013" max="11036" width="7.28515625" style="10" customWidth="1"/>
    <col min="11037" max="11037" width="11.28515625" style="10" bestFit="1" customWidth="1"/>
    <col min="11038" max="11265" width="11.42578125" style="10"/>
    <col min="11266" max="11266" width="7" style="10" customWidth="1"/>
    <col min="11267" max="11267" width="10.7109375" style="10" customWidth="1"/>
    <col min="11268" max="11268" width="9.28515625" style="10" customWidth="1"/>
    <col min="11269" max="11292" width="7.28515625" style="10" customWidth="1"/>
    <col min="11293" max="11293" width="11.28515625" style="10" bestFit="1" customWidth="1"/>
    <col min="11294" max="11521" width="11.42578125" style="10"/>
    <col min="11522" max="11522" width="7" style="10" customWidth="1"/>
    <col min="11523" max="11523" width="10.7109375" style="10" customWidth="1"/>
    <col min="11524" max="11524" width="9.28515625" style="10" customWidth="1"/>
    <col min="11525" max="11548" width="7.28515625" style="10" customWidth="1"/>
    <col min="11549" max="11549" width="11.28515625" style="10" bestFit="1" customWidth="1"/>
    <col min="11550" max="11777" width="11.42578125" style="10"/>
    <col min="11778" max="11778" width="7" style="10" customWidth="1"/>
    <col min="11779" max="11779" width="10.7109375" style="10" customWidth="1"/>
    <col min="11780" max="11780" width="9.28515625" style="10" customWidth="1"/>
    <col min="11781" max="11804" width="7.28515625" style="10" customWidth="1"/>
    <col min="11805" max="11805" width="11.28515625" style="10" bestFit="1" customWidth="1"/>
    <col min="11806" max="12033" width="11.42578125" style="10"/>
    <col min="12034" max="12034" width="7" style="10" customWidth="1"/>
    <col min="12035" max="12035" width="10.7109375" style="10" customWidth="1"/>
    <col min="12036" max="12036" width="9.28515625" style="10" customWidth="1"/>
    <col min="12037" max="12060" width="7.28515625" style="10" customWidth="1"/>
    <col min="12061" max="12061" width="11.28515625" style="10" bestFit="1" customWidth="1"/>
    <col min="12062" max="12289" width="11.42578125" style="10"/>
    <col min="12290" max="12290" width="7" style="10" customWidth="1"/>
    <col min="12291" max="12291" width="10.7109375" style="10" customWidth="1"/>
    <col min="12292" max="12292" width="9.28515625" style="10" customWidth="1"/>
    <col min="12293" max="12316" width="7.28515625" style="10" customWidth="1"/>
    <col min="12317" max="12317" width="11.28515625" style="10" bestFit="1" customWidth="1"/>
    <col min="12318" max="12545" width="11.42578125" style="10"/>
    <col min="12546" max="12546" width="7" style="10" customWidth="1"/>
    <col min="12547" max="12547" width="10.7109375" style="10" customWidth="1"/>
    <col min="12548" max="12548" width="9.28515625" style="10" customWidth="1"/>
    <col min="12549" max="12572" width="7.28515625" style="10" customWidth="1"/>
    <col min="12573" max="12573" width="11.28515625" style="10" bestFit="1" customWidth="1"/>
    <col min="12574" max="12801" width="11.42578125" style="10"/>
    <col min="12802" max="12802" width="7" style="10" customWidth="1"/>
    <col min="12803" max="12803" width="10.7109375" style="10" customWidth="1"/>
    <col min="12804" max="12804" width="9.28515625" style="10" customWidth="1"/>
    <col min="12805" max="12828" width="7.28515625" style="10" customWidth="1"/>
    <col min="12829" max="12829" width="11.28515625" style="10" bestFit="1" customWidth="1"/>
    <col min="12830" max="13057" width="11.42578125" style="10"/>
    <col min="13058" max="13058" width="7" style="10" customWidth="1"/>
    <col min="13059" max="13059" width="10.7109375" style="10" customWidth="1"/>
    <col min="13060" max="13060" width="9.28515625" style="10" customWidth="1"/>
    <col min="13061" max="13084" width="7.28515625" style="10" customWidth="1"/>
    <col min="13085" max="13085" width="11.28515625" style="10" bestFit="1" customWidth="1"/>
    <col min="13086" max="13313" width="11.42578125" style="10"/>
    <col min="13314" max="13314" width="7" style="10" customWidth="1"/>
    <col min="13315" max="13315" width="10.7109375" style="10" customWidth="1"/>
    <col min="13316" max="13316" width="9.28515625" style="10" customWidth="1"/>
    <col min="13317" max="13340" width="7.28515625" style="10" customWidth="1"/>
    <col min="13341" max="13341" width="11.28515625" style="10" bestFit="1" customWidth="1"/>
    <col min="13342" max="13569" width="11.42578125" style="10"/>
    <col min="13570" max="13570" width="7" style="10" customWidth="1"/>
    <col min="13571" max="13571" width="10.7109375" style="10" customWidth="1"/>
    <col min="13572" max="13572" width="9.28515625" style="10" customWidth="1"/>
    <col min="13573" max="13596" width="7.28515625" style="10" customWidth="1"/>
    <col min="13597" max="13597" width="11.28515625" style="10" bestFit="1" customWidth="1"/>
    <col min="13598" max="13825" width="11.42578125" style="10"/>
    <col min="13826" max="13826" width="7" style="10" customWidth="1"/>
    <col min="13827" max="13827" width="10.7109375" style="10" customWidth="1"/>
    <col min="13828" max="13828" width="9.28515625" style="10" customWidth="1"/>
    <col min="13829" max="13852" width="7.28515625" style="10" customWidth="1"/>
    <col min="13853" max="13853" width="11.28515625" style="10" bestFit="1" customWidth="1"/>
    <col min="13854" max="14081" width="11.42578125" style="10"/>
    <col min="14082" max="14082" width="7" style="10" customWidth="1"/>
    <col min="14083" max="14083" width="10.7109375" style="10" customWidth="1"/>
    <col min="14084" max="14084" width="9.28515625" style="10" customWidth="1"/>
    <col min="14085" max="14108" width="7.28515625" style="10" customWidth="1"/>
    <col min="14109" max="14109" width="11.28515625" style="10" bestFit="1" customWidth="1"/>
    <col min="14110" max="14337" width="11.42578125" style="10"/>
    <col min="14338" max="14338" width="7" style="10" customWidth="1"/>
    <col min="14339" max="14339" width="10.7109375" style="10" customWidth="1"/>
    <col min="14340" max="14340" width="9.28515625" style="10" customWidth="1"/>
    <col min="14341" max="14364" width="7.28515625" style="10" customWidth="1"/>
    <col min="14365" max="14365" width="11.28515625" style="10" bestFit="1" customWidth="1"/>
    <col min="14366" max="14593" width="11.42578125" style="10"/>
    <col min="14594" max="14594" width="7" style="10" customWidth="1"/>
    <col min="14595" max="14595" width="10.7109375" style="10" customWidth="1"/>
    <col min="14596" max="14596" width="9.28515625" style="10" customWidth="1"/>
    <col min="14597" max="14620" width="7.28515625" style="10" customWidth="1"/>
    <col min="14621" max="14621" width="11.28515625" style="10" bestFit="1" customWidth="1"/>
    <col min="14622" max="14849" width="11.42578125" style="10"/>
    <col min="14850" max="14850" width="7" style="10" customWidth="1"/>
    <col min="14851" max="14851" width="10.7109375" style="10" customWidth="1"/>
    <col min="14852" max="14852" width="9.28515625" style="10" customWidth="1"/>
    <col min="14853" max="14876" width="7.28515625" style="10" customWidth="1"/>
    <col min="14877" max="14877" width="11.28515625" style="10" bestFit="1" customWidth="1"/>
    <col min="14878" max="15105" width="11.42578125" style="10"/>
    <col min="15106" max="15106" width="7" style="10" customWidth="1"/>
    <col min="15107" max="15107" width="10.7109375" style="10" customWidth="1"/>
    <col min="15108" max="15108" width="9.28515625" style="10" customWidth="1"/>
    <col min="15109" max="15132" width="7.28515625" style="10" customWidth="1"/>
    <col min="15133" max="15133" width="11.28515625" style="10" bestFit="1" customWidth="1"/>
    <col min="15134" max="15361" width="11.42578125" style="10"/>
    <col min="15362" max="15362" width="7" style="10" customWidth="1"/>
    <col min="15363" max="15363" width="10.7109375" style="10" customWidth="1"/>
    <col min="15364" max="15364" width="9.28515625" style="10" customWidth="1"/>
    <col min="15365" max="15388" width="7.28515625" style="10" customWidth="1"/>
    <col min="15389" max="15389" width="11.28515625" style="10" bestFit="1" customWidth="1"/>
    <col min="15390" max="15617" width="11.42578125" style="10"/>
    <col min="15618" max="15618" width="7" style="10" customWidth="1"/>
    <col min="15619" max="15619" width="10.7109375" style="10" customWidth="1"/>
    <col min="15620" max="15620" width="9.28515625" style="10" customWidth="1"/>
    <col min="15621" max="15644" width="7.28515625" style="10" customWidth="1"/>
    <col min="15645" max="15645" width="11.28515625" style="10" bestFit="1" customWidth="1"/>
    <col min="15646" max="15873" width="11.42578125" style="10"/>
    <col min="15874" max="15874" width="7" style="10" customWidth="1"/>
    <col min="15875" max="15875" width="10.7109375" style="10" customWidth="1"/>
    <col min="15876" max="15876" width="9.28515625" style="10" customWidth="1"/>
    <col min="15877" max="15900" width="7.28515625" style="10" customWidth="1"/>
    <col min="15901" max="15901" width="11.28515625" style="10" bestFit="1" customWidth="1"/>
    <col min="15902" max="16129" width="11.42578125" style="10"/>
    <col min="16130" max="16130" width="7" style="10" customWidth="1"/>
    <col min="16131" max="16131" width="10.7109375" style="10" customWidth="1"/>
    <col min="16132" max="16132" width="9.28515625" style="10" customWidth="1"/>
    <col min="16133" max="16156" width="7.28515625" style="10" customWidth="1"/>
    <col min="16157" max="16157" width="11.28515625" style="10" bestFit="1" customWidth="1"/>
    <col min="16158" max="16384" width="11.42578125" style="10"/>
  </cols>
  <sheetData>
    <row r="1" spans="2:31" ht="18.600000000000001" customHeight="1" x14ac:dyDescent="0.2"/>
    <row r="2" spans="2:31" ht="18.600000000000001" customHeight="1" x14ac:dyDescent="0.2">
      <c r="B2" s="59" t="s">
        <v>45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</row>
    <row r="3" spans="2:31" ht="18.600000000000001" customHeight="1" x14ac:dyDescent="0.2">
      <c r="B3" s="59" t="s">
        <v>44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spans="2:31" ht="18.600000000000001" customHeight="1" x14ac:dyDescent="0.2">
      <c r="B4" s="59">
        <v>2031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</row>
    <row r="5" spans="2:31" ht="18.600000000000001" customHeight="1" x14ac:dyDescent="0.2"/>
    <row r="6" spans="2:31" ht="31.5" x14ac:dyDescent="0.2">
      <c r="B6" s="2" t="s">
        <v>0</v>
      </c>
      <c r="C6" s="3" t="s">
        <v>1</v>
      </c>
      <c r="D6" s="2" t="s">
        <v>2</v>
      </c>
      <c r="E6" s="12" t="s">
        <v>3</v>
      </c>
      <c r="F6" s="12" t="s">
        <v>4</v>
      </c>
      <c r="G6" s="12" t="s">
        <v>5</v>
      </c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14</v>
      </c>
      <c r="Q6" s="12" t="s">
        <v>15</v>
      </c>
      <c r="R6" s="12" t="s">
        <v>16</v>
      </c>
      <c r="S6" s="12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2" t="s">
        <v>22</v>
      </c>
      <c r="Y6" s="12" t="s">
        <v>23</v>
      </c>
      <c r="Z6" s="12" t="s">
        <v>24</v>
      </c>
      <c r="AA6" s="12" t="s">
        <v>25</v>
      </c>
      <c r="AB6" s="12" t="s">
        <v>26</v>
      </c>
      <c r="AC6" s="12" t="s">
        <v>27</v>
      </c>
    </row>
    <row r="7" spans="2:31" ht="18.600000000000001" customHeight="1" x14ac:dyDescent="0.2">
      <c r="B7" s="49" t="s">
        <v>28</v>
      </c>
      <c r="C7" s="4" t="s">
        <v>29</v>
      </c>
      <c r="D7" s="5">
        <v>21</v>
      </c>
      <c r="E7" s="71">
        <v>17911.77</v>
      </c>
      <c r="F7" s="71">
        <v>16633.099999999999</v>
      </c>
      <c r="G7" s="71">
        <v>15967.02</v>
      </c>
      <c r="H7" s="71">
        <v>15811.82</v>
      </c>
      <c r="I7" s="71">
        <v>16951.18</v>
      </c>
      <c r="J7" s="71">
        <v>20634.580000000002</v>
      </c>
      <c r="K7" s="71">
        <v>22123.86</v>
      </c>
      <c r="L7" s="71">
        <v>31683.09</v>
      </c>
      <c r="M7" s="71">
        <v>30431.26</v>
      </c>
      <c r="N7" s="71">
        <v>30651.86</v>
      </c>
      <c r="O7" s="71">
        <v>32018.47</v>
      </c>
      <c r="P7" s="71">
        <v>34051.83</v>
      </c>
      <c r="Q7" s="71">
        <v>33636.79</v>
      </c>
      <c r="R7" s="71">
        <v>33490.720000000001</v>
      </c>
      <c r="S7" s="71">
        <v>34371.15</v>
      </c>
      <c r="T7" s="71">
        <v>35110.800000000003</v>
      </c>
      <c r="U7" s="71">
        <v>37412.800000000003</v>
      </c>
      <c r="V7" s="71">
        <v>36615.699999999997</v>
      </c>
      <c r="W7" s="71">
        <v>40558.78</v>
      </c>
      <c r="X7" s="71">
        <v>42422.720000000001</v>
      </c>
      <c r="Y7" s="71">
        <v>40550.18</v>
      </c>
      <c r="Z7" s="71">
        <v>36815.5</v>
      </c>
      <c r="AA7" s="71">
        <v>31109.86</v>
      </c>
      <c r="AB7" s="71">
        <v>26577.279999999999</v>
      </c>
      <c r="AC7" s="72">
        <f>+SUM(E7:AB7)*D7+SUM(E8:AB8)*D8+SUM(E9:AB9)*D9+SUM(E10:AB10)*D10</f>
        <v>21420607.959999997</v>
      </c>
      <c r="AE7" s="8">
        <f>+AC7</f>
        <v>21420607.959999997</v>
      </c>
    </row>
    <row r="8" spans="2:31" ht="18.600000000000001" customHeight="1" x14ac:dyDescent="0.2">
      <c r="B8" s="49" t="s">
        <v>28</v>
      </c>
      <c r="C8" s="4" t="s">
        <v>30</v>
      </c>
      <c r="D8" s="5">
        <v>4</v>
      </c>
      <c r="E8" s="71">
        <v>18839.78</v>
      </c>
      <c r="F8" s="71">
        <v>17084.97</v>
      </c>
      <c r="G8" s="71">
        <v>16445.32</v>
      </c>
      <c r="H8" s="71">
        <v>16225.66</v>
      </c>
      <c r="I8" s="71">
        <v>16457.03</v>
      </c>
      <c r="J8" s="71">
        <v>17692.16</v>
      </c>
      <c r="K8" s="71">
        <v>18477.560000000001</v>
      </c>
      <c r="L8" s="71">
        <v>29351.06</v>
      </c>
      <c r="M8" s="71">
        <v>29839.94</v>
      </c>
      <c r="N8" s="71">
        <v>30704.91</v>
      </c>
      <c r="O8" s="71">
        <v>31312.47</v>
      </c>
      <c r="P8" s="71">
        <v>32547.73</v>
      </c>
      <c r="Q8" s="71">
        <v>33390.300000000003</v>
      </c>
      <c r="R8" s="71">
        <v>32677.4</v>
      </c>
      <c r="S8" s="71">
        <v>32841.379999999997</v>
      </c>
      <c r="T8" s="71">
        <v>31815.24</v>
      </c>
      <c r="U8" s="71">
        <v>34795.01</v>
      </c>
      <c r="V8" s="71">
        <v>34327.620000000003</v>
      </c>
      <c r="W8" s="71">
        <v>38780.19</v>
      </c>
      <c r="X8" s="71">
        <v>40263.26</v>
      </c>
      <c r="Y8" s="71">
        <v>38292.660000000003</v>
      </c>
      <c r="Z8" s="71">
        <v>35443.22</v>
      </c>
      <c r="AA8" s="71">
        <v>31472.73</v>
      </c>
      <c r="AB8" s="71">
        <v>27683.96</v>
      </c>
      <c r="AC8" s="73"/>
      <c r="AE8" s="8">
        <f>+AC11</f>
        <v>21812342.960000005</v>
      </c>
    </row>
    <row r="9" spans="2:31" ht="18.600000000000001" customHeight="1" x14ac:dyDescent="0.2">
      <c r="B9" s="49" t="s">
        <v>28</v>
      </c>
      <c r="C9" s="4" t="s">
        <v>31</v>
      </c>
      <c r="D9" s="5">
        <v>4</v>
      </c>
      <c r="E9" s="71">
        <v>19490.87</v>
      </c>
      <c r="F9" s="71">
        <v>17677.47</v>
      </c>
      <c r="G9" s="71">
        <v>16510.71</v>
      </c>
      <c r="H9" s="71">
        <v>15880.41</v>
      </c>
      <c r="I9" s="71">
        <v>15393.1</v>
      </c>
      <c r="J9" s="71">
        <v>15463.1</v>
      </c>
      <c r="K9" s="71">
        <v>14623.24</v>
      </c>
      <c r="L9" s="71">
        <v>23436.12</v>
      </c>
      <c r="M9" s="71">
        <v>24131.18</v>
      </c>
      <c r="N9" s="71">
        <v>25288.68</v>
      </c>
      <c r="O9" s="71">
        <v>26247.71</v>
      </c>
      <c r="P9" s="71">
        <v>27934.97</v>
      </c>
      <c r="Q9" s="71">
        <v>28925.8</v>
      </c>
      <c r="R9" s="71">
        <v>29214.28</v>
      </c>
      <c r="S9" s="71">
        <v>28729.88</v>
      </c>
      <c r="T9" s="71">
        <v>29314.32</v>
      </c>
      <c r="U9" s="71">
        <v>31742.34</v>
      </c>
      <c r="V9" s="71">
        <v>31811.91</v>
      </c>
      <c r="W9" s="71">
        <v>36704.26</v>
      </c>
      <c r="X9" s="71">
        <v>38897.71</v>
      </c>
      <c r="Y9" s="71">
        <v>37584.269999999997</v>
      </c>
      <c r="Z9" s="71">
        <v>34086.42</v>
      </c>
      <c r="AA9" s="71">
        <v>29198.15</v>
      </c>
      <c r="AB9" s="71">
        <v>24894.14</v>
      </c>
      <c r="AC9" s="73"/>
      <c r="AE9" s="8">
        <f>+AC15</f>
        <v>21131938.920000002</v>
      </c>
    </row>
    <row r="10" spans="2:31" ht="18.600000000000001" customHeight="1" x14ac:dyDescent="0.2">
      <c r="B10" s="49" t="s">
        <v>28</v>
      </c>
      <c r="C10" s="4" t="s">
        <v>32</v>
      </c>
      <c r="D10" s="5">
        <v>2</v>
      </c>
      <c r="E10" s="71">
        <v>19963.580000000002</v>
      </c>
      <c r="F10" s="71">
        <v>18967.849999999999</v>
      </c>
      <c r="G10" s="71">
        <v>17839.95</v>
      </c>
      <c r="H10" s="71">
        <v>16858.919999999998</v>
      </c>
      <c r="I10" s="71">
        <v>16112.25</v>
      </c>
      <c r="J10" s="71">
        <v>15610.93</v>
      </c>
      <c r="K10" s="71">
        <v>13321.03</v>
      </c>
      <c r="L10" s="71">
        <v>20792.96</v>
      </c>
      <c r="M10" s="71">
        <v>20454.28</v>
      </c>
      <c r="N10" s="71">
        <v>21979.26</v>
      </c>
      <c r="O10" s="71">
        <v>23068.98</v>
      </c>
      <c r="P10" s="71">
        <v>24971.07</v>
      </c>
      <c r="Q10" s="71">
        <v>26876.69</v>
      </c>
      <c r="R10" s="71">
        <v>27919.34</v>
      </c>
      <c r="S10" s="71">
        <v>27176.57</v>
      </c>
      <c r="T10" s="71">
        <v>27930.68</v>
      </c>
      <c r="U10" s="71">
        <v>30635.38</v>
      </c>
      <c r="V10" s="71">
        <v>31308.37</v>
      </c>
      <c r="W10" s="71">
        <v>36123</v>
      </c>
      <c r="X10" s="71">
        <v>37597.22</v>
      </c>
      <c r="Y10" s="71">
        <v>36105.120000000003</v>
      </c>
      <c r="Z10" s="71">
        <v>32935.769999999997</v>
      </c>
      <c r="AA10" s="71">
        <v>28839.74</v>
      </c>
      <c r="AB10" s="71">
        <v>24837.58</v>
      </c>
      <c r="AC10" s="74"/>
      <c r="AE10" s="8">
        <f>+AC19</f>
        <v>21385626.280000001</v>
      </c>
    </row>
    <row r="11" spans="2:31" ht="18.600000000000001" customHeight="1" x14ac:dyDescent="0.2">
      <c r="B11" s="49" t="s">
        <v>33</v>
      </c>
      <c r="C11" s="4" t="s">
        <v>29</v>
      </c>
      <c r="D11" s="5">
        <v>20</v>
      </c>
      <c r="E11" s="71">
        <v>21515.17</v>
      </c>
      <c r="F11" s="71">
        <v>20235.43</v>
      </c>
      <c r="G11" s="71">
        <v>19779.52</v>
      </c>
      <c r="H11" s="71">
        <v>19607.28</v>
      </c>
      <c r="I11" s="71">
        <v>21214.2</v>
      </c>
      <c r="J11" s="71">
        <v>26916.3</v>
      </c>
      <c r="K11" s="71">
        <v>26828.13</v>
      </c>
      <c r="L11" s="71">
        <v>35042.22</v>
      </c>
      <c r="M11" s="71">
        <v>33309.89</v>
      </c>
      <c r="N11" s="71">
        <v>33431.96</v>
      </c>
      <c r="O11" s="71">
        <v>34690.400000000001</v>
      </c>
      <c r="P11" s="71">
        <v>36476.82</v>
      </c>
      <c r="Q11" s="71">
        <v>35906.51</v>
      </c>
      <c r="R11" s="71">
        <v>36040.949999999997</v>
      </c>
      <c r="S11" s="71">
        <v>37415.9</v>
      </c>
      <c r="T11" s="71">
        <v>38546.68</v>
      </c>
      <c r="U11" s="71">
        <v>40351.589999999997</v>
      </c>
      <c r="V11" s="71">
        <v>38153.17</v>
      </c>
      <c r="W11" s="71">
        <v>43154.400000000001</v>
      </c>
      <c r="X11" s="71">
        <v>46374.94</v>
      </c>
      <c r="Y11" s="71">
        <v>44648.25</v>
      </c>
      <c r="Z11" s="71">
        <v>40509.919999999998</v>
      </c>
      <c r="AA11" s="71">
        <v>34879.58</v>
      </c>
      <c r="AB11" s="71">
        <v>30150.09</v>
      </c>
      <c r="AC11" s="72">
        <f>+SUM(E11:AB11)*D11+SUM(E12:AB12)*D12+SUM(E13:AB13)*D13+SUM(E14:AB14)*D14</f>
        <v>21812342.960000005</v>
      </c>
      <c r="AE11" s="8">
        <f>+AC23</f>
        <v>21461837.959999993</v>
      </c>
    </row>
    <row r="12" spans="2:31" ht="18.600000000000001" customHeight="1" x14ac:dyDescent="0.2">
      <c r="B12" s="49" t="s">
        <v>33</v>
      </c>
      <c r="C12" s="4" t="s">
        <v>30</v>
      </c>
      <c r="D12" s="5">
        <v>4</v>
      </c>
      <c r="E12" s="71">
        <v>22509.599999999999</v>
      </c>
      <c r="F12" s="71">
        <v>20938.93</v>
      </c>
      <c r="G12" s="71">
        <v>19869.98</v>
      </c>
      <c r="H12" s="71">
        <v>19645.73</v>
      </c>
      <c r="I12" s="71">
        <v>20194.330000000002</v>
      </c>
      <c r="J12" s="71">
        <v>21581.919999999998</v>
      </c>
      <c r="K12" s="71">
        <v>21037.58</v>
      </c>
      <c r="L12" s="71">
        <v>32617.03</v>
      </c>
      <c r="M12" s="71">
        <v>33099.07</v>
      </c>
      <c r="N12" s="71">
        <v>33580.01</v>
      </c>
      <c r="O12" s="71">
        <v>34872.769999999997</v>
      </c>
      <c r="P12" s="71">
        <v>36308.42</v>
      </c>
      <c r="Q12" s="71">
        <v>36837.800000000003</v>
      </c>
      <c r="R12" s="71">
        <v>35619.74</v>
      </c>
      <c r="S12" s="71">
        <v>35215.89</v>
      </c>
      <c r="T12" s="71">
        <v>35761.15</v>
      </c>
      <c r="U12" s="71">
        <v>37749.74</v>
      </c>
      <c r="V12" s="71">
        <v>36550.97</v>
      </c>
      <c r="W12" s="71">
        <v>41691.269999999997</v>
      </c>
      <c r="X12" s="71">
        <v>44776.6</v>
      </c>
      <c r="Y12" s="71">
        <v>42763.58</v>
      </c>
      <c r="Z12" s="71">
        <v>39657.94</v>
      </c>
      <c r="AA12" s="71">
        <v>35575.620000000003</v>
      </c>
      <c r="AB12" s="71">
        <v>31470.959999999999</v>
      </c>
      <c r="AC12" s="73"/>
      <c r="AE12" s="8">
        <f>+AC27</f>
        <v>21296893.5</v>
      </c>
    </row>
    <row r="13" spans="2:31" ht="18.600000000000001" customHeight="1" x14ac:dyDescent="0.2">
      <c r="B13" s="49" t="s">
        <v>33</v>
      </c>
      <c r="C13" s="4" t="s">
        <v>31</v>
      </c>
      <c r="D13" s="5">
        <v>4</v>
      </c>
      <c r="E13" s="71">
        <v>23561.67</v>
      </c>
      <c r="F13" s="71">
        <v>21618.16</v>
      </c>
      <c r="G13" s="71">
        <v>20569.240000000002</v>
      </c>
      <c r="H13" s="71">
        <v>19902.57</v>
      </c>
      <c r="I13" s="71">
        <v>19282.5</v>
      </c>
      <c r="J13" s="71">
        <v>19346.11</v>
      </c>
      <c r="K13" s="71">
        <v>17333.310000000001</v>
      </c>
      <c r="L13" s="71">
        <v>26471.119999999999</v>
      </c>
      <c r="M13" s="71">
        <v>27493.46</v>
      </c>
      <c r="N13" s="71">
        <v>29059.46</v>
      </c>
      <c r="O13" s="71">
        <v>29962.92</v>
      </c>
      <c r="P13" s="71">
        <v>31478.38</v>
      </c>
      <c r="Q13" s="71">
        <v>32752.59</v>
      </c>
      <c r="R13" s="71">
        <v>32433.62</v>
      </c>
      <c r="S13" s="71">
        <v>32154.240000000002</v>
      </c>
      <c r="T13" s="71">
        <v>32359.25</v>
      </c>
      <c r="U13" s="71">
        <v>33819.300000000003</v>
      </c>
      <c r="V13" s="71">
        <v>34086.82</v>
      </c>
      <c r="W13" s="71">
        <v>39124.559999999998</v>
      </c>
      <c r="X13" s="71">
        <v>42627.25</v>
      </c>
      <c r="Y13" s="71">
        <v>41630.730000000003</v>
      </c>
      <c r="Z13" s="71">
        <v>38317.360000000001</v>
      </c>
      <c r="AA13" s="71">
        <v>33462.74</v>
      </c>
      <c r="AB13" s="71">
        <v>28415.25</v>
      </c>
      <c r="AC13" s="73"/>
      <c r="AE13" s="8">
        <f>+AC31</f>
        <v>21324668.27</v>
      </c>
    </row>
    <row r="14" spans="2:31" ht="18.600000000000001" customHeight="1" x14ac:dyDescent="0.2">
      <c r="B14" s="49" t="s">
        <v>33</v>
      </c>
      <c r="C14" s="4" t="s">
        <v>32</v>
      </c>
      <c r="D14" s="5">
        <v>0</v>
      </c>
      <c r="E14" s="71">
        <v>0</v>
      </c>
      <c r="F14" s="71">
        <v>0</v>
      </c>
      <c r="G14" s="71">
        <v>0</v>
      </c>
      <c r="H14" s="71">
        <v>0</v>
      </c>
      <c r="I14" s="71">
        <v>0</v>
      </c>
      <c r="J14" s="71">
        <v>0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0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0</v>
      </c>
      <c r="Z14" s="71">
        <v>0</v>
      </c>
      <c r="AA14" s="71">
        <v>0</v>
      </c>
      <c r="AB14" s="71">
        <v>0</v>
      </c>
      <c r="AC14" s="74"/>
      <c r="AE14" s="8">
        <f>+AC35</f>
        <v>21433378.880000003</v>
      </c>
    </row>
    <row r="15" spans="2:31" ht="18.600000000000001" customHeight="1" x14ac:dyDescent="0.2">
      <c r="B15" s="49" t="s">
        <v>34</v>
      </c>
      <c r="C15" s="4" t="s">
        <v>29</v>
      </c>
      <c r="D15" s="5">
        <v>20</v>
      </c>
      <c r="E15" s="71">
        <v>19123.59</v>
      </c>
      <c r="F15" s="71">
        <v>17978.150000000001</v>
      </c>
      <c r="G15" s="71">
        <v>17510.259999999998</v>
      </c>
      <c r="H15" s="71">
        <v>17290.88</v>
      </c>
      <c r="I15" s="71">
        <v>18515.740000000002</v>
      </c>
      <c r="J15" s="71">
        <v>23112.82</v>
      </c>
      <c r="K15" s="71">
        <v>22751.43</v>
      </c>
      <c r="L15" s="71">
        <v>30983.66</v>
      </c>
      <c r="M15" s="71">
        <v>29313.58</v>
      </c>
      <c r="N15" s="71">
        <v>29370.66</v>
      </c>
      <c r="O15" s="71">
        <v>30274.93</v>
      </c>
      <c r="P15" s="71">
        <v>31638.47</v>
      </c>
      <c r="Q15" s="71">
        <v>31100.639999999999</v>
      </c>
      <c r="R15" s="71">
        <v>31331.22</v>
      </c>
      <c r="S15" s="71">
        <v>32675.85</v>
      </c>
      <c r="T15" s="71">
        <v>33611.65</v>
      </c>
      <c r="U15" s="71">
        <v>35697.82</v>
      </c>
      <c r="V15" s="71">
        <v>34559.22</v>
      </c>
      <c r="W15" s="71">
        <v>38986.269999999997</v>
      </c>
      <c r="X15" s="71">
        <v>41649.339999999997</v>
      </c>
      <c r="Y15" s="71">
        <v>40054.36</v>
      </c>
      <c r="Z15" s="71">
        <v>36521.019999999997</v>
      </c>
      <c r="AA15" s="71">
        <v>31670.720000000001</v>
      </c>
      <c r="AB15" s="71">
        <v>27813.48</v>
      </c>
      <c r="AC15" s="72">
        <f>+SUM(E15:AB15)*D15+SUM(E16:AB16)*D16+SUM(E17:AB17)*D17+SUM(E18:AB18)*D18</f>
        <v>21131938.920000002</v>
      </c>
      <c r="AE15" s="8">
        <f>+AC39</f>
        <v>22122625.039999999</v>
      </c>
    </row>
    <row r="16" spans="2:31" ht="18.600000000000001" customHeight="1" x14ac:dyDescent="0.2">
      <c r="B16" s="49" t="s">
        <v>34</v>
      </c>
      <c r="C16" s="4" t="s">
        <v>30</v>
      </c>
      <c r="D16" s="5">
        <v>5</v>
      </c>
      <c r="E16" s="71">
        <v>20010.63</v>
      </c>
      <c r="F16" s="71">
        <v>18364.66</v>
      </c>
      <c r="G16" s="71">
        <v>17659.09</v>
      </c>
      <c r="H16" s="71">
        <v>17323.39</v>
      </c>
      <c r="I16" s="71">
        <v>17609.599999999999</v>
      </c>
      <c r="J16" s="71">
        <v>18789.3</v>
      </c>
      <c r="K16" s="71">
        <v>17652.919999999998</v>
      </c>
      <c r="L16" s="71">
        <v>28294.17</v>
      </c>
      <c r="M16" s="71">
        <v>28539.47</v>
      </c>
      <c r="N16" s="71">
        <v>29159.1</v>
      </c>
      <c r="O16" s="71">
        <v>29631.31</v>
      </c>
      <c r="P16" s="71">
        <v>30762.43</v>
      </c>
      <c r="Q16" s="71">
        <v>30834.58</v>
      </c>
      <c r="R16" s="71">
        <v>30313.94</v>
      </c>
      <c r="S16" s="71">
        <v>30257.599999999999</v>
      </c>
      <c r="T16" s="71">
        <v>30676.77</v>
      </c>
      <c r="U16" s="71">
        <v>32604.86</v>
      </c>
      <c r="V16" s="71">
        <v>32576.39</v>
      </c>
      <c r="W16" s="71">
        <v>37621.79</v>
      </c>
      <c r="X16" s="71">
        <v>39591.47</v>
      </c>
      <c r="Y16" s="71">
        <v>37807.5</v>
      </c>
      <c r="Z16" s="71">
        <v>35391.97</v>
      </c>
      <c r="AA16" s="71">
        <v>31809.46</v>
      </c>
      <c r="AB16" s="71">
        <v>28410.9</v>
      </c>
      <c r="AC16" s="73"/>
      <c r="AE16" s="8">
        <f>+AC43</f>
        <v>21708117.110000003</v>
      </c>
    </row>
    <row r="17" spans="2:31" ht="18.600000000000001" customHeight="1" x14ac:dyDescent="0.2">
      <c r="B17" s="49" t="s">
        <v>34</v>
      </c>
      <c r="C17" s="4" t="s">
        <v>31</v>
      </c>
      <c r="D17" s="5">
        <v>5</v>
      </c>
      <c r="E17" s="71">
        <v>20425.43</v>
      </c>
      <c r="F17" s="71">
        <v>18703.84</v>
      </c>
      <c r="G17" s="71">
        <v>17823.580000000002</v>
      </c>
      <c r="H17" s="71">
        <v>17134.2</v>
      </c>
      <c r="I17" s="71">
        <v>16872.060000000001</v>
      </c>
      <c r="J17" s="71">
        <v>16813.64</v>
      </c>
      <c r="K17" s="71">
        <v>14125.29</v>
      </c>
      <c r="L17" s="71">
        <v>22888.6</v>
      </c>
      <c r="M17" s="71">
        <v>23777.34</v>
      </c>
      <c r="N17" s="71">
        <v>25274.400000000001</v>
      </c>
      <c r="O17" s="71">
        <v>25691.14</v>
      </c>
      <c r="P17" s="71">
        <v>26589.56</v>
      </c>
      <c r="Q17" s="71">
        <v>27410.34</v>
      </c>
      <c r="R17" s="71">
        <v>27871.82</v>
      </c>
      <c r="S17" s="71">
        <v>27671.91</v>
      </c>
      <c r="T17" s="71">
        <v>28246.02</v>
      </c>
      <c r="U17" s="71">
        <v>30072.15</v>
      </c>
      <c r="V17" s="71">
        <v>29941.88</v>
      </c>
      <c r="W17" s="71">
        <v>34876.639999999999</v>
      </c>
      <c r="X17" s="71">
        <v>38237.96</v>
      </c>
      <c r="Y17" s="71">
        <v>37340.559999999998</v>
      </c>
      <c r="Z17" s="71">
        <v>34720.6</v>
      </c>
      <c r="AA17" s="71">
        <v>30425.7</v>
      </c>
      <c r="AB17" s="71">
        <v>26410.51</v>
      </c>
      <c r="AC17" s="73"/>
      <c r="AE17" s="8">
        <f>+AC47</f>
        <v>22105418.419999998</v>
      </c>
    </row>
    <row r="18" spans="2:31" ht="18.600000000000001" customHeight="1" x14ac:dyDescent="0.2">
      <c r="B18" s="49" t="s">
        <v>34</v>
      </c>
      <c r="C18" s="4" t="s">
        <v>32</v>
      </c>
      <c r="D18" s="5">
        <v>1</v>
      </c>
      <c r="E18" s="71">
        <v>19178.689999999999</v>
      </c>
      <c r="F18" s="71">
        <v>17545.650000000001</v>
      </c>
      <c r="G18" s="71">
        <v>16784.27</v>
      </c>
      <c r="H18" s="71">
        <v>16370.97</v>
      </c>
      <c r="I18" s="71">
        <v>16297.46</v>
      </c>
      <c r="J18" s="71">
        <v>16726.02</v>
      </c>
      <c r="K18" s="71">
        <v>14433.24</v>
      </c>
      <c r="L18" s="71">
        <v>23819.41</v>
      </c>
      <c r="M18" s="71">
        <v>24359.79</v>
      </c>
      <c r="N18" s="71">
        <v>24638.05</v>
      </c>
      <c r="O18" s="71">
        <v>24983.58</v>
      </c>
      <c r="P18" s="71">
        <v>26534.86</v>
      </c>
      <c r="Q18" s="71">
        <v>27696.52</v>
      </c>
      <c r="R18" s="71">
        <v>27493.41</v>
      </c>
      <c r="S18" s="71">
        <v>26738.04</v>
      </c>
      <c r="T18" s="71">
        <v>27197.18</v>
      </c>
      <c r="U18" s="71">
        <v>29131.06</v>
      </c>
      <c r="V18" s="71">
        <v>28913.9</v>
      </c>
      <c r="W18" s="71">
        <v>34139.49</v>
      </c>
      <c r="X18" s="71">
        <v>36731.839999999997</v>
      </c>
      <c r="Y18" s="71">
        <v>35251.019999999997</v>
      </c>
      <c r="Z18" s="71">
        <v>33205.74</v>
      </c>
      <c r="AA18" s="71">
        <v>30627.39</v>
      </c>
      <c r="AB18" s="71">
        <v>27233.79</v>
      </c>
      <c r="AC18" s="74"/>
      <c r="AE18" s="8">
        <f>+AC51</f>
        <v>21482701.52</v>
      </c>
    </row>
    <row r="19" spans="2:31" ht="18.600000000000001" customHeight="1" x14ac:dyDescent="0.2">
      <c r="B19" s="49" t="s">
        <v>35</v>
      </c>
      <c r="C19" s="4" t="s">
        <v>29</v>
      </c>
      <c r="D19" s="5">
        <v>20</v>
      </c>
      <c r="E19" s="71">
        <v>19497.189999999999</v>
      </c>
      <c r="F19" s="71">
        <v>18214.52</v>
      </c>
      <c r="G19" s="71">
        <v>17725.98</v>
      </c>
      <c r="H19" s="71">
        <v>17649.5</v>
      </c>
      <c r="I19" s="71">
        <v>19286.27</v>
      </c>
      <c r="J19" s="71">
        <v>24869.72</v>
      </c>
      <c r="K19" s="71">
        <v>25204.83</v>
      </c>
      <c r="L19" s="71">
        <v>32954.699999999997</v>
      </c>
      <c r="M19" s="71">
        <v>30186.240000000002</v>
      </c>
      <c r="N19" s="71">
        <v>29999.85</v>
      </c>
      <c r="O19" s="71">
        <v>30962.71</v>
      </c>
      <c r="P19" s="71">
        <v>31331.52</v>
      </c>
      <c r="Q19" s="71">
        <v>31305</v>
      </c>
      <c r="R19" s="71">
        <v>31835.759999999998</v>
      </c>
      <c r="S19" s="71">
        <v>33313.89</v>
      </c>
      <c r="T19" s="71">
        <v>34581.17</v>
      </c>
      <c r="U19" s="71">
        <v>37088.879999999997</v>
      </c>
      <c r="V19" s="71">
        <v>36260.629999999997</v>
      </c>
      <c r="W19" s="71">
        <v>41827.58</v>
      </c>
      <c r="X19" s="71">
        <v>43299.86</v>
      </c>
      <c r="Y19" s="71">
        <v>41526.21</v>
      </c>
      <c r="Z19" s="71">
        <v>37940.54</v>
      </c>
      <c r="AA19" s="71">
        <v>32431.43</v>
      </c>
      <c r="AB19" s="71">
        <v>27858.41</v>
      </c>
      <c r="AC19" s="72">
        <f>+SUM(E19:AB19)*D19+SUM(E20:AB20)*D20+SUM(E21:AB21)*D21+SUM(E22:AB22)*D22</f>
        <v>21385626.280000001</v>
      </c>
    </row>
    <row r="20" spans="2:31" ht="18.600000000000001" customHeight="1" x14ac:dyDescent="0.2">
      <c r="B20" s="49" t="s">
        <v>35</v>
      </c>
      <c r="C20" s="4" t="s">
        <v>30</v>
      </c>
      <c r="D20" s="5">
        <v>4</v>
      </c>
      <c r="E20" s="71">
        <v>20713.669999999998</v>
      </c>
      <c r="F20" s="71">
        <v>19377.48</v>
      </c>
      <c r="G20" s="71">
        <v>18230.77</v>
      </c>
      <c r="H20" s="71">
        <v>18024.48</v>
      </c>
      <c r="I20" s="71">
        <v>18649.740000000002</v>
      </c>
      <c r="J20" s="71">
        <v>20061.669999999998</v>
      </c>
      <c r="K20" s="71">
        <v>18550.43</v>
      </c>
      <c r="L20" s="71">
        <v>31093.55</v>
      </c>
      <c r="M20" s="71">
        <v>31869.29</v>
      </c>
      <c r="N20" s="71">
        <v>32409.06</v>
      </c>
      <c r="O20" s="71">
        <v>32762.55</v>
      </c>
      <c r="P20" s="71">
        <v>33570.639999999999</v>
      </c>
      <c r="Q20" s="71">
        <v>34524.980000000003</v>
      </c>
      <c r="R20" s="71">
        <v>32685.25</v>
      </c>
      <c r="S20" s="71">
        <v>32483.09</v>
      </c>
      <c r="T20" s="71">
        <v>33179.71</v>
      </c>
      <c r="U20" s="71">
        <v>35411.620000000003</v>
      </c>
      <c r="V20" s="71">
        <v>32206.98</v>
      </c>
      <c r="W20" s="71">
        <v>40512.04</v>
      </c>
      <c r="X20" s="71">
        <v>42087.56</v>
      </c>
      <c r="Y20" s="71">
        <v>40153.49</v>
      </c>
      <c r="Z20" s="71">
        <v>37612.400000000001</v>
      </c>
      <c r="AA20" s="71">
        <v>33512.9</v>
      </c>
      <c r="AB20" s="71">
        <v>31800.48</v>
      </c>
      <c r="AC20" s="73"/>
    </row>
    <row r="21" spans="2:31" ht="18.600000000000001" customHeight="1" x14ac:dyDescent="0.2">
      <c r="B21" s="49" t="s">
        <v>35</v>
      </c>
      <c r="C21" s="4" t="s">
        <v>31</v>
      </c>
      <c r="D21" s="5">
        <v>4</v>
      </c>
      <c r="E21" s="71">
        <v>21737.58</v>
      </c>
      <c r="F21" s="71">
        <v>20121.650000000001</v>
      </c>
      <c r="G21" s="71">
        <v>19099.22</v>
      </c>
      <c r="H21" s="71">
        <v>18354.41</v>
      </c>
      <c r="I21" s="71">
        <v>17863.919999999998</v>
      </c>
      <c r="J21" s="71">
        <v>17813.16</v>
      </c>
      <c r="K21" s="71">
        <v>15652.02</v>
      </c>
      <c r="L21" s="71">
        <v>24840.34</v>
      </c>
      <c r="M21" s="71">
        <v>25568.18</v>
      </c>
      <c r="N21" s="71">
        <v>26601.73</v>
      </c>
      <c r="O21" s="71">
        <v>27463.79</v>
      </c>
      <c r="P21" s="71">
        <v>28639.49</v>
      </c>
      <c r="Q21" s="71">
        <v>30217.3</v>
      </c>
      <c r="R21" s="71">
        <v>30733.119999999999</v>
      </c>
      <c r="S21" s="71">
        <v>29921.18</v>
      </c>
      <c r="T21" s="71">
        <v>30121.3</v>
      </c>
      <c r="U21" s="71">
        <v>31956.92</v>
      </c>
      <c r="V21" s="71">
        <v>32483.56</v>
      </c>
      <c r="W21" s="71">
        <v>37981.03</v>
      </c>
      <c r="X21" s="71">
        <v>39789.74</v>
      </c>
      <c r="Y21" s="71">
        <v>38724.83</v>
      </c>
      <c r="Z21" s="71">
        <v>35522.379999999997</v>
      </c>
      <c r="AA21" s="71">
        <v>31083.71</v>
      </c>
      <c r="AB21" s="71">
        <v>26532.13</v>
      </c>
      <c r="AC21" s="73"/>
    </row>
    <row r="22" spans="2:31" ht="18.600000000000001" customHeight="1" x14ac:dyDescent="0.2">
      <c r="B22" s="49" t="s">
        <v>35</v>
      </c>
      <c r="C22" s="4" t="s">
        <v>32</v>
      </c>
      <c r="D22" s="5">
        <v>2</v>
      </c>
      <c r="E22" s="71">
        <v>21642.99</v>
      </c>
      <c r="F22" s="71">
        <v>20150.419999999998</v>
      </c>
      <c r="G22" s="71">
        <v>19148.95</v>
      </c>
      <c r="H22" s="71">
        <v>18363.46</v>
      </c>
      <c r="I22" s="71">
        <v>17848.37</v>
      </c>
      <c r="J22" s="71">
        <v>17762.05</v>
      </c>
      <c r="K22" s="71">
        <v>15558.3</v>
      </c>
      <c r="L22" s="71">
        <v>24813.91</v>
      </c>
      <c r="M22" s="71">
        <v>25544.22</v>
      </c>
      <c r="N22" s="71">
        <v>26626.04</v>
      </c>
      <c r="O22" s="71">
        <v>27496.7</v>
      </c>
      <c r="P22" s="71">
        <v>28714.880000000001</v>
      </c>
      <c r="Q22" s="71">
        <v>30307.14</v>
      </c>
      <c r="R22" s="71">
        <v>30825.54</v>
      </c>
      <c r="S22" s="71">
        <v>30043.599999999999</v>
      </c>
      <c r="T22" s="71">
        <v>30215.95</v>
      </c>
      <c r="U22" s="71">
        <v>32031.73</v>
      </c>
      <c r="V22" s="71">
        <v>32390.62</v>
      </c>
      <c r="W22" s="71">
        <v>38648.32</v>
      </c>
      <c r="X22" s="71">
        <v>40440.269999999997</v>
      </c>
      <c r="Y22" s="71">
        <v>39443.199999999997</v>
      </c>
      <c r="Z22" s="71">
        <v>35670.57</v>
      </c>
      <c r="AA22" s="71">
        <v>30867.77</v>
      </c>
      <c r="AB22" s="71">
        <v>26121.200000000001</v>
      </c>
      <c r="AC22" s="74"/>
    </row>
    <row r="23" spans="2:31" ht="18.600000000000001" customHeight="1" x14ac:dyDescent="0.2">
      <c r="B23" s="49" t="s">
        <v>36</v>
      </c>
      <c r="C23" s="4" t="s">
        <v>29</v>
      </c>
      <c r="D23" s="5">
        <v>20</v>
      </c>
      <c r="E23" s="71">
        <v>18487</v>
      </c>
      <c r="F23" s="71">
        <v>17441.669999999998</v>
      </c>
      <c r="G23" s="71">
        <v>16956.61</v>
      </c>
      <c r="H23" s="71">
        <v>16918.080000000002</v>
      </c>
      <c r="I23" s="71">
        <v>18500.21</v>
      </c>
      <c r="J23" s="71">
        <v>23752.75</v>
      </c>
      <c r="K23" s="71">
        <v>24154.87</v>
      </c>
      <c r="L23" s="71">
        <v>31946.65</v>
      </c>
      <c r="M23" s="71">
        <v>29809.31</v>
      </c>
      <c r="N23" s="71">
        <v>29610.799999999999</v>
      </c>
      <c r="O23" s="71">
        <v>30816.42</v>
      </c>
      <c r="P23" s="71">
        <v>32391.75</v>
      </c>
      <c r="Q23" s="71">
        <v>31620.2</v>
      </c>
      <c r="R23" s="71">
        <v>31605.8</v>
      </c>
      <c r="S23" s="71">
        <v>32708.94</v>
      </c>
      <c r="T23" s="71">
        <v>33702.1</v>
      </c>
      <c r="U23" s="71">
        <v>35780.129999999997</v>
      </c>
      <c r="V23" s="71">
        <v>34857.160000000003</v>
      </c>
      <c r="W23" s="71">
        <v>40380.32</v>
      </c>
      <c r="X23" s="71">
        <v>41723.379999999997</v>
      </c>
      <c r="Y23" s="71">
        <v>39824.83</v>
      </c>
      <c r="Z23" s="71">
        <v>36499.1</v>
      </c>
      <c r="AA23" s="71">
        <v>31413.67</v>
      </c>
      <c r="AB23" s="71">
        <v>26922.5</v>
      </c>
      <c r="AC23" s="72">
        <f>+SUM(E23:AB23)*D23+SUM(E24:AB24)*D24+SUM(E25:AB25)*D25+SUM(E26:AB26)*D26</f>
        <v>21461837.959999993</v>
      </c>
    </row>
    <row r="24" spans="2:31" ht="18.600000000000001" customHeight="1" x14ac:dyDescent="0.2">
      <c r="B24" s="49" t="s">
        <v>36</v>
      </c>
      <c r="C24" s="4" t="s">
        <v>30</v>
      </c>
      <c r="D24" s="5">
        <v>5</v>
      </c>
      <c r="E24" s="71">
        <v>19978.62</v>
      </c>
      <c r="F24" s="71">
        <v>18656.62</v>
      </c>
      <c r="G24" s="71">
        <v>17875.43</v>
      </c>
      <c r="H24" s="71">
        <v>17509.13</v>
      </c>
      <c r="I24" s="71">
        <v>18069.84</v>
      </c>
      <c r="J24" s="71">
        <v>19114.47</v>
      </c>
      <c r="K24" s="71">
        <v>19113.310000000001</v>
      </c>
      <c r="L24" s="71">
        <v>30202.26</v>
      </c>
      <c r="M24" s="71">
        <v>30430.71</v>
      </c>
      <c r="N24" s="71">
        <v>31068.78</v>
      </c>
      <c r="O24" s="71">
        <v>31748.52</v>
      </c>
      <c r="P24" s="71">
        <v>32804</v>
      </c>
      <c r="Q24" s="71">
        <v>32718.92</v>
      </c>
      <c r="R24" s="71">
        <v>31728.78</v>
      </c>
      <c r="S24" s="71">
        <v>31464.65</v>
      </c>
      <c r="T24" s="71">
        <v>31943.75</v>
      </c>
      <c r="U24" s="71">
        <v>34125.14</v>
      </c>
      <c r="V24" s="71">
        <v>33600.6</v>
      </c>
      <c r="W24" s="71">
        <v>39154.26</v>
      </c>
      <c r="X24" s="71">
        <v>40405.18</v>
      </c>
      <c r="Y24" s="71">
        <v>38632.33</v>
      </c>
      <c r="Z24" s="71">
        <v>36083.99</v>
      </c>
      <c r="AA24" s="71">
        <v>32312.94</v>
      </c>
      <c r="AB24" s="71">
        <v>28129.21</v>
      </c>
      <c r="AC24" s="73"/>
    </row>
    <row r="25" spans="2:31" ht="18.600000000000001" customHeight="1" x14ac:dyDescent="0.2">
      <c r="B25" s="49" t="s">
        <v>36</v>
      </c>
      <c r="C25" s="4" t="s">
        <v>31</v>
      </c>
      <c r="D25" s="5">
        <v>4</v>
      </c>
      <c r="E25" s="71">
        <v>20528.62</v>
      </c>
      <c r="F25" s="71">
        <v>18998.88</v>
      </c>
      <c r="G25" s="71">
        <v>18014.080000000002</v>
      </c>
      <c r="H25" s="71">
        <v>17298.43</v>
      </c>
      <c r="I25" s="71">
        <v>17098.88</v>
      </c>
      <c r="J25" s="71">
        <v>16586.37</v>
      </c>
      <c r="K25" s="71">
        <v>14827.73</v>
      </c>
      <c r="L25" s="71">
        <v>23970.22</v>
      </c>
      <c r="M25" s="71">
        <v>24809.62</v>
      </c>
      <c r="N25" s="71">
        <v>26241.18</v>
      </c>
      <c r="O25" s="71">
        <v>27341.33</v>
      </c>
      <c r="P25" s="71">
        <v>28592.240000000002</v>
      </c>
      <c r="Q25" s="71">
        <v>28772.1</v>
      </c>
      <c r="R25" s="71">
        <v>28220.02</v>
      </c>
      <c r="S25" s="71">
        <v>27660.5</v>
      </c>
      <c r="T25" s="71">
        <v>28201.3</v>
      </c>
      <c r="U25" s="71">
        <v>30405.119999999999</v>
      </c>
      <c r="V25" s="71">
        <v>30381.88</v>
      </c>
      <c r="W25" s="71">
        <v>36139.25</v>
      </c>
      <c r="X25" s="71">
        <v>38004.42</v>
      </c>
      <c r="Y25" s="71">
        <v>37188.269999999997</v>
      </c>
      <c r="Z25" s="71">
        <v>34556.57</v>
      </c>
      <c r="AA25" s="71">
        <v>30563.94</v>
      </c>
      <c r="AB25" s="71">
        <v>26196.28</v>
      </c>
      <c r="AC25" s="73"/>
    </row>
    <row r="26" spans="2:31" ht="18.600000000000001" customHeight="1" x14ac:dyDescent="0.2">
      <c r="B26" s="49" t="s">
        <v>36</v>
      </c>
      <c r="C26" s="4" t="s">
        <v>32</v>
      </c>
      <c r="D26" s="5">
        <v>2</v>
      </c>
      <c r="E26" s="71">
        <v>18887.3</v>
      </c>
      <c r="F26" s="71">
        <v>17520.66</v>
      </c>
      <c r="G26" s="71">
        <v>16914.62</v>
      </c>
      <c r="H26" s="71">
        <v>16423.099999999999</v>
      </c>
      <c r="I26" s="71">
        <v>16669.43</v>
      </c>
      <c r="J26" s="71">
        <v>16683.419999999998</v>
      </c>
      <c r="K26" s="71">
        <v>15021.19</v>
      </c>
      <c r="L26" s="71">
        <v>24253.16</v>
      </c>
      <c r="M26" s="71">
        <v>24824.29</v>
      </c>
      <c r="N26" s="71">
        <v>26227.5</v>
      </c>
      <c r="O26" s="71">
        <v>28087.21</v>
      </c>
      <c r="P26" s="71">
        <v>30313.54</v>
      </c>
      <c r="Q26" s="71">
        <v>31313.72</v>
      </c>
      <c r="R26" s="71">
        <v>30702.44</v>
      </c>
      <c r="S26" s="71">
        <v>30114.32</v>
      </c>
      <c r="T26" s="71">
        <v>30433.62</v>
      </c>
      <c r="U26" s="71">
        <v>32364.75</v>
      </c>
      <c r="V26" s="71">
        <v>32263.3</v>
      </c>
      <c r="W26" s="71">
        <v>38523.279999999999</v>
      </c>
      <c r="X26" s="71">
        <v>40633.69</v>
      </c>
      <c r="Y26" s="71">
        <v>38877.29</v>
      </c>
      <c r="Z26" s="71">
        <v>35575.72</v>
      </c>
      <c r="AA26" s="71">
        <v>30710.5</v>
      </c>
      <c r="AB26" s="71">
        <v>25965.37</v>
      </c>
      <c r="AC26" s="74"/>
    </row>
    <row r="27" spans="2:31" ht="18.600000000000001" customHeight="1" x14ac:dyDescent="0.2">
      <c r="B27" s="49" t="s">
        <v>37</v>
      </c>
      <c r="C27" s="4" t="s">
        <v>29</v>
      </c>
      <c r="D27" s="5">
        <v>18</v>
      </c>
      <c r="E27" s="71">
        <v>19093.73</v>
      </c>
      <c r="F27" s="71">
        <v>17854.150000000001</v>
      </c>
      <c r="G27" s="71">
        <v>17340.46</v>
      </c>
      <c r="H27" s="71">
        <v>17291.84</v>
      </c>
      <c r="I27" s="71">
        <v>18580.849999999999</v>
      </c>
      <c r="J27" s="71">
        <v>22252.03</v>
      </c>
      <c r="K27" s="71">
        <v>22964.5</v>
      </c>
      <c r="L27" s="71">
        <v>32380.95</v>
      </c>
      <c r="M27" s="71">
        <v>30975.14</v>
      </c>
      <c r="N27" s="71">
        <v>31222.34</v>
      </c>
      <c r="O27" s="71">
        <v>32534.14</v>
      </c>
      <c r="P27" s="71">
        <v>34599.339999999997</v>
      </c>
      <c r="Q27" s="71">
        <v>33775.160000000003</v>
      </c>
      <c r="R27" s="71">
        <v>33496.83</v>
      </c>
      <c r="S27" s="71">
        <v>34564.9</v>
      </c>
      <c r="T27" s="71">
        <v>35240.97</v>
      </c>
      <c r="U27" s="71">
        <v>37262.28</v>
      </c>
      <c r="V27" s="71">
        <v>36126.5</v>
      </c>
      <c r="W27" s="71">
        <v>41546.160000000003</v>
      </c>
      <c r="X27" s="71">
        <v>43296.21</v>
      </c>
      <c r="Y27" s="71">
        <v>41291.519999999997</v>
      </c>
      <c r="Z27" s="71">
        <v>37973.74</v>
      </c>
      <c r="AA27" s="71">
        <v>32723.22</v>
      </c>
      <c r="AB27" s="71">
        <v>27949.71</v>
      </c>
      <c r="AC27" s="72">
        <f>+SUM(E27:AB27)*D27+SUM(E28:AB28)*D28+SUM(E29:AB29)*D29+SUM(E30:AB30)*D30</f>
        <v>21296893.5</v>
      </c>
    </row>
    <row r="28" spans="2:31" ht="18.600000000000001" customHeight="1" x14ac:dyDescent="0.2">
      <c r="B28" s="49" t="s">
        <v>37</v>
      </c>
      <c r="C28" s="4" t="s">
        <v>30</v>
      </c>
      <c r="D28" s="5">
        <v>4</v>
      </c>
      <c r="E28" s="71">
        <v>20612.02</v>
      </c>
      <c r="F28" s="71">
        <v>19074.240000000002</v>
      </c>
      <c r="G28" s="71">
        <v>18365.18</v>
      </c>
      <c r="H28" s="71">
        <v>17890.62</v>
      </c>
      <c r="I28" s="71">
        <v>18567.919999999998</v>
      </c>
      <c r="J28" s="71">
        <v>19492.05</v>
      </c>
      <c r="K28" s="71">
        <v>19642.349999999999</v>
      </c>
      <c r="L28" s="71">
        <v>30983.38</v>
      </c>
      <c r="M28" s="71">
        <v>31259.919999999998</v>
      </c>
      <c r="N28" s="71">
        <v>31845.38</v>
      </c>
      <c r="O28" s="71">
        <v>32498.6</v>
      </c>
      <c r="P28" s="71">
        <v>33903.379999999997</v>
      </c>
      <c r="Q28" s="71">
        <v>33863.019999999997</v>
      </c>
      <c r="R28" s="71">
        <v>33090.1</v>
      </c>
      <c r="S28" s="71">
        <v>33093.07</v>
      </c>
      <c r="T28" s="71">
        <v>33601.42</v>
      </c>
      <c r="U28" s="71">
        <v>35480.99</v>
      </c>
      <c r="V28" s="71">
        <v>34959.760000000002</v>
      </c>
      <c r="W28" s="71">
        <v>40417.85</v>
      </c>
      <c r="X28" s="71">
        <v>42437.89</v>
      </c>
      <c r="Y28" s="71">
        <v>40504.370000000003</v>
      </c>
      <c r="Z28" s="71">
        <v>37510.480000000003</v>
      </c>
      <c r="AA28" s="71">
        <v>33678.28</v>
      </c>
      <c r="AB28" s="71">
        <v>29347.360000000001</v>
      </c>
      <c r="AC28" s="73"/>
    </row>
    <row r="29" spans="2:31" ht="18.600000000000001" customHeight="1" x14ac:dyDescent="0.2">
      <c r="B29" s="49" t="s">
        <v>37</v>
      </c>
      <c r="C29" s="4" t="s">
        <v>31</v>
      </c>
      <c r="D29" s="5">
        <v>5</v>
      </c>
      <c r="E29" s="71">
        <v>21165.78</v>
      </c>
      <c r="F29" s="71">
        <v>19854.240000000002</v>
      </c>
      <c r="G29" s="71">
        <v>18633.04</v>
      </c>
      <c r="H29" s="71">
        <v>18051.830000000002</v>
      </c>
      <c r="I29" s="71">
        <v>17831.169999999998</v>
      </c>
      <c r="J29" s="71">
        <v>17273.580000000002</v>
      </c>
      <c r="K29" s="71">
        <v>15227.97</v>
      </c>
      <c r="L29" s="71">
        <v>24687.4</v>
      </c>
      <c r="M29" s="71">
        <v>25608.080000000002</v>
      </c>
      <c r="N29" s="71">
        <v>26632.68</v>
      </c>
      <c r="O29" s="71">
        <v>27398.02</v>
      </c>
      <c r="P29" s="71">
        <v>28889.26</v>
      </c>
      <c r="Q29" s="71">
        <v>29794.86</v>
      </c>
      <c r="R29" s="71">
        <v>29306.62</v>
      </c>
      <c r="S29" s="71">
        <v>28978.62</v>
      </c>
      <c r="T29" s="71">
        <v>29401.58</v>
      </c>
      <c r="U29" s="71">
        <v>31205.43</v>
      </c>
      <c r="V29" s="71">
        <v>31290.65</v>
      </c>
      <c r="W29" s="71">
        <v>36776.14</v>
      </c>
      <c r="X29" s="71">
        <v>38995.72</v>
      </c>
      <c r="Y29" s="71">
        <v>37903.1</v>
      </c>
      <c r="Z29" s="71">
        <v>35226.32</v>
      </c>
      <c r="AA29" s="71">
        <v>31395.41</v>
      </c>
      <c r="AB29" s="71">
        <v>27254.7</v>
      </c>
      <c r="AC29" s="73"/>
    </row>
    <row r="30" spans="2:31" ht="18.600000000000001" customHeight="1" x14ac:dyDescent="0.2">
      <c r="B30" s="49" t="s">
        <v>37</v>
      </c>
      <c r="C30" s="4" t="s">
        <v>32</v>
      </c>
      <c r="D30" s="5">
        <v>3</v>
      </c>
      <c r="E30" s="71">
        <v>20549.900000000001</v>
      </c>
      <c r="F30" s="71">
        <v>19082.25</v>
      </c>
      <c r="G30" s="71">
        <v>18179</v>
      </c>
      <c r="H30" s="71">
        <v>17576.04</v>
      </c>
      <c r="I30" s="71">
        <v>17820.96</v>
      </c>
      <c r="J30" s="71">
        <v>17586.61</v>
      </c>
      <c r="K30" s="71">
        <v>15514.68</v>
      </c>
      <c r="L30" s="71">
        <v>24392.83</v>
      </c>
      <c r="M30" s="71">
        <v>25112.13</v>
      </c>
      <c r="N30" s="71">
        <v>25909.23</v>
      </c>
      <c r="O30" s="71">
        <v>27960.19</v>
      </c>
      <c r="P30" s="71">
        <v>30295.84</v>
      </c>
      <c r="Q30" s="71">
        <v>31042.18</v>
      </c>
      <c r="R30" s="71">
        <v>29732.59</v>
      </c>
      <c r="S30" s="71">
        <v>29593.23</v>
      </c>
      <c r="T30" s="71">
        <v>29738.02</v>
      </c>
      <c r="U30" s="71">
        <v>31397.78</v>
      </c>
      <c r="V30" s="71">
        <v>33197.629999999997</v>
      </c>
      <c r="W30" s="71">
        <v>39523.620000000003</v>
      </c>
      <c r="X30" s="71">
        <v>41893.75</v>
      </c>
      <c r="Y30" s="71">
        <v>40041.08</v>
      </c>
      <c r="Z30" s="71">
        <v>36410.519999999997</v>
      </c>
      <c r="AA30" s="71">
        <v>31486.54</v>
      </c>
      <c r="AB30" s="71">
        <v>26778.04</v>
      </c>
      <c r="AC30" s="74"/>
    </row>
    <row r="31" spans="2:31" ht="18.600000000000001" customHeight="1" x14ac:dyDescent="0.2">
      <c r="B31" s="49" t="s">
        <v>38</v>
      </c>
      <c r="C31" s="4" t="s">
        <v>29</v>
      </c>
      <c r="D31" s="5">
        <v>23</v>
      </c>
      <c r="E31" s="71">
        <v>18344.37</v>
      </c>
      <c r="F31" s="71">
        <v>17075.97</v>
      </c>
      <c r="G31" s="71">
        <v>16585.310000000001</v>
      </c>
      <c r="H31" s="71">
        <v>16381.26</v>
      </c>
      <c r="I31" s="71">
        <v>17731.490000000002</v>
      </c>
      <c r="J31" s="71">
        <v>22216.9</v>
      </c>
      <c r="K31" s="71">
        <v>21929.02</v>
      </c>
      <c r="L31" s="71">
        <v>30517.53</v>
      </c>
      <c r="M31" s="71">
        <v>28658.65</v>
      </c>
      <c r="N31" s="71">
        <v>28781.5</v>
      </c>
      <c r="O31" s="71">
        <v>30104.15</v>
      </c>
      <c r="P31" s="71">
        <v>32251.62</v>
      </c>
      <c r="Q31" s="71">
        <v>31189.4</v>
      </c>
      <c r="R31" s="71">
        <v>31139.08</v>
      </c>
      <c r="S31" s="71">
        <v>32628.85</v>
      </c>
      <c r="T31" s="71">
        <v>33423.54</v>
      </c>
      <c r="U31" s="71">
        <v>35202.68</v>
      </c>
      <c r="V31" s="71">
        <v>34324.42</v>
      </c>
      <c r="W31" s="71">
        <v>39411.199999999997</v>
      </c>
      <c r="X31" s="71">
        <v>41881.79</v>
      </c>
      <c r="Y31" s="71">
        <v>40002.660000000003</v>
      </c>
      <c r="Z31" s="71">
        <v>36759.440000000002</v>
      </c>
      <c r="AA31" s="71">
        <v>31598.89</v>
      </c>
      <c r="AB31" s="71">
        <v>26567.119999999999</v>
      </c>
      <c r="AC31" s="72">
        <f>+SUM(E31:AB31)*D31+SUM(E32:AB32)*D32+SUM(E33:AB33)*D33+SUM(E34:AB34)*D34</f>
        <v>21324668.27</v>
      </c>
    </row>
    <row r="32" spans="2:31" ht="18.600000000000001" customHeight="1" x14ac:dyDescent="0.2">
      <c r="B32" s="49" t="s">
        <v>38</v>
      </c>
      <c r="C32" s="4" t="s">
        <v>30</v>
      </c>
      <c r="D32" s="5">
        <v>4</v>
      </c>
      <c r="E32" s="71">
        <v>17974.990000000002</v>
      </c>
      <c r="F32" s="71">
        <v>16809.91</v>
      </c>
      <c r="G32" s="71">
        <v>16007.67</v>
      </c>
      <c r="H32" s="71">
        <v>15967.15</v>
      </c>
      <c r="I32" s="71">
        <v>16338.08</v>
      </c>
      <c r="J32" s="71">
        <v>17365.29</v>
      </c>
      <c r="K32" s="71">
        <v>17272.419999999998</v>
      </c>
      <c r="L32" s="71">
        <v>28411.06</v>
      </c>
      <c r="M32" s="71">
        <v>28840.62</v>
      </c>
      <c r="N32" s="71">
        <v>29615.1</v>
      </c>
      <c r="O32" s="71">
        <v>30159.71</v>
      </c>
      <c r="P32" s="71">
        <v>31473.94</v>
      </c>
      <c r="Q32" s="71">
        <v>31278.38</v>
      </c>
      <c r="R32" s="71">
        <v>30595.73</v>
      </c>
      <c r="S32" s="71">
        <v>30423.39</v>
      </c>
      <c r="T32" s="71">
        <v>30819.05</v>
      </c>
      <c r="U32" s="71">
        <v>32927.54</v>
      </c>
      <c r="V32" s="71">
        <v>32796.36</v>
      </c>
      <c r="W32" s="71">
        <v>37944.480000000003</v>
      </c>
      <c r="X32" s="71">
        <v>40304.339999999997</v>
      </c>
      <c r="Y32" s="71">
        <v>38506.03</v>
      </c>
      <c r="Z32" s="71">
        <v>35929.24</v>
      </c>
      <c r="AA32" s="71">
        <v>31917.5</v>
      </c>
      <c r="AB32" s="71">
        <v>27804.52</v>
      </c>
      <c r="AC32" s="73"/>
    </row>
    <row r="33" spans="2:29" ht="18.600000000000001" customHeight="1" x14ac:dyDescent="0.2">
      <c r="B33" s="49" t="s">
        <v>38</v>
      </c>
      <c r="C33" s="4" t="s">
        <v>31</v>
      </c>
      <c r="D33" s="5">
        <v>3</v>
      </c>
      <c r="E33" s="71">
        <v>19675.39</v>
      </c>
      <c r="F33" s="71">
        <v>18353.38</v>
      </c>
      <c r="G33" s="71">
        <v>16998.7</v>
      </c>
      <c r="H33" s="71">
        <v>16525.54</v>
      </c>
      <c r="I33" s="71">
        <v>16313.49</v>
      </c>
      <c r="J33" s="71">
        <v>16027.54</v>
      </c>
      <c r="K33" s="71">
        <v>13743.31</v>
      </c>
      <c r="L33" s="71">
        <v>22999.38</v>
      </c>
      <c r="M33" s="71">
        <v>23651.89</v>
      </c>
      <c r="N33" s="71">
        <v>25029.18</v>
      </c>
      <c r="O33" s="71">
        <v>26150.54</v>
      </c>
      <c r="P33" s="71">
        <v>28024.75</v>
      </c>
      <c r="Q33" s="71">
        <v>28647.61</v>
      </c>
      <c r="R33" s="71">
        <v>28469.83</v>
      </c>
      <c r="S33" s="71">
        <v>28131.78</v>
      </c>
      <c r="T33" s="71">
        <v>28627.040000000001</v>
      </c>
      <c r="U33" s="71">
        <v>30564.32</v>
      </c>
      <c r="V33" s="71">
        <v>30776.66</v>
      </c>
      <c r="W33" s="71">
        <v>36078.379999999997</v>
      </c>
      <c r="X33" s="71">
        <v>38710.239999999998</v>
      </c>
      <c r="Y33" s="71">
        <v>37255.75</v>
      </c>
      <c r="Z33" s="71">
        <v>34659.589999999997</v>
      </c>
      <c r="AA33" s="71">
        <v>30995.02</v>
      </c>
      <c r="AB33" s="71">
        <v>26936.97</v>
      </c>
      <c r="AC33" s="73"/>
    </row>
    <row r="34" spans="2:29" ht="18.600000000000001" customHeight="1" x14ac:dyDescent="0.2">
      <c r="B34" s="49" t="s">
        <v>38</v>
      </c>
      <c r="C34" s="4" t="s">
        <v>32</v>
      </c>
      <c r="D34" s="5">
        <v>1</v>
      </c>
      <c r="E34" s="71">
        <v>23863.94</v>
      </c>
      <c r="F34" s="71">
        <v>21327.49</v>
      </c>
      <c r="G34" s="71">
        <v>19878.16</v>
      </c>
      <c r="H34" s="71">
        <v>19584.29</v>
      </c>
      <c r="I34" s="71">
        <v>19514.63</v>
      </c>
      <c r="J34" s="71">
        <v>20592.740000000002</v>
      </c>
      <c r="K34" s="71">
        <v>20355.689999999999</v>
      </c>
      <c r="L34" s="71">
        <v>25792.53</v>
      </c>
      <c r="M34" s="71">
        <v>27727.05</v>
      </c>
      <c r="N34" s="71">
        <v>30084.71</v>
      </c>
      <c r="O34" s="71">
        <v>33038.31</v>
      </c>
      <c r="P34" s="71">
        <v>35982.31</v>
      </c>
      <c r="Q34" s="71">
        <v>36629.22</v>
      </c>
      <c r="R34" s="71">
        <v>35636.07</v>
      </c>
      <c r="S34" s="71">
        <v>35017.58</v>
      </c>
      <c r="T34" s="71">
        <v>34996.620000000003</v>
      </c>
      <c r="U34" s="71">
        <v>36051.300000000003</v>
      </c>
      <c r="V34" s="71">
        <v>44288.639999999999</v>
      </c>
      <c r="W34" s="71">
        <v>50851.17</v>
      </c>
      <c r="X34" s="71">
        <v>55073.71</v>
      </c>
      <c r="Y34" s="71">
        <v>53028.77</v>
      </c>
      <c r="Z34" s="71">
        <v>48433.68</v>
      </c>
      <c r="AA34" s="71">
        <v>42321.71</v>
      </c>
      <c r="AB34" s="71">
        <v>36371.79</v>
      </c>
      <c r="AC34" s="74"/>
    </row>
    <row r="35" spans="2:29" ht="18.600000000000001" customHeight="1" x14ac:dyDescent="0.2">
      <c r="B35" s="49" t="s">
        <v>39</v>
      </c>
      <c r="C35" s="4" t="s">
        <v>29</v>
      </c>
      <c r="D35" s="5">
        <v>19</v>
      </c>
      <c r="E35" s="71">
        <v>18694.900000000001</v>
      </c>
      <c r="F35" s="71">
        <v>17615.91</v>
      </c>
      <c r="G35" s="71">
        <v>17123.29</v>
      </c>
      <c r="H35" s="71">
        <v>17055.98</v>
      </c>
      <c r="I35" s="71">
        <v>18685.96</v>
      </c>
      <c r="J35" s="71">
        <v>23911.8</v>
      </c>
      <c r="K35" s="71">
        <v>23776.720000000001</v>
      </c>
      <c r="L35" s="71">
        <v>31868.65</v>
      </c>
      <c r="M35" s="71">
        <v>29953.72</v>
      </c>
      <c r="N35" s="71">
        <v>29799.77</v>
      </c>
      <c r="O35" s="71">
        <v>31088.720000000001</v>
      </c>
      <c r="P35" s="71">
        <v>32765.18</v>
      </c>
      <c r="Q35" s="71">
        <v>31633.75</v>
      </c>
      <c r="R35" s="71">
        <v>31911.200000000001</v>
      </c>
      <c r="S35" s="71">
        <v>33377.18</v>
      </c>
      <c r="T35" s="71">
        <v>34135.629999999997</v>
      </c>
      <c r="U35" s="71">
        <v>36156.559999999998</v>
      </c>
      <c r="V35" s="71">
        <v>34401.9</v>
      </c>
      <c r="W35" s="71">
        <v>40210.74</v>
      </c>
      <c r="X35" s="71">
        <v>42312.88</v>
      </c>
      <c r="Y35" s="71">
        <v>40576.639999999999</v>
      </c>
      <c r="Z35" s="71">
        <v>37306.300000000003</v>
      </c>
      <c r="AA35" s="71">
        <v>31532.37</v>
      </c>
      <c r="AB35" s="71">
        <v>26980.06</v>
      </c>
      <c r="AC35" s="72">
        <f>+SUM(E35:AB35)*D35+SUM(E36:AB36)*D36+SUM(E37:AB37)*D37+SUM(E38:AB38)*D38</f>
        <v>21433378.880000003</v>
      </c>
    </row>
    <row r="36" spans="2:29" ht="18.600000000000001" customHeight="1" x14ac:dyDescent="0.2">
      <c r="B36" s="49" t="s">
        <v>39</v>
      </c>
      <c r="C36" s="4" t="s">
        <v>30</v>
      </c>
      <c r="D36" s="5">
        <v>5</v>
      </c>
      <c r="E36" s="71">
        <v>20274.669999999998</v>
      </c>
      <c r="F36" s="71">
        <v>18835.259999999998</v>
      </c>
      <c r="G36" s="71">
        <v>18113.650000000001</v>
      </c>
      <c r="H36" s="71">
        <v>17819.12</v>
      </c>
      <c r="I36" s="71">
        <v>18355.240000000002</v>
      </c>
      <c r="J36" s="71">
        <v>19581.740000000002</v>
      </c>
      <c r="K36" s="71">
        <v>18941.990000000002</v>
      </c>
      <c r="L36" s="71">
        <v>30177.49</v>
      </c>
      <c r="M36" s="71">
        <v>30346.799999999999</v>
      </c>
      <c r="N36" s="71">
        <v>31095.69</v>
      </c>
      <c r="O36" s="71">
        <v>31889.33</v>
      </c>
      <c r="P36" s="71">
        <v>33349.120000000003</v>
      </c>
      <c r="Q36" s="71">
        <v>32592.71</v>
      </c>
      <c r="R36" s="71">
        <v>31788.17</v>
      </c>
      <c r="S36" s="71">
        <v>31470.15</v>
      </c>
      <c r="T36" s="71">
        <v>31805.18</v>
      </c>
      <c r="U36" s="71">
        <v>34215.269999999997</v>
      </c>
      <c r="V36" s="71">
        <v>33022.120000000003</v>
      </c>
      <c r="W36" s="71">
        <v>39073.82</v>
      </c>
      <c r="X36" s="71">
        <v>40736.410000000003</v>
      </c>
      <c r="Y36" s="71">
        <v>38776.92</v>
      </c>
      <c r="Z36" s="71">
        <v>36064.19</v>
      </c>
      <c r="AA36" s="71">
        <v>31502.52</v>
      </c>
      <c r="AB36" s="71">
        <v>27829.31</v>
      </c>
      <c r="AC36" s="73"/>
    </row>
    <row r="37" spans="2:29" ht="18.600000000000001" customHeight="1" x14ac:dyDescent="0.2">
      <c r="B37" s="49" t="s">
        <v>39</v>
      </c>
      <c r="C37" s="4" t="s">
        <v>31</v>
      </c>
      <c r="D37" s="5">
        <v>5</v>
      </c>
      <c r="E37" s="71">
        <v>19849.53</v>
      </c>
      <c r="F37" s="71">
        <v>18653.349999999999</v>
      </c>
      <c r="G37" s="71">
        <v>17782.84</v>
      </c>
      <c r="H37" s="71">
        <v>17136.84</v>
      </c>
      <c r="I37" s="71">
        <v>16891.990000000002</v>
      </c>
      <c r="J37" s="71">
        <v>17016.8</v>
      </c>
      <c r="K37" s="71">
        <v>14054.85</v>
      </c>
      <c r="L37" s="71">
        <v>23125.94</v>
      </c>
      <c r="M37" s="71">
        <v>24034.2</v>
      </c>
      <c r="N37" s="71">
        <v>24937.24</v>
      </c>
      <c r="O37" s="71">
        <v>26125.119999999999</v>
      </c>
      <c r="P37" s="71">
        <v>27670.71</v>
      </c>
      <c r="Q37" s="71">
        <v>28118.36</v>
      </c>
      <c r="R37" s="71">
        <v>28495.01</v>
      </c>
      <c r="S37" s="71">
        <v>28199.83</v>
      </c>
      <c r="T37" s="71">
        <v>28438.62</v>
      </c>
      <c r="U37" s="71">
        <v>30639.77</v>
      </c>
      <c r="V37" s="71">
        <v>30092.34</v>
      </c>
      <c r="W37" s="71">
        <v>35864.120000000003</v>
      </c>
      <c r="X37" s="71">
        <v>38037.03</v>
      </c>
      <c r="Y37" s="71">
        <v>37042.699999999997</v>
      </c>
      <c r="Z37" s="71">
        <v>34395.01</v>
      </c>
      <c r="AA37" s="71">
        <v>29200.32</v>
      </c>
      <c r="AB37" s="71">
        <v>25556.74</v>
      </c>
      <c r="AC37" s="73"/>
    </row>
    <row r="38" spans="2:29" ht="18.600000000000001" customHeight="1" x14ac:dyDescent="0.2">
      <c r="B38" s="49" t="s">
        <v>39</v>
      </c>
      <c r="C38" s="4" t="s">
        <v>32</v>
      </c>
      <c r="D38" s="5">
        <v>2</v>
      </c>
      <c r="E38" s="71">
        <v>18687.13</v>
      </c>
      <c r="F38" s="71">
        <v>17732.75</v>
      </c>
      <c r="G38" s="71">
        <v>16773.830000000002</v>
      </c>
      <c r="H38" s="71">
        <v>16545.669999999998</v>
      </c>
      <c r="I38" s="71">
        <v>16700.13</v>
      </c>
      <c r="J38" s="71">
        <v>17021.060000000001</v>
      </c>
      <c r="K38" s="71">
        <v>14713.06</v>
      </c>
      <c r="L38" s="71">
        <v>24362.06</v>
      </c>
      <c r="M38" s="71">
        <v>24646.5</v>
      </c>
      <c r="N38" s="71">
        <v>26417.8</v>
      </c>
      <c r="O38" s="71">
        <v>28315.040000000001</v>
      </c>
      <c r="P38" s="71">
        <v>30929.83</v>
      </c>
      <c r="Q38" s="71">
        <v>31080.1</v>
      </c>
      <c r="R38" s="71">
        <v>30608.36</v>
      </c>
      <c r="S38" s="71">
        <v>30125.439999999999</v>
      </c>
      <c r="T38" s="71">
        <v>30371.68</v>
      </c>
      <c r="U38" s="71">
        <v>32178.99</v>
      </c>
      <c r="V38" s="71">
        <v>32310.33</v>
      </c>
      <c r="W38" s="71">
        <v>37716.769999999997</v>
      </c>
      <c r="X38" s="71">
        <v>40337.230000000003</v>
      </c>
      <c r="Y38" s="71">
        <v>38646.25</v>
      </c>
      <c r="Z38" s="71">
        <v>35111.279999999999</v>
      </c>
      <c r="AA38" s="71">
        <v>29858.25</v>
      </c>
      <c r="AB38" s="71">
        <v>25639.38</v>
      </c>
      <c r="AC38" s="74"/>
    </row>
    <row r="39" spans="2:29" ht="18.600000000000001" customHeight="1" x14ac:dyDescent="0.2">
      <c r="B39" s="49" t="s">
        <v>40</v>
      </c>
      <c r="C39" s="4" t="s">
        <v>29</v>
      </c>
      <c r="D39" s="5">
        <v>22</v>
      </c>
      <c r="E39" s="71">
        <v>20097.439999999999</v>
      </c>
      <c r="F39" s="71">
        <v>19038.439999999999</v>
      </c>
      <c r="G39" s="71">
        <v>18612.2</v>
      </c>
      <c r="H39" s="71">
        <v>18435.849999999999</v>
      </c>
      <c r="I39" s="71">
        <v>20034.72</v>
      </c>
      <c r="J39" s="71">
        <v>24995.48</v>
      </c>
      <c r="K39" s="71">
        <v>25102.3</v>
      </c>
      <c r="L39" s="71">
        <v>33655.440000000002</v>
      </c>
      <c r="M39" s="71">
        <v>31608.37</v>
      </c>
      <c r="N39" s="71">
        <v>31603.33</v>
      </c>
      <c r="O39" s="71">
        <v>32627.94</v>
      </c>
      <c r="P39" s="71">
        <v>34319.800000000003</v>
      </c>
      <c r="Q39" s="71">
        <v>33565.980000000003</v>
      </c>
      <c r="R39" s="71">
        <v>33981.82</v>
      </c>
      <c r="S39" s="71">
        <v>35507.919999999998</v>
      </c>
      <c r="T39" s="71">
        <v>36585.5</v>
      </c>
      <c r="U39" s="71">
        <v>38581.35</v>
      </c>
      <c r="V39" s="71">
        <v>36638.980000000003</v>
      </c>
      <c r="W39" s="71">
        <v>43183.8</v>
      </c>
      <c r="X39" s="71">
        <v>43999.199999999997</v>
      </c>
      <c r="Y39" s="71">
        <v>42013.279999999999</v>
      </c>
      <c r="Z39" s="71">
        <v>38247.22</v>
      </c>
      <c r="AA39" s="71">
        <v>32768.879999999997</v>
      </c>
      <c r="AB39" s="71">
        <v>28160.080000000002</v>
      </c>
      <c r="AC39" s="72">
        <f>+SUM(E39:AB39)*D39+SUM(E40:AB40)*D40+SUM(E41:AB41)*D41+SUM(E42:AB42)*D42</f>
        <v>22122625.039999999</v>
      </c>
    </row>
    <row r="40" spans="2:29" ht="18.600000000000001" customHeight="1" x14ac:dyDescent="0.2">
      <c r="B40" s="49" t="s">
        <v>40</v>
      </c>
      <c r="C40" s="4" t="s">
        <v>30</v>
      </c>
      <c r="D40" s="5">
        <v>4</v>
      </c>
      <c r="E40" s="71">
        <v>21878.92</v>
      </c>
      <c r="F40" s="71">
        <v>20051.13</v>
      </c>
      <c r="G40" s="71">
        <v>19328.37</v>
      </c>
      <c r="H40" s="71">
        <v>18917.28</v>
      </c>
      <c r="I40" s="71">
        <v>19564.2</v>
      </c>
      <c r="J40" s="71">
        <v>20623.41</v>
      </c>
      <c r="K40" s="71">
        <v>20451.169999999998</v>
      </c>
      <c r="L40" s="71">
        <v>31597.59</v>
      </c>
      <c r="M40" s="71">
        <v>32154.04</v>
      </c>
      <c r="N40" s="71">
        <v>32717.57</v>
      </c>
      <c r="O40" s="71">
        <v>33193.870000000003</v>
      </c>
      <c r="P40" s="71">
        <v>34043.24</v>
      </c>
      <c r="Q40" s="71">
        <v>33849.599999999999</v>
      </c>
      <c r="R40" s="71">
        <v>33165.699999999997</v>
      </c>
      <c r="S40" s="71">
        <v>33084.21</v>
      </c>
      <c r="T40" s="71">
        <v>33760.769999999997</v>
      </c>
      <c r="U40" s="71">
        <v>36281.86</v>
      </c>
      <c r="V40" s="71">
        <v>34988</v>
      </c>
      <c r="W40" s="71">
        <v>41130.6</v>
      </c>
      <c r="X40" s="71">
        <v>41164.47</v>
      </c>
      <c r="Y40" s="71">
        <v>39569.620000000003</v>
      </c>
      <c r="Z40" s="71">
        <v>36202.99</v>
      </c>
      <c r="AA40" s="71">
        <v>32267.86</v>
      </c>
      <c r="AB40" s="71">
        <v>28669.61</v>
      </c>
      <c r="AC40" s="73"/>
    </row>
    <row r="41" spans="2:29" ht="18.600000000000001" customHeight="1" x14ac:dyDescent="0.2">
      <c r="B41" s="49" t="s">
        <v>40</v>
      </c>
      <c r="C41" s="4" t="s">
        <v>31</v>
      </c>
      <c r="D41" s="5">
        <v>4</v>
      </c>
      <c r="E41" s="71">
        <v>21561.29</v>
      </c>
      <c r="F41" s="71">
        <v>20175.400000000001</v>
      </c>
      <c r="G41" s="71">
        <v>19323.64</v>
      </c>
      <c r="H41" s="71">
        <v>18632.66</v>
      </c>
      <c r="I41" s="71">
        <v>18219</v>
      </c>
      <c r="J41" s="71">
        <v>17775.18</v>
      </c>
      <c r="K41" s="71">
        <v>15501.21</v>
      </c>
      <c r="L41" s="71">
        <v>24905.91</v>
      </c>
      <c r="M41" s="71">
        <v>25981.42</v>
      </c>
      <c r="N41" s="71">
        <v>26796.51</v>
      </c>
      <c r="O41" s="71">
        <v>27642.81</v>
      </c>
      <c r="P41" s="71">
        <v>28807.03</v>
      </c>
      <c r="Q41" s="71">
        <v>29519.18</v>
      </c>
      <c r="R41" s="71">
        <v>29248.080000000002</v>
      </c>
      <c r="S41" s="71">
        <v>29579.79</v>
      </c>
      <c r="T41" s="71">
        <v>30388.48</v>
      </c>
      <c r="U41" s="71">
        <v>32500.76</v>
      </c>
      <c r="V41" s="71">
        <v>32313.64</v>
      </c>
      <c r="W41" s="71">
        <v>39077.83</v>
      </c>
      <c r="X41" s="71">
        <v>39975.53</v>
      </c>
      <c r="Y41" s="71">
        <v>38841.839999999997</v>
      </c>
      <c r="Z41" s="71">
        <v>35047.58</v>
      </c>
      <c r="AA41" s="71">
        <v>30316.36</v>
      </c>
      <c r="AB41" s="71">
        <v>26359.79</v>
      </c>
      <c r="AC41" s="73"/>
    </row>
    <row r="42" spans="2:29" ht="18.600000000000001" customHeight="1" x14ac:dyDescent="0.2">
      <c r="B42" s="49" t="s">
        <v>40</v>
      </c>
      <c r="C42" s="4" t="s">
        <v>32</v>
      </c>
      <c r="D42" s="5">
        <v>0</v>
      </c>
      <c r="E42" s="71">
        <v>0</v>
      </c>
      <c r="F42" s="71">
        <v>0</v>
      </c>
      <c r="G42" s="71">
        <v>0</v>
      </c>
      <c r="H42" s="71">
        <v>0</v>
      </c>
      <c r="I42" s="71">
        <v>0</v>
      </c>
      <c r="J42" s="71">
        <v>0</v>
      </c>
      <c r="K42" s="71">
        <v>0</v>
      </c>
      <c r="L42" s="71">
        <v>0</v>
      </c>
      <c r="M42" s="71">
        <v>0</v>
      </c>
      <c r="N42" s="71">
        <v>0</v>
      </c>
      <c r="O42" s="71">
        <v>0</v>
      </c>
      <c r="P42" s="71">
        <v>0</v>
      </c>
      <c r="Q42" s="71">
        <v>0</v>
      </c>
      <c r="R42" s="71">
        <v>0</v>
      </c>
      <c r="S42" s="71">
        <v>0</v>
      </c>
      <c r="T42" s="71">
        <v>0</v>
      </c>
      <c r="U42" s="71">
        <v>0</v>
      </c>
      <c r="V42" s="71">
        <v>0</v>
      </c>
      <c r="W42" s="71">
        <v>0</v>
      </c>
      <c r="X42" s="71">
        <v>0</v>
      </c>
      <c r="Y42" s="71">
        <v>0</v>
      </c>
      <c r="Z42" s="71">
        <v>0</v>
      </c>
      <c r="AA42" s="71">
        <v>0</v>
      </c>
      <c r="AB42" s="71">
        <v>0</v>
      </c>
      <c r="AC42" s="74"/>
    </row>
    <row r="43" spans="2:29" ht="18.600000000000001" customHeight="1" x14ac:dyDescent="0.2">
      <c r="B43" s="49" t="s">
        <v>41</v>
      </c>
      <c r="C43" s="4" t="s">
        <v>29</v>
      </c>
      <c r="D43" s="5">
        <v>22</v>
      </c>
      <c r="E43" s="71">
        <v>18717.8</v>
      </c>
      <c r="F43" s="71">
        <v>17625.240000000002</v>
      </c>
      <c r="G43" s="71">
        <v>17187.12</v>
      </c>
      <c r="H43" s="71">
        <v>17206.12</v>
      </c>
      <c r="I43" s="71">
        <v>18947.88</v>
      </c>
      <c r="J43" s="71">
        <v>23414.1</v>
      </c>
      <c r="K43" s="71">
        <v>23541.09</v>
      </c>
      <c r="L43" s="71">
        <v>32356.27</v>
      </c>
      <c r="M43" s="71">
        <v>29934.07</v>
      </c>
      <c r="N43" s="71">
        <v>29928.6</v>
      </c>
      <c r="O43" s="71">
        <v>30628.5</v>
      </c>
      <c r="P43" s="71">
        <v>32077.11</v>
      </c>
      <c r="Q43" s="71">
        <v>31501</v>
      </c>
      <c r="R43" s="71">
        <v>31706.400000000001</v>
      </c>
      <c r="S43" s="71">
        <v>33364.639999999999</v>
      </c>
      <c r="T43" s="71">
        <v>34429.64</v>
      </c>
      <c r="U43" s="71">
        <v>36858.559999999998</v>
      </c>
      <c r="V43" s="71">
        <v>36231.129999999997</v>
      </c>
      <c r="W43" s="71">
        <v>42464.87</v>
      </c>
      <c r="X43" s="71">
        <v>42081.93</v>
      </c>
      <c r="Y43" s="71">
        <v>39500.769999999997</v>
      </c>
      <c r="Z43" s="71">
        <v>36107.42</v>
      </c>
      <c r="AA43" s="71">
        <v>30834.36</v>
      </c>
      <c r="AB43" s="71">
        <v>26508.76</v>
      </c>
      <c r="AC43" s="72">
        <f>+SUM(E43:AB43)*D43+SUM(E44:AB44)*D44+SUM(E45:AB45)*D45+SUM(E46:AB46)*D46</f>
        <v>21708117.110000003</v>
      </c>
    </row>
    <row r="44" spans="2:29" ht="18.600000000000001" customHeight="1" x14ac:dyDescent="0.2">
      <c r="B44" s="49" t="s">
        <v>41</v>
      </c>
      <c r="C44" s="4" t="s">
        <v>30</v>
      </c>
      <c r="D44" s="5">
        <v>4</v>
      </c>
      <c r="E44" s="71">
        <v>20303.150000000001</v>
      </c>
      <c r="F44" s="71">
        <v>18891.27</v>
      </c>
      <c r="G44" s="71">
        <v>18068.84</v>
      </c>
      <c r="H44" s="71">
        <v>17880.03</v>
      </c>
      <c r="I44" s="71">
        <v>18517.98</v>
      </c>
      <c r="J44" s="71">
        <v>19491.419999999998</v>
      </c>
      <c r="K44" s="71">
        <v>18736.52</v>
      </c>
      <c r="L44" s="71">
        <v>30593.01</v>
      </c>
      <c r="M44" s="71">
        <v>30139.46</v>
      </c>
      <c r="N44" s="71">
        <v>31028.9</v>
      </c>
      <c r="O44" s="71">
        <v>31225.26</v>
      </c>
      <c r="P44" s="71">
        <v>32313.83</v>
      </c>
      <c r="Q44" s="71">
        <v>32276.7</v>
      </c>
      <c r="R44" s="71">
        <v>31588.18</v>
      </c>
      <c r="S44" s="71">
        <v>31892.79</v>
      </c>
      <c r="T44" s="71">
        <v>32578.720000000001</v>
      </c>
      <c r="U44" s="71">
        <v>34916.120000000003</v>
      </c>
      <c r="V44" s="71">
        <v>34139.93</v>
      </c>
      <c r="W44" s="71">
        <v>41596.94</v>
      </c>
      <c r="X44" s="71">
        <v>41142.269999999997</v>
      </c>
      <c r="Y44" s="71">
        <v>39304.46</v>
      </c>
      <c r="Z44" s="71">
        <v>36581.89</v>
      </c>
      <c r="AA44" s="71">
        <v>32343.89</v>
      </c>
      <c r="AB44" s="71">
        <v>28683.84</v>
      </c>
      <c r="AC44" s="73"/>
    </row>
    <row r="45" spans="2:29" ht="18.600000000000001" customHeight="1" x14ac:dyDescent="0.2">
      <c r="B45" s="49" t="s">
        <v>41</v>
      </c>
      <c r="C45" s="4" t="s">
        <v>31</v>
      </c>
      <c r="D45" s="5">
        <v>4</v>
      </c>
      <c r="E45" s="71">
        <v>21113.1</v>
      </c>
      <c r="F45" s="71">
        <v>19811.82</v>
      </c>
      <c r="G45" s="71">
        <v>18678.98</v>
      </c>
      <c r="H45" s="71">
        <v>17959.439999999999</v>
      </c>
      <c r="I45" s="71">
        <v>17839.22</v>
      </c>
      <c r="J45" s="71">
        <v>17277.23</v>
      </c>
      <c r="K45" s="71">
        <v>14817.28</v>
      </c>
      <c r="L45" s="71">
        <v>24226</v>
      </c>
      <c r="M45" s="71">
        <v>25037.200000000001</v>
      </c>
      <c r="N45" s="71">
        <v>26761.54</v>
      </c>
      <c r="O45" s="71">
        <v>26656.11</v>
      </c>
      <c r="P45" s="71">
        <v>27868.54</v>
      </c>
      <c r="Q45" s="71">
        <v>28520.9</v>
      </c>
      <c r="R45" s="71">
        <v>28120.639999999999</v>
      </c>
      <c r="S45" s="71">
        <v>28752.58</v>
      </c>
      <c r="T45" s="71">
        <v>29452.65</v>
      </c>
      <c r="U45" s="71">
        <v>31031.74</v>
      </c>
      <c r="V45" s="71">
        <v>31496.6</v>
      </c>
      <c r="W45" s="71">
        <v>37980.81</v>
      </c>
      <c r="X45" s="71">
        <v>38695.360000000001</v>
      </c>
      <c r="Y45" s="71">
        <v>37000.160000000003</v>
      </c>
      <c r="Z45" s="71">
        <v>33615.99</v>
      </c>
      <c r="AA45" s="71">
        <v>29246.98</v>
      </c>
      <c r="AB45" s="71">
        <v>25104.09</v>
      </c>
      <c r="AC45" s="73"/>
    </row>
    <row r="46" spans="2:29" ht="18.600000000000001" customHeight="1" x14ac:dyDescent="0.2">
      <c r="B46" s="49" t="s">
        <v>41</v>
      </c>
      <c r="C46" s="4" t="s">
        <v>32</v>
      </c>
      <c r="D46" s="5">
        <v>1</v>
      </c>
      <c r="E46" s="71">
        <v>19305.38</v>
      </c>
      <c r="F46" s="71">
        <v>18358.86</v>
      </c>
      <c r="G46" s="71">
        <v>17352.060000000001</v>
      </c>
      <c r="H46" s="71">
        <v>16994.060000000001</v>
      </c>
      <c r="I46" s="71">
        <v>17340.759999999998</v>
      </c>
      <c r="J46" s="71">
        <v>17362.98</v>
      </c>
      <c r="K46" s="71">
        <v>14253.04</v>
      </c>
      <c r="L46" s="71">
        <v>24236.79</v>
      </c>
      <c r="M46" s="71">
        <v>24114.3</v>
      </c>
      <c r="N46" s="71">
        <v>26164.61</v>
      </c>
      <c r="O46" s="71">
        <v>27189.98</v>
      </c>
      <c r="P46" s="71">
        <v>29830.43</v>
      </c>
      <c r="Q46" s="71">
        <v>30586.1</v>
      </c>
      <c r="R46" s="71">
        <v>30420.98</v>
      </c>
      <c r="S46" s="71">
        <v>30198.71</v>
      </c>
      <c r="T46" s="71">
        <v>30296.11</v>
      </c>
      <c r="U46" s="71">
        <v>31868.99</v>
      </c>
      <c r="V46" s="71">
        <v>34127.800000000003</v>
      </c>
      <c r="W46" s="71">
        <v>41272.379999999997</v>
      </c>
      <c r="X46" s="71">
        <v>40999.07</v>
      </c>
      <c r="Y46" s="71">
        <v>39014.480000000003</v>
      </c>
      <c r="Z46" s="71">
        <v>35443.550000000003</v>
      </c>
      <c r="AA46" s="71">
        <v>30484.11</v>
      </c>
      <c r="AB46" s="71">
        <v>26325.78</v>
      </c>
      <c r="AC46" s="74"/>
    </row>
    <row r="47" spans="2:29" ht="18.600000000000001" customHeight="1" x14ac:dyDescent="0.2">
      <c r="B47" s="49" t="s">
        <v>42</v>
      </c>
      <c r="C47" s="4" t="s">
        <v>29</v>
      </c>
      <c r="D47" s="5">
        <v>18</v>
      </c>
      <c r="E47" s="71">
        <v>19875.84</v>
      </c>
      <c r="F47" s="71">
        <v>18796.419999999998</v>
      </c>
      <c r="G47" s="71">
        <v>18423.04</v>
      </c>
      <c r="H47" s="71">
        <v>18325.11</v>
      </c>
      <c r="I47" s="71">
        <v>20152.740000000002</v>
      </c>
      <c r="J47" s="71">
        <v>24785.27</v>
      </c>
      <c r="K47" s="71">
        <v>25536.62</v>
      </c>
      <c r="L47" s="71">
        <v>34945.839999999997</v>
      </c>
      <c r="M47" s="71">
        <v>32473.98</v>
      </c>
      <c r="N47" s="71">
        <v>32515.77</v>
      </c>
      <c r="O47" s="71">
        <v>33174.1</v>
      </c>
      <c r="P47" s="71">
        <v>34830.22</v>
      </c>
      <c r="Q47" s="71">
        <v>34167.370000000003</v>
      </c>
      <c r="R47" s="71">
        <v>33995.620000000003</v>
      </c>
      <c r="S47" s="71">
        <v>35632.68</v>
      </c>
      <c r="T47" s="71">
        <v>36560.28</v>
      </c>
      <c r="U47" s="71">
        <v>38936.67</v>
      </c>
      <c r="V47" s="71">
        <v>38210.57</v>
      </c>
      <c r="W47" s="71">
        <v>45026.8</v>
      </c>
      <c r="X47" s="71">
        <v>44688.99</v>
      </c>
      <c r="Y47" s="71">
        <v>41769.64</v>
      </c>
      <c r="Z47" s="71">
        <v>37884.58</v>
      </c>
      <c r="AA47" s="71">
        <v>32525.82</v>
      </c>
      <c r="AB47" s="71">
        <v>27835.21</v>
      </c>
      <c r="AC47" s="72">
        <f>+SUM(E47:AB47)*D47+SUM(E48:AB48)*D48+SUM(E49:AB49)*D49+SUM(E50:AB50)*D50</f>
        <v>22105418.419999998</v>
      </c>
    </row>
    <row r="48" spans="2:29" ht="18.600000000000001" customHeight="1" x14ac:dyDescent="0.2">
      <c r="B48" s="49" t="s">
        <v>42</v>
      </c>
      <c r="C48" s="4" t="s">
        <v>30</v>
      </c>
      <c r="D48" s="5">
        <v>5</v>
      </c>
      <c r="E48" s="71">
        <v>21073.5</v>
      </c>
      <c r="F48" s="71">
        <v>19531.66</v>
      </c>
      <c r="G48" s="71">
        <v>18989.419999999998</v>
      </c>
      <c r="H48" s="71">
        <v>18588</v>
      </c>
      <c r="I48" s="71">
        <v>19593.34</v>
      </c>
      <c r="J48" s="71">
        <v>20618.64</v>
      </c>
      <c r="K48" s="71">
        <v>20834.349999999999</v>
      </c>
      <c r="L48" s="71">
        <v>32907.9</v>
      </c>
      <c r="M48" s="71">
        <v>32901.15</v>
      </c>
      <c r="N48" s="71">
        <v>33411.949999999997</v>
      </c>
      <c r="O48" s="71">
        <v>33599.47</v>
      </c>
      <c r="P48" s="71">
        <v>34181.839999999997</v>
      </c>
      <c r="Q48" s="71">
        <v>33960.01</v>
      </c>
      <c r="R48" s="71">
        <v>33584.74</v>
      </c>
      <c r="S48" s="71">
        <v>33767.57</v>
      </c>
      <c r="T48" s="71">
        <v>34625.360000000001</v>
      </c>
      <c r="U48" s="71">
        <v>36479.360000000001</v>
      </c>
      <c r="V48" s="71">
        <v>36046.980000000003</v>
      </c>
      <c r="W48" s="71">
        <v>42819.78</v>
      </c>
      <c r="X48" s="71">
        <v>42678.89</v>
      </c>
      <c r="Y48" s="71">
        <v>40105.050000000003</v>
      </c>
      <c r="Z48" s="71">
        <v>37122.81</v>
      </c>
      <c r="AA48" s="71">
        <v>33305.99</v>
      </c>
      <c r="AB48" s="71">
        <v>29118.61</v>
      </c>
      <c r="AC48" s="73"/>
    </row>
    <row r="49" spans="2:29" ht="18.600000000000001" customHeight="1" x14ac:dyDescent="0.2">
      <c r="B49" s="49" t="s">
        <v>42</v>
      </c>
      <c r="C49" s="4" t="s">
        <v>31</v>
      </c>
      <c r="D49" s="5">
        <v>5</v>
      </c>
      <c r="E49" s="71">
        <v>21476.720000000001</v>
      </c>
      <c r="F49" s="71">
        <v>20079.62</v>
      </c>
      <c r="G49" s="71">
        <v>18889.86</v>
      </c>
      <c r="H49" s="71">
        <v>18424.5</v>
      </c>
      <c r="I49" s="71">
        <v>18497.150000000001</v>
      </c>
      <c r="J49" s="71">
        <v>17977.990000000002</v>
      </c>
      <c r="K49" s="71">
        <v>15721.14</v>
      </c>
      <c r="L49" s="71">
        <v>25438.78</v>
      </c>
      <c r="M49" s="71">
        <v>26278.63</v>
      </c>
      <c r="N49" s="71">
        <v>27358.53</v>
      </c>
      <c r="O49" s="71">
        <v>27872.53</v>
      </c>
      <c r="P49" s="71">
        <v>30039.8</v>
      </c>
      <c r="Q49" s="71">
        <v>30686.93</v>
      </c>
      <c r="R49" s="71">
        <v>31024.63</v>
      </c>
      <c r="S49" s="71">
        <v>31054.94</v>
      </c>
      <c r="T49" s="71">
        <v>31570.12</v>
      </c>
      <c r="U49" s="71">
        <v>33890.160000000003</v>
      </c>
      <c r="V49" s="71">
        <v>33874.82</v>
      </c>
      <c r="W49" s="71">
        <v>40176.68</v>
      </c>
      <c r="X49" s="71">
        <v>40374.99</v>
      </c>
      <c r="Y49" s="71">
        <v>38594.35</v>
      </c>
      <c r="Z49" s="71">
        <v>35626.26</v>
      </c>
      <c r="AA49" s="71">
        <v>31418.35</v>
      </c>
      <c r="AB49" s="71">
        <v>26980.09</v>
      </c>
      <c r="AC49" s="73"/>
    </row>
    <row r="50" spans="2:29" ht="18.600000000000001" customHeight="1" x14ac:dyDescent="0.2">
      <c r="B50" s="49" t="s">
        <v>42</v>
      </c>
      <c r="C50" s="4" t="s">
        <v>32</v>
      </c>
      <c r="D50" s="5">
        <v>2</v>
      </c>
      <c r="E50" s="71">
        <v>20129.68</v>
      </c>
      <c r="F50" s="71">
        <v>18825.86</v>
      </c>
      <c r="G50" s="71">
        <v>18307.57</v>
      </c>
      <c r="H50" s="71">
        <v>17795.88</v>
      </c>
      <c r="I50" s="71">
        <v>18050.68</v>
      </c>
      <c r="J50" s="71">
        <v>18388.900000000001</v>
      </c>
      <c r="K50" s="71">
        <v>15648.3</v>
      </c>
      <c r="L50" s="71">
        <v>25254.2</v>
      </c>
      <c r="M50" s="71">
        <v>25668.2</v>
      </c>
      <c r="N50" s="71">
        <v>27339.62</v>
      </c>
      <c r="O50" s="71">
        <v>28724.22</v>
      </c>
      <c r="P50" s="71">
        <v>30727.9</v>
      </c>
      <c r="Q50" s="71">
        <v>31481.03</v>
      </c>
      <c r="R50" s="71">
        <v>31493.86</v>
      </c>
      <c r="S50" s="71">
        <v>31139.14</v>
      </c>
      <c r="T50" s="71">
        <v>31359.03</v>
      </c>
      <c r="U50" s="71">
        <v>32994.379999999997</v>
      </c>
      <c r="V50" s="71">
        <v>34376.79</v>
      </c>
      <c r="W50" s="71">
        <v>41328.07</v>
      </c>
      <c r="X50" s="71">
        <v>41350.99</v>
      </c>
      <c r="Y50" s="71">
        <v>39041.370000000003</v>
      </c>
      <c r="Z50" s="71">
        <v>34850.720000000001</v>
      </c>
      <c r="AA50" s="71">
        <v>30196.13</v>
      </c>
      <c r="AB50" s="71">
        <v>25679.22</v>
      </c>
      <c r="AC50" s="74"/>
    </row>
    <row r="51" spans="2:29" ht="18.600000000000001" customHeight="1" x14ac:dyDescent="0.2">
      <c r="B51" s="49" t="s">
        <v>43</v>
      </c>
      <c r="C51" s="4" t="s">
        <v>29</v>
      </c>
      <c r="D51" s="5">
        <v>21</v>
      </c>
      <c r="E51" s="71">
        <v>19307.89</v>
      </c>
      <c r="F51" s="71">
        <v>17949.79</v>
      </c>
      <c r="G51" s="71">
        <v>17412.12</v>
      </c>
      <c r="H51" s="71">
        <v>17250.72</v>
      </c>
      <c r="I51" s="71">
        <v>18344.919999999998</v>
      </c>
      <c r="J51" s="71">
        <v>20595.240000000002</v>
      </c>
      <c r="K51" s="71">
        <v>20297.37</v>
      </c>
      <c r="L51" s="71">
        <v>31056.95</v>
      </c>
      <c r="M51" s="71">
        <v>30035.54</v>
      </c>
      <c r="N51" s="71">
        <v>30366.44</v>
      </c>
      <c r="O51" s="71">
        <v>31207.63</v>
      </c>
      <c r="P51" s="71">
        <v>32905.61</v>
      </c>
      <c r="Q51" s="71">
        <v>32508.7</v>
      </c>
      <c r="R51" s="71">
        <v>32399.42</v>
      </c>
      <c r="S51" s="71">
        <v>33374.99</v>
      </c>
      <c r="T51" s="71">
        <v>34249.26</v>
      </c>
      <c r="U51" s="71">
        <v>36356.660000000003</v>
      </c>
      <c r="V51" s="71">
        <v>35859.050000000003</v>
      </c>
      <c r="W51" s="71">
        <v>42517.08</v>
      </c>
      <c r="X51" s="71">
        <v>42332.6</v>
      </c>
      <c r="Y51" s="71">
        <v>40171.54</v>
      </c>
      <c r="Z51" s="71">
        <v>36866.410000000003</v>
      </c>
      <c r="AA51" s="71">
        <v>32286.7</v>
      </c>
      <c r="AB51" s="71">
        <v>27790.91</v>
      </c>
      <c r="AC51" s="72">
        <f>+SUM(E51:AB51)*D51+SUM(E52:AB52)*D52+SUM(E53:AB53)*D53+SUM(E54:AB54)*D54</f>
        <v>21482701.52</v>
      </c>
    </row>
    <row r="52" spans="2:29" ht="18.600000000000001" customHeight="1" x14ac:dyDescent="0.2">
      <c r="B52" s="49" t="s">
        <v>43</v>
      </c>
      <c r="C52" s="4" t="s">
        <v>30</v>
      </c>
      <c r="D52" s="5">
        <v>4</v>
      </c>
      <c r="E52" s="71">
        <v>20641.14</v>
      </c>
      <c r="F52" s="71">
        <v>18878.5</v>
      </c>
      <c r="G52" s="71">
        <v>18089.13</v>
      </c>
      <c r="H52" s="71">
        <v>17783.150000000001</v>
      </c>
      <c r="I52" s="71">
        <v>18271.7</v>
      </c>
      <c r="J52" s="71">
        <v>19576.740000000002</v>
      </c>
      <c r="K52" s="71">
        <v>18582.22</v>
      </c>
      <c r="L52" s="71">
        <v>30061.200000000001</v>
      </c>
      <c r="M52" s="71">
        <v>30052.45</v>
      </c>
      <c r="N52" s="71">
        <v>30584.7</v>
      </c>
      <c r="O52" s="71">
        <v>30855.05</v>
      </c>
      <c r="P52" s="71">
        <v>31626.7</v>
      </c>
      <c r="Q52" s="71">
        <v>31866.66</v>
      </c>
      <c r="R52" s="71">
        <v>31158.36</v>
      </c>
      <c r="S52" s="71">
        <v>30912.74</v>
      </c>
      <c r="T52" s="71">
        <v>31757.94</v>
      </c>
      <c r="U52" s="71">
        <v>33988.589999999997</v>
      </c>
      <c r="V52" s="71">
        <v>33784.81</v>
      </c>
      <c r="W52" s="71">
        <v>40350.720000000001</v>
      </c>
      <c r="X52" s="71">
        <v>40003.68</v>
      </c>
      <c r="Y52" s="71">
        <v>37958.07</v>
      </c>
      <c r="Z52" s="71">
        <v>34986.22</v>
      </c>
      <c r="AA52" s="71">
        <v>31631.33</v>
      </c>
      <c r="AB52" s="71">
        <v>28184.79</v>
      </c>
      <c r="AC52" s="73"/>
    </row>
    <row r="53" spans="2:29" ht="18.600000000000001" customHeight="1" x14ac:dyDescent="0.2">
      <c r="B53" s="49" t="s">
        <v>43</v>
      </c>
      <c r="C53" s="4" t="s">
        <v>31</v>
      </c>
      <c r="D53" s="5">
        <v>4</v>
      </c>
      <c r="E53" s="71">
        <v>20827.09</v>
      </c>
      <c r="F53" s="71">
        <v>19155.7</v>
      </c>
      <c r="G53" s="71">
        <v>18066.36</v>
      </c>
      <c r="H53" s="71">
        <v>17545.66</v>
      </c>
      <c r="I53" s="71">
        <v>17207.900000000001</v>
      </c>
      <c r="J53" s="71">
        <v>17076.8</v>
      </c>
      <c r="K53" s="71">
        <v>14692.81</v>
      </c>
      <c r="L53" s="71">
        <v>23761.27</v>
      </c>
      <c r="M53" s="71">
        <v>24531.34</v>
      </c>
      <c r="N53" s="71">
        <v>25583.62</v>
      </c>
      <c r="O53" s="71">
        <v>26159.55</v>
      </c>
      <c r="P53" s="71">
        <v>27234.84</v>
      </c>
      <c r="Q53" s="71">
        <v>28204.080000000002</v>
      </c>
      <c r="R53" s="71">
        <v>28198.9</v>
      </c>
      <c r="S53" s="71">
        <v>28469.51</v>
      </c>
      <c r="T53" s="71">
        <v>28889.119999999999</v>
      </c>
      <c r="U53" s="71">
        <v>30566.65</v>
      </c>
      <c r="V53" s="71">
        <v>31010.16</v>
      </c>
      <c r="W53" s="71">
        <v>38163.480000000003</v>
      </c>
      <c r="X53" s="71">
        <v>38985.67</v>
      </c>
      <c r="Y53" s="71">
        <v>37845.94</v>
      </c>
      <c r="Z53" s="71">
        <v>35219.06</v>
      </c>
      <c r="AA53" s="71">
        <v>30997.14</v>
      </c>
      <c r="AB53" s="71">
        <v>26533.01</v>
      </c>
      <c r="AC53" s="73"/>
    </row>
    <row r="54" spans="2:29" ht="18.600000000000001" customHeight="1" x14ac:dyDescent="0.2">
      <c r="B54" s="49" t="s">
        <v>43</v>
      </c>
      <c r="C54" s="4" t="s">
        <v>32</v>
      </c>
      <c r="D54" s="5">
        <v>2</v>
      </c>
      <c r="E54" s="71">
        <v>21471.57</v>
      </c>
      <c r="F54" s="71">
        <v>20350.22</v>
      </c>
      <c r="G54" s="71">
        <v>19111.48</v>
      </c>
      <c r="H54" s="71">
        <v>17940.68</v>
      </c>
      <c r="I54" s="71">
        <v>17202.78</v>
      </c>
      <c r="J54" s="71">
        <v>16470.3</v>
      </c>
      <c r="K54" s="71">
        <v>12722.61</v>
      </c>
      <c r="L54" s="71">
        <v>21193.64</v>
      </c>
      <c r="M54" s="71">
        <v>20988.04</v>
      </c>
      <c r="N54" s="71">
        <v>21647.39</v>
      </c>
      <c r="O54" s="71">
        <v>22517.48</v>
      </c>
      <c r="P54" s="71">
        <v>24155.94</v>
      </c>
      <c r="Q54" s="71">
        <v>25558.15</v>
      </c>
      <c r="R54" s="71">
        <v>26158.74</v>
      </c>
      <c r="S54" s="71">
        <v>26225.38</v>
      </c>
      <c r="T54" s="71">
        <v>26944.11</v>
      </c>
      <c r="U54" s="71">
        <v>29452.07</v>
      </c>
      <c r="V54" s="71">
        <v>29665.58</v>
      </c>
      <c r="W54" s="71">
        <v>36751.46</v>
      </c>
      <c r="X54" s="71">
        <v>37238.39</v>
      </c>
      <c r="Y54" s="71">
        <v>35844.730000000003</v>
      </c>
      <c r="Z54" s="71">
        <v>33180.39</v>
      </c>
      <c r="AA54" s="71">
        <v>29063.38</v>
      </c>
      <c r="AB54" s="71">
        <v>25314.58</v>
      </c>
      <c r="AC54" s="74"/>
    </row>
    <row r="55" spans="2:29" ht="18.600000000000001" customHeight="1" x14ac:dyDescent="0.2"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6" t="s">
        <v>46</v>
      </c>
      <c r="AA55" s="76"/>
      <c r="AB55" s="76"/>
      <c r="AC55" s="77">
        <f>SUM(AC7:AC54)</f>
        <v>258686156.81999999</v>
      </c>
    </row>
    <row r="56" spans="2:29" x14ac:dyDescent="0.2">
      <c r="AC56" s="48"/>
    </row>
    <row r="62" spans="2:29" x14ac:dyDescent="0.2">
      <c r="E62" s="10">
        <v>1000</v>
      </c>
    </row>
  </sheetData>
  <mergeCells count="28">
    <mergeCell ref="B11:B14"/>
    <mergeCell ref="AC11:AC14"/>
    <mergeCell ref="B2:AC2"/>
    <mergeCell ref="B3:AC3"/>
    <mergeCell ref="B4:AC4"/>
    <mergeCell ref="B7:B10"/>
    <mergeCell ref="AC7:AC10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BE43-3DC1-4227-9711-CE3D718D8F78}">
  <dimension ref="B1:AE59"/>
  <sheetViews>
    <sheetView showGridLines="0" topLeftCell="A15" zoomScale="70" zoomScaleNormal="70" workbookViewId="0">
      <selection activeCell="A2" sqref="A2:AD56"/>
    </sheetView>
  </sheetViews>
  <sheetFormatPr baseColWidth="10" defaultColWidth="11.42578125" defaultRowHeight="12" x14ac:dyDescent="0.2"/>
  <cols>
    <col min="1" max="1" width="8" style="10" customWidth="1"/>
    <col min="2" max="2" width="6.28515625" style="10" bestFit="1" customWidth="1"/>
    <col min="3" max="3" width="10.140625" style="10" bestFit="1" customWidth="1"/>
    <col min="4" max="4" width="4.42578125" style="10" bestFit="1" customWidth="1"/>
    <col min="5" max="6" width="10.140625" style="10" bestFit="1" customWidth="1"/>
    <col min="7" max="8" width="9.7109375" style="10" bestFit="1" customWidth="1"/>
    <col min="9" max="28" width="10.140625" style="10" bestFit="1" customWidth="1"/>
    <col min="29" max="29" width="16.42578125" style="10" bestFit="1" customWidth="1"/>
    <col min="30" max="30" width="8" style="10" customWidth="1"/>
    <col min="31" max="257" width="11.42578125" style="10"/>
    <col min="258" max="258" width="7" style="10" customWidth="1"/>
    <col min="259" max="259" width="10.7109375" style="10" customWidth="1"/>
    <col min="260" max="260" width="9.28515625" style="10" customWidth="1"/>
    <col min="261" max="284" width="7.28515625" style="10" customWidth="1"/>
    <col min="285" max="285" width="11.28515625" style="10" bestFit="1" customWidth="1"/>
    <col min="286" max="513" width="11.42578125" style="10"/>
    <col min="514" max="514" width="7" style="10" customWidth="1"/>
    <col min="515" max="515" width="10.7109375" style="10" customWidth="1"/>
    <col min="516" max="516" width="9.28515625" style="10" customWidth="1"/>
    <col min="517" max="540" width="7.28515625" style="10" customWidth="1"/>
    <col min="541" max="541" width="11.28515625" style="10" bestFit="1" customWidth="1"/>
    <col min="542" max="769" width="11.42578125" style="10"/>
    <col min="770" max="770" width="7" style="10" customWidth="1"/>
    <col min="771" max="771" width="10.7109375" style="10" customWidth="1"/>
    <col min="772" max="772" width="9.28515625" style="10" customWidth="1"/>
    <col min="773" max="796" width="7.28515625" style="10" customWidth="1"/>
    <col min="797" max="797" width="11.28515625" style="10" bestFit="1" customWidth="1"/>
    <col min="798" max="1025" width="11.42578125" style="10"/>
    <col min="1026" max="1026" width="7" style="10" customWidth="1"/>
    <col min="1027" max="1027" width="10.7109375" style="10" customWidth="1"/>
    <col min="1028" max="1028" width="9.28515625" style="10" customWidth="1"/>
    <col min="1029" max="1052" width="7.28515625" style="10" customWidth="1"/>
    <col min="1053" max="1053" width="11.28515625" style="10" bestFit="1" customWidth="1"/>
    <col min="1054" max="1281" width="11.42578125" style="10"/>
    <col min="1282" max="1282" width="7" style="10" customWidth="1"/>
    <col min="1283" max="1283" width="10.7109375" style="10" customWidth="1"/>
    <col min="1284" max="1284" width="9.28515625" style="10" customWidth="1"/>
    <col min="1285" max="1308" width="7.28515625" style="10" customWidth="1"/>
    <col min="1309" max="1309" width="11.28515625" style="10" bestFit="1" customWidth="1"/>
    <col min="1310" max="1537" width="11.42578125" style="10"/>
    <col min="1538" max="1538" width="7" style="10" customWidth="1"/>
    <col min="1539" max="1539" width="10.7109375" style="10" customWidth="1"/>
    <col min="1540" max="1540" width="9.28515625" style="10" customWidth="1"/>
    <col min="1541" max="1564" width="7.28515625" style="10" customWidth="1"/>
    <col min="1565" max="1565" width="11.28515625" style="10" bestFit="1" customWidth="1"/>
    <col min="1566" max="1793" width="11.42578125" style="10"/>
    <col min="1794" max="1794" width="7" style="10" customWidth="1"/>
    <col min="1795" max="1795" width="10.7109375" style="10" customWidth="1"/>
    <col min="1796" max="1796" width="9.28515625" style="10" customWidth="1"/>
    <col min="1797" max="1820" width="7.28515625" style="10" customWidth="1"/>
    <col min="1821" max="1821" width="11.28515625" style="10" bestFit="1" customWidth="1"/>
    <col min="1822" max="2049" width="11.42578125" style="10"/>
    <col min="2050" max="2050" width="7" style="10" customWidth="1"/>
    <col min="2051" max="2051" width="10.7109375" style="10" customWidth="1"/>
    <col min="2052" max="2052" width="9.28515625" style="10" customWidth="1"/>
    <col min="2053" max="2076" width="7.28515625" style="10" customWidth="1"/>
    <col min="2077" max="2077" width="11.28515625" style="10" bestFit="1" customWidth="1"/>
    <col min="2078" max="2305" width="11.42578125" style="10"/>
    <col min="2306" max="2306" width="7" style="10" customWidth="1"/>
    <col min="2307" max="2307" width="10.7109375" style="10" customWidth="1"/>
    <col min="2308" max="2308" width="9.28515625" style="10" customWidth="1"/>
    <col min="2309" max="2332" width="7.28515625" style="10" customWidth="1"/>
    <col min="2333" max="2333" width="11.28515625" style="10" bestFit="1" customWidth="1"/>
    <col min="2334" max="2561" width="11.42578125" style="10"/>
    <col min="2562" max="2562" width="7" style="10" customWidth="1"/>
    <col min="2563" max="2563" width="10.7109375" style="10" customWidth="1"/>
    <col min="2564" max="2564" width="9.28515625" style="10" customWidth="1"/>
    <col min="2565" max="2588" width="7.28515625" style="10" customWidth="1"/>
    <col min="2589" max="2589" width="11.28515625" style="10" bestFit="1" customWidth="1"/>
    <col min="2590" max="2817" width="11.42578125" style="10"/>
    <col min="2818" max="2818" width="7" style="10" customWidth="1"/>
    <col min="2819" max="2819" width="10.7109375" style="10" customWidth="1"/>
    <col min="2820" max="2820" width="9.28515625" style="10" customWidth="1"/>
    <col min="2821" max="2844" width="7.28515625" style="10" customWidth="1"/>
    <col min="2845" max="2845" width="11.28515625" style="10" bestFit="1" customWidth="1"/>
    <col min="2846" max="3073" width="11.42578125" style="10"/>
    <col min="3074" max="3074" width="7" style="10" customWidth="1"/>
    <col min="3075" max="3075" width="10.7109375" style="10" customWidth="1"/>
    <col min="3076" max="3076" width="9.28515625" style="10" customWidth="1"/>
    <col min="3077" max="3100" width="7.28515625" style="10" customWidth="1"/>
    <col min="3101" max="3101" width="11.28515625" style="10" bestFit="1" customWidth="1"/>
    <col min="3102" max="3329" width="11.42578125" style="10"/>
    <col min="3330" max="3330" width="7" style="10" customWidth="1"/>
    <col min="3331" max="3331" width="10.7109375" style="10" customWidth="1"/>
    <col min="3332" max="3332" width="9.28515625" style="10" customWidth="1"/>
    <col min="3333" max="3356" width="7.28515625" style="10" customWidth="1"/>
    <col min="3357" max="3357" width="11.28515625" style="10" bestFit="1" customWidth="1"/>
    <col min="3358" max="3585" width="11.42578125" style="10"/>
    <col min="3586" max="3586" width="7" style="10" customWidth="1"/>
    <col min="3587" max="3587" width="10.7109375" style="10" customWidth="1"/>
    <col min="3588" max="3588" width="9.28515625" style="10" customWidth="1"/>
    <col min="3589" max="3612" width="7.28515625" style="10" customWidth="1"/>
    <col min="3613" max="3613" width="11.28515625" style="10" bestFit="1" customWidth="1"/>
    <col min="3614" max="3841" width="11.42578125" style="10"/>
    <col min="3842" max="3842" width="7" style="10" customWidth="1"/>
    <col min="3843" max="3843" width="10.7109375" style="10" customWidth="1"/>
    <col min="3844" max="3844" width="9.28515625" style="10" customWidth="1"/>
    <col min="3845" max="3868" width="7.28515625" style="10" customWidth="1"/>
    <col min="3869" max="3869" width="11.28515625" style="10" bestFit="1" customWidth="1"/>
    <col min="3870" max="4097" width="11.42578125" style="10"/>
    <col min="4098" max="4098" width="7" style="10" customWidth="1"/>
    <col min="4099" max="4099" width="10.7109375" style="10" customWidth="1"/>
    <col min="4100" max="4100" width="9.28515625" style="10" customWidth="1"/>
    <col min="4101" max="4124" width="7.28515625" style="10" customWidth="1"/>
    <col min="4125" max="4125" width="11.28515625" style="10" bestFit="1" customWidth="1"/>
    <col min="4126" max="4353" width="11.42578125" style="10"/>
    <col min="4354" max="4354" width="7" style="10" customWidth="1"/>
    <col min="4355" max="4355" width="10.7109375" style="10" customWidth="1"/>
    <col min="4356" max="4356" width="9.28515625" style="10" customWidth="1"/>
    <col min="4357" max="4380" width="7.28515625" style="10" customWidth="1"/>
    <col min="4381" max="4381" width="11.28515625" style="10" bestFit="1" customWidth="1"/>
    <col min="4382" max="4609" width="11.42578125" style="10"/>
    <col min="4610" max="4610" width="7" style="10" customWidth="1"/>
    <col min="4611" max="4611" width="10.7109375" style="10" customWidth="1"/>
    <col min="4612" max="4612" width="9.28515625" style="10" customWidth="1"/>
    <col min="4613" max="4636" width="7.28515625" style="10" customWidth="1"/>
    <col min="4637" max="4637" width="11.28515625" style="10" bestFit="1" customWidth="1"/>
    <col min="4638" max="4865" width="11.42578125" style="10"/>
    <col min="4866" max="4866" width="7" style="10" customWidth="1"/>
    <col min="4867" max="4867" width="10.7109375" style="10" customWidth="1"/>
    <col min="4868" max="4868" width="9.28515625" style="10" customWidth="1"/>
    <col min="4869" max="4892" width="7.28515625" style="10" customWidth="1"/>
    <col min="4893" max="4893" width="11.28515625" style="10" bestFit="1" customWidth="1"/>
    <col min="4894" max="5121" width="11.42578125" style="10"/>
    <col min="5122" max="5122" width="7" style="10" customWidth="1"/>
    <col min="5123" max="5123" width="10.7109375" style="10" customWidth="1"/>
    <col min="5124" max="5124" width="9.28515625" style="10" customWidth="1"/>
    <col min="5125" max="5148" width="7.28515625" style="10" customWidth="1"/>
    <col min="5149" max="5149" width="11.28515625" style="10" bestFit="1" customWidth="1"/>
    <col min="5150" max="5377" width="11.42578125" style="10"/>
    <col min="5378" max="5378" width="7" style="10" customWidth="1"/>
    <col min="5379" max="5379" width="10.7109375" style="10" customWidth="1"/>
    <col min="5380" max="5380" width="9.28515625" style="10" customWidth="1"/>
    <col min="5381" max="5404" width="7.28515625" style="10" customWidth="1"/>
    <col min="5405" max="5405" width="11.28515625" style="10" bestFit="1" customWidth="1"/>
    <col min="5406" max="5633" width="11.42578125" style="10"/>
    <col min="5634" max="5634" width="7" style="10" customWidth="1"/>
    <col min="5635" max="5635" width="10.7109375" style="10" customWidth="1"/>
    <col min="5636" max="5636" width="9.28515625" style="10" customWidth="1"/>
    <col min="5637" max="5660" width="7.28515625" style="10" customWidth="1"/>
    <col min="5661" max="5661" width="11.28515625" style="10" bestFit="1" customWidth="1"/>
    <col min="5662" max="5889" width="11.42578125" style="10"/>
    <col min="5890" max="5890" width="7" style="10" customWidth="1"/>
    <col min="5891" max="5891" width="10.7109375" style="10" customWidth="1"/>
    <col min="5892" max="5892" width="9.28515625" style="10" customWidth="1"/>
    <col min="5893" max="5916" width="7.28515625" style="10" customWidth="1"/>
    <col min="5917" max="5917" width="11.28515625" style="10" bestFit="1" customWidth="1"/>
    <col min="5918" max="6145" width="11.42578125" style="10"/>
    <col min="6146" max="6146" width="7" style="10" customWidth="1"/>
    <col min="6147" max="6147" width="10.7109375" style="10" customWidth="1"/>
    <col min="6148" max="6148" width="9.28515625" style="10" customWidth="1"/>
    <col min="6149" max="6172" width="7.28515625" style="10" customWidth="1"/>
    <col min="6173" max="6173" width="11.28515625" style="10" bestFit="1" customWidth="1"/>
    <col min="6174" max="6401" width="11.42578125" style="10"/>
    <col min="6402" max="6402" width="7" style="10" customWidth="1"/>
    <col min="6403" max="6403" width="10.7109375" style="10" customWidth="1"/>
    <col min="6404" max="6404" width="9.28515625" style="10" customWidth="1"/>
    <col min="6405" max="6428" width="7.28515625" style="10" customWidth="1"/>
    <col min="6429" max="6429" width="11.28515625" style="10" bestFit="1" customWidth="1"/>
    <col min="6430" max="6657" width="11.42578125" style="10"/>
    <col min="6658" max="6658" width="7" style="10" customWidth="1"/>
    <col min="6659" max="6659" width="10.7109375" style="10" customWidth="1"/>
    <col min="6660" max="6660" width="9.28515625" style="10" customWidth="1"/>
    <col min="6661" max="6684" width="7.28515625" style="10" customWidth="1"/>
    <col min="6685" max="6685" width="11.28515625" style="10" bestFit="1" customWidth="1"/>
    <col min="6686" max="6913" width="11.42578125" style="10"/>
    <col min="6914" max="6914" width="7" style="10" customWidth="1"/>
    <col min="6915" max="6915" width="10.7109375" style="10" customWidth="1"/>
    <col min="6916" max="6916" width="9.28515625" style="10" customWidth="1"/>
    <col min="6917" max="6940" width="7.28515625" style="10" customWidth="1"/>
    <col min="6941" max="6941" width="11.28515625" style="10" bestFit="1" customWidth="1"/>
    <col min="6942" max="7169" width="11.42578125" style="10"/>
    <col min="7170" max="7170" width="7" style="10" customWidth="1"/>
    <col min="7171" max="7171" width="10.7109375" style="10" customWidth="1"/>
    <col min="7172" max="7172" width="9.28515625" style="10" customWidth="1"/>
    <col min="7173" max="7196" width="7.28515625" style="10" customWidth="1"/>
    <col min="7197" max="7197" width="11.28515625" style="10" bestFit="1" customWidth="1"/>
    <col min="7198" max="7425" width="11.42578125" style="10"/>
    <col min="7426" max="7426" width="7" style="10" customWidth="1"/>
    <col min="7427" max="7427" width="10.7109375" style="10" customWidth="1"/>
    <col min="7428" max="7428" width="9.28515625" style="10" customWidth="1"/>
    <col min="7429" max="7452" width="7.28515625" style="10" customWidth="1"/>
    <col min="7453" max="7453" width="11.28515625" style="10" bestFit="1" customWidth="1"/>
    <col min="7454" max="7681" width="11.42578125" style="10"/>
    <col min="7682" max="7682" width="7" style="10" customWidth="1"/>
    <col min="7683" max="7683" width="10.7109375" style="10" customWidth="1"/>
    <col min="7684" max="7684" width="9.28515625" style="10" customWidth="1"/>
    <col min="7685" max="7708" width="7.28515625" style="10" customWidth="1"/>
    <col min="7709" max="7709" width="11.28515625" style="10" bestFit="1" customWidth="1"/>
    <col min="7710" max="7937" width="11.42578125" style="10"/>
    <col min="7938" max="7938" width="7" style="10" customWidth="1"/>
    <col min="7939" max="7939" width="10.7109375" style="10" customWidth="1"/>
    <col min="7940" max="7940" width="9.28515625" style="10" customWidth="1"/>
    <col min="7941" max="7964" width="7.28515625" style="10" customWidth="1"/>
    <col min="7965" max="7965" width="11.28515625" style="10" bestFit="1" customWidth="1"/>
    <col min="7966" max="8193" width="11.42578125" style="10"/>
    <col min="8194" max="8194" width="7" style="10" customWidth="1"/>
    <col min="8195" max="8195" width="10.7109375" style="10" customWidth="1"/>
    <col min="8196" max="8196" width="9.28515625" style="10" customWidth="1"/>
    <col min="8197" max="8220" width="7.28515625" style="10" customWidth="1"/>
    <col min="8221" max="8221" width="11.28515625" style="10" bestFit="1" customWidth="1"/>
    <col min="8222" max="8449" width="11.42578125" style="10"/>
    <col min="8450" max="8450" width="7" style="10" customWidth="1"/>
    <col min="8451" max="8451" width="10.7109375" style="10" customWidth="1"/>
    <col min="8452" max="8452" width="9.28515625" style="10" customWidth="1"/>
    <col min="8453" max="8476" width="7.28515625" style="10" customWidth="1"/>
    <col min="8477" max="8477" width="11.28515625" style="10" bestFit="1" customWidth="1"/>
    <col min="8478" max="8705" width="11.42578125" style="10"/>
    <col min="8706" max="8706" width="7" style="10" customWidth="1"/>
    <col min="8707" max="8707" width="10.7109375" style="10" customWidth="1"/>
    <col min="8708" max="8708" width="9.28515625" style="10" customWidth="1"/>
    <col min="8709" max="8732" width="7.28515625" style="10" customWidth="1"/>
    <col min="8733" max="8733" width="11.28515625" style="10" bestFit="1" customWidth="1"/>
    <col min="8734" max="8961" width="11.42578125" style="10"/>
    <col min="8962" max="8962" width="7" style="10" customWidth="1"/>
    <col min="8963" max="8963" width="10.7109375" style="10" customWidth="1"/>
    <col min="8964" max="8964" width="9.28515625" style="10" customWidth="1"/>
    <col min="8965" max="8988" width="7.28515625" style="10" customWidth="1"/>
    <col min="8989" max="8989" width="11.28515625" style="10" bestFit="1" customWidth="1"/>
    <col min="8990" max="9217" width="11.42578125" style="10"/>
    <col min="9218" max="9218" width="7" style="10" customWidth="1"/>
    <col min="9219" max="9219" width="10.7109375" style="10" customWidth="1"/>
    <col min="9220" max="9220" width="9.28515625" style="10" customWidth="1"/>
    <col min="9221" max="9244" width="7.28515625" style="10" customWidth="1"/>
    <col min="9245" max="9245" width="11.28515625" style="10" bestFit="1" customWidth="1"/>
    <col min="9246" max="9473" width="11.42578125" style="10"/>
    <col min="9474" max="9474" width="7" style="10" customWidth="1"/>
    <col min="9475" max="9475" width="10.7109375" style="10" customWidth="1"/>
    <col min="9476" max="9476" width="9.28515625" style="10" customWidth="1"/>
    <col min="9477" max="9500" width="7.28515625" style="10" customWidth="1"/>
    <col min="9501" max="9501" width="11.28515625" style="10" bestFit="1" customWidth="1"/>
    <col min="9502" max="9729" width="11.42578125" style="10"/>
    <col min="9730" max="9730" width="7" style="10" customWidth="1"/>
    <col min="9731" max="9731" width="10.7109375" style="10" customWidth="1"/>
    <col min="9732" max="9732" width="9.28515625" style="10" customWidth="1"/>
    <col min="9733" max="9756" width="7.28515625" style="10" customWidth="1"/>
    <col min="9757" max="9757" width="11.28515625" style="10" bestFit="1" customWidth="1"/>
    <col min="9758" max="9985" width="11.42578125" style="10"/>
    <col min="9986" max="9986" width="7" style="10" customWidth="1"/>
    <col min="9987" max="9987" width="10.7109375" style="10" customWidth="1"/>
    <col min="9988" max="9988" width="9.28515625" style="10" customWidth="1"/>
    <col min="9989" max="10012" width="7.28515625" style="10" customWidth="1"/>
    <col min="10013" max="10013" width="11.28515625" style="10" bestFit="1" customWidth="1"/>
    <col min="10014" max="10241" width="11.42578125" style="10"/>
    <col min="10242" max="10242" width="7" style="10" customWidth="1"/>
    <col min="10243" max="10243" width="10.7109375" style="10" customWidth="1"/>
    <col min="10244" max="10244" width="9.28515625" style="10" customWidth="1"/>
    <col min="10245" max="10268" width="7.28515625" style="10" customWidth="1"/>
    <col min="10269" max="10269" width="11.28515625" style="10" bestFit="1" customWidth="1"/>
    <col min="10270" max="10497" width="11.42578125" style="10"/>
    <col min="10498" max="10498" width="7" style="10" customWidth="1"/>
    <col min="10499" max="10499" width="10.7109375" style="10" customWidth="1"/>
    <col min="10500" max="10500" width="9.28515625" style="10" customWidth="1"/>
    <col min="10501" max="10524" width="7.28515625" style="10" customWidth="1"/>
    <col min="10525" max="10525" width="11.28515625" style="10" bestFit="1" customWidth="1"/>
    <col min="10526" max="10753" width="11.42578125" style="10"/>
    <col min="10754" max="10754" width="7" style="10" customWidth="1"/>
    <col min="10755" max="10755" width="10.7109375" style="10" customWidth="1"/>
    <col min="10756" max="10756" width="9.28515625" style="10" customWidth="1"/>
    <col min="10757" max="10780" width="7.28515625" style="10" customWidth="1"/>
    <col min="10781" max="10781" width="11.28515625" style="10" bestFit="1" customWidth="1"/>
    <col min="10782" max="11009" width="11.42578125" style="10"/>
    <col min="11010" max="11010" width="7" style="10" customWidth="1"/>
    <col min="11011" max="11011" width="10.7109375" style="10" customWidth="1"/>
    <col min="11012" max="11012" width="9.28515625" style="10" customWidth="1"/>
    <col min="11013" max="11036" width="7.28515625" style="10" customWidth="1"/>
    <col min="11037" max="11037" width="11.28515625" style="10" bestFit="1" customWidth="1"/>
    <col min="11038" max="11265" width="11.42578125" style="10"/>
    <col min="11266" max="11266" width="7" style="10" customWidth="1"/>
    <col min="11267" max="11267" width="10.7109375" style="10" customWidth="1"/>
    <col min="11268" max="11268" width="9.28515625" style="10" customWidth="1"/>
    <col min="11269" max="11292" width="7.28515625" style="10" customWidth="1"/>
    <col min="11293" max="11293" width="11.28515625" style="10" bestFit="1" customWidth="1"/>
    <col min="11294" max="11521" width="11.42578125" style="10"/>
    <col min="11522" max="11522" width="7" style="10" customWidth="1"/>
    <col min="11523" max="11523" width="10.7109375" style="10" customWidth="1"/>
    <col min="11524" max="11524" width="9.28515625" style="10" customWidth="1"/>
    <col min="11525" max="11548" width="7.28515625" style="10" customWidth="1"/>
    <col min="11549" max="11549" width="11.28515625" style="10" bestFit="1" customWidth="1"/>
    <col min="11550" max="11777" width="11.42578125" style="10"/>
    <col min="11778" max="11778" width="7" style="10" customWidth="1"/>
    <col min="11779" max="11779" width="10.7109375" style="10" customWidth="1"/>
    <col min="11780" max="11780" width="9.28515625" style="10" customWidth="1"/>
    <col min="11781" max="11804" width="7.28515625" style="10" customWidth="1"/>
    <col min="11805" max="11805" width="11.28515625" style="10" bestFit="1" customWidth="1"/>
    <col min="11806" max="12033" width="11.42578125" style="10"/>
    <col min="12034" max="12034" width="7" style="10" customWidth="1"/>
    <col min="12035" max="12035" width="10.7109375" style="10" customWidth="1"/>
    <col min="12036" max="12036" width="9.28515625" style="10" customWidth="1"/>
    <col min="12037" max="12060" width="7.28515625" style="10" customWidth="1"/>
    <col min="12061" max="12061" width="11.28515625" style="10" bestFit="1" customWidth="1"/>
    <col min="12062" max="12289" width="11.42578125" style="10"/>
    <col min="12290" max="12290" width="7" style="10" customWidth="1"/>
    <col min="12291" max="12291" width="10.7109375" style="10" customWidth="1"/>
    <col min="12292" max="12292" width="9.28515625" style="10" customWidth="1"/>
    <col min="12293" max="12316" width="7.28515625" style="10" customWidth="1"/>
    <col min="12317" max="12317" width="11.28515625" style="10" bestFit="1" customWidth="1"/>
    <col min="12318" max="12545" width="11.42578125" style="10"/>
    <col min="12546" max="12546" width="7" style="10" customWidth="1"/>
    <col min="12547" max="12547" width="10.7109375" style="10" customWidth="1"/>
    <col min="12548" max="12548" width="9.28515625" style="10" customWidth="1"/>
    <col min="12549" max="12572" width="7.28515625" style="10" customWidth="1"/>
    <col min="12573" max="12573" width="11.28515625" style="10" bestFit="1" customWidth="1"/>
    <col min="12574" max="12801" width="11.42578125" style="10"/>
    <col min="12802" max="12802" width="7" style="10" customWidth="1"/>
    <col min="12803" max="12803" width="10.7109375" style="10" customWidth="1"/>
    <col min="12804" max="12804" width="9.28515625" style="10" customWidth="1"/>
    <col min="12805" max="12828" width="7.28515625" style="10" customWidth="1"/>
    <col min="12829" max="12829" width="11.28515625" style="10" bestFit="1" customWidth="1"/>
    <col min="12830" max="13057" width="11.42578125" style="10"/>
    <col min="13058" max="13058" width="7" style="10" customWidth="1"/>
    <col min="13059" max="13059" width="10.7109375" style="10" customWidth="1"/>
    <col min="13060" max="13060" width="9.28515625" style="10" customWidth="1"/>
    <col min="13061" max="13084" width="7.28515625" style="10" customWidth="1"/>
    <col min="13085" max="13085" width="11.28515625" style="10" bestFit="1" customWidth="1"/>
    <col min="13086" max="13313" width="11.42578125" style="10"/>
    <col min="13314" max="13314" width="7" style="10" customWidth="1"/>
    <col min="13315" max="13315" width="10.7109375" style="10" customWidth="1"/>
    <col min="13316" max="13316" width="9.28515625" style="10" customWidth="1"/>
    <col min="13317" max="13340" width="7.28515625" style="10" customWidth="1"/>
    <col min="13341" max="13341" width="11.28515625" style="10" bestFit="1" customWidth="1"/>
    <col min="13342" max="13569" width="11.42578125" style="10"/>
    <col min="13570" max="13570" width="7" style="10" customWidth="1"/>
    <col min="13571" max="13571" width="10.7109375" style="10" customWidth="1"/>
    <col min="13572" max="13572" width="9.28515625" style="10" customWidth="1"/>
    <col min="13573" max="13596" width="7.28515625" style="10" customWidth="1"/>
    <col min="13597" max="13597" width="11.28515625" style="10" bestFit="1" customWidth="1"/>
    <col min="13598" max="13825" width="11.42578125" style="10"/>
    <col min="13826" max="13826" width="7" style="10" customWidth="1"/>
    <col min="13827" max="13827" width="10.7109375" style="10" customWidth="1"/>
    <col min="13828" max="13828" width="9.28515625" style="10" customWidth="1"/>
    <col min="13829" max="13852" width="7.28515625" style="10" customWidth="1"/>
    <col min="13853" max="13853" width="11.28515625" style="10" bestFit="1" customWidth="1"/>
    <col min="13854" max="14081" width="11.42578125" style="10"/>
    <col min="14082" max="14082" width="7" style="10" customWidth="1"/>
    <col min="14083" max="14083" width="10.7109375" style="10" customWidth="1"/>
    <col min="14084" max="14084" width="9.28515625" style="10" customWidth="1"/>
    <col min="14085" max="14108" width="7.28515625" style="10" customWidth="1"/>
    <col min="14109" max="14109" width="11.28515625" style="10" bestFit="1" customWidth="1"/>
    <col min="14110" max="14337" width="11.42578125" style="10"/>
    <col min="14338" max="14338" width="7" style="10" customWidth="1"/>
    <col min="14339" max="14339" width="10.7109375" style="10" customWidth="1"/>
    <col min="14340" max="14340" width="9.28515625" style="10" customWidth="1"/>
    <col min="14341" max="14364" width="7.28515625" style="10" customWidth="1"/>
    <col min="14365" max="14365" width="11.28515625" style="10" bestFit="1" customWidth="1"/>
    <col min="14366" max="14593" width="11.42578125" style="10"/>
    <col min="14594" max="14594" width="7" style="10" customWidth="1"/>
    <col min="14595" max="14595" width="10.7109375" style="10" customWidth="1"/>
    <col min="14596" max="14596" width="9.28515625" style="10" customWidth="1"/>
    <col min="14597" max="14620" width="7.28515625" style="10" customWidth="1"/>
    <col min="14621" max="14621" width="11.28515625" style="10" bestFit="1" customWidth="1"/>
    <col min="14622" max="14849" width="11.42578125" style="10"/>
    <col min="14850" max="14850" width="7" style="10" customWidth="1"/>
    <col min="14851" max="14851" width="10.7109375" style="10" customWidth="1"/>
    <col min="14852" max="14852" width="9.28515625" style="10" customWidth="1"/>
    <col min="14853" max="14876" width="7.28515625" style="10" customWidth="1"/>
    <col min="14877" max="14877" width="11.28515625" style="10" bestFit="1" customWidth="1"/>
    <col min="14878" max="15105" width="11.42578125" style="10"/>
    <col min="15106" max="15106" width="7" style="10" customWidth="1"/>
    <col min="15107" max="15107" width="10.7109375" style="10" customWidth="1"/>
    <col min="15108" max="15108" width="9.28515625" style="10" customWidth="1"/>
    <col min="15109" max="15132" width="7.28515625" style="10" customWidth="1"/>
    <col min="15133" max="15133" width="11.28515625" style="10" bestFit="1" customWidth="1"/>
    <col min="15134" max="15361" width="11.42578125" style="10"/>
    <col min="15362" max="15362" width="7" style="10" customWidth="1"/>
    <col min="15363" max="15363" width="10.7109375" style="10" customWidth="1"/>
    <col min="15364" max="15364" width="9.28515625" style="10" customWidth="1"/>
    <col min="15365" max="15388" width="7.28515625" style="10" customWidth="1"/>
    <col min="15389" max="15389" width="11.28515625" style="10" bestFit="1" customWidth="1"/>
    <col min="15390" max="15617" width="11.42578125" style="10"/>
    <col min="15618" max="15618" width="7" style="10" customWidth="1"/>
    <col min="15619" max="15619" width="10.7109375" style="10" customWidth="1"/>
    <col min="15620" max="15620" width="9.28515625" style="10" customWidth="1"/>
    <col min="15621" max="15644" width="7.28515625" style="10" customWidth="1"/>
    <col min="15645" max="15645" width="11.28515625" style="10" bestFit="1" customWidth="1"/>
    <col min="15646" max="15873" width="11.42578125" style="10"/>
    <col min="15874" max="15874" width="7" style="10" customWidth="1"/>
    <col min="15875" max="15875" width="10.7109375" style="10" customWidth="1"/>
    <col min="15876" max="15876" width="9.28515625" style="10" customWidth="1"/>
    <col min="15877" max="15900" width="7.28515625" style="10" customWidth="1"/>
    <col min="15901" max="15901" width="11.28515625" style="10" bestFit="1" customWidth="1"/>
    <col min="15902" max="16129" width="11.42578125" style="10"/>
    <col min="16130" max="16130" width="7" style="10" customWidth="1"/>
    <col min="16131" max="16131" width="10.7109375" style="10" customWidth="1"/>
    <col min="16132" max="16132" width="9.28515625" style="10" customWidth="1"/>
    <col min="16133" max="16156" width="7.28515625" style="10" customWidth="1"/>
    <col min="16157" max="16157" width="11.28515625" style="10" bestFit="1" customWidth="1"/>
    <col min="16158" max="16384" width="11.42578125" style="10"/>
  </cols>
  <sheetData>
    <row r="1" spans="2:31" ht="18.600000000000001" customHeight="1" x14ac:dyDescent="0.2"/>
    <row r="2" spans="2:31" ht="18.600000000000001" customHeight="1" x14ac:dyDescent="0.2">
      <c r="B2" s="59" t="s">
        <v>47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</row>
    <row r="3" spans="2:31" ht="18.600000000000001" customHeight="1" x14ac:dyDescent="0.2">
      <c r="B3" s="59" t="s">
        <v>44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</row>
    <row r="4" spans="2:31" ht="18.600000000000001" customHeight="1" x14ac:dyDescent="0.2">
      <c r="B4" s="59">
        <v>2032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</row>
    <row r="5" spans="2:31" ht="18.600000000000001" customHeight="1" x14ac:dyDescent="0.2"/>
    <row r="6" spans="2:31" ht="31.5" x14ac:dyDescent="0.2">
      <c r="B6" s="2" t="s">
        <v>0</v>
      </c>
      <c r="C6" s="3" t="s">
        <v>1</v>
      </c>
      <c r="D6" s="2" t="s">
        <v>2</v>
      </c>
      <c r="E6" s="12" t="s">
        <v>3</v>
      </c>
      <c r="F6" s="12" t="s">
        <v>4</v>
      </c>
      <c r="G6" s="12" t="s">
        <v>5</v>
      </c>
      <c r="H6" s="12" t="s">
        <v>6</v>
      </c>
      <c r="I6" s="12" t="s">
        <v>7</v>
      </c>
      <c r="J6" s="12" t="s">
        <v>8</v>
      </c>
      <c r="K6" s="12" t="s">
        <v>9</v>
      </c>
      <c r="L6" s="12" t="s">
        <v>10</v>
      </c>
      <c r="M6" s="12" t="s">
        <v>11</v>
      </c>
      <c r="N6" s="12" t="s">
        <v>12</v>
      </c>
      <c r="O6" s="12" t="s">
        <v>13</v>
      </c>
      <c r="P6" s="12" t="s">
        <v>14</v>
      </c>
      <c r="Q6" s="12" t="s">
        <v>15</v>
      </c>
      <c r="R6" s="12" t="s">
        <v>16</v>
      </c>
      <c r="S6" s="12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2" t="s">
        <v>22</v>
      </c>
      <c r="Y6" s="12" t="s">
        <v>23</v>
      </c>
      <c r="Z6" s="12" t="s">
        <v>24</v>
      </c>
      <c r="AA6" s="12" t="s">
        <v>25</v>
      </c>
      <c r="AB6" s="12" t="s">
        <v>26</v>
      </c>
      <c r="AC6" s="12" t="s">
        <v>27</v>
      </c>
    </row>
    <row r="7" spans="2:31" ht="18.600000000000001" customHeight="1" x14ac:dyDescent="0.2">
      <c r="B7" s="49" t="s">
        <v>28</v>
      </c>
      <c r="C7" s="4" t="s">
        <v>29</v>
      </c>
      <c r="D7" s="5">
        <v>20</v>
      </c>
      <c r="E7" s="9">
        <v>18231.21</v>
      </c>
      <c r="F7" s="9">
        <v>16932.060000000001</v>
      </c>
      <c r="G7" s="9">
        <v>16254.95</v>
      </c>
      <c r="H7" s="9">
        <v>16096.51</v>
      </c>
      <c r="I7" s="9">
        <v>17250.86</v>
      </c>
      <c r="J7" s="9">
        <v>20983.88</v>
      </c>
      <c r="K7" s="9">
        <v>22515.19</v>
      </c>
      <c r="L7" s="9">
        <v>32130.04</v>
      </c>
      <c r="M7" s="9">
        <v>30898.45</v>
      </c>
      <c r="N7" s="9">
        <v>31140.05</v>
      </c>
      <c r="O7" s="9">
        <v>32535.86</v>
      </c>
      <c r="P7" s="9">
        <v>34599.360000000001</v>
      </c>
      <c r="Q7" s="9">
        <v>34179.230000000003</v>
      </c>
      <c r="R7" s="9">
        <v>34025.89</v>
      </c>
      <c r="S7" s="9">
        <v>34907.279999999999</v>
      </c>
      <c r="T7" s="9">
        <v>35642.89</v>
      </c>
      <c r="U7" s="9">
        <v>37945.39</v>
      </c>
      <c r="V7" s="9">
        <v>37160.42</v>
      </c>
      <c r="W7" s="9">
        <v>41146.82</v>
      </c>
      <c r="X7" s="9">
        <v>43037.56</v>
      </c>
      <c r="Y7" s="9">
        <v>41137.64</v>
      </c>
      <c r="Z7" s="9">
        <v>37349.379999999997</v>
      </c>
      <c r="AA7" s="9">
        <v>31562.32</v>
      </c>
      <c r="AB7" s="9">
        <v>26963.24</v>
      </c>
      <c r="AC7" s="60">
        <f>+SUM(E7:AB7)*D7+SUM(E8:AB8)*D8+SUM(E9:AB9)*D9+SUM(E10:AB10)*D10</f>
        <v>21728548.550000001</v>
      </c>
      <c r="AE7" s="8">
        <f>+AC7</f>
        <v>21728548.550000001</v>
      </c>
    </row>
    <row r="8" spans="2:31" ht="18.600000000000001" customHeight="1" x14ac:dyDescent="0.2">
      <c r="B8" s="49" t="s">
        <v>28</v>
      </c>
      <c r="C8" s="4" t="s">
        <v>30</v>
      </c>
      <c r="D8" s="5">
        <v>5</v>
      </c>
      <c r="E8" s="9">
        <v>19170.45</v>
      </c>
      <c r="F8" s="9">
        <v>17388.82</v>
      </c>
      <c r="G8" s="9">
        <v>16739.05</v>
      </c>
      <c r="H8" s="9">
        <v>16515.47</v>
      </c>
      <c r="I8" s="9">
        <v>16751.22</v>
      </c>
      <c r="J8" s="9">
        <v>18006.169999999998</v>
      </c>
      <c r="K8" s="9">
        <v>18824.939999999999</v>
      </c>
      <c r="L8" s="9">
        <v>29772.12</v>
      </c>
      <c r="M8" s="9">
        <v>30300.3</v>
      </c>
      <c r="N8" s="9">
        <v>31193.75</v>
      </c>
      <c r="O8" s="9">
        <v>31820.89</v>
      </c>
      <c r="P8" s="9">
        <v>33076.61</v>
      </c>
      <c r="Q8" s="9">
        <v>33929.01</v>
      </c>
      <c r="R8" s="9">
        <v>33202.339999999997</v>
      </c>
      <c r="S8" s="9">
        <v>33359.78</v>
      </c>
      <c r="T8" s="9">
        <v>32307.79</v>
      </c>
      <c r="U8" s="9">
        <v>35297.370000000003</v>
      </c>
      <c r="V8" s="9">
        <v>34840.79</v>
      </c>
      <c r="W8" s="9">
        <v>39342.99</v>
      </c>
      <c r="X8" s="9">
        <v>40847.54</v>
      </c>
      <c r="Y8" s="9">
        <v>38848.800000000003</v>
      </c>
      <c r="Z8" s="9">
        <v>35957.68</v>
      </c>
      <c r="AA8" s="9">
        <v>31929.599999999999</v>
      </c>
      <c r="AB8" s="9">
        <v>28085.15</v>
      </c>
      <c r="AC8" s="61"/>
      <c r="AE8" s="8">
        <f>+AC11</f>
        <v>21917429.32</v>
      </c>
    </row>
    <row r="9" spans="2:31" ht="18.600000000000001" customHeight="1" x14ac:dyDescent="0.2">
      <c r="B9" s="49" t="s">
        <v>28</v>
      </c>
      <c r="C9" s="4" t="s">
        <v>31</v>
      </c>
      <c r="D9" s="5">
        <v>4</v>
      </c>
      <c r="E9" s="9">
        <v>19828.939999999999</v>
      </c>
      <c r="F9" s="9">
        <v>17988.18</v>
      </c>
      <c r="G9" s="9">
        <v>16804.330000000002</v>
      </c>
      <c r="H9" s="9">
        <v>16165.48</v>
      </c>
      <c r="I9" s="9">
        <v>15674.22</v>
      </c>
      <c r="J9" s="9">
        <v>15750.92</v>
      </c>
      <c r="K9" s="9">
        <v>14925.12</v>
      </c>
      <c r="L9" s="9">
        <v>23794.84</v>
      </c>
      <c r="M9" s="9">
        <v>24528.36</v>
      </c>
      <c r="N9" s="9">
        <v>25715.77</v>
      </c>
      <c r="O9" s="9">
        <v>26698.01</v>
      </c>
      <c r="P9" s="9">
        <v>28410.720000000001</v>
      </c>
      <c r="Q9" s="9">
        <v>29412.18</v>
      </c>
      <c r="R9" s="9">
        <v>29699.06</v>
      </c>
      <c r="S9" s="9">
        <v>29200.2</v>
      </c>
      <c r="T9" s="9">
        <v>29780.31</v>
      </c>
      <c r="U9" s="9">
        <v>32210.84</v>
      </c>
      <c r="V9" s="9">
        <v>32288.83</v>
      </c>
      <c r="W9" s="9">
        <v>37236.99</v>
      </c>
      <c r="X9" s="9">
        <v>39462.39</v>
      </c>
      <c r="Y9" s="9">
        <v>38129.82</v>
      </c>
      <c r="Z9" s="9">
        <v>34582.31</v>
      </c>
      <c r="AA9" s="9">
        <v>29624.22</v>
      </c>
      <c r="AB9" s="9">
        <v>25257.99</v>
      </c>
      <c r="AC9" s="61"/>
      <c r="AE9" s="8">
        <f>+AC15</f>
        <v>21438237.129999999</v>
      </c>
    </row>
    <row r="10" spans="2:31" ht="18.600000000000001" customHeight="1" x14ac:dyDescent="0.2">
      <c r="B10" s="49" t="s">
        <v>28</v>
      </c>
      <c r="C10" s="4" t="s">
        <v>32</v>
      </c>
      <c r="D10" s="5">
        <v>2</v>
      </c>
      <c r="E10" s="9">
        <v>20304.59</v>
      </c>
      <c r="F10" s="9">
        <v>19291.41</v>
      </c>
      <c r="G10" s="9">
        <v>18147.36</v>
      </c>
      <c r="H10" s="9">
        <v>17154.259999999998</v>
      </c>
      <c r="I10" s="9">
        <v>16400.8</v>
      </c>
      <c r="J10" s="9">
        <v>15900.06</v>
      </c>
      <c r="K10" s="9">
        <v>13605.92</v>
      </c>
      <c r="L10" s="9">
        <v>21120.77</v>
      </c>
      <c r="M10" s="9">
        <v>20810.060000000001</v>
      </c>
      <c r="N10" s="9">
        <v>22368.83</v>
      </c>
      <c r="O10" s="9">
        <v>23481.72</v>
      </c>
      <c r="P10" s="9">
        <v>25410.92</v>
      </c>
      <c r="Q10" s="9">
        <v>27338.2</v>
      </c>
      <c r="R10" s="9">
        <v>28388.83</v>
      </c>
      <c r="S10" s="9">
        <v>27627.63</v>
      </c>
      <c r="T10" s="9">
        <v>28379.64</v>
      </c>
      <c r="U10" s="9">
        <v>31090.28</v>
      </c>
      <c r="V10" s="9">
        <v>31779.55</v>
      </c>
      <c r="W10" s="9">
        <v>36648.6</v>
      </c>
      <c r="X10" s="9">
        <v>38144.370000000003</v>
      </c>
      <c r="Y10" s="9">
        <v>36629.82</v>
      </c>
      <c r="Z10" s="9">
        <v>33414.82</v>
      </c>
      <c r="AA10" s="9">
        <v>29259.54</v>
      </c>
      <c r="AB10" s="9">
        <v>25199.86</v>
      </c>
      <c r="AC10" s="62"/>
      <c r="AE10" s="8">
        <f>+AC19</f>
        <v>21698464.32</v>
      </c>
    </row>
    <row r="11" spans="2:31" ht="18.600000000000001" customHeight="1" x14ac:dyDescent="0.2">
      <c r="B11" s="49" t="s">
        <v>33</v>
      </c>
      <c r="C11" s="4" t="s">
        <v>29</v>
      </c>
      <c r="D11" s="5">
        <v>20</v>
      </c>
      <c r="E11" s="9">
        <v>20838.68</v>
      </c>
      <c r="F11" s="9">
        <v>19581.03</v>
      </c>
      <c r="G11" s="9">
        <v>19131.939999999999</v>
      </c>
      <c r="H11" s="9">
        <v>18961.77</v>
      </c>
      <c r="I11" s="9">
        <v>20534.96</v>
      </c>
      <c r="J11" s="9">
        <v>26117.93</v>
      </c>
      <c r="K11" s="9">
        <v>26013.32</v>
      </c>
      <c r="L11" s="9">
        <v>34017.519999999997</v>
      </c>
      <c r="M11" s="9">
        <v>32288.87</v>
      </c>
      <c r="N11" s="9">
        <v>32397.360000000001</v>
      </c>
      <c r="O11" s="9">
        <v>33624.29</v>
      </c>
      <c r="P11" s="9">
        <v>35378.43</v>
      </c>
      <c r="Q11" s="9">
        <v>34822.14</v>
      </c>
      <c r="R11" s="9">
        <v>34955.18</v>
      </c>
      <c r="S11" s="9">
        <v>36308.93</v>
      </c>
      <c r="T11" s="9">
        <v>37431.49</v>
      </c>
      <c r="U11" s="9">
        <v>39242.81</v>
      </c>
      <c r="V11" s="9">
        <v>37382.6</v>
      </c>
      <c r="W11" s="9">
        <v>42307.06</v>
      </c>
      <c r="X11" s="9">
        <v>45465.38</v>
      </c>
      <c r="Y11" s="9">
        <v>43770.95</v>
      </c>
      <c r="Z11" s="9">
        <v>39711.71</v>
      </c>
      <c r="AA11" s="9">
        <v>34188.15</v>
      </c>
      <c r="AB11" s="9">
        <v>29547.48</v>
      </c>
      <c r="AC11" s="60">
        <f>+SUM(E11:AB11)*D11+SUM(E12:AB12)*D12+SUM(E13:AB13)*D13+SUM(E14:AB14)*D14</f>
        <v>21917429.32</v>
      </c>
      <c r="AE11" s="8">
        <f>+AC23</f>
        <v>21766749.480000004</v>
      </c>
    </row>
    <row r="12" spans="2:31" ht="18.600000000000001" customHeight="1" x14ac:dyDescent="0.2">
      <c r="B12" s="49" t="s">
        <v>33</v>
      </c>
      <c r="C12" s="4" t="s">
        <v>30</v>
      </c>
      <c r="D12" s="5">
        <v>4</v>
      </c>
      <c r="E12" s="9">
        <v>21811.35</v>
      </c>
      <c r="F12" s="9">
        <v>20268.63</v>
      </c>
      <c r="G12" s="9">
        <v>19219.32</v>
      </c>
      <c r="H12" s="9">
        <v>18998.41</v>
      </c>
      <c r="I12" s="9">
        <v>19536.68</v>
      </c>
      <c r="J12" s="9">
        <v>20899.61</v>
      </c>
      <c r="K12" s="9">
        <v>20347.39</v>
      </c>
      <c r="L12" s="9">
        <v>31646.62</v>
      </c>
      <c r="M12" s="9">
        <v>32081.5</v>
      </c>
      <c r="N12" s="9">
        <v>32540.16</v>
      </c>
      <c r="O12" s="9">
        <v>33801.57</v>
      </c>
      <c r="P12" s="9">
        <v>35212.959999999999</v>
      </c>
      <c r="Q12" s="9">
        <v>35732.14</v>
      </c>
      <c r="R12" s="9">
        <v>34542.160000000003</v>
      </c>
      <c r="S12" s="9">
        <v>34155.980000000003</v>
      </c>
      <c r="T12" s="9">
        <v>34706.58</v>
      </c>
      <c r="U12" s="9">
        <v>36698.35</v>
      </c>
      <c r="V12" s="9">
        <v>35811.03</v>
      </c>
      <c r="W12" s="9">
        <v>40871.35</v>
      </c>
      <c r="X12" s="9">
        <v>43897.14</v>
      </c>
      <c r="Y12" s="9">
        <v>41922.550000000003</v>
      </c>
      <c r="Z12" s="9">
        <v>38875.78</v>
      </c>
      <c r="AA12" s="9">
        <v>34870.36</v>
      </c>
      <c r="AB12" s="9">
        <v>30843.360000000001</v>
      </c>
      <c r="AC12" s="61"/>
      <c r="AE12" s="8">
        <f>+AC27</f>
        <v>21609648.240000002</v>
      </c>
    </row>
    <row r="13" spans="2:31" ht="18.600000000000001" customHeight="1" x14ac:dyDescent="0.2">
      <c r="B13" s="49" t="s">
        <v>33</v>
      </c>
      <c r="C13" s="4" t="s">
        <v>31</v>
      </c>
      <c r="D13" s="5">
        <v>5</v>
      </c>
      <c r="E13" s="9">
        <v>22840.1</v>
      </c>
      <c r="F13" s="9">
        <v>20932.45</v>
      </c>
      <c r="G13" s="9">
        <v>19902.990000000002</v>
      </c>
      <c r="H13" s="9">
        <v>19249.830000000002</v>
      </c>
      <c r="I13" s="9">
        <v>18644.810000000001</v>
      </c>
      <c r="J13" s="9">
        <v>18713.150000000001</v>
      </c>
      <c r="K13" s="9">
        <v>16724.150000000001</v>
      </c>
      <c r="L13" s="9">
        <v>25642.42</v>
      </c>
      <c r="M13" s="9">
        <v>26602.22</v>
      </c>
      <c r="N13" s="9">
        <v>28121</v>
      </c>
      <c r="O13" s="9">
        <v>28999.94</v>
      </c>
      <c r="P13" s="9">
        <v>30488.59</v>
      </c>
      <c r="Q13" s="9">
        <v>31735.95</v>
      </c>
      <c r="R13" s="9">
        <v>31426.1</v>
      </c>
      <c r="S13" s="9">
        <v>31161.8</v>
      </c>
      <c r="T13" s="9">
        <v>31379.35</v>
      </c>
      <c r="U13" s="9">
        <v>32853.730000000003</v>
      </c>
      <c r="V13" s="9">
        <v>33394.04</v>
      </c>
      <c r="W13" s="9">
        <v>38354.080000000002</v>
      </c>
      <c r="X13" s="9">
        <v>41789.74</v>
      </c>
      <c r="Y13" s="9">
        <v>40811.49</v>
      </c>
      <c r="Z13" s="9">
        <v>37560.699999999997</v>
      </c>
      <c r="AA13" s="9">
        <v>32797.79</v>
      </c>
      <c r="AB13" s="9">
        <v>27846.74</v>
      </c>
      <c r="AC13" s="61"/>
      <c r="AE13" s="8">
        <f>+AC31</f>
        <v>22030648.810000002</v>
      </c>
    </row>
    <row r="14" spans="2:31" ht="18.600000000000001" customHeight="1" x14ac:dyDescent="0.2">
      <c r="B14" s="49" t="s">
        <v>33</v>
      </c>
      <c r="C14" s="4" t="s">
        <v>32</v>
      </c>
      <c r="D14" s="5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62"/>
      <c r="AE14" s="8">
        <f>+AC35</f>
        <v>21883418.030000001</v>
      </c>
    </row>
    <row r="15" spans="2:31" ht="18.600000000000001" customHeight="1" x14ac:dyDescent="0.2">
      <c r="B15" s="49" t="s">
        <v>34</v>
      </c>
      <c r="C15" s="4" t="s">
        <v>29</v>
      </c>
      <c r="D15" s="5">
        <v>20</v>
      </c>
      <c r="E15" s="9">
        <v>19518.240000000002</v>
      </c>
      <c r="F15" s="9">
        <v>18351.32</v>
      </c>
      <c r="G15" s="9">
        <v>17873.72</v>
      </c>
      <c r="H15" s="9">
        <v>17649.5</v>
      </c>
      <c r="I15" s="9">
        <v>18891.939999999999</v>
      </c>
      <c r="J15" s="9">
        <v>23555.73</v>
      </c>
      <c r="K15" s="9">
        <v>23216.26</v>
      </c>
      <c r="L15" s="9">
        <v>31497.21</v>
      </c>
      <c r="M15" s="9">
        <v>29846.880000000001</v>
      </c>
      <c r="N15" s="9">
        <v>29926.76</v>
      </c>
      <c r="O15" s="9">
        <v>30858.02</v>
      </c>
      <c r="P15" s="9">
        <v>32246.76</v>
      </c>
      <c r="Q15" s="9">
        <v>31701.87</v>
      </c>
      <c r="R15" s="9">
        <v>31929.48</v>
      </c>
      <c r="S15" s="9">
        <v>33281.78</v>
      </c>
      <c r="T15" s="9">
        <v>34215.49</v>
      </c>
      <c r="U15" s="9">
        <v>36298.61</v>
      </c>
      <c r="V15" s="9">
        <v>35153.19</v>
      </c>
      <c r="W15" s="9">
        <v>39635.81</v>
      </c>
      <c r="X15" s="9">
        <v>42342.48</v>
      </c>
      <c r="Y15" s="9">
        <v>40720.25</v>
      </c>
      <c r="Z15" s="9">
        <v>37128.29</v>
      </c>
      <c r="AA15" s="9">
        <v>32196.74</v>
      </c>
      <c r="AB15" s="9">
        <v>28273.26</v>
      </c>
      <c r="AC15" s="60">
        <f>+SUM(E15:AB15)*D15+SUM(E16:AB16)*D16+SUM(E17:AB17)*D17+SUM(E18:AB18)*D18</f>
        <v>21438237.129999999</v>
      </c>
      <c r="AE15" s="8">
        <f>+AC39</f>
        <v>22427741.960000001</v>
      </c>
    </row>
    <row r="16" spans="2:31" ht="18.600000000000001" customHeight="1" x14ac:dyDescent="0.2">
      <c r="B16" s="49" t="s">
        <v>34</v>
      </c>
      <c r="C16" s="4" t="s">
        <v>30</v>
      </c>
      <c r="D16" s="5">
        <v>4</v>
      </c>
      <c r="E16" s="9">
        <v>20416.64</v>
      </c>
      <c r="F16" s="9">
        <v>18741.86</v>
      </c>
      <c r="G16" s="9">
        <v>18023.62</v>
      </c>
      <c r="H16" s="9">
        <v>17681.66</v>
      </c>
      <c r="I16" s="9">
        <v>17973.34</v>
      </c>
      <c r="J16" s="9">
        <v>19174.38</v>
      </c>
      <c r="K16" s="9">
        <v>18047.63</v>
      </c>
      <c r="L16" s="9">
        <v>28773</v>
      </c>
      <c r="M16" s="9">
        <v>29060.44</v>
      </c>
      <c r="N16" s="9">
        <v>29710.3</v>
      </c>
      <c r="O16" s="9">
        <v>30203.79</v>
      </c>
      <c r="P16" s="9">
        <v>31357.040000000001</v>
      </c>
      <c r="Q16" s="9">
        <v>31429.68</v>
      </c>
      <c r="R16" s="9">
        <v>30896.41</v>
      </c>
      <c r="S16" s="9">
        <v>30829.03</v>
      </c>
      <c r="T16" s="9">
        <v>31240.09</v>
      </c>
      <c r="U16" s="9">
        <v>33163.379999999997</v>
      </c>
      <c r="V16" s="9">
        <v>33138.86</v>
      </c>
      <c r="W16" s="9">
        <v>38249.11</v>
      </c>
      <c r="X16" s="9">
        <v>40250.879999999997</v>
      </c>
      <c r="Y16" s="9">
        <v>38437.21</v>
      </c>
      <c r="Z16" s="9">
        <v>35980.29</v>
      </c>
      <c r="AA16" s="9">
        <v>32337.64</v>
      </c>
      <c r="AB16" s="9">
        <v>28881.25</v>
      </c>
      <c r="AC16" s="61"/>
      <c r="AE16" s="8">
        <f>+AC43</f>
        <v>22015326.210000001</v>
      </c>
    </row>
    <row r="17" spans="2:31" ht="18.600000000000001" customHeight="1" x14ac:dyDescent="0.2">
      <c r="B17" s="49" t="s">
        <v>34</v>
      </c>
      <c r="C17" s="4" t="s">
        <v>31</v>
      </c>
      <c r="D17" s="5">
        <v>4</v>
      </c>
      <c r="E17" s="9">
        <v>20836.740000000002</v>
      </c>
      <c r="F17" s="9">
        <v>19085.400000000001</v>
      </c>
      <c r="G17" s="9">
        <v>18189.939999999999</v>
      </c>
      <c r="H17" s="9">
        <v>17489.62</v>
      </c>
      <c r="I17" s="9">
        <v>17226.36</v>
      </c>
      <c r="J17" s="9">
        <v>17172.96</v>
      </c>
      <c r="K17" s="9">
        <v>14471.68</v>
      </c>
      <c r="L17" s="9">
        <v>23301.919999999998</v>
      </c>
      <c r="M17" s="9">
        <v>24239.41</v>
      </c>
      <c r="N17" s="9">
        <v>25776.400000000001</v>
      </c>
      <c r="O17" s="9">
        <v>26212.48</v>
      </c>
      <c r="P17" s="9">
        <v>27129.14</v>
      </c>
      <c r="Q17" s="9">
        <v>27960.26</v>
      </c>
      <c r="R17" s="9">
        <v>28423.09</v>
      </c>
      <c r="S17" s="9">
        <v>28210.720000000001</v>
      </c>
      <c r="T17" s="9">
        <v>28779.14</v>
      </c>
      <c r="U17" s="9">
        <v>30598.62</v>
      </c>
      <c r="V17" s="9">
        <v>30461.97</v>
      </c>
      <c r="W17" s="9">
        <v>35459.96</v>
      </c>
      <c r="X17" s="9">
        <v>38875.279999999999</v>
      </c>
      <c r="Y17" s="9">
        <v>37961.64</v>
      </c>
      <c r="Z17" s="9">
        <v>35296.71</v>
      </c>
      <c r="AA17" s="9">
        <v>30930.32</v>
      </c>
      <c r="AB17" s="9">
        <v>26848.16</v>
      </c>
      <c r="AC17" s="61"/>
      <c r="AE17" s="8">
        <f>+AC47</f>
        <v>22410233.719999999</v>
      </c>
    </row>
    <row r="18" spans="2:31" ht="18.600000000000001" customHeight="1" x14ac:dyDescent="0.2">
      <c r="B18" s="49" t="s">
        <v>34</v>
      </c>
      <c r="C18" s="4" t="s">
        <v>32</v>
      </c>
      <c r="D18" s="5">
        <v>3</v>
      </c>
      <c r="E18" s="9">
        <v>19572.810000000001</v>
      </c>
      <c r="F18" s="9">
        <v>17911.23</v>
      </c>
      <c r="G18" s="9">
        <v>17136.25</v>
      </c>
      <c r="H18" s="9">
        <v>16716.46</v>
      </c>
      <c r="I18" s="9">
        <v>16643.560000000001</v>
      </c>
      <c r="J18" s="9">
        <v>17083.89</v>
      </c>
      <c r="K18" s="9">
        <v>14784.55</v>
      </c>
      <c r="L18" s="9">
        <v>24247.14</v>
      </c>
      <c r="M18" s="9">
        <v>24831.8</v>
      </c>
      <c r="N18" s="9">
        <v>25131.02</v>
      </c>
      <c r="O18" s="9">
        <v>25493.78</v>
      </c>
      <c r="P18" s="9">
        <v>27071.75</v>
      </c>
      <c r="Q18" s="9">
        <v>28249.29</v>
      </c>
      <c r="R18" s="9">
        <v>28037.599999999999</v>
      </c>
      <c r="S18" s="9">
        <v>27262.2</v>
      </c>
      <c r="T18" s="9">
        <v>27713.41</v>
      </c>
      <c r="U18" s="9">
        <v>29642.04</v>
      </c>
      <c r="V18" s="9">
        <v>29420.12</v>
      </c>
      <c r="W18" s="9">
        <v>34713.86</v>
      </c>
      <c r="X18" s="9">
        <v>37349.14</v>
      </c>
      <c r="Y18" s="9">
        <v>35842.89</v>
      </c>
      <c r="Z18" s="9">
        <v>33760.92</v>
      </c>
      <c r="AA18" s="9">
        <v>31135.24</v>
      </c>
      <c r="AB18" s="9">
        <v>27683.56</v>
      </c>
      <c r="AC18" s="62"/>
      <c r="AE18" s="8">
        <f>+AC51</f>
        <v>21934849.270000003</v>
      </c>
    </row>
    <row r="19" spans="2:31" ht="18.600000000000001" customHeight="1" x14ac:dyDescent="0.2">
      <c r="B19" s="49" t="s">
        <v>35</v>
      </c>
      <c r="C19" s="4" t="s">
        <v>29</v>
      </c>
      <c r="D19" s="5">
        <v>22</v>
      </c>
      <c r="E19" s="9">
        <v>19673.5</v>
      </c>
      <c r="F19" s="9">
        <v>18376.490000000002</v>
      </c>
      <c r="G19" s="9">
        <v>17881.259999999998</v>
      </c>
      <c r="H19" s="9">
        <v>17802.52</v>
      </c>
      <c r="I19" s="9">
        <v>19451.57</v>
      </c>
      <c r="J19" s="9">
        <v>25078.63</v>
      </c>
      <c r="K19" s="9">
        <v>25433.7</v>
      </c>
      <c r="L19" s="9">
        <v>33164</v>
      </c>
      <c r="M19" s="9">
        <v>30403.040000000001</v>
      </c>
      <c r="N19" s="9">
        <v>30230.94</v>
      </c>
      <c r="O19" s="9">
        <v>31210.82</v>
      </c>
      <c r="P19" s="9">
        <v>31588.3</v>
      </c>
      <c r="Q19" s="9">
        <v>31562.23</v>
      </c>
      <c r="R19" s="9">
        <v>32092</v>
      </c>
      <c r="S19" s="9">
        <v>33572.800000000003</v>
      </c>
      <c r="T19" s="9">
        <v>34840.019999999997</v>
      </c>
      <c r="U19" s="9">
        <v>37348.660000000003</v>
      </c>
      <c r="V19" s="9">
        <v>36597.160000000003</v>
      </c>
      <c r="W19" s="9">
        <v>42203.3</v>
      </c>
      <c r="X19" s="9">
        <v>43689.64</v>
      </c>
      <c r="Y19" s="9">
        <v>41899.08</v>
      </c>
      <c r="Z19" s="9">
        <v>38279.910000000003</v>
      </c>
      <c r="AA19" s="9">
        <v>32720.93</v>
      </c>
      <c r="AB19" s="9">
        <v>28105.14</v>
      </c>
      <c r="AC19" s="60">
        <f>+SUM(E19:AB19)*D19+SUM(E20:AB20)*D20+SUM(E21:AB21)*D21+SUM(E22:AB22)*D22</f>
        <v>21698464.32</v>
      </c>
    </row>
    <row r="20" spans="2:31" ht="18.600000000000001" customHeight="1" x14ac:dyDescent="0.2">
      <c r="B20" s="49" t="s">
        <v>35</v>
      </c>
      <c r="C20" s="4" t="s">
        <v>30</v>
      </c>
      <c r="D20" s="5">
        <v>4</v>
      </c>
      <c r="E20" s="9">
        <v>20898.189999999999</v>
      </c>
      <c r="F20" s="9">
        <v>19547.57</v>
      </c>
      <c r="G20" s="9">
        <v>18389.990000000002</v>
      </c>
      <c r="H20" s="9">
        <v>18180.78</v>
      </c>
      <c r="I20" s="9">
        <v>18812.12</v>
      </c>
      <c r="J20" s="9">
        <v>20239.45</v>
      </c>
      <c r="K20" s="9">
        <v>18731.150000000001</v>
      </c>
      <c r="L20" s="9">
        <v>31299.7</v>
      </c>
      <c r="M20" s="9">
        <v>32103</v>
      </c>
      <c r="N20" s="9">
        <v>32660.44</v>
      </c>
      <c r="O20" s="9">
        <v>33026.39</v>
      </c>
      <c r="P20" s="9">
        <v>33845.919999999998</v>
      </c>
      <c r="Q20" s="9">
        <v>34811.68</v>
      </c>
      <c r="R20" s="9">
        <v>32948.61</v>
      </c>
      <c r="S20" s="9">
        <v>32738.7</v>
      </c>
      <c r="T20" s="9">
        <v>33432.5</v>
      </c>
      <c r="U20" s="9">
        <v>35663.839999999997</v>
      </c>
      <c r="V20" s="9">
        <v>32520.19</v>
      </c>
      <c r="W20" s="9">
        <v>40874.47</v>
      </c>
      <c r="X20" s="9">
        <v>42465.33</v>
      </c>
      <c r="Y20" s="9">
        <v>40513.5</v>
      </c>
      <c r="Z20" s="9">
        <v>37947.32</v>
      </c>
      <c r="AA20" s="9">
        <v>33809.919999999998</v>
      </c>
      <c r="AB20" s="9">
        <v>32066.95</v>
      </c>
      <c r="AC20" s="61"/>
    </row>
    <row r="21" spans="2:31" ht="18.600000000000001" customHeight="1" x14ac:dyDescent="0.2">
      <c r="B21" s="49" t="s">
        <v>35</v>
      </c>
      <c r="C21" s="4" t="s">
        <v>31</v>
      </c>
      <c r="D21" s="5">
        <v>4</v>
      </c>
      <c r="E21" s="9">
        <v>21928.49</v>
      </c>
      <c r="F21" s="9">
        <v>20295.98</v>
      </c>
      <c r="G21" s="9">
        <v>19263.5</v>
      </c>
      <c r="H21" s="9">
        <v>18512.47</v>
      </c>
      <c r="I21" s="9">
        <v>18021.2</v>
      </c>
      <c r="J21" s="9">
        <v>17977.07</v>
      </c>
      <c r="K21" s="9">
        <v>15819.01</v>
      </c>
      <c r="L21" s="9">
        <v>25012.86</v>
      </c>
      <c r="M21" s="9">
        <v>25765.4</v>
      </c>
      <c r="N21" s="9">
        <v>26817.43</v>
      </c>
      <c r="O21" s="9">
        <v>27694.799999999999</v>
      </c>
      <c r="P21" s="9">
        <v>28883.85</v>
      </c>
      <c r="Q21" s="9">
        <v>30470.65</v>
      </c>
      <c r="R21" s="9">
        <v>30985.919999999998</v>
      </c>
      <c r="S21" s="9">
        <v>30162.41</v>
      </c>
      <c r="T21" s="9">
        <v>30356.58</v>
      </c>
      <c r="U21" s="9">
        <v>32188.54</v>
      </c>
      <c r="V21" s="9">
        <v>32784.769999999997</v>
      </c>
      <c r="W21" s="9">
        <v>38323.46</v>
      </c>
      <c r="X21" s="9">
        <v>40149.64</v>
      </c>
      <c r="Y21" s="9">
        <v>39073.599999999999</v>
      </c>
      <c r="Z21" s="9">
        <v>35840.94</v>
      </c>
      <c r="AA21" s="9">
        <v>31360.84</v>
      </c>
      <c r="AB21" s="9">
        <v>26767.94</v>
      </c>
      <c r="AC21" s="61"/>
    </row>
    <row r="22" spans="2:31" ht="18.600000000000001" customHeight="1" x14ac:dyDescent="0.2">
      <c r="B22" s="49" t="s">
        <v>35</v>
      </c>
      <c r="C22" s="4" t="s">
        <v>32</v>
      </c>
      <c r="D22" s="5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62"/>
    </row>
    <row r="23" spans="2:31" ht="18.600000000000001" customHeight="1" x14ac:dyDescent="0.2">
      <c r="B23" s="49" t="s">
        <v>36</v>
      </c>
      <c r="C23" s="4" t="s">
        <v>29</v>
      </c>
      <c r="D23" s="5">
        <v>19</v>
      </c>
      <c r="E23" s="9">
        <v>18912.03</v>
      </c>
      <c r="F23" s="9">
        <v>17846.16</v>
      </c>
      <c r="G23" s="9">
        <v>17351</v>
      </c>
      <c r="H23" s="9">
        <v>17310.669999999998</v>
      </c>
      <c r="I23" s="9">
        <v>18918.990000000002</v>
      </c>
      <c r="J23" s="9">
        <v>24261.46</v>
      </c>
      <c r="K23" s="9">
        <v>24694.35</v>
      </c>
      <c r="L23" s="9">
        <v>32544.73</v>
      </c>
      <c r="M23" s="9">
        <v>30415.42</v>
      </c>
      <c r="N23" s="9">
        <v>30234.47</v>
      </c>
      <c r="O23" s="9">
        <v>31472.97</v>
      </c>
      <c r="P23" s="9">
        <v>33077.660000000003</v>
      </c>
      <c r="Q23" s="9">
        <v>32293.15</v>
      </c>
      <c r="R23" s="9">
        <v>32272.91</v>
      </c>
      <c r="S23" s="9">
        <v>33382.57</v>
      </c>
      <c r="T23" s="9">
        <v>34376.31</v>
      </c>
      <c r="U23" s="9">
        <v>36452</v>
      </c>
      <c r="V23" s="9">
        <v>35504.1</v>
      </c>
      <c r="W23" s="9">
        <v>41106.57</v>
      </c>
      <c r="X23" s="9">
        <v>42474.49</v>
      </c>
      <c r="Y23" s="9">
        <v>40541.68</v>
      </c>
      <c r="Z23" s="9">
        <v>37156.1</v>
      </c>
      <c r="AA23" s="9">
        <v>31979.52</v>
      </c>
      <c r="AB23" s="9">
        <v>27407.4</v>
      </c>
      <c r="AC23" s="60">
        <f>+SUM(E23:AB23)*D23+SUM(E24:AB24)*D24+SUM(E25:AB25)*D25+SUM(E26:AB26)*D26</f>
        <v>21766749.480000004</v>
      </c>
    </row>
    <row r="24" spans="2:31" ht="18.600000000000001" customHeight="1" x14ac:dyDescent="0.2">
      <c r="B24" s="49" t="s">
        <v>36</v>
      </c>
      <c r="C24" s="4" t="s">
        <v>30</v>
      </c>
      <c r="D24" s="5">
        <v>4</v>
      </c>
      <c r="E24" s="9">
        <v>20426.12</v>
      </c>
      <c r="F24" s="9">
        <v>19079.91</v>
      </c>
      <c r="G24" s="9">
        <v>18283.75</v>
      </c>
      <c r="H24" s="9">
        <v>17910.919999999998</v>
      </c>
      <c r="I24" s="9">
        <v>18482.14</v>
      </c>
      <c r="J24" s="9">
        <v>19547.650000000001</v>
      </c>
      <c r="K24" s="9">
        <v>19572.12</v>
      </c>
      <c r="L24" s="9">
        <v>30776.41</v>
      </c>
      <c r="M24" s="9">
        <v>31048.98</v>
      </c>
      <c r="N24" s="9">
        <v>31717.19</v>
      </c>
      <c r="O24" s="9">
        <v>32421.4</v>
      </c>
      <c r="P24" s="9">
        <v>33498.300000000003</v>
      </c>
      <c r="Q24" s="9">
        <v>33411.1</v>
      </c>
      <c r="R24" s="9">
        <v>32399.71</v>
      </c>
      <c r="S24" s="9">
        <v>32121.22</v>
      </c>
      <c r="T24" s="9">
        <v>32592.639999999999</v>
      </c>
      <c r="U24" s="9">
        <v>34773.1</v>
      </c>
      <c r="V24" s="9">
        <v>34225.370000000003</v>
      </c>
      <c r="W24" s="9">
        <v>39858.83</v>
      </c>
      <c r="X24" s="9">
        <v>41131.99</v>
      </c>
      <c r="Y24" s="9">
        <v>39327.24</v>
      </c>
      <c r="Z24" s="9">
        <v>36732.54</v>
      </c>
      <c r="AA24" s="9">
        <v>32893.519999999997</v>
      </c>
      <c r="AB24" s="9">
        <v>28634.97</v>
      </c>
      <c r="AC24" s="61"/>
    </row>
    <row r="25" spans="2:31" ht="18.600000000000001" customHeight="1" x14ac:dyDescent="0.2">
      <c r="B25" s="49" t="s">
        <v>36</v>
      </c>
      <c r="C25" s="4" t="s">
        <v>31</v>
      </c>
      <c r="D25" s="5">
        <v>5</v>
      </c>
      <c r="E25" s="9">
        <v>20985.439999999999</v>
      </c>
      <c r="F25" s="9">
        <v>19427.599999999999</v>
      </c>
      <c r="G25" s="9">
        <v>18424.96</v>
      </c>
      <c r="H25" s="9">
        <v>17697.189999999999</v>
      </c>
      <c r="I25" s="9">
        <v>17496.89</v>
      </c>
      <c r="J25" s="9">
        <v>16981.580000000002</v>
      </c>
      <c r="K25" s="9">
        <v>15220.09</v>
      </c>
      <c r="L25" s="9">
        <v>24455.35</v>
      </c>
      <c r="M25" s="9">
        <v>25345.61</v>
      </c>
      <c r="N25" s="9">
        <v>26817.88</v>
      </c>
      <c r="O25" s="9">
        <v>27948.49</v>
      </c>
      <c r="P25" s="9">
        <v>29223.16</v>
      </c>
      <c r="Q25" s="9">
        <v>29403.439999999999</v>
      </c>
      <c r="R25" s="9">
        <v>28836.59</v>
      </c>
      <c r="S25" s="9">
        <v>28258.639999999999</v>
      </c>
      <c r="T25" s="9">
        <v>28793.759999999998</v>
      </c>
      <c r="U25" s="9">
        <v>30997.71</v>
      </c>
      <c r="V25" s="9">
        <v>30950.19</v>
      </c>
      <c r="W25" s="9">
        <v>36790.44</v>
      </c>
      <c r="X25" s="9">
        <v>38689.660000000003</v>
      </c>
      <c r="Y25" s="9">
        <v>37857.839999999997</v>
      </c>
      <c r="Z25" s="9">
        <v>35178.28</v>
      </c>
      <c r="AA25" s="9">
        <v>31113.91</v>
      </c>
      <c r="AB25" s="9">
        <v>26667.98</v>
      </c>
      <c r="AC25" s="61"/>
    </row>
    <row r="26" spans="2:31" ht="18.600000000000001" customHeight="1" x14ac:dyDescent="0.2">
      <c r="B26" s="49" t="s">
        <v>36</v>
      </c>
      <c r="C26" s="4" t="s">
        <v>32</v>
      </c>
      <c r="D26" s="5">
        <v>3</v>
      </c>
      <c r="E26" s="9">
        <v>19318.439999999999</v>
      </c>
      <c r="F26" s="9">
        <v>17926.09</v>
      </c>
      <c r="G26" s="9">
        <v>17308.64</v>
      </c>
      <c r="H26" s="9">
        <v>16808.45</v>
      </c>
      <c r="I26" s="9">
        <v>17060.419999999998</v>
      </c>
      <c r="J26" s="9">
        <v>17079.66</v>
      </c>
      <c r="K26" s="9">
        <v>15415.97</v>
      </c>
      <c r="L26" s="9">
        <v>24741.18</v>
      </c>
      <c r="M26" s="9">
        <v>25360.28</v>
      </c>
      <c r="N26" s="9">
        <v>26804.59</v>
      </c>
      <c r="O26" s="9">
        <v>28705.919999999998</v>
      </c>
      <c r="P26" s="9">
        <v>30971.82</v>
      </c>
      <c r="Q26" s="9">
        <v>31985.88</v>
      </c>
      <c r="R26" s="9">
        <v>31358.560000000001</v>
      </c>
      <c r="S26" s="9">
        <v>30750.71</v>
      </c>
      <c r="T26" s="9">
        <v>31060.55</v>
      </c>
      <c r="U26" s="9">
        <v>32986.800000000003</v>
      </c>
      <c r="V26" s="9">
        <v>32864.269999999997</v>
      </c>
      <c r="W26" s="9">
        <v>39215.949999999997</v>
      </c>
      <c r="X26" s="9">
        <v>41363.620000000003</v>
      </c>
      <c r="Y26" s="9">
        <v>39575.300000000003</v>
      </c>
      <c r="Z26" s="9">
        <v>36214.33</v>
      </c>
      <c r="AA26" s="9">
        <v>31262.720000000001</v>
      </c>
      <c r="AB26" s="9">
        <v>26433.22</v>
      </c>
      <c r="AC26" s="62"/>
    </row>
    <row r="27" spans="2:31" ht="18.600000000000001" customHeight="1" x14ac:dyDescent="0.2">
      <c r="B27" s="49" t="s">
        <v>37</v>
      </c>
      <c r="C27" s="4" t="s">
        <v>29</v>
      </c>
      <c r="D27" s="5">
        <v>21</v>
      </c>
      <c r="E27" s="9">
        <v>19170.080000000002</v>
      </c>
      <c r="F27" s="9">
        <v>17920.98</v>
      </c>
      <c r="G27" s="9">
        <v>17402.740000000002</v>
      </c>
      <c r="H27" s="9">
        <v>17352.29</v>
      </c>
      <c r="I27" s="9">
        <v>18646.740000000002</v>
      </c>
      <c r="J27" s="9">
        <v>22335.37</v>
      </c>
      <c r="K27" s="9">
        <v>23062.76</v>
      </c>
      <c r="L27" s="9">
        <v>32445.52</v>
      </c>
      <c r="M27" s="9">
        <v>31052.84</v>
      </c>
      <c r="N27" s="9">
        <v>31312.66</v>
      </c>
      <c r="O27" s="9">
        <v>32637.23</v>
      </c>
      <c r="P27" s="9">
        <v>34715.26</v>
      </c>
      <c r="Q27" s="9">
        <v>33888.5</v>
      </c>
      <c r="R27" s="9">
        <v>33605.199999999997</v>
      </c>
      <c r="S27" s="9">
        <v>34671.480000000003</v>
      </c>
      <c r="T27" s="9">
        <v>35343.919999999998</v>
      </c>
      <c r="U27" s="9">
        <v>37363.47</v>
      </c>
      <c r="V27" s="9">
        <v>36329.870000000003</v>
      </c>
      <c r="W27" s="9">
        <v>41770.76</v>
      </c>
      <c r="X27" s="9">
        <v>43532.58</v>
      </c>
      <c r="Y27" s="9">
        <v>41516.519999999997</v>
      </c>
      <c r="Z27" s="9">
        <v>38179.269999999997</v>
      </c>
      <c r="AA27" s="9">
        <v>32898.660000000003</v>
      </c>
      <c r="AB27" s="9">
        <v>28097.41</v>
      </c>
      <c r="AC27" s="60">
        <f>+SUM(E27:AB27)*D27+SUM(E28:AB28)*D28+SUM(E29:AB29)*D29+SUM(E30:AB30)*D30</f>
        <v>21609648.240000002</v>
      </c>
    </row>
    <row r="28" spans="2:31" ht="18.600000000000001" customHeight="1" x14ac:dyDescent="0.2">
      <c r="B28" s="49" t="s">
        <v>37</v>
      </c>
      <c r="C28" s="4" t="s">
        <v>30</v>
      </c>
      <c r="D28" s="5">
        <v>4</v>
      </c>
      <c r="E28" s="9">
        <v>20692.48</v>
      </c>
      <c r="F28" s="9">
        <v>19144.099999999999</v>
      </c>
      <c r="G28" s="9">
        <v>18429.57</v>
      </c>
      <c r="H28" s="9">
        <v>17951.86</v>
      </c>
      <c r="I28" s="9">
        <v>18633.55</v>
      </c>
      <c r="J28" s="9">
        <v>19566.490000000002</v>
      </c>
      <c r="K28" s="9">
        <v>19730.259999999998</v>
      </c>
      <c r="L28" s="9">
        <v>31045.06</v>
      </c>
      <c r="M28" s="9">
        <v>31338.959999999999</v>
      </c>
      <c r="N28" s="9">
        <v>31938.080000000002</v>
      </c>
      <c r="O28" s="9">
        <v>32601.96</v>
      </c>
      <c r="P28" s="9">
        <v>34018</v>
      </c>
      <c r="Q28" s="9">
        <v>33976.75</v>
      </c>
      <c r="R28" s="9">
        <v>33198.089999999997</v>
      </c>
      <c r="S28" s="9">
        <v>33197.15</v>
      </c>
      <c r="T28" s="9">
        <v>33702.019999999997</v>
      </c>
      <c r="U28" s="9">
        <v>35579.78</v>
      </c>
      <c r="V28" s="9">
        <v>35156.019999999997</v>
      </c>
      <c r="W28" s="9">
        <v>40635.46</v>
      </c>
      <c r="X28" s="9">
        <v>42667.76</v>
      </c>
      <c r="Y28" s="9">
        <v>40723.72</v>
      </c>
      <c r="Z28" s="9">
        <v>37712.9</v>
      </c>
      <c r="AA28" s="9">
        <v>33857.629999999997</v>
      </c>
      <c r="AB28" s="9">
        <v>29502.240000000002</v>
      </c>
      <c r="AC28" s="61"/>
    </row>
    <row r="29" spans="2:31" ht="18.600000000000001" customHeight="1" x14ac:dyDescent="0.2">
      <c r="B29" s="49" t="s">
        <v>37</v>
      </c>
      <c r="C29" s="4" t="s">
        <v>31</v>
      </c>
      <c r="D29" s="5">
        <v>4</v>
      </c>
      <c r="E29" s="9">
        <v>21247.4</v>
      </c>
      <c r="F29" s="9">
        <v>19926.400000000001</v>
      </c>
      <c r="G29" s="9">
        <v>18698.04</v>
      </c>
      <c r="H29" s="9">
        <v>18114.16</v>
      </c>
      <c r="I29" s="9">
        <v>17895.64</v>
      </c>
      <c r="J29" s="9">
        <v>17342.68</v>
      </c>
      <c r="K29" s="9">
        <v>15303.16</v>
      </c>
      <c r="L29" s="9">
        <v>24742.25</v>
      </c>
      <c r="M29" s="9">
        <v>25678.18</v>
      </c>
      <c r="N29" s="9">
        <v>26715.15</v>
      </c>
      <c r="O29" s="9">
        <v>27490.26</v>
      </c>
      <c r="P29" s="9">
        <v>28992</v>
      </c>
      <c r="Q29" s="9">
        <v>29899.4</v>
      </c>
      <c r="R29" s="9">
        <v>29405.72</v>
      </c>
      <c r="S29" s="9">
        <v>29073.31</v>
      </c>
      <c r="T29" s="9">
        <v>29493.18</v>
      </c>
      <c r="U29" s="9">
        <v>31294.66</v>
      </c>
      <c r="V29" s="9">
        <v>31469.1</v>
      </c>
      <c r="W29" s="9">
        <v>36976.51</v>
      </c>
      <c r="X29" s="9">
        <v>39209.32</v>
      </c>
      <c r="Y29" s="9">
        <v>38109.81</v>
      </c>
      <c r="Z29" s="9">
        <v>35417.1</v>
      </c>
      <c r="AA29" s="9">
        <v>31563.1</v>
      </c>
      <c r="AB29" s="9">
        <v>27398.66</v>
      </c>
      <c r="AC29" s="61"/>
    </row>
    <row r="30" spans="2:31" ht="18.600000000000001" customHeight="1" x14ac:dyDescent="0.2">
      <c r="B30" s="49" t="s">
        <v>37</v>
      </c>
      <c r="C30" s="4" t="s">
        <v>32</v>
      </c>
      <c r="D30" s="5">
        <v>1</v>
      </c>
      <c r="E30" s="9">
        <v>20631.310000000001</v>
      </c>
      <c r="F30" s="9">
        <v>19153.82</v>
      </c>
      <c r="G30" s="9">
        <v>18244.8</v>
      </c>
      <c r="H30" s="9">
        <v>17638.150000000001</v>
      </c>
      <c r="I30" s="9">
        <v>17886.509999999998</v>
      </c>
      <c r="J30" s="9">
        <v>17656.810000000001</v>
      </c>
      <c r="K30" s="9">
        <v>15590.72</v>
      </c>
      <c r="L30" s="9">
        <v>24447.42</v>
      </c>
      <c r="M30" s="9">
        <v>25181.58</v>
      </c>
      <c r="N30" s="9">
        <v>25989.25</v>
      </c>
      <c r="O30" s="9">
        <v>28053.32</v>
      </c>
      <c r="P30" s="9">
        <v>30402.1</v>
      </c>
      <c r="Q30" s="9">
        <v>31148.94</v>
      </c>
      <c r="R30" s="9">
        <v>29831.93</v>
      </c>
      <c r="S30" s="9">
        <v>29688.65</v>
      </c>
      <c r="T30" s="9">
        <v>29829.22</v>
      </c>
      <c r="U30" s="9">
        <v>31485.7</v>
      </c>
      <c r="V30" s="9">
        <v>33384</v>
      </c>
      <c r="W30" s="9">
        <v>39735.589999999997</v>
      </c>
      <c r="X30" s="9">
        <v>42120.1</v>
      </c>
      <c r="Y30" s="9">
        <v>40256.629999999997</v>
      </c>
      <c r="Z30" s="9">
        <v>36605.29</v>
      </c>
      <c r="AA30" s="9">
        <v>31653.18</v>
      </c>
      <c r="AB30" s="9">
        <v>26918.59</v>
      </c>
      <c r="AC30" s="62"/>
    </row>
    <row r="31" spans="2:31" ht="18.600000000000001" customHeight="1" x14ac:dyDescent="0.2">
      <c r="B31" s="49" t="s">
        <v>38</v>
      </c>
      <c r="C31" s="4" t="s">
        <v>29</v>
      </c>
      <c r="D31" s="5">
        <v>20</v>
      </c>
      <c r="E31" s="9">
        <v>19711.52</v>
      </c>
      <c r="F31" s="9">
        <v>18417.27</v>
      </c>
      <c r="G31" s="9">
        <v>17915.62</v>
      </c>
      <c r="H31" s="9">
        <v>17706.57</v>
      </c>
      <c r="I31" s="9">
        <v>19080.93</v>
      </c>
      <c r="J31" s="9">
        <v>23648.52</v>
      </c>
      <c r="K31" s="9">
        <v>23381.72</v>
      </c>
      <c r="L31" s="9">
        <v>32232.42</v>
      </c>
      <c r="M31" s="9">
        <v>30387.08</v>
      </c>
      <c r="N31" s="9">
        <v>30533.82</v>
      </c>
      <c r="O31" s="9">
        <v>31894.05</v>
      </c>
      <c r="P31" s="9">
        <v>34083.769999999997</v>
      </c>
      <c r="Q31" s="9">
        <v>33003.1</v>
      </c>
      <c r="R31" s="9">
        <v>32945.79</v>
      </c>
      <c r="S31" s="9">
        <v>34449.47</v>
      </c>
      <c r="T31" s="9">
        <v>35241.129999999997</v>
      </c>
      <c r="U31" s="9">
        <v>37011.980000000003</v>
      </c>
      <c r="V31" s="9">
        <v>35255.39</v>
      </c>
      <c r="W31" s="9">
        <v>40418.879999999997</v>
      </c>
      <c r="X31" s="9">
        <v>42937.8</v>
      </c>
      <c r="Y31" s="9">
        <v>41022.400000000001</v>
      </c>
      <c r="Z31" s="9">
        <v>37716.28</v>
      </c>
      <c r="AA31" s="9">
        <v>32456.11</v>
      </c>
      <c r="AB31" s="9">
        <v>27327.360000000001</v>
      </c>
      <c r="AC31" s="60">
        <f>+SUM(E31:AB31)*D31+SUM(E32:AB32)*D32+SUM(E33:AB33)*D33+SUM(E34:AB34)*D34</f>
        <v>22030648.810000002</v>
      </c>
    </row>
    <row r="32" spans="2:31" ht="18.600000000000001" customHeight="1" x14ac:dyDescent="0.2">
      <c r="B32" s="49" t="s">
        <v>38</v>
      </c>
      <c r="C32" s="4" t="s">
        <v>30</v>
      </c>
      <c r="D32" s="5">
        <v>5</v>
      </c>
      <c r="E32" s="9">
        <v>19333.080000000002</v>
      </c>
      <c r="F32" s="9">
        <v>18144.02</v>
      </c>
      <c r="G32" s="9">
        <v>17325.599999999999</v>
      </c>
      <c r="H32" s="9">
        <v>17283.82</v>
      </c>
      <c r="I32" s="9">
        <v>17662.23</v>
      </c>
      <c r="J32" s="9">
        <v>18711.55</v>
      </c>
      <c r="K32" s="9">
        <v>18644.87</v>
      </c>
      <c r="L32" s="9">
        <v>30092.48</v>
      </c>
      <c r="M32" s="9">
        <v>30572.97</v>
      </c>
      <c r="N32" s="9">
        <v>31382.9</v>
      </c>
      <c r="O32" s="9">
        <v>31951.47</v>
      </c>
      <c r="P32" s="9">
        <v>33293.379999999997</v>
      </c>
      <c r="Q32" s="9">
        <v>33093.83</v>
      </c>
      <c r="R32" s="9">
        <v>32393.87</v>
      </c>
      <c r="S32" s="9">
        <v>32207.52</v>
      </c>
      <c r="T32" s="9">
        <v>32593.42</v>
      </c>
      <c r="U32" s="9">
        <v>34699.769999999997</v>
      </c>
      <c r="V32" s="9">
        <v>33698.18</v>
      </c>
      <c r="W32" s="9">
        <v>38924.03</v>
      </c>
      <c r="X32" s="9">
        <v>41330.17</v>
      </c>
      <c r="Y32" s="9">
        <v>39497.24</v>
      </c>
      <c r="Z32" s="9">
        <v>36870.019999999997</v>
      </c>
      <c r="AA32" s="9">
        <v>32780.620000000003</v>
      </c>
      <c r="AB32" s="9">
        <v>28588.15</v>
      </c>
      <c r="AC32" s="61"/>
    </row>
    <row r="33" spans="2:29" ht="18.600000000000001" customHeight="1" x14ac:dyDescent="0.2">
      <c r="B33" s="49" t="s">
        <v>38</v>
      </c>
      <c r="C33" s="4" t="s">
        <v>31</v>
      </c>
      <c r="D33" s="5">
        <v>4</v>
      </c>
      <c r="E33" s="9">
        <v>21063.62</v>
      </c>
      <c r="F33" s="9">
        <v>19715.310000000001</v>
      </c>
      <c r="G33" s="9">
        <v>18334.54</v>
      </c>
      <c r="H33" s="9">
        <v>17852.91</v>
      </c>
      <c r="I33" s="9">
        <v>17640.32</v>
      </c>
      <c r="J33" s="9">
        <v>17354.759999999998</v>
      </c>
      <c r="K33" s="9">
        <v>15057.72</v>
      </c>
      <c r="L33" s="9">
        <v>24599.68</v>
      </c>
      <c r="M33" s="9">
        <v>25304.28</v>
      </c>
      <c r="N33" s="9">
        <v>26724.880000000001</v>
      </c>
      <c r="O33" s="9">
        <v>27879.3</v>
      </c>
      <c r="P33" s="9">
        <v>29789.79</v>
      </c>
      <c r="Q33" s="9">
        <v>30422.28</v>
      </c>
      <c r="R33" s="9">
        <v>30234.94</v>
      </c>
      <c r="S33" s="9">
        <v>29880.82</v>
      </c>
      <c r="T33" s="9">
        <v>30368.7</v>
      </c>
      <c r="U33" s="9">
        <v>32301.4</v>
      </c>
      <c r="V33" s="9">
        <v>31639.07</v>
      </c>
      <c r="W33" s="9">
        <v>37021.35</v>
      </c>
      <c r="X33" s="9">
        <v>39704.85</v>
      </c>
      <c r="Y33" s="9">
        <v>38222.239999999998</v>
      </c>
      <c r="Z33" s="9">
        <v>35575.730000000003</v>
      </c>
      <c r="AA33" s="9">
        <v>31839.55</v>
      </c>
      <c r="AB33" s="9">
        <v>27702.48</v>
      </c>
      <c r="AC33" s="61"/>
    </row>
    <row r="34" spans="2:29" ht="18.600000000000001" customHeight="1" x14ac:dyDescent="0.2">
      <c r="B34" s="49" t="s">
        <v>38</v>
      </c>
      <c r="C34" s="4" t="s">
        <v>32</v>
      </c>
      <c r="D34" s="5">
        <v>2</v>
      </c>
      <c r="E34" s="9">
        <v>20083.150000000001</v>
      </c>
      <c r="F34" s="9">
        <v>18626.91</v>
      </c>
      <c r="G34" s="9">
        <v>17761.28</v>
      </c>
      <c r="H34" s="9">
        <v>17742.87</v>
      </c>
      <c r="I34" s="9">
        <v>17381.64</v>
      </c>
      <c r="J34" s="9">
        <v>17693.64</v>
      </c>
      <c r="K34" s="9">
        <v>15895.68</v>
      </c>
      <c r="L34" s="9">
        <v>25925.040000000001</v>
      </c>
      <c r="M34" s="9">
        <v>26311.83</v>
      </c>
      <c r="N34" s="9">
        <v>27083.279999999999</v>
      </c>
      <c r="O34" s="9">
        <v>28784.05</v>
      </c>
      <c r="P34" s="9">
        <v>30466.86</v>
      </c>
      <c r="Q34" s="9">
        <v>31172.78</v>
      </c>
      <c r="R34" s="9">
        <v>30809.89</v>
      </c>
      <c r="S34" s="9">
        <v>30833.35</v>
      </c>
      <c r="T34" s="9">
        <v>31312.54</v>
      </c>
      <c r="U34" s="9">
        <v>32593.3</v>
      </c>
      <c r="V34" s="9">
        <v>31745.65</v>
      </c>
      <c r="W34" s="9">
        <v>37228.74</v>
      </c>
      <c r="X34" s="9">
        <v>39860.83</v>
      </c>
      <c r="Y34" s="9">
        <v>38499.24</v>
      </c>
      <c r="Z34" s="9">
        <v>35473.47</v>
      </c>
      <c r="AA34" s="9">
        <v>31525.68</v>
      </c>
      <c r="AB34" s="9">
        <v>27573.89</v>
      </c>
      <c r="AC34" s="62"/>
    </row>
    <row r="35" spans="2:29" ht="18.600000000000001" customHeight="1" x14ac:dyDescent="0.2">
      <c r="B35" s="49" t="s">
        <v>39</v>
      </c>
      <c r="C35" s="4" t="s">
        <v>29</v>
      </c>
      <c r="D35" s="5">
        <v>21</v>
      </c>
      <c r="E35" s="9">
        <v>19184.29</v>
      </c>
      <c r="F35" s="9">
        <v>18089.3</v>
      </c>
      <c r="G35" s="9">
        <v>17588.68</v>
      </c>
      <c r="H35" s="9">
        <v>17519.05</v>
      </c>
      <c r="I35" s="9">
        <v>19166.900000000001</v>
      </c>
      <c r="J35" s="9">
        <v>24450.86</v>
      </c>
      <c r="K35" s="9">
        <v>24334.66</v>
      </c>
      <c r="L35" s="9">
        <v>32487.200000000001</v>
      </c>
      <c r="M35" s="9">
        <v>30585.47</v>
      </c>
      <c r="N35" s="9">
        <v>30447.29</v>
      </c>
      <c r="O35" s="9">
        <v>31761.79</v>
      </c>
      <c r="P35" s="9">
        <v>33460.92</v>
      </c>
      <c r="Q35" s="9">
        <v>32318</v>
      </c>
      <c r="R35" s="9">
        <v>32593.279999999999</v>
      </c>
      <c r="S35" s="9">
        <v>34065.33</v>
      </c>
      <c r="T35" s="9">
        <v>34820.14</v>
      </c>
      <c r="U35" s="9">
        <v>36837.949999999997</v>
      </c>
      <c r="V35" s="9">
        <v>34905.47</v>
      </c>
      <c r="W35" s="9">
        <v>40771.61</v>
      </c>
      <c r="X35" s="9">
        <v>42900.13</v>
      </c>
      <c r="Y35" s="9">
        <v>41141.69</v>
      </c>
      <c r="Z35" s="9">
        <v>37829.51</v>
      </c>
      <c r="AA35" s="9">
        <v>31984.13</v>
      </c>
      <c r="AB35" s="9">
        <v>27374.04</v>
      </c>
      <c r="AC35" s="60">
        <f>+SUM(E35:AB35)*D35+SUM(E36:AB36)*D36+SUM(E37:AB37)*D37+SUM(E38:AB38)*D38</f>
        <v>21883418.030000001</v>
      </c>
    </row>
    <row r="36" spans="2:29" ht="18.600000000000001" customHeight="1" x14ac:dyDescent="0.2">
      <c r="B36" s="49" t="s">
        <v>39</v>
      </c>
      <c r="C36" s="4" t="s">
        <v>30</v>
      </c>
      <c r="D36" s="5">
        <v>3</v>
      </c>
      <c r="E36" s="9">
        <v>20780.060000000001</v>
      </c>
      <c r="F36" s="9">
        <v>19320.8</v>
      </c>
      <c r="G36" s="9">
        <v>18588.5</v>
      </c>
      <c r="H36" s="9">
        <v>18290.16</v>
      </c>
      <c r="I36" s="9">
        <v>18833.3</v>
      </c>
      <c r="J36" s="9">
        <v>20077.37</v>
      </c>
      <c r="K36" s="9">
        <v>19451.580000000002</v>
      </c>
      <c r="L36" s="9">
        <v>30784.67</v>
      </c>
      <c r="M36" s="9">
        <v>30985.19</v>
      </c>
      <c r="N36" s="9">
        <v>31757.7</v>
      </c>
      <c r="O36" s="9">
        <v>32571.599999999999</v>
      </c>
      <c r="P36" s="9">
        <v>34052.160000000003</v>
      </c>
      <c r="Q36" s="9">
        <v>33286.910000000003</v>
      </c>
      <c r="R36" s="9">
        <v>32469.71</v>
      </c>
      <c r="S36" s="9">
        <v>32140.92</v>
      </c>
      <c r="T36" s="9">
        <v>32468.16</v>
      </c>
      <c r="U36" s="9">
        <v>34879.660000000003</v>
      </c>
      <c r="V36" s="9">
        <v>33508.199999999997</v>
      </c>
      <c r="W36" s="9">
        <v>39619.86</v>
      </c>
      <c r="X36" s="9">
        <v>41303.300000000003</v>
      </c>
      <c r="Y36" s="9">
        <v>39319.57</v>
      </c>
      <c r="Z36" s="9">
        <v>36572.28</v>
      </c>
      <c r="AA36" s="9">
        <v>31954.3</v>
      </c>
      <c r="AB36" s="9">
        <v>28234</v>
      </c>
      <c r="AC36" s="61"/>
    </row>
    <row r="37" spans="2:29" ht="18.600000000000001" customHeight="1" x14ac:dyDescent="0.2">
      <c r="B37" s="49" t="s">
        <v>39</v>
      </c>
      <c r="C37" s="4" t="s">
        <v>31</v>
      </c>
      <c r="D37" s="5">
        <v>5</v>
      </c>
      <c r="E37" s="9">
        <v>20348.68</v>
      </c>
      <c r="F37" s="9">
        <v>19135.580000000002</v>
      </c>
      <c r="G37" s="9">
        <v>18253.689999999999</v>
      </c>
      <c r="H37" s="9">
        <v>17600.22</v>
      </c>
      <c r="I37" s="9">
        <v>17355.18</v>
      </c>
      <c r="J37" s="9">
        <v>17487.82</v>
      </c>
      <c r="K37" s="9">
        <v>14515.63</v>
      </c>
      <c r="L37" s="9">
        <v>23669.37</v>
      </c>
      <c r="M37" s="9">
        <v>24613.54</v>
      </c>
      <c r="N37" s="9">
        <v>25540.58</v>
      </c>
      <c r="O37" s="9">
        <v>26751.61</v>
      </c>
      <c r="P37" s="9">
        <v>28318.51</v>
      </c>
      <c r="Q37" s="9">
        <v>28769.360000000001</v>
      </c>
      <c r="R37" s="9">
        <v>29145.759999999998</v>
      </c>
      <c r="S37" s="9">
        <v>28839.94</v>
      </c>
      <c r="T37" s="9">
        <v>29070.78</v>
      </c>
      <c r="U37" s="9">
        <v>31271.73</v>
      </c>
      <c r="V37" s="9">
        <v>30541.91</v>
      </c>
      <c r="W37" s="9">
        <v>36370.81</v>
      </c>
      <c r="X37" s="9">
        <v>38572.300000000003</v>
      </c>
      <c r="Y37" s="9">
        <v>37565</v>
      </c>
      <c r="Z37" s="9">
        <v>34883.67</v>
      </c>
      <c r="AA37" s="9">
        <v>29625.24</v>
      </c>
      <c r="AB37" s="9">
        <v>25934.31</v>
      </c>
      <c r="AC37" s="61"/>
    </row>
    <row r="38" spans="2:29" ht="18.600000000000001" customHeight="1" x14ac:dyDescent="0.2">
      <c r="B38" s="49" t="s">
        <v>39</v>
      </c>
      <c r="C38" s="4" t="s">
        <v>32</v>
      </c>
      <c r="D38" s="5">
        <v>2</v>
      </c>
      <c r="E38" s="9">
        <v>19174.849999999999</v>
      </c>
      <c r="F38" s="9">
        <v>18205.98</v>
      </c>
      <c r="G38" s="9">
        <v>17234.36</v>
      </c>
      <c r="H38" s="9">
        <v>17002.580000000002</v>
      </c>
      <c r="I38" s="9">
        <v>17160.240000000002</v>
      </c>
      <c r="J38" s="9">
        <v>17490.55</v>
      </c>
      <c r="K38" s="9">
        <v>15179.44</v>
      </c>
      <c r="L38" s="9">
        <v>24912.85</v>
      </c>
      <c r="M38" s="9">
        <v>25228.11</v>
      </c>
      <c r="N38" s="9">
        <v>27033.55</v>
      </c>
      <c r="O38" s="9">
        <v>28961.55</v>
      </c>
      <c r="P38" s="9">
        <v>31609.22</v>
      </c>
      <c r="Q38" s="9">
        <v>31759.62</v>
      </c>
      <c r="R38" s="9">
        <v>31278.21</v>
      </c>
      <c r="S38" s="9">
        <v>30782.880000000001</v>
      </c>
      <c r="T38" s="9">
        <v>31021.42</v>
      </c>
      <c r="U38" s="9">
        <v>32823.760000000002</v>
      </c>
      <c r="V38" s="9">
        <v>32786.36</v>
      </c>
      <c r="W38" s="9">
        <v>38245.65</v>
      </c>
      <c r="X38" s="9">
        <v>40899.550000000003</v>
      </c>
      <c r="Y38" s="9">
        <v>39187.47</v>
      </c>
      <c r="Z38" s="9">
        <v>35608.300000000003</v>
      </c>
      <c r="AA38" s="9">
        <v>30290.35</v>
      </c>
      <c r="AB38" s="9">
        <v>26018.43</v>
      </c>
      <c r="AC38" s="62"/>
    </row>
    <row r="39" spans="2:29" ht="18.600000000000001" customHeight="1" x14ac:dyDescent="0.2">
      <c r="B39" s="49" t="s">
        <v>40</v>
      </c>
      <c r="C39" s="4" t="s">
        <v>29</v>
      </c>
      <c r="D39" s="5">
        <v>22</v>
      </c>
      <c r="E39" s="9">
        <v>20405.259999999998</v>
      </c>
      <c r="F39" s="9">
        <v>19329.95</v>
      </c>
      <c r="G39" s="9">
        <v>18896.28</v>
      </c>
      <c r="H39" s="9">
        <v>18716.41</v>
      </c>
      <c r="I39" s="9">
        <v>20333.689999999999</v>
      </c>
      <c r="J39" s="9">
        <v>25353.52</v>
      </c>
      <c r="K39" s="9">
        <v>25481.61</v>
      </c>
      <c r="L39" s="9">
        <v>34066.07</v>
      </c>
      <c r="M39" s="9">
        <v>32030.51</v>
      </c>
      <c r="N39" s="9">
        <v>32042.95</v>
      </c>
      <c r="O39" s="9">
        <v>33090.720000000001</v>
      </c>
      <c r="P39" s="9">
        <v>34806.660000000003</v>
      </c>
      <c r="Q39" s="9">
        <v>34044.65</v>
      </c>
      <c r="R39" s="9">
        <v>34460.44</v>
      </c>
      <c r="S39" s="9">
        <v>35994.26</v>
      </c>
      <c r="T39" s="9">
        <v>37071.64</v>
      </c>
      <c r="U39" s="9">
        <v>39063.699999999997</v>
      </c>
      <c r="V39" s="9">
        <v>37138.400000000001</v>
      </c>
      <c r="W39" s="9">
        <v>43754.26</v>
      </c>
      <c r="X39" s="9">
        <v>44580.59</v>
      </c>
      <c r="Y39" s="9">
        <v>42567.96</v>
      </c>
      <c r="Z39" s="9">
        <v>38751.839999999997</v>
      </c>
      <c r="AA39" s="9">
        <v>33200.870000000003</v>
      </c>
      <c r="AB39" s="9">
        <v>28530.6</v>
      </c>
      <c r="AC39" s="60">
        <f>+SUM(E39:AB39)*D39+SUM(E40:AB40)*D40+SUM(E41:AB41)*D41+SUM(E42:AB42)*D42</f>
        <v>22427741.960000001</v>
      </c>
    </row>
    <row r="40" spans="2:29" ht="18.600000000000001" customHeight="1" x14ac:dyDescent="0.2">
      <c r="B40" s="49" t="s">
        <v>40</v>
      </c>
      <c r="C40" s="4" t="s">
        <v>30</v>
      </c>
      <c r="D40" s="5">
        <v>4</v>
      </c>
      <c r="E40" s="9">
        <v>22205.79</v>
      </c>
      <c r="F40" s="9">
        <v>20352.439999999999</v>
      </c>
      <c r="G40" s="9">
        <v>19619.2</v>
      </c>
      <c r="H40" s="9">
        <v>19202.18</v>
      </c>
      <c r="I40" s="9">
        <v>19857.669999999998</v>
      </c>
      <c r="J40" s="9">
        <v>20933.75</v>
      </c>
      <c r="K40" s="9">
        <v>20780.240000000002</v>
      </c>
      <c r="L40" s="9">
        <v>31988.57</v>
      </c>
      <c r="M40" s="9">
        <v>32582.7</v>
      </c>
      <c r="N40" s="9">
        <v>33170.06</v>
      </c>
      <c r="O40" s="9">
        <v>33663.26</v>
      </c>
      <c r="P40" s="9">
        <v>34527.089999999997</v>
      </c>
      <c r="Q40" s="9">
        <v>34330.67</v>
      </c>
      <c r="R40" s="9">
        <v>33634.6</v>
      </c>
      <c r="S40" s="9">
        <v>33544.629999999997</v>
      </c>
      <c r="T40" s="9">
        <v>34217.199999999997</v>
      </c>
      <c r="U40" s="9">
        <v>36741.379999999997</v>
      </c>
      <c r="V40" s="9">
        <v>35465.25</v>
      </c>
      <c r="W40" s="9">
        <v>41674.25</v>
      </c>
      <c r="X40" s="9">
        <v>41710.03</v>
      </c>
      <c r="Y40" s="9">
        <v>40093.32</v>
      </c>
      <c r="Z40" s="9">
        <v>36682.28</v>
      </c>
      <c r="AA40" s="9">
        <v>32694.51</v>
      </c>
      <c r="AB40" s="9">
        <v>29047.79</v>
      </c>
      <c r="AC40" s="61"/>
    </row>
    <row r="41" spans="2:29" ht="18.600000000000001" customHeight="1" x14ac:dyDescent="0.2">
      <c r="B41" s="49" t="s">
        <v>40</v>
      </c>
      <c r="C41" s="4" t="s">
        <v>31</v>
      </c>
      <c r="D41" s="5">
        <v>4</v>
      </c>
      <c r="E41" s="9">
        <v>21882.959999999999</v>
      </c>
      <c r="F41" s="9">
        <v>20477.03</v>
      </c>
      <c r="G41" s="9">
        <v>19613.759999999998</v>
      </c>
      <c r="H41" s="9">
        <v>18914.48</v>
      </c>
      <c r="I41" s="9">
        <v>18498.12</v>
      </c>
      <c r="J41" s="9">
        <v>18055.73</v>
      </c>
      <c r="K41" s="9">
        <v>15776.94</v>
      </c>
      <c r="L41" s="9">
        <v>25233.43</v>
      </c>
      <c r="M41" s="9">
        <v>26349.14</v>
      </c>
      <c r="N41" s="9">
        <v>27187.75</v>
      </c>
      <c r="O41" s="9">
        <v>28054.36</v>
      </c>
      <c r="P41" s="9">
        <v>29236.27</v>
      </c>
      <c r="Q41" s="9">
        <v>29955.279999999999</v>
      </c>
      <c r="R41" s="9">
        <v>29676.07</v>
      </c>
      <c r="S41" s="9">
        <v>30004.47</v>
      </c>
      <c r="T41" s="9">
        <v>30812.080000000002</v>
      </c>
      <c r="U41" s="9">
        <v>32922.959999999999</v>
      </c>
      <c r="V41" s="9">
        <v>32755.62</v>
      </c>
      <c r="W41" s="9">
        <v>39593.660000000003</v>
      </c>
      <c r="X41" s="9">
        <v>40504.26</v>
      </c>
      <c r="Y41" s="9">
        <v>39355.15</v>
      </c>
      <c r="Z41" s="9">
        <v>35511.33</v>
      </c>
      <c r="AA41" s="9">
        <v>30717.52</v>
      </c>
      <c r="AB41" s="9">
        <v>26707.64</v>
      </c>
      <c r="AC41" s="61"/>
    </row>
    <row r="42" spans="2:29" ht="18.600000000000001" customHeight="1" x14ac:dyDescent="0.2">
      <c r="B42" s="49" t="s">
        <v>40</v>
      </c>
      <c r="C42" s="4" t="s">
        <v>32</v>
      </c>
      <c r="D42" s="5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62"/>
    </row>
    <row r="43" spans="2:29" ht="18.600000000000001" customHeight="1" x14ac:dyDescent="0.2">
      <c r="B43" s="49" t="s">
        <v>41</v>
      </c>
      <c r="C43" s="4" t="s">
        <v>29</v>
      </c>
      <c r="D43" s="5">
        <v>20</v>
      </c>
      <c r="E43" s="9">
        <v>19103.439999999999</v>
      </c>
      <c r="F43" s="9">
        <v>17991.330000000002</v>
      </c>
      <c r="G43" s="9">
        <v>17544.72</v>
      </c>
      <c r="H43" s="9">
        <v>17562.71</v>
      </c>
      <c r="I43" s="9">
        <v>19330.259999999998</v>
      </c>
      <c r="J43" s="9">
        <v>23864.31</v>
      </c>
      <c r="K43" s="9">
        <v>24014.65</v>
      </c>
      <c r="L43" s="9">
        <v>32898.230000000003</v>
      </c>
      <c r="M43" s="9">
        <v>30480.18</v>
      </c>
      <c r="N43" s="9">
        <v>30493.66</v>
      </c>
      <c r="O43" s="9">
        <v>31215.919999999998</v>
      </c>
      <c r="P43" s="9">
        <v>32689.26</v>
      </c>
      <c r="Q43" s="9">
        <v>32105.42</v>
      </c>
      <c r="R43" s="9">
        <v>32308.720000000001</v>
      </c>
      <c r="S43" s="9">
        <v>33981.22</v>
      </c>
      <c r="T43" s="9">
        <v>35047.120000000003</v>
      </c>
      <c r="U43" s="9">
        <v>37478.06</v>
      </c>
      <c r="V43" s="9">
        <v>36843.870000000003</v>
      </c>
      <c r="W43" s="9">
        <v>43161.440000000002</v>
      </c>
      <c r="X43" s="9">
        <v>42772.41</v>
      </c>
      <c r="Y43" s="9">
        <v>40149.22</v>
      </c>
      <c r="Z43" s="9">
        <v>36699.980000000003</v>
      </c>
      <c r="AA43" s="9">
        <v>31340.99</v>
      </c>
      <c r="AB43" s="9">
        <v>26944.49</v>
      </c>
      <c r="AC43" s="60">
        <f>+SUM(E43:AB43)*D43+SUM(E44:AB44)*D44+SUM(E45:AB45)*D45+SUM(E46:AB46)*D46</f>
        <v>22015326.210000001</v>
      </c>
    </row>
    <row r="44" spans="2:29" ht="18.600000000000001" customHeight="1" x14ac:dyDescent="0.2">
      <c r="B44" s="49" t="s">
        <v>41</v>
      </c>
      <c r="C44" s="4" t="s">
        <v>30</v>
      </c>
      <c r="D44" s="5">
        <v>5</v>
      </c>
      <c r="E44" s="9">
        <v>20711.29</v>
      </c>
      <c r="F44" s="9">
        <v>19275.09</v>
      </c>
      <c r="G44" s="9">
        <v>18438.73</v>
      </c>
      <c r="H44" s="9">
        <v>18246.23</v>
      </c>
      <c r="I44" s="9">
        <v>18894.64</v>
      </c>
      <c r="J44" s="9">
        <v>19886.009999999998</v>
      </c>
      <c r="K44" s="9">
        <v>19141.52</v>
      </c>
      <c r="L44" s="9">
        <v>31112.83</v>
      </c>
      <c r="M44" s="9">
        <v>30688.79</v>
      </c>
      <c r="N44" s="9">
        <v>31610.97</v>
      </c>
      <c r="O44" s="9">
        <v>31822.12</v>
      </c>
      <c r="P44" s="9">
        <v>32931.160000000003</v>
      </c>
      <c r="Q44" s="9">
        <v>32892.81</v>
      </c>
      <c r="R44" s="9">
        <v>32189.64</v>
      </c>
      <c r="S44" s="9">
        <v>32490.240000000002</v>
      </c>
      <c r="T44" s="9">
        <v>33172.589999999997</v>
      </c>
      <c r="U44" s="9">
        <v>35512.35</v>
      </c>
      <c r="V44" s="9">
        <v>34718.160000000003</v>
      </c>
      <c r="W44" s="9">
        <v>42278.400000000001</v>
      </c>
      <c r="X44" s="9">
        <v>41816.74</v>
      </c>
      <c r="Y44" s="9">
        <v>39948.75</v>
      </c>
      <c r="Z44" s="9">
        <v>37181.39</v>
      </c>
      <c r="AA44" s="9">
        <v>32874.160000000003</v>
      </c>
      <c r="AB44" s="9">
        <v>29153.9</v>
      </c>
      <c r="AC44" s="61"/>
    </row>
    <row r="45" spans="2:29" ht="18.600000000000001" customHeight="1" x14ac:dyDescent="0.2">
      <c r="B45" s="49" t="s">
        <v>41</v>
      </c>
      <c r="C45" s="4" t="s">
        <v>31</v>
      </c>
      <c r="D45" s="5">
        <v>5</v>
      </c>
      <c r="E45" s="9">
        <v>21532.58</v>
      </c>
      <c r="F45" s="9">
        <v>20209</v>
      </c>
      <c r="G45" s="9">
        <v>19057.52</v>
      </c>
      <c r="H45" s="9">
        <v>18326.88</v>
      </c>
      <c r="I45" s="9">
        <v>18206.87</v>
      </c>
      <c r="J45" s="9">
        <v>17642.09</v>
      </c>
      <c r="K45" s="9">
        <v>15168.49</v>
      </c>
      <c r="L45" s="9">
        <v>24663.53</v>
      </c>
      <c r="M45" s="9">
        <v>25520.74</v>
      </c>
      <c r="N45" s="9">
        <v>27287.54</v>
      </c>
      <c r="O45" s="9">
        <v>27191.49</v>
      </c>
      <c r="P45" s="9">
        <v>28425.46</v>
      </c>
      <c r="Q45" s="9">
        <v>29086.38</v>
      </c>
      <c r="R45" s="9">
        <v>28675.26</v>
      </c>
      <c r="S45" s="9">
        <v>29308.14</v>
      </c>
      <c r="T45" s="9">
        <v>30005.360000000001</v>
      </c>
      <c r="U45" s="9">
        <v>31574.53</v>
      </c>
      <c r="V45" s="9">
        <v>32031.94</v>
      </c>
      <c r="W45" s="9">
        <v>38604.339999999997</v>
      </c>
      <c r="X45" s="9">
        <v>39330.21</v>
      </c>
      <c r="Y45" s="9">
        <v>37607.47</v>
      </c>
      <c r="Z45" s="9">
        <v>34168.42</v>
      </c>
      <c r="AA45" s="9">
        <v>29728.31</v>
      </c>
      <c r="AB45" s="9">
        <v>25517.82</v>
      </c>
      <c r="AC45" s="61"/>
    </row>
    <row r="46" spans="2:29" ht="18.600000000000001" customHeight="1" x14ac:dyDescent="0.2">
      <c r="B46" s="49" t="s">
        <v>41</v>
      </c>
      <c r="C46" s="4" t="s">
        <v>32</v>
      </c>
      <c r="D46" s="5">
        <v>1</v>
      </c>
      <c r="E46" s="9">
        <v>19698.54</v>
      </c>
      <c r="F46" s="9">
        <v>18735.03</v>
      </c>
      <c r="G46" s="9">
        <v>17711.87</v>
      </c>
      <c r="H46" s="9">
        <v>17347.68</v>
      </c>
      <c r="I46" s="9">
        <v>17701.61</v>
      </c>
      <c r="J46" s="9">
        <v>17729.16</v>
      </c>
      <c r="K46" s="9">
        <v>14595.2</v>
      </c>
      <c r="L46" s="9">
        <v>24673.03</v>
      </c>
      <c r="M46" s="9">
        <v>24584.52</v>
      </c>
      <c r="N46" s="9">
        <v>26680.66</v>
      </c>
      <c r="O46" s="9">
        <v>27732.03</v>
      </c>
      <c r="P46" s="9">
        <v>30415.08</v>
      </c>
      <c r="Q46" s="9">
        <v>31181.22</v>
      </c>
      <c r="R46" s="9">
        <v>31009.84</v>
      </c>
      <c r="S46" s="9">
        <v>30775.200000000001</v>
      </c>
      <c r="T46" s="9">
        <v>30860.97</v>
      </c>
      <c r="U46" s="9">
        <v>32423.87</v>
      </c>
      <c r="V46" s="9">
        <v>34704</v>
      </c>
      <c r="W46" s="9">
        <v>41947.72</v>
      </c>
      <c r="X46" s="9">
        <v>41670.83</v>
      </c>
      <c r="Y46" s="9">
        <v>39653.86</v>
      </c>
      <c r="Z46" s="9">
        <v>36024.85</v>
      </c>
      <c r="AA46" s="9">
        <v>30984.75</v>
      </c>
      <c r="AB46" s="9">
        <v>26758.09</v>
      </c>
      <c r="AC46" s="62"/>
    </row>
    <row r="47" spans="2:29" ht="18.600000000000001" customHeight="1" x14ac:dyDescent="0.2">
      <c r="B47" s="49" t="s">
        <v>42</v>
      </c>
      <c r="C47" s="4" t="s">
        <v>29</v>
      </c>
      <c r="D47" s="5">
        <v>20</v>
      </c>
      <c r="E47" s="9">
        <v>20066.14</v>
      </c>
      <c r="F47" s="9">
        <v>18974.54</v>
      </c>
      <c r="G47" s="9">
        <v>18595.7</v>
      </c>
      <c r="H47" s="9">
        <v>18495.62</v>
      </c>
      <c r="I47" s="9">
        <v>20337.009999999998</v>
      </c>
      <c r="J47" s="9">
        <v>25006.400000000001</v>
      </c>
      <c r="K47" s="9">
        <v>25778.74</v>
      </c>
      <c r="L47" s="9">
        <v>35194.46</v>
      </c>
      <c r="M47" s="9">
        <v>32731.08</v>
      </c>
      <c r="N47" s="9">
        <v>32787.54</v>
      </c>
      <c r="O47" s="9">
        <v>33460.400000000001</v>
      </c>
      <c r="P47" s="9">
        <v>35133.58</v>
      </c>
      <c r="Q47" s="9">
        <v>34466.5</v>
      </c>
      <c r="R47" s="9">
        <v>34289</v>
      </c>
      <c r="S47" s="9">
        <v>35930.629999999997</v>
      </c>
      <c r="T47" s="9">
        <v>36856.129999999997</v>
      </c>
      <c r="U47" s="9">
        <v>39232.300000000003</v>
      </c>
      <c r="V47" s="9">
        <v>38572.14</v>
      </c>
      <c r="W47" s="9">
        <v>45439.25</v>
      </c>
      <c r="X47" s="9">
        <v>45098.48</v>
      </c>
      <c r="Y47" s="9">
        <v>42152.95</v>
      </c>
      <c r="Z47" s="9">
        <v>38231.839999999997</v>
      </c>
      <c r="AA47" s="9">
        <v>32823.21</v>
      </c>
      <c r="AB47" s="9">
        <v>28088.560000000001</v>
      </c>
      <c r="AC47" s="60">
        <f>+SUM(E47:AB47)*D47+SUM(E48:AB48)*D48+SUM(E49:AB49)*D49+SUM(E50:AB50)*D50</f>
        <v>22410233.719999999</v>
      </c>
    </row>
    <row r="48" spans="2:29" ht="18.600000000000001" customHeight="1" x14ac:dyDescent="0.2">
      <c r="B48" s="49" t="s">
        <v>42</v>
      </c>
      <c r="C48" s="4" t="s">
        <v>30</v>
      </c>
      <c r="D48" s="5">
        <v>4</v>
      </c>
      <c r="E48" s="9">
        <v>21271.26</v>
      </c>
      <c r="F48" s="9">
        <v>19713.87</v>
      </c>
      <c r="G48" s="9">
        <v>19164.95</v>
      </c>
      <c r="H48" s="9">
        <v>18759.52</v>
      </c>
      <c r="I48" s="9">
        <v>19773.57</v>
      </c>
      <c r="J48" s="9">
        <v>20811.2</v>
      </c>
      <c r="K48" s="9">
        <v>21043.98</v>
      </c>
      <c r="L48" s="9">
        <v>33145.120000000003</v>
      </c>
      <c r="M48" s="9">
        <v>33161.75</v>
      </c>
      <c r="N48" s="9">
        <v>33690.18</v>
      </c>
      <c r="O48" s="9">
        <v>33888.79</v>
      </c>
      <c r="P48" s="9">
        <v>34480.86</v>
      </c>
      <c r="Q48" s="9">
        <v>34257.01</v>
      </c>
      <c r="R48" s="9">
        <v>33875.730000000003</v>
      </c>
      <c r="S48" s="9">
        <v>34053.550000000003</v>
      </c>
      <c r="T48" s="9">
        <v>34909.599999999999</v>
      </c>
      <c r="U48" s="9">
        <v>36760.269999999997</v>
      </c>
      <c r="V48" s="9">
        <v>36388.449999999997</v>
      </c>
      <c r="W48" s="9">
        <v>43212.13</v>
      </c>
      <c r="X48" s="9">
        <v>43069.74</v>
      </c>
      <c r="Y48" s="9">
        <v>40473.19</v>
      </c>
      <c r="Z48" s="9">
        <v>37462.949999999997</v>
      </c>
      <c r="AA48" s="9">
        <v>33609.99</v>
      </c>
      <c r="AB48" s="9">
        <v>29383.599999999999</v>
      </c>
      <c r="AC48" s="61"/>
    </row>
    <row r="49" spans="2:29" ht="18.600000000000001" customHeight="1" x14ac:dyDescent="0.2">
      <c r="B49" s="49" t="s">
        <v>42</v>
      </c>
      <c r="C49" s="4" t="s">
        <v>31</v>
      </c>
      <c r="D49" s="5">
        <v>4</v>
      </c>
      <c r="E49" s="9">
        <v>21676.49</v>
      </c>
      <c r="F49" s="9">
        <v>20265</v>
      </c>
      <c r="G49" s="9">
        <v>19064.099999999999</v>
      </c>
      <c r="H49" s="9">
        <v>18595.009999999998</v>
      </c>
      <c r="I49" s="9">
        <v>18670.599999999999</v>
      </c>
      <c r="J49" s="9">
        <v>18153.75</v>
      </c>
      <c r="K49" s="9">
        <v>15896.2</v>
      </c>
      <c r="L49" s="9">
        <v>25633.96</v>
      </c>
      <c r="M49" s="9">
        <v>26498.85</v>
      </c>
      <c r="N49" s="9">
        <v>27598.06</v>
      </c>
      <c r="O49" s="9">
        <v>28124.5</v>
      </c>
      <c r="P49" s="9">
        <v>30312.77</v>
      </c>
      <c r="Q49" s="9">
        <v>30963.200000000001</v>
      </c>
      <c r="R49" s="9">
        <v>31299.61</v>
      </c>
      <c r="S49" s="9">
        <v>31324.74</v>
      </c>
      <c r="T49" s="9">
        <v>31836.75</v>
      </c>
      <c r="U49" s="9">
        <v>34156.58</v>
      </c>
      <c r="V49" s="9">
        <v>34196</v>
      </c>
      <c r="W49" s="9">
        <v>40545</v>
      </c>
      <c r="X49" s="9">
        <v>40745.67</v>
      </c>
      <c r="Y49" s="9">
        <v>38948.76</v>
      </c>
      <c r="Z49" s="9">
        <v>35952.800000000003</v>
      </c>
      <c r="AA49" s="9">
        <v>31705.4</v>
      </c>
      <c r="AB49" s="9">
        <v>27226.080000000002</v>
      </c>
      <c r="AC49" s="61"/>
    </row>
    <row r="50" spans="2:29" ht="18.600000000000001" customHeight="1" x14ac:dyDescent="0.2">
      <c r="B50" s="49" t="s">
        <v>42</v>
      </c>
      <c r="C50" s="4" t="s">
        <v>32</v>
      </c>
      <c r="D50" s="5">
        <v>2</v>
      </c>
      <c r="E50" s="9">
        <v>20320.62</v>
      </c>
      <c r="F50" s="9">
        <v>19003.310000000001</v>
      </c>
      <c r="G50" s="9">
        <v>18479</v>
      </c>
      <c r="H50" s="9">
        <v>17962.560000000001</v>
      </c>
      <c r="I50" s="9">
        <v>18220.88</v>
      </c>
      <c r="J50" s="9">
        <v>18567.77</v>
      </c>
      <c r="K50" s="9">
        <v>15823</v>
      </c>
      <c r="L50" s="9">
        <v>25446.67</v>
      </c>
      <c r="M50" s="9">
        <v>25884.79</v>
      </c>
      <c r="N50" s="9">
        <v>27578.71</v>
      </c>
      <c r="O50" s="9">
        <v>28981.68</v>
      </c>
      <c r="P50" s="9">
        <v>31003.85</v>
      </c>
      <c r="Q50" s="9">
        <v>31761.96</v>
      </c>
      <c r="R50" s="9">
        <v>31771.43</v>
      </c>
      <c r="S50" s="9">
        <v>31408.87</v>
      </c>
      <c r="T50" s="9">
        <v>31623.02</v>
      </c>
      <c r="U50" s="9">
        <v>33252.949999999997</v>
      </c>
      <c r="V50" s="9">
        <v>34703.57</v>
      </c>
      <c r="W50" s="9">
        <v>41707.480000000003</v>
      </c>
      <c r="X50" s="9">
        <v>41731.1</v>
      </c>
      <c r="Y50" s="9">
        <v>39400.269999999997</v>
      </c>
      <c r="Z50" s="9">
        <v>35171.660000000003</v>
      </c>
      <c r="AA50" s="9">
        <v>30473.23</v>
      </c>
      <c r="AB50" s="9">
        <v>25914.2</v>
      </c>
      <c r="AC50" s="62"/>
    </row>
    <row r="51" spans="2:29" ht="18.600000000000001" customHeight="1" x14ac:dyDescent="0.2">
      <c r="B51" s="49" t="s">
        <v>43</v>
      </c>
      <c r="C51" s="4" t="s">
        <v>29</v>
      </c>
      <c r="D51" s="5">
        <v>22</v>
      </c>
      <c r="E51" s="9">
        <v>19815.03</v>
      </c>
      <c r="F51" s="9">
        <v>18438.09</v>
      </c>
      <c r="G51" s="9">
        <v>17892.16</v>
      </c>
      <c r="H51" s="9">
        <v>17727.740000000002</v>
      </c>
      <c r="I51" s="9">
        <v>18834.419999999998</v>
      </c>
      <c r="J51" s="9">
        <v>21112.6</v>
      </c>
      <c r="K51" s="9">
        <v>20832.060000000001</v>
      </c>
      <c r="L51" s="9">
        <v>31686.95</v>
      </c>
      <c r="M51" s="9">
        <v>30686.68</v>
      </c>
      <c r="N51" s="9">
        <v>31038.44</v>
      </c>
      <c r="O51" s="9">
        <v>31900.2</v>
      </c>
      <c r="P51" s="9">
        <v>33621.550000000003</v>
      </c>
      <c r="Q51" s="9">
        <v>33220.449999999997</v>
      </c>
      <c r="R51" s="9">
        <v>33104.74</v>
      </c>
      <c r="S51" s="9">
        <v>34081.68</v>
      </c>
      <c r="T51" s="9">
        <v>34953.760000000002</v>
      </c>
      <c r="U51" s="9">
        <v>37059.39</v>
      </c>
      <c r="V51" s="9">
        <v>36387.51</v>
      </c>
      <c r="W51" s="9">
        <v>43114.93</v>
      </c>
      <c r="X51" s="9">
        <v>42929.09</v>
      </c>
      <c r="Y51" s="9">
        <v>40740.910000000003</v>
      </c>
      <c r="Z51" s="9">
        <v>37394.04</v>
      </c>
      <c r="AA51" s="9">
        <v>32755.73</v>
      </c>
      <c r="AB51" s="9">
        <v>28202.45</v>
      </c>
      <c r="AC51" s="60">
        <f>+SUM(E51:AB51)*D51+SUM(E52:AB52)*D52+SUM(E53:AB53)*D53+SUM(E54:AB54)*D54</f>
        <v>21934849.270000003</v>
      </c>
    </row>
    <row r="52" spans="2:29" ht="18.600000000000001" customHeight="1" x14ac:dyDescent="0.2">
      <c r="B52" s="49" t="s">
        <v>43</v>
      </c>
      <c r="C52" s="4" t="s">
        <v>30</v>
      </c>
      <c r="D52" s="5">
        <v>3</v>
      </c>
      <c r="E52" s="9">
        <v>21162.16</v>
      </c>
      <c r="F52" s="9">
        <v>19376.16</v>
      </c>
      <c r="G52" s="9">
        <v>18576.22</v>
      </c>
      <c r="H52" s="9">
        <v>18265.78</v>
      </c>
      <c r="I52" s="9">
        <v>18760.77</v>
      </c>
      <c r="J52" s="9">
        <v>20084.560000000001</v>
      </c>
      <c r="K52" s="9">
        <v>19099.89</v>
      </c>
      <c r="L52" s="9">
        <v>30682.9</v>
      </c>
      <c r="M52" s="9">
        <v>30705.23</v>
      </c>
      <c r="N52" s="9">
        <v>31260.09</v>
      </c>
      <c r="O52" s="9">
        <v>31545.03</v>
      </c>
      <c r="P52" s="9">
        <v>32330.26</v>
      </c>
      <c r="Q52" s="9">
        <v>32572.52</v>
      </c>
      <c r="R52" s="9">
        <v>31852.1</v>
      </c>
      <c r="S52" s="9">
        <v>31595.94</v>
      </c>
      <c r="T52" s="9">
        <v>32439.4</v>
      </c>
      <c r="U52" s="9">
        <v>34669.26</v>
      </c>
      <c r="V52" s="9">
        <v>34288.18</v>
      </c>
      <c r="W52" s="9">
        <v>40921.64</v>
      </c>
      <c r="X52" s="9">
        <v>40571.39</v>
      </c>
      <c r="Y52" s="9">
        <v>38500.03</v>
      </c>
      <c r="Z52" s="9">
        <v>35490.68</v>
      </c>
      <c r="AA52" s="9">
        <v>32092.1</v>
      </c>
      <c r="AB52" s="9">
        <v>28600.66</v>
      </c>
      <c r="AC52" s="61"/>
    </row>
    <row r="53" spans="2:29" ht="18.600000000000001" customHeight="1" x14ac:dyDescent="0.2">
      <c r="B53" s="49" t="s">
        <v>43</v>
      </c>
      <c r="C53" s="4" t="s">
        <v>31</v>
      </c>
      <c r="D53" s="5">
        <v>4</v>
      </c>
      <c r="E53" s="9">
        <v>21349.78</v>
      </c>
      <c r="F53" s="9">
        <v>19655.830000000002</v>
      </c>
      <c r="G53" s="9">
        <v>18552.39</v>
      </c>
      <c r="H53" s="9">
        <v>18025.36</v>
      </c>
      <c r="I53" s="9">
        <v>17686.099999999999</v>
      </c>
      <c r="J53" s="9">
        <v>17559.38</v>
      </c>
      <c r="K53" s="9">
        <v>15171.39</v>
      </c>
      <c r="L53" s="9">
        <v>24327.3</v>
      </c>
      <c r="M53" s="9">
        <v>25133.24</v>
      </c>
      <c r="N53" s="9">
        <v>26210.5</v>
      </c>
      <c r="O53" s="9">
        <v>26803.35</v>
      </c>
      <c r="P53" s="9">
        <v>27894.98</v>
      </c>
      <c r="Q53" s="9">
        <v>28872.74</v>
      </c>
      <c r="R53" s="9">
        <v>28862.73</v>
      </c>
      <c r="S53" s="9">
        <v>29129.3</v>
      </c>
      <c r="T53" s="9">
        <v>29542.79</v>
      </c>
      <c r="U53" s="9">
        <v>31213.88</v>
      </c>
      <c r="V53" s="9">
        <v>31478.91</v>
      </c>
      <c r="W53" s="9">
        <v>38707.199999999997</v>
      </c>
      <c r="X53" s="9">
        <v>39540</v>
      </c>
      <c r="Y53" s="9">
        <v>38385.199999999997</v>
      </c>
      <c r="Z53" s="9">
        <v>35724.620000000003</v>
      </c>
      <c r="AA53" s="9">
        <v>31448.92</v>
      </c>
      <c r="AB53" s="9">
        <v>26928.19</v>
      </c>
      <c r="AC53" s="61"/>
    </row>
    <row r="54" spans="2:29" ht="18.600000000000001" customHeight="1" x14ac:dyDescent="0.2">
      <c r="B54" s="49" t="s">
        <v>43</v>
      </c>
      <c r="C54" s="4" t="s">
        <v>32</v>
      </c>
      <c r="D54" s="5">
        <v>2</v>
      </c>
      <c r="E54" s="9">
        <v>21997.75</v>
      </c>
      <c r="F54" s="9">
        <v>20860.09</v>
      </c>
      <c r="G54" s="9">
        <v>19605.849999999999</v>
      </c>
      <c r="H54" s="9">
        <v>18422.39</v>
      </c>
      <c r="I54" s="9">
        <v>17678.82</v>
      </c>
      <c r="J54" s="9">
        <v>16944.939999999999</v>
      </c>
      <c r="K54" s="9">
        <v>13178.8</v>
      </c>
      <c r="L54" s="9">
        <v>21732.22</v>
      </c>
      <c r="M54" s="9">
        <v>21551.99</v>
      </c>
      <c r="N54" s="9">
        <v>22232.97</v>
      </c>
      <c r="O54" s="9">
        <v>23121.38</v>
      </c>
      <c r="P54" s="9">
        <v>24781.49</v>
      </c>
      <c r="Q54" s="9">
        <v>26197.62</v>
      </c>
      <c r="R54" s="9">
        <v>26799.8</v>
      </c>
      <c r="S54" s="9">
        <v>26859.34</v>
      </c>
      <c r="T54" s="9">
        <v>27575</v>
      </c>
      <c r="U54" s="9">
        <v>30085.85</v>
      </c>
      <c r="V54" s="9">
        <v>30120.16</v>
      </c>
      <c r="W54" s="9">
        <v>37279.94</v>
      </c>
      <c r="X54" s="9">
        <v>37773.120000000003</v>
      </c>
      <c r="Y54" s="9">
        <v>36360.949999999997</v>
      </c>
      <c r="Z54" s="9">
        <v>33662.83</v>
      </c>
      <c r="AA54" s="9">
        <v>29494.42</v>
      </c>
      <c r="AB54" s="9">
        <v>25697.73</v>
      </c>
      <c r="AC54" s="62"/>
    </row>
    <row r="55" spans="2:29" ht="18.600000000000001" customHeight="1" x14ac:dyDescent="0.2">
      <c r="Z55" s="63" t="s">
        <v>46</v>
      </c>
      <c r="AA55" s="63"/>
      <c r="AB55" s="63"/>
      <c r="AC55" s="42">
        <f>SUM(AC7:AC54)</f>
        <v>262861295.04000002</v>
      </c>
    </row>
    <row r="59" spans="2:29" x14ac:dyDescent="0.2">
      <c r="H59" s="10">
        <v>1000</v>
      </c>
    </row>
  </sheetData>
  <mergeCells count="28">
    <mergeCell ref="B11:B14"/>
    <mergeCell ref="AC11:AC14"/>
    <mergeCell ref="B2:AC2"/>
    <mergeCell ref="B3:AC3"/>
    <mergeCell ref="B4:AC4"/>
    <mergeCell ref="B7:B10"/>
    <mergeCell ref="AC7:AC10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51:B54"/>
    <mergeCell ref="AC51:AC54"/>
    <mergeCell ref="Z55:AB55"/>
    <mergeCell ref="B39:B42"/>
    <mergeCell ref="AC39:AC42"/>
    <mergeCell ref="B43:B46"/>
    <mergeCell ref="AC43:AC46"/>
    <mergeCell ref="B47:B50"/>
    <mergeCell ref="AC47:AC50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Oferta Producto 1</vt:lpstr>
      <vt:lpstr>Oferta Producto 2</vt:lpstr>
      <vt:lpstr>Oferta Producto 3</vt:lpstr>
      <vt:lpstr>Oferta Producto 4</vt:lpstr>
      <vt:lpstr>Oferta Producto 5</vt:lpstr>
      <vt:lpstr>Oferta Producto 6</vt:lpstr>
      <vt:lpstr>Cantidad Producto 1</vt:lpstr>
      <vt:lpstr>Cantidad Producto 2</vt:lpstr>
      <vt:lpstr>Cantidad Producto 3</vt:lpstr>
      <vt:lpstr>Cantidad Producto 4</vt:lpstr>
      <vt:lpstr>Cantidad Producto 5</vt:lpstr>
      <vt:lpstr>Cantidad Producto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ELENA QUICENO PEREZ</dc:creator>
  <cp:lastModifiedBy>LUZ ELENA QUICENO PEREZ</cp:lastModifiedBy>
  <dcterms:created xsi:type="dcterms:W3CDTF">2024-09-16T15:42:34Z</dcterms:created>
  <dcterms:modified xsi:type="dcterms:W3CDTF">2025-02-27T22:14:59Z</dcterms:modified>
</cp:coreProperties>
</file>