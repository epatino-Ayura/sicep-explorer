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TERESA\Downloads\"/>
    </mc:Choice>
  </mc:AlternateContent>
  <xr:revisionPtr revIDLastSave="0" documentId="13_ncr:1_{23DA2C58-A5EE-4AB3-A3C4-22F59C63BAF3}" xr6:coauthVersionLast="47" xr6:coauthVersionMax="47" xr10:uidLastSave="{00000000-0000-0000-0000-000000000000}"/>
  <bookViews>
    <workbookView xWindow="-28920" yWindow="-120" windowWidth="29040" windowHeight="15720" tabRatio="923" xr2:uid="{00000000-000D-0000-FFFF-FFFF00000000}"/>
  </bookViews>
  <sheets>
    <sheet name="Producto 1" sheetId="44" r:id="rId1"/>
    <sheet name="R-Producto 1" sheetId="45" r:id="rId2"/>
    <sheet name="Producto 2" sheetId="46" r:id="rId3"/>
    <sheet name="R-Producto 2" sheetId="47" r:id="rId4"/>
  </sheets>
  <definedNames>
    <definedName name="_xlnm.Print_Area" localSheetId="0">'Producto 1'!$B$1:$AB$5</definedName>
    <definedName name="_xlnm.Print_Area" localSheetId="2">'Producto 2'!$B$1:$AB$5</definedName>
    <definedName name="_xlnm.Print_Area" localSheetId="1">'R-Producto 1'!$C$2:$H$9</definedName>
    <definedName name="_xlnm.Print_Area" localSheetId="3">'R-Producto 2'!$C$2:$H$9</definedName>
    <definedName name="Cuadr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45" l="1"/>
  <c r="F11" i="45"/>
  <c r="D11" i="45"/>
  <c r="AC9" i="44"/>
  <c r="AC10" i="44"/>
  <c r="AC11" i="44"/>
  <c r="AC6" i="44"/>
  <c r="AC23" i="46"/>
  <c r="AC22" i="46"/>
  <c r="AC21" i="46"/>
  <c r="D15" i="47" s="1"/>
  <c r="F15" i="47" s="1"/>
  <c r="AC20" i="46"/>
  <c r="AC19" i="46"/>
  <c r="AC18" i="46"/>
  <c r="D14" i="47" s="1"/>
  <c r="F14" i="47" s="1"/>
  <c r="AC17" i="46"/>
  <c r="AC16" i="46"/>
  <c r="AC15" i="46"/>
  <c r="D13" i="47" s="1"/>
  <c r="F13" i="47" s="1"/>
  <c r="AC14" i="46"/>
  <c r="AC13" i="46"/>
  <c r="AC12" i="46"/>
  <c r="AC11" i="46"/>
  <c r="AC10" i="46"/>
  <c r="AC9" i="46"/>
  <c r="D11" i="47" s="1"/>
  <c r="F11" i="47" s="1"/>
  <c r="AC8" i="46"/>
  <c r="AC7" i="46"/>
  <c r="AC6" i="46"/>
  <c r="D10" i="47" s="1"/>
  <c r="F10" i="47" s="1"/>
  <c r="AC7" i="44"/>
  <c r="AC8" i="44"/>
  <c r="D12" i="47" l="1"/>
  <c r="F12" i="47" s="1"/>
  <c r="D10" i="45"/>
  <c r="F10" i="45" s="1"/>
  <c r="D16" i="47" l="1"/>
  <c r="F16" i="47" s="1"/>
  <c r="F12" i="45"/>
</calcChain>
</file>

<file path=xl/sharedStrings.xml><?xml version="1.0" encoding="utf-8"?>
<sst xmlns="http://schemas.openxmlformats.org/spreadsheetml/2006/main" count="150" uniqueCount="63">
  <si>
    <t>Mes</t>
  </si>
  <si>
    <t>Dias\Horas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</si>
  <si>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</si>
  <si>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</si>
  <si>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</si>
  <si>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</si>
  <si>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</si>
  <si>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</si>
  <si>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</si>
  <si>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</si>
  <si>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</si>
  <si>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</si>
  <si>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</si>
  <si>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</si>
  <si>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</si>
  <si>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</si>
  <si>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</si>
  <si>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</si>
  <si>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</si>
  <si>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</si>
  <si>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</si>
  <si>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</si>
  <si>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</si>
  <si>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</si>
  <si>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</si>
  <si>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May</t>
  </si>
  <si>
    <t>Jun</t>
  </si>
  <si>
    <t>Jul</t>
  </si>
  <si>
    <t>Ago</t>
  </si>
  <si>
    <t>Sep</t>
  </si>
  <si>
    <t>Oct</t>
  </si>
  <si>
    <t>Nov</t>
  </si>
  <si>
    <t>Dic</t>
  </si>
  <si>
    <t>MES</t>
  </si>
  <si>
    <t>NOMBRE DEL OFERENTE</t>
  </si>
  <si>
    <t>% E. Ofertado</t>
  </si>
  <si>
    <t>$/kWh</t>
  </si>
  <si>
    <t>AÑO</t>
  </si>
  <si>
    <t>PRODUCTO  1</t>
  </si>
  <si>
    <t>E. Solicitada
[kWh]</t>
  </si>
  <si>
    <t>E. Ofertada
[kWh]</t>
  </si>
  <si>
    <t xml:space="preserve">  - Por favor complete los campos azules</t>
  </si>
  <si>
    <t xml:space="preserve"> - La tarifa ofertada debe tener dos decimales</t>
  </si>
  <si>
    <t xml:space="preserve"> PRECIOS Y CANTIDADES DE ENERGÍA OFERTADA</t>
  </si>
  <si>
    <t>Año</t>
  </si>
  <si>
    <t xml:space="preserve"> - El Tope Ofertado debe tener máximo dos decimales y corresponde al tope horario para cada hora del mes ofertado.</t>
  </si>
  <si>
    <t>Habil</t>
  </si>
  <si>
    <t>Sabado</t>
  </si>
  <si>
    <t>Total</t>
  </si>
  <si>
    <t>N. Días</t>
  </si>
  <si>
    <t>TOTAL PRODUCTO</t>
  </si>
  <si>
    <t>SOL &amp; CIELO ENERGÍA SAS ESP</t>
  </si>
  <si>
    <t>HO1</t>
  </si>
  <si>
    <t>ANEXO 5 A - CANTIDADES DE  ENERGÍA ESTIMADAS EN kWh</t>
  </si>
  <si>
    <t>ANEXO 5 B - OFERTAS PRODUCTO 1</t>
  </si>
  <si>
    <t>Domingo y Festivo</t>
  </si>
  <si>
    <t>ANEXO 5 B - OFERTAS PRODUCTO 2</t>
  </si>
  <si>
    <t>PRODUCTO  2</t>
  </si>
  <si>
    <t>Domingo</t>
  </si>
  <si>
    <t>PERIODO:  DE MAYO 15 2025  A JUNIO 30 DE 2025</t>
  </si>
  <si>
    <t>PERIODO:  DE JULIO 1 2025  A DICIEMBRE 31 DE 2025</t>
  </si>
  <si>
    <t>PERIODO 2025-05-15 A 2025-06-30</t>
  </si>
  <si>
    <t>PERIODO 2025-07-01 A 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</si>
</sst>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\ _€_-;\-* #,##0\ _€_-;_-* &quot;-&quot;\ _€_-;_-@_-"/>
    <numFmt numFmtId="166" formatCode="_-* #,##0.00\ _€_-;\-* #,##0.00\ _€_-;_-* &quot;-&quot;??\ _€_-;_-@_-"/>
    <numFmt numFmtId="167" formatCode="_(* #,##0.0_);_(* \(#,##0.0\);_(* &quot;-&quot;??_);_(@_)"/>
    <numFmt numFmtId="168" formatCode="_ * #,##0.00_ ;_ * \-#,##0.00_ ;_ * &quot;-&quot;??_ ;_ @_ 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DIN-Regular"/>
      <family val="2"/>
    </font>
    <font>
      <sz val="10"/>
      <name val="DIN-Regular"/>
      <family val="2"/>
    </font>
    <font>
      <b/>
      <sz val="10"/>
      <color theme="0"/>
      <name val="DIN-Regular"/>
    </font>
    <font>
      <sz val="10"/>
      <color theme="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8" fontId="4" fillId="0" borderId="0" applyFont="0" applyFill="0" applyBorder="0" applyAlignment="0" applyProtection="0"/>
  </cellStyleXfs>
  <cellXfs count="80">
    <xf numFmtId="0" fontId="0" fillId="0" borderId="0" xfId="0"/>
    <xf numFmtId="0" fontId="5" fillId="0" borderId="0" xfId="3" applyFont="1"/>
    <xf numFmtId="0" fontId="4" fillId="0" borderId="0" xfId="3"/>
    <xf numFmtId="0" fontId="4" fillId="0" borderId="0" xfId="0" applyFont="1"/>
    <xf numFmtId="165" fontId="0" fillId="0" borderId="0" xfId="0" applyNumberFormat="1"/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0" borderId="0" xfId="0" applyFont="1"/>
    <xf numFmtId="166" fontId="4" fillId="0" borderId="0" xfId="1"/>
    <xf numFmtId="0" fontId="7" fillId="2" borderId="3" xfId="0" applyFont="1" applyFill="1" applyBorder="1" applyAlignment="1">
      <alignment horizontal="center"/>
    </xf>
    <xf numFmtId="0" fontId="8" fillId="2" borderId="10" xfId="0" applyFont="1" applyFill="1" applyBorder="1"/>
    <xf numFmtId="3" fontId="8" fillId="2" borderId="1" xfId="0" applyNumberFormat="1" applyFont="1" applyFill="1" applyBorder="1" applyAlignment="1">
      <alignment horizontal="center"/>
    </xf>
    <xf numFmtId="3" fontId="8" fillId="2" borderId="2" xfId="0" applyNumberFormat="1" applyFont="1" applyFill="1" applyBorder="1" applyAlignment="1">
      <alignment horizontal="center"/>
    </xf>
    <xf numFmtId="3" fontId="8" fillId="2" borderId="11" xfId="0" applyNumberFormat="1" applyFont="1" applyFill="1" applyBorder="1" applyAlignment="1">
      <alignment horizontal="center"/>
    </xf>
    <xf numFmtId="3" fontId="8" fillId="2" borderId="18" xfId="0" applyNumberFormat="1" applyFont="1" applyFill="1" applyBorder="1" applyAlignment="1">
      <alignment horizontal="center"/>
    </xf>
    <xf numFmtId="3" fontId="8" fillId="2" borderId="0" xfId="0" applyNumberFormat="1" applyFont="1" applyFill="1" applyAlignment="1">
      <alignment horizontal="center"/>
    </xf>
    <xf numFmtId="4" fontId="6" fillId="3" borderId="6" xfId="0" applyNumberFormat="1" applyFont="1" applyFill="1" applyBorder="1"/>
    <xf numFmtId="3" fontId="6" fillId="0" borderId="6" xfId="0" applyNumberFormat="1" applyFont="1" applyBorder="1"/>
    <xf numFmtId="4" fontId="6" fillId="3" borderId="4" xfId="0" applyNumberFormat="1" applyFont="1" applyFill="1" applyBorder="1"/>
    <xf numFmtId="3" fontId="6" fillId="0" borderId="4" xfId="0" applyNumberFormat="1" applyFont="1" applyBorder="1"/>
    <xf numFmtId="3" fontId="6" fillId="0" borderId="5" xfId="0" applyNumberFormat="1" applyFont="1" applyBorder="1"/>
    <xf numFmtId="3" fontId="6" fillId="0" borderId="7" xfId="0" applyNumberFormat="1" applyFont="1" applyBorder="1"/>
    <xf numFmtId="4" fontId="6" fillId="3" borderId="8" xfId="0" applyNumberFormat="1" applyFont="1" applyFill="1" applyBorder="1"/>
    <xf numFmtId="3" fontId="6" fillId="0" borderId="8" xfId="0" applyNumberFormat="1" applyFont="1" applyBorder="1"/>
    <xf numFmtId="3" fontId="6" fillId="0" borderId="9" xfId="0" applyNumberFormat="1" applyFont="1" applyBorder="1"/>
    <xf numFmtId="9" fontId="4" fillId="0" borderId="0" xfId="4"/>
    <xf numFmtId="167" fontId="4" fillId="0" borderId="4" xfId="1" applyNumberFormat="1" applyFont="1" applyFill="1" applyBorder="1" applyAlignment="1">
      <alignment horizontal="center"/>
    </xf>
    <xf numFmtId="167" fontId="4" fillId="0" borderId="6" xfId="1" applyNumberFormat="1" applyFont="1" applyFill="1" applyBorder="1" applyAlignment="1">
      <alignment horizontal="center"/>
    </xf>
    <xf numFmtId="167" fontId="4" fillId="0" borderId="8" xfId="1" applyNumberFormat="1" applyFont="1" applyFill="1" applyBorder="1" applyAlignment="1">
      <alignment horizontal="center"/>
    </xf>
    <xf numFmtId="17" fontId="9" fillId="0" borderId="6" xfId="0" applyNumberFormat="1" applyFont="1" applyBorder="1" applyAlignment="1">
      <alignment horizontal="center" vertical="center"/>
    </xf>
    <xf numFmtId="165" fontId="10" fillId="0" borderId="6" xfId="2" applyFont="1" applyFill="1" applyBorder="1" applyAlignment="1">
      <alignment horizontal="center" vertical="center"/>
    </xf>
    <xf numFmtId="17" fontId="9" fillId="0" borderId="8" xfId="0" applyNumberFormat="1" applyFont="1" applyBorder="1" applyAlignment="1">
      <alignment horizontal="center" vertical="center"/>
    </xf>
    <xf numFmtId="165" fontId="10" fillId="0" borderId="8" xfId="2" applyFont="1" applyFill="1" applyBorder="1" applyAlignment="1">
      <alignment horizontal="center" vertical="center"/>
    </xf>
    <xf numFmtId="2" fontId="10" fillId="4" borderId="9" xfId="1" quotePrefix="1" applyNumberFormat="1" applyFont="1" applyFill="1" applyBorder="1" applyAlignment="1" applyProtection="1">
      <alignment horizontal="center" vertical="center"/>
      <protection locked="0"/>
    </xf>
    <xf numFmtId="165" fontId="10" fillId="0" borderId="7" xfId="2" applyFont="1" applyFill="1" applyBorder="1" applyAlignment="1">
      <alignment horizontal="center" vertical="center"/>
    </xf>
    <xf numFmtId="165" fontId="0" fillId="0" borderId="9" xfId="0" applyNumberFormat="1" applyBorder="1"/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3" fontId="8" fillId="2" borderId="17" xfId="0" applyNumberFormat="1" applyFont="1" applyFill="1" applyBorder="1" applyAlignment="1">
      <alignment horizontal="center"/>
    </xf>
    <xf numFmtId="3" fontId="8" fillId="2" borderId="19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" fontId="6" fillId="3" borderId="0" xfId="0" applyNumberFormat="1" applyFont="1" applyFill="1"/>
    <xf numFmtId="167" fontId="4" fillId="0" borderId="0" xfId="1" applyNumberFormat="1" applyFont="1" applyFill="1" applyBorder="1" applyAlignment="1">
      <alignment horizontal="center"/>
    </xf>
    <xf numFmtId="3" fontId="6" fillId="0" borderId="0" xfId="0" applyNumberFormat="1" applyFont="1"/>
    <xf numFmtId="0" fontId="0" fillId="0" borderId="6" xfId="0" applyBorder="1"/>
    <xf numFmtId="0" fontId="9" fillId="0" borderId="26" xfId="0" applyFont="1" applyBorder="1" applyAlignment="1">
      <alignment horizontal="center" vertical="center"/>
    </xf>
    <xf numFmtId="166" fontId="10" fillId="4" borderId="25" xfId="1" applyFont="1" applyFill="1" applyBorder="1" applyAlignment="1" applyProtection="1">
      <alignment vertical="center"/>
      <protection locked="0"/>
    </xf>
    <xf numFmtId="9" fontId="10" fillId="4" borderId="23" xfId="4" applyFont="1" applyFill="1" applyBorder="1" applyAlignment="1" applyProtection="1">
      <alignment vertical="center"/>
      <protection locked="0"/>
    </xf>
    <xf numFmtId="17" fontId="9" fillId="0" borderId="24" xfId="0" applyNumberFormat="1" applyFont="1" applyBorder="1" applyAlignment="1">
      <alignment horizontal="center" vertical="center"/>
    </xf>
    <xf numFmtId="165" fontId="10" fillId="0" borderId="25" xfId="2" applyFont="1" applyFill="1" applyBorder="1" applyAlignment="1">
      <alignment horizontal="center" vertical="center"/>
    </xf>
    <xf numFmtId="165" fontId="10" fillId="0" borderId="24" xfId="2" applyFont="1" applyFill="1" applyBorder="1" applyAlignment="1">
      <alignment horizontal="center" vertical="center"/>
    </xf>
    <xf numFmtId="167" fontId="4" fillId="0" borderId="24" xfId="1" applyNumberFormat="1" applyFont="1" applyFill="1" applyBorder="1" applyAlignment="1">
      <alignment horizontal="center"/>
    </xf>
    <xf numFmtId="3" fontId="6" fillId="0" borderId="24" xfId="0" applyNumberFormat="1" applyFont="1" applyBorder="1"/>
    <xf numFmtId="0" fontId="7" fillId="2" borderId="2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8" fillId="2" borderId="28" xfId="0" applyFont="1" applyFill="1" applyBorder="1"/>
    <xf numFmtId="3" fontId="8" fillId="2" borderId="28" xfId="0" applyNumberFormat="1" applyFont="1" applyFill="1" applyBorder="1" applyAlignment="1">
      <alignment horizontal="center"/>
    </xf>
    <xf numFmtId="3" fontId="8" fillId="2" borderId="29" xfId="0" applyNumberFormat="1" applyFont="1" applyFill="1" applyBorder="1" applyAlignment="1">
      <alignment horizontal="center"/>
    </xf>
    <xf numFmtId="0" fontId="0" fillId="0" borderId="21" xfId="0" applyBorder="1"/>
    <xf numFmtId="0" fontId="5" fillId="0" borderId="6" xfId="0" applyFont="1" applyBorder="1" applyAlignment="1">
      <alignment horizontal="center"/>
    </xf>
    <xf numFmtId="3" fontId="6" fillId="0" borderId="30" xfId="0" applyNumberFormat="1" applyFont="1" applyBorder="1"/>
    <xf numFmtId="0" fontId="5" fillId="0" borderId="24" xfId="0" applyFont="1" applyBorder="1" applyAlignment="1">
      <alignment horizontal="center"/>
    </xf>
    <xf numFmtId="3" fontId="6" fillId="0" borderId="31" xfId="0" applyNumberFormat="1" applyFont="1" applyBorder="1"/>
    <xf numFmtId="0" fontId="5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4" borderId="0" xfId="0" applyFont="1" applyFill="1" applyAlignment="1" applyProtection="1">
      <alignment horizontal="center"/>
      <protection locked="0"/>
    </xf>
    <xf numFmtId="0" fontId="11" fillId="5" borderId="14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9" fontId="10" fillId="4" borderId="22" xfId="4" applyFont="1" applyFill="1" applyBorder="1" applyAlignment="1" applyProtection="1">
      <alignment vertical="center"/>
      <protection locked="0"/>
    </xf>
  </cellXfs>
  <cellStyles count="14">
    <cellStyle name="Millares" xfId="1" builtinId="3"/>
    <cellStyle name="Millares [0]" xfId="2" builtinId="6"/>
    <cellStyle name="Millares 2" xfId="7" xr:uid="{00000000-0005-0000-0000-000002000000}"/>
    <cellStyle name="Millares 3" xfId="9" xr:uid="{00000000-0005-0000-0000-000003000000}"/>
    <cellStyle name="Millares 4" xfId="13" xr:uid="{6DA14229-D450-4BCD-BD9A-9983C5C088F3}"/>
    <cellStyle name="Moneda 2" xfId="11" xr:uid="{D955DB16-FB66-42B4-A489-4764EC4A4088}"/>
    <cellStyle name="Normal" xfId="0" builtinId="0"/>
    <cellStyle name="Normal 2" xfId="3" xr:uid="{00000000-0005-0000-0000-000005000000}"/>
    <cellStyle name="Normal 2 2" xfId="12" xr:uid="{F7694215-9558-4456-A429-A7EDA9DC2E77}"/>
    <cellStyle name="Normal 3" xfId="5" xr:uid="{00000000-0005-0000-0000-000006000000}"/>
    <cellStyle name="Normal 4" xfId="8" xr:uid="{00000000-0005-0000-0000-000007000000}"/>
    <cellStyle name="Normal 5" xfId="10" xr:uid="{5DCFC1C1-8DB6-495A-8A3C-6EC3855601A8}"/>
    <cellStyle name="Porcentaje" xfId="4" builtinId="5"/>
    <cellStyle name="Porcentaje 2" xfId="6" xr:uid="{00000000-0005-0000-0000-000009000000}"/>
  </cellStyles>
  <dxfs count="6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family val="2"/>
        <scheme val="none"/>
      </font>
      <numFmt numFmtId="3" formatCode="#,##0"/>
      <fill>
        <patternFill patternType="solid">
          <fgColor indexed="64"/>
          <bgColor indexed="5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family val="2"/>
        <scheme val="none"/>
      </font>
      <numFmt numFmtId="3" formatCode="#,##0"/>
      <fill>
        <patternFill patternType="solid">
          <fgColor indexed="64"/>
          <bgColor indexed="5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B8226-A19B-4A49-BA1D-E2B90CEAFCDE}" name="Tabla1" displayName="Tabla1" ref="A5:AC11" totalsRowShown="0" headerRowDxfId="64" dataDxfId="62" headerRowBorderDxfId="63" tableBorderDxfId="61" totalsRowBorderDxfId="60" dataCellStyle="Millares">
  <autoFilter ref="A5:AC11" xr:uid="{623B8226-A19B-4A49-BA1D-E2B90CEAFCDE}"/>
  <tableColumns count="29">
    <tableColumn id="1" xr3:uid="{258FC7B1-AB2C-41E9-A4DA-A22C0F76CE93}" name="Año" dataDxfId="59" dataCellStyle="Normal 2"/>
    <tableColumn id="2" xr3:uid="{2CFE93B2-E9F0-40B3-9CCD-741BDAA0874C}" name="Mes" dataDxfId="58"/>
    <tableColumn id="3" xr3:uid="{1DF17EEE-269F-4ACD-9D0D-FC60933DE82B}" name="Dias\Horas" dataDxfId="57"/>
    <tableColumn id="4" xr3:uid="{707697F8-85C2-425A-BE80-FD1CB5DE8B72}" name="HO1" dataDxfId="56" dataCellStyle="Millares"/>
    <tableColumn id="5" xr3:uid="{7C3DBE8F-9144-4ABE-A782-F1DADD14A57D}" name="HO2" dataDxfId="55" dataCellStyle="Millares"/>
    <tableColumn id="6" xr3:uid="{DC7A1BE4-942D-4028-A791-AFFB3557B890}" name="HO3" dataDxfId="54" dataCellStyle="Millares"/>
    <tableColumn id="7" xr3:uid="{05840084-9C8D-40A2-BF0D-745725769AF7}" name="HO4" dataDxfId="53" dataCellStyle="Millares"/>
    <tableColumn id="8" xr3:uid="{476F1D24-2E1C-4362-8D75-95E46A3A2D33}" name="HO5" dataDxfId="52" dataCellStyle="Millares"/>
    <tableColumn id="9" xr3:uid="{3BB499EE-3583-40F8-9F65-998958A70E32}" name="HO6" dataDxfId="51" dataCellStyle="Millares"/>
    <tableColumn id="10" xr3:uid="{D60A03BA-156A-48A3-8980-D9BA1B3EF120}" name="HO7" dataDxfId="50" dataCellStyle="Millares"/>
    <tableColumn id="11" xr3:uid="{F8F076C4-25CA-452E-8047-3659C4FAD26F}" name="HO8" dataDxfId="49" dataCellStyle="Millares"/>
    <tableColumn id="12" xr3:uid="{0FB7A36B-4B9B-43A6-8AF2-4886F888D32F}" name="HO9" dataDxfId="48" dataCellStyle="Millares"/>
    <tableColumn id="13" xr3:uid="{7A540E58-AA37-4C1B-88BD-BDEAA76B27CA}" name="H10" dataDxfId="47" dataCellStyle="Millares"/>
    <tableColumn id="14" xr3:uid="{9C4E1837-4D81-4890-B611-89CA84F202BE}" name="H11" dataDxfId="46" dataCellStyle="Millares"/>
    <tableColumn id="15" xr3:uid="{E2A592E3-3D92-4920-BE15-B3346115244D}" name="H12" dataDxfId="45" dataCellStyle="Millares"/>
    <tableColumn id="16" xr3:uid="{4D6B59C0-4646-4E66-A96F-6FDC070B829B}" name="H13" dataDxfId="44" dataCellStyle="Millares"/>
    <tableColumn id="17" xr3:uid="{F071DE44-637F-4744-B382-4E1444E479DE}" name="H14" dataDxfId="43" dataCellStyle="Millares"/>
    <tableColumn id="18" xr3:uid="{50D7028A-6057-4636-9612-C53729934B5E}" name="H15" dataDxfId="42" dataCellStyle="Millares"/>
    <tableColumn id="19" xr3:uid="{A01D35F9-A947-4D26-A92D-F864B52732A9}" name="H16" dataDxfId="41" dataCellStyle="Millares"/>
    <tableColumn id="20" xr3:uid="{79F6CB1F-0146-432F-83EF-BAF9DB2FD289}" name="H17" dataDxfId="40" dataCellStyle="Millares"/>
    <tableColumn id="21" xr3:uid="{CC508A62-EF3E-4686-B86B-F031627D9142}" name="H18" dataDxfId="39" dataCellStyle="Millares"/>
    <tableColumn id="22" xr3:uid="{2F6E929D-CE44-44B3-95DF-92412FAF3013}" name="H19" dataDxfId="38" dataCellStyle="Millares"/>
    <tableColumn id="23" xr3:uid="{AC79BE4C-94C7-44D1-BA95-949C6A4637F1}" name="H20" dataDxfId="37" dataCellStyle="Millares"/>
    <tableColumn id="24" xr3:uid="{FF587CCF-6B2E-4491-B88D-95E97D43BFDE}" name="H21" dataDxfId="36" dataCellStyle="Millares"/>
    <tableColumn id="25" xr3:uid="{FDBBB00F-B638-4DD4-AD11-447BC4227883}" name="H22" dataDxfId="35" dataCellStyle="Millares"/>
    <tableColumn id="26" xr3:uid="{D596B851-B005-48EB-AA3E-E6774E8E1A3B}" name="H23" dataDxfId="34" dataCellStyle="Millares"/>
    <tableColumn id="27" xr3:uid="{09883F07-BBE2-4693-8766-1F8C0694B6F5}" name="H24" dataDxfId="33" dataCellStyle="Millares"/>
    <tableColumn id="28" xr3:uid="{68465093-3698-4221-B23C-85C48A645668}" name="N. Días" dataDxfId="32"/>
    <tableColumn id="29" xr3:uid="{164E94B5-8FC1-41A8-97C2-57A01D3D4044}" name="Total" dataDxfId="31">
      <calculatedColumnFormula>+AB6*SUM(D6:AA6)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11904C-AC74-414D-95BE-28CE00E1AC7F}" name="Tabla13" displayName="Tabla13" ref="A5:AC23" totalsRowShown="0" headerRowDxfId="30" dataDxfId="29" dataCellStyle="Millares">
  <autoFilter ref="A5:AC23" xr:uid="{623B8226-A19B-4A49-BA1D-E2B90CEAFCDE}"/>
  <tableColumns count="29">
    <tableColumn id="1" xr3:uid="{78C58080-92DC-4842-962E-6467C5287F24}" name="Año" dataDxfId="28" dataCellStyle="Normal 2"/>
    <tableColumn id="2" xr3:uid="{D25AE18E-FFE0-417E-8BC5-908E669EA070}" name="Mes" dataDxfId="27"/>
    <tableColumn id="3" xr3:uid="{7396951E-CF32-45B7-A7AE-3A190E60B736}" name="Dias\Horas" dataDxfId="26"/>
    <tableColumn id="4" xr3:uid="{32F1DB82-F053-47F3-8AAE-F1B7CBBDFBD3}" name="HO1" dataDxfId="25" dataCellStyle="Millares"/>
    <tableColumn id="5" xr3:uid="{7484B9B8-791E-4609-A09E-F0745B778C4B}" name="HO2" dataDxfId="24" dataCellStyle="Millares"/>
    <tableColumn id="6" xr3:uid="{D619924D-3221-4023-A831-E27A1CEF8901}" name="HO3" dataDxfId="23" dataCellStyle="Millares"/>
    <tableColumn id="7" xr3:uid="{56746CFC-5B45-46C1-AD06-EA6A8843C7FE}" name="HO4" dataDxfId="22" dataCellStyle="Millares"/>
    <tableColumn id="8" xr3:uid="{976F2E10-D6AD-430F-9873-A58F7ECAC12C}" name="HO5" dataDxfId="21" dataCellStyle="Millares"/>
    <tableColumn id="9" xr3:uid="{332390B5-11B9-4701-AAFF-39083B204F50}" name="HO6" dataDxfId="20" dataCellStyle="Millares"/>
    <tableColumn id="10" xr3:uid="{B7F146C7-E401-4DF6-A62A-FBB4AD16ECB1}" name="HO7" dataDxfId="19" dataCellStyle="Millares"/>
    <tableColumn id="11" xr3:uid="{6EF18228-116F-4405-8E78-0D8ED47753AE}" name="HO8" dataDxfId="18" dataCellStyle="Millares"/>
    <tableColumn id="12" xr3:uid="{BF0772DD-E707-4D19-B6E3-CC0F98D35C7D}" name="HO9" dataDxfId="17" dataCellStyle="Millares"/>
    <tableColumn id="13" xr3:uid="{DCBE2469-A101-4FC6-AEE7-226A7E225C60}" name="H10" dataDxfId="16" dataCellStyle="Millares"/>
    <tableColumn id="14" xr3:uid="{571C014B-82E9-4380-A890-4E0FE1BE6740}" name="H11" dataDxfId="15" dataCellStyle="Millares"/>
    <tableColumn id="15" xr3:uid="{A01B3BFB-152A-458B-B283-4139626F69B0}" name="H12" dataDxfId="14" dataCellStyle="Millares"/>
    <tableColumn id="16" xr3:uid="{FEC26DB7-526D-420D-BB35-21A5A5568DD2}" name="H13" dataDxfId="13" dataCellStyle="Millares"/>
    <tableColumn id="17" xr3:uid="{A0614A55-2E18-4637-AB17-BC7BA2BD61D3}" name="H14" dataDxfId="12" dataCellStyle="Millares"/>
    <tableColumn id="18" xr3:uid="{57828BAE-CD15-40B5-BA5D-8CA2EDD8BC3A}" name="H15" dataDxfId="11" dataCellStyle="Millares"/>
    <tableColumn id="19" xr3:uid="{2ADCC573-C7B8-4B4A-ABD8-B1C02BC70E37}" name="H16" dataDxfId="10" dataCellStyle="Millares"/>
    <tableColumn id="20" xr3:uid="{5AA960C6-C195-4BC0-9871-7AEB3F9566E9}" name="H17" dataDxfId="9" dataCellStyle="Millares"/>
    <tableColumn id="21" xr3:uid="{18B8FC92-E6E9-421E-B034-93AD484795BE}" name="H18" dataDxfId="8" dataCellStyle="Millares"/>
    <tableColumn id="22" xr3:uid="{AC52472D-5BE1-4C3B-B5F1-36ED6449BAA4}" name="H19" dataDxfId="7" dataCellStyle="Millares"/>
    <tableColumn id="23" xr3:uid="{8FA63659-90AA-47A7-BACE-7CCE713A4F7A}" name="H20" dataDxfId="6" dataCellStyle="Millares"/>
    <tableColumn id="24" xr3:uid="{41C4F769-C39C-43DB-ADA1-DED812ED1701}" name="H21" dataDxfId="5" dataCellStyle="Millares"/>
    <tableColumn id="25" xr3:uid="{3DEB26F0-2DC4-436B-9297-47190959A0E8}" name="H22" dataDxfId="4" dataCellStyle="Millares"/>
    <tableColumn id="26" xr3:uid="{D2A8727E-16B8-42F9-A915-36611A91DCA9}" name="H23" dataDxfId="3" dataCellStyle="Millares"/>
    <tableColumn id="27" xr3:uid="{170A460C-9E8F-4CDB-9A12-2F06750AAE7C}" name="H24" dataDxfId="2" dataCellStyle="Millares"/>
    <tableColumn id="28" xr3:uid="{7692B4AE-8EFD-4B31-829B-5E61548C5722}" name="N. Días" dataDxfId="1"/>
    <tableColumn id="29" xr3:uid="{1F115F87-129F-4216-9AAB-4E34D3F9906F}" name="Total" dataDxfId="0">
      <calculatedColumnFormula>+AB6*SUM(D6:AA6)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80"/>
  <sheetViews>
    <sheetView showGridLines="0" tabSelected="1" zoomScaleNormal="100" workbookViewId="0">
      <pane xSplit="3" ySplit="5" topLeftCell="L6" activePane="bottomRight" state="frozen"/>
      <selection activeCell="H17" sqref="H17"/>
      <selection pane="topRight" activeCell="H17" sqref="H17"/>
      <selection pane="bottomLeft" activeCell="H17" sqref="H17"/>
      <selection pane="bottomRight" activeCell="W17" sqref="W17"/>
    </sheetView>
  </sheetViews>
  <sheetFormatPr baseColWidth="10" defaultColWidth="11.453125" defaultRowHeight="12.5"/>
  <cols>
    <col min="1" max="2" width="10.81640625" style="2" customWidth="1"/>
    <col min="3" max="3" width="16.81640625" style="2" bestFit="1" customWidth="1"/>
    <col min="4" max="27" width="11" style="14" customWidth="1"/>
    <col min="28" max="28" width="10.54296875" style="2" customWidth="1"/>
    <col min="29" max="30" width="12.54296875" style="2" customWidth="1"/>
    <col min="31" max="31" width="12.54296875" customWidth="1"/>
    <col min="32" max="34" width="11.453125" customWidth="1"/>
    <col min="37" max="37" width="12.1796875" bestFit="1" customWidth="1"/>
    <col min="57" max="16384" width="11.453125" style="2"/>
  </cols>
  <sheetData>
    <row r="1" spans="1:30" ht="15.5">
      <c r="B1" s="70" t="s">
        <v>53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1"/>
    </row>
    <row r="2" spans="1:30" ht="15.5">
      <c r="B2" s="70" t="s">
        <v>51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1"/>
    </row>
    <row r="3" spans="1:30" ht="15.5">
      <c r="B3" s="70" t="s">
        <v>59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1"/>
    </row>
    <row r="5" spans="1:30" ht="15.5">
      <c r="A5" s="60" t="s">
        <v>44</v>
      </c>
      <c r="B5" s="61" t="s">
        <v>0</v>
      </c>
      <c r="C5" s="62" t="s">
        <v>1</v>
      </c>
      <c r="D5" s="63" t="s">
        <v>52</v>
      </c>
      <c r="E5" s="63" t="s">
        <v>2</v>
      </c>
      <c r="F5" s="63" t="s">
        <v>3</v>
      </c>
      <c r="G5" s="63" t="s">
        <v>4</v>
      </c>
      <c r="H5" s="63" t="s">
        <v>5</v>
      </c>
      <c r="I5" s="63" t="s">
        <v>6</v>
      </c>
      <c r="J5" s="63" t="s">
        <v>7</v>
      </c>
      <c r="K5" s="63" t="s">
        <v>8</v>
      </c>
      <c r="L5" s="63" t="s">
        <v>9</v>
      </c>
      <c r="M5" s="63" t="s">
        <v>10</v>
      </c>
      <c r="N5" s="63" t="s">
        <v>11</v>
      </c>
      <c r="O5" s="63" t="s">
        <v>12</v>
      </c>
      <c r="P5" s="63" t="s">
        <v>13</v>
      </c>
      <c r="Q5" s="63" t="s">
        <v>14</v>
      </c>
      <c r="R5" s="63" t="s">
        <v>15</v>
      </c>
      <c r="S5" s="63" t="s">
        <v>16</v>
      </c>
      <c r="T5" s="63" t="s">
        <v>17</v>
      </c>
      <c r="U5" s="63" t="s">
        <v>18</v>
      </c>
      <c r="V5" s="63" t="s">
        <v>19</v>
      </c>
      <c r="W5" s="63" t="s">
        <v>20</v>
      </c>
      <c r="X5" s="63" t="s">
        <v>21</v>
      </c>
      <c r="Y5" s="63" t="s">
        <v>22</v>
      </c>
      <c r="Z5" s="63" t="s">
        <v>23</v>
      </c>
      <c r="AA5" s="63" t="s">
        <v>24</v>
      </c>
      <c r="AB5" s="63" t="s">
        <v>49</v>
      </c>
      <c r="AC5" s="64" t="s">
        <v>48</v>
      </c>
    </row>
    <row r="6" spans="1:30" ht="15.5">
      <c r="A6" s="65">
        <v>2025</v>
      </c>
      <c r="B6" s="66" t="s">
        <v>25</v>
      </c>
      <c r="C6" s="22" t="s">
        <v>46</v>
      </c>
      <c r="D6" s="33">
        <v>1209.3093173319514</v>
      </c>
      <c r="E6" s="33">
        <v>1173.5948240519181</v>
      </c>
      <c r="F6" s="33">
        <v>1136.7142266667158</v>
      </c>
      <c r="G6" s="33">
        <v>1100.1910882996433</v>
      </c>
      <c r="H6" s="33">
        <v>1101.5954984168991</v>
      </c>
      <c r="I6" s="33">
        <v>1171.5328289347833</v>
      </c>
      <c r="J6" s="33">
        <v>1404.3214087291035</v>
      </c>
      <c r="K6" s="33">
        <v>1624.6039083702963</v>
      </c>
      <c r="L6" s="33">
        <v>1544.2678606973825</v>
      </c>
      <c r="M6" s="33">
        <v>1173.2922053294565</v>
      </c>
      <c r="N6" s="33">
        <v>927.34295167098287</v>
      </c>
      <c r="O6" s="33">
        <v>848.69249526766112</v>
      </c>
      <c r="P6" s="33">
        <v>542.76391168841724</v>
      </c>
      <c r="Q6" s="33">
        <v>561.32236629077681</v>
      </c>
      <c r="R6" s="33">
        <v>949.19780659116134</v>
      </c>
      <c r="S6" s="33">
        <v>1173.5349982748253</v>
      </c>
      <c r="T6" s="33">
        <v>1502.3768544806499</v>
      </c>
      <c r="U6" s="33">
        <v>1763.752683310669</v>
      </c>
      <c r="V6" s="33">
        <v>1603.8184392156536</v>
      </c>
      <c r="W6" s="33">
        <v>1499.8163112210736</v>
      </c>
      <c r="X6" s="33">
        <v>1498.7110299892822</v>
      </c>
      <c r="Y6" s="33">
        <v>1469.226892845332</v>
      </c>
      <c r="Z6" s="33">
        <v>1363.1278713636457</v>
      </c>
      <c r="AA6" s="33">
        <v>1303.8574769014263</v>
      </c>
      <c r="AB6" s="23">
        <v>12</v>
      </c>
      <c r="AC6" s="67">
        <f>+AB6*SUM(D6:AA6)</f>
        <v>355763.58307127643</v>
      </c>
      <c r="AD6" s="31"/>
    </row>
    <row r="7" spans="1:30" ht="15.5">
      <c r="A7" s="65">
        <v>2025</v>
      </c>
      <c r="B7" s="66" t="s">
        <v>25</v>
      </c>
      <c r="C7" s="22" t="s">
        <v>47</v>
      </c>
      <c r="D7" s="33">
        <v>1247.7845581919032</v>
      </c>
      <c r="E7" s="33">
        <v>1214.9479679680744</v>
      </c>
      <c r="F7" s="33">
        <v>1180.5537140660149</v>
      </c>
      <c r="G7" s="33">
        <v>1154.7905201000733</v>
      </c>
      <c r="H7" s="33">
        <v>1163.1312783214721</v>
      </c>
      <c r="I7" s="33">
        <v>1162.2517074544885</v>
      </c>
      <c r="J7" s="33">
        <v>1091.9055359721397</v>
      </c>
      <c r="K7" s="33">
        <v>874.33956580533402</v>
      </c>
      <c r="L7" s="33">
        <v>672.53004616949806</v>
      </c>
      <c r="M7" s="33">
        <v>281.10801177743053</v>
      </c>
      <c r="N7" s="33">
        <v>64.059818549563715</v>
      </c>
      <c r="O7" s="33">
        <v>31.240559771389343</v>
      </c>
      <c r="P7" s="33">
        <v>16.342015800334813</v>
      </c>
      <c r="Q7" s="33">
        <v>10.800286052195</v>
      </c>
      <c r="R7" s="33">
        <v>57.374213388203486</v>
      </c>
      <c r="S7" s="33">
        <v>183.96309245126275</v>
      </c>
      <c r="T7" s="33">
        <v>644.46393636216783</v>
      </c>
      <c r="U7" s="33">
        <v>1113.1213918843887</v>
      </c>
      <c r="V7" s="33">
        <v>1430.8847822433236</v>
      </c>
      <c r="W7" s="33">
        <v>1406.7182477083352</v>
      </c>
      <c r="X7" s="33">
        <v>1414.1101092801312</v>
      </c>
      <c r="Y7" s="33">
        <v>1417.0391235958016</v>
      </c>
      <c r="Z7" s="33">
        <v>1380.6170905521242</v>
      </c>
      <c r="AA7" s="33">
        <v>1369.0786806074045</v>
      </c>
      <c r="AB7" s="23">
        <v>3</v>
      </c>
      <c r="AC7" s="67">
        <f t="shared" ref="AC7:AC8" si="0">+AB7*SUM(D7:AA7)</f>
        <v>61749.46876221917</v>
      </c>
      <c r="AD7" s="31"/>
    </row>
    <row r="8" spans="1:30" ht="15.5">
      <c r="A8" s="65">
        <v>2025</v>
      </c>
      <c r="B8" s="66" t="s">
        <v>25</v>
      </c>
      <c r="C8" s="22" t="s">
        <v>55</v>
      </c>
      <c r="D8" s="33">
        <v>1337.1238990500131</v>
      </c>
      <c r="E8" s="33">
        <v>1293.0447474470841</v>
      </c>
      <c r="F8" s="33">
        <v>1261.3697982892877</v>
      </c>
      <c r="G8" s="33">
        <v>1221.3513428954407</v>
      </c>
      <c r="H8" s="33">
        <v>1194.9008144797631</v>
      </c>
      <c r="I8" s="33">
        <v>1184.0590023946463</v>
      </c>
      <c r="J8" s="33">
        <v>900.86008776997903</v>
      </c>
      <c r="K8" s="33">
        <v>331.86903223658425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3">
        <v>15.603634877095708</v>
      </c>
      <c r="S8" s="33">
        <v>83.078775297566324</v>
      </c>
      <c r="T8" s="33">
        <v>352.18959896029122</v>
      </c>
      <c r="U8" s="33">
        <v>937.71769267849663</v>
      </c>
      <c r="V8" s="33">
        <v>1326.7566891398708</v>
      </c>
      <c r="W8" s="33">
        <v>1361.184330912519</v>
      </c>
      <c r="X8" s="33">
        <v>1399.0139210753841</v>
      </c>
      <c r="Y8" s="33">
        <v>1377.5334266360394</v>
      </c>
      <c r="Z8" s="33">
        <v>1303.2297101220365</v>
      </c>
      <c r="AA8" s="33">
        <v>1238.7559538561043</v>
      </c>
      <c r="AB8" s="23">
        <v>2</v>
      </c>
      <c r="AC8" s="67">
        <f t="shared" si="0"/>
        <v>36239.2849162364</v>
      </c>
      <c r="AD8" s="31"/>
    </row>
    <row r="9" spans="1:30" ht="15.5">
      <c r="A9" s="65">
        <v>2025</v>
      </c>
      <c r="B9" s="66" t="s">
        <v>26</v>
      </c>
      <c r="C9" s="22" t="s">
        <v>46</v>
      </c>
      <c r="D9" s="33">
        <v>1256.5959709014076</v>
      </c>
      <c r="E9" s="33">
        <v>1220.9333676742822</v>
      </c>
      <c r="F9" s="33">
        <v>1184.1063545898451</v>
      </c>
      <c r="G9" s="33">
        <v>1147.6362811666702</v>
      </c>
      <c r="H9" s="33">
        <v>1149.0386507981568</v>
      </c>
      <c r="I9" s="33">
        <v>1218.874368456736</v>
      </c>
      <c r="J9" s="33">
        <v>1451.3247266885328</v>
      </c>
      <c r="K9" s="33">
        <v>1671.2871750141026</v>
      </c>
      <c r="L9" s="33">
        <v>1591.0678486322199</v>
      </c>
      <c r="M9" s="33">
        <v>1220.6311886305077</v>
      </c>
      <c r="N9" s="33">
        <v>975.03927784919472</v>
      </c>
      <c r="O9" s="33">
        <v>896.50309371937283</v>
      </c>
      <c r="P9" s="33">
        <v>591.01899776770142</v>
      </c>
      <c r="Q9" s="33">
        <v>609.55048854941663</v>
      </c>
      <c r="R9" s="33">
        <v>996.86237956573086</v>
      </c>
      <c r="S9" s="33">
        <v>1220.8736288188409</v>
      </c>
      <c r="T9" s="33">
        <v>1549.2377064045661</v>
      </c>
      <c r="U9" s="33">
        <v>1810.2337788852367</v>
      </c>
      <c r="V9" s="33">
        <v>1650.5319053385815</v>
      </c>
      <c r="W9" s="33">
        <v>1546.6808833916743</v>
      </c>
      <c r="X9" s="33">
        <v>1545.5772080373945</v>
      </c>
      <c r="Y9" s="33">
        <v>1516.135908780695</v>
      </c>
      <c r="Z9" s="33">
        <v>1410.1910399505668</v>
      </c>
      <c r="AA9" s="33">
        <v>1351.0067602171889</v>
      </c>
      <c r="AB9" s="23">
        <v>18</v>
      </c>
      <c r="AC9" s="67">
        <f t="shared" ref="AC9:AC11" si="1">+AB9*SUM(D9:AA9)</f>
        <v>554056.90181691514</v>
      </c>
    </row>
    <row r="10" spans="1:30" ht="15.5">
      <c r="A10" s="65">
        <v>2025</v>
      </c>
      <c r="B10" s="66" t="s">
        <v>26</v>
      </c>
      <c r="C10" s="22" t="s">
        <v>58</v>
      </c>
      <c r="D10" s="33">
        <v>1303.9568676224308</v>
      </c>
      <c r="E10" s="33">
        <v>1269.781322006595</v>
      </c>
      <c r="F10" s="33">
        <v>1233.9845969160747</v>
      </c>
      <c r="G10" s="33">
        <v>1207.1708746449444</v>
      </c>
      <c r="H10" s="33">
        <v>1215.8517383132803</v>
      </c>
      <c r="I10" s="33">
        <v>1214.9363017809833</v>
      </c>
      <c r="J10" s="33">
        <v>1141.7216721252589</v>
      </c>
      <c r="K10" s="33">
        <v>915.28416179894418</v>
      </c>
      <c r="L10" s="33">
        <v>705.24559211154053</v>
      </c>
      <c r="M10" s="33">
        <v>297.86280662055975</v>
      </c>
      <c r="N10" s="33">
        <v>71.964186272617127</v>
      </c>
      <c r="O10" s="33">
        <v>37.806678815052926</v>
      </c>
      <c r="P10" s="33">
        <v>22.300627010599243</v>
      </c>
      <c r="Q10" s="33">
        <v>16.532925903169762</v>
      </c>
      <c r="R10" s="33">
        <v>65.005966719244412</v>
      </c>
      <c r="S10" s="33">
        <v>196.75667473696117</v>
      </c>
      <c r="T10" s="33">
        <v>676.03504956003599</v>
      </c>
      <c r="U10" s="33">
        <v>1163.802632619808</v>
      </c>
      <c r="V10" s="33">
        <v>1494.5232454553541</v>
      </c>
      <c r="W10" s="33">
        <v>1469.3712885150192</v>
      </c>
      <c r="X10" s="33">
        <v>1477.0645630179708</v>
      </c>
      <c r="Y10" s="33">
        <v>1480.1130117659163</v>
      </c>
      <c r="Z10" s="33">
        <v>1442.2058221575878</v>
      </c>
      <c r="AA10" s="33">
        <v>1430.1969182880923</v>
      </c>
      <c r="AB10" s="23">
        <v>4</v>
      </c>
      <c r="AC10" s="67">
        <f t="shared" si="1"/>
        <v>86197.902099112151</v>
      </c>
    </row>
    <row r="11" spans="1:30" ht="15.5">
      <c r="A11" s="65">
        <v>2025</v>
      </c>
      <c r="B11" s="68" t="s">
        <v>26</v>
      </c>
      <c r="C11" s="22" t="s">
        <v>55</v>
      </c>
      <c r="D11" s="58">
        <v>1426.070021520015</v>
      </c>
      <c r="E11" s="58">
        <v>1379.0260790796783</v>
      </c>
      <c r="F11" s="58">
        <v>1345.2206533672436</v>
      </c>
      <c r="G11" s="58">
        <v>1302.5105320595953</v>
      </c>
      <c r="H11" s="58">
        <v>1274.2809248404549</v>
      </c>
      <c r="I11" s="58">
        <v>1262.709885808767</v>
      </c>
      <c r="J11" s="58">
        <v>960.46283807104749</v>
      </c>
      <c r="K11" s="58">
        <v>353.20109431732351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15.663491886215709</v>
      </c>
      <c r="S11" s="58">
        <v>87.677051736204405</v>
      </c>
      <c r="T11" s="58">
        <v>374.88843485228904</v>
      </c>
      <c r="U11" s="58">
        <v>999.79950814637971</v>
      </c>
      <c r="V11" s="58">
        <v>1415.0055066973837</v>
      </c>
      <c r="W11" s="58">
        <v>1451.7487728223462</v>
      </c>
      <c r="X11" s="58">
        <v>1492.1228044778261</v>
      </c>
      <c r="Y11" s="58">
        <v>1469.1975187759263</v>
      </c>
      <c r="Z11" s="58">
        <v>1389.8960886060322</v>
      </c>
      <c r="AA11" s="58">
        <v>1321.0857878541171</v>
      </c>
      <c r="AB11" s="59">
        <v>8</v>
      </c>
      <c r="AC11" s="69">
        <f t="shared" si="1"/>
        <v>154564.53595935073</v>
      </c>
    </row>
    <row r="12" spans="1:30" ht="15.5">
      <c r="B12" s="47"/>
      <c r="C12" s="48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50"/>
      <c r="AC12" s="50"/>
    </row>
    <row r="13" spans="1:30" ht="15.5">
      <c r="B13" s="47"/>
      <c r="C13" s="48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50"/>
      <c r="AC13" s="50"/>
    </row>
    <row r="14" spans="1:30" ht="15.5">
      <c r="B14" s="47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50"/>
      <c r="AC14" s="50"/>
    </row>
    <row r="15" spans="1:30" ht="15.5">
      <c r="B15" s="47"/>
      <c r="C15" s="48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50"/>
      <c r="AC15" s="50"/>
    </row>
    <row r="16" spans="1:30" ht="15.5">
      <c r="B16" s="47"/>
      <c r="C16" s="48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50"/>
      <c r="AC16" s="50"/>
    </row>
    <row r="17" spans="2:29" ht="15.5">
      <c r="B17" s="47"/>
      <c r="C17" s="48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50"/>
      <c r="AC17" s="50"/>
    </row>
    <row r="18" spans="2:29" ht="15.5">
      <c r="B18" s="47"/>
      <c r="C18" s="48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50"/>
      <c r="AC18" s="50"/>
    </row>
    <row r="19" spans="2:29" ht="15.5">
      <c r="B19" s="47"/>
      <c r="C19" s="48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50"/>
      <c r="AC19" s="50"/>
    </row>
    <row r="20" spans="2:29" ht="15.5">
      <c r="B20" s="47"/>
      <c r="C20" s="48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50"/>
      <c r="AC20" s="50"/>
    </row>
    <row r="21" spans="2:29" ht="15.5">
      <c r="B21" s="47"/>
      <c r="C21" s="48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50"/>
      <c r="AC21" s="50"/>
    </row>
    <row r="22" spans="2:29" ht="15.5">
      <c r="B22" s="47"/>
      <c r="C22" s="48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50"/>
      <c r="AC22" s="50"/>
    </row>
    <row r="23" spans="2:29" ht="15.5">
      <c r="B23" s="47"/>
      <c r="C23" s="48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50"/>
      <c r="AC23" s="50"/>
    </row>
    <row r="24" spans="2:29" ht="15.5">
      <c r="B24" s="47"/>
      <c r="C24" s="48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50"/>
      <c r="AC24" s="50"/>
    </row>
    <row r="25" spans="2:29" ht="15.5">
      <c r="B25" s="47"/>
      <c r="C25" s="48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50"/>
      <c r="AC25" s="50"/>
    </row>
    <row r="26" spans="2:29" ht="15.5">
      <c r="B26" s="47"/>
      <c r="C26" s="48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50"/>
      <c r="AC26" s="50"/>
    </row>
    <row r="27" spans="2:29" ht="15.5">
      <c r="B27" s="47"/>
      <c r="C27" s="48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50"/>
      <c r="AC27" s="50"/>
    </row>
    <row r="28" spans="2:29" ht="15.5">
      <c r="B28" s="47"/>
      <c r="C28" s="48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50"/>
      <c r="AC28" s="50"/>
    </row>
    <row r="29" spans="2:29" ht="15.5">
      <c r="B29" s="47"/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50"/>
      <c r="AC29" s="50"/>
    </row>
    <row r="30" spans="2:29" ht="15.5">
      <c r="B30" s="47"/>
      <c r="C30" s="48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50"/>
      <c r="AC30" s="50"/>
    </row>
    <row r="31" spans="2:29" ht="15.5">
      <c r="B31" s="47"/>
      <c r="C31" s="48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50"/>
      <c r="AC31" s="50"/>
    </row>
    <row r="32" spans="2:29" ht="15.5">
      <c r="B32" s="47"/>
      <c r="C32" s="48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50"/>
      <c r="AC32" s="50"/>
    </row>
    <row r="33" spans="2:29" ht="15.5">
      <c r="B33" s="47"/>
      <c r="C33" s="48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50"/>
      <c r="AC33" s="50"/>
    </row>
    <row r="34" spans="2:29" ht="15.5">
      <c r="B34" s="47"/>
      <c r="C34" s="48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50"/>
      <c r="AC34" s="50"/>
    </row>
    <row r="35" spans="2:29" ht="15.5">
      <c r="B35" s="47"/>
      <c r="C35" s="48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50"/>
      <c r="AC35" s="50"/>
    </row>
    <row r="36" spans="2:29" ht="15.5">
      <c r="B36" s="47"/>
      <c r="C36" s="48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50"/>
      <c r="AC36" s="50"/>
    </row>
    <row r="37" spans="2:29" ht="15.5">
      <c r="B37" s="47"/>
      <c r="C37" s="48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50"/>
      <c r="AC37" s="50"/>
    </row>
    <row r="38" spans="2:29" ht="15.5">
      <c r="B38" s="47"/>
      <c r="C38" s="48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50"/>
      <c r="AC38" s="50"/>
    </row>
    <row r="39" spans="2:29" ht="15.5">
      <c r="B39" s="47"/>
      <c r="C39" s="48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50"/>
      <c r="AC39" s="50"/>
    </row>
    <row r="40" spans="2:29" ht="15.5">
      <c r="B40" s="47"/>
      <c r="C40" s="48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50"/>
      <c r="AC40" s="50"/>
    </row>
    <row r="41" spans="2:29" ht="15.5">
      <c r="B41" s="47"/>
      <c r="C41" s="48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50"/>
      <c r="AC41" s="50"/>
    </row>
    <row r="42" spans="2:29" ht="15.5">
      <c r="B42" s="47"/>
      <c r="C42" s="48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50"/>
      <c r="AC42" s="50"/>
    </row>
    <row r="43" spans="2:29" ht="15.5">
      <c r="B43" s="47"/>
      <c r="C43" s="48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50"/>
      <c r="AC43" s="50"/>
    </row>
    <row r="44" spans="2:29" ht="15.5">
      <c r="B44" s="47"/>
      <c r="C44" s="48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50"/>
      <c r="AC44" s="50"/>
    </row>
    <row r="45" spans="2:29" ht="15.5">
      <c r="B45" s="47"/>
      <c r="C45" s="48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50"/>
      <c r="AC45" s="50"/>
    </row>
    <row r="46" spans="2:29" ht="15.5">
      <c r="B46" s="47"/>
      <c r="C46" s="48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50"/>
      <c r="AC46" s="50"/>
    </row>
    <row r="47" spans="2:29" ht="15.5">
      <c r="B47" s="47"/>
      <c r="C47" s="48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50"/>
      <c r="AC47" s="50"/>
    </row>
    <row r="48" spans="2:29" ht="15.5">
      <c r="B48" s="47"/>
      <c r="C48" s="48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50"/>
      <c r="AC48" s="50"/>
    </row>
    <row r="49" spans="2:29" ht="15.5">
      <c r="B49" s="47"/>
      <c r="C49" s="48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50"/>
    </row>
    <row r="50" spans="2:29" ht="15.5">
      <c r="B50" s="47"/>
      <c r="C50" s="48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50"/>
    </row>
    <row r="51" spans="2:29" ht="15.5">
      <c r="B51" s="47"/>
      <c r="C51" s="48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50"/>
    </row>
    <row r="52" spans="2:29" ht="15.5">
      <c r="B52" s="47"/>
      <c r="C52" s="48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50"/>
    </row>
    <row r="53" spans="2:29" ht="15.5">
      <c r="B53" s="47"/>
      <c r="C53" s="48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50"/>
      <c r="AC53" s="50"/>
    </row>
    <row r="54" spans="2:29" ht="15.5">
      <c r="B54" s="47"/>
      <c r="C54" s="48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50"/>
      <c r="AC54" s="50"/>
    </row>
    <row r="55" spans="2:29" ht="15.5">
      <c r="B55" s="47"/>
      <c r="C55" s="48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50"/>
      <c r="AC55" s="50"/>
    </row>
    <row r="56" spans="2:29" ht="15.5">
      <c r="B56" s="47"/>
      <c r="C56" s="48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50"/>
      <c r="AC56" s="50"/>
    </row>
    <row r="57" spans="2:29" ht="15.5">
      <c r="B57" s="47"/>
      <c r="C57" s="48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50"/>
      <c r="AC57" s="50"/>
    </row>
    <row r="58" spans="2:29" ht="15.5">
      <c r="B58" s="47"/>
      <c r="C58" s="48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50"/>
      <c r="AC58" s="50"/>
    </row>
    <row r="59" spans="2:29" ht="15.5">
      <c r="B59" s="47"/>
      <c r="C59" s="48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50"/>
      <c r="AC59" s="50"/>
    </row>
    <row r="60" spans="2:29" ht="15.5">
      <c r="B60" s="47"/>
      <c r="C60" s="48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50"/>
      <c r="AC60" s="50"/>
    </row>
    <row r="61" spans="2:29" ht="15.5">
      <c r="B61" s="47"/>
      <c r="C61" s="48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50"/>
      <c r="AC61" s="50"/>
    </row>
    <row r="62" spans="2:29" ht="15.5">
      <c r="B62" s="47"/>
      <c r="C62" s="48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50"/>
      <c r="AC62" s="50"/>
    </row>
    <row r="63" spans="2:29" ht="15.5">
      <c r="B63" s="47"/>
      <c r="C63" s="48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50"/>
      <c r="AC63" s="50"/>
    </row>
    <row r="64" spans="2:29" ht="15.5">
      <c r="B64" s="47"/>
      <c r="C64" s="48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50"/>
      <c r="AC64" s="50"/>
    </row>
    <row r="65" spans="2:29" ht="15.5">
      <c r="B65" s="47"/>
      <c r="C65" s="48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50"/>
      <c r="AC65" s="50"/>
    </row>
    <row r="66" spans="2:29" ht="15.5">
      <c r="B66" s="47"/>
      <c r="C66" s="48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50"/>
      <c r="AC66" s="50"/>
    </row>
    <row r="67" spans="2:29" ht="15.5">
      <c r="B67" s="47"/>
      <c r="C67" s="48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50"/>
      <c r="AC67" s="50"/>
    </row>
    <row r="68" spans="2:29" ht="15.5">
      <c r="B68" s="47"/>
      <c r="C68" s="48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50"/>
      <c r="AC68" s="50"/>
    </row>
    <row r="69" spans="2:29" ht="15.5">
      <c r="B69" s="47"/>
      <c r="C69" s="48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50"/>
      <c r="AC69" s="50"/>
    </row>
    <row r="70" spans="2:29" ht="15.5">
      <c r="B70" s="47"/>
      <c r="C70" s="48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50"/>
      <c r="AC70" s="50"/>
    </row>
    <row r="71" spans="2:29" ht="15.5">
      <c r="B71" s="47"/>
      <c r="C71" s="48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50"/>
      <c r="AC71" s="50"/>
    </row>
    <row r="72" spans="2:29" ht="15.5">
      <c r="B72" s="47"/>
      <c r="C72" s="48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50"/>
      <c r="AC72" s="50"/>
    </row>
    <row r="73" spans="2:29" ht="15.5">
      <c r="B73" s="47"/>
      <c r="C73" s="48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50"/>
      <c r="AC73" s="50"/>
    </row>
    <row r="74" spans="2:29" ht="15.5">
      <c r="B74" s="47"/>
      <c r="C74" s="48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50"/>
      <c r="AC74" s="50"/>
    </row>
    <row r="75" spans="2:29" ht="15.5">
      <c r="B75" s="47"/>
      <c r="C75" s="48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50"/>
      <c r="AC75" s="50"/>
    </row>
    <row r="76" spans="2:29" ht="15.5">
      <c r="B76" s="47"/>
      <c r="C76" s="48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50"/>
      <c r="AC76" s="50"/>
    </row>
    <row r="77" spans="2:29" ht="15.5">
      <c r="B77" s="47"/>
      <c r="C77" s="48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50"/>
      <c r="AC77" s="50"/>
    </row>
    <row r="78" spans="2:29" ht="15.5">
      <c r="B78" s="47"/>
      <c r="C78" s="48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50"/>
      <c r="AC78" s="50"/>
    </row>
    <row r="79" spans="2:29" ht="15.5">
      <c r="B79" s="47"/>
      <c r="C79" s="48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50"/>
      <c r="AC79" s="50"/>
    </row>
    <row r="80" spans="2:29" ht="15.5">
      <c r="B80" s="47"/>
      <c r="C80" s="48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50"/>
      <c r="AC80" s="50"/>
    </row>
  </sheetData>
  <mergeCells count="3">
    <mergeCell ref="B1:AB1"/>
    <mergeCell ref="B2:AB2"/>
    <mergeCell ref="B3:AB3"/>
  </mergeCells>
  <phoneticPr fontId="13" type="noConversion"/>
  <printOptions horizontalCentered="1"/>
  <pageMargins left="0" right="0" top="0" bottom="0" header="0" footer="0"/>
  <pageSetup scale="85" orientation="landscape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0"/>
  <sheetViews>
    <sheetView showGridLines="0" zoomScale="115" zoomScaleNormal="115" workbookViewId="0">
      <selection activeCell="F15" sqref="F15"/>
    </sheetView>
  </sheetViews>
  <sheetFormatPr baseColWidth="10" defaultRowHeight="12.5"/>
  <cols>
    <col min="1" max="1" width="4.1796875" customWidth="1"/>
    <col min="2" max="2" width="10" customWidth="1"/>
    <col min="3" max="3" width="17.453125" customWidth="1"/>
    <col min="4" max="4" width="16.54296875" bestFit="1" customWidth="1"/>
    <col min="5" max="5" width="19.1796875" customWidth="1"/>
    <col min="6" max="6" width="19.54296875" customWidth="1"/>
    <col min="7" max="7" width="15.453125" customWidth="1"/>
    <col min="8" max="8" width="8.1796875" bestFit="1" customWidth="1"/>
    <col min="9" max="16" width="14.54296875" customWidth="1"/>
    <col min="17" max="20" width="17" customWidth="1"/>
  </cols>
  <sheetData>
    <row r="1" spans="1:21" ht="15" customHeight="1"/>
    <row r="2" spans="1:21" ht="12.75" customHeight="1">
      <c r="B2" s="75" t="s">
        <v>54</v>
      </c>
      <c r="C2" s="75"/>
      <c r="D2" s="75"/>
      <c r="E2" s="75"/>
      <c r="F2" s="75"/>
      <c r="G2" s="75"/>
      <c r="H2" s="5"/>
    </row>
    <row r="3" spans="1:21" ht="13">
      <c r="B3" s="76" t="s">
        <v>34</v>
      </c>
      <c r="C3" s="76"/>
      <c r="D3" s="76"/>
      <c r="E3" s="76"/>
      <c r="F3" s="76"/>
      <c r="G3" s="76"/>
      <c r="H3" s="5"/>
    </row>
    <row r="4" spans="1:21" ht="13">
      <c r="B4" s="75" t="s">
        <v>43</v>
      </c>
      <c r="C4" s="75"/>
      <c r="D4" s="75"/>
      <c r="E4" s="75"/>
      <c r="F4" s="75"/>
      <c r="G4" s="75"/>
      <c r="H4" s="5"/>
    </row>
    <row r="5" spans="1:21" ht="13">
      <c r="B5" s="75"/>
      <c r="C5" s="75"/>
      <c r="D5" s="75"/>
      <c r="E5" s="75"/>
      <c r="F5" s="75"/>
      <c r="G5" s="75"/>
      <c r="H5" s="5"/>
    </row>
    <row r="6" spans="1:21" ht="13.5" thickBot="1">
      <c r="B6" s="12"/>
      <c r="C6" s="12"/>
      <c r="D6" s="12"/>
      <c r="E6" s="12"/>
      <c r="F6" s="12"/>
      <c r="G6" s="12"/>
      <c r="H6" s="12"/>
      <c r="U6" s="12"/>
    </row>
    <row r="7" spans="1:21" ht="18" customHeight="1" thickBot="1">
      <c r="B7" s="77" t="s">
        <v>38</v>
      </c>
      <c r="C7" s="78"/>
      <c r="D7" s="78"/>
      <c r="E7" s="78"/>
      <c r="F7" s="78"/>
      <c r="G7" s="78"/>
      <c r="H7" s="12"/>
      <c r="U7" s="12"/>
    </row>
    <row r="8" spans="1:21" ht="18.75" customHeight="1" thickBot="1">
      <c r="B8" s="71" t="s">
        <v>37</v>
      </c>
      <c r="C8" s="71" t="s">
        <v>33</v>
      </c>
      <c r="D8" s="73" t="s">
        <v>61</v>
      </c>
      <c r="E8" s="74"/>
      <c r="F8" s="74"/>
      <c r="G8" s="74"/>
      <c r="H8" s="12"/>
      <c r="U8" s="12"/>
    </row>
    <row r="9" spans="1:21" ht="27.75" customHeight="1">
      <c r="B9" s="72"/>
      <c r="C9" s="72"/>
      <c r="D9" s="9" t="s">
        <v>39</v>
      </c>
      <c r="E9" s="7" t="s">
        <v>35</v>
      </c>
      <c r="F9" s="7" t="s">
        <v>40</v>
      </c>
      <c r="G9" s="8" t="s">
        <v>36</v>
      </c>
      <c r="H9" s="6"/>
      <c r="U9" s="12"/>
    </row>
    <row r="10" spans="1:21" ht="18" customHeight="1">
      <c r="A10" s="13"/>
      <c r="B10" s="10">
        <v>2025</v>
      </c>
      <c r="C10" s="35" t="s">
        <v>25</v>
      </c>
      <c r="D10" s="40">
        <f>+SUMIFS('Producto 1'!$AC:$AC,'Producto 1'!$A:$A,'R-Producto 1'!$B10,'Producto 1'!$B:$B,'R-Producto 1'!$C10)</f>
        <v>453752.33674973203</v>
      </c>
      <c r="E10" s="54">
        <v>1</v>
      </c>
      <c r="F10" s="36">
        <f t="shared" ref="F10:F11" si="0">+D10*E10</f>
        <v>453752.33674973203</v>
      </c>
      <c r="G10" s="53"/>
      <c r="H10" s="6"/>
    </row>
    <row r="11" spans="1:21" ht="18" customHeight="1">
      <c r="A11" s="13"/>
      <c r="B11" s="52">
        <v>2025</v>
      </c>
      <c r="C11" s="55" t="s">
        <v>26</v>
      </c>
      <c r="D11" s="40">
        <f>+SUMIFS('Producto 1'!$AC:$AC,'Producto 1'!$A:$A,'R-Producto 1'!$B11,'Producto 1'!$B:$B,'R-Producto 1'!$C11)</f>
        <v>794819.33987537806</v>
      </c>
      <c r="E11" s="54">
        <v>1</v>
      </c>
      <c r="F11" s="36">
        <f t="shared" si="0"/>
        <v>794819.33987537806</v>
      </c>
      <c r="G11" s="53"/>
      <c r="H11" s="6"/>
    </row>
    <row r="12" spans="1:21" ht="18" customHeight="1" thickBot="1">
      <c r="A12" s="13"/>
      <c r="B12" s="11"/>
      <c r="C12" s="37" t="s">
        <v>50</v>
      </c>
      <c r="D12" s="41">
        <f>+SUM(D10:D11)</f>
        <v>1248571.6766251102</v>
      </c>
      <c r="E12" s="79">
        <v>1</v>
      </c>
      <c r="F12" s="38">
        <f>+D12*E12</f>
        <v>1248571.6766251102</v>
      </c>
      <c r="G12" s="39"/>
      <c r="H12" s="6"/>
    </row>
    <row r="13" spans="1:21" ht="18" customHeight="1">
      <c r="A13" s="13"/>
      <c r="H13" s="6"/>
    </row>
    <row r="14" spans="1:21" ht="18" customHeight="1">
      <c r="A14" s="13"/>
      <c r="B14" t="s">
        <v>41</v>
      </c>
      <c r="H14" s="6"/>
    </row>
    <row r="15" spans="1:21" ht="18" customHeight="1">
      <c r="A15" s="13"/>
      <c r="B15" s="3" t="s">
        <v>45</v>
      </c>
      <c r="H15" s="6"/>
    </row>
    <row r="16" spans="1:21" ht="18" customHeight="1">
      <c r="A16" s="13"/>
      <c r="B16" t="s">
        <v>42</v>
      </c>
      <c r="E16" s="4"/>
      <c r="H16" s="6"/>
    </row>
    <row r="17" spans="1:8" ht="18" customHeight="1">
      <c r="A17" s="13"/>
      <c r="E17" s="4"/>
      <c r="H17" s="6"/>
    </row>
    <row r="18" spans="1:8" ht="18" customHeight="1">
      <c r="A18" s="13"/>
      <c r="H18" s="6"/>
    </row>
    <row r="19" spans="1:8" ht="18" customHeight="1">
      <c r="A19" s="13"/>
      <c r="C19" s="3"/>
      <c r="H19" s="6"/>
    </row>
    <row r="20" spans="1:8" ht="18" customHeight="1">
      <c r="A20" s="13"/>
      <c r="C20" s="3"/>
      <c r="H20" s="6"/>
    </row>
    <row r="21" spans="1:8" ht="18" customHeight="1">
      <c r="A21" s="13"/>
      <c r="H21" s="6"/>
    </row>
    <row r="22" spans="1:8" ht="18" customHeight="1">
      <c r="A22" s="13"/>
      <c r="H22" s="6"/>
    </row>
    <row r="23" spans="1:8" ht="18" customHeight="1">
      <c r="A23" s="13"/>
      <c r="H23" s="6"/>
    </row>
    <row r="24" spans="1:8" ht="18" customHeight="1">
      <c r="A24" s="13"/>
      <c r="H24" s="6"/>
    </row>
    <row r="25" spans="1:8" ht="18" customHeight="1">
      <c r="A25" s="13"/>
      <c r="H25" s="6"/>
    </row>
    <row r="26" spans="1:8" ht="18" customHeight="1">
      <c r="A26" s="13"/>
      <c r="H26" s="6"/>
    </row>
    <row r="27" spans="1:8" ht="18" customHeight="1">
      <c r="A27" s="13"/>
      <c r="H27" s="6"/>
    </row>
    <row r="28" spans="1:8" ht="18" customHeight="1">
      <c r="A28" s="13"/>
      <c r="H28" s="6"/>
    </row>
    <row r="29" spans="1:8" ht="18" customHeight="1">
      <c r="A29" s="13"/>
      <c r="H29" s="6"/>
    </row>
    <row r="30" spans="1:8" ht="18" customHeight="1">
      <c r="A30" s="13"/>
      <c r="H30" s="6"/>
    </row>
    <row r="31" spans="1:8" ht="18" customHeight="1">
      <c r="A31" s="13"/>
      <c r="H31" s="6"/>
    </row>
    <row r="32" spans="1:8" ht="18" customHeight="1">
      <c r="A32" s="13"/>
      <c r="H32" s="6"/>
    </row>
    <row r="33" spans="1:8" ht="18" customHeight="1">
      <c r="A33" s="13"/>
      <c r="H33" s="6"/>
    </row>
    <row r="34" spans="1:8" ht="18" customHeight="1">
      <c r="A34" s="13"/>
      <c r="H34" s="6"/>
    </row>
    <row r="35" spans="1:8" ht="18" customHeight="1">
      <c r="A35" s="13"/>
      <c r="H35" s="6"/>
    </row>
    <row r="36" spans="1:8" ht="18" customHeight="1">
      <c r="A36" s="13"/>
      <c r="H36" s="6"/>
    </row>
    <row r="37" spans="1:8" ht="18" customHeight="1">
      <c r="A37" s="13"/>
      <c r="H37" s="6"/>
    </row>
    <row r="38" spans="1:8" ht="18" customHeight="1">
      <c r="A38" s="13"/>
      <c r="H38" s="6"/>
    </row>
    <row r="39" spans="1:8" ht="18" customHeight="1">
      <c r="A39" s="13"/>
      <c r="H39" s="6"/>
    </row>
    <row r="40" spans="1:8" ht="18" customHeight="1">
      <c r="A40" s="13"/>
      <c r="H40" s="6"/>
    </row>
    <row r="41" spans="1:8" ht="18" customHeight="1">
      <c r="A41" s="13"/>
      <c r="H41" s="6"/>
    </row>
    <row r="42" spans="1:8" ht="18" customHeight="1">
      <c r="A42" s="13"/>
      <c r="H42" s="6"/>
    </row>
    <row r="43" spans="1:8" ht="18" customHeight="1">
      <c r="A43" s="13"/>
      <c r="H43" s="6"/>
    </row>
    <row r="44" spans="1:8" ht="18" customHeight="1">
      <c r="A44" s="13"/>
      <c r="H44" s="6"/>
    </row>
    <row r="45" spans="1:8" ht="18" customHeight="1">
      <c r="A45" s="13"/>
      <c r="H45" s="6"/>
    </row>
    <row r="46" spans="1:8" ht="18" customHeight="1">
      <c r="A46" s="13"/>
      <c r="H46" s="6"/>
    </row>
    <row r="47" spans="1:8" ht="18" customHeight="1">
      <c r="A47" s="13"/>
      <c r="H47" s="6"/>
    </row>
    <row r="48" spans="1:8" ht="18" customHeight="1">
      <c r="A48" s="13"/>
      <c r="H48" s="6"/>
    </row>
    <row r="49" spans="1:8" ht="18" customHeight="1">
      <c r="A49" s="13"/>
      <c r="H49" s="6"/>
    </row>
    <row r="50" spans="1:8" ht="18" customHeight="1">
      <c r="A50" s="13"/>
      <c r="H50" s="6"/>
    </row>
    <row r="51" spans="1:8" ht="18" customHeight="1">
      <c r="A51" s="13"/>
      <c r="H51" s="6"/>
    </row>
    <row r="52" spans="1:8" ht="18" customHeight="1">
      <c r="A52" s="13"/>
      <c r="H52" s="6"/>
    </row>
    <row r="53" spans="1:8" ht="18" customHeight="1">
      <c r="A53" s="13"/>
      <c r="H53" s="6"/>
    </row>
    <row r="54" spans="1:8" ht="18" customHeight="1">
      <c r="A54" s="13"/>
      <c r="H54" s="6"/>
    </row>
    <row r="55" spans="1:8" ht="18" customHeight="1">
      <c r="A55" s="13"/>
      <c r="H55" s="6"/>
    </row>
    <row r="56" spans="1:8" ht="18" customHeight="1">
      <c r="A56" s="13"/>
      <c r="H56" s="6"/>
    </row>
    <row r="57" spans="1:8" ht="18" customHeight="1">
      <c r="A57" s="13"/>
      <c r="H57" s="6"/>
    </row>
    <row r="58" spans="1:8" ht="18" customHeight="1">
      <c r="A58" s="13"/>
      <c r="H58" s="6"/>
    </row>
    <row r="59" spans="1:8" ht="18" customHeight="1">
      <c r="A59" s="13"/>
      <c r="H59" s="6"/>
    </row>
    <row r="60" spans="1:8" ht="18" customHeight="1">
      <c r="A60" s="13"/>
      <c r="H60" s="6"/>
    </row>
    <row r="61" spans="1:8" ht="18" customHeight="1">
      <c r="A61" s="13"/>
      <c r="H61" s="6"/>
    </row>
    <row r="62" spans="1:8" ht="18" customHeight="1">
      <c r="A62" s="13"/>
      <c r="H62" s="6"/>
    </row>
    <row r="63" spans="1:8" ht="18" customHeight="1">
      <c r="A63" s="13"/>
      <c r="H63" s="6"/>
    </row>
    <row r="64" spans="1:8" ht="18" customHeight="1">
      <c r="A64" s="13"/>
      <c r="H64" s="6"/>
    </row>
    <row r="65" spans="1:8" ht="18" customHeight="1">
      <c r="A65" s="13"/>
      <c r="H65" s="6"/>
    </row>
    <row r="66" spans="1:8" ht="18" customHeight="1">
      <c r="A66" s="13"/>
      <c r="H66" s="6"/>
    </row>
    <row r="67" spans="1:8" ht="18" customHeight="1">
      <c r="A67" s="13"/>
      <c r="H67" s="6"/>
    </row>
    <row r="68" spans="1:8" ht="18" customHeight="1">
      <c r="A68" s="13"/>
      <c r="H68" s="6"/>
    </row>
    <row r="69" spans="1:8" ht="18" customHeight="1">
      <c r="A69" s="13"/>
      <c r="H69" s="6"/>
    </row>
    <row r="70" spans="1:8" ht="18" customHeight="1">
      <c r="A70" s="13"/>
      <c r="H70" s="6"/>
    </row>
    <row r="71" spans="1:8" ht="18" customHeight="1">
      <c r="A71" s="13"/>
      <c r="H71" s="6"/>
    </row>
    <row r="72" spans="1:8" ht="18" customHeight="1">
      <c r="A72" s="13"/>
      <c r="H72" s="6"/>
    </row>
    <row r="73" spans="1:8" ht="18" customHeight="1">
      <c r="A73" s="13"/>
      <c r="H73" s="6"/>
    </row>
    <row r="74" spans="1:8" ht="18" customHeight="1">
      <c r="A74" s="13"/>
      <c r="H74" s="6"/>
    </row>
    <row r="75" spans="1:8" ht="18" customHeight="1">
      <c r="A75" s="13"/>
      <c r="H75" s="6"/>
    </row>
    <row r="76" spans="1:8" ht="18" customHeight="1">
      <c r="A76" s="13"/>
      <c r="H76" s="6"/>
    </row>
    <row r="77" spans="1:8" ht="18" customHeight="1">
      <c r="A77" s="13"/>
      <c r="H77" s="6"/>
    </row>
    <row r="78" spans="1:8" ht="18" customHeight="1">
      <c r="A78" s="13"/>
      <c r="H78" s="6"/>
    </row>
    <row r="79" spans="1:8" ht="18" customHeight="1">
      <c r="A79" s="13"/>
      <c r="H79" s="6"/>
    </row>
    <row r="80" spans="1:8" ht="18" customHeight="1">
      <c r="A80" s="13"/>
      <c r="H80" s="6"/>
    </row>
    <row r="81" spans="1:8" ht="18" customHeight="1">
      <c r="A81" s="13"/>
      <c r="H81" s="6"/>
    </row>
    <row r="82" spans="1:8" ht="18" customHeight="1">
      <c r="A82" s="13"/>
      <c r="H82" s="6"/>
    </row>
    <row r="83" spans="1:8" ht="18" customHeight="1">
      <c r="A83" s="13"/>
      <c r="H83" s="6"/>
    </row>
    <row r="84" spans="1:8" ht="18" customHeight="1">
      <c r="A84" s="13"/>
      <c r="H84" s="6"/>
    </row>
    <row r="85" spans="1:8" ht="18" customHeight="1">
      <c r="A85" s="13"/>
      <c r="H85" s="6"/>
    </row>
    <row r="86" spans="1:8" ht="18" customHeight="1">
      <c r="A86" s="13"/>
      <c r="H86" s="6"/>
    </row>
    <row r="87" spans="1:8" ht="18" customHeight="1">
      <c r="A87" s="13"/>
      <c r="H87" s="6"/>
    </row>
    <row r="88" spans="1:8" ht="18" customHeight="1">
      <c r="A88" s="13"/>
      <c r="H88" s="6"/>
    </row>
    <row r="89" spans="1:8" ht="18" customHeight="1">
      <c r="A89" s="13"/>
      <c r="H89" s="6"/>
    </row>
    <row r="90" spans="1:8" ht="18" customHeight="1">
      <c r="A90" s="13"/>
      <c r="H90" s="6"/>
    </row>
    <row r="91" spans="1:8" ht="18" customHeight="1">
      <c r="A91" s="13"/>
      <c r="H91" s="6"/>
    </row>
    <row r="92" spans="1:8" ht="18" customHeight="1">
      <c r="A92" s="13"/>
      <c r="H92" s="6"/>
    </row>
    <row r="93" spans="1:8" ht="18" customHeight="1">
      <c r="A93" s="13"/>
      <c r="H93" s="6"/>
    </row>
    <row r="94" spans="1:8" ht="18" customHeight="1">
      <c r="A94" s="13"/>
      <c r="H94" s="6"/>
    </row>
    <row r="95" spans="1:8" ht="18" customHeight="1">
      <c r="A95" s="13"/>
      <c r="H95" s="6"/>
    </row>
    <row r="96" spans="1:8" ht="18" customHeight="1">
      <c r="A96" s="13"/>
      <c r="H96" s="6"/>
    </row>
    <row r="97" spans="1:8" ht="18" customHeight="1">
      <c r="A97" s="13"/>
      <c r="H97" s="6"/>
    </row>
    <row r="98" spans="1:8" ht="18" customHeight="1">
      <c r="A98" s="13"/>
      <c r="H98" s="6"/>
    </row>
    <row r="99" spans="1:8" ht="18" customHeight="1">
      <c r="A99" s="13"/>
      <c r="H99" s="6"/>
    </row>
    <row r="100" spans="1:8" ht="18" customHeight="1">
      <c r="A100" s="13"/>
      <c r="H100" s="6"/>
    </row>
    <row r="101" spans="1:8" ht="18" customHeight="1">
      <c r="A101" s="13"/>
      <c r="H101" s="6"/>
    </row>
    <row r="102" spans="1:8" ht="18" customHeight="1">
      <c r="A102" s="13"/>
      <c r="H102" s="6"/>
    </row>
    <row r="103" spans="1:8" ht="18" customHeight="1">
      <c r="A103" s="13"/>
      <c r="H103" s="6"/>
    </row>
    <row r="104" spans="1:8" ht="18" customHeight="1">
      <c r="A104" s="13"/>
      <c r="H104" s="6"/>
    </row>
    <row r="105" spans="1:8" ht="18" customHeight="1">
      <c r="A105" s="13"/>
      <c r="H105" s="6"/>
    </row>
    <row r="106" spans="1:8" ht="18" customHeight="1">
      <c r="A106" s="13"/>
      <c r="H106" s="6"/>
    </row>
    <row r="107" spans="1:8" ht="18" customHeight="1">
      <c r="A107" s="13"/>
      <c r="H107" s="6"/>
    </row>
    <row r="108" spans="1:8" ht="18" customHeight="1">
      <c r="A108" s="13"/>
      <c r="H108" s="6"/>
    </row>
    <row r="109" spans="1:8" ht="18" customHeight="1">
      <c r="A109" s="13"/>
      <c r="H109" s="6"/>
    </row>
    <row r="110" spans="1:8" ht="18" customHeight="1">
      <c r="A110" s="13"/>
      <c r="H110" s="6"/>
    </row>
    <row r="111" spans="1:8" ht="18" customHeight="1">
      <c r="A111" s="13"/>
      <c r="H111" s="6"/>
    </row>
    <row r="112" spans="1:8" ht="18" customHeight="1">
      <c r="A112" s="13"/>
      <c r="H112" s="6"/>
    </row>
    <row r="113" spans="1:8" ht="18" customHeight="1">
      <c r="A113" s="13"/>
      <c r="H113" s="6"/>
    </row>
    <row r="114" spans="1:8" ht="18" customHeight="1">
      <c r="A114" s="13"/>
      <c r="H114" s="6"/>
    </row>
    <row r="115" spans="1:8" ht="18" customHeight="1">
      <c r="A115" s="13"/>
      <c r="H115" s="6"/>
    </row>
    <row r="116" spans="1:8" ht="18" customHeight="1">
      <c r="A116" s="13"/>
      <c r="H116" s="6"/>
    </row>
    <row r="117" spans="1:8" ht="18" customHeight="1">
      <c r="A117" s="13"/>
      <c r="H117" s="6"/>
    </row>
    <row r="118" spans="1:8" ht="18" customHeight="1">
      <c r="A118" s="13"/>
      <c r="H118" s="6"/>
    </row>
    <row r="119" spans="1:8" ht="18" customHeight="1">
      <c r="A119" s="13"/>
      <c r="H119" s="6"/>
    </row>
    <row r="120" spans="1:8" ht="18" customHeight="1">
      <c r="A120" s="13"/>
      <c r="H120" s="6"/>
    </row>
    <row r="121" spans="1:8" ht="18" customHeight="1">
      <c r="A121" s="13"/>
      <c r="H121" s="6"/>
    </row>
    <row r="122" spans="1:8" ht="18" customHeight="1">
      <c r="A122" s="13"/>
      <c r="H122" s="6"/>
    </row>
    <row r="123" spans="1:8" ht="18" customHeight="1">
      <c r="A123" s="13"/>
      <c r="H123" s="6"/>
    </row>
    <row r="124" spans="1:8" ht="18" customHeight="1">
      <c r="A124" s="13"/>
      <c r="H124" s="6"/>
    </row>
    <row r="125" spans="1:8" ht="18" customHeight="1">
      <c r="A125" s="13"/>
      <c r="H125" s="6"/>
    </row>
    <row r="126" spans="1:8" ht="18" customHeight="1">
      <c r="A126" s="13"/>
      <c r="H126" s="6"/>
    </row>
    <row r="127" spans="1:8" ht="18" customHeight="1">
      <c r="A127" s="13"/>
      <c r="H127" s="6"/>
    </row>
    <row r="128" spans="1:8" ht="18" customHeight="1">
      <c r="A128" s="13"/>
      <c r="H128" s="6"/>
    </row>
    <row r="129" spans="1:8" ht="18" customHeight="1">
      <c r="A129" s="13"/>
      <c r="H129" s="6"/>
    </row>
    <row r="130" spans="1:8" ht="18" customHeight="1">
      <c r="A130" s="13"/>
      <c r="H130" s="6"/>
    </row>
    <row r="131" spans="1:8" ht="18" customHeight="1">
      <c r="A131" s="13"/>
      <c r="H131" s="6"/>
    </row>
    <row r="132" spans="1:8" ht="18" customHeight="1">
      <c r="A132" s="13"/>
      <c r="H132" s="6"/>
    </row>
    <row r="133" spans="1:8" ht="18" customHeight="1">
      <c r="A133" s="13"/>
      <c r="H133" s="6"/>
    </row>
    <row r="134" spans="1:8" ht="18" customHeight="1">
      <c r="A134" s="13"/>
      <c r="H134" s="6"/>
    </row>
    <row r="135" spans="1:8" ht="18" customHeight="1">
      <c r="A135" s="13"/>
      <c r="H135" s="6"/>
    </row>
    <row r="136" spans="1:8" ht="18" customHeight="1">
      <c r="A136" s="13"/>
      <c r="H136" s="6"/>
    </row>
    <row r="139" spans="1:8" ht="11.25" customHeight="1"/>
    <row r="140" spans="1:8" ht="15" customHeight="1"/>
  </sheetData>
  <mergeCells count="8">
    <mergeCell ref="B8:B9"/>
    <mergeCell ref="C8:C9"/>
    <mergeCell ref="D8:G8"/>
    <mergeCell ref="B2:G2"/>
    <mergeCell ref="B3:G3"/>
    <mergeCell ref="B4:G4"/>
    <mergeCell ref="B5:G5"/>
    <mergeCell ref="B7:G7"/>
  </mergeCells>
  <phoneticPr fontId="13" type="noConversion"/>
  <printOptions horizontalCentered="1"/>
  <pageMargins left="0.35433070866141736" right="0.35433070866141736" top="1.5748031496062993" bottom="0.19685039370078741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219F-21F6-4CD2-9C2C-08C852B128F5}">
  <dimension ref="A1:BD95"/>
  <sheetViews>
    <sheetView showGridLines="0" zoomScaleNormal="100" workbookViewId="0">
      <pane xSplit="3" ySplit="5" topLeftCell="AA6" activePane="bottomRight" state="frozen"/>
      <selection activeCell="H17" sqref="H17"/>
      <selection pane="topRight" activeCell="H17" sqref="H17"/>
      <selection pane="bottomLeft" activeCell="H17" sqref="H17"/>
      <selection pane="bottomRight" activeCell="AC27" sqref="AC27"/>
    </sheetView>
  </sheetViews>
  <sheetFormatPr baseColWidth="10" defaultColWidth="11.453125" defaultRowHeight="12.5"/>
  <cols>
    <col min="1" max="2" width="10.81640625" style="2" customWidth="1"/>
    <col min="3" max="3" width="16.81640625" style="2" bestFit="1" customWidth="1"/>
    <col min="4" max="27" width="11" style="14" customWidth="1"/>
    <col min="28" max="28" width="10.54296875" style="2" customWidth="1"/>
    <col min="29" max="30" width="12.54296875" style="2" customWidth="1"/>
    <col min="31" max="31" width="12.54296875" customWidth="1"/>
    <col min="32" max="34" width="11.453125" customWidth="1"/>
    <col min="37" max="37" width="12.1796875" bestFit="1" customWidth="1"/>
    <col min="57" max="16384" width="11.453125" style="2"/>
  </cols>
  <sheetData>
    <row r="1" spans="1:30" ht="15.5">
      <c r="B1" s="70" t="s">
        <v>53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1"/>
    </row>
    <row r="2" spans="1:30" ht="15.5">
      <c r="B2" s="70" t="s">
        <v>51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1"/>
    </row>
    <row r="3" spans="1:30" ht="15.5">
      <c r="B3" s="70" t="s">
        <v>60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1"/>
    </row>
    <row r="4" spans="1:30" ht="13" thickBot="1"/>
    <row r="5" spans="1:30" ht="16" thickBot="1">
      <c r="A5" s="15" t="s">
        <v>44</v>
      </c>
      <c r="B5" s="15" t="s">
        <v>0</v>
      </c>
      <c r="C5" s="16" t="s">
        <v>1</v>
      </c>
      <c r="D5" s="18" t="s">
        <v>52</v>
      </c>
      <c r="E5" s="18" t="s">
        <v>2</v>
      </c>
      <c r="F5" s="18" t="s">
        <v>3</v>
      </c>
      <c r="G5" s="18" t="s">
        <v>4</v>
      </c>
      <c r="H5" s="18" t="s">
        <v>5</v>
      </c>
      <c r="I5" s="20" t="s">
        <v>6</v>
      </c>
      <c r="J5" s="46" t="s">
        <v>7</v>
      </c>
      <c r="K5" s="45" t="s">
        <v>8</v>
      </c>
      <c r="L5" s="18" t="s">
        <v>9</v>
      </c>
      <c r="M5" s="18" t="s">
        <v>10</v>
      </c>
      <c r="N5" s="18" t="s">
        <v>11</v>
      </c>
      <c r="O5" s="19" t="s">
        <v>12</v>
      </c>
      <c r="P5" s="17" t="s">
        <v>13</v>
      </c>
      <c r="Q5" s="18" t="s">
        <v>14</v>
      </c>
      <c r="R5" s="18" t="s">
        <v>15</v>
      </c>
      <c r="S5" s="18" t="s">
        <v>16</v>
      </c>
      <c r="T5" s="18" t="s">
        <v>17</v>
      </c>
      <c r="U5" s="18" t="s">
        <v>18</v>
      </c>
      <c r="V5" s="18" t="s">
        <v>19</v>
      </c>
      <c r="W5" s="18" t="s">
        <v>20</v>
      </c>
      <c r="X5" s="18" t="s">
        <v>21</v>
      </c>
      <c r="Y5" s="18" t="s">
        <v>22</v>
      </c>
      <c r="Z5" s="18" t="s">
        <v>23</v>
      </c>
      <c r="AA5" s="20" t="s">
        <v>24</v>
      </c>
      <c r="AB5" s="21" t="s">
        <v>49</v>
      </c>
      <c r="AC5" s="21" t="s">
        <v>48</v>
      </c>
    </row>
    <row r="6" spans="1:30" ht="15.5">
      <c r="A6" s="51">
        <v>2025</v>
      </c>
      <c r="B6" s="44" t="s">
        <v>27</v>
      </c>
      <c r="C6" s="24" t="s">
        <v>46</v>
      </c>
      <c r="D6" s="32">
        <v>1303.8139210754011</v>
      </c>
      <c r="E6" s="32">
        <v>1268.2031325094495</v>
      </c>
      <c r="F6" s="32">
        <v>1231.4296258724485</v>
      </c>
      <c r="G6" s="32">
        <v>1195.0125402944223</v>
      </c>
      <c r="H6" s="32">
        <v>1196.412872404788</v>
      </c>
      <c r="I6" s="32">
        <v>1266.1471248387102</v>
      </c>
      <c r="J6" s="32">
        <v>1498.2597529145014</v>
      </c>
      <c r="K6" s="32">
        <v>1717.9026149311771</v>
      </c>
      <c r="L6" s="32">
        <v>1637.7998402544401</v>
      </c>
      <c r="M6" s="32">
        <v>1267.9013925055472</v>
      </c>
      <c r="N6" s="32">
        <v>1022.6663054132698</v>
      </c>
      <c r="O6" s="32">
        <v>944.24422752927183</v>
      </c>
      <c r="P6" s="32">
        <v>639.20397340330373</v>
      </c>
      <c r="Q6" s="32">
        <v>657.70853954046117</v>
      </c>
      <c r="R6" s="32">
        <v>1044.4577000608072</v>
      </c>
      <c r="S6" s="32">
        <v>1268.1434804493699</v>
      </c>
      <c r="T6" s="32">
        <v>1596.0304735857819</v>
      </c>
      <c r="U6" s="32">
        <v>1856.6473414700549</v>
      </c>
      <c r="V6" s="32">
        <v>1697.1775008575607</v>
      </c>
      <c r="W6" s="32">
        <v>1593.4773654143798</v>
      </c>
      <c r="X6" s="32">
        <v>1592.3752936044111</v>
      </c>
      <c r="Y6" s="32">
        <v>1562.9767699952374</v>
      </c>
      <c r="Z6" s="32">
        <v>1457.1858298462703</v>
      </c>
      <c r="AA6" s="32">
        <v>1398.0875397245215</v>
      </c>
      <c r="AB6" s="25">
        <v>23</v>
      </c>
      <c r="AC6" s="26">
        <f t="shared" ref="AC6:AC23" si="0">+AB6*SUM(D6:AA6)</f>
        <v>734005.09864539863</v>
      </c>
      <c r="AD6" s="31"/>
    </row>
    <row r="7" spans="1:30" ht="15.5">
      <c r="A7" s="51">
        <v>2025</v>
      </c>
      <c r="B7" s="42" t="s">
        <v>27</v>
      </c>
      <c r="C7" s="22" t="s">
        <v>47</v>
      </c>
      <c r="D7" s="33">
        <v>1362.4196772565665</v>
      </c>
      <c r="E7" s="33">
        <v>1326.8505785718773</v>
      </c>
      <c r="F7" s="33">
        <v>1289.594194675451</v>
      </c>
      <c r="G7" s="33">
        <v>1261.6871074181886</v>
      </c>
      <c r="H7" s="33">
        <v>1270.721944782842</v>
      </c>
      <c r="I7" s="33">
        <v>1269.7691801152971</v>
      </c>
      <c r="J7" s="33">
        <v>1193.5691271107082</v>
      </c>
      <c r="K7" s="33">
        <v>957.89832784247392</v>
      </c>
      <c r="L7" s="33">
        <v>739.29515770492162</v>
      </c>
      <c r="M7" s="33">
        <v>315.30080038124578</v>
      </c>
      <c r="N7" s="33">
        <v>80.190865042921317</v>
      </c>
      <c r="O7" s="33">
        <v>44.640540046262281</v>
      </c>
      <c r="P7" s="33">
        <v>28.502208473087553</v>
      </c>
      <c r="Q7" s="33">
        <v>22.499321725351475</v>
      </c>
      <c r="R7" s="33">
        <v>72.948914885175597</v>
      </c>
      <c r="S7" s="33">
        <v>210.07193225957528</v>
      </c>
      <c r="T7" s="33">
        <v>708.89351665061338</v>
      </c>
      <c r="U7" s="33">
        <v>1216.5504679709813</v>
      </c>
      <c r="V7" s="33">
        <v>1560.7566511652492</v>
      </c>
      <c r="W7" s="33">
        <v>1534.5790899177914</v>
      </c>
      <c r="X7" s="33">
        <v>1542.5860678627782</v>
      </c>
      <c r="Y7" s="33">
        <v>1545.7588211399241</v>
      </c>
      <c r="Z7" s="33">
        <v>1506.3059157439357</v>
      </c>
      <c r="AA7" s="33">
        <v>1493.8073329376641</v>
      </c>
      <c r="AB7" s="23">
        <v>4</v>
      </c>
      <c r="AC7" s="27">
        <f t="shared" si="0"/>
        <v>90220.790966723522</v>
      </c>
      <c r="AD7" s="31"/>
    </row>
    <row r="8" spans="1:30" ht="16" thickBot="1">
      <c r="A8" s="51">
        <v>2025</v>
      </c>
      <c r="B8" s="43" t="s">
        <v>27</v>
      </c>
      <c r="C8" s="28" t="s">
        <v>55</v>
      </c>
      <c r="D8" s="34">
        <v>1520.9987148729028</v>
      </c>
      <c r="E8" s="34">
        <v>1470.7905679406317</v>
      </c>
      <c r="F8" s="34">
        <v>1434.7113685106415</v>
      </c>
      <c r="G8" s="34">
        <v>1389.1285381849486</v>
      </c>
      <c r="H8" s="34">
        <v>1359.0001902282174</v>
      </c>
      <c r="I8" s="34">
        <v>1346.6508759971912</v>
      </c>
      <c r="J8" s="34">
        <v>1024.0745060021268</v>
      </c>
      <c r="K8" s="34">
        <v>375.96796400891947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15.727374914570206</v>
      </c>
      <c r="S8" s="34">
        <v>92.584611075202019</v>
      </c>
      <c r="T8" s="34">
        <v>399.114008402004</v>
      </c>
      <c r="U8" s="34">
        <v>1066.0569846915641</v>
      </c>
      <c r="V8" s="34">
        <v>1509.1899939806538</v>
      </c>
      <c r="W8" s="34">
        <v>1548.4046347755516</v>
      </c>
      <c r="X8" s="34">
        <v>1591.4942486228044</v>
      </c>
      <c r="Y8" s="34">
        <v>1567.0269941097483</v>
      </c>
      <c r="Z8" s="34">
        <v>1482.3917009907907</v>
      </c>
      <c r="AA8" s="34">
        <v>1408.9531771045858</v>
      </c>
      <c r="AB8" s="29">
        <v>4</v>
      </c>
      <c r="AC8" s="30">
        <f t="shared" si="0"/>
        <v>82409.065817652212</v>
      </c>
      <c r="AD8" s="31"/>
    </row>
    <row r="9" spans="1:30" ht="15.5">
      <c r="A9" s="51">
        <v>2025</v>
      </c>
      <c r="B9" s="44" t="s">
        <v>28</v>
      </c>
      <c r="C9" s="24" t="s">
        <v>46</v>
      </c>
      <c r="D9" s="32">
        <v>1350.9632676739911</v>
      </c>
      <c r="E9" s="32">
        <v>1315.4042184870164</v>
      </c>
      <c r="F9" s="32">
        <v>1278.6841405572363</v>
      </c>
      <c r="G9" s="32">
        <v>1242.3199658376279</v>
      </c>
      <c r="H9" s="32">
        <v>1243.7182633872139</v>
      </c>
      <c r="I9" s="32">
        <v>1313.3511980166268</v>
      </c>
      <c r="J9" s="32">
        <v>1545.1265866289591</v>
      </c>
      <c r="K9" s="32">
        <v>1764.4503266678555</v>
      </c>
      <c r="L9" s="32">
        <v>1684.4639343567724</v>
      </c>
      <c r="M9" s="32">
        <v>1315.1029168850996</v>
      </c>
      <c r="N9" s="32">
        <v>1070.2241350480681</v>
      </c>
      <c r="O9" s="32">
        <v>991.91599762344174</v>
      </c>
      <c r="P9" s="32">
        <v>687.318940459602</v>
      </c>
      <c r="Q9" s="32">
        <v>705.79662107136869</v>
      </c>
      <c r="R9" s="32">
        <v>1091.9838686942205</v>
      </c>
      <c r="S9" s="32">
        <v>1315.3446530961926</v>
      </c>
      <c r="T9" s="32">
        <v>1642.7552549455077</v>
      </c>
      <c r="U9" s="32">
        <v>1902.9934691846852</v>
      </c>
      <c r="V9" s="32">
        <v>1743.7553243826769</v>
      </c>
      <c r="W9" s="32">
        <v>1640.2058562182535</v>
      </c>
      <c r="X9" s="32">
        <v>1639.1053856227857</v>
      </c>
      <c r="Y9" s="32">
        <v>1609.7495755118418</v>
      </c>
      <c r="Z9" s="32">
        <v>1504.1123403990478</v>
      </c>
      <c r="AA9" s="32">
        <v>1445.0999149535005</v>
      </c>
      <c r="AB9" s="25">
        <v>19</v>
      </c>
      <c r="AC9" s="26">
        <f t="shared" si="0"/>
        <v>627834.97695848229</v>
      </c>
      <c r="AD9" s="31"/>
    </row>
    <row r="10" spans="1:30" ht="15.5">
      <c r="A10" s="51">
        <v>2025</v>
      </c>
      <c r="B10" s="42" t="s">
        <v>28</v>
      </c>
      <c r="C10" s="22" t="s">
        <v>47</v>
      </c>
      <c r="D10" s="33">
        <v>1423.266385269246</v>
      </c>
      <c r="E10" s="33">
        <v>1386.2469095463794</v>
      </c>
      <c r="F10" s="33">
        <v>1347.4713473258712</v>
      </c>
      <c r="G10" s="33">
        <v>1318.4263116792172</v>
      </c>
      <c r="H10" s="33">
        <v>1327.8295564857776</v>
      </c>
      <c r="I10" s="33">
        <v>1326.8379415789043</v>
      </c>
      <c r="J10" s="33">
        <v>1247.5307306402478</v>
      </c>
      <c r="K10" s="33">
        <v>1002.2501428626764</v>
      </c>
      <c r="L10" s="33">
        <v>774.73313936513489</v>
      </c>
      <c r="M10" s="33">
        <v>333.44985139886671</v>
      </c>
      <c r="N10" s="33">
        <v>88.752997519676839</v>
      </c>
      <c r="O10" s="33">
        <v>51.753061006797431</v>
      </c>
      <c r="P10" s="33">
        <v>34.956667621156697</v>
      </c>
      <c r="Q10" s="33">
        <v>28.709005227602965</v>
      </c>
      <c r="R10" s="33">
        <v>81.215747266937655</v>
      </c>
      <c r="S10" s="33">
        <v>223.93013701679371</v>
      </c>
      <c r="T10" s="33">
        <v>743.09183119137094</v>
      </c>
      <c r="U10" s="33">
        <v>1271.4491660663896</v>
      </c>
      <c r="V10" s="33">
        <v>1629.6908115851106</v>
      </c>
      <c r="W10" s="33">
        <v>1602.445825658569</v>
      </c>
      <c r="X10" s="33">
        <v>1610.7792987183057</v>
      </c>
      <c r="Y10" s="33">
        <v>1614.0814252062198</v>
      </c>
      <c r="Z10" s="33">
        <v>1573.0197754171563</v>
      </c>
      <c r="AA10" s="33">
        <v>1560.0115463678726</v>
      </c>
      <c r="AB10" s="23">
        <v>5</v>
      </c>
      <c r="AC10" s="27">
        <f t="shared" si="0"/>
        <v>118009.64806011142</v>
      </c>
      <c r="AD10" s="31"/>
    </row>
    <row r="11" spans="1:30" ht="16" thickBot="1">
      <c r="A11" s="51">
        <v>2025</v>
      </c>
      <c r="B11" s="43" t="s">
        <v>28</v>
      </c>
      <c r="C11" s="28" t="s">
        <v>55</v>
      </c>
      <c r="D11" s="34">
        <v>1622.3123705044436</v>
      </c>
      <c r="E11" s="34">
        <v>1568.727192740705</v>
      </c>
      <c r="F11" s="34">
        <v>1530.2212841749626</v>
      </c>
      <c r="G11" s="34">
        <v>1481.5725246564823</v>
      </c>
      <c r="H11" s="34">
        <v>1449.4177254927724</v>
      </c>
      <c r="I11" s="34">
        <v>1436.237788794004</v>
      </c>
      <c r="J11" s="34">
        <v>1091.9647338277607</v>
      </c>
      <c r="K11" s="34">
        <v>400.26614735342184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15.795554754688172</v>
      </c>
      <c r="S11" s="34">
        <v>97.822255872589622</v>
      </c>
      <c r="T11" s="34">
        <v>424.96900892295781</v>
      </c>
      <c r="U11" s="34">
        <v>1136.7709798453748</v>
      </c>
      <c r="V11" s="34">
        <v>1609.709387784784</v>
      </c>
      <c r="W11" s="34">
        <v>1651.5616294293593</v>
      </c>
      <c r="X11" s="34">
        <v>1697.5494771961887</v>
      </c>
      <c r="Y11" s="34">
        <v>1671.4365401017099</v>
      </c>
      <c r="Z11" s="34">
        <v>1581.108625132387</v>
      </c>
      <c r="AA11" s="34">
        <v>1502.7305809783716</v>
      </c>
      <c r="AB11" s="29">
        <v>7</v>
      </c>
      <c r="AC11" s="30">
        <f t="shared" si="0"/>
        <v>153791.21665294076</v>
      </c>
      <c r="AD11" s="31"/>
    </row>
    <row r="12" spans="1:30" ht="15.5">
      <c r="A12" s="51">
        <v>2025</v>
      </c>
      <c r="B12" s="44" t="s">
        <v>29</v>
      </c>
      <c r="C12" s="24" t="s">
        <v>46</v>
      </c>
      <c r="D12" s="32">
        <v>1398.0441103722069</v>
      </c>
      <c r="E12" s="32">
        <v>1362.5367253913905</v>
      </c>
      <c r="F12" s="32">
        <v>1325.8699985415662</v>
      </c>
      <c r="G12" s="32">
        <v>1289.5586578054997</v>
      </c>
      <c r="H12" s="32">
        <v>1290.9549237503456</v>
      </c>
      <c r="I12" s="32">
        <v>1360.4866877812083</v>
      </c>
      <c r="J12" s="32">
        <v>1591.9253269096951</v>
      </c>
      <c r="K12" s="32">
        <v>1810.9304086272941</v>
      </c>
      <c r="L12" s="32">
        <v>1731.0602295884082</v>
      </c>
      <c r="M12" s="32">
        <v>1362.2358615544995</v>
      </c>
      <c r="N12" s="32">
        <v>1117.7128672921631</v>
      </c>
      <c r="O12" s="32">
        <v>1039.5185047813295</v>
      </c>
      <c r="P12" s="32">
        <v>735.36400065297369</v>
      </c>
      <c r="Q12" s="32">
        <v>753.81483480168004</v>
      </c>
      <c r="R12" s="32">
        <v>1139.4409859376124</v>
      </c>
      <c r="S12" s="32">
        <v>1362.4772465438998</v>
      </c>
      <c r="T12" s="32">
        <v>1689.4121492612298</v>
      </c>
      <c r="U12" s="32">
        <v>1949.2722600061293</v>
      </c>
      <c r="V12" s="32">
        <v>1790.2654743807432</v>
      </c>
      <c r="W12" s="32">
        <v>1686.8664545886238</v>
      </c>
      <c r="X12" s="32">
        <v>1685.7675828812314</v>
      </c>
      <c r="Y12" s="32">
        <v>1656.4544242095189</v>
      </c>
      <c r="Z12" s="32">
        <v>1550.9706708128472</v>
      </c>
      <c r="AA12" s="32">
        <v>1492.0439852895938</v>
      </c>
      <c r="AB12" s="25">
        <v>22</v>
      </c>
      <c r="AC12" s="26">
        <f t="shared" si="0"/>
        <v>751805.6561787572</v>
      </c>
      <c r="AD12" s="31"/>
    </row>
    <row r="13" spans="1:30" ht="15.5">
      <c r="A13" s="51">
        <v>2025</v>
      </c>
      <c r="B13" s="42" t="s">
        <v>29</v>
      </c>
      <c r="C13" s="22" t="s">
        <v>47</v>
      </c>
      <c r="D13" s="33">
        <v>1486.5941982695049</v>
      </c>
      <c r="E13" s="33">
        <v>1448.065204466639</v>
      </c>
      <c r="F13" s="33">
        <v>1407.7085174168064</v>
      </c>
      <c r="G13" s="33">
        <v>1377.4791320302731</v>
      </c>
      <c r="H13" s="33">
        <v>1387.2658065793944</v>
      </c>
      <c r="I13" s="33">
        <v>1386.2337572633057</v>
      </c>
      <c r="J13" s="33">
        <v>1303.6926899166754</v>
      </c>
      <c r="K13" s="33">
        <v>1048.4104617945759</v>
      </c>
      <c r="L13" s="33">
        <v>811.61615159345354</v>
      </c>
      <c r="M13" s="33">
        <v>352.33895397343088</v>
      </c>
      <c r="N13" s="33">
        <v>97.664262271394009</v>
      </c>
      <c r="O13" s="33">
        <v>59.155604415642678</v>
      </c>
      <c r="P13" s="33">
        <v>41.674315876861129</v>
      </c>
      <c r="Q13" s="33">
        <v>35.171896786821399</v>
      </c>
      <c r="R13" s="33">
        <v>89.819670671760448</v>
      </c>
      <c r="S13" s="33">
        <v>238.3534284001426</v>
      </c>
      <c r="T13" s="33">
        <v>778.68462723400694</v>
      </c>
      <c r="U13" s="33">
        <v>1328.5864311788951</v>
      </c>
      <c r="V13" s="33">
        <v>1701.4358535599226</v>
      </c>
      <c r="W13" s="33">
        <v>1673.0799173013634</v>
      </c>
      <c r="X13" s="33">
        <v>1681.7531987459358</v>
      </c>
      <c r="Y13" s="33">
        <v>1685.1899738083805</v>
      </c>
      <c r="Z13" s="33">
        <v>1642.4539809460871</v>
      </c>
      <c r="AA13" s="33">
        <v>1628.9153241542372</v>
      </c>
      <c r="AB13" s="23">
        <v>4</v>
      </c>
      <c r="AC13" s="27">
        <f t="shared" si="0"/>
        <v>98765.373434622044</v>
      </c>
      <c r="AD13" s="31"/>
    </row>
    <row r="14" spans="1:30" ht="16" thickBot="1">
      <c r="A14" s="51">
        <v>2025</v>
      </c>
      <c r="B14" s="43" t="s">
        <v>29</v>
      </c>
      <c r="C14" s="28" t="s">
        <v>55</v>
      </c>
      <c r="D14" s="34">
        <v>1730.4404449030803</v>
      </c>
      <c r="E14" s="34">
        <v>1673.2510951378952</v>
      </c>
      <c r="F14" s="34">
        <v>1632.1552554879488</v>
      </c>
      <c r="G14" s="34">
        <v>1580.2343504941898</v>
      </c>
      <c r="H14" s="34">
        <v>1545.9167997694242</v>
      </c>
      <c r="I14" s="34">
        <v>1531.8503724250527</v>
      </c>
      <c r="J14" s="34">
        <v>1164.4213001169865</v>
      </c>
      <c r="K14" s="34">
        <v>426.19864144860219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15.868320412770572</v>
      </c>
      <c r="S14" s="34">
        <v>103.41218787924055</v>
      </c>
      <c r="T14" s="34">
        <v>452.56303267503483</v>
      </c>
      <c r="U14" s="34">
        <v>1212.2412417893697</v>
      </c>
      <c r="V14" s="34">
        <v>1716.9897778171733</v>
      </c>
      <c r="W14" s="34">
        <v>1761.6570269662161</v>
      </c>
      <c r="X14" s="34">
        <v>1810.7380456479352</v>
      </c>
      <c r="Y14" s="34">
        <v>1782.8687363498141</v>
      </c>
      <c r="Z14" s="34">
        <v>1686.4653102845521</v>
      </c>
      <c r="AA14" s="34">
        <v>1602.815510692614</v>
      </c>
      <c r="AB14" s="29">
        <v>4</v>
      </c>
      <c r="AC14" s="30">
        <f t="shared" si="0"/>
        <v>93720.349801191594</v>
      </c>
      <c r="AD14" s="31"/>
    </row>
    <row r="15" spans="1:30" ht="15.5">
      <c r="A15" s="51">
        <v>2025</v>
      </c>
      <c r="B15" s="44" t="s">
        <v>30</v>
      </c>
      <c r="C15" s="24" t="s">
        <v>46</v>
      </c>
      <c r="D15" s="32">
        <v>1445.0565487002582</v>
      </c>
      <c r="E15" s="32">
        <v>1409.6007528620016</v>
      </c>
      <c r="F15" s="32">
        <v>1372.9872995776534</v>
      </c>
      <c r="G15" s="32">
        <v>1336.7287160619451</v>
      </c>
      <c r="H15" s="32">
        <v>1338.1229533537962</v>
      </c>
      <c r="I15" s="32">
        <v>1407.5536937781903</v>
      </c>
      <c r="J15" s="32">
        <v>1638.6560726905466</v>
      </c>
      <c r="K15" s="32">
        <v>1857.342959069678</v>
      </c>
      <c r="L15" s="32">
        <v>1777.5888244552111</v>
      </c>
      <c r="M15" s="32">
        <v>1409.3003261541016</v>
      </c>
      <c r="N15" s="32">
        <v>1165.1326025380547</v>
      </c>
      <c r="O15" s="32">
        <v>1087.0518496359582</v>
      </c>
      <c r="P15" s="32">
        <v>783.33925555201142</v>
      </c>
      <c r="Q15" s="32">
        <v>801.76328224323356</v>
      </c>
      <c r="R15" s="32">
        <v>1186.8291521166475</v>
      </c>
      <c r="S15" s="32">
        <v>1409.5413604321038</v>
      </c>
      <c r="T15" s="32">
        <v>1736.0012551669197</v>
      </c>
      <c r="U15" s="32">
        <v>1995.4838117690372</v>
      </c>
      <c r="V15" s="32">
        <v>1836.7080491755094</v>
      </c>
      <c r="W15" s="32">
        <v>1733.4592591672924</v>
      </c>
      <c r="X15" s="32">
        <v>1732.3619840249301</v>
      </c>
      <c r="Y15" s="32">
        <v>1703.0914148236168</v>
      </c>
      <c r="Z15" s="32">
        <v>1597.7609201474811</v>
      </c>
      <c r="AA15" s="32">
        <v>1538.9198499738707</v>
      </c>
      <c r="AB15" s="25">
        <v>22</v>
      </c>
      <c r="AC15" s="26">
        <f t="shared" si="0"/>
        <v>776608.408256341</v>
      </c>
      <c r="AD15" s="31"/>
    </row>
    <row r="16" spans="1:30" ht="15.5">
      <c r="A16" s="51">
        <v>2025</v>
      </c>
      <c r="B16" s="42" t="s">
        <v>30</v>
      </c>
      <c r="C16" s="22" t="s">
        <v>47</v>
      </c>
      <c r="D16" s="33">
        <v>1552.5042865944156</v>
      </c>
      <c r="E16" s="33">
        <v>1512.4042221155357</v>
      </c>
      <c r="F16" s="33">
        <v>1470.401937780462</v>
      </c>
      <c r="G16" s="33">
        <v>1438.9399092271308</v>
      </c>
      <c r="H16" s="33">
        <v>1449.1256483736429</v>
      </c>
      <c r="I16" s="33">
        <v>1448.0515158818293</v>
      </c>
      <c r="J16" s="33">
        <v>1362.14472735549</v>
      </c>
      <c r="K16" s="33">
        <v>1096.4530287768766</v>
      </c>
      <c r="L16" s="33">
        <v>850.00311742231145</v>
      </c>
      <c r="M16" s="33">
        <v>371.99828468587361</v>
      </c>
      <c r="N16" s="33">
        <v>106.93889562830373</v>
      </c>
      <c r="O16" s="33">
        <v>66.859996321675823</v>
      </c>
      <c r="P16" s="33">
        <v>48.66588512412617</v>
      </c>
      <c r="Q16" s="33">
        <v>41.898321296391394</v>
      </c>
      <c r="R16" s="33">
        <v>98.774430431904364</v>
      </c>
      <c r="S16" s="33">
        <v>253.36484856411641</v>
      </c>
      <c r="T16" s="33">
        <v>815.72876660592999</v>
      </c>
      <c r="U16" s="33">
        <v>1388.053543839073</v>
      </c>
      <c r="V16" s="33">
        <v>1776.1063945024143</v>
      </c>
      <c r="W16" s="33">
        <v>1746.5942074428433</v>
      </c>
      <c r="X16" s="33">
        <v>1755.6211534085321</v>
      </c>
      <c r="Y16" s="33">
        <v>1759.1980675192033</v>
      </c>
      <c r="Z16" s="33">
        <v>1714.7194580305888</v>
      </c>
      <c r="AA16" s="33">
        <v>1700.6287446034912</v>
      </c>
      <c r="AB16" s="23">
        <v>4</v>
      </c>
      <c r="AC16" s="27">
        <f t="shared" si="0"/>
        <v>103300.71756612863</v>
      </c>
      <c r="AD16" s="31"/>
    </row>
    <row r="17" spans="1:30" ht="16" thickBot="1">
      <c r="A17" s="51">
        <v>2025</v>
      </c>
      <c r="B17" s="43" t="s">
        <v>30</v>
      </c>
      <c r="C17" s="28" t="s">
        <v>55</v>
      </c>
      <c r="D17" s="34">
        <v>1845.8412800647056</v>
      </c>
      <c r="E17" s="34">
        <v>1784.8053394733518</v>
      </c>
      <c r="F17" s="34">
        <v>1740.9453683821453</v>
      </c>
      <c r="G17" s="34">
        <v>1685.532231396671</v>
      </c>
      <c r="H17" s="34">
        <v>1648.9064611111573</v>
      </c>
      <c r="I17" s="34">
        <v>1633.8939172153302</v>
      </c>
      <c r="J17" s="34">
        <v>1241.7513396023262</v>
      </c>
      <c r="K17" s="34">
        <v>453.87537104035255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15.945980333753131</v>
      </c>
      <c r="S17" s="34">
        <v>109.37810214944187</v>
      </c>
      <c r="T17" s="34">
        <v>482.01304742994074</v>
      </c>
      <c r="U17" s="34">
        <v>1292.7876799520884</v>
      </c>
      <c r="V17" s="34">
        <v>1831.4859128409068</v>
      </c>
      <c r="W17" s="34">
        <v>1879.1575086298812</v>
      </c>
      <c r="X17" s="34">
        <v>1931.5397468039582</v>
      </c>
      <c r="Y17" s="34">
        <v>1901.7959306279313</v>
      </c>
      <c r="Z17" s="34">
        <v>1798.9083508550918</v>
      </c>
      <c r="AA17" s="34">
        <v>1709.6322143133136</v>
      </c>
      <c r="AB17" s="29">
        <v>5</v>
      </c>
      <c r="AC17" s="30">
        <f t="shared" si="0"/>
        <v>124940.97891111173</v>
      </c>
      <c r="AD17" s="31"/>
    </row>
    <row r="18" spans="1:30" ht="15.5">
      <c r="A18" s="51">
        <v>2025</v>
      </c>
      <c r="B18" s="44" t="s">
        <v>31</v>
      </c>
      <c r="C18" s="24" t="s">
        <v>46</v>
      </c>
      <c r="D18" s="32">
        <v>1492.0006820437461</v>
      </c>
      <c r="E18" s="32">
        <v>1456.5964003935117</v>
      </c>
      <c r="F18" s="32">
        <v>1420.0361432727818</v>
      </c>
      <c r="G18" s="32">
        <v>1383.8302403257783</v>
      </c>
      <c r="H18" s="32">
        <v>1385.2224519120909</v>
      </c>
      <c r="I18" s="32">
        <v>1454.5523155085316</v>
      </c>
      <c r="J18" s="32">
        <v>1685.3189227616094</v>
      </c>
      <c r="K18" s="32">
        <v>1903.6880761124287</v>
      </c>
      <c r="L18" s="32">
        <v>1824.0498173199237</v>
      </c>
      <c r="M18" s="32">
        <v>1456.2964101794923</v>
      </c>
      <c r="N18" s="32">
        <v>1212.4834410323811</v>
      </c>
      <c r="O18" s="32">
        <v>1134.51613267414</v>
      </c>
      <c r="P18" s="32">
        <v>831.24480657773734</v>
      </c>
      <c r="Q18" s="32">
        <v>849.64206476037987</v>
      </c>
      <c r="R18" s="32">
        <v>1234.1484674112262</v>
      </c>
      <c r="S18" s="32">
        <v>1456.5370942556497</v>
      </c>
      <c r="T18" s="32">
        <v>1782.5226711532418</v>
      </c>
      <c r="U18" s="32">
        <v>2041.6282221659139</v>
      </c>
      <c r="V18" s="32">
        <v>1883.0831469478692</v>
      </c>
      <c r="W18" s="32">
        <v>1779.9843684527432</v>
      </c>
      <c r="X18" s="32">
        <v>1778.8886875557407</v>
      </c>
      <c r="Y18" s="32">
        <v>1749.6606459460299</v>
      </c>
      <c r="Z18" s="32">
        <v>1644.4831873188371</v>
      </c>
      <c r="AA18" s="32">
        <v>1585.7276081032119</v>
      </c>
      <c r="AB18" s="25">
        <v>18</v>
      </c>
      <c r="AC18" s="26">
        <f t="shared" si="0"/>
        <v>655670.55607533001</v>
      </c>
      <c r="AD18" s="31"/>
    </row>
    <row r="19" spans="1:30" ht="15.5">
      <c r="A19" s="51">
        <v>2025</v>
      </c>
      <c r="B19" s="42" t="s">
        <v>31</v>
      </c>
      <c r="C19" s="22" t="s">
        <v>47</v>
      </c>
      <c r="D19" s="33">
        <v>1621.1019459353402</v>
      </c>
      <c r="E19" s="33">
        <v>1579.3667482959272</v>
      </c>
      <c r="F19" s="33">
        <v>1535.6517652700425</v>
      </c>
      <c r="G19" s="33">
        <v>1502.9068308946448</v>
      </c>
      <c r="H19" s="33">
        <v>1513.5079070252602</v>
      </c>
      <c r="I19" s="33">
        <v>1512.3899753605776</v>
      </c>
      <c r="J19" s="33">
        <v>1422.9802239223382</v>
      </c>
      <c r="K19" s="33">
        <v>1146.4545949630631</v>
      </c>
      <c r="L19" s="33">
        <v>889.95536254871445</v>
      </c>
      <c r="M19" s="33">
        <v>392.45925060712585</v>
      </c>
      <c r="N19" s="33">
        <v>116.59171442582928</v>
      </c>
      <c r="O19" s="33">
        <v>74.878544996557366</v>
      </c>
      <c r="P19" s="33">
        <v>55.942544853636875</v>
      </c>
      <c r="Q19" s="33">
        <v>48.899024660879761</v>
      </c>
      <c r="R19" s="33">
        <v>108.09433236373057</v>
      </c>
      <c r="S19" s="33">
        <v>268.98837923753183</v>
      </c>
      <c r="T19" s="33">
        <v>854.28342975075975</v>
      </c>
      <c r="U19" s="33">
        <v>1449.9455066618491</v>
      </c>
      <c r="V19" s="33">
        <v>1853.8217255018974</v>
      </c>
      <c r="W19" s="33">
        <v>1823.1061399857883</v>
      </c>
      <c r="X19" s="33">
        <v>1832.5011716111553</v>
      </c>
      <c r="Y19" s="33">
        <v>1836.223939125075</v>
      </c>
      <c r="Z19" s="33">
        <v>1789.9316555126313</v>
      </c>
      <c r="AA19" s="33">
        <v>1775.2663746109015</v>
      </c>
      <c r="AB19" s="23">
        <v>5</v>
      </c>
      <c r="AC19" s="27">
        <f t="shared" si="0"/>
        <v>135026.24544060632</v>
      </c>
      <c r="AD19" s="31"/>
    </row>
    <row r="20" spans="1:30" ht="16" thickBot="1">
      <c r="A20" s="51">
        <v>2025</v>
      </c>
      <c r="B20" s="43" t="s">
        <v>31</v>
      </c>
      <c r="C20" s="28" t="s">
        <v>55</v>
      </c>
      <c r="D20" s="34">
        <v>1969.0040463496523</v>
      </c>
      <c r="E20" s="34">
        <v>1903.8627908682138</v>
      </c>
      <c r="F20" s="34">
        <v>1857.052771155574</v>
      </c>
      <c r="G20" s="34">
        <v>1797.9125125075395</v>
      </c>
      <c r="H20" s="34">
        <v>1758.8232703944902</v>
      </c>
      <c r="I20" s="34">
        <v>1742.8009735662683</v>
      </c>
      <c r="J20" s="34">
        <v>1324.2826450872428</v>
      </c>
      <c r="K20" s="34">
        <v>483.41365448055711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16.028863708767584</v>
      </c>
      <c r="S20" s="34">
        <v>115.74528748140013</v>
      </c>
      <c r="T20" s="34">
        <v>513.44388828361991</v>
      </c>
      <c r="U20" s="34">
        <v>1378.7517210669198</v>
      </c>
      <c r="V20" s="34">
        <v>1953.6831283004626</v>
      </c>
      <c r="W20" s="34">
        <v>2004.5611449314924</v>
      </c>
      <c r="X20" s="34">
        <v>2060.466644650628</v>
      </c>
      <c r="Y20" s="34">
        <v>2028.7222411116093</v>
      </c>
      <c r="Z20" s="34">
        <v>1918.9143794662555</v>
      </c>
      <c r="AA20" s="34">
        <v>1823.6334750922254</v>
      </c>
      <c r="AB20" s="29">
        <v>7</v>
      </c>
      <c r="AC20" s="30">
        <f t="shared" si="0"/>
        <v>186557.72406952042</v>
      </c>
      <c r="AD20" s="31"/>
    </row>
    <row r="21" spans="1:30" ht="15.5">
      <c r="A21" s="51">
        <v>2025</v>
      </c>
      <c r="B21" s="44" t="s">
        <v>32</v>
      </c>
      <c r="C21" s="24" t="s">
        <v>46</v>
      </c>
      <c r="D21" s="32">
        <v>1538.8766096438735</v>
      </c>
      <c r="E21" s="32">
        <v>1503.5237673360257</v>
      </c>
      <c r="F21" s="32">
        <v>1467.0166290895145</v>
      </c>
      <c r="G21" s="32">
        <v>1430.8633301709308</v>
      </c>
      <c r="H21" s="32">
        <v>1432.253518994879</v>
      </c>
      <c r="I21" s="32">
        <v>1501.4826523286245</v>
      </c>
      <c r="J21" s="32">
        <v>1731.9139757694452</v>
      </c>
      <c r="K21" s="32">
        <v>1949.9658577304117</v>
      </c>
      <c r="L21" s="32">
        <v>1870.443306402376</v>
      </c>
      <c r="M21" s="32">
        <v>1503.2242129816993</v>
      </c>
      <c r="N21" s="32">
        <v>1259.7654828761308</v>
      </c>
      <c r="O21" s="32">
        <v>1181.9114542366883</v>
      </c>
      <c r="P21" s="32">
        <v>879.08075500381779</v>
      </c>
      <c r="Q21" s="32">
        <v>897.45128357019576</v>
      </c>
      <c r="R21" s="32">
        <v>1281.399031855696</v>
      </c>
      <c r="S21" s="32">
        <v>1503.4645473648247</v>
      </c>
      <c r="T21" s="32">
        <v>1828.9764955677626</v>
      </c>
      <c r="U21" s="32">
        <v>2087.7055887473252</v>
      </c>
      <c r="V21" s="32">
        <v>1929.3908657360685</v>
      </c>
      <c r="W21" s="32">
        <v>1826.4418808003502</v>
      </c>
      <c r="X21" s="32">
        <v>1825.3477918324077</v>
      </c>
      <c r="Y21" s="32">
        <v>1796.1622160254071</v>
      </c>
      <c r="Z21" s="32">
        <v>1691.1375710990865</v>
      </c>
      <c r="AA21" s="32">
        <v>1632.4673586305191</v>
      </c>
      <c r="AB21" s="25">
        <v>21</v>
      </c>
      <c r="AC21" s="26">
        <f t="shared" si="0"/>
        <v>788555.58985967527</v>
      </c>
      <c r="AD21" s="31"/>
    </row>
    <row r="22" spans="1:30" ht="15.5">
      <c r="A22" s="51">
        <v>2025</v>
      </c>
      <c r="B22" s="42" t="s">
        <v>32</v>
      </c>
      <c r="C22" s="22" t="s">
        <v>47</v>
      </c>
      <c r="D22" s="33">
        <v>1692.4967655547068</v>
      </c>
      <c r="E22" s="33">
        <v>1649.0597600377146</v>
      </c>
      <c r="F22" s="33">
        <v>1603.5622407668966</v>
      </c>
      <c r="G22" s="33">
        <v>1569.4820883879245</v>
      </c>
      <c r="H22" s="33">
        <v>1580.5154374174435</v>
      </c>
      <c r="I22" s="33">
        <v>1579.3519206106948</v>
      </c>
      <c r="J22" s="33">
        <v>1486.2963683152352</v>
      </c>
      <c r="K22" s="33">
        <v>1198.4950411364046</v>
      </c>
      <c r="L22" s="33">
        <v>931.53671330606562</v>
      </c>
      <c r="M22" s="33">
        <v>413.75453947297081</v>
      </c>
      <c r="N22" s="33">
        <v>126.63813967545327</v>
      </c>
      <c r="O22" s="33">
        <v>83.224060598002154</v>
      </c>
      <c r="P22" s="33">
        <v>63.515920006832374</v>
      </c>
      <c r="Q22" s="33">
        <v>56.18519096332323</v>
      </c>
      <c r="R22" s="33">
        <v>117.79426562218148</v>
      </c>
      <c r="S22" s="33">
        <v>285.24898003591329</v>
      </c>
      <c r="T22" s="33">
        <v>894.41021027296915</v>
      </c>
      <c r="U22" s="33">
        <v>1514.3611961194117</v>
      </c>
      <c r="V22" s="33">
        <v>1934.7060018996101</v>
      </c>
      <c r="W22" s="33">
        <v>1902.7379477634311</v>
      </c>
      <c r="X22" s="33">
        <v>1912.5160742280341</v>
      </c>
      <c r="Y22" s="33">
        <v>1916.3906425106079</v>
      </c>
      <c r="Z22" s="33">
        <v>1868.2107298133935</v>
      </c>
      <c r="AA22" s="33">
        <v>1852.9474526884014</v>
      </c>
      <c r="AB22" s="23">
        <v>4</v>
      </c>
      <c r="AC22" s="27">
        <f t="shared" si="0"/>
        <v>112933.75074881448</v>
      </c>
      <c r="AD22" s="31"/>
    </row>
    <row r="23" spans="1:30" ht="16" thickBot="1">
      <c r="A23" s="51">
        <v>2025</v>
      </c>
      <c r="B23" s="43" t="s">
        <v>32</v>
      </c>
      <c r="C23" s="28" t="s">
        <v>55</v>
      </c>
      <c r="D23" s="34">
        <v>2100.4508160174391</v>
      </c>
      <c r="E23" s="34">
        <v>2030.9281196423931</v>
      </c>
      <c r="F23" s="34">
        <v>1980.9696292243034</v>
      </c>
      <c r="G23" s="34">
        <v>1917.8515604191887</v>
      </c>
      <c r="H23" s="34">
        <v>1876.1331518489003</v>
      </c>
      <c r="I23" s="34">
        <v>1859.0331854852379</v>
      </c>
      <c r="J23" s="34">
        <v>1412.3650569206925</v>
      </c>
      <c r="K23" s="34">
        <v>514.93870102557719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16.117321870543584</v>
      </c>
      <c r="S23" s="34">
        <v>122.54073361343721</v>
      </c>
      <c r="T23" s="34">
        <v>546.9887868173206</v>
      </c>
      <c r="U23" s="34">
        <v>1470.4977564392552</v>
      </c>
      <c r="V23" s="34">
        <v>2084.099403600706</v>
      </c>
      <c r="W23" s="34">
        <v>2138.3995069109887</v>
      </c>
      <c r="X23" s="34">
        <v>2198.0652449128638</v>
      </c>
      <c r="Y23" s="34">
        <v>2164.1856932748233</v>
      </c>
      <c r="Z23" s="34">
        <v>2046.9920873435058</v>
      </c>
      <c r="AA23" s="34">
        <v>1945.3025307609955</v>
      </c>
      <c r="AB23" s="29">
        <v>6</v>
      </c>
      <c r="AC23" s="30">
        <f t="shared" si="0"/>
        <v>170555.15571676905</v>
      </c>
      <c r="AD23" s="31"/>
    </row>
    <row r="24" spans="1:30" ht="15.5">
      <c r="B24" s="47"/>
      <c r="C24" s="48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50"/>
      <c r="AC24" s="50"/>
    </row>
    <row r="25" spans="1:30" ht="15.5">
      <c r="B25" s="47"/>
      <c r="C25" s="48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50"/>
      <c r="AC25" s="50"/>
    </row>
    <row r="26" spans="1:30" ht="15.5">
      <c r="B26" s="47"/>
      <c r="C26" s="48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50"/>
      <c r="AC26" s="50"/>
    </row>
    <row r="27" spans="1:30" ht="15.5">
      <c r="B27" s="47"/>
      <c r="C27" s="48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50"/>
      <c r="AC27" s="50"/>
    </row>
    <row r="28" spans="1:30" ht="15.5">
      <c r="B28" s="47"/>
      <c r="C28" s="48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50"/>
      <c r="AC28" s="50"/>
    </row>
    <row r="29" spans="1:30" ht="15.5">
      <c r="B29" s="47"/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50"/>
      <c r="AC29" s="50"/>
    </row>
    <row r="30" spans="1:30" ht="15.5">
      <c r="B30" s="47"/>
      <c r="C30" s="48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50"/>
      <c r="AC30" s="50"/>
    </row>
    <row r="31" spans="1:30" ht="15.5">
      <c r="B31" s="47"/>
      <c r="C31" s="48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50"/>
      <c r="AC31" s="50"/>
    </row>
    <row r="32" spans="1:30" ht="15.5">
      <c r="B32" s="47"/>
      <c r="C32" s="48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50"/>
      <c r="AC32" s="50"/>
    </row>
    <row r="33" spans="2:29" ht="15.5">
      <c r="B33" s="47"/>
      <c r="C33" s="48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50"/>
      <c r="AC33" s="50"/>
    </row>
    <row r="34" spans="2:29" ht="15.5">
      <c r="B34" s="47"/>
      <c r="C34" s="48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50"/>
      <c r="AC34" s="50"/>
    </row>
    <row r="35" spans="2:29" ht="15.5">
      <c r="B35" s="47"/>
      <c r="C35" s="48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50"/>
      <c r="AC35" s="50"/>
    </row>
    <row r="36" spans="2:29" ht="15.5">
      <c r="B36" s="47"/>
      <c r="C36" s="48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50"/>
      <c r="AC36" s="50"/>
    </row>
    <row r="37" spans="2:29" ht="15.5">
      <c r="B37" s="47"/>
      <c r="C37" s="48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50"/>
      <c r="AC37" s="50"/>
    </row>
    <row r="38" spans="2:29" ht="15.5">
      <c r="B38" s="47"/>
      <c r="C38" s="48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50"/>
      <c r="AC38" s="50"/>
    </row>
    <row r="39" spans="2:29" ht="15.5">
      <c r="B39" s="47"/>
      <c r="C39" s="48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50"/>
      <c r="AC39" s="50"/>
    </row>
    <row r="40" spans="2:29" ht="15.5">
      <c r="B40" s="47"/>
      <c r="C40" s="48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50"/>
      <c r="AC40" s="50"/>
    </row>
    <row r="41" spans="2:29" ht="15.5">
      <c r="B41" s="47"/>
      <c r="C41" s="48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50"/>
      <c r="AC41" s="50"/>
    </row>
    <row r="42" spans="2:29" ht="15.5">
      <c r="B42" s="47"/>
      <c r="C42" s="48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50"/>
      <c r="AC42" s="50"/>
    </row>
    <row r="43" spans="2:29" ht="15.5">
      <c r="B43" s="47"/>
      <c r="C43" s="48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50"/>
      <c r="AC43" s="50"/>
    </row>
    <row r="44" spans="2:29" ht="15.5">
      <c r="B44" s="47"/>
      <c r="C44" s="48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50"/>
      <c r="AC44" s="50"/>
    </row>
    <row r="45" spans="2:29" ht="15.5">
      <c r="B45" s="47"/>
      <c r="C45" s="48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50"/>
      <c r="AC45" s="50"/>
    </row>
    <row r="46" spans="2:29" ht="15.5">
      <c r="B46" s="47"/>
      <c r="C46" s="48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50"/>
      <c r="AC46" s="50"/>
    </row>
    <row r="47" spans="2:29" ht="15.5">
      <c r="B47" s="47"/>
      <c r="C47" s="48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50"/>
      <c r="AC47" s="50"/>
    </row>
    <row r="48" spans="2:29" ht="15.5">
      <c r="B48" s="47"/>
      <c r="C48" s="48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50"/>
      <c r="AC48" s="50"/>
    </row>
    <row r="49" spans="2:29" ht="15.5">
      <c r="B49" s="47"/>
      <c r="C49" s="48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50"/>
    </row>
    <row r="50" spans="2:29" ht="15.5">
      <c r="B50" s="47"/>
      <c r="C50" s="48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50"/>
    </row>
    <row r="51" spans="2:29" ht="15.5">
      <c r="B51" s="47"/>
      <c r="C51" s="48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50"/>
    </row>
    <row r="52" spans="2:29" ht="15.5">
      <c r="B52" s="47"/>
      <c r="C52" s="48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50"/>
    </row>
    <row r="53" spans="2:29" ht="15.5">
      <c r="B53" s="47"/>
      <c r="C53" s="48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50"/>
      <c r="AC53" s="50"/>
    </row>
    <row r="54" spans="2:29" ht="15.5">
      <c r="B54" s="47"/>
      <c r="C54" s="48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50"/>
      <c r="AC54" s="50"/>
    </row>
    <row r="55" spans="2:29" ht="15.5">
      <c r="B55" s="47"/>
      <c r="C55" s="48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50"/>
      <c r="AC55" s="50"/>
    </row>
    <row r="56" spans="2:29" ht="15.5">
      <c r="B56" s="47"/>
      <c r="C56" s="48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50"/>
      <c r="AC56" s="50"/>
    </row>
    <row r="57" spans="2:29" ht="15.5">
      <c r="B57" s="47"/>
      <c r="C57" s="48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50"/>
      <c r="AC57" s="50"/>
    </row>
    <row r="58" spans="2:29" ht="15.5">
      <c r="B58" s="47"/>
      <c r="C58" s="48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50"/>
      <c r="AC58" s="50"/>
    </row>
    <row r="59" spans="2:29" ht="15.5">
      <c r="B59" s="47"/>
      <c r="C59" s="48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50"/>
      <c r="AC59" s="50"/>
    </row>
    <row r="60" spans="2:29" ht="15.5">
      <c r="B60" s="47"/>
      <c r="C60" s="48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50"/>
      <c r="AC60" s="50"/>
    </row>
    <row r="61" spans="2:29" ht="15.5">
      <c r="B61" s="47"/>
      <c r="C61" s="48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50"/>
      <c r="AC61" s="50"/>
    </row>
    <row r="62" spans="2:29" ht="15.5">
      <c r="B62" s="47"/>
      <c r="C62" s="48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50"/>
      <c r="AC62" s="50"/>
    </row>
    <row r="63" spans="2:29" ht="15.5">
      <c r="B63" s="47"/>
      <c r="C63" s="48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50"/>
      <c r="AC63" s="50"/>
    </row>
    <row r="64" spans="2:29" ht="15.5">
      <c r="B64" s="47"/>
      <c r="C64" s="48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50"/>
      <c r="AC64" s="50"/>
    </row>
    <row r="65" spans="2:29" ht="15.5">
      <c r="B65" s="47"/>
      <c r="C65" s="48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50"/>
      <c r="AC65" s="50"/>
    </row>
    <row r="66" spans="2:29" ht="15.5">
      <c r="B66" s="47"/>
      <c r="C66" s="48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50"/>
      <c r="AC66" s="50"/>
    </row>
    <row r="67" spans="2:29" ht="15.5">
      <c r="B67" s="47"/>
      <c r="C67" s="48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50"/>
      <c r="AC67" s="50"/>
    </row>
    <row r="68" spans="2:29" ht="15.5">
      <c r="B68" s="47"/>
      <c r="C68" s="48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50"/>
      <c r="AC68" s="50"/>
    </row>
    <row r="69" spans="2:29" ht="15.5">
      <c r="B69" s="47"/>
      <c r="C69" s="48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50"/>
      <c r="AC69" s="50"/>
    </row>
    <row r="70" spans="2:29" ht="15.5">
      <c r="B70" s="47"/>
      <c r="C70" s="48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50"/>
      <c r="AC70" s="50"/>
    </row>
    <row r="71" spans="2:29" ht="15.5">
      <c r="B71" s="47"/>
      <c r="C71" s="48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50"/>
      <c r="AC71" s="50"/>
    </row>
    <row r="72" spans="2:29" ht="15.5">
      <c r="B72" s="47"/>
      <c r="C72" s="48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50"/>
      <c r="AC72" s="50"/>
    </row>
    <row r="73" spans="2:29" ht="15.5">
      <c r="B73" s="47"/>
      <c r="C73" s="48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50"/>
      <c r="AC73" s="50"/>
    </row>
    <row r="74" spans="2:29" ht="15.5">
      <c r="B74" s="47"/>
      <c r="C74" s="48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50"/>
      <c r="AC74" s="50"/>
    </row>
    <row r="75" spans="2:29" ht="15.5">
      <c r="B75" s="47"/>
      <c r="C75" s="48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50"/>
      <c r="AC75" s="50"/>
    </row>
    <row r="76" spans="2:29" ht="15.5">
      <c r="B76" s="47"/>
      <c r="C76" s="48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50"/>
      <c r="AC76" s="50"/>
    </row>
    <row r="77" spans="2:29" ht="15.5">
      <c r="B77" s="47"/>
      <c r="C77" s="48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50"/>
      <c r="AC77" s="50"/>
    </row>
    <row r="78" spans="2:29" ht="15.5">
      <c r="B78" s="47"/>
      <c r="C78" s="48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50"/>
      <c r="AC78" s="50"/>
    </row>
    <row r="79" spans="2:29" ht="15.5">
      <c r="B79" s="47"/>
      <c r="C79" s="48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50"/>
      <c r="AC79" s="50"/>
    </row>
    <row r="80" spans="2:29" ht="15.5">
      <c r="B80" s="47"/>
      <c r="C80" s="48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50"/>
      <c r="AC80" s="50"/>
    </row>
    <row r="81" spans="2:29" ht="15.5">
      <c r="B81" s="47"/>
      <c r="C81" s="48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50"/>
      <c r="AC81" s="50"/>
    </row>
    <row r="82" spans="2:29" ht="15.5">
      <c r="B82" s="47"/>
      <c r="C82" s="48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50"/>
      <c r="AC82" s="50"/>
    </row>
    <row r="83" spans="2:29" ht="15.5">
      <c r="B83" s="47"/>
      <c r="C83" s="48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50"/>
      <c r="AC83" s="50"/>
    </row>
    <row r="84" spans="2:29" ht="15.5">
      <c r="B84" s="47"/>
      <c r="C84" s="48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50"/>
      <c r="AC84" s="50"/>
    </row>
    <row r="85" spans="2:29" ht="15.5">
      <c r="B85" s="47"/>
      <c r="C85" s="48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50"/>
      <c r="AC85" s="50"/>
    </row>
    <row r="86" spans="2:29" ht="15.5">
      <c r="B86" s="47"/>
      <c r="C86" s="48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50"/>
      <c r="AC86" s="50"/>
    </row>
    <row r="87" spans="2:29" ht="15.5">
      <c r="B87" s="47"/>
      <c r="C87" s="48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50"/>
      <c r="AC87" s="50"/>
    </row>
    <row r="88" spans="2:29" ht="15.5">
      <c r="B88" s="47"/>
      <c r="C88" s="48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50"/>
      <c r="AC88" s="50"/>
    </row>
    <row r="89" spans="2:29" ht="15.5">
      <c r="B89" s="47"/>
      <c r="C89" s="48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50"/>
      <c r="AC89" s="50"/>
    </row>
    <row r="90" spans="2:29" ht="15.5">
      <c r="B90" s="47"/>
      <c r="C90" s="48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50"/>
      <c r="AC90" s="50"/>
    </row>
    <row r="91" spans="2:29" ht="15.5">
      <c r="B91" s="47"/>
      <c r="C91" s="48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50"/>
      <c r="AC91" s="50"/>
    </row>
    <row r="92" spans="2:29" ht="15.5">
      <c r="B92" s="47"/>
      <c r="C92" s="48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50"/>
      <c r="AC92" s="50"/>
    </row>
    <row r="93" spans="2:29" ht="15.5">
      <c r="B93" s="47"/>
      <c r="C93" s="48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50"/>
      <c r="AC93" s="50"/>
    </row>
    <row r="94" spans="2:29" ht="15.5">
      <c r="B94" s="47"/>
      <c r="C94" s="48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50"/>
      <c r="AC94" s="50"/>
    </row>
    <row r="95" spans="2:29" ht="15.5">
      <c r="B95" s="47"/>
      <c r="C95" s="48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50"/>
      <c r="AC95" s="50"/>
    </row>
  </sheetData>
  <mergeCells count="3">
    <mergeCell ref="B1:AB1"/>
    <mergeCell ref="B2:AB2"/>
    <mergeCell ref="B3:AB3"/>
  </mergeCells>
  <printOptions horizontalCentered="1"/>
  <pageMargins left="0" right="0" top="0" bottom="0" header="0" footer="0"/>
  <pageSetup scale="85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F35F-BD18-4550-8FFD-3A572133A573}">
  <dimension ref="A1:U139"/>
  <sheetViews>
    <sheetView showGridLines="0" zoomScale="115" zoomScaleNormal="115" workbookViewId="0">
      <selection activeCell="G11" sqref="G11"/>
    </sheetView>
  </sheetViews>
  <sheetFormatPr baseColWidth="10" defaultRowHeight="12.5"/>
  <cols>
    <col min="1" max="1" width="4.1796875" customWidth="1"/>
    <col min="2" max="2" width="10" customWidth="1"/>
    <col min="3" max="3" width="17.453125" customWidth="1"/>
    <col min="4" max="4" width="16.54296875" bestFit="1" customWidth="1"/>
    <col min="5" max="5" width="19.1796875" customWidth="1"/>
    <col min="6" max="6" width="19.54296875" customWidth="1"/>
    <col min="7" max="7" width="15.453125" customWidth="1"/>
    <col min="8" max="8" width="8.1796875" bestFit="1" customWidth="1"/>
    <col min="9" max="16" width="14.54296875" customWidth="1"/>
    <col min="17" max="20" width="17" customWidth="1"/>
  </cols>
  <sheetData>
    <row r="1" spans="1:21" ht="15" customHeight="1"/>
    <row r="2" spans="1:21" ht="12.75" customHeight="1">
      <c r="B2" s="75" t="s">
        <v>56</v>
      </c>
      <c r="C2" s="75"/>
      <c r="D2" s="75"/>
      <c r="E2" s="75"/>
      <c r="F2" s="75"/>
      <c r="G2" s="75"/>
      <c r="H2" s="5"/>
    </row>
    <row r="3" spans="1:21" ht="13">
      <c r="B3" s="76" t="s">
        <v>34</v>
      </c>
      <c r="C3" s="76"/>
      <c r="D3" s="76"/>
      <c r="E3" s="76"/>
      <c r="F3" s="76"/>
      <c r="G3" s="76"/>
      <c r="H3" s="5"/>
    </row>
    <row r="4" spans="1:21" ht="13">
      <c r="B4" s="75" t="s">
        <v>43</v>
      </c>
      <c r="C4" s="75"/>
      <c r="D4" s="75"/>
      <c r="E4" s="75"/>
      <c r="F4" s="75"/>
      <c r="G4" s="75"/>
      <c r="H4" s="5"/>
    </row>
    <row r="5" spans="1:21" ht="13">
      <c r="B5" s="75"/>
      <c r="C5" s="75"/>
      <c r="D5" s="75"/>
      <c r="E5" s="75"/>
      <c r="F5" s="75"/>
      <c r="G5" s="75"/>
      <c r="H5" s="5"/>
    </row>
    <row r="6" spans="1:21" ht="13.5" thickBot="1">
      <c r="B6" s="12"/>
      <c r="C6" s="12"/>
      <c r="D6" s="12"/>
      <c r="E6" s="12"/>
      <c r="F6" s="12"/>
      <c r="G6" s="12"/>
      <c r="H6" s="12"/>
      <c r="U6" s="12"/>
    </row>
    <row r="7" spans="1:21" ht="18" customHeight="1" thickBot="1">
      <c r="B7" s="77" t="s">
        <v>57</v>
      </c>
      <c r="C7" s="78"/>
      <c r="D7" s="78"/>
      <c r="E7" s="78"/>
      <c r="F7" s="78"/>
      <c r="G7" s="78"/>
      <c r="H7" s="12"/>
      <c r="U7" s="12"/>
    </row>
    <row r="8" spans="1:21" ht="18.75" customHeight="1" thickBot="1">
      <c r="B8" s="71" t="s">
        <v>37</v>
      </c>
      <c r="C8" s="71" t="s">
        <v>33</v>
      </c>
      <c r="D8" s="73" t="s">
        <v>62</v>
      </c>
      <c r="E8" s="74"/>
      <c r="F8" s="74"/>
      <c r="G8" s="74"/>
      <c r="H8" s="12"/>
      <c r="U8" s="12"/>
    </row>
    <row r="9" spans="1:21" ht="27.75" customHeight="1">
      <c r="B9" s="72"/>
      <c r="C9" s="72"/>
      <c r="D9" s="9" t="s">
        <v>39</v>
      </c>
      <c r="E9" s="7" t="s">
        <v>35</v>
      </c>
      <c r="F9" s="7" t="s">
        <v>40</v>
      </c>
      <c r="G9" s="8" t="s">
        <v>36</v>
      </c>
      <c r="H9" s="6"/>
      <c r="U9" s="12"/>
    </row>
    <row r="10" spans="1:21" ht="18" customHeight="1">
      <c r="A10" s="13"/>
      <c r="B10" s="52">
        <v>2025</v>
      </c>
      <c r="C10" s="55" t="s">
        <v>27</v>
      </c>
      <c r="D10" s="56">
        <f>+SUMIFS('Producto 2'!$AC:$AC,'Producto 2'!$A:$A,'R-Producto 2'!$B10,'Producto 2'!$B:$B,'R-Producto 2'!$C10)</f>
        <v>906634.95542977448</v>
      </c>
      <c r="E10" s="54">
        <v>1</v>
      </c>
      <c r="F10" s="57">
        <f t="shared" ref="F10:F14" si="0">+D10*E10</f>
        <v>906634.95542977448</v>
      </c>
      <c r="G10" s="53"/>
      <c r="H10" s="6"/>
    </row>
    <row r="11" spans="1:21" ht="18" customHeight="1">
      <c r="A11" s="13"/>
      <c r="B11" s="52">
        <v>2025</v>
      </c>
      <c r="C11" s="55" t="s">
        <v>28</v>
      </c>
      <c r="D11" s="56">
        <f>+SUMIFS('Producto 2'!$AC:$AC,'Producto 2'!$A:$A,'R-Producto 2'!$B11,'Producto 2'!$B:$B,'R-Producto 2'!$C11)</f>
        <v>899635.84167153446</v>
      </c>
      <c r="E11" s="54">
        <v>1</v>
      </c>
      <c r="F11" s="57">
        <f t="shared" si="0"/>
        <v>899635.84167153446</v>
      </c>
      <c r="G11" s="53"/>
      <c r="H11" s="6"/>
    </row>
    <row r="12" spans="1:21" ht="18" customHeight="1">
      <c r="A12" s="13"/>
      <c r="B12" s="52">
        <v>2025</v>
      </c>
      <c r="C12" s="55" t="s">
        <v>29</v>
      </c>
      <c r="D12" s="56">
        <f>+SUMIFS('Producto 2'!$AC:$AC,'Producto 2'!$A:$A,'R-Producto 2'!$B12,'Producto 2'!$B:$B,'R-Producto 2'!$C12)</f>
        <v>944291.37941457087</v>
      </c>
      <c r="E12" s="54">
        <v>1</v>
      </c>
      <c r="F12" s="57">
        <f t="shared" si="0"/>
        <v>944291.37941457087</v>
      </c>
      <c r="G12" s="53"/>
      <c r="H12" s="6"/>
    </row>
    <row r="13" spans="1:21" ht="18" customHeight="1">
      <c r="A13" s="13"/>
      <c r="B13" s="52">
        <v>2025</v>
      </c>
      <c r="C13" s="55" t="s">
        <v>30</v>
      </c>
      <c r="D13" s="56">
        <f>+SUMIFS('Producto 2'!$AC:$AC,'Producto 2'!$A:$A,'R-Producto 2'!$B13,'Producto 2'!$B:$B,'R-Producto 2'!$C13)</f>
        <v>1004850.1047335813</v>
      </c>
      <c r="E13" s="54">
        <v>1</v>
      </c>
      <c r="F13" s="57">
        <f t="shared" si="0"/>
        <v>1004850.1047335813</v>
      </c>
      <c r="G13" s="53"/>
      <c r="H13" s="6"/>
    </row>
    <row r="14" spans="1:21" ht="18" customHeight="1">
      <c r="A14" s="13"/>
      <c r="B14" s="52">
        <v>2025</v>
      </c>
      <c r="C14" s="55" t="s">
        <v>31</v>
      </c>
      <c r="D14" s="56">
        <f>+SUMIFS('Producto 2'!$AC:$AC,'Producto 2'!$A:$A,'R-Producto 2'!$B14,'Producto 2'!$B:$B,'R-Producto 2'!$C14)</f>
        <v>977254.52558545675</v>
      </c>
      <c r="E14" s="54">
        <v>1</v>
      </c>
      <c r="F14" s="57">
        <f t="shared" si="0"/>
        <v>977254.52558545675</v>
      </c>
      <c r="G14" s="53"/>
      <c r="H14" s="6"/>
    </row>
    <row r="15" spans="1:21" ht="18" customHeight="1">
      <c r="A15" s="13"/>
      <c r="B15" s="52">
        <v>2025</v>
      </c>
      <c r="C15" s="55" t="s">
        <v>32</v>
      </c>
      <c r="D15" s="56">
        <f>+SUMIFS('Producto 2'!$AC:$AC,'Producto 2'!$A:$A,'R-Producto 2'!$B15,'Producto 2'!$B:$B,'R-Producto 2'!$C15)</f>
        <v>1072044.4963252586</v>
      </c>
      <c r="E15" s="54">
        <v>1</v>
      </c>
      <c r="F15" s="57">
        <f t="shared" ref="F15" si="1">+D15*E15</f>
        <v>1072044.4963252586</v>
      </c>
      <c r="G15" s="53"/>
      <c r="H15" s="6"/>
    </row>
    <row r="16" spans="1:21" ht="18" customHeight="1" thickBot="1">
      <c r="A16" s="13"/>
      <c r="B16" s="11"/>
      <c r="C16" s="37" t="s">
        <v>50</v>
      </c>
      <c r="D16" s="41">
        <f>+SUM(D10:D15)</f>
        <v>5804711.3031601757</v>
      </c>
      <c r="E16" s="54">
        <v>1</v>
      </c>
      <c r="F16" s="38">
        <f>+D16*E16</f>
        <v>5804711.3031601757</v>
      </c>
      <c r="G16" s="39"/>
      <c r="H16" s="6"/>
    </row>
    <row r="17" spans="1:8" ht="18" customHeight="1">
      <c r="A17" s="13"/>
      <c r="H17" s="6"/>
    </row>
    <row r="18" spans="1:8" ht="18" customHeight="1">
      <c r="A18" s="13"/>
      <c r="B18" t="s">
        <v>41</v>
      </c>
      <c r="H18" s="6"/>
    </row>
    <row r="19" spans="1:8" ht="18" customHeight="1">
      <c r="A19" s="13"/>
      <c r="B19" s="3" t="s">
        <v>45</v>
      </c>
      <c r="H19" s="6"/>
    </row>
    <row r="20" spans="1:8" ht="18" customHeight="1">
      <c r="A20" s="13"/>
      <c r="B20" t="s">
        <v>42</v>
      </c>
      <c r="E20" s="4"/>
      <c r="H20" s="6"/>
    </row>
    <row r="21" spans="1:8" ht="18" customHeight="1">
      <c r="A21" s="13"/>
      <c r="E21" s="4"/>
      <c r="H21" s="6"/>
    </row>
    <row r="22" spans="1:8" ht="18" customHeight="1">
      <c r="A22" s="13"/>
      <c r="H22" s="6"/>
    </row>
    <row r="23" spans="1:8" ht="18" customHeight="1">
      <c r="A23" s="13"/>
      <c r="C23" s="3"/>
      <c r="H23" s="6"/>
    </row>
    <row r="24" spans="1:8" ht="18" customHeight="1">
      <c r="A24" s="13"/>
      <c r="C24" s="3"/>
      <c r="H24" s="6"/>
    </row>
    <row r="25" spans="1:8" ht="18" customHeight="1">
      <c r="A25" s="13"/>
      <c r="H25" s="6"/>
    </row>
    <row r="26" spans="1:8" ht="18" customHeight="1">
      <c r="A26" s="13"/>
      <c r="H26" s="6"/>
    </row>
    <row r="27" spans="1:8" ht="18" customHeight="1">
      <c r="A27" s="13"/>
      <c r="H27" s="6"/>
    </row>
    <row r="28" spans="1:8" ht="18" customHeight="1">
      <c r="A28" s="13"/>
      <c r="H28" s="6"/>
    </row>
    <row r="29" spans="1:8" ht="18" customHeight="1">
      <c r="A29" s="13"/>
      <c r="H29" s="6"/>
    </row>
    <row r="30" spans="1:8" ht="18" customHeight="1">
      <c r="A30" s="13"/>
      <c r="H30" s="6"/>
    </row>
    <row r="31" spans="1:8" ht="18" customHeight="1">
      <c r="A31" s="13"/>
      <c r="H31" s="6"/>
    </row>
    <row r="32" spans="1:8" ht="18" customHeight="1">
      <c r="A32" s="13"/>
      <c r="H32" s="6"/>
    </row>
    <row r="33" spans="1:8" ht="18" customHeight="1">
      <c r="A33" s="13"/>
      <c r="H33" s="6"/>
    </row>
    <row r="34" spans="1:8" ht="18" customHeight="1">
      <c r="A34" s="13"/>
      <c r="H34" s="6"/>
    </row>
    <row r="35" spans="1:8" ht="18" customHeight="1">
      <c r="A35" s="13"/>
      <c r="H35" s="6"/>
    </row>
    <row r="36" spans="1:8" ht="18" customHeight="1">
      <c r="A36" s="13"/>
      <c r="H36" s="6"/>
    </row>
    <row r="37" spans="1:8" ht="18" customHeight="1">
      <c r="A37" s="13"/>
      <c r="H37" s="6"/>
    </row>
    <row r="38" spans="1:8" ht="18" customHeight="1">
      <c r="A38" s="13"/>
      <c r="H38" s="6"/>
    </row>
    <row r="39" spans="1:8" ht="18" customHeight="1">
      <c r="A39" s="13"/>
      <c r="H39" s="6"/>
    </row>
    <row r="40" spans="1:8" ht="18" customHeight="1">
      <c r="A40" s="13"/>
      <c r="H40" s="6"/>
    </row>
    <row r="41" spans="1:8" ht="18" customHeight="1">
      <c r="A41" s="13"/>
      <c r="H41" s="6"/>
    </row>
    <row r="42" spans="1:8" ht="18" customHeight="1">
      <c r="A42" s="13"/>
      <c r="H42" s="6"/>
    </row>
    <row r="43" spans="1:8" ht="18" customHeight="1">
      <c r="A43" s="13"/>
      <c r="H43" s="6"/>
    </row>
    <row r="44" spans="1:8" ht="18" customHeight="1">
      <c r="A44" s="13"/>
      <c r="H44" s="6"/>
    </row>
    <row r="45" spans="1:8" ht="18" customHeight="1">
      <c r="A45" s="13"/>
      <c r="H45" s="6"/>
    </row>
    <row r="46" spans="1:8" ht="18" customHeight="1">
      <c r="A46" s="13"/>
      <c r="H46" s="6"/>
    </row>
    <row r="47" spans="1:8" ht="18" customHeight="1">
      <c r="A47" s="13"/>
      <c r="H47" s="6"/>
    </row>
    <row r="48" spans="1:8" ht="18" customHeight="1">
      <c r="A48" s="13"/>
      <c r="H48" s="6"/>
    </row>
    <row r="49" spans="1:8" ht="18" customHeight="1">
      <c r="A49" s="13"/>
      <c r="H49" s="6"/>
    </row>
    <row r="50" spans="1:8" ht="18" customHeight="1">
      <c r="A50" s="13"/>
      <c r="H50" s="6"/>
    </row>
    <row r="51" spans="1:8" ht="18" customHeight="1">
      <c r="A51" s="13"/>
      <c r="H51" s="6"/>
    </row>
    <row r="52" spans="1:8" ht="18" customHeight="1">
      <c r="A52" s="13"/>
      <c r="H52" s="6"/>
    </row>
    <row r="53" spans="1:8" ht="18" customHeight="1">
      <c r="A53" s="13"/>
      <c r="H53" s="6"/>
    </row>
    <row r="54" spans="1:8" ht="18" customHeight="1">
      <c r="A54" s="13"/>
      <c r="H54" s="6"/>
    </row>
    <row r="55" spans="1:8" ht="18" customHeight="1">
      <c r="A55" s="13"/>
      <c r="H55" s="6"/>
    </row>
    <row r="56" spans="1:8" ht="18" customHeight="1">
      <c r="A56" s="13"/>
      <c r="H56" s="6"/>
    </row>
    <row r="57" spans="1:8" ht="18" customHeight="1">
      <c r="A57" s="13"/>
      <c r="H57" s="6"/>
    </row>
    <row r="58" spans="1:8" ht="18" customHeight="1">
      <c r="A58" s="13"/>
      <c r="H58" s="6"/>
    </row>
    <row r="59" spans="1:8" ht="18" customHeight="1">
      <c r="A59" s="13"/>
      <c r="H59" s="6"/>
    </row>
    <row r="60" spans="1:8" ht="18" customHeight="1">
      <c r="A60" s="13"/>
      <c r="H60" s="6"/>
    </row>
    <row r="61" spans="1:8" ht="18" customHeight="1">
      <c r="A61" s="13"/>
      <c r="H61" s="6"/>
    </row>
    <row r="62" spans="1:8" ht="18" customHeight="1">
      <c r="A62" s="13"/>
      <c r="H62" s="6"/>
    </row>
    <row r="63" spans="1:8" ht="18" customHeight="1">
      <c r="A63" s="13"/>
      <c r="H63" s="6"/>
    </row>
    <row r="64" spans="1:8" ht="18" customHeight="1">
      <c r="A64" s="13"/>
      <c r="H64" s="6"/>
    </row>
    <row r="65" spans="1:8" ht="18" customHeight="1">
      <c r="A65" s="13"/>
      <c r="H65" s="6"/>
    </row>
    <row r="66" spans="1:8" ht="18" customHeight="1">
      <c r="A66" s="13"/>
      <c r="H66" s="6"/>
    </row>
    <row r="67" spans="1:8" ht="18" customHeight="1">
      <c r="A67" s="13"/>
      <c r="H67" s="6"/>
    </row>
    <row r="68" spans="1:8" ht="18" customHeight="1">
      <c r="A68" s="13"/>
      <c r="H68" s="6"/>
    </row>
    <row r="69" spans="1:8" ht="18" customHeight="1">
      <c r="A69" s="13"/>
      <c r="H69" s="6"/>
    </row>
    <row r="70" spans="1:8" ht="18" customHeight="1">
      <c r="A70" s="13"/>
      <c r="H70" s="6"/>
    </row>
    <row r="71" spans="1:8" ht="18" customHeight="1">
      <c r="A71" s="13"/>
      <c r="H71" s="6"/>
    </row>
    <row r="72" spans="1:8" ht="18" customHeight="1">
      <c r="A72" s="13"/>
      <c r="H72" s="6"/>
    </row>
    <row r="73" spans="1:8" ht="18" customHeight="1">
      <c r="A73" s="13"/>
      <c r="H73" s="6"/>
    </row>
    <row r="74" spans="1:8" ht="18" customHeight="1">
      <c r="A74" s="13"/>
      <c r="H74" s="6"/>
    </row>
    <row r="75" spans="1:8" ht="18" customHeight="1">
      <c r="A75" s="13"/>
      <c r="H75" s="6"/>
    </row>
    <row r="76" spans="1:8" ht="18" customHeight="1">
      <c r="A76" s="13"/>
      <c r="H76" s="6"/>
    </row>
    <row r="77" spans="1:8" ht="18" customHeight="1">
      <c r="A77" s="13"/>
      <c r="H77" s="6"/>
    </row>
    <row r="78" spans="1:8" ht="18" customHeight="1">
      <c r="A78" s="13"/>
      <c r="H78" s="6"/>
    </row>
    <row r="79" spans="1:8" ht="18" customHeight="1">
      <c r="A79" s="13"/>
      <c r="H79" s="6"/>
    </row>
    <row r="80" spans="1:8" ht="18" customHeight="1">
      <c r="A80" s="13"/>
      <c r="H80" s="6"/>
    </row>
    <row r="81" spans="1:8" ht="18" customHeight="1">
      <c r="A81" s="13"/>
      <c r="H81" s="6"/>
    </row>
    <row r="82" spans="1:8" ht="18" customHeight="1">
      <c r="A82" s="13"/>
      <c r="H82" s="6"/>
    </row>
    <row r="83" spans="1:8" ht="18" customHeight="1">
      <c r="A83" s="13"/>
      <c r="H83" s="6"/>
    </row>
    <row r="84" spans="1:8" ht="18" customHeight="1">
      <c r="A84" s="13"/>
      <c r="H84" s="6"/>
    </row>
    <row r="85" spans="1:8" ht="18" customHeight="1">
      <c r="A85" s="13"/>
      <c r="H85" s="6"/>
    </row>
    <row r="86" spans="1:8" ht="18" customHeight="1">
      <c r="A86" s="13"/>
      <c r="H86" s="6"/>
    </row>
    <row r="87" spans="1:8" ht="18" customHeight="1">
      <c r="A87" s="13"/>
      <c r="H87" s="6"/>
    </row>
    <row r="88" spans="1:8" ht="18" customHeight="1">
      <c r="A88" s="13"/>
      <c r="H88" s="6"/>
    </row>
    <row r="89" spans="1:8" ht="18" customHeight="1">
      <c r="A89" s="13"/>
      <c r="H89" s="6"/>
    </row>
    <row r="90" spans="1:8" ht="18" customHeight="1">
      <c r="A90" s="13"/>
      <c r="H90" s="6"/>
    </row>
    <row r="91" spans="1:8" ht="18" customHeight="1">
      <c r="A91" s="13"/>
      <c r="H91" s="6"/>
    </row>
    <row r="92" spans="1:8" ht="18" customHeight="1">
      <c r="A92" s="13"/>
      <c r="H92" s="6"/>
    </row>
    <row r="93" spans="1:8" ht="18" customHeight="1">
      <c r="A93" s="13"/>
      <c r="H93" s="6"/>
    </row>
    <row r="94" spans="1:8" ht="18" customHeight="1">
      <c r="A94" s="13"/>
      <c r="H94" s="6"/>
    </row>
    <row r="95" spans="1:8" ht="18" customHeight="1">
      <c r="A95" s="13"/>
      <c r="H95" s="6"/>
    </row>
    <row r="96" spans="1:8" ht="18" customHeight="1">
      <c r="A96" s="13"/>
      <c r="H96" s="6"/>
    </row>
    <row r="97" spans="1:8" ht="18" customHeight="1">
      <c r="A97" s="13"/>
      <c r="H97" s="6"/>
    </row>
    <row r="98" spans="1:8" ht="18" customHeight="1">
      <c r="A98" s="13"/>
      <c r="H98" s="6"/>
    </row>
    <row r="99" spans="1:8" ht="18" customHeight="1">
      <c r="A99" s="13"/>
      <c r="H99" s="6"/>
    </row>
    <row r="100" spans="1:8" ht="18" customHeight="1">
      <c r="A100" s="13"/>
      <c r="H100" s="6"/>
    </row>
    <row r="101" spans="1:8" ht="18" customHeight="1">
      <c r="A101" s="13"/>
      <c r="H101" s="6"/>
    </row>
    <row r="102" spans="1:8" ht="18" customHeight="1">
      <c r="A102" s="13"/>
      <c r="H102" s="6"/>
    </row>
    <row r="103" spans="1:8" ht="18" customHeight="1">
      <c r="A103" s="13"/>
      <c r="H103" s="6"/>
    </row>
    <row r="104" spans="1:8" ht="18" customHeight="1">
      <c r="A104" s="13"/>
      <c r="H104" s="6"/>
    </row>
    <row r="105" spans="1:8" ht="18" customHeight="1">
      <c r="A105" s="13"/>
      <c r="H105" s="6"/>
    </row>
    <row r="106" spans="1:8" ht="18" customHeight="1">
      <c r="A106" s="13"/>
      <c r="H106" s="6"/>
    </row>
    <row r="107" spans="1:8" ht="18" customHeight="1">
      <c r="A107" s="13"/>
      <c r="H107" s="6"/>
    </row>
    <row r="108" spans="1:8" ht="18" customHeight="1">
      <c r="A108" s="13"/>
      <c r="H108" s="6"/>
    </row>
    <row r="109" spans="1:8" ht="18" customHeight="1">
      <c r="A109" s="13"/>
      <c r="H109" s="6"/>
    </row>
    <row r="110" spans="1:8" ht="18" customHeight="1">
      <c r="A110" s="13"/>
      <c r="H110" s="6"/>
    </row>
    <row r="111" spans="1:8" ht="18" customHeight="1">
      <c r="A111" s="13"/>
      <c r="H111" s="6"/>
    </row>
    <row r="112" spans="1:8" ht="18" customHeight="1">
      <c r="A112" s="13"/>
      <c r="H112" s="6"/>
    </row>
    <row r="113" spans="1:8" ht="18" customHeight="1">
      <c r="A113" s="13"/>
      <c r="H113" s="6"/>
    </row>
    <row r="114" spans="1:8" ht="18" customHeight="1">
      <c r="A114" s="13"/>
      <c r="H114" s="6"/>
    </row>
    <row r="115" spans="1:8" ht="18" customHeight="1">
      <c r="A115" s="13"/>
      <c r="H115" s="6"/>
    </row>
    <row r="116" spans="1:8" ht="18" customHeight="1">
      <c r="A116" s="13"/>
      <c r="H116" s="6"/>
    </row>
    <row r="117" spans="1:8" ht="18" customHeight="1">
      <c r="A117" s="13"/>
      <c r="H117" s="6"/>
    </row>
    <row r="118" spans="1:8" ht="18" customHeight="1">
      <c r="A118" s="13"/>
      <c r="H118" s="6"/>
    </row>
    <row r="119" spans="1:8" ht="18" customHeight="1">
      <c r="A119" s="13"/>
      <c r="H119" s="6"/>
    </row>
    <row r="120" spans="1:8" ht="18" customHeight="1">
      <c r="A120" s="13"/>
      <c r="H120" s="6"/>
    </row>
    <row r="121" spans="1:8" ht="18" customHeight="1">
      <c r="A121" s="13"/>
      <c r="H121" s="6"/>
    </row>
    <row r="122" spans="1:8" ht="18" customHeight="1">
      <c r="A122" s="13"/>
      <c r="H122" s="6"/>
    </row>
    <row r="123" spans="1:8" ht="18" customHeight="1">
      <c r="A123" s="13"/>
      <c r="H123" s="6"/>
    </row>
    <row r="124" spans="1:8" ht="18" customHeight="1">
      <c r="A124" s="13"/>
      <c r="H124" s="6"/>
    </row>
    <row r="125" spans="1:8" ht="18" customHeight="1">
      <c r="A125" s="13"/>
      <c r="H125" s="6"/>
    </row>
    <row r="126" spans="1:8" ht="18" customHeight="1">
      <c r="A126" s="13"/>
      <c r="H126" s="6"/>
    </row>
    <row r="127" spans="1:8" ht="18" customHeight="1">
      <c r="A127" s="13"/>
      <c r="H127" s="6"/>
    </row>
    <row r="128" spans="1:8" ht="18" customHeight="1">
      <c r="A128" s="13"/>
      <c r="H128" s="6"/>
    </row>
    <row r="129" spans="1:8" ht="18" customHeight="1">
      <c r="A129" s="13"/>
      <c r="H129" s="6"/>
    </row>
    <row r="130" spans="1:8" ht="18" customHeight="1">
      <c r="A130" s="13"/>
      <c r="H130" s="6"/>
    </row>
    <row r="131" spans="1:8" ht="18" customHeight="1">
      <c r="A131" s="13"/>
      <c r="H131" s="6"/>
    </row>
    <row r="132" spans="1:8" ht="18" customHeight="1">
      <c r="A132" s="13"/>
      <c r="H132" s="6"/>
    </row>
    <row r="133" spans="1:8" ht="18" customHeight="1">
      <c r="A133" s="13"/>
      <c r="H133" s="6"/>
    </row>
    <row r="134" spans="1:8" ht="18" customHeight="1">
      <c r="A134" s="13"/>
      <c r="H134" s="6"/>
    </row>
    <row r="135" spans="1:8" ht="18" customHeight="1">
      <c r="A135" s="13"/>
      <c r="H135" s="6"/>
    </row>
    <row r="138" spans="1:8" ht="11.25" customHeight="1"/>
    <row r="139" spans="1:8" ht="15" customHeight="1"/>
  </sheetData>
  <mergeCells count="8">
    <mergeCell ref="B8:B9"/>
    <mergeCell ref="C8:C9"/>
    <mergeCell ref="D8:G8"/>
    <mergeCell ref="B2:G2"/>
    <mergeCell ref="B3:G3"/>
    <mergeCell ref="B4:G4"/>
    <mergeCell ref="B5:G5"/>
    <mergeCell ref="B7:G7"/>
  </mergeCells>
  <phoneticPr fontId="13" type="noConversion"/>
  <printOptions horizontalCentered="1"/>
  <pageMargins left="0.35433070866141736" right="0.35433070866141736" top="1.5748031496062993" bottom="0.19685039370078741" header="0" footer="0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AC2BEAA0673E4F96E3E812374ED63B" ma:contentTypeVersion="13" ma:contentTypeDescription="Crear nuevo documento." ma:contentTypeScope="" ma:versionID="6319f4532de6641ac6714d5a67f368fe">
  <xsd:schema xmlns:xsd="http://www.w3.org/2001/XMLSchema" xmlns:xs="http://www.w3.org/2001/XMLSchema" xmlns:p="http://schemas.microsoft.com/office/2006/metadata/properties" xmlns:ns3="17d7484c-5d63-455e-a643-8ffc912959b2" xmlns:ns4="f2ea09fb-d89d-450e-9152-1201866d5bdf" targetNamespace="http://schemas.microsoft.com/office/2006/metadata/properties" ma:root="true" ma:fieldsID="cd67d8f73cf7af585497377d416b8844" ns3:_="" ns4:_="">
    <xsd:import namespace="17d7484c-5d63-455e-a643-8ffc912959b2"/>
    <xsd:import namespace="f2ea09fb-d89d-450e-9152-1201866d5bd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7484c-5d63-455e-a643-8ffc912959b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a09fb-d89d-450e-9152-1201866d5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6B836D-6621-493F-A2DB-AA779A11A46E}">
  <ds:schemaRefs>
    <ds:schemaRef ds:uri="http://www.w3.org/XML/1998/namespace"/>
    <ds:schemaRef ds:uri="http://purl.org/dc/dcmitype/"/>
    <ds:schemaRef ds:uri="http://purl.org/dc/terms/"/>
    <ds:schemaRef ds:uri="17d7484c-5d63-455e-a643-8ffc912959b2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2ea09fb-d89d-450e-9152-1201866d5bd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ABA4F86-A06D-48A5-B02F-2693D503C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d7484c-5d63-455e-a643-8ffc912959b2"/>
    <ds:schemaRef ds:uri="f2ea09fb-d89d-450e-9152-1201866d5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CAA727-A1DF-4EA8-8DD1-F543E8F9D6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Producto 1</vt:lpstr>
      <vt:lpstr>R-Producto 1</vt:lpstr>
      <vt:lpstr>Producto 2</vt:lpstr>
      <vt:lpstr>R-Producto 2</vt:lpstr>
      <vt:lpstr>'Producto 1'!Área_de_impresión</vt:lpstr>
      <vt:lpstr>'Producto 2'!Área_de_impresión</vt:lpstr>
      <vt:lpstr>'R-Producto 1'!Área_de_impresión</vt:lpstr>
      <vt:lpstr>'R-Producto 2'!Área_de_impresión</vt:lpstr>
    </vt:vector>
  </TitlesOfParts>
  <Company>ECO-ECA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Jackeline Vega</dc:creator>
  <cp:lastModifiedBy>Sol Cielo Energía</cp:lastModifiedBy>
  <cp:lastPrinted>2021-01-08T17:56:22Z</cp:lastPrinted>
  <dcterms:created xsi:type="dcterms:W3CDTF">2010-11-25T21:03:36Z</dcterms:created>
  <dcterms:modified xsi:type="dcterms:W3CDTF">2025-04-20T13:22:56Z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0x010100D6AC2BEAA0673E4F96E3E812374ED63B</vt:lpwstr>
  </property>
</Properties>
</file>