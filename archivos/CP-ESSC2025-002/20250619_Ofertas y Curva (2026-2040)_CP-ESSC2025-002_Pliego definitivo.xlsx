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viviana_florez_essa_com_co/Documents/CONVOCATORIAS/2025/CP-ESSC2025-002/SICEP/PLIEGO DEFINITIVO/"/>
    </mc:Choice>
  </mc:AlternateContent>
  <xr:revisionPtr revIDLastSave="115" documentId="14_{1CB0638B-464D-4AAC-AAB0-162CC1013860}" xr6:coauthVersionLast="47" xr6:coauthVersionMax="47" xr10:uidLastSave="{576F217A-A57B-4A81-A77F-3CF1B4CF3BA7}"/>
  <bookViews>
    <workbookView xWindow="-28910" yWindow="-110" windowWidth="29020" windowHeight="15820" firstSheet="3" activeTab="6" xr2:uid="{00000000-000D-0000-FFFF-FFFF00000000}"/>
  </bookViews>
  <sheets>
    <sheet name="Listas desplegables" sheetId="53" state="hidden" r:id="rId1"/>
    <sheet name="Banco de Preguntas" sheetId="77" r:id="rId2"/>
    <sheet name="Factor garantia" sheetId="78" r:id="rId3"/>
    <sheet name="Cantidades suministrar P1_2026" sheetId="67" r:id="rId4"/>
    <sheet name="Cantidades suministrar P2_2027" sheetId="69" r:id="rId5"/>
    <sheet name="Cantidades suministrar P3_2028" sheetId="71" r:id="rId6"/>
    <sheet name="Cant suministrar P4_29-40" sheetId="54" r:id="rId7"/>
    <sheet name="Hoja9" sheetId="61" state="hidden" r:id="rId8"/>
    <sheet name="Hoja9 (2)" sheetId="62" state="hidden" r:id="rId9"/>
    <sheet name="Cantidades 1_(2026)" sheetId="68" r:id="rId10"/>
    <sheet name="Cantidades 2_(2027)" sheetId="70" r:id="rId11"/>
    <sheet name="Cantidades P3_(2028)" sheetId="72" r:id="rId12"/>
    <sheet name="Cantidades P4_(2029-2040)" sheetId="5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localSheetId="2" hidden="1">527</definedName>
    <definedName name="_AtRisk_SimSetting_ReportOptionReportSelection" hidden="1">11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localSheetId="2" hidden="1">557</definedName>
    <definedName name="_AtRisk_SimSetting_ReportsList" hidden="1">11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'Banco de Preguntas'!$A$9:$D$9</definedName>
    <definedName name="_Toc148954622" localSheetId="1">'Banco de Preguntas'!#REF!</definedName>
    <definedName name="_Toc148954623" localSheetId="1">'Banco de Preguntas'!#REF!</definedName>
    <definedName name="_Toc148954624" localSheetId="1">'Banco de Preguntas'!#REF!</definedName>
    <definedName name="_Toc148954625" localSheetId="1">'Banco de Preguntas'!#REF!</definedName>
    <definedName name="aaa" localSheetId="9">[1]Hoja9!$A$1,[1]Hoja9!$A$3,[1]Hoja9!$A$5,[1]Hoja9!$B$6,[1]Hoja9!$C$7</definedName>
    <definedName name="aaa" localSheetId="10">[1]Hoja9!$A$1,[1]Hoja9!$A$3,[1]Hoja9!$A$5,[1]Hoja9!$B$6,[1]Hoja9!$C$7</definedName>
    <definedName name="aaa" localSheetId="11">[1]Hoja9!$A$1,[1]Hoja9!$A$3,[1]Hoja9!$A$5,[1]Hoja9!$B$6,[1]Hoja9!$C$7</definedName>
    <definedName name="aaa" localSheetId="3">[1]Hoja9!$A$1,[1]Hoja9!$A$3,[1]Hoja9!$A$5,[1]Hoja9!$B$6,[1]Hoja9!$C$7</definedName>
    <definedName name="aaa" localSheetId="4">[1]Hoja9!$A$1,[1]Hoja9!$A$3,[1]Hoja9!$A$5,[1]Hoja9!$B$6,[1]Hoja9!$C$7</definedName>
    <definedName name="aaa" localSheetId="5">[1]Hoja9!$A$1,[1]Hoja9!$A$3,[1]Hoja9!$A$5,[1]Hoja9!$B$6,[1]Hoja9!$C$7</definedName>
    <definedName name="aaa">#REF!,#REF!,#REF!,#REF!,#REF!</definedName>
    <definedName name="AAAA">#REF!</definedName>
    <definedName name="Criterio_Extraer_Dem_Reg" localSheetId="6">#REF!</definedName>
    <definedName name="Criterio_Extraer_Dem_Reg" localSheetId="9">#REF!</definedName>
    <definedName name="Criterio_Extraer_Dem_Reg" localSheetId="10">#REF!</definedName>
    <definedName name="Criterio_Extraer_Dem_Reg" localSheetId="11">#REF!</definedName>
    <definedName name="Criterio_Extraer_Dem_Reg" localSheetId="12">#REF!</definedName>
    <definedName name="Criterio_Extraer_Dem_Reg" localSheetId="3">#REF!</definedName>
    <definedName name="Criterio_Extraer_Dem_Reg" localSheetId="4">#REF!</definedName>
    <definedName name="Criterio_Extraer_Dem_Reg" localSheetId="5">#REF!</definedName>
    <definedName name="Criterio_Extraer_Dem_Reg">#REF!</definedName>
    <definedName name="Cuadro" localSheetId="6">#REF!</definedName>
    <definedName name="Cuadro" localSheetId="9">#REF!</definedName>
    <definedName name="Cuadro" localSheetId="10">#REF!</definedName>
    <definedName name="Cuadro" localSheetId="11">#REF!</definedName>
    <definedName name="Cuadro" localSheetId="12">#REF!</definedName>
    <definedName name="Cuadro" localSheetId="3">#REF!</definedName>
    <definedName name="Cuadro" localSheetId="4">#REF!</definedName>
    <definedName name="Cuadro" localSheetId="5">#REF!</definedName>
    <definedName name="Cuadro">#REF!</definedName>
    <definedName name="eeee" localSheetId="6">#REF!</definedName>
    <definedName name="eeee" localSheetId="9">[2]Comparación!#REF!</definedName>
    <definedName name="eeee" localSheetId="10">[2]Comparación!#REF!</definedName>
    <definedName name="eeee" localSheetId="11">[2]Comparación!#REF!</definedName>
    <definedName name="eeee" localSheetId="12">#REF!</definedName>
    <definedName name="eeee" localSheetId="3">[2]Comparación!#REF!</definedName>
    <definedName name="eeee" localSheetId="4">[2]Comparación!#REF!</definedName>
    <definedName name="eeee" localSheetId="5">[2]Comparación!#REF!</definedName>
    <definedName name="eeee">#REF!</definedName>
    <definedName name="Meses" localSheetId="9">[3]Evaluación_Mensual!$S$2:$S$25</definedName>
    <definedName name="Meses" localSheetId="10">[3]Evaluación_Mensual!$S$2:$S$25</definedName>
    <definedName name="Meses" localSheetId="11">[3]Evaluación_Mensual!$S$2:$S$25</definedName>
    <definedName name="Meses" localSheetId="3">[3]Evaluación_Mensual!$S$2:$S$25</definedName>
    <definedName name="Meses" localSheetId="4">[3]Evaluación_Mensual!$S$2:$S$25</definedName>
    <definedName name="Meses" localSheetId="5">[3]Evaluación_Mensual!$S$2:$S$25</definedName>
    <definedName name="Meses" localSheetId="2">[4]Evaluación_Mensual!$S$2:$S$25</definedName>
    <definedName name="Meses">#REF!</definedName>
    <definedName name="Pal_Workbook_GUID" localSheetId="2" hidden="1">"DMVRUGH3ZJMYEFNXE5UILQPQ"</definedName>
    <definedName name="Pal_Workbook_GUID" hidden="1">"KPESJW88VIR9TP7JMWR844SG"</definedName>
    <definedName name="Precio_Estación" localSheetId="6">#REF!</definedName>
    <definedName name="Precio_Estación" localSheetId="9">#REF!</definedName>
    <definedName name="Precio_Estación" localSheetId="10">#REF!</definedName>
    <definedName name="Precio_Estación" localSheetId="11">#REF!</definedName>
    <definedName name="Precio_Estación" localSheetId="12">#REF!</definedName>
    <definedName name="Precio_Estación" localSheetId="3">#REF!</definedName>
    <definedName name="Precio_Estación" localSheetId="4">#REF!</definedName>
    <definedName name="Precio_Estación" localSheetId="5">#REF!</definedName>
    <definedName name="Precio_Estación" localSheetId="2">#N/A</definedName>
    <definedName name="Precio_Estación">#REF!</definedName>
    <definedName name="Precio_Global" localSheetId="6">#REF!</definedName>
    <definedName name="Precio_Global" localSheetId="9">#REF!</definedName>
    <definedName name="Precio_Global" localSheetId="10">#REF!</definedName>
    <definedName name="Precio_Global" localSheetId="11">#REF!</definedName>
    <definedName name="Precio_Global" localSheetId="12">#REF!</definedName>
    <definedName name="Precio_Global" localSheetId="3">#REF!</definedName>
    <definedName name="Precio_Global" localSheetId="4">#REF!</definedName>
    <definedName name="Precio_Global" localSheetId="5">#REF!</definedName>
    <definedName name="Precio_Global" localSheetId="2">#N/A</definedName>
    <definedName name="Precio_Global">#REF!</definedName>
    <definedName name="Precio_Mes" localSheetId="6">#REF!</definedName>
    <definedName name="Precio_Mes" localSheetId="9">#REF!</definedName>
    <definedName name="Precio_Mes" localSheetId="10">#REF!</definedName>
    <definedName name="Precio_Mes" localSheetId="11">#REF!</definedName>
    <definedName name="Precio_Mes" localSheetId="12">#REF!</definedName>
    <definedName name="Precio_Mes" localSheetId="3">#REF!</definedName>
    <definedName name="Precio_Mes" localSheetId="4">#REF!</definedName>
    <definedName name="Precio_Mes" localSheetId="5">#REF!</definedName>
    <definedName name="Precio_Mes" localSheetId="2">#N/A</definedName>
    <definedName name="Precio_Mes">#REF!</definedName>
    <definedName name="rbr" localSheetId="9">[5]Hoja9!$A$1,[5]Hoja9!$A$3,[5]Hoja9!$A$5,[5]Hoja9!$B$6,[5]Hoja9!$C$7</definedName>
    <definedName name="rbr" localSheetId="10">[5]Hoja9!$A$1,[5]Hoja9!$A$3,[5]Hoja9!$A$5,[5]Hoja9!$B$6,[5]Hoja9!$C$7</definedName>
    <definedName name="rbr" localSheetId="11">[5]Hoja9!$A$1,[5]Hoja9!$A$3,[5]Hoja9!$A$5,[5]Hoja9!$B$6,[5]Hoja9!$C$7</definedName>
    <definedName name="rbr" localSheetId="3">[5]Hoja9!$A$1,[5]Hoja9!$A$3,[5]Hoja9!$A$5,[5]Hoja9!$B$6,[5]Hoja9!$C$7</definedName>
    <definedName name="rbr" localSheetId="4">[5]Hoja9!$A$1,[5]Hoja9!$A$3,[5]Hoja9!$A$5,[5]Hoja9!$B$6,[5]Hoja9!$C$7</definedName>
    <definedName name="rbr" localSheetId="5">[5]Hoja9!$A$1,[5]Hoja9!$A$3,[5]Hoja9!$A$5,[5]Hoja9!$B$6,[5]Hoja9!$C$7</definedName>
    <definedName name="rbr">#REF!,#REF!,#REF!,#REF!,#REF!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2" hidden="1">6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2" hidden="1">3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XX" localSheetId="6">#REF!</definedName>
    <definedName name="XX" localSheetId="9">[2]Comparación!#REF!</definedName>
    <definedName name="XX" localSheetId="10">[2]Comparación!#REF!</definedName>
    <definedName name="XX" localSheetId="11">[2]Comparación!#REF!</definedName>
    <definedName name="XX" localSheetId="12">#REF!</definedName>
    <definedName name="XX" localSheetId="3">[2]Comparación!#REF!</definedName>
    <definedName name="XX" localSheetId="4">[2]Comparación!#REF!</definedName>
    <definedName name="XX" localSheetId="5">[2]Comparación!#REF!</definedName>
    <definedName name="XX">#REF!</definedName>
    <definedName name="Z_5E23C26A_5DA4_4377_864E_D3BECE131DEC_.wvu.PrintArea" localSheetId="6" hidden="1">'Cant suministrar P4_29-40'!$B$12:$B$100</definedName>
    <definedName name="Z_5E23C26A_5DA4_4377_864E_D3BECE131DEC_.wvu.PrintArea" localSheetId="3" hidden="1">'Cantidades suministrar P1_2026'!$B$13:$B$29</definedName>
    <definedName name="Z_5E23C26A_5DA4_4377_864E_D3BECE131DEC_.wvu.PrintArea" localSheetId="4" hidden="1">'Cantidades suministrar P2_2027'!$B$13:$B$29</definedName>
    <definedName name="Z_5E23C26A_5DA4_4377_864E_D3BECE131DEC_.wvu.PrintArea" localSheetId="5" hidden="1">'Cantidades suministrar P3_2028'!$B$13:$B$29</definedName>
    <definedName name="Z_66AA70F6_2777_42C7_BDA0_CD16FFB959D9_.wvu.PrintArea" localSheetId="6" hidden="1">'Cant suministrar P4_29-40'!$B$12:$B$100</definedName>
    <definedName name="Z_66AA70F6_2777_42C7_BDA0_CD16FFB959D9_.wvu.PrintArea" localSheetId="3" hidden="1">'Cantidades suministrar P1_2026'!$B$13:$B$29</definedName>
    <definedName name="Z_66AA70F6_2777_42C7_BDA0_CD16FFB959D9_.wvu.PrintArea" localSheetId="4" hidden="1">'Cantidades suministrar P2_2027'!$B$13:$B$29</definedName>
    <definedName name="Z_66AA70F6_2777_42C7_BDA0_CD16FFB959D9_.wvu.PrintArea" localSheetId="5" hidden="1">'Cantidades suministrar P3_2028'!$B$13:$B$29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7" i="54" l="1"/>
  <c r="AB597" i="55"/>
  <c r="AA597" i="55"/>
  <c r="Z597" i="55"/>
  <c r="Y597" i="55"/>
  <c r="X597" i="55"/>
  <c r="W597" i="55"/>
  <c r="V597" i="55"/>
  <c r="U597" i="55"/>
  <c r="T597" i="55"/>
  <c r="S597" i="55"/>
  <c r="R597" i="55"/>
  <c r="Q597" i="55"/>
  <c r="P597" i="55"/>
  <c r="O597" i="55"/>
  <c r="N597" i="55"/>
  <c r="M597" i="55"/>
  <c r="L597" i="55"/>
  <c r="K597" i="55"/>
  <c r="J597" i="55"/>
  <c r="I597" i="55"/>
  <c r="H597" i="55"/>
  <c r="G597" i="55"/>
  <c r="F597" i="55"/>
  <c r="E597" i="55"/>
  <c r="D597" i="55"/>
  <c r="AB596" i="55"/>
  <c r="AA596" i="55"/>
  <c r="Z596" i="55"/>
  <c r="Y596" i="55"/>
  <c r="X596" i="55"/>
  <c r="W596" i="55"/>
  <c r="V596" i="55"/>
  <c r="U596" i="55"/>
  <c r="T596" i="55"/>
  <c r="S596" i="55"/>
  <c r="R596" i="55"/>
  <c r="Q596" i="55"/>
  <c r="P596" i="55"/>
  <c r="O596" i="55"/>
  <c r="N596" i="55"/>
  <c r="M596" i="55"/>
  <c r="L596" i="55"/>
  <c r="K596" i="55"/>
  <c r="J596" i="55"/>
  <c r="I596" i="55"/>
  <c r="H596" i="55"/>
  <c r="G596" i="55"/>
  <c r="F596" i="55"/>
  <c r="E596" i="55"/>
  <c r="D596" i="55"/>
  <c r="AB595" i="55"/>
  <c r="AA595" i="55"/>
  <c r="Z595" i="55"/>
  <c r="Y595" i="55"/>
  <c r="X595" i="55"/>
  <c r="W595" i="55"/>
  <c r="V595" i="55"/>
  <c r="U595" i="55"/>
  <c r="T595" i="55"/>
  <c r="S595" i="55"/>
  <c r="R595" i="55"/>
  <c r="Q595" i="55"/>
  <c r="P595" i="55"/>
  <c r="O595" i="55"/>
  <c r="N595" i="55"/>
  <c r="M595" i="55"/>
  <c r="L595" i="55"/>
  <c r="K595" i="55"/>
  <c r="J595" i="55"/>
  <c r="I595" i="55"/>
  <c r="H595" i="55"/>
  <c r="G595" i="55"/>
  <c r="F595" i="55"/>
  <c r="E595" i="55"/>
  <c r="D595" i="55"/>
  <c r="AB594" i="55"/>
  <c r="AA594" i="55"/>
  <c r="Z594" i="55"/>
  <c r="Y594" i="55"/>
  <c r="X594" i="55"/>
  <c r="W594" i="55"/>
  <c r="V594" i="55"/>
  <c r="U594" i="55"/>
  <c r="T594" i="55"/>
  <c r="S594" i="55"/>
  <c r="R594" i="55"/>
  <c r="Q594" i="55"/>
  <c r="P594" i="55"/>
  <c r="O594" i="55"/>
  <c r="N594" i="55"/>
  <c r="M594" i="55"/>
  <c r="L594" i="55"/>
  <c r="K594" i="55"/>
  <c r="J594" i="55"/>
  <c r="I594" i="55"/>
  <c r="H594" i="55"/>
  <c r="G594" i="55"/>
  <c r="F594" i="55"/>
  <c r="E594" i="55"/>
  <c r="D594" i="55"/>
  <c r="AB593" i="55"/>
  <c r="AA593" i="55"/>
  <c r="Z593" i="55"/>
  <c r="Y593" i="55"/>
  <c r="X593" i="55"/>
  <c r="W593" i="55"/>
  <c r="V593" i="55"/>
  <c r="U593" i="55"/>
  <c r="T593" i="55"/>
  <c r="S593" i="55"/>
  <c r="R593" i="55"/>
  <c r="Q593" i="55"/>
  <c r="P593" i="55"/>
  <c r="O593" i="55"/>
  <c r="N593" i="55"/>
  <c r="M593" i="55"/>
  <c r="L593" i="55"/>
  <c r="K593" i="55"/>
  <c r="J593" i="55"/>
  <c r="I593" i="55"/>
  <c r="H593" i="55"/>
  <c r="G593" i="55"/>
  <c r="F593" i="55"/>
  <c r="E593" i="55"/>
  <c r="D593" i="55"/>
  <c r="AB592" i="55"/>
  <c r="AA592" i="55"/>
  <c r="Z592" i="55"/>
  <c r="Y592" i="55"/>
  <c r="X592" i="55"/>
  <c r="W592" i="55"/>
  <c r="V592" i="55"/>
  <c r="U592" i="55"/>
  <c r="T592" i="55"/>
  <c r="S592" i="55"/>
  <c r="R592" i="55"/>
  <c r="Q592" i="55"/>
  <c r="P592" i="55"/>
  <c r="O592" i="55"/>
  <c r="N592" i="55"/>
  <c r="M592" i="55"/>
  <c r="L592" i="55"/>
  <c r="K592" i="55"/>
  <c r="J592" i="55"/>
  <c r="I592" i="55"/>
  <c r="H592" i="55"/>
  <c r="G592" i="55"/>
  <c r="F592" i="55"/>
  <c r="E592" i="55"/>
  <c r="D592" i="55"/>
  <c r="AB591" i="55"/>
  <c r="AA591" i="55"/>
  <c r="Z591" i="55"/>
  <c r="Y591" i="55"/>
  <c r="X591" i="55"/>
  <c r="W591" i="55"/>
  <c r="V591" i="55"/>
  <c r="U591" i="55"/>
  <c r="T591" i="55"/>
  <c r="S591" i="55"/>
  <c r="R591" i="55"/>
  <c r="Q591" i="55"/>
  <c r="P591" i="55"/>
  <c r="O591" i="55"/>
  <c r="N591" i="55"/>
  <c r="M591" i="55"/>
  <c r="L591" i="55"/>
  <c r="K591" i="55"/>
  <c r="J591" i="55"/>
  <c r="I591" i="55"/>
  <c r="H591" i="55"/>
  <c r="G591" i="55"/>
  <c r="F591" i="55"/>
  <c r="E591" i="55"/>
  <c r="D591" i="55"/>
  <c r="AB590" i="55"/>
  <c r="AA590" i="55"/>
  <c r="Z590" i="55"/>
  <c r="Y590" i="55"/>
  <c r="X590" i="55"/>
  <c r="W590" i="55"/>
  <c r="V590" i="55"/>
  <c r="U590" i="55"/>
  <c r="T590" i="55"/>
  <c r="S590" i="55"/>
  <c r="R590" i="55"/>
  <c r="Q590" i="55"/>
  <c r="P590" i="55"/>
  <c r="O590" i="55"/>
  <c r="N590" i="55"/>
  <c r="M590" i="55"/>
  <c r="L590" i="55"/>
  <c r="K590" i="55"/>
  <c r="J590" i="55"/>
  <c r="I590" i="55"/>
  <c r="H590" i="55"/>
  <c r="G590" i="55"/>
  <c r="F590" i="55"/>
  <c r="E590" i="55"/>
  <c r="D590" i="55"/>
  <c r="AB589" i="55"/>
  <c r="AA589" i="55"/>
  <c r="Z589" i="55"/>
  <c r="Y589" i="55"/>
  <c r="X589" i="55"/>
  <c r="W589" i="55"/>
  <c r="V589" i="55"/>
  <c r="U589" i="55"/>
  <c r="T589" i="55"/>
  <c r="S589" i="55"/>
  <c r="R589" i="55"/>
  <c r="Q589" i="55"/>
  <c r="P589" i="55"/>
  <c r="O589" i="55"/>
  <c r="N589" i="55"/>
  <c r="M589" i="55"/>
  <c r="L589" i="55"/>
  <c r="K589" i="55"/>
  <c r="J589" i="55"/>
  <c r="I589" i="55"/>
  <c r="H589" i="55"/>
  <c r="G589" i="55"/>
  <c r="F589" i="55"/>
  <c r="E589" i="55"/>
  <c r="D589" i="55"/>
  <c r="AB588" i="55"/>
  <c r="AA588" i="55"/>
  <c r="Z588" i="55"/>
  <c r="Y588" i="55"/>
  <c r="X588" i="55"/>
  <c r="W588" i="55"/>
  <c r="V588" i="55"/>
  <c r="U588" i="55"/>
  <c r="T588" i="55"/>
  <c r="S588" i="55"/>
  <c r="R588" i="55"/>
  <c r="Q588" i="55"/>
  <c r="P588" i="55"/>
  <c r="O588" i="55"/>
  <c r="N588" i="55"/>
  <c r="M588" i="55"/>
  <c r="L588" i="55"/>
  <c r="K588" i="55"/>
  <c r="J588" i="55"/>
  <c r="I588" i="55"/>
  <c r="H588" i="55"/>
  <c r="G588" i="55"/>
  <c r="F588" i="55"/>
  <c r="E588" i="55"/>
  <c r="D588" i="55"/>
  <c r="AB587" i="55"/>
  <c r="AA587" i="55"/>
  <c r="Z587" i="55"/>
  <c r="Y587" i="55"/>
  <c r="X587" i="55"/>
  <c r="W587" i="55"/>
  <c r="V587" i="55"/>
  <c r="U587" i="55"/>
  <c r="T587" i="55"/>
  <c r="S587" i="55"/>
  <c r="R587" i="55"/>
  <c r="Q587" i="55"/>
  <c r="P587" i="55"/>
  <c r="O587" i="55"/>
  <c r="N587" i="55"/>
  <c r="M587" i="55"/>
  <c r="L587" i="55"/>
  <c r="K587" i="55"/>
  <c r="J587" i="55"/>
  <c r="I587" i="55"/>
  <c r="H587" i="55"/>
  <c r="G587" i="55"/>
  <c r="F587" i="55"/>
  <c r="E587" i="55"/>
  <c r="D587" i="55"/>
  <c r="AB586" i="55"/>
  <c r="AA586" i="55"/>
  <c r="Z586" i="55"/>
  <c r="Y586" i="55"/>
  <c r="X586" i="55"/>
  <c r="W586" i="55"/>
  <c r="V586" i="55"/>
  <c r="U586" i="55"/>
  <c r="T586" i="55"/>
  <c r="S586" i="55"/>
  <c r="R586" i="55"/>
  <c r="Q586" i="55"/>
  <c r="P586" i="55"/>
  <c r="O586" i="55"/>
  <c r="N586" i="55"/>
  <c r="M586" i="55"/>
  <c r="L586" i="55"/>
  <c r="K586" i="55"/>
  <c r="J586" i="55"/>
  <c r="I586" i="55"/>
  <c r="H586" i="55"/>
  <c r="G586" i="55"/>
  <c r="F586" i="55"/>
  <c r="E586" i="55"/>
  <c r="D586" i="55"/>
  <c r="AB585" i="55"/>
  <c r="AA585" i="55"/>
  <c r="Z585" i="55"/>
  <c r="Y585" i="55"/>
  <c r="X585" i="55"/>
  <c r="W585" i="55"/>
  <c r="V585" i="55"/>
  <c r="U585" i="55"/>
  <c r="T585" i="55"/>
  <c r="S585" i="55"/>
  <c r="R585" i="55"/>
  <c r="Q585" i="55"/>
  <c r="P585" i="55"/>
  <c r="O585" i="55"/>
  <c r="N585" i="55"/>
  <c r="M585" i="55"/>
  <c r="L585" i="55"/>
  <c r="K585" i="55"/>
  <c r="J585" i="55"/>
  <c r="I585" i="55"/>
  <c r="H585" i="55"/>
  <c r="G585" i="55"/>
  <c r="F585" i="55"/>
  <c r="E585" i="55"/>
  <c r="D585" i="55"/>
  <c r="AB584" i="55"/>
  <c r="AA584" i="55"/>
  <c r="Z584" i="55"/>
  <c r="Y584" i="55"/>
  <c r="X584" i="55"/>
  <c r="W584" i="55"/>
  <c r="V584" i="55"/>
  <c r="U584" i="55"/>
  <c r="T584" i="55"/>
  <c r="S584" i="55"/>
  <c r="R584" i="55"/>
  <c r="Q584" i="55"/>
  <c r="P584" i="55"/>
  <c r="O584" i="55"/>
  <c r="N584" i="55"/>
  <c r="M584" i="55"/>
  <c r="L584" i="55"/>
  <c r="K584" i="55"/>
  <c r="J584" i="55"/>
  <c r="I584" i="55"/>
  <c r="H584" i="55"/>
  <c r="G584" i="55"/>
  <c r="F584" i="55"/>
  <c r="E584" i="55"/>
  <c r="D584" i="55"/>
  <c r="AB583" i="55"/>
  <c r="AA583" i="55"/>
  <c r="Z583" i="55"/>
  <c r="Y583" i="55"/>
  <c r="X583" i="55"/>
  <c r="W583" i="55"/>
  <c r="V583" i="55"/>
  <c r="U583" i="55"/>
  <c r="T583" i="55"/>
  <c r="S583" i="55"/>
  <c r="R583" i="55"/>
  <c r="Q583" i="55"/>
  <c r="P583" i="55"/>
  <c r="O583" i="55"/>
  <c r="N583" i="55"/>
  <c r="M583" i="55"/>
  <c r="L583" i="55"/>
  <c r="K583" i="55"/>
  <c r="J583" i="55"/>
  <c r="I583" i="55"/>
  <c r="H583" i="55"/>
  <c r="G583" i="55"/>
  <c r="F583" i="55"/>
  <c r="E583" i="55"/>
  <c r="D583" i="55"/>
  <c r="AB582" i="55"/>
  <c r="AA582" i="55"/>
  <c r="Z582" i="55"/>
  <c r="Y582" i="55"/>
  <c r="X582" i="55"/>
  <c r="W582" i="55"/>
  <c r="V582" i="55"/>
  <c r="U582" i="55"/>
  <c r="T582" i="55"/>
  <c r="S582" i="55"/>
  <c r="R582" i="55"/>
  <c r="Q582" i="55"/>
  <c r="P582" i="55"/>
  <c r="O582" i="55"/>
  <c r="N582" i="55"/>
  <c r="M582" i="55"/>
  <c r="L582" i="55"/>
  <c r="K582" i="55"/>
  <c r="J582" i="55"/>
  <c r="I582" i="55"/>
  <c r="H582" i="55"/>
  <c r="G582" i="55"/>
  <c r="F582" i="55"/>
  <c r="E582" i="55"/>
  <c r="D582" i="55"/>
  <c r="AB581" i="55"/>
  <c r="AA581" i="55"/>
  <c r="Z581" i="55"/>
  <c r="Y581" i="55"/>
  <c r="X581" i="55"/>
  <c r="W581" i="55"/>
  <c r="V581" i="55"/>
  <c r="U581" i="55"/>
  <c r="T581" i="55"/>
  <c r="S581" i="55"/>
  <c r="R581" i="55"/>
  <c r="Q581" i="55"/>
  <c r="P581" i="55"/>
  <c r="O581" i="55"/>
  <c r="N581" i="55"/>
  <c r="M581" i="55"/>
  <c r="L581" i="55"/>
  <c r="K581" i="55"/>
  <c r="J581" i="55"/>
  <c r="I581" i="55"/>
  <c r="H581" i="55"/>
  <c r="G581" i="55"/>
  <c r="F581" i="55"/>
  <c r="E581" i="55"/>
  <c r="D581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80" i="55"/>
  <c r="F580" i="55"/>
  <c r="E580" i="55"/>
  <c r="D580" i="55"/>
  <c r="AB579" i="55"/>
  <c r="AA579" i="55"/>
  <c r="Z579" i="55"/>
  <c r="Y579" i="55"/>
  <c r="X579" i="55"/>
  <c r="W579" i="55"/>
  <c r="V579" i="55"/>
  <c r="U579" i="55"/>
  <c r="T579" i="55"/>
  <c r="S579" i="55"/>
  <c r="R579" i="55"/>
  <c r="Q579" i="55"/>
  <c r="P579" i="55"/>
  <c r="O579" i="55"/>
  <c r="N579" i="55"/>
  <c r="M579" i="55"/>
  <c r="L579" i="55"/>
  <c r="K579" i="55"/>
  <c r="J579" i="55"/>
  <c r="I579" i="55"/>
  <c r="H579" i="55"/>
  <c r="G579" i="55"/>
  <c r="F579" i="55"/>
  <c r="E579" i="55"/>
  <c r="D579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G578" i="55"/>
  <c r="F578" i="55"/>
  <c r="E578" i="55"/>
  <c r="D578" i="55"/>
  <c r="AB577" i="55"/>
  <c r="AA577" i="55"/>
  <c r="Z577" i="55"/>
  <c r="Y577" i="55"/>
  <c r="X577" i="55"/>
  <c r="W577" i="55"/>
  <c r="V577" i="55"/>
  <c r="U577" i="55"/>
  <c r="T577" i="55"/>
  <c r="S577" i="55"/>
  <c r="R577" i="55"/>
  <c r="Q577" i="55"/>
  <c r="P577" i="55"/>
  <c r="O577" i="55"/>
  <c r="N577" i="55"/>
  <c r="M577" i="55"/>
  <c r="L577" i="55"/>
  <c r="K577" i="55"/>
  <c r="J577" i="55"/>
  <c r="I577" i="55"/>
  <c r="H577" i="55"/>
  <c r="G577" i="55"/>
  <c r="F577" i="55"/>
  <c r="E577" i="55"/>
  <c r="D577" i="55"/>
  <c r="AB576" i="55"/>
  <c r="AA576" i="55"/>
  <c r="Z576" i="55"/>
  <c r="Y576" i="55"/>
  <c r="X576" i="55"/>
  <c r="W576" i="55"/>
  <c r="V576" i="55"/>
  <c r="U576" i="55"/>
  <c r="T576" i="55"/>
  <c r="S576" i="55"/>
  <c r="R576" i="55"/>
  <c r="Q576" i="55"/>
  <c r="P576" i="55"/>
  <c r="O576" i="55"/>
  <c r="N576" i="55"/>
  <c r="M576" i="55"/>
  <c r="L576" i="55"/>
  <c r="K576" i="55"/>
  <c r="J576" i="55"/>
  <c r="I576" i="55"/>
  <c r="H576" i="55"/>
  <c r="G576" i="55"/>
  <c r="F576" i="55"/>
  <c r="E576" i="55"/>
  <c r="D576" i="55"/>
  <c r="AB575" i="55"/>
  <c r="AA575" i="55"/>
  <c r="Z575" i="55"/>
  <c r="Y575" i="55"/>
  <c r="X575" i="55"/>
  <c r="W575" i="55"/>
  <c r="V575" i="55"/>
  <c r="U575" i="55"/>
  <c r="T575" i="55"/>
  <c r="S575" i="55"/>
  <c r="R575" i="55"/>
  <c r="Q575" i="55"/>
  <c r="P575" i="55"/>
  <c r="O575" i="55"/>
  <c r="N575" i="55"/>
  <c r="M575" i="55"/>
  <c r="L575" i="55"/>
  <c r="K575" i="55"/>
  <c r="J575" i="55"/>
  <c r="I575" i="55"/>
  <c r="H575" i="55"/>
  <c r="G575" i="55"/>
  <c r="F575" i="55"/>
  <c r="E575" i="55"/>
  <c r="D575" i="55"/>
  <c r="AB574" i="55"/>
  <c r="AA574" i="55"/>
  <c r="Z574" i="55"/>
  <c r="Y574" i="55"/>
  <c r="X574" i="55"/>
  <c r="W574" i="55"/>
  <c r="V574" i="55"/>
  <c r="U574" i="55"/>
  <c r="T574" i="55"/>
  <c r="S574" i="55"/>
  <c r="R574" i="55"/>
  <c r="Q574" i="55"/>
  <c r="P574" i="55"/>
  <c r="O574" i="55"/>
  <c r="N574" i="55"/>
  <c r="M574" i="55"/>
  <c r="L574" i="55"/>
  <c r="K574" i="55"/>
  <c r="J574" i="55"/>
  <c r="I574" i="55"/>
  <c r="H574" i="55"/>
  <c r="G574" i="55"/>
  <c r="F574" i="55"/>
  <c r="E574" i="55"/>
  <c r="D574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L573" i="55"/>
  <c r="K573" i="55"/>
  <c r="J573" i="55"/>
  <c r="I573" i="55"/>
  <c r="H573" i="55"/>
  <c r="G573" i="55"/>
  <c r="F573" i="55"/>
  <c r="E573" i="55"/>
  <c r="D573" i="55"/>
  <c r="AB572" i="55"/>
  <c r="AA572" i="55"/>
  <c r="Z572" i="55"/>
  <c r="Y572" i="55"/>
  <c r="X572" i="55"/>
  <c r="W572" i="55"/>
  <c r="V572" i="55"/>
  <c r="U572" i="55"/>
  <c r="T572" i="55"/>
  <c r="S572" i="55"/>
  <c r="R572" i="55"/>
  <c r="Q572" i="55"/>
  <c r="P572" i="55"/>
  <c r="O572" i="55"/>
  <c r="N572" i="55"/>
  <c r="M572" i="55"/>
  <c r="L572" i="55"/>
  <c r="K572" i="55"/>
  <c r="J572" i="55"/>
  <c r="I572" i="55"/>
  <c r="H572" i="55"/>
  <c r="G572" i="55"/>
  <c r="F572" i="55"/>
  <c r="E572" i="55"/>
  <c r="D572" i="55"/>
  <c r="AB571" i="55"/>
  <c r="AA571" i="55"/>
  <c r="Z571" i="55"/>
  <c r="Y571" i="55"/>
  <c r="X571" i="55"/>
  <c r="W571" i="55"/>
  <c r="V571" i="55"/>
  <c r="U571" i="55"/>
  <c r="T571" i="55"/>
  <c r="S571" i="55"/>
  <c r="R571" i="55"/>
  <c r="Q571" i="55"/>
  <c r="P571" i="55"/>
  <c r="O571" i="55"/>
  <c r="N571" i="55"/>
  <c r="M571" i="55"/>
  <c r="L571" i="55"/>
  <c r="K571" i="55"/>
  <c r="J571" i="55"/>
  <c r="I571" i="55"/>
  <c r="H571" i="55"/>
  <c r="G571" i="55"/>
  <c r="F571" i="55"/>
  <c r="E571" i="55"/>
  <c r="D571" i="55"/>
  <c r="AB570" i="55"/>
  <c r="AA570" i="55"/>
  <c r="Z570" i="55"/>
  <c r="Y570" i="55"/>
  <c r="X570" i="55"/>
  <c r="W570" i="55"/>
  <c r="V570" i="55"/>
  <c r="U570" i="55"/>
  <c r="T570" i="55"/>
  <c r="S570" i="55"/>
  <c r="R570" i="55"/>
  <c r="Q570" i="55"/>
  <c r="P570" i="55"/>
  <c r="O570" i="55"/>
  <c r="N570" i="55"/>
  <c r="M570" i="55"/>
  <c r="L570" i="55"/>
  <c r="K570" i="55"/>
  <c r="J570" i="55"/>
  <c r="I570" i="55"/>
  <c r="H570" i="55"/>
  <c r="G570" i="55"/>
  <c r="F570" i="55"/>
  <c r="E570" i="55"/>
  <c r="D570" i="55"/>
  <c r="AB569" i="55"/>
  <c r="AA569" i="55"/>
  <c r="Z569" i="55"/>
  <c r="Y569" i="55"/>
  <c r="X569" i="55"/>
  <c r="W569" i="55"/>
  <c r="V569" i="55"/>
  <c r="U569" i="55"/>
  <c r="T569" i="55"/>
  <c r="S569" i="55"/>
  <c r="R569" i="55"/>
  <c r="Q569" i="55"/>
  <c r="P569" i="55"/>
  <c r="O569" i="55"/>
  <c r="N569" i="55"/>
  <c r="M569" i="55"/>
  <c r="L569" i="55"/>
  <c r="K569" i="55"/>
  <c r="J569" i="55"/>
  <c r="I569" i="55"/>
  <c r="H569" i="55"/>
  <c r="G569" i="55"/>
  <c r="F569" i="55"/>
  <c r="E569" i="55"/>
  <c r="D569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G568" i="55"/>
  <c r="F568" i="55"/>
  <c r="E568" i="55"/>
  <c r="D568" i="55"/>
  <c r="AB567" i="55"/>
  <c r="AA567" i="55"/>
  <c r="Z567" i="55"/>
  <c r="Y567" i="55"/>
  <c r="X567" i="55"/>
  <c r="W567" i="55"/>
  <c r="V567" i="55"/>
  <c r="U567" i="55"/>
  <c r="T567" i="55"/>
  <c r="S567" i="55"/>
  <c r="R567" i="55"/>
  <c r="Q567" i="55"/>
  <c r="P567" i="55"/>
  <c r="O567" i="55"/>
  <c r="N567" i="55"/>
  <c r="M567" i="55"/>
  <c r="L567" i="55"/>
  <c r="K567" i="55"/>
  <c r="J567" i="55"/>
  <c r="I567" i="55"/>
  <c r="H567" i="55"/>
  <c r="G567" i="55"/>
  <c r="F567" i="55"/>
  <c r="E567" i="55"/>
  <c r="D567" i="55"/>
  <c r="AB566" i="55"/>
  <c r="AA566" i="55"/>
  <c r="Z566" i="55"/>
  <c r="Y566" i="55"/>
  <c r="X566" i="55"/>
  <c r="W566" i="55"/>
  <c r="V566" i="55"/>
  <c r="U566" i="55"/>
  <c r="T566" i="55"/>
  <c r="S566" i="55"/>
  <c r="R566" i="55"/>
  <c r="Q566" i="55"/>
  <c r="P566" i="55"/>
  <c r="O566" i="55"/>
  <c r="N566" i="55"/>
  <c r="M566" i="55"/>
  <c r="L566" i="55"/>
  <c r="K566" i="55"/>
  <c r="J566" i="55"/>
  <c r="I566" i="55"/>
  <c r="H566" i="55"/>
  <c r="G566" i="55"/>
  <c r="F566" i="55"/>
  <c r="E566" i="55"/>
  <c r="D566" i="55"/>
  <c r="AB565" i="55"/>
  <c r="AA565" i="55"/>
  <c r="Z565" i="55"/>
  <c r="Y565" i="55"/>
  <c r="X565" i="55"/>
  <c r="W565" i="55"/>
  <c r="V565" i="55"/>
  <c r="U565" i="55"/>
  <c r="T565" i="55"/>
  <c r="S565" i="55"/>
  <c r="R565" i="55"/>
  <c r="Q565" i="55"/>
  <c r="P565" i="55"/>
  <c r="O565" i="55"/>
  <c r="N565" i="55"/>
  <c r="M565" i="55"/>
  <c r="L565" i="55"/>
  <c r="K565" i="55"/>
  <c r="J565" i="55"/>
  <c r="I565" i="55"/>
  <c r="H565" i="55"/>
  <c r="G565" i="55"/>
  <c r="F565" i="55"/>
  <c r="E565" i="55"/>
  <c r="D565" i="55"/>
  <c r="AB564" i="55"/>
  <c r="AA564" i="55"/>
  <c r="Z564" i="55"/>
  <c r="Y564" i="55"/>
  <c r="X564" i="55"/>
  <c r="W564" i="55"/>
  <c r="V564" i="55"/>
  <c r="U564" i="55"/>
  <c r="T564" i="55"/>
  <c r="S564" i="55"/>
  <c r="R564" i="55"/>
  <c r="Q564" i="55"/>
  <c r="P564" i="55"/>
  <c r="O564" i="55"/>
  <c r="N564" i="55"/>
  <c r="M564" i="55"/>
  <c r="L564" i="55"/>
  <c r="K564" i="55"/>
  <c r="J564" i="55"/>
  <c r="I564" i="55"/>
  <c r="H564" i="55"/>
  <c r="G564" i="55"/>
  <c r="F564" i="55"/>
  <c r="E564" i="55"/>
  <c r="D564" i="55"/>
  <c r="AB563" i="55"/>
  <c r="AA563" i="55"/>
  <c r="Z563" i="55"/>
  <c r="Y563" i="55"/>
  <c r="X563" i="55"/>
  <c r="W563" i="55"/>
  <c r="V563" i="55"/>
  <c r="U563" i="55"/>
  <c r="T563" i="55"/>
  <c r="S563" i="55"/>
  <c r="R563" i="55"/>
  <c r="Q563" i="55"/>
  <c r="P563" i="55"/>
  <c r="O563" i="55"/>
  <c r="N563" i="55"/>
  <c r="M563" i="55"/>
  <c r="L563" i="55"/>
  <c r="K563" i="55"/>
  <c r="J563" i="55"/>
  <c r="I563" i="55"/>
  <c r="H563" i="55"/>
  <c r="G563" i="55"/>
  <c r="F563" i="55"/>
  <c r="E563" i="55"/>
  <c r="D563" i="55"/>
  <c r="AB562" i="55"/>
  <c r="AA562" i="55"/>
  <c r="Z562" i="55"/>
  <c r="Y562" i="55"/>
  <c r="X562" i="55"/>
  <c r="W562" i="55"/>
  <c r="V562" i="55"/>
  <c r="U562" i="55"/>
  <c r="T562" i="55"/>
  <c r="S562" i="55"/>
  <c r="R562" i="55"/>
  <c r="Q562" i="55"/>
  <c r="P562" i="55"/>
  <c r="O562" i="55"/>
  <c r="N562" i="55"/>
  <c r="M562" i="55"/>
  <c r="L562" i="55"/>
  <c r="K562" i="55"/>
  <c r="J562" i="55"/>
  <c r="I562" i="55"/>
  <c r="H562" i="55"/>
  <c r="G562" i="55"/>
  <c r="F562" i="55"/>
  <c r="E562" i="55"/>
  <c r="D562" i="55"/>
  <c r="AB561" i="55"/>
  <c r="AA561" i="55"/>
  <c r="Z561" i="55"/>
  <c r="Y561" i="55"/>
  <c r="X561" i="55"/>
  <c r="W561" i="55"/>
  <c r="V561" i="55"/>
  <c r="U561" i="55"/>
  <c r="T561" i="55"/>
  <c r="S561" i="55"/>
  <c r="R561" i="55"/>
  <c r="Q561" i="55"/>
  <c r="P561" i="55"/>
  <c r="O561" i="55"/>
  <c r="N561" i="55"/>
  <c r="M561" i="55"/>
  <c r="L561" i="55"/>
  <c r="K561" i="55"/>
  <c r="J561" i="55"/>
  <c r="I561" i="55"/>
  <c r="H561" i="55"/>
  <c r="G561" i="55"/>
  <c r="F561" i="55"/>
  <c r="E561" i="55"/>
  <c r="D561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G560" i="55"/>
  <c r="F560" i="55"/>
  <c r="E560" i="55"/>
  <c r="D560" i="55"/>
  <c r="AB559" i="55"/>
  <c r="AA559" i="55"/>
  <c r="Z559" i="55"/>
  <c r="Y559" i="55"/>
  <c r="X559" i="55"/>
  <c r="W559" i="55"/>
  <c r="V559" i="55"/>
  <c r="U559" i="55"/>
  <c r="T559" i="55"/>
  <c r="S559" i="55"/>
  <c r="R559" i="55"/>
  <c r="Q559" i="55"/>
  <c r="P559" i="55"/>
  <c r="O559" i="55"/>
  <c r="N559" i="55"/>
  <c r="M559" i="55"/>
  <c r="L559" i="55"/>
  <c r="K559" i="55"/>
  <c r="J559" i="55"/>
  <c r="I559" i="55"/>
  <c r="H559" i="55"/>
  <c r="G559" i="55"/>
  <c r="F559" i="55"/>
  <c r="E559" i="55"/>
  <c r="D559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558" i="55"/>
  <c r="F558" i="55"/>
  <c r="E558" i="55"/>
  <c r="D558" i="55"/>
  <c r="AB557" i="55"/>
  <c r="AA557" i="55"/>
  <c r="Z557" i="55"/>
  <c r="Y557" i="55"/>
  <c r="X557" i="55"/>
  <c r="W557" i="55"/>
  <c r="V557" i="55"/>
  <c r="U557" i="55"/>
  <c r="T557" i="55"/>
  <c r="S557" i="55"/>
  <c r="R557" i="55"/>
  <c r="Q557" i="55"/>
  <c r="P557" i="55"/>
  <c r="O557" i="55"/>
  <c r="N557" i="55"/>
  <c r="M557" i="55"/>
  <c r="L557" i="55"/>
  <c r="K557" i="55"/>
  <c r="J557" i="55"/>
  <c r="I557" i="55"/>
  <c r="H557" i="55"/>
  <c r="G557" i="55"/>
  <c r="F557" i="55"/>
  <c r="E557" i="55"/>
  <c r="D557" i="55"/>
  <c r="AB556" i="55"/>
  <c r="AA556" i="55"/>
  <c r="Z556" i="55"/>
  <c r="Y556" i="55"/>
  <c r="X556" i="55"/>
  <c r="W556" i="55"/>
  <c r="V556" i="55"/>
  <c r="U556" i="55"/>
  <c r="T556" i="55"/>
  <c r="S556" i="55"/>
  <c r="R556" i="55"/>
  <c r="Q556" i="55"/>
  <c r="P556" i="55"/>
  <c r="O556" i="55"/>
  <c r="N556" i="55"/>
  <c r="M556" i="55"/>
  <c r="L556" i="55"/>
  <c r="K556" i="55"/>
  <c r="J556" i="55"/>
  <c r="I556" i="55"/>
  <c r="H556" i="55"/>
  <c r="G556" i="55"/>
  <c r="F556" i="55"/>
  <c r="E556" i="55"/>
  <c r="D556" i="55"/>
  <c r="AB555" i="55"/>
  <c r="AA555" i="55"/>
  <c r="Z555" i="55"/>
  <c r="Y555" i="55"/>
  <c r="X555" i="55"/>
  <c r="W555" i="55"/>
  <c r="V555" i="55"/>
  <c r="U555" i="55"/>
  <c r="T555" i="55"/>
  <c r="S555" i="55"/>
  <c r="R555" i="55"/>
  <c r="Q555" i="55"/>
  <c r="P555" i="55"/>
  <c r="O555" i="55"/>
  <c r="N555" i="55"/>
  <c r="M555" i="55"/>
  <c r="L555" i="55"/>
  <c r="K555" i="55"/>
  <c r="J555" i="55"/>
  <c r="I555" i="55"/>
  <c r="H555" i="55"/>
  <c r="G555" i="55"/>
  <c r="F555" i="55"/>
  <c r="E555" i="55"/>
  <c r="D555" i="55"/>
  <c r="AB554" i="55"/>
  <c r="AA554" i="55"/>
  <c r="Z554" i="55"/>
  <c r="Y554" i="55"/>
  <c r="X554" i="55"/>
  <c r="W554" i="55"/>
  <c r="V554" i="55"/>
  <c r="U554" i="55"/>
  <c r="T554" i="55"/>
  <c r="S554" i="55"/>
  <c r="R554" i="55"/>
  <c r="Q554" i="55"/>
  <c r="P554" i="55"/>
  <c r="O554" i="55"/>
  <c r="N554" i="55"/>
  <c r="M554" i="55"/>
  <c r="L554" i="55"/>
  <c r="K554" i="55"/>
  <c r="J554" i="55"/>
  <c r="I554" i="55"/>
  <c r="H554" i="55"/>
  <c r="G554" i="55"/>
  <c r="F554" i="55"/>
  <c r="E554" i="55"/>
  <c r="D554" i="55"/>
  <c r="AB553" i="55"/>
  <c r="AA553" i="55"/>
  <c r="Z553" i="55"/>
  <c r="Y553" i="55"/>
  <c r="X553" i="55"/>
  <c r="W553" i="55"/>
  <c r="V553" i="55"/>
  <c r="U553" i="55"/>
  <c r="T553" i="55"/>
  <c r="S553" i="55"/>
  <c r="R553" i="55"/>
  <c r="Q553" i="55"/>
  <c r="P553" i="55"/>
  <c r="O553" i="55"/>
  <c r="N553" i="55"/>
  <c r="M553" i="55"/>
  <c r="L553" i="55"/>
  <c r="K553" i="55"/>
  <c r="J553" i="55"/>
  <c r="I553" i="55"/>
  <c r="H553" i="55"/>
  <c r="G553" i="55"/>
  <c r="F553" i="55"/>
  <c r="E553" i="55"/>
  <c r="D553" i="55"/>
  <c r="AB552" i="55"/>
  <c r="AA552" i="55"/>
  <c r="Z552" i="55"/>
  <c r="Y552" i="55"/>
  <c r="X552" i="55"/>
  <c r="W552" i="55"/>
  <c r="V552" i="55"/>
  <c r="U552" i="55"/>
  <c r="T552" i="55"/>
  <c r="S552" i="55"/>
  <c r="R552" i="55"/>
  <c r="Q552" i="55"/>
  <c r="P552" i="55"/>
  <c r="O552" i="55"/>
  <c r="N552" i="55"/>
  <c r="M552" i="55"/>
  <c r="L552" i="55"/>
  <c r="K552" i="55"/>
  <c r="J552" i="55"/>
  <c r="I552" i="55"/>
  <c r="H552" i="55"/>
  <c r="G552" i="55"/>
  <c r="F552" i="55"/>
  <c r="E552" i="55"/>
  <c r="D552" i="55"/>
  <c r="AB551" i="55"/>
  <c r="AA551" i="55"/>
  <c r="Z551" i="55"/>
  <c r="Y551" i="55"/>
  <c r="X551" i="55"/>
  <c r="W551" i="55"/>
  <c r="V551" i="55"/>
  <c r="U551" i="55"/>
  <c r="T551" i="55"/>
  <c r="S551" i="55"/>
  <c r="R551" i="55"/>
  <c r="Q551" i="55"/>
  <c r="P551" i="55"/>
  <c r="O551" i="55"/>
  <c r="N551" i="55"/>
  <c r="M551" i="55"/>
  <c r="L551" i="55"/>
  <c r="K551" i="55"/>
  <c r="J551" i="55"/>
  <c r="I551" i="55"/>
  <c r="H551" i="55"/>
  <c r="G551" i="55"/>
  <c r="F551" i="55"/>
  <c r="E551" i="55"/>
  <c r="D551" i="55"/>
  <c r="AB550" i="55"/>
  <c r="AA550" i="55"/>
  <c r="Z550" i="55"/>
  <c r="Y550" i="55"/>
  <c r="X550" i="55"/>
  <c r="W550" i="55"/>
  <c r="V550" i="55"/>
  <c r="U550" i="55"/>
  <c r="T550" i="55"/>
  <c r="S550" i="55"/>
  <c r="R550" i="55"/>
  <c r="Q550" i="55"/>
  <c r="P550" i="55"/>
  <c r="O550" i="55"/>
  <c r="N550" i="55"/>
  <c r="M550" i="55"/>
  <c r="L550" i="55"/>
  <c r="K550" i="55"/>
  <c r="J550" i="55"/>
  <c r="I550" i="55"/>
  <c r="H550" i="55"/>
  <c r="G550" i="55"/>
  <c r="F550" i="55"/>
  <c r="E550" i="55"/>
  <c r="D550" i="55"/>
  <c r="AB548" i="55"/>
  <c r="AA548" i="55"/>
  <c r="Z548" i="55"/>
  <c r="Y548" i="55"/>
  <c r="X548" i="55"/>
  <c r="W548" i="55"/>
  <c r="V548" i="55"/>
  <c r="U548" i="55"/>
  <c r="T548" i="55"/>
  <c r="S548" i="55"/>
  <c r="R548" i="55"/>
  <c r="Q548" i="55"/>
  <c r="P548" i="55"/>
  <c r="O548" i="55"/>
  <c r="N548" i="55"/>
  <c r="M548" i="55"/>
  <c r="L548" i="55"/>
  <c r="K548" i="55"/>
  <c r="J548" i="55"/>
  <c r="I548" i="55"/>
  <c r="H548" i="55"/>
  <c r="G548" i="55"/>
  <c r="F548" i="55"/>
  <c r="E548" i="55"/>
  <c r="D548" i="55"/>
  <c r="AB547" i="55"/>
  <c r="AA547" i="55"/>
  <c r="Z547" i="55"/>
  <c r="Y547" i="55"/>
  <c r="X547" i="55"/>
  <c r="W547" i="55"/>
  <c r="V547" i="55"/>
  <c r="U547" i="55"/>
  <c r="T547" i="55"/>
  <c r="S547" i="55"/>
  <c r="R547" i="55"/>
  <c r="Q547" i="55"/>
  <c r="P547" i="55"/>
  <c r="O547" i="55"/>
  <c r="N547" i="55"/>
  <c r="M547" i="55"/>
  <c r="L547" i="55"/>
  <c r="K547" i="55"/>
  <c r="J547" i="55"/>
  <c r="I547" i="55"/>
  <c r="H547" i="55"/>
  <c r="G547" i="55"/>
  <c r="F547" i="55"/>
  <c r="E547" i="55"/>
  <c r="D547" i="55"/>
  <c r="AB546" i="55"/>
  <c r="AA546" i="55"/>
  <c r="Z546" i="55"/>
  <c r="Y546" i="55"/>
  <c r="X546" i="55"/>
  <c r="W546" i="55"/>
  <c r="V546" i="55"/>
  <c r="U546" i="55"/>
  <c r="T546" i="55"/>
  <c r="S546" i="55"/>
  <c r="R546" i="55"/>
  <c r="Q546" i="55"/>
  <c r="P546" i="55"/>
  <c r="O546" i="55"/>
  <c r="N546" i="55"/>
  <c r="M546" i="55"/>
  <c r="L546" i="55"/>
  <c r="K546" i="55"/>
  <c r="J546" i="55"/>
  <c r="I546" i="55"/>
  <c r="H546" i="55"/>
  <c r="G546" i="55"/>
  <c r="F546" i="55"/>
  <c r="E546" i="55"/>
  <c r="D546" i="55"/>
  <c r="AB545" i="55"/>
  <c r="AA545" i="55"/>
  <c r="Z545" i="55"/>
  <c r="Y545" i="55"/>
  <c r="X545" i="55"/>
  <c r="W545" i="55"/>
  <c r="V545" i="55"/>
  <c r="U545" i="55"/>
  <c r="T545" i="55"/>
  <c r="S545" i="55"/>
  <c r="R545" i="55"/>
  <c r="Q545" i="55"/>
  <c r="P545" i="55"/>
  <c r="O545" i="55"/>
  <c r="N545" i="55"/>
  <c r="M545" i="55"/>
  <c r="L545" i="55"/>
  <c r="K545" i="55"/>
  <c r="J545" i="55"/>
  <c r="I545" i="55"/>
  <c r="H545" i="55"/>
  <c r="G545" i="55"/>
  <c r="F545" i="55"/>
  <c r="E545" i="55"/>
  <c r="D545" i="55"/>
  <c r="AB544" i="55"/>
  <c r="AA544" i="55"/>
  <c r="Z544" i="55"/>
  <c r="Y544" i="55"/>
  <c r="X544" i="55"/>
  <c r="W544" i="55"/>
  <c r="V544" i="55"/>
  <c r="U544" i="55"/>
  <c r="T544" i="55"/>
  <c r="S544" i="55"/>
  <c r="R544" i="55"/>
  <c r="Q544" i="55"/>
  <c r="P544" i="55"/>
  <c r="O544" i="55"/>
  <c r="N544" i="55"/>
  <c r="M544" i="55"/>
  <c r="L544" i="55"/>
  <c r="K544" i="55"/>
  <c r="J544" i="55"/>
  <c r="I544" i="55"/>
  <c r="H544" i="55"/>
  <c r="G544" i="55"/>
  <c r="F544" i="55"/>
  <c r="E544" i="55"/>
  <c r="D544" i="55"/>
  <c r="AB543" i="55"/>
  <c r="AA543" i="55"/>
  <c r="Z543" i="55"/>
  <c r="Y543" i="55"/>
  <c r="X543" i="55"/>
  <c r="W543" i="55"/>
  <c r="V543" i="55"/>
  <c r="U543" i="55"/>
  <c r="T543" i="55"/>
  <c r="S543" i="55"/>
  <c r="R543" i="55"/>
  <c r="Q543" i="55"/>
  <c r="P543" i="55"/>
  <c r="O543" i="55"/>
  <c r="N543" i="55"/>
  <c r="M543" i="55"/>
  <c r="L543" i="55"/>
  <c r="K543" i="55"/>
  <c r="J543" i="55"/>
  <c r="I543" i="55"/>
  <c r="H543" i="55"/>
  <c r="G543" i="55"/>
  <c r="F543" i="55"/>
  <c r="E543" i="55"/>
  <c r="D543" i="55"/>
  <c r="AB542" i="55"/>
  <c r="AA542" i="55"/>
  <c r="Z542" i="55"/>
  <c r="Y542" i="55"/>
  <c r="X542" i="55"/>
  <c r="W542" i="55"/>
  <c r="V542" i="55"/>
  <c r="U542" i="55"/>
  <c r="T542" i="55"/>
  <c r="S542" i="55"/>
  <c r="R542" i="55"/>
  <c r="Q542" i="55"/>
  <c r="P542" i="55"/>
  <c r="O542" i="55"/>
  <c r="N542" i="55"/>
  <c r="M542" i="55"/>
  <c r="L542" i="55"/>
  <c r="K542" i="55"/>
  <c r="J542" i="55"/>
  <c r="I542" i="55"/>
  <c r="H542" i="55"/>
  <c r="G542" i="55"/>
  <c r="F542" i="55"/>
  <c r="E542" i="55"/>
  <c r="D542" i="55"/>
  <c r="AB541" i="55"/>
  <c r="AA541" i="55"/>
  <c r="Z541" i="55"/>
  <c r="Y541" i="55"/>
  <c r="X541" i="55"/>
  <c r="W541" i="55"/>
  <c r="V541" i="55"/>
  <c r="U541" i="55"/>
  <c r="T541" i="55"/>
  <c r="S541" i="55"/>
  <c r="R541" i="55"/>
  <c r="Q541" i="55"/>
  <c r="P541" i="55"/>
  <c r="O541" i="55"/>
  <c r="N541" i="55"/>
  <c r="M541" i="55"/>
  <c r="L541" i="55"/>
  <c r="K541" i="55"/>
  <c r="J541" i="55"/>
  <c r="I541" i="55"/>
  <c r="H541" i="55"/>
  <c r="G541" i="55"/>
  <c r="F541" i="55"/>
  <c r="E541" i="55"/>
  <c r="D541" i="55"/>
  <c r="AB540" i="55"/>
  <c r="AA540" i="55"/>
  <c r="Z540" i="55"/>
  <c r="Y540" i="55"/>
  <c r="X540" i="55"/>
  <c r="W540" i="55"/>
  <c r="V540" i="55"/>
  <c r="U540" i="55"/>
  <c r="T540" i="55"/>
  <c r="S540" i="55"/>
  <c r="R540" i="55"/>
  <c r="Q540" i="55"/>
  <c r="P540" i="55"/>
  <c r="O540" i="55"/>
  <c r="N540" i="55"/>
  <c r="M540" i="55"/>
  <c r="L540" i="55"/>
  <c r="K540" i="55"/>
  <c r="J540" i="55"/>
  <c r="I540" i="55"/>
  <c r="H540" i="55"/>
  <c r="G540" i="55"/>
  <c r="F540" i="55"/>
  <c r="E540" i="55"/>
  <c r="D540" i="55"/>
  <c r="AB539" i="55"/>
  <c r="AA539" i="55"/>
  <c r="Z539" i="55"/>
  <c r="Y539" i="55"/>
  <c r="X539" i="55"/>
  <c r="W539" i="55"/>
  <c r="V539" i="55"/>
  <c r="U539" i="55"/>
  <c r="T539" i="55"/>
  <c r="S539" i="55"/>
  <c r="R539" i="55"/>
  <c r="Q539" i="55"/>
  <c r="P539" i="55"/>
  <c r="O539" i="55"/>
  <c r="N539" i="55"/>
  <c r="M539" i="55"/>
  <c r="L539" i="55"/>
  <c r="K539" i="55"/>
  <c r="J539" i="55"/>
  <c r="I539" i="55"/>
  <c r="H539" i="55"/>
  <c r="G539" i="55"/>
  <c r="F539" i="55"/>
  <c r="E539" i="55"/>
  <c r="D539" i="55"/>
  <c r="AB538" i="55"/>
  <c r="AA538" i="55"/>
  <c r="Z538" i="55"/>
  <c r="Y538" i="55"/>
  <c r="X538" i="55"/>
  <c r="W538" i="55"/>
  <c r="V538" i="55"/>
  <c r="U538" i="55"/>
  <c r="T538" i="55"/>
  <c r="S538" i="55"/>
  <c r="R538" i="55"/>
  <c r="Q538" i="55"/>
  <c r="P538" i="55"/>
  <c r="O538" i="55"/>
  <c r="N538" i="55"/>
  <c r="M538" i="55"/>
  <c r="L538" i="55"/>
  <c r="K538" i="55"/>
  <c r="J538" i="55"/>
  <c r="I538" i="55"/>
  <c r="H538" i="55"/>
  <c r="G538" i="55"/>
  <c r="F538" i="55"/>
  <c r="E538" i="55"/>
  <c r="D538" i="55"/>
  <c r="AB537" i="55"/>
  <c r="AA537" i="55"/>
  <c r="Z537" i="55"/>
  <c r="Y537" i="55"/>
  <c r="X537" i="55"/>
  <c r="W537" i="55"/>
  <c r="V537" i="55"/>
  <c r="U537" i="55"/>
  <c r="T537" i="55"/>
  <c r="S537" i="55"/>
  <c r="R537" i="55"/>
  <c r="Q537" i="55"/>
  <c r="P537" i="55"/>
  <c r="O537" i="55"/>
  <c r="N537" i="55"/>
  <c r="M537" i="55"/>
  <c r="L537" i="55"/>
  <c r="K537" i="55"/>
  <c r="J537" i="55"/>
  <c r="I537" i="55"/>
  <c r="H537" i="55"/>
  <c r="G537" i="55"/>
  <c r="F537" i="55"/>
  <c r="E537" i="55"/>
  <c r="D537" i="55"/>
  <c r="AB536" i="55"/>
  <c r="AA536" i="55"/>
  <c r="Z536" i="55"/>
  <c r="Y536" i="55"/>
  <c r="X536" i="55"/>
  <c r="W536" i="55"/>
  <c r="V536" i="55"/>
  <c r="U536" i="55"/>
  <c r="T536" i="55"/>
  <c r="S536" i="55"/>
  <c r="R536" i="55"/>
  <c r="Q536" i="55"/>
  <c r="P536" i="55"/>
  <c r="O536" i="55"/>
  <c r="N536" i="55"/>
  <c r="M536" i="55"/>
  <c r="L536" i="55"/>
  <c r="K536" i="55"/>
  <c r="J536" i="55"/>
  <c r="I536" i="55"/>
  <c r="H536" i="55"/>
  <c r="G536" i="55"/>
  <c r="F536" i="55"/>
  <c r="E536" i="55"/>
  <c r="D536" i="55"/>
  <c r="AB535" i="55"/>
  <c r="AA535" i="55"/>
  <c r="Z535" i="55"/>
  <c r="Y535" i="55"/>
  <c r="X535" i="55"/>
  <c r="W535" i="55"/>
  <c r="V535" i="55"/>
  <c r="U535" i="55"/>
  <c r="T535" i="55"/>
  <c r="S535" i="55"/>
  <c r="R535" i="55"/>
  <c r="Q535" i="55"/>
  <c r="P535" i="55"/>
  <c r="O535" i="55"/>
  <c r="N535" i="55"/>
  <c r="M535" i="55"/>
  <c r="L535" i="55"/>
  <c r="K535" i="55"/>
  <c r="J535" i="55"/>
  <c r="I535" i="55"/>
  <c r="H535" i="55"/>
  <c r="G535" i="55"/>
  <c r="F535" i="55"/>
  <c r="E535" i="55"/>
  <c r="D535" i="55"/>
  <c r="AB534" i="55"/>
  <c r="AA534" i="55"/>
  <c r="Z534" i="55"/>
  <c r="Y534" i="55"/>
  <c r="X534" i="55"/>
  <c r="W534" i="55"/>
  <c r="V534" i="55"/>
  <c r="U534" i="55"/>
  <c r="T534" i="55"/>
  <c r="S534" i="55"/>
  <c r="R534" i="55"/>
  <c r="Q534" i="55"/>
  <c r="P534" i="55"/>
  <c r="O534" i="55"/>
  <c r="N534" i="55"/>
  <c r="M534" i="55"/>
  <c r="L534" i="55"/>
  <c r="K534" i="55"/>
  <c r="J534" i="55"/>
  <c r="I534" i="55"/>
  <c r="H534" i="55"/>
  <c r="G534" i="55"/>
  <c r="F534" i="55"/>
  <c r="E534" i="55"/>
  <c r="D534" i="55"/>
  <c r="AB533" i="55"/>
  <c r="AA533" i="55"/>
  <c r="Z533" i="55"/>
  <c r="Y533" i="55"/>
  <c r="X533" i="55"/>
  <c r="W533" i="55"/>
  <c r="V533" i="55"/>
  <c r="U533" i="55"/>
  <c r="T533" i="55"/>
  <c r="S533" i="55"/>
  <c r="R533" i="55"/>
  <c r="Q533" i="55"/>
  <c r="P533" i="55"/>
  <c r="O533" i="55"/>
  <c r="N533" i="55"/>
  <c r="M533" i="55"/>
  <c r="L533" i="55"/>
  <c r="K533" i="55"/>
  <c r="J533" i="55"/>
  <c r="I533" i="55"/>
  <c r="H533" i="55"/>
  <c r="G533" i="55"/>
  <c r="F533" i="55"/>
  <c r="E533" i="55"/>
  <c r="D533" i="55"/>
  <c r="AB532" i="55"/>
  <c r="AA532" i="55"/>
  <c r="Z532" i="55"/>
  <c r="Y532" i="55"/>
  <c r="X532" i="55"/>
  <c r="W532" i="55"/>
  <c r="V532" i="55"/>
  <c r="U532" i="55"/>
  <c r="T532" i="55"/>
  <c r="S532" i="55"/>
  <c r="R532" i="55"/>
  <c r="Q532" i="55"/>
  <c r="P532" i="55"/>
  <c r="O532" i="55"/>
  <c r="N532" i="55"/>
  <c r="M532" i="55"/>
  <c r="L532" i="55"/>
  <c r="K532" i="55"/>
  <c r="J532" i="55"/>
  <c r="I532" i="55"/>
  <c r="H532" i="55"/>
  <c r="G532" i="55"/>
  <c r="F532" i="55"/>
  <c r="E532" i="55"/>
  <c r="D532" i="55"/>
  <c r="AB531" i="55"/>
  <c r="AA531" i="55"/>
  <c r="Z531" i="55"/>
  <c r="Y531" i="55"/>
  <c r="X531" i="55"/>
  <c r="W531" i="55"/>
  <c r="V531" i="55"/>
  <c r="U531" i="55"/>
  <c r="T531" i="55"/>
  <c r="S531" i="55"/>
  <c r="R531" i="55"/>
  <c r="Q531" i="55"/>
  <c r="P531" i="55"/>
  <c r="O531" i="55"/>
  <c r="N531" i="55"/>
  <c r="M531" i="55"/>
  <c r="L531" i="55"/>
  <c r="K531" i="55"/>
  <c r="J531" i="55"/>
  <c r="I531" i="55"/>
  <c r="H531" i="55"/>
  <c r="G531" i="55"/>
  <c r="F531" i="55"/>
  <c r="E531" i="55"/>
  <c r="D531" i="55"/>
  <c r="AB530" i="55"/>
  <c r="AA530" i="55"/>
  <c r="Z530" i="55"/>
  <c r="Y530" i="55"/>
  <c r="X530" i="55"/>
  <c r="W530" i="55"/>
  <c r="V530" i="55"/>
  <c r="U530" i="55"/>
  <c r="T530" i="55"/>
  <c r="S530" i="55"/>
  <c r="R530" i="55"/>
  <c r="Q530" i="55"/>
  <c r="P530" i="55"/>
  <c r="O530" i="55"/>
  <c r="N530" i="55"/>
  <c r="M530" i="55"/>
  <c r="L530" i="55"/>
  <c r="K530" i="55"/>
  <c r="J530" i="55"/>
  <c r="I530" i="55"/>
  <c r="H530" i="55"/>
  <c r="G530" i="55"/>
  <c r="F530" i="55"/>
  <c r="E530" i="55"/>
  <c r="D530" i="55"/>
  <c r="AB529" i="55"/>
  <c r="AA529" i="55"/>
  <c r="Z529" i="55"/>
  <c r="Y529" i="55"/>
  <c r="X529" i="55"/>
  <c r="W529" i="55"/>
  <c r="V529" i="55"/>
  <c r="U529" i="55"/>
  <c r="T529" i="55"/>
  <c r="S529" i="55"/>
  <c r="R529" i="55"/>
  <c r="Q529" i="55"/>
  <c r="P529" i="55"/>
  <c r="O529" i="55"/>
  <c r="N529" i="55"/>
  <c r="M529" i="55"/>
  <c r="L529" i="55"/>
  <c r="K529" i="55"/>
  <c r="J529" i="55"/>
  <c r="I529" i="55"/>
  <c r="H529" i="55"/>
  <c r="G529" i="55"/>
  <c r="F529" i="55"/>
  <c r="E529" i="55"/>
  <c r="D529" i="55"/>
  <c r="AB528" i="55"/>
  <c r="AA528" i="55"/>
  <c r="Z528" i="55"/>
  <c r="Y528" i="55"/>
  <c r="X528" i="55"/>
  <c r="W528" i="55"/>
  <c r="V528" i="55"/>
  <c r="U528" i="55"/>
  <c r="T528" i="55"/>
  <c r="S528" i="55"/>
  <c r="R528" i="55"/>
  <c r="Q528" i="55"/>
  <c r="P528" i="55"/>
  <c r="O528" i="55"/>
  <c r="N528" i="55"/>
  <c r="M528" i="55"/>
  <c r="L528" i="55"/>
  <c r="K528" i="55"/>
  <c r="J528" i="55"/>
  <c r="I528" i="55"/>
  <c r="H528" i="55"/>
  <c r="G528" i="55"/>
  <c r="F528" i="55"/>
  <c r="E528" i="55"/>
  <c r="D528" i="55"/>
  <c r="AB527" i="55"/>
  <c r="AA527" i="55"/>
  <c r="Z527" i="55"/>
  <c r="Y527" i="55"/>
  <c r="X527" i="55"/>
  <c r="W527" i="55"/>
  <c r="V527" i="55"/>
  <c r="U527" i="55"/>
  <c r="T527" i="55"/>
  <c r="S527" i="55"/>
  <c r="R527" i="55"/>
  <c r="Q527" i="55"/>
  <c r="P527" i="55"/>
  <c r="O527" i="55"/>
  <c r="N527" i="55"/>
  <c r="M527" i="55"/>
  <c r="L527" i="55"/>
  <c r="K527" i="55"/>
  <c r="J527" i="55"/>
  <c r="I527" i="55"/>
  <c r="H527" i="55"/>
  <c r="G527" i="55"/>
  <c r="F527" i="55"/>
  <c r="E527" i="55"/>
  <c r="D527" i="55"/>
  <c r="AB526" i="55"/>
  <c r="AA526" i="55"/>
  <c r="Z526" i="55"/>
  <c r="Y526" i="55"/>
  <c r="X526" i="55"/>
  <c r="W526" i="55"/>
  <c r="V526" i="55"/>
  <c r="U526" i="55"/>
  <c r="T526" i="55"/>
  <c r="S526" i="55"/>
  <c r="R526" i="55"/>
  <c r="Q526" i="55"/>
  <c r="P526" i="55"/>
  <c r="O526" i="55"/>
  <c r="N526" i="55"/>
  <c r="M526" i="55"/>
  <c r="L526" i="55"/>
  <c r="K526" i="55"/>
  <c r="J526" i="55"/>
  <c r="I526" i="55"/>
  <c r="H526" i="55"/>
  <c r="G526" i="55"/>
  <c r="F526" i="55"/>
  <c r="E526" i="55"/>
  <c r="D526" i="55"/>
  <c r="AB525" i="55"/>
  <c r="AA525" i="55"/>
  <c r="Z525" i="55"/>
  <c r="Y525" i="55"/>
  <c r="X525" i="55"/>
  <c r="W525" i="55"/>
  <c r="V525" i="55"/>
  <c r="U525" i="55"/>
  <c r="T525" i="55"/>
  <c r="S525" i="55"/>
  <c r="R525" i="55"/>
  <c r="Q525" i="55"/>
  <c r="P525" i="55"/>
  <c r="O525" i="55"/>
  <c r="N525" i="55"/>
  <c r="M525" i="55"/>
  <c r="L525" i="55"/>
  <c r="K525" i="55"/>
  <c r="J525" i="55"/>
  <c r="I525" i="55"/>
  <c r="H525" i="55"/>
  <c r="G525" i="55"/>
  <c r="F525" i="55"/>
  <c r="E525" i="55"/>
  <c r="D525" i="55"/>
  <c r="AB524" i="55"/>
  <c r="AA524" i="55"/>
  <c r="Z524" i="55"/>
  <c r="Y524" i="55"/>
  <c r="X524" i="55"/>
  <c r="W524" i="55"/>
  <c r="V524" i="55"/>
  <c r="U524" i="55"/>
  <c r="T524" i="55"/>
  <c r="S524" i="55"/>
  <c r="R524" i="55"/>
  <c r="Q524" i="55"/>
  <c r="P524" i="55"/>
  <c r="O524" i="55"/>
  <c r="N524" i="55"/>
  <c r="M524" i="55"/>
  <c r="L524" i="55"/>
  <c r="K524" i="55"/>
  <c r="J524" i="55"/>
  <c r="I524" i="55"/>
  <c r="H524" i="55"/>
  <c r="G524" i="55"/>
  <c r="F524" i="55"/>
  <c r="E524" i="55"/>
  <c r="D524" i="55"/>
  <c r="AB523" i="55"/>
  <c r="AA523" i="55"/>
  <c r="Z523" i="55"/>
  <c r="Y523" i="55"/>
  <c r="X523" i="55"/>
  <c r="W523" i="55"/>
  <c r="V523" i="55"/>
  <c r="U523" i="55"/>
  <c r="T523" i="55"/>
  <c r="S523" i="55"/>
  <c r="R523" i="55"/>
  <c r="Q523" i="55"/>
  <c r="P523" i="55"/>
  <c r="O523" i="55"/>
  <c r="N523" i="55"/>
  <c r="M523" i="55"/>
  <c r="L523" i="55"/>
  <c r="K523" i="55"/>
  <c r="J523" i="55"/>
  <c r="I523" i="55"/>
  <c r="H523" i="55"/>
  <c r="G523" i="55"/>
  <c r="F523" i="55"/>
  <c r="E523" i="55"/>
  <c r="D523" i="55"/>
  <c r="AB522" i="55"/>
  <c r="AA522" i="55"/>
  <c r="Z522" i="55"/>
  <c r="Y522" i="55"/>
  <c r="X522" i="55"/>
  <c r="W522" i="55"/>
  <c r="V522" i="55"/>
  <c r="U522" i="55"/>
  <c r="T522" i="55"/>
  <c r="S522" i="55"/>
  <c r="R522" i="55"/>
  <c r="Q522" i="55"/>
  <c r="P522" i="55"/>
  <c r="O522" i="55"/>
  <c r="N522" i="55"/>
  <c r="M522" i="55"/>
  <c r="L522" i="55"/>
  <c r="K522" i="55"/>
  <c r="J522" i="55"/>
  <c r="I522" i="55"/>
  <c r="H522" i="55"/>
  <c r="G522" i="55"/>
  <c r="F522" i="55"/>
  <c r="E522" i="55"/>
  <c r="D522" i="55"/>
  <c r="AB521" i="55"/>
  <c r="AA521" i="55"/>
  <c r="Z521" i="55"/>
  <c r="Y521" i="55"/>
  <c r="X521" i="55"/>
  <c r="W521" i="55"/>
  <c r="V521" i="55"/>
  <c r="U521" i="55"/>
  <c r="T521" i="55"/>
  <c r="S521" i="55"/>
  <c r="R521" i="55"/>
  <c r="Q521" i="55"/>
  <c r="P521" i="55"/>
  <c r="O521" i="55"/>
  <c r="N521" i="55"/>
  <c r="M521" i="55"/>
  <c r="L521" i="55"/>
  <c r="K521" i="55"/>
  <c r="J521" i="55"/>
  <c r="I521" i="55"/>
  <c r="H521" i="55"/>
  <c r="G521" i="55"/>
  <c r="F521" i="55"/>
  <c r="E521" i="55"/>
  <c r="D521" i="55"/>
  <c r="AB520" i="55"/>
  <c r="AA520" i="55"/>
  <c r="Z520" i="55"/>
  <c r="Y520" i="55"/>
  <c r="X520" i="55"/>
  <c r="W520" i="55"/>
  <c r="V520" i="55"/>
  <c r="U520" i="55"/>
  <c r="T520" i="55"/>
  <c r="S520" i="55"/>
  <c r="R520" i="55"/>
  <c r="Q520" i="55"/>
  <c r="P520" i="55"/>
  <c r="O520" i="55"/>
  <c r="N520" i="55"/>
  <c r="M520" i="55"/>
  <c r="L520" i="55"/>
  <c r="K520" i="55"/>
  <c r="J520" i="55"/>
  <c r="I520" i="55"/>
  <c r="H520" i="55"/>
  <c r="G520" i="55"/>
  <c r="F520" i="55"/>
  <c r="E520" i="55"/>
  <c r="D520" i="55"/>
  <c r="AB519" i="55"/>
  <c r="AA519" i="55"/>
  <c r="Z519" i="55"/>
  <c r="Y519" i="55"/>
  <c r="X519" i="55"/>
  <c r="W519" i="55"/>
  <c r="V519" i="55"/>
  <c r="U519" i="55"/>
  <c r="T519" i="55"/>
  <c r="S519" i="55"/>
  <c r="R519" i="55"/>
  <c r="Q519" i="55"/>
  <c r="P519" i="55"/>
  <c r="O519" i="55"/>
  <c r="N519" i="55"/>
  <c r="M519" i="55"/>
  <c r="L519" i="55"/>
  <c r="K519" i="55"/>
  <c r="J519" i="55"/>
  <c r="I519" i="55"/>
  <c r="H519" i="55"/>
  <c r="G519" i="55"/>
  <c r="F519" i="55"/>
  <c r="E519" i="55"/>
  <c r="D519" i="55"/>
  <c r="AB518" i="55"/>
  <c r="AA518" i="55"/>
  <c r="Z518" i="55"/>
  <c r="Y518" i="55"/>
  <c r="X518" i="55"/>
  <c r="W518" i="55"/>
  <c r="V518" i="55"/>
  <c r="U518" i="55"/>
  <c r="T518" i="55"/>
  <c r="S518" i="55"/>
  <c r="R518" i="55"/>
  <c r="Q518" i="55"/>
  <c r="P518" i="55"/>
  <c r="O518" i="55"/>
  <c r="N518" i="55"/>
  <c r="M518" i="55"/>
  <c r="L518" i="55"/>
  <c r="K518" i="55"/>
  <c r="J518" i="55"/>
  <c r="I518" i="55"/>
  <c r="H518" i="55"/>
  <c r="G518" i="55"/>
  <c r="F518" i="55"/>
  <c r="E518" i="55"/>
  <c r="D518" i="55"/>
  <c r="AB517" i="55"/>
  <c r="AA517" i="55"/>
  <c r="Z517" i="55"/>
  <c r="Y517" i="55"/>
  <c r="X517" i="55"/>
  <c r="W517" i="55"/>
  <c r="V517" i="55"/>
  <c r="U517" i="55"/>
  <c r="T517" i="55"/>
  <c r="S517" i="55"/>
  <c r="R517" i="55"/>
  <c r="Q517" i="55"/>
  <c r="P517" i="55"/>
  <c r="O517" i="55"/>
  <c r="N517" i="55"/>
  <c r="M517" i="55"/>
  <c r="L517" i="55"/>
  <c r="K517" i="55"/>
  <c r="J517" i="55"/>
  <c r="I517" i="55"/>
  <c r="H517" i="55"/>
  <c r="G517" i="55"/>
  <c r="F517" i="55"/>
  <c r="E517" i="55"/>
  <c r="D517" i="55"/>
  <c r="AB516" i="55"/>
  <c r="AA516" i="55"/>
  <c r="Z516" i="55"/>
  <c r="Y516" i="55"/>
  <c r="X516" i="55"/>
  <c r="W516" i="55"/>
  <c r="V516" i="55"/>
  <c r="U516" i="55"/>
  <c r="T516" i="55"/>
  <c r="S516" i="55"/>
  <c r="R516" i="55"/>
  <c r="Q516" i="55"/>
  <c r="P516" i="55"/>
  <c r="O516" i="55"/>
  <c r="N516" i="55"/>
  <c r="M516" i="55"/>
  <c r="L516" i="55"/>
  <c r="K516" i="55"/>
  <c r="J516" i="55"/>
  <c r="I516" i="55"/>
  <c r="H516" i="55"/>
  <c r="G516" i="55"/>
  <c r="F516" i="55"/>
  <c r="E516" i="55"/>
  <c r="D516" i="55"/>
  <c r="AB515" i="55"/>
  <c r="AA515" i="55"/>
  <c r="Z515" i="55"/>
  <c r="Y515" i="55"/>
  <c r="X515" i="55"/>
  <c r="W515" i="55"/>
  <c r="V515" i="55"/>
  <c r="U515" i="55"/>
  <c r="T515" i="55"/>
  <c r="S515" i="55"/>
  <c r="R515" i="55"/>
  <c r="Q515" i="55"/>
  <c r="P515" i="55"/>
  <c r="O515" i="55"/>
  <c r="N515" i="55"/>
  <c r="M515" i="55"/>
  <c r="L515" i="55"/>
  <c r="K515" i="55"/>
  <c r="J515" i="55"/>
  <c r="I515" i="55"/>
  <c r="H515" i="55"/>
  <c r="G515" i="55"/>
  <c r="F515" i="55"/>
  <c r="E515" i="55"/>
  <c r="D515" i="55"/>
  <c r="AB514" i="55"/>
  <c r="AA514" i="55"/>
  <c r="Z514" i="55"/>
  <c r="Y514" i="55"/>
  <c r="X514" i="55"/>
  <c r="W514" i="55"/>
  <c r="V514" i="55"/>
  <c r="U514" i="55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F514" i="55"/>
  <c r="E514" i="55"/>
  <c r="D514" i="55"/>
  <c r="AB513" i="55"/>
  <c r="AA513" i="55"/>
  <c r="Z513" i="55"/>
  <c r="Y513" i="55"/>
  <c r="X513" i="55"/>
  <c r="W513" i="55"/>
  <c r="V513" i="55"/>
  <c r="U513" i="55"/>
  <c r="T513" i="55"/>
  <c r="S513" i="55"/>
  <c r="R513" i="55"/>
  <c r="Q513" i="55"/>
  <c r="P513" i="55"/>
  <c r="O513" i="55"/>
  <c r="N513" i="55"/>
  <c r="M513" i="55"/>
  <c r="L513" i="55"/>
  <c r="K513" i="55"/>
  <c r="J513" i="55"/>
  <c r="I513" i="55"/>
  <c r="H513" i="55"/>
  <c r="G513" i="55"/>
  <c r="F513" i="55"/>
  <c r="E513" i="55"/>
  <c r="D513" i="55"/>
  <c r="AB512" i="55"/>
  <c r="AA512" i="55"/>
  <c r="Z512" i="55"/>
  <c r="Y512" i="55"/>
  <c r="X512" i="55"/>
  <c r="W512" i="55"/>
  <c r="V512" i="55"/>
  <c r="U512" i="55"/>
  <c r="T512" i="55"/>
  <c r="S512" i="55"/>
  <c r="R512" i="55"/>
  <c r="Q512" i="55"/>
  <c r="P512" i="55"/>
  <c r="O512" i="55"/>
  <c r="N512" i="55"/>
  <c r="M512" i="55"/>
  <c r="L512" i="55"/>
  <c r="K512" i="55"/>
  <c r="J512" i="55"/>
  <c r="I512" i="55"/>
  <c r="H512" i="55"/>
  <c r="G512" i="55"/>
  <c r="F512" i="55"/>
  <c r="E512" i="55"/>
  <c r="D512" i="55"/>
  <c r="AB511" i="55"/>
  <c r="AA511" i="55"/>
  <c r="Z511" i="55"/>
  <c r="Y511" i="55"/>
  <c r="X511" i="55"/>
  <c r="W511" i="55"/>
  <c r="V511" i="55"/>
  <c r="U511" i="55"/>
  <c r="T511" i="55"/>
  <c r="S511" i="55"/>
  <c r="R511" i="55"/>
  <c r="Q511" i="55"/>
  <c r="P511" i="55"/>
  <c r="O511" i="55"/>
  <c r="N511" i="55"/>
  <c r="M511" i="55"/>
  <c r="L511" i="55"/>
  <c r="K511" i="55"/>
  <c r="J511" i="55"/>
  <c r="I511" i="55"/>
  <c r="H511" i="55"/>
  <c r="G511" i="55"/>
  <c r="F511" i="55"/>
  <c r="E511" i="55"/>
  <c r="D511" i="55"/>
  <c r="AB510" i="55"/>
  <c r="AA510" i="55"/>
  <c r="Z510" i="55"/>
  <c r="Y510" i="55"/>
  <c r="X510" i="55"/>
  <c r="W510" i="55"/>
  <c r="V510" i="55"/>
  <c r="U510" i="55"/>
  <c r="T510" i="55"/>
  <c r="S510" i="55"/>
  <c r="R510" i="55"/>
  <c r="Q510" i="55"/>
  <c r="P510" i="55"/>
  <c r="O510" i="55"/>
  <c r="N510" i="55"/>
  <c r="M510" i="55"/>
  <c r="L510" i="55"/>
  <c r="K510" i="55"/>
  <c r="J510" i="55"/>
  <c r="I510" i="55"/>
  <c r="H510" i="55"/>
  <c r="G510" i="55"/>
  <c r="F510" i="55"/>
  <c r="E510" i="55"/>
  <c r="D510" i="55"/>
  <c r="AB509" i="55"/>
  <c r="AA509" i="55"/>
  <c r="Z509" i="55"/>
  <c r="Y509" i="55"/>
  <c r="X509" i="55"/>
  <c r="W509" i="55"/>
  <c r="V509" i="55"/>
  <c r="U509" i="55"/>
  <c r="T509" i="55"/>
  <c r="S509" i="55"/>
  <c r="R509" i="55"/>
  <c r="Q509" i="55"/>
  <c r="P509" i="55"/>
  <c r="O509" i="55"/>
  <c r="N509" i="55"/>
  <c r="M509" i="55"/>
  <c r="L509" i="55"/>
  <c r="K509" i="55"/>
  <c r="J509" i="55"/>
  <c r="I509" i="55"/>
  <c r="H509" i="55"/>
  <c r="G509" i="55"/>
  <c r="F509" i="55"/>
  <c r="E509" i="55"/>
  <c r="D509" i="55"/>
  <c r="AB508" i="55"/>
  <c r="AA508" i="55"/>
  <c r="Z508" i="55"/>
  <c r="Y508" i="55"/>
  <c r="X508" i="55"/>
  <c r="W508" i="55"/>
  <c r="V508" i="55"/>
  <c r="U508" i="55"/>
  <c r="T508" i="55"/>
  <c r="S508" i="55"/>
  <c r="R508" i="55"/>
  <c r="Q508" i="55"/>
  <c r="P508" i="55"/>
  <c r="O508" i="55"/>
  <c r="N508" i="55"/>
  <c r="M508" i="55"/>
  <c r="L508" i="55"/>
  <c r="K508" i="55"/>
  <c r="J508" i="55"/>
  <c r="I508" i="55"/>
  <c r="H508" i="55"/>
  <c r="G508" i="55"/>
  <c r="F508" i="55"/>
  <c r="E508" i="55"/>
  <c r="D508" i="55"/>
  <c r="AB507" i="55"/>
  <c r="AA507" i="55"/>
  <c r="Z507" i="55"/>
  <c r="Y507" i="55"/>
  <c r="X507" i="55"/>
  <c r="W507" i="55"/>
  <c r="V507" i="55"/>
  <c r="U507" i="55"/>
  <c r="T507" i="55"/>
  <c r="S507" i="55"/>
  <c r="R507" i="55"/>
  <c r="Q507" i="55"/>
  <c r="P507" i="55"/>
  <c r="O507" i="55"/>
  <c r="N507" i="55"/>
  <c r="M507" i="55"/>
  <c r="L507" i="55"/>
  <c r="K507" i="55"/>
  <c r="J507" i="55"/>
  <c r="I507" i="55"/>
  <c r="H507" i="55"/>
  <c r="G507" i="55"/>
  <c r="F507" i="55"/>
  <c r="E507" i="55"/>
  <c r="D507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6" i="55"/>
  <c r="E506" i="55"/>
  <c r="D506" i="55"/>
  <c r="AB505" i="55"/>
  <c r="AA505" i="55"/>
  <c r="Z505" i="55"/>
  <c r="Y505" i="55"/>
  <c r="X505" i="55"/>
  <c r="W505" i="55"/>
  <c r="V505" i="55"/>
  <c r="U505" i="55"/>
  <c r="T505" i="55"/>
  <c r="S505" i="55"/>
  <c r="R505" i="55"/>
  <c r="Q505" i="55"/>
  <c r="P505" i="55"/>
  <c r="O505" i="55"/>
  <c r="N505" i="55"/>
  <c r="M505" i="55"/>
  <c r="L505" i="55"/>
  <c r="K505" i="55"/>
  <c r="J505" i="55"/>
  <c r="I505" i="55"/>
  <c r="H505" i="55"/>
  <c r="G505" i="55"/>
  <c r="F505" i="55"/>
  <c r="E505" i="55"/>
  <c r="D505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G504" i="55"/>
  <c r="F504" i="55"/>
  <c r="E504" i="55"/>
  <c r="D504" i="55"/>
  <c r="AB503" i="55"/>
  <c r="AA503" i="55"/>
  <c r="Z503" i="55"/>
  <c r="Y503" i="55"/>
  <c r="X503" i="55"/>
  <c r="W503" i="55"/>
  <c r="V503" i="55"/>
  <c r="U503" i="55"/>
  <c r="T503" i="55"/>
  <c r="S503" i="55"/>
  <c r="R503" i="55"/>
  <c r="Q503" i="55"/>
  <c r="P503" i="55"/>
  <c r="O503" i="55"/>
  <c r="N503" i="55"/>
  <c r="M503" i="55"/>
  <c r="L503" i="55"/>
  <c r="K503" i="55"/>
  <c r="J503" i="55"/>
  <c r="I503" i="55"/>
  <c r="H503" i="55"/>
  <c r="G503" i="55"/>
  <c r="F503" i="55"/>
  <c r="E503" i="55"/>
  <c r="D503" i="55"/>
  <c r="AB502" i="55"/>
  <c r="AA502" i="55"/>
  <c r="Z502" i="55"/>
  <c r="Y502" i="55"/>
  <c r="X502" i="55"/>
  <c r="W502" i="55"/>
  <c r="V502" i="55"/>
  <c r="U502" i="55"/>
  <c r="T502" i="55"/>
  <c r="S502" i="55"/>
  <c r="R502" i="55"/>
  <c r="Q502" i="55"/>
  <c r="P502" i="55"/>
  <c r="O502" i="55"/>
  <c r="N502" i="55"/>
  <c r="M502" i="55"/>
  <c r="L502" i="55"/>
  <c r="K502" i="55"/>
  <c r="J502" i="55"/>
  <c r="I502" i="55"/>
  <c r="H502" i="55"/>
  <c r="G502" i="55"/>
  <c r="F502" i="55"/>
  <c r="E502" i="55"/>
  <c r="D502" i="55"/>
  <c r="AB501" i="55"/>
  <c r="AA501" i="55"/>
  <c r="Z501" i="55"/>
  <c r="Y501" i="55"/>
  <c r="X501" i="55"/>
  <c r="W501" i="55"/>
  <c r="V501" i="55"/>
  <c r="U501" i="55"/>
  <c r="T501" i="55"/>
  <c r="S501" i="55"/>
  <c r="R501" i="55"/>
  <c r="Q501" i="55"/>
  <c r="P501" i="55"/>
  <c r="O501" i="55"/>
  <c r="N501" i="55"/>
  <c r="M501" i="55"/>
  <c r="L501" i="55"/>
  <c r="K501" i="55"/>
  <c r="J501" i="55"/>
  <c r="I501" i="55"/>
  <c r="H501" i="55"/>
  <c r="G501" i="55"/>
  <c r="F501" i="55"/>
  <c r="E501" i="55"/>
  <c r="D501" i="55"/>
  <c r="AB499" i="55"/>
  <c r="AA499" i="55"/>
  <c r="Z499" i="55"/>
  <c r="Y499" i="55"/>
  <c r="X499" i="55"/>
  <c r="W499" i="55"/>
  <c r="V499" i="55"/>
  <c r="U499" i="55"/>
  <c r="T499" i="55"/>
  <c r="S499" i="55"/>
  <c r="R499" i="55"/>
  <c r="Q499" i="55"/>
  <c r="P499" i="55"/>
  <c r="O499" i="55"/>
  <c r="N499" i="55"/>
  <c r="M499" i="55"/>
  <c r="L499" i="55"/>
  <c r="K499" i="55"/>
  <c r="J499" i="55"/>
  <c r="I499" i="55"/>
  <c r="H499" i="55"/>
  <c r="G499" i="55"/>
  <c r="F499" i="55"/>
  <c r="E499" i="55"/>
  <c r="D499" i="55"/>
  <c r="AB498" i="55"/>
  <c r="AA498" i="55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F498" i="55"/>
  <c r="E498" i="55"/>
  <c r="D498" i="55"/>
  <c r="AB497" i="55"/>
  <c r="AA497" i="55"/>
  <c r="Z497" i="55"/>
  <c r="Y497" i="55"/>
  <c r="X497" i="55"/>
  <c r="W497" i="55"/>
  <c r="V497" i="55"/>
  <c r="U497" i="55"/>
  <c r="T497" i="55"/>
  <c r="S497" i="55"/>
  <c r="R497" i="55"/>
  <c r="Q497" i="55"/>
  <c r="P497" i="55"/>
  <c r="O497" i="55"/>
  <c r="N497" i="55"/>
  <c r="M497" i="55"/>
  <c r="L497" i="55"/>
  <c r="K497" i="55"/>
  <c r="J497" i="55"/>
  <c r="I497" i="55"/>
  <c r="H497" i="55"/>
  <c r="G497" i="55"/>
  <c r="F497" i="55"/>
  <c r="E497" i="55"/>
  <c r="D497" i="55"/>
  <c r="AB496" i="55"/>
  <c r="AA496" i="55"/>
  <c r="Z496" i="55"/>
  <c r="Y496" i="55"/>
  <c r="X496" i="55"/>
  <c r="W496" i="55"/>
  <c r="V496" i="55"/>
  <c r="U496" i="55"/>
  <c r="T496" i="55"/>
  <c r="S496" i="55"/>
  <c r="R496" i="55"/>
  <c r="Q496" i="55"/>
  <c r="P496" i="55"/>
  <c r="O496" i="55"/>
  <c r="N496" i="55"/>
  <c r="M496" i="55"/>
  <c r="L496" i="55"/>
  <c r="K496" i="55"/>
  <c r="J496" i="55"/>
  <c r="I496" i="55"/>
  <c r="H496" i="55"/>
  <c r="G496" i="55"/>
  <c r="F496" i="55"/>
  <c r="E496" i="55"/>
  <c r="D496" i="55"/>
  <c r="AB495" i="55"/>
  <c r="AA495" i="55"/>
  <c r="Z495" i="55"/>
  <c r="Y495" i="55"/>
  <c r="X495" i="55"/>
  <c r="W495" i="55"/>
  <c r="V495" i="55"/>
  <c r="U495" i="55"/>
  <c r="T495" i="55"/>
  <c r="S495" i="55"/>
  <c r="R495" i="55"/>
  <c r="Q495" i="55"/>
  <c r="P495" i="55"/>
  <c r="O495" i="55"/>
  <c r="N495" i="55"/>
  <c r="M495" i="55"/>
  <c r="L495" i="55"/>
  <c r="K495" i="55"/>
  <c r="J495" i="55"/>
  <c r="I495" i="55"/>
  <c r="H495" i="55"/>
  <c r="G495" i="55"/>
  <c r="F495" i="55"/>
  <c r="E495" i="55"/>
  <c r="D495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G494" i="55"/>
  <c r="F494" i="55"/>
  <c r="E494" i="55"/>
  <c r="D494" i="55"/>
  <c r="AB493" i="55"/>
  <c r="AA493" i="55"/>
  <c r="Z493" i="55"/>
  <c r="Y493" i="55"/>
  <c r="X493" i="55"/>
  <c r="W493" i="55"/>
  <c r="V493" i="55"/>
  <c r="U493" i="55"/>
  <c r="T493" i="55"/>
  <c r="S493" i="55"/>
  <c r="R493" i="55"/>
  <c r="Q493" i="55"/>
  <c r="P493" i="55"/>
  <c r="O493" i="55"/>
  <c r="N493" i="55"/>
  <c r="M493" i="55"/>
  <c r="L493" i="55"/>
  <c r="K493" i="55"/>
  <c r="J493" i="55"/>
  <c r="I493" i="55"/>
  <c r="H493" i="55"/>
  <c r="G493" i="55"/>
  <c r="F493" i="55"/>
  <c r="E493" i="55"/>
  <c r="D493" i="55"/>
  <c r="AB492" i="55"/>
  <c r="AA492" i="55"/>
  <c r="Z492" i="55"/>
  <c r="Y492" i="55"/>
  <c r="X492" i="55"/>
  <c r="W492" i="55"/>
  <c r="V492" i="55"/>
  <c r="U492" i="55"/>
  <c r="T492" i="55"/>
  <c r="S492" i="55"/>
  <c r="R492" i="55"/>
  <c r="Q492" i="55"/>
  <c r="P492" i="55"/>
  <c r="O492" i="55"/>
  <c r="N492" i="55"/>
  <c r="M492" i="55"/>
  <c r="L492" i="55"/>
  <c r="K492" i="55"/>
  <c r="J492" i="55"/>
  <c r="I492" i="55"/>
  <c r="H492" i="55"/>
  <c r="G492" i="55"/>
  <c r="F492" i="55"/>
  <c r="E492" i="55"/>
  <c r="D492" i="55"/>
  <c r="AB491" i="55"/>
  <c r="AA491" i="55"/>
  <c r="Z491" i="55"/>
  <c r="Y491" i="55"/>
  <c r="X491" i="55"/>
  <c r="W491" i="55"/>
  <c r="V491" i="55"/>
  <c r="U491" i="55"/>
  <c r="T491" i="55"/>
  <c r="S491" i="55"/>
  <c r="R491" i="55"/>
  <c r="Q491" i="55"/>
  <c r="P491" i="55"/>
  <c r="O491" i="55"/>
  <c r="N491" i="55"/>
  <c r="M491" i="55"/>
  <c r="L491" i="55"/>
  <c r="K491" i="55"/>
  <c r="J491" i="55"/>
  <c r="I491" i="55"/>
  <c r="H491" i="55"/>
  <c r="G491" i="55"/>
  <c r="F491" i="55"/>
  <c r="E491" i="55"/>
  <c r="D491" i="55"/>
  <c r="AB490" i="55"/>
  <c r="AA49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G490" i="55"/>
  <c r="F490" i="55"/>
  <c r="E490" i="55"/>
  <c r="D490" i="55"/>
  <c r="AB489" i="55"/>
  <c r="AA489" i="55"/>
  <c r="Z489" i="55"/>
  <c r="Y489" i="55"/>
  <c r="X489" i="55"/>
  <c r="W489" i="55"/>
  <c r="V489" i="55"/>
  <c r="U489" i="55"/>
  <c r="T489" i="55"/>
  <c r="S489" i="55"/>
  <c r="R489" i="55"/>
  <c r="Q489" i="55"/>
  <c r="P489" i="55"/>
  <c r="O489" i="55"/>
  <c r="N489" i="55"/>
  <c r="M489" i="55"/>
  <c r="L489" i="55"/>
  <c r="K489" i="55"/>
  <c r="J489" i="55"/>
  <c r="I489" i="55"/>
  <c r="H489" i="55"/>
  <c r="G489" i="55"/>
  <c r="F489" i="55"/>
  <c r="E489" i="55"/>
  <c r="D489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8" i="55"/>
  <c r="E488" i="55"/>
  <c r="D488" i="55"/>
  <c r="AB487" i="55"/>
  <c r="AA487" i="55"/>
  <c r="Z487" i="55"/>
  <c r="Y487" i="55"/>
  <c r="X487" i="55"/>
  <c r="W487" i="55"/>
  <c r="V487" i="55"/>
  <c r="U487" i="55"/>
  <c r="T487" i="55"/>
  <c r="S487" i="55"/>
  <c r="R487" i="55"/>
  <c r="Q487" i="55"/>
  <c r="P487" i="55"/>
  <c r="O487" i="55"/>
  <c r="N487" i="55"/>
  <c r="M487" i="55"/>
  <c r="L487" i="55"/>
  <c r="K487" i="55"/>
  <c r="J487" i="55"/>
  <c r="I487" i="55"/>
  <c r="H487" i="55"/>
  <c r="G487" i="55"/>
  <c r="F487" i="55"/>
  <c r="E487" i="55"/>
  <c r="D487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E486" i="55"/>
  <c r="D486" i="55"/>
  <c r="AB485" i="55"/>
  <c r="AA485" i="55"/>
  <c r="Z485" i="55"/>
  <c r="Y485" i="55"/>
  <c r="X485" i="55"/>
  <c r="W485" i="55"/>
  <c r="V485" i="55"/>
  <c r="U485" i="55"/>
  <c r="T485" i="55"/>
  <c r="S485" i="55"/>
  <c r="R485" i="55"/>
  <c r="Q485" i="55"/>
  <c r="P485" i="55"/>
  <c r="O485" i="55"/>
  <c r="N485" i="55"/>
  <c r="M485" i="55"/>
  <c r="L485" i="55"/>
  <c r="K485" i="55"/>
  <c r="J485" i="55"/>
  <c r="I485" i="55"/>
  <c r="H485" i="55"/>
  <c r="G485" i="55"/>
  <c r="F485" i="55"/>
  <c r="E485" i="55"/>
  <c r="D485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E484" i="55"/>
  <c r="D484" i="55"/>
  <c r="AB483" i="55"/>
  <c r="AA483" i="55"/>
  <c r="Z483" i="55"/>
  <c r="Y483" i="55"/>
  <c r="X483" i="55"/>
  <c r="W483" i="55"/>
  <c r="V483" i="55"/>
  <c r="U483" i="55"/>
  <c r="T483" i="55"/>
  <c r="S483" i="55"/>
  <c r="R483" i="55"/>
  <c r="Q483" i="55"/>
  <c r="P483" i="55"/>
  <c r="O483" i="55"/>
  <c r="N483" i="55"/>
  <c r="M483" i="55"/>
  <c r="L483" i="55"/>
  <c r="K483" i="55"/>
  <c r="J483" i="55"/>
  <c r="I483" i="55"/>
  <c r="H483" i="55"/>
  <c r="G483" i="55"/>
  <c r="F483" i="55"/>
  <c r="E483" i="55"/>
  <c r="D483" i="55"/>
  <c r="AB482" i="55"/>
  <c r="AA482" i="55"/>
  <c r="Z482" i="55"/>
  <c r="Y482" i="55"/>
  <c r="X482" i="55"/>
  <c r="W482" i="55"/>
  <c r="V482" i="55"/>
  <c r="U482" i="55"/>
  <c r="T482" i="55"/>
  <c r="S482" i="55"/>
  <c r="R482" i="55"/>
  <c r="Q482" i="55"/>
  <c r="P482" i="55"/>
  <c r="O482" i="55"/>
  <c r="N482" i="55"/>
  <c r="M482" i="55"/>
  <c r="L482" i="55"/>
  <c r="K482" i="55"/>
  <c r="J482" i="55"/>
  <c r="I482" i="55"/>
  <c r="H482" i="55"/>
  <c r="G482" i="55"/>
  <c r="F482" i="55"/>
  <c r="E482" i="55"/>
  <c r="D482" i="55"/>
  <c r="AB481" i="55"/>
  <c r="AA481" i="55"/>
  <c r="Z481" i="55"/>
  <c r="Y481" i="55"/>
  <c r="X481" i="55"/>
  <c r="W481" i="55"/>
  <c r="V481" i="55"/>
  <c r="U481" i="55"/>
  <c r="T481" i="55"/>
  <c r="S481" i="55"/>
  <c r="R481" i="55"/>
  <c r="Q481" i="55"/>
  <c r="P481" i="55"/>
  <c r="O481" i="55"/>
  <c r="N481" i="55"/>
  <c r="M481" i="55"/>
  <c r="L481" i="55"/>
  <c r="K481" i="55"/>
  <c r="J481" i="55"/>
  <c r="I481" i="55"/>
  <c r="H481" i="55"/>
  <c r="G481" i="55"/>
  <c r="F481" i="55"/>
  <c r="E481" i="55"/>
  <c r="D481" i="55"/>
  <c r="AB480" i="55"/>
  <c r="AA480" i="55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F480" i="55"/>
  <c r="E480" i="55"/>
  <c r="D480" i="55"/>
  <c r="AB479" i="55"/>
  <c r="AA479" i="55"/>
  <c r="Z479" i="55"/>
  <c r="Y479" i="55"/>
  <c r="X479" i="55"/>
  <c r="W479" i="55"/>
  <c r="V479" i="55"/>
  <c r="U479" i="55"/>
  <c r="T479" i="55"/>
  <c r="S479" i="55"/>
  <c r="R479" i="55"/>
  <c r="Q479" i="55"/>
  <c r="P479" i="55"/>
  <c r="O479" i="55"/>
  <c r="N479" i="55"/>
  <c r="M479" i="55"/>
  <c r="L479" i="55"/>
  <c r="K479" i="55"/>
  <c r="J479" i="55"/>
  <c r="I479" i="55"/>
  <c r="H479" i="55"/>
  <c r="G479" i="55"/>
  <c r="F479" i="55"/>
  <c r="E479" i="55"/>
  <c r="D479" i="55"/>
  <c r="AB478" i="55"/>
  <c r="AA478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G478" i="55"/>
  <c r="F478" i="55"/>
  <c r="E478" i="55"/>
  <c r="D478" i="55"/>
  <c r="AB477" i="55"/>
  <c r="AA477" i="55"/>
  <c r="Z477" i="55"/>
  <c r="Y477" i="55"/>
  <c r="X477" i="55"/>
  <c r="W477" i="55"/>
  <c r="V477" i="55"/>
  <c r="U477" i="55"/>
  <c r="T477" i="55"/>
  <c r="S477" i="55"/>
  <c r="R477" i="55"/>
  <c r="Q477" i="55"/>
  <c r="P477" i="55"/>
  <c r="O477" i="55"/>
  <c r="N477" i="55"/>
  <c r="M477" i="55"/>
  <c r="L477" i="55"/>
  <c r="K477" i="55"/>
  <c r="J477" i="55"/>
  <c r="I477" i="55"/>
  <c r="H477" i="55"/>
  <c r="G477" i="55"/>
  <c r="F477" i="55"/>
  <c r="E477" i="55"/>
  <c r="D477" i="55"/>
  <c r="AB476" i="55"/>
  <c r="AA476" i="55"/>
  <c r="Z476" i="55"/>
  <c r="Y476" i="55"/>
  <c r="X476" i="55"/>
  <c r="W476" i="55"/>
  <c r="V476" i="55"/>
  <c r="U476" i="55"/>
  <c r="T476" i="55"/>
  <c r="S476" i="55"/>
  <c r="R476" i="55"/>
  <c r="Q476" i="55"/>
  <c r="P476" i="55"/>
  <c r="O476" i="55"/>
  <c r="N476" i="55"/>
  <c r="M476" i="55"/>
  <c r="L476" i="55"/>
  <c r="K476" i="55"/>
  <c r="J476" i="55"/>
  <c r="I476" i="55"/>
  <c r="H476" i="55"/>
  <c r="G476" i="55"/>
  <c r="F476" i="55"/>
  <c r="E476" i="55"/>
  <c r="D476" i="55"/>
  <c r="AB475" i="55"/>
  <c r="AA475" i="55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E475" i="55"/>
  <c r="D475" i="55"/>
  <c r="AB474" i="55"/>
  <c r="AA474" i="55"/>
  <c r="Z474" i="55"/>
  <c r="Y474" i="55"/>
  <c r="X474" i="55"/>
  <c r="W474" i="55"/>
  <c r="V474" i="55"/>
  <c r="U474" i="55"/>
  <c r="T474" i="55"/>
  <c r="S474" i="55"/>
  <c r="R474" i="55"/>
  <c r="Q474" i="55"/>
  <c r="P474" i="55"/>
  <c r="O474" i="55"/>
  <c r="N474" i="55"/>
  <c r="M474" i="55"/>
  <c r="L474" i="55"/>
  <c r="K474" i="55"/>
  <c r="J474" i="55"/>
  <c r="I474" i="55"/>
  <c r="H474" i="55"/>
  <c r="G474" i="55"/>
  <c r="F474" i="55"/>
  <c r="E474" i="55"/>
  <c r="D474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3" i="55"/>
  <c r="E473" i="55"/>
  <c r="D473" i="55"/>
  <c r="AB472" i="55"/>
  <c r="AA472" i="55"/>
  <c r="Z472" i="55"/>
  <c r="Y472" i="55"/>
  <c r="X472" i="55"/>
  <c r="W472" i="55"/>
  <c r="V472" i="55"/>
  <c r="U472" i="55"/>
  <c r="T472" i="55"/>
  <c r="S472" i="55"/>
  <c r="R472" i="55"/>
  <c r="Q472" i="55"/>
  <c r="P472" i="55"/>
  <c r="O472" i="55"/>
  <c r="N472" i="55"/>
  <c r="M472" i="55"/>
  <c r="L472" i="55"/>
  <c r="K472" i="55"/>
  <c r="J472" i="55"/>
  <c r="I472" i="55"/>
  <c r="H472" i="55"/>
  <c r="G472" i="55"/>
  <c r="F472" i="55"/>
  <c r="E472" i="55"/>
  <c r="D472" i="55"/>
  <c r="AB471" i="55"/>
  <c r="AA471" i="55"/>
  <c r="Z471" i="55"/>
  <c r="Y471" i="55"/>
  <c r="X471" i="55"/>
  <c r="W471" i="55"/>
  <c r="V471" i="55"/>
  <c r="U471" i="55"/>
  <c r="T471" i="55"/>
  <c r="S471" i="55"/>
  <c r="R471" i="55"/>
  <c r="Q471" i="55"/>
  <c r="P471" i="55"/>
  <c r="O471" i="55"/>
  <c r="N471" i="55"/>
  <c r="M471" i="55"/>
  <c r="L471" i="55"/>
  <c r="K471" i="55"/>
  <c r="J471" i="55"/>
  <c r="I471" i="55"/>
  <c r="H471" i="55"/>
  <c r="G471" i="55"/>
  <c r="F471" i="55"/>
  <c r="E471" i="55"/>
  <c r="D471" i="55"/>
  <c r="AB470" i="55"/>
  <c r="AA470" i="55"/>
  <c r="Z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G470" i="55"/>
  <c r="F470" i="55"/>
  <c r="E470" i="55"/>
  <c r="D470" i="55"/>
  <c r="AB469" i="55"/>
  <c r="AA469" i="55"/>
  <c r="Z469" i="55"/>
  <c r="Y469" i="55"/>
  <c r="X469" i="55"/>
  <c r="W469" i="55"/>
  <c r="V469" i="55"/>
  <c r="U469" i="55"/>
  <c r="T469" i="55"/>
  <c r="S469" i="55"/>
  <c r="R469" i="55"/>
  <c r="Q469" i="55"/>
  <c r="P469" i="55"/>
  <c r="O469" i="55"/>
  <c r="N469" i="55"/>
  <c r="M469" i="55"/>
  <c r="L469" i="55"/>
  <c r="K469" i="55"/>
  <c r="J469" i="55"/>
  <c r="I469" i="55"/>
  <c r="H469" i="55"/>
  <c r="G469" i="55"/>
  <c r="F469" i="55"/>
  <c r="E469" i="55"/>
  <c r="D469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G468" i="55"/>
  <c r="F468" i="55"/>
  <c r="E468" i="55"/>
  <c r="D468" i="55"/>
  <c r="AB467" i="55"/>
  <c r="AA467" i="55"/>
  <c r="Z467" i="55"/>
  <c r="Y467" i="55"/>
  <c r="X467" i="55"/>
  <c r="W467" i="55"/>
  <c r="V467" i="55"/>
  <c r="U467" i="55"/>
  <c r="T467" i="55"/>
  <c r="S467" i="55"/>
  <c r="R467" i="55"/>
  <c r="Q467" i="55"/>
  <c r="P467" i="55"/>
  <c r="O467" i="55"/>
  <c r="N467" i="55"/>
  <c r="M467" i="55"/>
  <c r="L467" i="55"/>
  <c r="K467" i="55"/>
  <c r="J467" i="55"/>
  <c r="I467" i="55"/>
  <c r="H467" i="55"/>
  <c r="G467" i="55"/>
  <c r="F467" i="55"/>
  <c r="E467" i="55"/>
  <c r="D467" i="55"/>
  <c r="AB466" i="55"/>
  <c r="AA466" i="55"/>
  <c r="Z466" i="55"/>
  <c r="Y466" i="55"/>
  <c r="X466" i="55"/>
  <c r="W466" i="55"/>
  <c r="V466" i="55"/>
  <c r="U466" i="55"/>
  <c r="T466" i="55"/>
  <c r="S466" i="55"/>
  <c r="R466" i="55"/>
  <c r="Q466" i="55"/>
  <c r="P466" i="55"/>
  <c r="O466" i="55"/>
  <c r="N466" i="55"/>
  <c r="M466" i="55"/>
  <c r="L466" i="55"/>
  <c r="K466" i="55"/>
  <c r="J466" i="55"/>
  <c r="I466" i="55"/>
  <c r="H466" i="55"/>
  <c r="G466" i="55"/>
  <c r="F466" i="55"/>
  <c r="E466" i="55"/>
  <c r="D466" i="55"/>
  <c r="AB465" i="55"/>
  <c r="AA465" i="55"/>
  <c r="Z465" i="55"/>
  <c r="Y465" i="55"/>
  <c r="X465" i="55"/>
  <c r="W465" i="55"/>
  <c r="V465" i="55"/>
  <c r="U465" i="55"/>
  <c r="T465" i="55"/>
  <c r="S465" i="55"/>
  <c r="R465" i="55"/>
  <c r="Q465" i="55"/>
  <c r="P465" i="55"/>
  <c r="O465" i="55"/>
  <c r="N465" i="55"/>
  <c r="M465" i="55"/>
  <c r="L465" i="55"/>
  <c r="K465" i="55"/>
  <c r="J465" i="55"/>
  <c r="I465" i="55"/>
  <c r="H465" i="55"/>
  <c r="G465" i="55"/>
  <c r="F465" i="55"/>
  <c r="E465" i="55"/>
  <c r="D465" i="55"/>
  <c r="AB464" i="55"/>
  <c r="AA464" i="55"/>
  <c r="Z464" i="55"/>
  <c r="Y464" i="55"/>
  <c r="X464" i="55"/>
  <c r="W464" i="55"/>
  <c r="V464" i="55"/>
  <c r="U464" i="55"/>
  <c r="T464" i="55"/>
  <c r="S464" i="55"/>
  <c r="R464" i="55"/>
  <c r="Q464" i="55"/>
  <c r="P464" i="55"/>
  <c r="O464" i="55"/>
  <c r="N464" i="55"/>
  <c r="M464" i="55"/>
  <c r="L464" i="55"/>
  <c r="K464" i="55"/>
  <c r="J464" i="55"/>
  <c r="I464" i="55"/>
  <c r="H464" i="55"/>
  <c r="G464" i="55"/>
  <c r="F464" i="55"/>
  <c r="E464" i="55"/>
  <c r="D464" i="55"/>
  <c r="AB463" i="55"/>
  <c r="AA463" i="55"/>
  <c r="Z463" i="55"/>
  <c r="Y463" i="55"/>
  <c r="X463" i="55"/>
  <c r="W463" i="55"/>
  <c r="V463" i="55"/>
  <c r="U463" i="55"/>
  <c r="T463" i="55"/>
  <c r="S463" i="55"/>
  <c r="R463" i="55"/>
  <c r="Q463" i="55"/>
  <c r="P463" i="55"/>
  <c r="O463" i="55"/>
  <c r="N463" i="55"/>
  <c r="M463" i="55"/>
  <c r="L463" i="55"/>
  <c r="K463" i="55"/>
  <c r="J463" i="55"/>
  <c r="I463" i="55"/>
  <c r="H463" i="55"/>
  <c r="G463" i="55"/>
  <c r="F463" i="55"/>
  <c r="E463" i="55"/>
  <c r="D463" i="55"/>
  <c r="AB462" i="55"/>
  <c r="AA462" i="55"/>
  <c r="Z462" i="55"/>
  <c r="Y462" i="55"/>
  <c r="X462" i="55"/>
  <c r="W462" i="55"/>
  <c r="V462" i="55"/>
  <c r="U462" i="55"/>
  <c r="T462" i="55"/>
  <c r="S462" i="55"/>
  <c r="R462" i="55"/>
  <c r="Q462" i="55"/>
  <c r="P462" i="55"/>
  <c r="O462" i="55"/>
  <c r="N462" i="55"/>
  <c r="M462" i="55"/>
  <c r="L462" i="55"/>
  <c r="K462" i="55"/>
  <c r="J462" i="55"/>
  <c r="I462" i="55"/>
  <c r="H462" i="55"/>
  <c r="G462" i="55"/>
  <c r="F462" i="55"/>
  <c r="E462" i="55"/>
  <c r="D462" i="55"/>
  <c r="AB461" i="55"/>
  <c r="AA461" i="55"/>
  <c r="Z461" i="55"/>
  <c r="Y461" i="55"/>
  <c r="X461" i="55"/>
  <c r="W461" i="55"/>
  <c r="V461" i="55"/>
  <c r="U461" i="55"/>
  <c r="T461" i="55"/>
  <c r="S461" i="55"/>
  <c r="R461" i="55"/>
  <c r="Q461" i="55"/>
  <c r="P461" i="55"/>
  <c r="O461" i="55"/>
  <c r="N461" i="55"/>
  <c r="M461" i="55"/>
  <c r="L461" i="55"/>
  <c r="K461" i="55"/>
  <c r="J461" i="55"/>
  <c r="I461" i="55"/>
  <c r="H461" i="55"/>
  <c r="G461" i="55"/>
  <c r="F461" i="55"/>
  <c r="E461" i="55"/>
  <c r="D461" i="55"/>
  <c r="AB460" i="55"/>
  <c r="AA460" i="55"/>
  <c r="Z460" i="55"/>
  <c r="Y460" i="55"/>
  <c r="X460" i="55"/>
  <c r="W460" i="55"/>
  <c r="V460" i="55"/>
  <c r="U460" i="55"/>
  <c r="T460" i="55"/>
  <c r="S460" i="55"/>
  <c r="R460" i="55"/>
  <c r="Q460" i="55"/>
  <c r="P460" i="55"/>
  <c r="O460" i="55"/>
  <c r="N460" i="55"/>
  <c r="M460" i="55"/>
  <c r="L460" i="55"/>
  <c r="K460" i="55"/>
  <c r="J460" i="55"/>
  <c r="I460" i="55"/>
  <c r="H460" i="55"/>
  <c r="G460" i="55"/>
  <c r="F460" i="55"/>
  <c r="E460" i="55"/>
  <c r="D460" i="55"/>
  <c r="AB459" i="55"/>
  <c r="AA459" i="55"/>
  <c r="Z459" i="55"/>
  <c r="Y459" i="55"/>
  <c r="X459" i="55"/>
  <c r="W459" i="55"/>
  <c r="V459" i="55"/>
  <c r="U459" i="55"/>
  <c r="T459" i="55"/>
  <c r="S459" i="55"/>
  <c r="R459" i="55"/>
  <c r="Q459" i="55"/>
  <c r="P459" i="55"/>
  <c r="O459" i="55"/>
  <c r="N459" i="55"/>
  <c r="M459" i="55"/>
  <c r="L459" i="55"/>
  <c r="K459" i="55"/>
  <c r="J459" i="55"/>
  <c r="I459" i="55"/>
  <c r="H459" i="55"/>
  <c r="G459" i="55"/>
  <c r="F459" i="55"/>
  <c r="E459" i="55"/>
  <c r="D459" i="55"/>
  <c r="AB458" i="55"/>
  <c r="AA458" i="55"/>
  <c r="Z458" i="55"/>
  <c r="Y458" i="55"/>
  <c r="X458" i="55"/>
  <c r="W458" i="55"/>
  <c r="V458" i="55"/>
  <c r="U458" i="55"/>
  <c r="T458" i="55"/>
  <c r="S458" i="55"/>
  <c r="R458" i="55"/>
  <c r="Q458" i="55"/>
  <c r="P458" i="55"/>
  <c r="O458" i="55"/>
  <c r="N458" i="55"/>
  <c r="M458" i="55"/>
  <c r="L458" i="55"/>
  <c r="K458" i="55"/>
  <c r="J458" i="55"/>
  <c r="I458" i="55"/>
  <c r="H458" i="55"/>
  <c r="G458" i="55"/>
  <c r="F458" i="55"/>
  <c r="E458" i="55"/>
  <c r="D458" i="55"/>
  <c r="AB457" i="55"/>
  <c r="AA457" i="55"/>
  <c r="Z457" i="55"/>
  <c r="Y457" i="55"/>
  <c r="X457" i="55"/>
  <c r="W457" i="55"/>
  <c r="V457" i="55"/>
  <c r="U457" i="55"/>
  <c r="T457" i="55"/>
  <c r="S457" i="55"/>
  <c r="R457" i="55"/>
  <c r="Q457" i="55"/>
  <c r="P457" i="55"/>
  <c r="O457" i="55"/>
  <c r="N457" i="55"/>
  <c r="M457" i="55"/>
  <c r="L457" i="55"/>
  <c r="K457" i="55"/>
  <c r="J457" i="55"/>
  <c r="I457" i="55"/>
  <c r="H457" i="55"/>
  <c r="G457" i="55"/>
  <c r="F457" i="55"/>
  <c r="E457" i="55"/>
  <c r="D457" i="55"/>
  <c r="AB456" i="55"/>
  <c r="AA456" i="55"/>
  <c r="Z456" i="55"/>
  <c r="Y456" i="55"/>
  <c r="X456" i="55"/>
  <c r="W456" i="55"/>
  <c r="V456" i="55"/>
  <c r="U456" i="55"/>
  <c r="T456" i="55"/>
  <c r="S456" i="55"/>
  <c r="R456" i="55"/>
  <c r="Q456" i="55"/>
  <c r="P456" i="55"/>
  <c r="O456" i="55"/>
  <c r="N456" i="55"/>
  <c r="M456" i="55"/>
  <c r="L456" i="55"/>
  <c r="K456" i="55"/>
  <c r="J456" i="55"/>
  <c r="I456" i="55"/>
  <c r="H456" i="55"/>
  <c r="G456" i="55"/>
  <c r="F456" i="55"/>
  <c r="E456" i="55"/>
  <c r="D456" i="55"/>
  <c r="AB455" i="55"/>
  <c r="AA455" i="55"/>
  <c r="Z455" i="55"/>
  <c r="Y455" i="55"/>
  <c r="X455" i="55"/>
  <c r="W455" i="55"/>
  <c r="V455" i="55"/>
  <c r="U455" i="55"/>
  <c r="T455" i="55"/>
  <c r="S455" i="55"/>
  <c r="R455" i="55"/>
  <c r="Q455" i="55"/>
  <c r="P455" i="55"/>
  <c r="O455" i="55"/>
  <c r="N455" i="55"/>
  <c r="M455" i="55"/>
  <c r="L455" i="55"/>
  <c r="K455" i="55"/>
  <c r="J455" i="55"/>
  <c r="I455" i="55"/>
  <c r="H455" i="55"/>
  <c r="G455" i="55"/>
  <c r="F455" i="55"/>
  <c r="E455" i="55"/>
  <c r="D455" i="55"/>
  <c r="AB454" i="55"/>
  <c r="AA454" i="55"/>
  <c r="Z454" i="55"/>
  <c r="Y454" i="55"/>
  <c r="X454" i="55"/>
  <c r="W454" i="55"/>
  <c r="V454" i="55"/>
  <c r="U454" i="55"/>
  <c r="T454" i="55"/>
  <c r="S454" i="55"/>
  <c r="R454" i="55"/>
  <c r="Q454" i="55"/>
  <c r="P454" i="55"/>
  <c r="O454" i="55"/>
  <c r="N454" i="55"/>
  <c r="M454" i="55"/>
  <c r="L454" i="55"/>
  <c r="K454" i="55"/>
  <c r="J454" i="55"/>
  <c r="I454" i="55"/>
  <c r="H454" i="55"/>
  <c r="G454" i="55"/>
  <c r="F454" i="55"/>
  <c r="E454" i="55"/>
  <c r="D454" i="55"/>
  <c r="AB453" i="55"/>
  <c r="AA453" i="55"/>
  <c r="Z453" i="55"/>
  <c r="Y453" i="55"/>
  <c r="X453" i="55"/>
  <c r="W453" i="55"/>
  <c r="V453" i="55"/>
  <c r="U453" i="55"/>
  <c r="T453" i="55"/>
  <c r="S453" i="55"/>
  <c r="R453" i="55"/>
  <c r="Q453" i="55"/>
  <c r="P453" i="55"/>
  <c r="O453" i="55"/>
  <c r="N453" i="55"/>
  <c r="M453" i="55"/>
  <c r="L453" i="55"/>
  <c r="K453" i="55"/>
  <c r="J453" i="55"/>
  <c r="I453" i="55"/>
  <c r="H453" i="55"/>
  <c r="G453" i="55"/>
  <c r="F453" i="55"/>
  <c r="E453" i="55"/>
  <c r="D453" i="55"/>
  <c r="AB452" i="55"/>
  <c r="AA452" i="55"/>
  <c r="Z452" i="55"/>
  <c r="Y452" i="55"/>
  <c r="X452" i="55"/>
  <c r="W452" i="55"/>
  <c r="V452" i="55"/>
  <c r="U452" i="55"/>
  <c r="T452" i="55"/>
  <c r="S452" i="55"/>
  <c r="R452" i="55"/>
  <c r="Q452" i="55"/>
  <c r="P452" i="55"/>
  <c r="O452" i="55"/>
  <c r="N452" i="55"/>
  <c r="M452" i="55"/>
  <c r="L452" i="55"/>
  <c r="K452" i="55"/>
  <c r="J452" i="55"/>
  <c r="I452" i="55"/>
  <c r="H452" i="55"/>
  <c r="G452" i="55"/>
  <c r="F452" i="55"/>
  <c r="E452" i="55"/>
  <c r="D452" i="55"/>
  <c r="AB450" i="55"/>
  <c r="AA450" i="55"/>
  <c r="Z450" i="55"/>
  <c r="Y450" i="55"/>
  <c r="X450" i="55"/>
  <c r="W450" i="55"/>
  <c r="V450" i="55"/>
  <c r="U450" i="55"/>
  <c r="T450" i="55"/>
  <c r="S450" i="55"/>
  <c r="R450" i="55"/>
  <c r="Q450" i="55"/>
  <c r="P450" i="55"/>
  <c r="O450" i="55"/>
  <c r="N450" i="55"/>
  <c r="M450" i="55"/>
  <c r="L450" i="55"/>
  <c r="K450" i="55"/>
  <c r="J450" i="55"/>
  <c r="I450" i="55"/>
  <c r="H450" i="55"/>
  <c r="G450" i="55"/>
  <c r="F450" i="55"/>
  <c r="E450" i="55"/>
  <c r="D450" i="55"/>
  <c r="AB449" i="55"/>
  <c r="AA449" i="55"/>
  <c r="Z449" i="55"/>
  <c r="Y449" i="55"/>
  <c r="X449" i="55"/>
  <c r="W449" i="55"/>
  <c r="V449" i="55"/>
  <c r="U449" i="55"/>
  <c r="T449" i="55"/>
  <c r="S449" i="55"/>
  <c r="R449" i="55"/>
  <c r="Q449" i="55"/>
  <c r="P449" i="55"/>
  <c r="O449" i="55"/>
  <c r="N449" i="55"/>
  <c r="M449" i="55"/>
  <c r="L449" i="55"/>
  <c r="K449" i="55"/>
  <c r="J449" i="55"/>
  <c r="I449" i="55"/>
  <c r="H449" i="55"/>
  <c r="G449" i="55"/>
  <c r="F449" i="55"/>
  <c r="E449" i="55"/>
  <c r="D449" i="55"/>
  <c r="AB448" i="55"/>
  <c r="AA448" i="55"/>
  <c r="Z448" i="55"/>
  <c r="Y448" i="55"/>
  <c r="X448" i="55"/>
  <c r="W448" i="55"/>
  <c r="V448" i="55"/>
  <c r="U448" i="55"/>
  <c r="T448" i="55"/>
  <c r="S448" i="55"/>
  <c r="R448" i="55"/>
  <c r="Q448" i="55"/>
  <c r="P448" i="55"/>
  <c r="O448" i="55"/>
  <c r="N448" i="55"/>
  <c r="M448" i="55"/>
  <c r="L448" i="55"/>
  <c r="K448" i="55"/>
  <c r="J448" i="55"/>
  <c r="I448" i="55"/>
  <c r="H448" i="55"/>
  <c r="G448" i="55"/>
  <c r="F448" i="55"/>
  <c r="E448" i="55"/>
  <c r="D448" i="55"/>
  <c r="AB447" i="55"/>
  <c r="AA447" i="55"/>
  <c r="Z447" i="55"/>
  <c r="Y447" i="55"/>
  <c r="X447" i="55"/>
  <c r="W447" i="55"/>
  <c r="V447" i="55"/>
  <c r="U447" i="55"/>
  <c r="T447" i="55"/>
  <c r="S447" i="55"/>
  <c r="R447" i="55"/>
  <c r="Q447" i="55"/>
  <c r="P447" i="55"/>
  <c r="O447" i="55"/>
  <c r="N447" i="55"/>
  <c r="M447" i="55"/>
  <c r="L447" i="55"/>
  <c r="K447" i="55"/>
  <c r="J447" i="55"/>
  <c r="I447" i="55"/>
  <c r="H447" i="55"/>
  <c r="G447" i="55"/>
  <c r="F447" i="55"/>
  <c r="E447" i="55"/>
  <c r="D447" i="55"/>
  <c r="AB446" i="55"/>
  <c r="AA446" i="55"/>
  <c r="Z446" i="55"/>
  <c r="Y446" i="55"/>
  <c r="X446" i="55"/>
  <c r="W446" i="55"/>
  <c r="V446" i="55"/>
  <c r="U446" i="55"/>
  <c r="T446" i="55"/>
  <c r="S446" i="55"/>
  <c r="R446" i="55"/>
  <c r="Q446" i="55"/>
  <c r="P446" i="55"/>
  <c r="O446" i="55"/>
  <c r="N446" i="55"/>
  <c r="M446" i="55"/>
  <c r="L446" i="55"/>
  <c r="K446" i="55"/>
  <c r="J446" i="55"/>
  <c r="I446" i="55"/>
  <c r="H446" i="55"/>
  <c r="G446" i="55"/>
  <c r="F446" i="55"/>
  <c r="E446" i="55"/>
  <c r="D446" i="55"/>
  <c r="AB445" i="55"/>
  <c r="AA445" i="55"/>
  <c r="Z445" i="55"/>
  <c r="Y445" i="55"/>
  <c r="X445" i="55"/>
  <c r="W445" i="55"/>
  <c r="V445" i="55"/>
  <c r="U445" i="55"/>
  <c r="T445" i="55"/>
  <c r="S445" i="55"/>
  <c r="R445" i="55"/>
  <c r="Q445" i="55"/>
  <c r="P445" i="55"/>
  <c r="O445" i="55"/>
  <c r="N445" i="55"/>
  <c r="M445" i="55"/>
  <c r="L445" i="55"/>
  <c r="K445" i="55"/>
  <c r="J445" i="55"/>
  <c r="I445" i="55"/>
  <c r="H445" i="55"/>
  <c r="G445" i="55"/>
  <c r="F445" i="55"/>
  <c r="E445" i="55"/>
  <c r="D445" i="55"/>
  <c r="AB444" i="55"/>
  <c r="AA444" i="55"/>
  <c r="Z444" i="55"/>
  <c r="Y444" i="55"/>
  <c r="X444" i="55"/>
  <c r="W444" i="55"/>
  <c r="V444" i="55"/>
  <c r="U444" i="55"/>
  <c r="T444" i="55"/>
  <c r="S444" i="55"/>
  <c r="R444" i="55"/>
  <c r="Q444" i="55"/>
  <c r="P444" i="55"/>
  <c r="O444" i="55"/>
  <c r="N444" i="55"/>
  <c r="M444" i="55"/>
  <c r="L444" i="55"/>
  <c r="K444" i="55"/>
  <c r="J444" i="55"/>
  <c r="I444" i="55"/>
  <c r="H444" i="55"/>
  <c r="G444" i="55"/>
  <c r="F444" i="55"/>
  <c r="E444" i="55"/>
  <c r="D444" i="55"/>
  <c r="AB443" i="55"/>
  <c r="AA443" i="55"/>
  <c r="Z443" i="55"/>
  <c r="Y443" i="55"/>
  <c r="X443" i="55"/>
  <c r="W443" i="55"/>
  <c r="V443" i="55"/>
  <c r="U443" i="55"/>
  <c r="T443" i="55"/>
  <c r="S443" i="55"/>
  <c r="R443" i="55"/>
  <c r="Q443" i="55"/>
  <c r="P443" i="55"/>
  <c r="O443" i="55"/>
  <c r="N443" i="55"/>
  <c r="M443" i="55"/>
  <c r="L443" i="55"/>
  <c r="K443" i="55"/>
  <c r="J443" i="55"/>
  <c r="I443" i="55"/>
  <c r="H443" i="55"/>
  <c r="G443" i="55"/>
  <c r="F443" i="55"/>
  <c r="E443" i="55"/>
  <c r="D443" i="55"/>
  <c r="AB442" i="55"/>
  <c r="AA442" i="55"/>
  <c r="Z442" i="55"/>
  <c r="Y442" i="55"/>
  <c r="X442" i="55"/>
  <c r="W442" i="55"/>
  <c r="V442" i="55"/>
  <c r="U442" i="55"/>
  <c r="T442" i="55"/>
  <c r="S442" i="55"/>
  <c r="R442" i="55"/>
  <c r="Q442" i="55"/>
  <c r="P442" i="55"/>
  <c r="O442" i="55"/>
  <c r="N442" i="55"/>
  <c r="M442" i="55"/>
  <c r="L442" i="55"/>
  <c r="K442" i="55"/>
  <c r="J442" i="55"/>
  <c r="I442" i="55"/>
  <c r="H442" i="55"/>
  <c r="G442" i="55"/>
  <c r="F442" i="55"/>
  <c r="E442" i="55"/>
  <c r="D442" i="55"/>
  <c r="AB441" i="55"/>
  <c r="AA441" i="55"/>
  <c r="Z441" i="55"/>
  <c r="Y441" i="55"/>
  <c r="X441" i="55"/>
  <c r="W441" i="55"/>
  <c r="V441" i="55"/>
  <c r="U441" i="55"/>
  <c r="T441" i="55"/>
  <c r="S441" i="55"/>
  <c r="R441" i="55"/>
  <c r="Q441" i="55"/>
  <c r="P441" i="55"/>
  <c r="O441" i="55"/>
  <c r="N441" i="55"/>
  <c r="M441" i="55"/>
  <c r="L441" i="55"/>
  <c r="K441" i="55"/>
  <c r="J441" i="55"/>
  <c r="I441" i="55"/>
  <c r="H441" i="55"/>
  <c r="G441" i="55"/>
  <c r="F441" i="55"/>
  <c r="E441" i="55"/>
  <c r="D441" i="55"/>
  <c r="AB440" i="55"/>
  <c r="AA440" i="55"/>
  <c r="Z440" i="55"/>
  <c r="Y440" i="55"/>
  <c r="X440" i="55"/>
  <c r="W440" i="55"/>
  <c r="V440" i="55"/>
  <c r="U440" i="55"/>
  <c r="T440" i="55"/>
  <c r="S440" i="55"/>
  <c r="R440" i="55"/>
  <c r="Q440" i="55"/>
  <c r="P440" i="55"/>
  <c r="O440" i="55"/>
  <c r="N440" i="55"/>
  <c r="M440" i="55"/>
  <c r="L440" i="55"/>
  <c r="K440" i="55"/>
  <c r="J440" i="55"/>
  <c r="I440" i="55"/>
  <c r="H440" i="55"/>
  <c r="G440" i="55"/>
  <c r="F440" i="55"/>
  <c r="E440" i="55"/>
  <c r="D440" i="55"/>
  <c r="AB439" i="55"/>
  <c r="AA439" i="55"/>
  <c r="Z439" i="55"/>
  <c r="Y439" i="55"/>
  <c r="X439" i="55"/>
  <c r="W439" i="55"/>
  <c r="V439" i="55"/>
  <c r="U439" i="55"/>
  <c r="T439" i="55"/>
  <c r="S439" i="55"/>
  <c r="R439" i="55"/>
  <c r="Q439" i="55"/>
  <c r="P439" i="55"/>
  <c r="O439" i="55"/>
  <c r="N439" i="55"/>
  <c r="M439" i="55"/>
  <c r="L439" i="55"/>
  <c r="K439" i="55"/>
  <c r="J439" i="55"/>
  <c r="I439" i="55"/>
  <c r="H439" i="55"/>
  <c r="G439" i="55"/>
  <c r="F439" i="55"/>
  <c r="E439" i="55"/>
  <c r="D439" i="55"/>
  <c r="AB438" i="55"/>
  <c r="AA438" i="55"/>
  <c r="Z438" i="55"/>
  <c r="Y438" i="55"/>
  <c r="X438" i="55"/>
  <c r="W438" i="55"/>
  <c r="V438" i="55"/>
  <c r="U438" i="55"/>
  <c r="T438" i="55"/>
  <c r="S438" i="55"/>
  <c r="R438" i="55"/>
  <c r="Q438" i="55"/>
  <c r="P438" i="55"/>
  <c r="O438" i="55"/>
  <c r="N438" i="55"/>
  <c r="M438" i="55"/>
  <c r="L438" i="55"/>
  <c r="K438" i="55"/>
  <c r="J438" i="55"/>
  <c r="I438" i="55"/>
  <c r="H438" i="55"/>
  <c r="G438" i="55"/>
  <c r="F438" i="55"/>
  <c r="E438" i="55"/>
  <c r="D438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G437" i="55"/>
  <c r="F437" i="55"/>
  <c r="E437" i="55"/>
  <c r="D437" i="55"/>
  <c r="AB436" i="55"/>
  <c r="AA436" i="55"/>
  <c r="Z436" i="55"/>
  <c r="Y436" i="55"/>
  <c r="X436" i="55"/>
  <c r="W436" i="55"/>
  <c r="V436" i="55"/>
  <c r="U436" i="55"/>
  <c r="T436" i="55"/>
  <c r="S436" i="55"/>
  <c r="R436" i="55"/>
  <c r="Q436" i="55"/>
  <c r="P436" i="55"/>
  <c r="O436" i="55"/>
  <c r="N436" i="55"/>
  <c r="M436" i="55"/>
  <c r="L436" i="55"/>
  <c r="K436" i="55"/>
  <c r="J436" i="55"/>
  <c r="I436" i="55"/>
  <c r="H436" i="55"/>
  <c r="G436" i="55"/>
  <c r="F436" i="55"/>
  <c r="E436" i="55"/>
  <c r="D436" i="55"/>
  <c r="AB435" i="55"/>
  <c r="AA435" i="55"/>
  <c r="Z435" i="55"/>
  <c r="Y435" i="55"/>
  <c r="X435" i="55"/>
  <c r="W435" i="55"/>
  <c r="V435" i="55"/>
  <c r="U435" i="55"/>
  <c r="T435" i="55"/>
  <c r="S435" i="55"/>
  <c r="R435" i="55"/>
  <c r="Q435" i="55"/>
  <c r="P435" i="55"/>
  <c r="O435" i="55"/>
  <c r="N435" i="55"/>
  <c r="M435" i="55"/>
  <c r="L435" i="55"/>
  <c r="K435" i="55"/>
  <c r="J435" i="55"/>
  <c r="I435" i="55"/>
  <c r="H435" i="55"/>
  <c r="G435" i="55"/>
  <c r="F435" i="55"/>
  <c r="E435" i="55"/>
  <c r="D435" i="55"/>
  <c r="AB434" i="55"/>
  <c r="AA434" i="55"/>
  <c r="Z434" i="55"/>
  <c r="Y434" i="55"/>
  <c r="X434" i="55"/>
  <c r="W434" i="55"/>
  <c r="V434" i="55"/>
  <c r="U434" i="55"/>
  <c r="T434" i="55"/>
  <c r="S434" i="55"/>
  <c r="R434" i="55"/>
  <c r="Q434" i="55"/>
  <c r="P434" i="55"/>
  <c r="O434" i="55"/>
  <c r="N434" i="55"/>
  <c r="M434" i="55"/>
  <c r="L434" i="55"/>
  <c r="K434" i="55"/>
  <c r="J434" i="55"/>
  <c r="I434" i="55"/>
  <c r="H434" i="55"/>
  <c r="G434" i="55"/>
  <c r="F434" i="55"/>
  <c r="E434" i="55"/>
  <c r="D434" i="55"/>
  <c r="AB433" i="55"/>
  <c r="AA433" i="55"/>
  <c r="Z433" i="55"/>
  <c r="Y433" i="55"/>
  <c r="X433" i="55"/>
  <c r="W433" i="55"/>
  <c r="V433" i="55"/>
  <c r="U433" i="55"/>
  <c r="T433" i="55"/>
  <c r="S433" i="55"/>
  <c r="R433" i="55"/>
  <c r="Q433" i="55"/>
  <c r="P433" i="55"/>
  <c r="O433" i="55"/>
  <c r="N433" i="55"/>
  <c r="M433" i="55"/>
  <c r="L433" i="55"/>
  <c r="K433" i="55"/>
  <c r="J433" i="55"/>
  <c r="I433" i="55"/>
  <c r="H433" i="55"/>
  <c r="G433" i="55"/>
  <c r="F433" i="55"/>
  <c r="E433" i="55"/>
  <c r="D433" i="55"/>
  <c r="AB432" i="55"/>
  <c r="AA432" i="55"/>
  <c r="Z432" i="55"/>
  <c r="Y432" i="55"/>
  <c r="X432" i="55"/>
  <c r="W432" i="55"/>
  <c r="V432" i="55"/>
  <c r="U432" i="55"/>
  <c r="T432" i="55"/>
  <c r="S432" i="55"/>
  <c r="R432" i="55"/>
  <c r="Q432" i="55"/>
  <c r="P432" i="55"/>
  <c r="O432" i="55"/>
  <c r="N432" i="55"/>
  <c r="M432" i="55"/>
  <c r="L432" i="55"/>
  <c r="K432" i="55"/>
  <c r="J432" i="55"/>
  <c r="I432" i="55"/>
  <c r="H432" i="55"/>
  <c r="G432" i="55"/>
  <c r="F432" i="55"/>
  <c r="E432" i="55"/>
  <c r="D432" i="55"/>
  <c r="AB431" i="55"/>
  <c r="AA431" i="55"/>
  <c r="Z431" i="55"/>
  <c r="Y431" i="55"/>
  <c r="X431" i="55"/>
  <c r="W431" i="55"/>
  <c r="V431" i="55"/>
  <c r="U431" i="55"/>
  <c r="T431" i="55"/>
  <c r="S431" i="55"/>
  <c r="R431" i="55"/>
  <c r="Q431" i="55"/>
  <c r="P431" i="55"/>
  <c r="O431" i="55"/>
  <c r="N431" i="55"/>
  <c r="M431" i="55"/>
  <c r="L431" i="55"/>
  <c r="K431" i="55"/>
  <c r="J431" i="55"/>
  <c r="I431" i="55"/>
  <c r="H431" i="55"/>
  <c r="G431" i="55"/>
  <c r="F431" i="55"/>
  <c r="E431" i="55"/>
  <c r="D431" i="55"/>
  <c r="AB430" i="55"/>
  <c r="AA430" i="55"/>
  <c r="Z430" i="55"/>
  <c r="Y430" i="55"/>
  <c r="X430" i="55"/>
  <c r="W430" i="55"/>
  <c r="V430" i="55"/>
  <c r="U430" i="55"/>
  <c r="T430" i="55"/>
  <c r="S430" i="55"/>
  <c r="R430" i="55"/>
  <c r="Q430" i="55"/>
  <c r="P430" i="55"/>
  <c r="O430" i="55"/>
  <c r="N430" i="55"/>
  <c r="M430" i="55"/>
  <c r="L430" i="55"/>
  <c r="K430" i="55"/>
  <c r="J430" i="55"/>
  <c r="I430" i="55"/>
  <c r="H430" i="55"/>
  <c r="G430" i="55"/>
  <c r="F430" i="55"/>
  <c r="E430" i="55"/>
  <c r="D430" i="55"/>
  <c r="AB429" i="55"/>
  <c r="AA429" i="55"/>
  <c r="Z429" i="55"/>
  <c r="Y429" i="55"/>
  <c r="X429" i="55"/>
  <c r="W429" i="55"/>
  <c r="V429" i="55"/>
  <c r="U429" i="55"/>
  <c r="T429" i="55"/>
  <c r="S429" i="55"/>
  <c r="R429" i="55"/>
  <c r="Q429" i="55"/>
  <c r="P429" i="55"/>
  <c r="O429" i="55"/>
  <c r="N429" i="55"/>
  <c r="M429" i="55"/>
  <c r="L429" i="55"/>
  <c r="K429" i="55"/>
  <c r="J429" i="55"/>
  <c r="I429" i="55"/>
  <c r="H429" i="55"/>
  <c r="G429" i="55"/>
  <c r="F429" i="55"/>
  <c r="E429" i="55"/>
  <c r="D429" i="55"/>
  <c r="AB428" i="55"/>
  <c r="AA428" i="55"/>
  <c r="Z428" i="55"/>
  <c r="Y428" i="55"/>
  <c r="X428" i="55"/>
  <c r="W428" i="55"/>
  <c r="V428" i="55"/>
  <c r="U428" i="55"/>
  <c r="T428" i="55"/>
  <c r="S428" i="55"/>
  <c r="R428" i="55"/>
  <c r="Q428" i="55"/>
  <c r="P428" i="55"/>
  <c r="O428" i="55"/>
  <c r="N428" i="55"/>
  <c r="M428" i="55"/>
  <c r="L428" i="55"/>
  <c r="K428" i="55"/>
  <c r="J428" i="55"/>
  <c r="I428" i="55"/>
  <c r="H428" i="55"/>
  <c r="G428" i="55"/>
  <c r="F428" i="55"/>
  <c r="E428" i="55"/>
  <c r="D428" i="55"/>
  <c r="AB427" i="55"/>
  <c r="AA427" i="55"/>
  <c r="Z427" i="55"/>
  <c r="Y427" i="55"/>
  <c r="X427" i="55"/>
  <c r="W427" i="55"/>
  <c r="V427" i="55"/>
  <c r="U427" i="55"/>
  <c r="T427" i="55"/>
  <c r="S427" i="55"/>
  <c r="R427" i="55"/>
  <c r="Q427" i="55"/>
  <c r="P427" i="55"/>
  <c r="O427" i="55"/>
  <c r="N427" i="55"/>
  <c r="M427" i="55"/>
  <c r="L427" i="55"/>
  <c r="K427" i="55"/>
  <c r="J427" i="55"/>
  <c r="I427" i="55"/>
  <c r="H427" i="55"/>
  <c r="G427" i="55"/>
  <c r="F427" i="55"/>
  <c r="E427" i="55"/>
  <c r="D427" i="55"/>
  <c r="AB426" i="55"/>
  <c r="AA426" i="55"/>
  <c r="Z426" i="55"/>
  <c r="Y426" i="55"/>
  <c r="X426" i="55"/>
  <c r="W426" i="55"/>
  <c r="V426" i="55"/>
  <c r="U426" i="55"/>
  <c r="T426" i="55"/>
  <c r="S426" i="55"/>
  <c r="R426" i="55"/>
  <c r="Q426" i="55"/>
  <c r="P426" i="55"/>
  <c r="O426" i="55"/>
  <c r="N426" i="55"/>
  <c r="M426" i="55"/>
  <c r="L426" i="55"/>
  <c r="K426" i="55"/>
  <c r="J426" i="55"/>
  <c r="I426" i="55"/>
  <c r="H426" i="55"/>
  <c r="G426" i="55"/>
  <c r="F426" i="55"/>
  <c r="E426" i="55"/>
  <c r="D426" i="55"/>
  <c r="AB425" i="55"/>
  <c r="AA425" i="55"/>
  <c r="Z425" i="55"/>
  <c r="Y425" i="55"/>
  <c r="X425" i="55"/>
  <c r="W425" i="55"/>
  <c r="V425" i="55"/>
  <c r="U425" i="55"/>
  <c r="T425" i="55"/>
  <c r="S425" i="55"/>
  <c r="R425" i="55"/>
  <c r="Q425" i="55"/>
  <c r="P425" i="55"/>
  <c r="O425" i="55"/>
  <c r="N425" i="55"/>
  <c r="M425" i="55"/>
  <c r="L425" i="55"/>
  <c r="K425" i="55"/>
  <c r="J425" i="55"/>
  <c r="I425" i="55"/>
  <c r="H425" i="55"/>
  <c r="G425" i="55"/>
  <c r="F425" i="55"/>
  <c r="E425" i="55"/>
  <c r="D425" i="55"/>
  <c r="AB424" i="55"/>
  <c r="AA424" i="55"/>
  <c r="Z424" i="55"/>
  <c r="Y424" i="55"/>
  <c r="X424" i="55"/>
  <c r="W424" i="55"/>
  <c r="V424" i="55"/>
  <c r="U424" i="55"/>
  <c r="T424" i="55"/>
  <c r="S424" i="55"/>
  <c r="R424" i="55"/>
  <c r="Q424" i="55"/>
  <c r="P424" i="55"/>
  <c r="O424" i="55"/>
  <c r="N424" i="55"/>
  <c r="M424" i="55"/>
  <c r="L424" i="55"/>
  <c r="K424" i="55"/>
  <c r="J424" i="55"/>
  <c r="I424" i="55"/>
  <c r="H424" i="55"/>
  <c r="G424" i="55"/>
  <c r="F424" i="55"/>
  <c r="E424" i="55"/>
  <c r="D424" i="55"/>
  <c r="AB423" i="55"/>
  <c r="AA423" i="55"/>
  <c r="Z423" i="55"/>
  <c r="Y423" i="55"/>
  <c r="X423" i="55"/>
  <c r="W423" i="55"/>
  <c r="V423" i="55"/>
  <c r="U423" i="55"/>
  <c r="T423" i="55"/>
  <c r="S423" i="55"/>
  <c r="R423" i="55"/>
  <c r="Q423" i="55"/>
  <c r="P423" i="55"/>
  <c r="O423" i="55"/>
  <c r="N423" i="55"/>
  <c r="M423" i="55"/>
  <c r="L423" i="55"/>
  <c r="K423" i="55"/>
  <c r="J423" i="55"/>
  <c r="I423" i="55"/>
  <c r="H423" i="55"/>
  <c r="G423" i="55"/>
  <c r="F423" i="55"/>
  <c r="E423" i="55"/>
  <c r="D423" i="55"/>
  <c r="AB422" i="55"/>
  <c r="AA422" i="55"/>
  <c r="Z422" i="55"/>
  <c r="Y422" i="55"/>
  <c r="X422" i="55"/>
  <c r="W422" i="55"/>
  <c r="V422" i="55"/>
  <c r="U422" i="55"/>
  <c r="T422" i="55"/>
  <c r="S422" i="55"/>
  <c r="R422" i="55"/>
  <c r="Q422" i="55"/>
  <c r="P422" i="55"/>
  <c r="O422" i="55"/>
  <c r="N422" i="55"/>
  <c r="M422" i="55"/>
  <c r="L422" i="55"/>
  <c r="K422" i="55"/>
  <c r="J422" i="55"/>
  <c r="I422" i="55"/>
  <c r="H422" i="55"/>
  <c r="G422" i="55"/>
  <c r="F422" i="55"/>
  <c r="E422" i="55"/>
  <c r="D422" i="55"/>
  <c r="AB421" i="55"/>
  <c r="AA421" i="55"/>
  <c r="Z421" i="55"/>
  <c r="Y421" i="55"/>
  <c r="X421" i="55"/>
  <c r="W421" i="55"/>
  <c r="V421" i="55"/>
  <c r="U421" i="55"/>
  <c r="T421" i="55"/>
  <c r="S421" i="55"/>
  <c r="R421" i="55"/>
  <c r="Q421" i="55"/>
  <c r="P421" i="55"/>
  <c r="O421" i="55"/>
  <c r="N421" i="55"/>
  <c r="M421" i="55"/>
  <c r="L421" i="55"/>
  <c r="K421" i="55"/>
  <c r="J421" i="55"/>
  <c r="I421" i="55"/>
  <c r="H421" i="55"/>
  <c r="G421" i="55"/>
  <c r="F421" i="55"/>
  <c r="E421" i="55"/>
  <c r="D421" i="55"/>
  <c r="AB420" i="55"/>
  <c r="AA420" i="55"/>
  <c r="Z420" i="55"/>
  <c r="Y420" i="55"/>
  <c r="X420" i="55"/>
  <c r="W420" i="55"/>
  <c r="V420" i="55"/>
  <c r="U420" i="55"/>
  <c r="T420" i="55"/>
  <c r="S420" i="55"/>
  <c r="R420" i="55"/>
  <c r="Q420" i="55"/>
  <c r="P420" i="55"/>
  <c r="O420" i="55"/>
  <c r="N420" i="55"/>
  <c r="M420" i="55"/>
  <c r="L420" i="55"/>
  <c r="K420" i="55"/>
  <c r="J420" i="55"/>
  <c r="I420" i="55"/>
  <c r="H420" i="55"/>
  <c r="G420" i="55"/>
  <c r="F420" i="55"/>
  <c r="E420" i="55"/>
  <c r="D420" i="55"/>
  <c r="AB419" i="55"/>
  <c r="AA419" i="55"/>
  <c r="Z419" i="55"/>
  <c r="Y419" i="55"/>
  <c r="X419" i="55"/>
  <c r="W419" i="55"/>
  <c r="V419" i="55"/>
  <c r="U419" i="55"/>
  <c r="T419" i="55"/>
  <c r="S419" i="55"/>
  <c r="R419" i="55"/>
  <c r="Q419" i="55"/>
  <c r="P419" i="55"/>
  <c r="O419" i="55"/>
  <c r="N419" i="55"/>
  <c r="M419" i="55"/>
  <c r="L419" i="55"/>
  <c r="K419" i="55"/>
  <c r="J419" i="55"/>
  <c r="I419" i="55"/>
  <c r="H419" i="55"/>
  <c r="G419" i="55"/>
  <c r="F419" i="55"/>
  <c r="E419" i="55"/>
  <c r="D419" i="55"/>
  <c r="AB418" i="55"/>
  <c r="AA418" i="55"/>
  <c r="Z418" i="55"/>
  <c r="Y418" i="55"/>
  <c r="X418" i="55"/>
  <c r="W418" i="55"/>
  <c r="V418" i="55"/>
  <c r="U418" i="55"/>
  <c r="T418" i="55"/>
  <c r="S418" i="55"/>
  <c r="R418" i="55"/>
  <c r="Q418" i="55"/>
  <c r="P418" i="55"/>
  <c r="O418" i="55"/>
  <c r="N418" i="55"/>
  <c r="M418" i="55"/>
  <c r="L418" i="55"/>
  <c r="K418" i="55"/>
  <c r="J418" i="55"/>
  <c r="I418" i="55"/>
  <c r="H418" i="55"/>
  <c r="G418" i="55"/>
  <c r="F418" i="55"/>
  <c r="E418" i="55"/>
  <c r="D418" i="55"/>
  <c r="AB417" i="55"/>
  <c r="AA417" i="55"/>
  <c r="Z417" i="55"/>
  <c r="Y417" i="55"/>
  <c r="X417" i="55"/>
  <c r="W417" i="55"/>
  <c r="V417" i="55"/>
  <c r="U417" i="55"/>
  <c r="T417" i="55"/>
  <c r="S417" i="55"/>
  <c r="R417" i="55"/>
  <c r="Q417" i="55"/>
  <c r="P417" i="55"/>
  <c r="O417" i="55"/>
  <c r="N417" i="55"/>
  <c r="M417" i="55"/>
  <c r="L417" i="55"/>
  <c r="K417" i="55"/>
  <c r="J417" i="55"/>
  <c r="I417" i="55"/>
  <c r="H417" i="55"/>
  <c r="G417" i="55"/>
  <c r="F417" i="55"/>
  <c r="E417" i="55"/>
  <c r="D417" i="55"/>
  <c r="AB416" i="55"/>
  <c r="AA416" i="55"/>
  <c r="Z416" i="55"/>
  <c r="Y416" i="55"/>
  <c r="X416" i="55"/>
  <c r="W416" i="55"/>
  <c r="V416" i="55"/>
  <c r="U416" i="55"/>
  <c r="T416" i="55"/>
  <c r="S416" i="55"/>
  <c r="R416" i="55"/>
  <c r="Q416" i="55"/>
  <c r="P416" i="55"/>
  <c r="O416" i="55"/>
  <c r="N416" i="55"/>
  <c r="M416" i="55"/>
  <c r="L416" i="55"/>
  <c r="K416" i="55"/>
  <c r="J416" i="55"/>
  <c r="I416" i="55"/>
  <c r="H416" i="55"/>
  <c r="G416" i="55"/>
  <c r="F416" i="55"/>
  <c r="E416" i="55"/>
  <c r="D416" i="55"/>
  <c r="AB415" i="55"/>
  <c r="AA415" i="55"/>
  <c r="Z415" i="55"/>
  <c r="Y415" i="55"/>
  <c r="X415" i="55"/>
  <c r="W415" i="55"/>
  <c r="V415" i="55"/>
  <c r="U415" i="55"/>
  <c r="T415" i="55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G415" i="55"/>
  <c r="F415" i="55"/>
  <c r="E415" i="55"/>
  <c r="D415" i="55"/>
  <c r="AB414" i="55"/>
  <c r="AA414" i="55"/>
  <c r="Z414" i="55"/>
  <c r="Y414" i="55"/>
  <c r="X414" i="55"/>
  <c r="W414" i="55"/>
  <c r="V414" i="55"/>
  <c r="U414" i="55"/>
  <c r="T414" i="55"/>
  <c r="S414" i="55"/>
  <c r="R414" i="55"/>
  <c r="Q414" i="55"/>
  <c r="P414" i="55"/>
  <c r="O414" i="55"/>
  <c r="N414" i="55"/>
  <c r="M414" i="55"/>
  <c r="L414" i="55"/>
  <c r="K414" i="55"/>
  <c r="J414" i="55"/>
  <c r="I414" i="55"/>
  <c r="H414" i="55"/>
  <c r="G414" i="55"/>
  <c r="F414" i="55"/>
  <c r="E414" i="55"/>
  <c r="D414" i="55"/>
  <c r="AB413" i="55"/>
  <c r="AA413" i="55"/>
  <c r="Z413" i="55"/>
  <c r="Y413" i="55"/>
  <c r="X413" i="55"/>
  <c r="W413" i="55"/>
  <c r="V413" i="55"/>
  <c r="U413" i="55"/>
  <c r="T413" i="55"/>
  <c r="S413" i="55"/>
  <c r="R413" i="55"/>
  <c r="Q413" i="55"/>
  <c r="P413" i="55"/>
  <c r="O413" i="55"/>
  <c r="N413" i="55"/>
  <c r="M413" i="55"/>
  <c r="L413" i="55"/>
  <c r="K413" i="55"/>
  <c r="J413" i="55"/>
  <c r="I413" i="55"/>
  <c r="H413" i="55"/>
  <c r="G413" i="55"/>
  <c r="F413" i="55"/>
  <c r="E413" i="55"/>
  <c r="D413" i="55"/>
  <c r="AB412" i="55"/>
  <c r="AA412" i="55"/>
  <c r="Z412" i="55"/>
  <c r="Y412" i="55"/>
  <c r="X412" i="55"/>
  <c r="W412" i="55"/>
  <c r="V412" i="55"/>
  <c r="U412" i="55"/>
  <c r="T412" i="55"/>
  <c r="S412" i="55"/>
  <c r="R412" i="55"/>
  <c r="Q412" i="55"/>
  <c r="P412" i="55"/>
  <c r="O412" i="55"/>
  <c r="N412" i="55"/>
  <c r="M412" i="55"/>
  <c r="L412" i="55"/>
  <c r="K412" i="55"/>
  <c r="J412" i="55"/>
  <c r="I412" i="55"/>
  <c r="H412" i="55"/>
  <c r="G412" i="55"/>
  <c r="F412" i="55"/>
  <c r="E412" i="55"/>
  <c r="D412" i="55"/>
  <c r="AB411" i="55"/>
  <c r="AA411" i="55"/>
  <c r="Z411" i="55"/>
  <c r="Y411" i="55"/>
  <c r="X411" i="55"/>
  <c r="W411" i="55"/>
  <c r="V411" i="55"/>
  <c r="U411" i="55"/>
  <c r="T411" i="55"/>
  <c r="S411" i="55"/>
  <c r="R411" i="55"/>
  <c r="Q411" i="55"/>
  <c r="P411" i="55"/>
  <c r="O411" i="55"/>
  <c r="N411" i="55"/>
  <c r="M411" i="55"/>
  <c r="L411" i="55"/>
  <c r="K411" i="55"/>
  <c r="J411" i="55"/>
  <c r="I411" i="55"/>
  <c r="H411" i="55"/>
  <c r="G411" i="55"/>
  <c r="F411" i="55"/>
  <c r="E411" i="55"/>
  <c r="D411" i="55"/>
  <c r="AB410" i="55"/>
  <c r="AA410" i="55"/>
  <c r="Z410" i="55"/>
  <c r="Y410" i="55"/>
  <c r="X410" i="55"/>
  <c r="W410" i="55"/>
  <c r="V410" i="55"/>
  <c r="U410" i="55"/>
  <c r="T410" i="55"/>
  <c r="S410" i="55"/>
  <c r="R410" i="55"/>
  <c r="Q410" i="55"/>
  <c r="P410" i="55"/>
  <c r="O410" i="55"/>
  <c r="N410" i="55"/>
  <c r="M410" i="55"/>
  <c r="L410" i="55"/>
  <c r="K410" i="55"/>
  <c r="J410" i="55"/>
  <c r="I410" i="55"/>
  <c r="H410" i="55"/>
  <c r="G410" i="55"/>
  <c r="F410" i="55"/>
  <c r="E410" i="55"/>
  <c r="D410" i="55"/>
  <c r="AB409" i="55"/>
  <c r="AA409" i="55"/>
  <c r="Z409" i="55"/>
  <c r="Y409" i="55"/>
  <c r="X409" i="55"/>
  <c r="W409" i="55"/>
  <c r="V409" i="55"/>
  <c r="U409" i="55"/>
  <c r="T409" i="55"/>
  <c r="S409" i="55"/>
  <c r="R409" i="55"/>
  <c r="Q409" i="55"/>
  <c r="P409" i="55"/>
  <c r="O409" i="55"/>
  <c r="N409" i="55"/>
  <c r="M409" i="55"/>
  <c r="L409" i="55"/>
  <c r="K409" i="55"/>
  <c r="J409" i="55"/>
  <c r="I409" i="55"/>
  <c r="H409" i="55"/>
  <c r="G409" i="55"/>
  <c r="F409" i="55"/>
  <c r="E409" i="55"/>
  <c r="D409" i="55"/>
  <c r="AB408" i="55"/>
  <c r="AA408" i="55"/>
  <c r="Z408" i="55"/>
  <c r="Y408" i="55"/>
  <c r="X408" i="55"/>
  <c r="W408" i="55"/>
  <c r="V408" i="55"/>
  <c r="U408" i="55"/>
  <c r="T408" i="55"/>
  <c r="S408" i="55"/>
  <c r="R408" i="55"/>
  <c r="Q408" i="55"/>
  <c r="P408" i="55"/>
  <c r="O408" i="55"/>
  <c r="N408" i="55"/>
  <c r="M408" i="55"/>
  <c r="L408" i="55"/>
  <c r="K408" i="55"/>
  <c r="J408" i="55"/>
  <c r="I408" i="55"/>
  <c r="H408" i="55"/>
  <c r="G408" i="55"/>
  <c r="F408" i="55"/>
  <c r="E408" i="55"/>
  <c r="D408" i="55"/>
  <c r="AB407" i="55"/>
  <c r="AA407" i="55"/>
  <c r="Z407" i="55"/>
  <c r="Y407" i="55"/>
  <c r="X407" i="55"/>
  <c r="W407" i="55"/>
  <c r="V407" i="55"/>
  <c r="U407" i="55"/>
  <c r="T407" i="55"/>
  <c r="S407" i="55"/>
  <c r="R407" i="55"/>
  <c r="Q407" i="55"/>
  <c r="P407" i="55"/>
  <c r="O407" i="55"/>
  <c r="N407" i="55"/>
  <c r="M407" i="55"/>
  <c r="L407" i="55"/>
  <c r="K407" i="55"/>
  <c r="J407" i="55"/>
  <c r="I407" i="55"/>
  <c r="H407" i="55"/>
  <c r="G407" i="55"/>
  <c r="F407" i="55"/>
  <c r="E407" i="55"/>
  <c r="D407" i="55"/>
  <c r="AB406" i="55"/>
  <c r="AA406" i="55"/>
  <c r="Z406" i="55"/>
  <c r="Y406" i="55"/>
  <c r="X406" i="55"/>
  <c r="W406" i="55"/>
  <c r="V406" i="55"/>
  <c r="U406" i="55"/>
  <c r="T406" i="55"/>
  <c r="S406" i="55"/>
  <c r="R406" i="55"/>
  <c r="Q406" i="55"/>
  <c r="P406" i="55"/>
  <c r="O406" i="55"/>
  <c r="N406" i="55"/>
  <c r="M406" i="55"/>
  <c r="L406" i="55"/>
  <c r="K406" i="55"/>
  <c r="J406" i="55"/>
  <c r="I406" i="55"/>
  <c r="H406" i="55"/>
  <c r="G406" i="55"/>
  <c r="F406" i="55"/>
  <c r="E406" i="55"/>
  <c r="D406" i="55"/>
  <c r="AB405" i="55"/>
  <c r="AA405" i="55"/>
  <c r="Z405" i="55"/>
  <c r="Y405" i="55"/>
  <c r="X405" i="55"/>
  <c r="W405" i="55"/>
  <c r="V405" i="55"/>
  <c r="U405" i="55"/>
  <c r="T405" i="55"/>
  <c r="S405" i="55"/>
  <c r="R405" i="55"/>
  <c r="Q405" i="55"/>
  <c r="P405" i="55"/>
  <c r="O405" i="55"/>
  <c r="N405" i="55"/>
  <c r="M405" i="55"/>
  <c r="L405" i="55"/>
  <c r="K405" i="55"/>
  <c r="J405" i="55"/>
  <c r="I405" i="55"/>
  <c r="H405" i="55"/>
  <c r="G405" i="55"/>
  <c r="F405" i="55"/>
  <c r="E405" i="55"/>
  <c r="D405" i="55"/>
  <c r="AB404" i="55"/>
  <c r="AA404" i="55"/>
  <c r="Z404" i="55"/>
  <c r="Y404" i="55"/>
  <c r="X404" i="55"/>
  <c r="W404" i="55"/>
  <c r="V404" i="55"/>
  <c r="U404" i="55"/>
  <c r="T404" i="55"/>
  <c r="S404" i="55"/>
  <c r="R404" i="55"/>
  <c r="Q404" i="55"/>
  <c r="P404" i="55"/>
  <c r="O404" i="55"/>
  <c r="N404" i="55"/>
  <c r="M404" i="55"/>
  <c r="L404" i="55"/>
  <c r="K404" i="55"/>
  <c r="J404" i="55"/>
  <c r="I404" i="55"/>
  <c r="H404" i="55"/>
  <c r="G404" i="55"/>
  <c r="F404" i="55"/>
  <c r="E404" i="55"/>
  <c r="D404" i="55"/>
  <c r="AB403" i="55"/>
  <c r="AA403" i="55"/>
  <c r="Z403" i="55"/>
  <c r="Y403" i="55"/>
  <c r="X403" i="55"/>
  <c r="W403" i="55"/>
  <c r="V403" i="55"/>
  <c r="U403" i="55"/>
  <c r="T403" i="55"/>
  <c r="S403" i="55"/>
  <c r="R403" i="55"/>
  <c r="Q403" i="55"/>
  <c r="P403" i="55"/>
  <c r="O403" i="55"/>
  <c r="N403" i="55"/>
  <c r="M403" i="55"/>
  <c r="L403" i="55"/>
  <c r="K403" i="55"/>
  <c r="J403" i="55"/>
  <c r="I403" i="55"/>
  <c r="H403" i="55"/>
  <c r="G403" i="55"/>
  <c r="F403" i="55"/>
  <c r="E403" i="55"/>
  <c r="D403" i="55"/>
  <c r="AB401" i="55"/>
  <c r="AA401" i="55"/>
  <c r="Z401" i="55"/>
  <c r="Y401" i="55"/>
  <c r="X401" i="55"/>
  <c r="W401" i="55"/>
  <c r="V401" i="55"/>
  <c r="U401" i="55"/>
  <c r="T401" i="55"/>
  <c r="S401" i="55"/>
  <c r="R401" i="55"/>
  <c r="Q401" i="55"/>
  <c r="P401" i="55"/>
  <c r="O401" i="55"/>
  <c r="N401" i="55"/>
  <c r="M401" i="55"/>
  <c r="L401" i="55"/>
  <c r="K401" i="55"/>
  <c r="J401" i="55"/>
  <c r="I401" i="55"/>
  <c r="H401" i="55"/>
  <c r="G401" i="55"/>
  <c r="F401" i="55"/>
  <c r="E401" i="55"/>
  <c r="D401" i="55"/>
  <c r="AB400" i="55"/>
  <c r="AA400" i="55"/>
  <c r="Z400" i="55"/>
  <c r="Y400" i="55"/>
  <c r="X400" i="55"/>
  <c r="W400" i="55"/>
  <c r="V400" i="55"/>
  <c r="U400" i="55"/>
  <c r="T400" i="55"/>
  <c r="S400" i="55"/>
  <c r="R400" i="55"/>
  <c r="Q400" i="55"/>
  <c r="P400" i="55"/>
  <c r="O400" i="55"/>
  <c r="N400" i="55"/>
  <c r="M400" i="55"/>
  <c r="L400" i="55"/>
  <c r="K400" i="55"/>
  <c r="J400" i="55"/>
  <c r="I400" i="55"/>
  <c r="H400" i="55"/>
  <c r="G400" i="55"/>
  <c r="F400" i="55"/>
  <c r="E400" i="55"/>
  <c r="D400" i="55"/>
  <c r="AB399" i="55"/>
  <c r="AA399" i="55"/>
  <c r="Z399" i="55"/>
  <c r="Y399" i="55"/>
  <c r="X399" i="55"/>
  <c r="W399" i="55"/>
  <c r="V399" i="55"/>
  <c r="U399" i="55"/>
  <c r="T399" i="55"/>
  <c r="S399" i="55"/>
  <c r="R399" i="55"/>
  <c r="Q399" i="55"/>
  <c r="P399" i="55"/>
  <c r="O399" i="55"/>
  <c r="N399" i="55"/>
  <c r="M399" i="55"/>
  <c r="L399" i="55"/>
  <c r="K399" i="55"/>
  <c r="J399" i="55"/>
  <c r="I399" i="55"/>
  <c r="H399" i="55"/>
  <c r="G399" i="55"/>
  <c r="F399" i="55"/>
  <c r="E399" i="55"/>
  <c r="D399" i="55"/>
  <c r="AB398" i="55"/>
  <c r="AA398" i="55"/>
  <c r="Z398" i="55"/>
  <c r="Y398" i="55"/>
  <c r="X398" i="55"/>
  <c r="W398" i="55"/>
  <c r="V398" i="55"/>
  <c r="U398" i="55"/>
  <c r="T398" i="55"/>
  <c r="S398" i="55"/>
  <c r="R398" i="55"/>
  <c r="Q398" i="55"/>
  <c r="P398" i="55"/>
  <c r="O398" i="55"/>
  <c r="N398" i="55"/>
  <c r="M398" i="55"/>
  <c r="L398" i="55"/>
  <c r="K398" i="55"/>
  <c r="J398" i="55"/>
  <c r="I398" i="55"/>
  <c r="H398" i="55"/>
  <c r="G398" i="55"/>
  <c r="F398" i="55"/>
  <c r="E398" i="55"/>
  <c r="D398" i="55"/>
  <c r="AB397" i="55"/>
  <c r="AA397" i="55"/>
  <c r="Z397" i="55"/>
  <c r="Y397" i="55"/>
  <c r="X397" i="55"/>
  <c r="W397" i="55"/>
  <c r="V397" i="55"/>
  <c r="U397" i="55"/>
  <c r="T397" i="55"/>
  <c r="S397" i="55"/>
  <c r="R397" i="55"/>
  <c r="Q397" i="55"/>
  <c r="P397" i="55"/>
  <c r="O397" i="55"/>
  <c r="N397" i="55"/>
  <c r="M397" i="55"/>
  <c r="L397" i="55"/>
  <c r="K397" i="55"/>
  <c r="J397" i="55"/>
  <c r="I397" i="55"/>
  <c r="H397" i="55"/>
  <c r="G397" i="55"/>
  <c r="F397" i="55"/>
  <c r="E397" i="55"/>
  <c r="D397" i="55"/>
  <c r="AB396" i="55"/>
  <c r="AA396" i="55"/>
  <c r="Z396" i="55"/>
  <c r="Y396" i="55"/>
  <c r="X396" i="55"/>
  <c r="W396" i="55"/>
  <c r="V396" i="55"/>
  <c r="U396" i="55"/>
  <c r="T396" i="55"/>
  <c r="S396" i="55"/>
  <c r="R396" i="55"/>
  <c r="Q396" i="55"/>
  <c r="P396" i="55"/>
  <c r="O396" i="55"/>
  <c r="N396" i="55"/>
  <c r="M396" i="55"/>
  <c r="L396" i="55"/>
  <c r="K396" i="55"/>
  <c r="J396" i="55"/>
  <c r="I396" i="55"/>
  <c r="H396" i="55"/>
  <c r="G396" i="55"/>
  <c r="F396" i="55"/>
  <c r="E396" i="55"/>
  <c r="D396" i="55"/>
  <c r="AB395" i="55"/>
  <c r="AA395" i="55"/>
  <c r="Z395" i="55"/>
  <c r="Y395" i="55"/>
  <c r="X395" i="55"/>
  <c r="W395" i="55"/>
  <c r="V395" i="55"/>
  <c r="U395" i="55"/>
  <c r="T395" i="55"/>
  <c r="S395" i="55"/>
  <c r="R395" i="55"/>
  <c r="Q395" i="55"/>
  <c r="P395" i="55"/>
  <c r="O395" i="55"/>
  <c r="N395" i="55"/>
  <c r="M395" i="55"/>
  <c r="L395" i="55"/>
  <c r="K395" i="55"/>
  <c r="J395" i="55"/>
  <c r="I395" i="55"/>
  <c r="H395" i="55"/>
  <c r="G395" i="55"/>
  <c r="F395" i="55"/>
  <c r="E395" i="55"/>
  <c r="D395" i="55"/>
  <c r="AB394" i="55"/>
  <c r="AA394" i="55"/>
  <c r="Z394" i="55"/>
  <c r="Y394" i="55"/>
  <c r="X394" i="55"/>
  <c r="W394" i="55"/>
  <c r="V394" i="55"/>
  <c r="U394" i="55"/>
  <c r="T394" i="55"/>
  <c r="S394" i="55"/>
  <c r="R394" i="55"/>
  <c r="Q394" i="55"/>
  <c r="P394" i="55"/>
  <c r="O394" i="55"/>
  <c r="N394" i="55"/>
  <c r="M394" i="55"/>
  <c r="L394" i="55"/>
  <c r="K394" i="55"/>
  <c r="J394" i="55"/>
  <c r="I394" i="55"/>
  <c r="H394" i="55"/>
  <c r="G394" i="55"/>
  <c r="F394" i="55"/>
  <c r="E394" i="55"/>
  <c r="D394" i="55"/>
  <c r="AB393" i="55"/>
  <c r="AA393" i="55"/>
  <c r="Z393" i="55"/>
  <c r="Y393" i="55"/>
  <c r="X393" i="55"/>
  <c r="W393" i="55"/>
  <c r="V393" i="55"/>
  <c r="U393" i="55"/>
  <c r="T393" i="55"/>
  <c r="S393" i="55"/>
  <c r="R393" i="55"/>
  <c r="Q393" i="55"/>
  <c r="P393" i="55"/>
  <c r="O393" i="55"/>
  <c r="N393" i="55"/>
  <c r="M393" i="55"/>
  <c r="L393" i="55"/>
  <c r="K393" i="55"/>
  <c r="J393" i="55"/>
  <c r="I393" i="55"/>
  <c r="H393" i="55"/>
  <c r="G393" i="55"/>
  <c r="F393" i="55"/>
  <c r="E393" i="55"/>
  <c r="D393" i="55"/>
  <c r="AB392" i="55"/>
  <c r="AA392" i="55"/>
  <c r="Z392" i="55"/>
  <c r="Y392" i="55"/>
  <c r="X392" i="55"/>
  <c r="W392" i="55"/>
  <c r="V392" i="55"/>
  <c r="U392" i="55"/>
  <c r="T392" i="55"/>
  <c r="S392" i="55"/>
  <c r="R392" i="55"/>
  <c r="Q392" i="55"/>
  <c r="P392" i="55"/>
  <c r="O392" i="55"/>
  <c r="N392" i="55"/>
  <c r="M392" i="55"/>
  <c r="L392" i="55"/>
  <c r="K392" i="55"/>
  <c r="J392" i="55"/>
  <c r="I392" i="55"/>
  <c r="H392" i="55"/>
  <c r="G392" i="55"/>
  <c r="F392" i="55"/>
  <c r="E392" i="55"/>
  <c r="D392" i="55"/>
  <c r="AB391" i="55"/>
  <c r="AA391" i="55"/>
  <c r="Z391" i="55"/>
  <c r="Y391" i="55"/>
  <c r="X391" i="55"/>
  <c r="W391" i="55"/>
  <c r="V391" i="55"/>
  <c r="U391" i="55"/>
  <c r="T391" i="55"/>
  <c r="S391" i="55"/>
  <c r="R391" i="55"/>
  <c r="Q391" i="55"/>
  <c r="P391" i="55"/>
  <c r="O391" i="55"/>
  <c r="N391" i="55"/>
  <c r="M391" i="55"/>
  <c r="L391" i="55"/>
  <c r="K391" i="55"/>
  <c r="J391" i="55"/>
  <c r="I391" i="55"/>
  <c r="H391" i="55"/>
  <c r="G391" i="55"/>
  <c r="F391" i="55"/>
  <c r="E391" i="55"/>
  <c r="D391" i="55"/>
  <c r="AB390" i="55"/>
  <c r="AA390" i="55"/>
  <c r="Z390" i="55"/>
  <c r="Y390" i="55"/>
  <c r="X390" i="55"/>
  <c r="W390" i="55"/>
  <c r="V390" i="55"/>
  <c r="U390" i="55"/>
  <c r="T390" i="55"/>
  <c r="S390" i="55"/>
  <c r="R390" i="55"/>
  <c r="Q390" i="55"/>
  <c r="P390" i="55"/>
  <c r="O390" i="55"/>
  <c r="N390" i="55"/>
  <c r="M390" i="55"/>
  <c r="L390" i="55"/>
  <c r="K390" i="55"/>
  <c r="J390" i="55"/>
  <c r="I390" i="55"/>
  <c r="H390" i="55"/>
  <c r="G390" i="55"/>
  <c r="F390" i="55"/>
  <c r="E390" i="55"/>
  <c r="D390" i="55"/>
  <c r="AB389" i="55"/>
  <c r="AA389" i="55"/>
  <c r="Z389" i="55"/>
  <c r="Y389" i="55"/>
  <c r="X389" i="55"/>
  <c r="W389" i="55"/>
  <c r="V389" i="55"/>
  <c r="U389" i="55"/>
  <c r="T389" i="55"/>
  <c r="S389" i="55"/>
  <c r="R389" i="55"/>
  <c r="Q389" i="55"/>
  <c r="P389" i="55"/>
  <c r="O389" i="55"/>
  <c r="N389" i="55"/>
  <c r="M389" i="55"/>
  <c r="L389" i="55"/>
  <c r="K389" i="55"/>
  <c r="J389" i="55"/>
  <c r="I389" i="55"/>
  <c r="H389" i="55"/>
  <c r="G389" i="55"/>
  <c r="F389" i="55"/>
  <c r="E389" i="55"/>
  <c r="D389" i="55"/>
  <c r="AB388" i="55"/>
  <c r="AA388" i="55"/>
  <c r="Z388" i="55"/>
  <c r="Y388" i="55"/>
  <c r="X388" i="55"/>
  <c r="W388" i="55"/>
  <c r="V388" i="55"/>
  <c r="U388" i="55"/>
  <c r="T388" i="55"/>
  <c r="S388" i="55"/>
  <c r="R388" i="55"/>
  <c r="Q388" i="55"/>
  <c r="P388" i="55"/>
  <c r="O388" i="55"/>
  <c r="N388" i="55"/>
  <c r="M388" i="55"/>
  <c r="L388" i="55"/>
  <c r="K388" i="55"/>
  <c r="J388" i="55"/>
  <c r="I388" i="55"/>
  <c r="H388" i="55"/>
  <c r="G388" i="55"/>
  <c r="F388" i="55"/>
  <c r="E388" i="55"/>
  <c r="D388" i="55"/>
  <c r="AB387" i="55"/>
  <c r="AA387" i="55"/>
  <c r="Z387" i="55"/>
  <c r="Y387" i="55"/>
  <c r="X387" i="55"/>
  <c r="W387" i="55"/>
  <c r="V387" i="55"/>
  <c r="U387" i="55"/>
  <c r="T387" i="55"/>
  <c r="S387" i="55"/>
  <c r="R387" i="55"/>
  <c r="Q387" i="55"/>
  <c r="P387" i="55"/>
  <c r="O387" i="55"/>
  <c r="N387" i="55"/>
  <c r="M387" i="55"/>
  <c r="L387" i="55"/>
  <c r="K387" i="55"/>
  <c r="J387" i="55"/>
  <c r="I387" i="55"/>
  <c r="H387" i="55"/>
  <c r="G387" i="55"/>
  <c r="F387" i="55"/>
  <c r="E387" i="55"/>
  <c r="D387" i="55"/>
  <c r="AB386" i="55"/>
  <c r="AA386" i="55"/>
  <c r="Z386" i="55"/>
  <c r="Y386" i="55"/>
  <c r="X386" i="55"/>
  <c r="W386" i="55"/>
  <c r="V386" i="55"/>
  <c r="U386" i="55"/>
  <c r="T386" i="55"/>
  <c r="S386" i="55"/>
  <c r="R386" i="55"/>
  <c r="Q386" i="55"/>
  <c r="P386" i="55"/>
  <c r="O386" i="55"/>
  <c r="N386" i="55"/>
  <c r="M386" i="55"/>
  <c r="L386" i="55"/>
  <c r="K386" i="55"/>
  <c r="J386" i="55"/>
  <c r="I386" i="55"/>
  <c r="H386" i="55"/>
  <c r="G386" i="55"/>
  <c r="F386" i="55"/>
  <c r="E386" i="55"/>
  <c r="D386" i="55"/>
  <c r="AB385" i="55"/>
  <c r="AA385" i="55"/>
  <c r="Z385" i="55"/>
  <c r="Y385" i="55"/>
  <c r="X385" i="55"/>
  <c r="W385" i="55"/>
  <c r="V385" i="55"/>
  <c r="U385" i="55"/>
  <c r="T385" i="55"/>
  <c r="S385" i="55"/>
  <c r="R385" i="55"/>
  <c r="Q385" i="55"/>
  <c r="P385" i="55"/>
  <c r="O385" i="55"/>
  <c r="N385" i="55"/>
  <c r="M385" i="55"/>
  <c r="L385" i="55"/>
  <c r="K385" i="55"/>
  <c r="J385" i="55"/>
  <c r="I385" i="55"/>
  <c r="H385" i="55"/>
  <c r="G385" i="55"/>
  <c r="F385" i="55"/>
  <c r="E385" i="55"/>
  <c r="D385" i="55"/>
  <c r="AB384" i="55"/>
  <c r="AA384" i="55"/>
  <c r="Z384" i="55"/>
  <c r="Y384" i="55"/>
  <c r="X384" i="55"/>
  <c r="W384" i="55"/>
  <c r="V384" i="55"/>
  <c r="U384" i="55"/>
  <c r="T384" i="55"/>
  <c r="S384" i="55"/>
  <c r="R384" i="55"/>
  <c r="Q384" i="55"/>
  <c r="P384" i="55"/>
  <c r="O384" i="55"/>
  <c r="N384" i="55"/>
  <c r="M384" i="55"/>
  <c r="L384" i="55"/>
  <c r="K384" i="55"/>
  <c r="J384" i="55"/>
  <c r="I384" i="55"/>
  <c r="H384" i="55"/>
  <c r="G384" i="55"/>
  <c r="F384" i="55"/>
  <c r="E384" i="55"/>
  <c r="D384" i="55"/>
  <c r="AB383" i="55"/>
  <c r="AA383" i="55"/>
  <c r="Z383" i="55"/>
  <c r="Y383" i="55"/>
  <c r="X383" i="55"/>
  <c r="W383" i="55"/>
  <c r="V383" i="55"/>
  <c r="U383" i="55"/>
  <c r="T383" i="55"/>
  <c r="S383" i="55"/>
  <c r="R383" i="55"/>
  <c r="Q383" i="55"/>
  <c r="P383" i="55"/>
  <c r="O383" i="55"/>
  <c r="N383" i="55"/>
  <c r="M383" i="55"/>
  <c r="L383" i="55"/>
  <c r="K383" i="55"/>
  <c r="J383" i="55"/>
  <c r="I383" i="55"/>
  <c r="H383" i="55"/>
  <c r="G383" i="55"/>
  <c r="F383" i="55"/>
  <c r="E383" i="55"/>
  <c r="D383" i="55"/>
  <c r="AB382" i="55"/>
  <c r="AA382" i="55"/>
  <c r="Z382" i="55"/>
  <c r="Y382" i="55"/>
  <c r="X382" i="55"/>
  <c r="W382" i="55"/>
  <c r="V382" i="55"/>
  <c r="U382" i="55"/>
  <c r="T382" i="55"/>
  <c r="S382" i="55"/>
  <c r="R382" i="55"/>
  <c r="Q382" i="55"/>
  <c r="P382" i="55"/>
  <c r="O382" i="55"/>
  <c r="N382" i="55"/>
  <c r="M382" i="55"/>
  <c r="L382" i="55"/>
  <c r="K382" i="55"/>
  <c r="J382" i="55"/>
  <c r="I382" i="55"/>
  <c r="H382" i="55"/>
  <c r="G382" i="55"/>
  <c r="F382" i="55"/>
  <c r="E382" i="55"/>
  <c r="D382" i="55"/>
  <c r="AB381" i="55"/>
  <c r="AA381" i="55"/>
  <c r="Z381" i="55"/>
  <c r="Y381" i="55"/>
  <c r="X381" i="55"/>
  <c r="W381" i="55"/>
  <c r="V381" i="55"/>
  <c r="U381" i="55"/>
  <c r="T381" i="55"/>
  <c r="S381" i="55"/>
  <c r="R381" i="55"/>
  <c r="Q381" i="55"/>
  <c r="P381" i="55"/>
  <c r="O381" i="55"/>
  <c r="N381" i="55"/>
  <c r="M381" i="55"/>
  <c r="L381" i="55"/>
  <c r="K381" i="55"/>
  <c r="J381" i="55"/>
  <c r="I381" i="55"/>
  <c r="H381" i="55"/>
  <c r="G381" i="55"/>
  <c r="F381" i="55"/>
  <c r="E381" i="55"/>
  <c r="D381" i="55"/>
  <c r="AB380" i="55"/>
  <c r="AA380" i="55"/>
  <c r="Z380" i="55"/>
  <c r="Y380" i="55"/>
  <c r="X380" i="55"/>
  <c r="W380" i="55"/>
  <c r="V380" i="55"/>
  <c r="U380" i="55"/>
  <c r="T380" i="55"/>
  <c r="S380" i="55"/>
  <c r="R380" i="55"/>
  <c r="Q380" i="55"/>
  <c r="P380" i="55"/>
  <c r="O380" i="55"/>
  <c r="N380" i="55"/>
  <c r="M380" i="55"/>
  <c r="L380" i="55"/>
  <c r="K380" i="55"/>
  <c r="J380" i="55"/>
  <c r="I380" i="55"/>
  <c r="H380" i="55"/>
  <c r="G380" i="55"/>
  <c r="F380" i="55"/>
  <c r="E380" i="55"/>
  <c r="D380" i="55"/>
  <c r="AB379" i="55"/>
  <c r="AA379" i="55"/>
  <c r="Z379" i="55"/>
  <c r="Y379" i="55"/>
  <c r="X379" i="55"/>
  <c r="W379" i="55"/>
  <c r="V379" i="55"/>
  <c r="U379" i="55"/>
  <c r="T379" i="55"/>
  <c r="S379" i="55"/>
  <c r="R379" i="55"/>
  <c r="Q379" i="55"/>
  <c r="P379" i="55"/>
  <c r="O379" i="55"/>
  <c r="N379" i="55"/>
  <c r="M379" i="55"/>
  <c r="L379" i="55"/>
  <c r="K379" i="55"/>
  <c r="J379" i="55"/>
  <c r="I379" i="55"/>
  <c r="H379" i="55"/>
  <c r="G379" i="55"/>
  <c r="F379" i="55"/>
  <c r="E379" i="55"/>
  <c r="D379" i="55"/>
  <c r="AB378" i="55"/>
  <c r="AA378" i="55"/>
  <c r="Z378" i="55"/>
  <c r="Y378" i="55"/>
  <c r="X378" i="55"/>
  <c r="W378" i="55"/>
  <c r="V378" i="55"/>
  <c r="U378" i="55"/>
  <c r="T378" i="55"/>
  <c r="S378" i="55"/>
  <c r="R378" i="55"/>
  <c r="Q378" i="55"/>
  <c r="P378" i="55"/>
  <c r="O378" i="55"/>
  <c r="N378" i="55"/>
  <c r="M378" i="55"/>
  <c r="L378" i="55"/>
  <c r="K378" i="55"/>
  <c r="J378" i="55"/>
  <c r="I378" i="55"/>
  <c r="H378" i="55"/>
  <c r="G378" i="55"/>
  <c r="F378" i="55"/>
  <c r="E378" i="55"/>
  <c r="D378" i="55"/>
  <c r="AB377" i="55"/>
  <c r="AA377" i="55"/>
  <c r="Z377" i="55"/>
  <c r="Y377" i="55"/>
  <c r="X377" i="55"/>
  <c r="W377" i="55"/>
  <c r="V377" i="55"/>
  <c r="U377" i="55"/>
  <c r="T377" i="55"/>
  <c r="S377" i="55"/>
  <c r="R377" i="55"/>
  <c r="Q377" i="55"/>
  <c r="P377" i="55"/>
  <c r="O377" i="55"/>
  <c r="N377" i="55"/>
  <c r="M377" i="55"/>
  <c r="L377" i="55"/>
  <c r="K377" i="55"/>
  <c r="J377" i="55"/>
  <c r="I377" i="55"/>
  <c r="H377" i="55"/>
  <c r="G377" i="55"/>
  <c r="F377" i="55"/>
  <c r="E377" i="55"/>
  <c r="D377" i="55"/>
  <c r="AB376" i="55"/>
  <c r="AA376" i="55"/>
  <c r="Z376" i="55"/>
  <c r="Y376" i="55"/>
  <c r="X376" i="55"/>
  <c r="W376" i="55"/>
  <c r="V376" i="55"/>
  <c r="U376" i="55"/>
  <c r="T376" i="55"/>
  <c r="S376" i="55"/>
  <c r="R376" i="55"/>
  <c r="Q376" i="55"/>
  <c r="P376" i="55"/>
  <c r="O376" i="55"/>
  <c r="N376" i="55"/>
  <c r="M376" i="55"/>
  <c r="L376" i="55"/>
  <c r="K376" i="55"/>
  <c r="J376" i="55"/>
  <c r="I376" i="55"/>
  <c r="H376" i="55"/>
  <c r="G376" i="55"/>
  <c r="F376" i="55"/>
  <c r="E376" i="55"/>
  <c r="D376" i="55"/>
  <c r="AB375" i="55"/>
  <c r="AA375" i="55"/>
  <c r="Z375" i="55"/>
  <c r="Y375" i="55"/>
  <c r="X375" i="55"/>
  <c r="W375" i="55"/>
  <c r="V375" i="55"/>
  <c r="U375" i="55"/>
  <c r="T375" i="55"/>
  <c r="S375" i="55"/>
  <c r="R375" i="55"/>
  <c r="Q375" i="55"/>
  <c r="P375" i="55"/>
  <c r="O375" i="55"/>
  <c r="N375" i="55"/>
  <c r="M375" i="55"/>
  <c r="L375" i="55"/>
  <c r="K375" i="55"/>
  <c r="J375" i="55"/>
  <c r="I375" i="55"/>
  <c r="H375" i="55"/>
  <c r="G375" i="55"/>
  <c r="F375" i="55"/>
  <c r="E375" i="55"/>
  <c r="D375" i="55"/>
  <c r="AB374" i="55"/>
  <c r="AA374" i="55"/>
  <c r="Z374" i="55"/>
  <c r="Y374" i="55"/>
  <c r="X374" i="55"/>
  <c r="W374" i="55"/>
  <c r="V374" i="55"/>
  <c r="U374" i="55"/>
  <c r="T374" i="55"/>
  <c r="S374" i="55"/>
  <c r="R374" i="55"/>
  <c r="Q374" i="55"/>
  <c r="P374" i="55"/>
  <c r="O374" i="55"/>
  <c r="N374" i="55"/>
  <c r="M374" i="55"/>
  <c r="L374" i="55"/>
  <c r="K374" i="55"/>
  <c r="J374" i="55"/>
  <c r="I374" i="55"/>
  <c r="H374" i="55"/>
  <c r="G374" i="55"/>
  <c r="F374" i="55"/>
  <c r="E374" i="55"/>
  <c r="D374" i="55"/>
  <c r="AB373" i="55"/>
  <c r="AA373" i="55"/>
  <c r="Z373" i="55"/>
  <c r="Y373" i="55"/>
  <c r="X373" i="55"/>
  <c r="W373" i="55"/>
  <c r="V373" i="55"/>
  <c r="U373" i="55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F373" i="55"/>
  <c r="E373" i="55"/>
  <c r="D373" i="55"/>
  <c r="AB372" i="55"/>
  <c r="AA372" i="55"/>
  <c r="Z372" i="55"/>
  <c r="Y372" i="55"/>
  <c r="X372" i="55"/>
  <c r="W372" i="55"/>
  <c r="V372" i="55"/>
  <c r="U372" i="55"/>
  <c r="T372" i="55"/>
  <c r="S372" i="55"/>
  <c r="R372" i="55"/>
  <c r="Q372" i="55"/>
  <c r="P372" i="55"/>
  <c r="O372" i="55"/>
  <c r="N372" i="55"/>
  <c r="M372" i="55"/>
  <c r="L372" i="55"/>
  <c r="K372" i="55"/>
  <c r="J372" i="55"/>
  <c r="I372" i="55"/>
  <c r="H372" i="55"/>
  <c r="G372" i="55"/>
  <c r="F372" i="55"/>
  <c r="E372" i="55"/>
  <c r="D372" i="55"/>
  <c r="AB371" i="55"/>
  <c r="AA371" i="55"/>
  <c r="Z371" i="55"/>
  <c r="Y371" i="55"/>
  <c r="X371" i="55"/>
  <c r="W371" i="55"/>
  <c r="V371" i="55"/>
  <c r="U371" i="55"/>
  <c r="T371" i="55"/>
  <c r="S371" i="55"/>
  <c r="R371" i="55"/>
  <c r="Q371" i="55"/>
  <c r="P371" i="55"/>
  <c r="O371" i="55"/>
  <c r="N371" i="55"/>
  <c r="M371" i="55"/>
  <c r="L371" i="55"/>
  <c r="K371" i="55"/>
  <c r="J371" i="55"/>
  <c r="I371" i="55"/>
  <c r="H371" i="55"/>
  <c r="G371" i="55"/>
  <c r="F371" i="55"/>
  <c r="E371" i="55"/>
  <c r="D371" i="55"/>
  <c r="AB370" i="55"/>
  <c r="AA370" i="55"/>
  <c r="Z370" i="55"/>
  <c r="Y370" i="55"/>
  <c r="X370" i="55"/>
  <c r="W370" i="55"/>
  <c r="V370" i="55"/>
  <c r="U370" i="55"/>
  <c r="T370" i="55"/>
  <c r="S370" i="55"/>
  <c r="R370" i="55"/>
  <c r="Q370" i="55"/>
  <c r="P370" i="55"/>
  <c r="O370" i="55"/>
  <c r="N370" i="55"/>
  <c r="M370" i="55"/>
  <c r="L370" i="55"/>
  <c r="K370" i="55"/>
  <c r="J370" i="55"/>
  <c r="I370" i="55"/>
  <c r="H370" i="55"/>
  <c r="G370" i="55"/>
  <c r="F370" i="55"/>
  <c r="E370" i="55"/>
  <c r="D370" i="55"/>
  <c r="AB369" i="55"/>
  <c r="AA369" i="55"/>
  <c r="Z369" i="55"/>
  <c r="Y369" i="55"/>
  <c r="X369" i="55"/>
  <c r="W369" i="55"/>
  <c r="V369" i="55"/>
  <c r="U369" i="55"/>
  <c r="T369" i="55"/>
  <c r="S369" i="55"/>
  <c r="R369" i="55"/>
  <c r="Q369" i="55"/>
  <c r="P369" i="55"/>
  <c r="O369" i="55"/>
  <c r="N369" i="55"/>
  <c r="M369" i="55"/>
  <c r="L369" i="55"/>
  <c r="K369" i="55"/>
  <c r="J369" i="55"/>
  <c r="I369" i="55"/>
  <c r="H369" i="55"/>
  <c r="G369" i="55"/>
  <c r="F369" i="55"/>
  <c r="E369" i="55"/>
  <c r="D369" i="55"/>
  <c r="AB368" i="55"/>
  <c r="AA368" i="55"/>
  <c r="Z368" i="55"/>
  <c r="Y368" i="55"/>
  <c r="X368" i="55"/>
  <c r="W368" i="55"/>
  <c r="V368" i="55"/>
  <c r="U368" i="55"/>
  <c r="T368" i="55"/>
  <c r="S368" i="55"/>
  <c r="R368" i="55"/>
  <c r="Q368" i="55"/>
  <c r="P368" i="55"/>
  <c r="O368" i="55"/>
  <c r="N368" i="55"/>
  <c r="M368" i="55"/>
  <c r="L368" i="55"/>
  <c r="K368" i="55"/>
  <c r="J368" i="55"/>
  <c r="I368" i="55"/>
  <c r="H368" i="55"/>
  <c r="G368" i="55"/>
  <c r="F368" i="55"/>
  <c r="E368" i="55"/>
  <c r="D368" i="55"/>
  <c r="AB367" i="55"/>
  <c r="AA367" i="55"/>
  <c r="Z367" i="55"/>
  <c r="Y367" i="55"/>
  <c r="X367" i="55"/>
  <c r="W367" i="55"/>
  <c r="V367" i="55"/>
  <c r="U367" i="55"/>
  <c r="T367" i="55"/>
  <c r="S367" i="55"/>
  <c r="R367" i="55"/>
  <c r="Q367" i="55"/>
  <c r="P367" i="55"/>
  <c r="O367" i="55"/>
  <c r="N367" i="55"/>
  <c r="M367" i="55"/>
  <c r="L367" i="55"/>
  <c r="K367" i="55"/>
  <c r="J367" i="55"/>
  <c r="I367" i="55"/>
  <c r="H367" i="55"/>
  <c r="G367" i="55"/>
  <c r="F367" i="55"/>
  <c r="E367" i="55"/>
  <c r="D367" i="55"/>
  <c r="AB366" i="55"/>
  <c r="AA366" i="55"/>
  <c r="Z366" i="55"/>
  <c r="Y366" i="55"/>
  <c r="X366" i="55"/>
  <c r="W366" i="55"/>
  <c r="V366" i="55"/>
  <c r="U366" i="55"/>
  <c r="T366" i="55"/>
  <c r="S366" i="55"/>
  <c r="R366" i="55"/>
  <c r="Q366" i="55"/>
  <c r="P366" i="55"/>
  <c r="O366" i="55"/>
  <c r="N366" i="55"/>
  <c r="M366" i="55"/>
  <c r="L366" i="55"/>
  <c r="K366" i="55"/>
  <c r="J366" i="55"/>
  <c r="I366" i="55"/>
  <c r="H366" i="55"/>
  <c r="G366" i="55"/>
  <c r="F366" i="55"/>
  <c r="E366" i="55"/>
  <c r="D366" i="55"/>
  <c r="AB365" i="55"/>
  <c r="AA365" i="55"/>
  <c r="Z365" i="55"/>
  <c r="Y365" i="55"/>
  <c r="X365" i="55"/>
  <c r="W365" i="55"/>
  <c r="V365" i="55"/>
  <c r="U365" i="55"/>
  <c r="T365" i="55"/>
  <c r="S365" i="55"/>
  <c r="R365" i="55"/>
  <c r="Q365" i="55"/>
  <c r="P365" i="55"/>
  <c r="O365" i="55"/>
  <c r="N365" i="55"/>
  <c r="M365" i="55"/>
  <c r="L365" i="55"/>
  <c r="K365" i="55"/>
  <c r="J365" i="55"/>
  <c r="I365" i="55"/>
  <c r="H365" i="55"/>
  <c r="G365" i="55"/>
  <c r="F365" i="55"/>
  <c r="E365" i="55"/>
  <c r="D365" i="55"/>
  <c r="AB364" i="55"/>
  <c r="AA364" i="55"/>
  <c r="Z364" i="55"/>
  <c r="Y364" i="55"/>
  <c r="X364" i="55"/>
  <c r="W364" i="55"/>
  <c r="V364" i="55"/>
  <c r="U364" i="55"/>
  <c r="T364" i="55"/>
  <c r="S364" i="55"/>
  <c r="R364" i="55"/>
  <c r="Q364" i="55"/>
  <c r="P364" i="55"/>
  <c r="O364" i="55"/>
  <c r="N364" i="55"/>
  <c r="M364" i="55"/>
  <c r="L364" i="55"/>
  <c r="K364" i="55"/>
  <c r="J364" i="55"/>
  <c r="I364" i="55"/>
  <c r="H364" i="55"/>
  <c r="G364" i="55"/>
  <c r="F364" i="55"/>
  <c r="E364" i="55"/>
  <c r="D364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G363" i="55"/>
  <c r="F363" i="55"/>
  <c r="E363" i="55"/>
  <c r="D363" i="55"/>
  <c r="AB362" i="55"/>
  <c r="AA362" i="55"/>
  <c r="Z362" i="55"/>
  <c r="Y362" i="55"/>
  <c r="X362" i="55"/>
  <c r="W362" i="55"/>
  <c r="V362" i="55"/>
  <c r="U362" i="55"/>
  <c r="T362" i="55"/>
  <c r="S362" i="55"/>
  <c r="R362" i="55"/>
  <c r="Q362" i="55"/>
  <c r="P362" i="55"/>
  <c r="O362" i="55"/>
  <c r="N362" i="55"/>
  <c r="M362" i="55"/>
  <c r="L362" i="55"/>
  <c r="K362" i="55"/>
  <c r="J362" i="55"/>
  <c r="I362" i="55"/>
  <c r="H362" i="55"/>
  <c r="G362" i="55"/>
  <c r="F362" i="55"/>
  <c r="E362" i="55"/>
  <c r="D362" i="55"/>
  <c r="AB361" i="55"/>
  <c r="AA361" i="55"/>
  <c r="Z361" i="55"/>
  <c r="Y361" i="55"/>
  <c r="X361" i="55"/>
  <c r="W361" i="55"/>
  <c r="V361" i="55"/>
  <c r="U361" i="55"/>
  <c r="T361" i="55"/>
  <c r="S361" i="55"/>
  <c r="R361" i="55"/>
  <c r="Q361" i="55"/>
  <c r="P361" i="55"/>
  <c r="O361" i="55"/>
  <c r="N361" i="55"/>
  <c r="M361" i="55"/>
  <c r="L361" i="55"/>
  <c r="K361" i="55"/>
  <c r="J361" i="55"/>
  <c r="I361" i="55"/>
  <c r="H361" i="55"/>
  <c r="G361" i="55"/>
  <c r="F361" i="55"/>
  <c r="E361" i="55"/>
  <c r="D361" i="55"/>
  <c r="AB360" i="55"/>
  <c r="AA360" i="55"/>
  <c r="Z360" i="55"/>
  <c r="Y360" i="55"/>
  <c r="X360" i="55"/>
  <c r="W360" i="55"/>
  <c r="V360" i="55"/>
  <c r="U360" i="55"/>
  <c r="T360" i="55"/>
  <c r="S360" i="55"/>
  <c r="R360" i="55"/>
  <c r="Q360" i="55"/>
  <c r="P360" i="55"/>
  <c r="O360" i="55"/>
  <c r="N360" i="55"/>
  <c r="M360" i="55"/>
  <c r="L360" i="55"/>
  <c r="K360" i="55"/>
  <c r="J360" i="55"/>
  <c r="I360" i="55"/>
  <c r="H360" i="55"/>
  <c r="G360" i="55"/>
  <c r="F360" i="55"/>
  <c r="E360" i="55"/>
  <c r="D360" i="55"/>
  <c r="AB359" i="55"/>
  <c r="AA359" i="55"/>
  <c r="Z359" i="55"/>
  <c r="Y359" i="55"/>
  <c r="X359" i="55"/>
  <c r="W359" i="55"/>
  <c r="V359" i="55"/>
  <c r="U359" i="55"/>
  <c r="T359" i="55"/>
  <c r="S359" i="55"/>
  <c r="R359" i="55"/>
  <c r="Q359" i="55"/>
  <c r="P359" i="55"/>
  <c r="O359" i="55"/>
  <c r="N359" i="55"/>
  <c r="M359" i="55"/>
  <c r="L359" i="55"/>
  <c r="K359" i="55"/>
  <c r="J359" i="55"/>
  <c r="I359" i="55"/>
  <c r="H359" i="55"/>
  <c r="G359" i="55"/>
  <c r="F359" i="55"/>
  <c r="E359" i="55"/>
  <c r="D359" i="55"/>
  <c r="AB358" i="55"/>
  <c r="AA358" i="55"/>
  <c r="Z358" i="55"/>
  <c r="Y358" i="55"/>
  <c r="X358" i="55"/>
  <c r="W358" i="55"/>
  <c r="V358" i="55"/>
  <c r="U358" i="55"/>
  <c r="T358" i="55"/>
  <c r="S358" i="55"/>
  <c r="R358" i="55"/>
  <c r="Q358" i="55"/>
  <c r="P358" i="55"/>
  <c r="O358" i="55"/>
  <c r="N358" i="55"/>
  <c r="M358" i="55"/>
  <c r="L358" i="55"/>
  <c r="K358" i="55"/>
  <c r="J358" i="55"/>
  <c r="I358" i="55"/>
  <c r="H358" i="55"/>
  <c r="G358" i="55"/>
  <c r="F358" i="55"/>
  <c r="E358" i="55"/>
  <c r="D358" i="55"/>
  <c r="AB357" i="55"/>
  <c r="AA357" i="55"/>
  <c r="Z357" i="55"/>
  <c r="Y357" i="55"/>
  <c r="X357" i="55"/>
  <c r="W357" i="55"/>
  <c r="V357" i="55"/>
  <c r="U357" i="55"/>
  <c r="T357" i="55"/>
  <c r="S357" i="55"/>
  <c r="R357" i="55"/>
  <c r="Q357" i="55"/>
  <c r="P357" i="55"/>
  <c r="O357" i="55"/>
  <c r="N357" i="55"/>
  <c r="M357" i="55"/>
  <c r="L357" i="55"/>
  <c r="K357" i="55"/>
  <c r="J357" i="55"/>
  <c r="I357" i="55"/>
  <c r="H357" i="55"/>
  <c r="G357" i="55"/>
  <c r="F357" i="55"/>
  <c r="E357" i="55"/>
  <c r="D357" i="55"/>
  <c r="AB356" i="55"/>
  <c r="AA356" i="55"/>
  <c r="Z356" i="55"/>
  <c r="Y356" i="55"/>
  <c r="X356" i="55"/>
  <c r="W356" i="55"/>
  <c r="V356" i="55"/>
  <c r="U356" i="55"/>
  <c r="T356" i="55"/>
  <c r="S356" i="55"/>
  <c r="R356" i="55"/>
  <c r="Q356" i="55"/>
  <c r="P356" i="55"/>
  <c r="O356" i="55"/>
  <c r="N356" i="55"/>
  <c r="M356" i="55"/>
  <c r="L356" i="55"/>
  <c r="K356" i="55"/>
  <c r="J356" i="55"/>
  <c r="I356" i="55"/>
  <c r="H356" i="55"/>
  <c r="G356" i="55"/>
  <c r="F356" i="55"/>
  <c r="E356" i="55"/>
  <c r="D356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F355" i="55"/>
  <c r="E355" i="55"/>
  <c r="D355" i="55"/>
  <c r="AB354" i="55"/>
  <c r="AA354" i="55"/>
  <c r="Z354" i="55"/>
  <c r="Y354" i="55"/>
  <c r="X354" i="55"/>
  <c r="W354" i="55"/>
  <c r="V354" i="55"/>
  <c r="U354" i="55"/>
  <c r="T354" i="55"/>
  <c r="S354" i="55"/>
  <c r="R354" i="55"/>
  <c r="Q354" i="55"/>
  <c r="P354" i="55"/>
  <c r="O354" i="55"/>
  <c r="N354" i="55"/>
  <c r="M354" i="55"/>
  <c r="L354" i="55"/>
  <c r="K354" i="55"/>
  <c r="J354" i="55"/>
  <c r="I354" i="55"/>
  <c r="H354" i="55"/>
  <c r="G354" i="55"/>
  <c r="F354" i="55"/>
  <c r="E354" i="55"/>
  <c r="D354" i="55"/>
  <c r="AB352" i="55"/>
  <c r="AA352" i="55"/>
  <c r="Z352" i="55"/>
  <c r="Y352" i="55"/>
  <c r="X352" i="55"/>
  <c r="W352" i="55"/>
  <c r="V352" i="55"/>
  <c r="U352" i="55"/>
  <c r="T352" i="55"/>
  <c r="S352" i="55"/>
  <c r="R352" i="55"/>
  <c r="Q352" i="55"/>
  <c r="P352" i="55"/>
  <c r="O352" i="55"/>
  <c r="N352" i="55"/>
  <c r="M352" i="55"/>
  <c r="L352" i="55"/>
  <c r="K352" i="55"/>
  <c r="J352" i="55"/>
  <c r="I352" i="55"/>
  <c r="H352" i="55"/>
  <c r="G352" i="55"/>
  <c r="F352" i="55"/>
  <c r="E352" i="55"/>
  <c r="D352" i="55"/>
  <c r="AB351" i="55"/>
  <c r="AA351" i="55"/>
  <c r="Z351" i="55"/>
  <c r="Y351" i="55"/>
  <c r="X351" i="55"/>
  <c r="W351" i="55"/>
  <c r="V351" i="55"/>
  <c r="U351" i="55"/>
  <c r="T351" i="55"/>
  <c r="S351" i="55"/>
  <c r="R351" i="55"/>
  <c r="Q351" i="55"/>
  <c r="P351" i="55"/>
  <c r="O351" i="55"/>
  <c r="N351" i="55"/>
  <c r="M351" i="55"/>
  <c r="L351" i="55"/>
  <c r="K351" i="55"/>
  <c r="J351" i="55"/>
  <c r="I351" i="55"/>
  <c r="H351" i="55"/>
  <c r="G351" i="55"/>
  <c r="F351" i="55"/>
  <c r="E351" i="55"/>
  <c r="D351" i="55"/>
  <c r="AB350" i="55"/>
  <c r="AA350" i="55"/>
  <c r="Z350" i="55"/>
  <c r="Y350" i="55"/>
  <c r="X350" i="55"/>
  <c r="W350" i="55"/>
  <c r="V350" i="55"/>
  <c r="U350" i="55"/>
  <c r="T350" i="55"/>
  <c r="S350" i="55"/>
  <c r="R350" i="55"/>
  <c r="Q350" i="55"/>
  <c r="P350" i="55"/>
  <c r="O350" i="55"/>
  <c r="N350" i="55"/>
  <c r="M350" i="55"/>
  <c r="L350" i="55"/>
  <c r="K350" i="55"/>
  <c r="J350" i="55"/>
  <c r="I350" i="55"/>
  <c r="H350" i="55"/>
  <c r="G350" i="55"/>
  <c r="F350" i="55"/>
  <c r="E350" i="55"/>
  <c r="D350" i="55"/>
  <c r="AB349" i="55"/>
  <c r="AA349" i="55"/>
  <c r="Z349" i="55"/>
  <c r="Y349" i="55"/>
  <c r="X349" i="55"/>
  <c r="W349" i="55"/>
  <c r="V349" i="55"/>
  <c r="U349" i="55"/>
  <c r="T349" i="55"/>
  <c r="S349" i="55"/>
  <c r="R349" i="55"/>
  <c r="Q349" i="55"/>
  <c r="P349" i="55"/>
  <c r="O349" i="55"/>
  <c r="N349" i="55"/>
  <c r="M349" i="55"/>
  <c r="L349" i="55"/>
  <c r="K349" i="55"/>
  <c r="J349" i="55"/>
  <c r="I349" i="55"/>
  <c r="H349" i="55"/>
  <c r="G349" i="55"/>
  <c r="F349" i="55"/>
  <c r="E349" i="55"/>
  <c r="D349" i="55"/>
  <c r="AB348" i="55"/>
  <c r="AA348" i="55"/>
  <c r="Z348" i="55"/>
  <c r="Y348" i="55"/>
  <c r="X348" i="55"/>
  <c r="W348" i="55"/>
  <c r="V348" i="55"/>
  <c r="U348" i="55"/>
  <c r="T348" i="55"/>
  <c r="S348" i="55"/>
  <c r="R348" i="55"/>
  <c r="Q348" i="55"/>
  <c r="P348" i="55"/>
  <c r="O348" i="55"/>
  <c r="N348" i="55"/>
  <c r="M348" i="55"/>
  <c r="L348" i="55"/>
  <c r="K348" i="55"/>
  <c r="J348" i="55"/>
  <c r="I348" i="55"/>
  <c r="H348" i="55"/>
  <c r="G348" i="55"/>
  <c r="F348" i="55"/>
  <c r="E348" i="55"/>
  <c r="D348" i="55"/>
  <c r="AB347" i="55"/>
  <c r="AA347" i="55"/>
  <c r="Z347" i="55"/>
  <c r="Y347" i="55"/>
  <c r="X347" i="55"/>
  <c r="W347" i="55"/>
  <c r="V347" i="55"/>
  <c r="U347" i="55"/>
  <c r="T347" i="55"/>
  <c r="S347" i="55"/>
  <c r="R347" i="55"/>
  <c r="Q347" i="55"/>
  <c r="P347" i="55"/>
  <c r="O347" i="55"/>
  <c r="N347" i="55"/>
  <c r="M347" i="55"/>
  <c r="L347" i="55"/>
  <c r="K347" i="55"/>
  <c r="J347" i="55"/>
  <c r="I347" i="55"/>
  <c r="H347" i="55"/>
  <c r="G347" i="55"/>
  <c r="F347" i="55"/>
  <c r="E347" i="55"/>
  <c r="D347" i="55"/>
  <c r="AB346" i="55"/>
  <c r="AA346" i="55"/>
  <c r="Z346" i="55"/>
  <c r="Y346" i="55"/>
  <c r="X346" i="55"/>
  <c r="W346" i="55"/>
  <c r="V346" i="55"/>
  <c r="U346" i="55"/>
  <c r="T346" i="55"/>
  <c r="S346" i="55"/>
  <c r="R346" i="55"/>
  <c r="Q346" i="55"/>
  <c r="P346" i="55"/>
  <c r="O346" i="55"/>
  <c r="N346" i="55"/>
  <c r="M346" i="55"/>
  <c r="L346" i="55"/>
  <c r="K346" i="55"/>
  <c r="J346" i="55"/>
  <c r="I346" i="55"/>
  <c r="H346" i="55"/>
  <c r="G346" i="55"/>
  <c r="F346" i="55"/>
  <c r="E346" i="55"/>
  <c r="D346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5" i="55"/>
  <c r="E345" i="55"/>
  <c r="D345" i="55"/>
  <c r="AB344" i="55"/>
  <c r="AA344" i="55"/>
  <c r="Z344" i="55"/>
  <c r="Y344" i="55"/>
  <c r="X344" i="55"/>
  <c r="W344" i="55"/>
  <c r="V344" i="55"/>
  <c r="U344" i="55"/>
  <c r="T344" i="55"/>
  <c r="S344" i="55"/>
  <c r="R344" i="55"/>
  <c r="Q344" i="55"/>
  <c r="P344" i="55"/>
  <c r="O344" i="55"/>
  <c r="N344" i="55"/>
  <c r="M344" i="55"/>
  <c r="L344" i="55"/>
  <c r="K344" i="55"/>
  <c r="J344" i="55"/>
  <c r="I344" i="55"/>
  <c r="H344" i="55"/>
  <c r="G344" i="55"/>
  <c r="F344" i="55"/>
  <c r="E344" i="55"/>
  <c r="D344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G343" i="55"/>
  <c r="F343" i="55"/>
  <c r="E343" i="55"/>
  <c r="D343" i="55"/>
  <c r="AB342" i="55"/>
  <c r="AA342" i="55"/>
  <c r="Z342" i="55"/>
  <c r="Y342" i="55"/>
  <c r="X342" i="55"/>
  <c r="W342" i="55"/>
  <c r="V342" i="55"/>
  <c r="U342" i="55"/>
  <c r="T342" i="55"/>
  <c r="S342" i="55"/>
  <c r="R342" i="55"/>
  <c r="Q342" i="55"/>
  <c r="P342" i="55"/>
  <c r="O342" i="55"/>
  <c r="N342" i="55"/>
  <c r="M342" i="55"/>
  <c r="L342" i="55"/>
  <c r="K342" i="55"/>
  <c r="J342" i="55"/>
  <c r="I342" i="55"/>
  <c r="H342" i="55"/>
  <c r="G342" i="55"/>
  <c r="F342" i="55"/>
  <c r="E342" i="55"/>
  <c r="D342" i="55"/>
  <c r="AB341" i="55"/>
  <c r="AA341" i="55"/>
  <c r="Z341" i="55"/>
  <c r="Y341" i="55"/>
  <c r="X341" i="55"/>
  <c r="W341" i="55"/>
  <c r="V341" i="55"/>
  <c r="U341" i="55"/>
  <c r="T341" i="55"/>
  <c r="S341" i="55"/>
  <c r="R341" i="55"/>
  <c r="Q341" i="55"/>
  <c r="P341" i="55"/>
  <c r="O341" i="55"/>
  <c r="N341" i="55"/>
  <c r="M341" i="55"/>
  <c r="L341" i="55"/>
  <c r="K341" i="55"/>
  <c r="J341" i="55"/>
  <c r="I341" i="55"/>
  <c r="H341" i="55"/>
  <c r="G341" i="55"/>
  <c r="F341" i="55"/>
  <c r="E341" i="55"/>
  <c r="D341" i="55"/>
  <c r="AB340" i="55"/>
  <c r="AA340" i="55"/>
  <c r="Z340" i="55"/>
  <c r="Y340" i="55"/>
  <c r="X340" i="55"/>
  <c r="W340" i="55"/>
  <c r="V340" i="55"/>
  <c r="U340" i="55"/>
  <c r="T340" i="55"/>
  <c r="S340" i="55"/>
  <c r="R340" i="55"/>
  <c r="Q340" i="55"/>
  <c r="P340" i="55"/>
  <c r="O340" i="55"/>
  <c r="N340" i="55"/>
  <c r="M340" i="55"/>
  <c r="L340" i="55"/>
  <c r="K340" i="55"/>
  <c r="J340" i="55"/>
  <c r="I340" i="55"/>
  <c r="H340" i="55"/>
  <c r="G340" i="55"/>
  <c r="F340" i="55"/>
  <c r="E340" i="55"/>
  <c r="D340" i="55"/>
  <c r="AB339" i="55"/>
  <c r="AA339" i="55"/>
  <c r="Z339" i="55"/>
  <c r="Y339" i="55"/>
  <c r="X339" i="55"/>
  <c r="W339" i="55"/>
  <c r="V339" i="55"/>
  <c r="U339" i="55"/>
  <c r="T339" i="55"/>
  <c r="S339" i="55"/>
  <c r="R339" i="55"/>
  <c r="Q339" i="55"/>
  <c r="P339" i="55"/>
  <c r="O339" i="55"/>
  <c r="N339" i="55"/>
  <c r="M339" i="55"/>
  <c r="L339" i="55"/>
  <c r="K339" i="55"/>
  <c r="J339" i="55"/>
  <c r="I339" i="55"/>
  <c r="H339" i="55"/>
  <c r="G339" i="55"/>
  <c r="F339" i="55"/>
  <c r="E339" i="55"/>
  <c r="D339" i="55"/>
  <c r="AB338" i="55"/>
  <c r="AA338" i="55"/>
  <c r="Z338" i="55"/>
  <c r="Y338" i="55"/>
  <c r="X338" i="55"/>
  <c r="W338" i="55"/>
  <c r="V338" i="55"/>
  <c r="U338" i="55"/>
  <c r="T338" i="55"/>
  <c r="S338" i="55"/>
  <c r="R338" i="55"/>
  <c r="Q338" i="55"/>
  <c r="P338" i="55"/>
  <c r="O338" i="55"/>
  <c r="N338" i="55"/>
  <c r="M338" i="55"/>
  <c r="L338" i="55"/>
  <c r="K338" i="55"/>
  <c r="J338" i="55"/>
  <c r="I338" i="55"/>
  <c r="H338" i="55"/>
  <c r="G338" i="55"/>
  <c r="F338" i="55"/>
  <c r="E338" i="55"/>
  <c r="D338" i="55"/>
  <c r="AB337" i="55"/>
  <c r="AA337" i="55"/>
  <c r="Z337" i="55"/>
  <c r="Y337" i="55"/>
  <c r="X337" i="55"/>
  <c r="W337" i="55"/>
  <c r="V337" i="55"/>
  <c r="U337" i="55"/>
  <c r="T337" i="55"/>
  <c r="S337" i="55"/>
  <c r="R337" i="55"/>
  <c r="Q337" i="55"/>
  <c r="P337" i="55"/>
  <c r="O337" i="55"/>
  <c r="N337" i="55"/>
  <c r="M337" i="55"/>
  <c r="L337" i="55"/>
  <c r="K337" i="55"/>
  <c r="J337" i="55"/>
  <c r="I337" i="55"/>
  <c r="H337" i="55"/>
  <c r="G337" i="55"/>
  <c r="F337" i="55"/>
  <c r="E337" i="55"/>
  <c r="D337" i="55"/>
  <c r="AB336" i="55"/>
  <c r="AA336" i="55"/>
  <c r="Z336" i="55"/>
  <c r="Y336" i="55"/>
  <c r="X336" i="55"/>
  <c r="W336" i="55"/>
  <c r="V336" i="55"/>
  <c r="U336" i="55"/>
  <c r="T336" i="55"/>
  <c r="S336" i="55"/>
  <c r="R336" i="55"/>
  <c r="Q336" i="55"/>
  <c r="P336" i="55"/>
  <c r="O336" i="55"/>
  <c r="N336" i="55"/>
  <c r="M336" i="55"/>
  <c r="L336" i="55"/>
  <c r="K336" i="55"/>
  <c r="J336" i="55"/>
  <c r="I336" i="55"/>
  <c r="H336" i="55"/>
  <c r="G336" i="55"/>
  <c r="F336" i="55"/>
  <c r="E336" i="55"/>
  <c r="D336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5" i="55"/>
  <c r="E335" i="55"/>
  <c r="D335" i="55"/>
  <c r="AB334" i="55"/>
  <c r="AA334" i="55"/>
  <c r="Z334" i="55"/>
  <c r="Y334" i="55"/>
  <c r="X334" i="55"/>
  <c r="W334" i="55"/>
  <c r="V334" i="55"/>
  <c r="U334" i="55"/>
  <c r="T334" i="55"/>
  <c r="S334" i="55"/>
  <c r="R334" i="55"/>
  <c r="Q334" i="55"/>
  <c r="P334" i="55"/>
  <c r="O334" i="55"/>
  <c r="N334" i="55"/>
  <c r="M334" i="55"/>
  <c r="L334" i="55"/>
  <c r="K334" i="55"/>
  <c r="J334" i="55"/>
  <c r="I334" i="55"/>
  <c r="H334" i="55"/>
  <c r="G334" i="55"/>
  <c r="F334" i="55"/>
  <c r="E334" i="55"/>
  <c r="D334" i="55"/>
  <c r="AB333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G333" i="55"/>
  <c r="F333" i="55"/>
  <c r="E333" i="55"/>
  <c r="D333" i="55"/>
  <c r="AB332" i="55"/>
  <c r="AA332" i="55"/>
  <c r="Z332" i="55"/>
  <c r="Y332" i="55"/>
  <c r="X332" i="55"/>
  <c r="W332" i="55"/>
  <c r="V332" i="55"/>
  <c r="U332" i="55"/>
  <c r="T332" i="55"/>
  <c r="S332" i="55"/>
  <c r="R332" i="55"/>
  <c r="Q332" i="55"/>
  <c r="P332" i="55"/>
  <c r="O332" i="55"/>
  <c r="N332" i="55"/>
  <c r="M332" i="55"/>
  <c r="L332" i="55"/>
  <c r="K332" i="55"/>
  <c r="J332" i="55"/>
  <c r="I332" i="55"/>
  <c r="H332" i="55"/>
  <c r="G332" i="55"/>
  <c r="F332" i="55"/>
  <c r="E332" i="55"/>
  <c r="D332" i="55"/>
  <c r="AB331" i="55"/>
  <c r="AA331" i="55"/>
  <c r="Z331" i="55"/>
  <c r="Y331" i="55"/>
  <c r="X331" i="55"/>
  <c r="W331" i="55"/>
  <c r="V331" i="55"/>
  <c r="U331" i="55"/>
  <c r="T331" i="55"/>
  <c r="S331" i="55"/>
  <c r="R331" i="55"/>
  <c r="Q331" i="55"/>
  <c r="P331" i="55"/>
  <c r="O331" i="55"/>
  <c r="N331" i="55"/>
  <c r="M331" i="55"/>
  <c r="L331" i="55"/>
  <c r="K331" i="55"/>
  <c r="J331" i="55"/>
  <c r="I331" i="55"/>
  <c r="H331" i="55"/>
  <c r="G331" i="55"/>
  <c r="F331" i="55"/>
  <c r="E331" i="55"/>
  <c r="D331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0" i="55"/>
  <c r="E330" i="55"/>
  <c r="D330" i="55"/>
  <c r="AB329" i="55"/>
  <c r="AA329" i="55"/>
  <c r="Z329" i="55"/>
  <c r="Y329" i="55"/>
  <c r="X329" i="55"/>
  <c r="W329" i="55"/>
  <c r="V329" i="55"/>
  <c r="U329" i="55"/>
  <c r="T329" i="55"/>
  <c r="S329" i="55"/>
  <c r="R329" i="55"/>
  <c r="Q329" i="55"/>
  <c r="P329" i="55"/>
  <c r="O329" i="55"/>
  <c r="N329" i="55"/>
  <c r="M329" i="55"/>
  <c r="L329" i="55"/>
  <c r="K329" i="55"/>
  <c r="J329" i="55"/>
  <c r="I329" i="55"/>
  <c r="H329" i="55"/>
  <c r="G329" i="55"/>
  <c r="F329" i="55"/>
  <c r="E329" i="55"/>
  <c r="D329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G328" i="55"/>
  <c r="F328" i="55"/>
  <c r="E328" i="55"/>
  <c r="D328" i="55"/>
  <c r="AB327" i="55"/>
  <c r="AA327" i="55"/>
  <c r="Z327" i="55"/>
  <c r="Y327" i="55"/>
  <c r="X327" i="55"/>
  <c r="W327" i="55"/>
  <c r="V327" i="55"/>
  <c r="U327" i="55"/>
  <c r="T327" i="55"/>
  <c r="S327" i="55"/>
  <c r="R327" i="55"/>
  <c r="Q327" i="55"/>
  <c r="P327" i="55"/>
  <c r="O327" i="55"/>
  <c r="N327" i="55"/>
  <c r="M327" i="55"/>
  <c r="L327" i="55"/>
  <c r="K327" i="55"/>
  <c r="J327" i="55"/>
  <c r="I327" i="55"/>
  <c r="H327" i="55"/>
  <c r="G327" i="55"/>
  <c r="F327" i="55"/>
  <c r="E327" i="55"/>
  <c r="D327" i="55"/>
  <c r="AB326" i="55"/>
  <c r="AA326" i="55"/>
  <c r="Z326" i="55"/>
  <c r="Y326" i="55"/>
  <c r="X326" i="55"/>
  <c r="W326" i="55"/>
  <c r="V326" i="55"/>
  <c r="U326" i="55"/>
  <c r="T326" i="55"/>
  <c r="S326" i="55"/>
  <c r="R326" i="55"/>
  <c r="Q326" i="55"/>
  <c r="P326" i="55"/>
  <c r="O326" i="55"/>
  <c r="N326" i="55"/>
  <c r="M326" i="55"/>
  <c r="L326" i="55"/>
  <c r="K326" i="55"/>
  <c r="J326" i="55"/>
  <c r="I326" i="55"/>
  <c r="H326" i="55"/>
  <c r="G326" i="55"/>
  <c r="F326" i="55"/>
  <c r="E326" i="55"/>
  <c r="D326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E325" i="55"/>
  <c r="D325" i="55"/>
  <c r="AB324" i="55"/>
  <c r="AA324" i="55"/>
  <c r="Z324" i="55"/>
  <c r="Y324" i="55"/>
  <c r="X324" i="55"/>
  <c r="W324" i="55"/>
  <c r="V324" i="55"/>
  <c r="U324" i="55"/>
  <c r="T324" i="55"/>
  <c r="S324" i="55"/>
  <c r="R324" i="55"/>
  <c r="Q324" i="55"/>
  <c r="P324" i="55"/>
  <c r="O324" i="55"/>
  <c r="N324" i="55"/>
  <c r="M324" i="55"/>
  <c r="L324" i="55"/>
  <c r="K324" i="55"/>
  <c r="J324" i="55"/>
  <c r="I324" i="55"/>
  <c r="H324" i="55"/>
  <c r="G324" i="55"/>
  <c r="F324" i="55"/>
  <c r="E324" i="55"/>
  <c r="D324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E323" i="55"/>
  <c r="D323" i="55"/>
  <c r="AB322" i="55"/>
  <c r="AA322" i="55"/>
  <c r="Z322" i="55"/>
  <c r="Y322" i="55"/>
  <c r="X322" i="55"/>
  <c r="W322" i="55"/>
  <c r="V322" i="55"/>
  <c r="U322" i="55"/>
  <c r="T322" i="55"/>
  <c r="S322" i="55"/>
  <c r="R322" i="55"/>
  <c r="Q322" i="55"/>
  <c r="P322" i="55"/>
  <c r="O322" i="55"/>
  <c r="N322" i="55"/>
  <c r="M322" i="55"/>
  <c r="L322" i="55"/>
  <c r="K322" i="55"/>
  <c r="J322" i="55"/>
  <c r="I322" i="55"/>
  <c r="H322" i="55"/>
  <c r="G322" i="55"/>
  <c r="F322" i="55"/>
  <c r="E322" i="55"/>
  <c r="D322" i="55"/>
  <c r="AB321" i="55"/>
  <c r="AA321" i="55"/>
  <c r="Z321" i="55"/>
  <c r="Y321" i="55"/>
  <c r="X321" i="55"/>
  <c r="W321" i="55"/>
  <c r="V321" i="55"/>
  <c r="U321" i="55"/>
  <c r="T321" i="55"/>
  <c r="S321" i="55"/>
  <c r="R321" i="55"/>
  <c r="Q321" i="55"/>
  <c r="P321" i="55"/>
  <c r="O321" i="55"/>
  <c r="N321" i="55"/>
  <c r="M321" i="55"/>
  <c r="L321" i="55"/>
  <c r="K321" i="55"/>
  <c r="J321" i="55"/>
  <c r="I321" i="55"/>
  <c r="H321" i="55"/>
  <c r="G321" i="55"/>
  <c r="F321" i="55"/>
  <c r="E321" i="55"/>
  <c r="D321" i="55"/>
  <c r="AB320" i="55"/>
  <c r="AA320" i="55"/>
  <c r="Z320" i="55"/>
  <c r="Y320" i="55"/>
  <c r="X320" i="55"/>
  <c r="W320" i="55"/>
  <c r="V320" i="55"/>
  <c r="U320" i="55"/>
  <c r="T320" i="55"/>
  <c r="S320" i="55"/>
  <c r="R320" i="55"/>
  <c r="Q320" i="55"/>
  <c r="P320" i="55"/>
  <c r="O320" i="55"/>
  <c r="N320" i="55"/>
  <c r="M320" i="55"/>
  <c r="L320" i="55"/>
  <c r="K320" i="55"/>
  <c r="J320" i="55"/>
  <c r="I320" i="55"/>
  <c r="H320" i="55"/>
  <c r="G320" i="55"/>
  <c r="F320" i="55"/>
  <c r="E320" i="55"/>
  <c r="D320" i="55"/>
  <c r="AB319" i="55"/>
  <c r="AA319" i="55"/>
  <c r="Z319" i="55"/>
  <c r="Y319" i="55"/>
  <c r="X319" i="55"/>
  <c r="W319" i="55"/>
  <c r="V319" i="55"/>
  <c r="U319" i="55"/>
  <c r="T319" i="55"/>
  <c r="S319" i="55"/>
  <c r="R319" i="55"/>
  <c r="Q319" i="55"/>
  <c r="P319" i="55"/>
  <c r="O319" i="55"/>
  <c r="N319" i="55"/>
  <c r="M319" i="55"/>
  <c r="L319" i="55"/>
  <c r="K319" i="55"/>
  <c r="J319" i="55"/>
  <c r="I319" i="55"/>
  <c r="H319" i="55"/>
  <c r="G319" i="55"/>
  <c r="F319" i="55"/>
  <c r="E319" i="55"/>
  <c r="D319" i="55"/>
  <c r="AB318" i="55"/>
  <c r="AA318" i="55"/>
  <c r="Z318" i="55"/>
  <c r="Y318" i="55"/>
  <c r="X318" i="55"/>
  <c r="W318" i="55"/>
  <c r="V318" i="55"/>
  <c r="U318" i="55"/>
  <c r="T318" i="55"/>
  <c r="S318" i="55"/>
  <c r="R318" i="55"/>
  <c r="Q318" i="55"/>
  <c r="P318" i="55"/>
  <c r="O318" i="55"/>
  <c r="N318" i="55"/>
  <c r="M318" i="55"/>
  <c r="L318" i="55"/>
  <c r="K318" i="55"/>
  <c r="J318" i="55"/>
  <c r="I318" i="55"/>
  <c r="H318" i="55"/>
  <c r="G318" i="55"/>
  <c r="F318" i="55"/>
  <c r="E318" i="55"/>
  <c r="D318" i="55"/>
  <c r="AB317" i="55"/>
  <c r="AA317" i="55"/>
  <c r="Z317" i="55"/>
  <c r="Y317" i="55"/>
  <c r="X317" i="55"/>
  <c r="W317" i="55"/>
  <c r="V317" i="55"/>
  <c r="U317" i="55"/>
  <c r="T317" i="55"/>
  <c r="S317" i="55"/>
  <c r="R317" i="55"/>
  <c r="Q317" i="55"/>
  <c r="P317" i="55"/>
  <c r="O317" i="55"/>
  <c r="N317" i="55"/>
  <c r="M317" i="55"/>
  <c r="L317" i="55"/>
  <c r="K317" i="55"/>
  <c r="J317" i="55"/>
  <c r="I317" i="55"/>
  <c r="H317" i="55"/>
  <c r="G317" i="55"/>
  <c r="F317" i="55"/>
  <c r="E317" i="55"/>
  <c r="D317" i="55"/>
  <c r="AB316" i="55"/>
  <c r="AA316" i="55"/>
  <c r="Z316" i="55"/>
  <c r="Y316" i="55"/>
  <c r="X316" i="55"/>
  <c r="W316" i="55"/>
  <c r="V316" i="55"/>
  <c r="U316" i="55"/>
  <c r="T316" i="55"/>
  <c r="S316" i="55"/>
  <c r="R316" i="55"/>
  <c r="Q316" i="55"/>
  <c r="P316" i="55"/>
  <c r="O316" i="55"/>
  <c r="N316" i="55"/>
  <c r="M316" i="55"/>
  <c r="L316" i="55"/>
  <c r="K316" i="55"/>
  <c r="J316" i="55"/>
  <c r="I316" i="55"/>
  <c r="H316" i="55"/>
  <c r="G316" i="55"/>
  <c r="F316" i="55"/>
  <c r="E316" i="55"/>
  <c r="D316" i="55"/>
  <c r="AB315" i="55"/>
  <c r="AA315" i="55"/>
  <c r="Z315" i="55"/>
  <c r="Y315" i="55"/>
  <c r="X315" i="55"/>
  <c r="W315" i="55"/>
  <c r="V315" i="55"/>
  <c r="U315" i="55"/>
  <c r="T315" i="55"/>
  <c r="S315" i="55"/>
  <c r="R315" i="55"/>
  <c r="Q315" i="55"/>
  <c r="P315" i="55"/>
  <c r="O315" i="55"/>
  <c r="N315" i="55"/>
  <c r="M315" i="55"/>
  <c r="L315" i="55"/>
  <c r="K315" i="55"/>
  <c r="J315" i="55"/>
  <c r="I315" i="55"/>
  <c r="H315" i="55"/>
  <c r="G315" i="55"/>
  <c r="F315" i="55"/>
  <c r="E315" i="55"/>
  <c r="D315" i="55"/>
  <c r="AB314" i="55"/>
  <c r="AA314" i="55"/>
  <c r="Z314" i="55"/>
  <c r="Y314" i="55"/>
  <c r="X314" i="55"/>
  <c r="W314" i="55"/>
  <c r="V314" i="55"/>
  <c r="U314" i="55"/>
  <c r="T314" i="55"/>
  <c r="S314" i="55"/>
  <c r="R314" i="55"/>
  <c r="Q314" i="55"/>
  <c r="P314" i="55"/>
  <c r="O314" i="55"/>
  <c r="N314" i="55"/>
  <c r="M314" i="55"/>
  <c r="L314" i="55"/>
  <c r="K314" i="55"/>
  <c r="J314" i="55"/>
  <c r="I314" i="55"/>
  <c r="H314" i="55"/>
  <c r="G314" i="55"/>
  <c r="F314" i="55"/>
  <c r="E314" i="55"/>
  <c r="D314" i="55"/>
  <c r="AB313" i="55"/>
  <c r="AA313" i="55"/>
  <c r="Z313" i="55"/>
  <c r="Y313" i="55"/>
  <c r="X313" i="55"/>
  <c r="W313" i="55"/>
  <c r="V313" i="55"/>
  <c r="U313" i="55"/>
  <c r="T313" i="55"/>
  <c r="S313" i="55"/>
  <c r="R313" i="55"/>
  <c r="Q313" i="55"/>
  <c r="P313" i="55"/>
  <c r="O313" i="55"/>
  <c r="N313" i="55"/>
  <c r="M313" i="55"/>
  <c r="L313" i="55"/>
  <c r="K313" i="55"/>
  <c r="J313" i="55"/>
  <c r="I313" i="55"/>
  <c r="H313" i="55"/>
  <c r="G313" i="55"/>
  <c r="F313" i="55"/>
  <c r="E313" i="55"/>
  <c r="D313" i="55"/>
  <c r="AB312" i="55"/>
  <c r="AA312" i="55"/>
  <c r="Z312" i="55"/>
  <c r="Y312" i="55"/>
  <c r="X312" i="55"/>
  <c r="W312" i="55"/>
  <c r="V312" i="55"/>
  <c r="U312" i="55"/>
  <c r="T312" i="55"/>
  <c r="S312" i="55"/>
  <c r="R312" i="55"/>
  <c r="Q312" i="55"/>
  <c r="P312" i="55"/>
  <c r="O312" i="55"/>
  <c r="N312" i="55"/>
  <c r="M312" i="55"/>
  <c r="L312" i="55"/>
  <c r="K312" i="55"/>
  <c r="J312" i="55"/>
  <c r="I312" i="55"/>
  <c r="H312" i="55"/>
  <c r="G312" i="55"/>
  <c r="F312" i="55"/>
  <c r="E312" i="55"/>
  <c r="D312" i="55"/>
  <c r="AB311" i="55"/>
  <c r="AA311" i="55"/>
  <c r="Z311" i="55"/>
  <c r="Y311" i="55"/>
  <c r="X311" i="55"/>
  <c r="W311" i="55"/>
  <c r="V311" i="55"/>
  <c r="U311" i="55"/>
  <c r="T311" i="55"/>
  <c r="S311" i="55"/>
  <c r="R311" i="55"/>
  <c r="Q311" i="55"/>
  <c r="P311" i="55"/>
  <c r="O311" i="55"/>
  <c r="N311" i="55"/>
  <c r="M311" i="55"/>
  <c r="L311" i="55"/>
  <c r="K311" i="55"/>
  <c r="J311" i="55"/>
  <c r="I311" i="55"/>
  <c r="H311" i="55"/>
  <c r="G311" i="55"/>
  <c r="F311" i="55"/>
  <c r="E311" i="55"/>
  <c r="D311" i="55"/>
  <c r="AB310" i="55"/>
  <c r="AA310" i="55"/>
  <c r="Z310" i="55"/>
  <c r="Y310" i="55"/>
  <c r="X310" i="55"/>
  <c r="W310" i="55"/>
  <c r="V310" i="55"/>
  <c r="U310" i="55"/>
  <c r="T310" i="55"/>
  <c r="S310" i="55"/>
  <c r="R310" i="55"/>
  <c r="Q310" i="55"/>
  <c r="P310" i="55"/>
  <c r="O310" i="55"/>
  <c r="N310" i="55"/>
  <c r="M310" i="55"/>
  <c r="L310" i="55"/>
  <c r="K310" i="55"/>
  <c r="J310" i="55"/>
  <c r="I310" i="55"/>
  <c r="H310" i="55"/>
  <c r="G310" i="55"/>
  <c r="F310" i="55"/>
  <c r="E310" i="55"/>
  <c r="D310" i="55"/>
  <c r="AB309" i="55"/>
  <c r="AA309" i="55"/>
  <c r="Z309" i="55"/>
  <c r="Y309" i="55"/>
  <c r="X309" i="55"/>
  <c r="W309" i="55"/>
  <c r="V309" i="55"/>
  <c r="U309" i="55"/>
  <c r="T309" i="55"/>
  <c r="S309" i="55"/>
  <c r="R309" i="55"/>
  <c r="Q309" i="55"/>
  <c r="P309" i="55"/>
  <c r="O309" i="55"/>
  <c r="N309" i="55"/>
  <c r="M309" i="55"/>
  <c r="L309" i="55"/>
  <c r="K309" i="55"/>
  <c r="J309" i="55"/>
  <c r="I309" i="55"/>
  <c r="H309" i="55"/>
  <c r="G309" i="55"/>
  <c r="F309" i="55"/>
  <c r="E309" i="55"/>
  <c r="D309" i="55"/>
  <c r="AB308" i="55"/>
  <c r="AA308" i="55"/>
  <c r="Z308" i="55"/>
  <c r="Y308" i="55"/>
  <c r="X308" i="55"/>
  <c r="W308" i="55"/>
  <c r="V308" i="55"/>
  <c r="U308" i="55"/>
  <c r="T308" i="55"/>
  <c r="S308" i="55"/>
  <c r="R308" i="55"/>
  <c r="Q308" i="55"/>
  <c r="P308" i="55"/>
  <c r="O308" i="55"/>
  <c r="N308" i="55"/>
  <c r="M308" i="55"/>
  <c r="L308" i="55"/>
  <c r="K308" i="55"/>
  <c r="J308" i="55"/>
  <c r="I308" i="55"/>
  <c r="H308" i="55"/>
  <c r="G308" i="55"/>
  <c r="F308" i="55"/>
  <c r="E308" i="55"/>
  <c r="D308" i="55"/>
  <c r="AB307" i="55"/>
  <c r="AA307" i="55"/>
  <c r="Z307" i="55"/>
  <c r="Y307" i="55"/>
  <c r="X307" i="55"/>
  <c r="W307" i="55"/>
  <c r="V307" i="55"/>
  <c r="U307" i="55"/>
  <c r="T307" i="55"/>
  <c r="S307" i="55"/>
  <c r="R307" i="55"/>
  <c r="Q307" i="55"/>
  <c r="P307" i="55"/>
  <c r="O307" i="55"/>
  <c r="N307" i="55"/>
  <c r="M307" i="55"/>
  <c r="L307" i="55"/>
  <c r="K307" i="55"/>
  <c r="J307" i="55"/>
  <c r="I307" i="55"/>
  <c r="H307" i="55"/>
  <c r="G307" i="55"/>
  <c r="F307" i="55"/>
  <c r="E307" i="55"/>
  <c r="D307" i="55"/>
  <c r="AB306" i="55"/>
  <c r="AA306" i="55"/>
  <c r="Z306" i="55"/>
  <c r="Y306" i="55"/>
  <c r="X306" i="55"/>
  <c r="W306" i="55"/>
  <c r="V306" i="55"/>
  <c r="U306" i="55"/>
  <c r="T306" i="55"/>
  <c r="S306" i="55"/>
  <c r="R306" i="55"/>
  <c r="Q306" i="55"/>
  <c r="P306" i="55"/>
  <c r="O306" i="55"/>
  <c r="N306" i="55"/>
  <c r="M306" i="55"/>
  <c r="L306" i="55"/>
  <c r="K306" i="55"/>
  <c r="J306" i="55"/>
  <c r="I306" i="55"/>
  <c r="H306" i="55"/>
  <c r="G306" i="55"/>
  <c r="F306" i="55"/>
  <c r="E306" i="55"/>
  <c r="D306" i="55"/>
  <c r="AB305" i="55"/>
  <c r="AA305" i="55"/>
  <c r="Z305" i="55"/>
  <c r="Y305" i="55"/>
  <c r="X305" i="55"/>
  <c r="W305" i="55"/>
  <c r="V305" i="55"/>
  <c r="U305" i="55"/>
  <c r="T305" i="55"/>
  <c r="S305" i="55"/>
  <c r="R305" i="55"/>
  <c r="Q305" i="55"/>
  <c r="P305" i="55"/>
  <c r="O305" i="55"/>
  <c r="N305" i="55"/>
  <c r="M305" i="55"/>
  <c r="L305" i="55"/>
  <c r="K305" i="55"/>
  <c r="J305" i="55"/>
  <c r="I305" i="55"/>
  <c r="H305" i="55"/>
  <c r="G305" i="55"/>
  <c r="F305" i="55"/>
  <c r="E305" i="55"/>
  <c r="D305" i="55"/>
  <c r="AB303" i="55"/>
  <c r="AA303" i="55"/>
  <c r="Z303" i="55"/>
  <c r="Y303" i="55"/>
  <c r="X303" i="55"/>
  <c r="W303" i="55"/>
  <c r="V303" i="55"/>
  <c r="U303" i="55"/>
  <c r="T303" i="55"/>
  <c r="S303" i="55"/>
  <c r="R303" i="55"/>
  <c r="Q303" i="55"/>
  <c r="P303" i="55"/>
  <c r="O303" i="55"/>
  <c r="N303" i="55"/>
  <c r="M303" i="55"/>
  <c r="L303" i="55"/>
  <c r="K303" i="55"/>
  <c r="J303" i="55"/>
  <c r="I303" i="55"/>
  <c r="H303" i="55"/>
  <c r="G303" i="55"/>
  <c r="F303" i="55"/>
  <c r="E303" i="55"/>
  <c r="D303" i="55"/>
  <c r="AB302" i="55"/>
  <c r="AA302" i="55"/>
  <c r="Z302" i="55"/>
  <c r="Y302" i="55"/>
  <c r="X302" i="55"/>
  <c r="W302" i="55"/>
  <c r="V302" i="55"/>
  <c r="U302" i="55"/>
  <c r="T302" i="55"/>
  <c r="S302" i="55"/>
  <c r="R302" i="55"/>
  <c r="Q302" i="55"/>
  <c r="P302" i="55"/>
  <c r="O302" i="55"/>
  <c r="N302" i="55"/>
  <c r="M302" i="55"/>
  <c r="L302" i="55"/>
  <c r="K302" i="55"/>
  <c r="J302" i="55"/>
  <c r="I302" i="55"/>
  <c r="H302" i="55"/>
  <c r="G302" i="55"/>
  <c r="F302" i="55"/>
  <c r="E302" i="55"/>
  <c r="D302" i="55"/>
  <c r="AB301" i="55"/>
  <c r="AA301" i="55"/>
  <c r="Z301" i="55"/>
  <c r="Y301" i="55"/>
  <c r="X301" i="55"/>
  <c r="W301" i="55"/>
  <c r="V301" i="55"/>
  <c r="U301" i="55"/>
  <c r="T301" i="55"/>
  <c r="S301" i="55"/>
  <c r="R301" i="55"/>
  <c r="Q301" i="55"/>
  <c r="P301" i="55"/>
  <c r="O301" i="55"/>
  <c r="N301" i="55"/>
  <c r="M301" i="55"/>
  <c r="L301" i="55"/>
  <c r="K301" i="55"/>
  <c r="J301" i="55"/>
  <c r="I301" i="55"/>
  <c r="H301" i="55"/>
  <c r="G301" i="55"/>
  <c r="F301" i="55"/>
  <c r="E301" i="55"/>
  <c r="D301" i="55"/>
  <c r="AB300" i="55"/>
  <c r="AA300" i="55"/>
  <c r="Z300" i="55"/>
  <c r="Y300" i="55"/>
  <c r="X300" i="55"/>
  <c r="W300" i="55"/>
  <c r="V300" i="55"/>
  <c r="U300" i="55"/>
  <c r="T300" i="55"/>
  <c r="S300" i="55"/>
  <c r="R300" i="55"/>
  <c r="Q300" i="55"/>
  <c r="P300" i="55"/>
  <c r="O300" i="55"/>
  <c r="N300" i="55"/>
  <c r="M300" i="55"/>
  <c r="L300" i="55"/>
  <c r="K300" i="55"/>
  <c r="J300" i="55"/>
  <c r="I300" i="55"/>
  <c r="H300" i="55"/>
  <c r="G300" i="55"/>
  <c r="F300" i="55"/>
  <c r="E300" i="55"/>
  <c r="D300" i="55"/>
  <c r="AB299" i="55"/>
  <c r="AA299" i="55"/>
  <c r="Z299" i="55"/>
  <c r="Y299" i="55"/>
  <c r="X299" i="55"/>
  <c r="W299" i="55"/>
  <c r="V299" i="55"/>
  <c r="U299" i="55"/>
  <c r="T299" i="55"/>
  <c r="S299" i="55"/>
  <c r="R299" i="55"/>
  <c r="Q299" i="55"/>
  <c r="P299" i="55"/>
  <c r="O299" i="55"/>
  <c r="N299" i="55"/>
  <c r="M299" i="55"/>
  <c r="L299" i="55"/>
  <c r="K299" i="55"/>
  <c r="J299" i="55"/>
  <c r="I299" i="55"/>
  <c r="H299" i="55"/>
  <c r="G299" i="55"/>
  <c r="F299" i="55"/>
  <c r="E299" i="55"/>
  <c r="D299" i="55"/>
  <c r="AB298" i="55"/>
  <c r="AA298" i="55"/>
  <c r="Z298" i="55"/>
  <c r="Y298" i="55"/>
  <c r="X298" i="55"/>
  <c r="W298" i="55"/>
  <c r="V298" i="55"/>
  <c r="U298" i="55"/>
  <c r="T298" i="55"/>
  <c r="S298" i="55"/>
  <c r="R298" i="55"/>
  <c r="Q298" i="55"/>
  <c r="P298" i="55"/>
  <c r="O298" i="55"/>
  <c r="N298" i="55"/>
  <c r="M298" i="55"/>
  <c r="L298" i="55"/>
  <c r="K298" i="55"/>
  <c r="J298" i="55"/>
  <c r="I298" i="55"/>
  <c r="H298" i="55"/>
  <c r="G298" i="55"/>
  <c r="F298" i="55"/>
  <c r="E298" i="55"/>
  <c r="D298" i="55"/>
  <c r="AB297" i="55"/>
  <c r="AA297" i="55"/>
  <c r="Z297" i="55"/>
  <c r="Y297" i="55"/>
  <c r="X297" i="55"/>
  <c r="W297" i="55"/>
  <c r="V297" i="55"/>
  <c r="U297" i="55"/>
  <c r="T297" i="55"/>
  <c r="S297" i="55"/>
  <c r="R297" i="55"/>
  <c r="Q297" i="55"/>
  <c r="P297" i="55"/>
  <c r="O297" i="55"/>
  <c r="N297" i="55"/>
  <c r="M297" i="55"/>
  <c r="L297" i="55"/>
  <c r="K297" i="55"/>
  <c r="J297" i="55"/>
  <c r="I297" i="55"/>
  <c r="H297" i="55"/>
  <c r="G297" i="55"/>
  <c r="F297" i="55"/>
  <c r="E297" i="55"/>
  <c r="D297" i="55"/>
  <c r="AB296" i="55"/>
  <c r="AA296" i="55"/>
  <c r="Z296" i="55"/>
  <c r="Y296" i="55"/>
  <c r="X296" i="55"/>
  <c r="W296" i="55"/>
  <c r="V296" i="55"/>
  <c r="U296" i="55"/>
  <c r="T296" i="55"/>
  <c r="S296" i="55"/>
  <c r="R296" i="55"/>
  <c r="Q296" i="55"/>
  <c r="P296" i="55"/>
  <c r="O296" i="55"/>
  <c r="N296" i="55"/>
  <c r="M296" i="55"/>
  <c r="L296" i="55"/>
  <c r="K296" i="55"/>
  <c r="J296" i="55"/>
  <c r="I296" i="55"/>
  <c r="H296" i="55"/>
  <c r="G296" i="55"/>
  <c r="F296" i="55"/>
  <c r="E296" i="55"/>
  <c r="D296" i="55"/>
  <c r="AB295" i="55"/>
  <c r="AA295" i="55"/>
  <c r="Z295" i="55"/>
  <c r="Y295" i="55"/>
  <c r="X295" i="55"/>
  <c r="W295" i="55"/>
  <c r="V295" i="55"/>
  <c r="U295" i="55"/>
  <c r="T295" i="55"/>
  <c r="S295" i="55"/>
  <c r="R295" i="55"/>
  <c r="Q295" i="55"/>
  <c r="P295" i="55"/>
  <c r="O295" i="55"/>
  <c r="N295" i="55"/>
  <c r="M295" i="55"/>
  <c r="L295" i="55"/>
  <c r="K295" i="55"/>
  <c r="J295" i="55"/>
  <c r="I295" i="55"/>
  <c r="H295" i="55"/>
  <c r="G295" i="55"/>
  <c r="F295" i="55"/>
  <c r="E295" i="55"/>
  <c r="D295" i="55"/>
  <c r="AB294" i="55"/>
  <c r="AA294" i="55"/>
  <c r="Z294" i="55"/>
  <c r="Y294" i="55"/>
  <c r="X294" i="55"/>
  <c r="W294" i="55"/>
  <c r="V294" i="55"/>
  <c r="U294" i="55"/>
  <c r="T294" i="55"/>
  <c r="S294" i="55"/>
  <c r="R294" i="55"/>
  <c r="Q294" i="55"/>
  <c r="P294" i="55"/>
  <c r="O294" i="55"/>
  <c r="N294" i="55"/>
  <c r="M294" i="55"/>
  <c r="L294" i="55"/>
  <c r="K294" i="55"/>
  <c r="J294" i="55"/>
  <c r="I294" i="55"/>
  <c r="H294" i="55"/>
  <c r="G294" i="55"/>
  <c r="F294" i="55"/>
  <c r="E294" i="55"/>
  <c r="D294" i="55"/>
  <c r="AB293" i="55"/>
  <c r="AA293" i="55"/>
  <c r="Z293" i="55"/>
  <c r="Y293" i="55"/>
  <c r="X293" i="55"/>
  <c r="W293" i="55"/>
  <c r="V293" i="55"/>
  <c r="U293" i="55"/>
  <c r="T293" i="55"/>
  <c r="S293" i="55"/>
  <c r="R293" i="55"/>
  <c r="Q293" i="55"/>
  <c r="P293" i="55"/>
  <c r="O293" i="55"/>
  <c r="N293" i="55"/>
  <c r="M293" i="55"/>
  <c r="L293" i="55"/>
  <c r="K293" i="55"/>
  <c r="J293" i="55"/>
  <c r="I293" i="55"/>
  <c r="H293" i="55"/>
  <c r="G293" i="55"/>
  <c r="F293" i="55"/>
  <c r="E293" i="55"/>
  <c r="D293" i="55"/>
  <c r="AB292" i="55"/>
  <c r="AA292" i="55"/>
  <c r="Z292" i="55"/>
  <c r="Y292" i="55"/>
  <c r="X292" i="55"/>
  <c r="W292" i="55"/>
  <c r="V292" i="55"/>
  <c r="U292" i="55"/>
  <c r="T292" i="55"/>
  <c r="S292" i="55"/>
  <c r="R292" i="55"/>
  <c r="Q292" i="55"/>
  <c r="P292" i="55"/>
  <c r="O292" i="55"/>
  <c r="N292" i="55"/>
  <c r="M292" i="55"/>
  <c r="L292" i="55"/>
  <c r="K292" i="55"/>
  <c r="J292" i="55"/>
  <c r="I292" i="55"/>
  <c r="H292" i="55"/>
  <c r="G292" i="55"/>
  <c r="F292" i="55"/>
  <c r="E292" i="55"/>
  <c r="D292" i="55"/>
  <c r="AB291" i="55"/>
  <c r="AA291" i="55"/>
  <c r="Z291" i="55"/>
  <c r="Y291" i="55"/>
  <c r="X291" i="55"/>
  <c r="W291" i="55"/>
  <c r="V291" i="55"/>
  <c r="U291" i="55"/>
  <c r="T291" i="55"/>
  <c r="S291" i="55"/>
  <c r="R291" i="55"/>
  <c r="Q291" i="55"/>
  <c r="P291" i="55"/>
  <c r="O291" i="55"/>
  <c r="N291" i="55"/>
  <c r="M291" i="55"/>
  <c r="L291" i="55"/>
  <c r="K291" i="55"/>
  <c r="J291" i="55"/>
  <c r="I291" i="55"/>
  <c r="H291" i="55"/>
  <c r="G291" i="55"/>
  <c r="F291" i="55"/>
  <c r="E291" i="55"/>
  <c r="D291" i="55"/>
  <c r="AB290" i="55"/>
  <c r="AA290" i="55"/>
  <c r="Z290" i="55"/>
  <c r="Y290" i="55"/>
  <c r="X290" i="55"/>
  <c r="W290" i="55"/>
  <c r="V290" i="55"/>
  <c r="U290" i="55"/>
  <c r="T290" i="55"/>
  <c r="S290" i="55"/>
  <c r="R290" i="55"/>
  <c r="Q290" i="55"/>
  <c r="P290" i="55"/>
  <c r="O290" i="55"/>
  <c r="N290" i="55"/>
  <c r="M290" i="55"/>
  <c r="L290" i="55"/>
  <c r="K290" i="55"/>
  <c r="J290" i="55"/>
  <c r="I290" i="55"/>
  <c r="H290" i="55"/>
  <c r="G290" i="55"/>
  <c r="F290" i="55"/>
  <c r="E290" i="55"/>
  <c r="D290" i="55"/>
  <c r="AB289" i="55"/>
  <c r="AA289" i="55"/>
  <c r="Z289" i="55"/>
  <c r="Y289" i="55"/>
  <c r="X289" i="55"/>
  <c r="W289" i="55"/>
  <c r="V289" i="55"/>
  <c r="U289" i="55"/>
  <c r="T289" i="55"/>
  <c r="S289" i="55"/>
  <c r="R289" i="55"/>
  <c r="Q289" i="55"/>
  <c r="P289" i="55"/>
  <c r="O289" i="55"/>
  <c r="N289" i="55"/>
  <c r="M289" i="55"/>
  <c r="L289" i="55"/>
  <c r="K289" i="55"/>
  <c r="J289" i="55"/>
  <c r="I289" i="55"/>
  <c r="H289" i="55"/>
  <c r="G289" i="55"/>
  <c r="F289" i="55"/>
  <c r="E289" i="55"/>
  <c r="D289" i="55"/>
  <c r="AB288" i="55"/>
  <c r="AA288" i="55"/>
  <c r="Z288" i="55"/>
  <c r="Y288" i="55"/>
  <c r="X288" i="55"/>
  <c r="W288" i="55"/>
  <c r="V288" i="55"/>
  <c r="U288" i="55"/>
  <c r="T288" i="55"/>
  <c r="S288" i="55"/>
  <c r="R288" i="55"/>
  <c r="Q288" i="55"/>
  <c r="P288" i="55"/>
  <c r="O288" i="55"/>
  <c r="N288" i="55"/>
  <c r="M288" i="55"/>
  <c r="L288" i="55"/>
  <c r="K288" i="55"/>
  <c r="J288" i="55"/>
  <c r="I288" i="55"/>
  <c r="H288" i="55"/>
  <c r="G288" i="55"/>
  <c r="F288" i="55"/>
  <c r="E288" i="55"/>
  <c r="D288" i="55"/>
  <c r="AB287" i="55"/>
  <c r="AA287" i="55"/>
  <c r="Z287" i="55"/>
  <c r="Y287" i="55"/>
  <c r="X287" i="55"/>
  <c r="W287" i="55"/>
  <c r="V287" i="55"/>
  <c r="U287" i="55"/>
  <c r="T287" i="55"/>
  <c r="S287" i="55"/>
  <c r="R287" i="55"/>
  <c r="Q287" i="55"/>
  <c r="P287" i="55"/>
  <c r="O287" i="55"/>
  <c r="N287" i="55"/>
  <c r="M287" i="55"/>
  <c r="L287" i="55"/>
  <c r="K287" i="55"/>
  <c r="J287" i="55"/>
  <c r="I287" i="55"/>
  <c r="H287" i="55"/>
  <c r="G287" i="55"/>
  <c r="F287" i="55"/>
  <c r="E287" i="55"/>
  <c r="D287" i="55"/>
  <c r="AB286" i="55"/>
  <c r="AA286" i="55"/>
  <c r="Z286" i="55"/>
  <c r="Y286" i="55"/>
  <c r="X286" i="55"/>
  <c r="W286" i="55"/>
  <c r="V286" i="55"/>
  <c r="U286" i="55"/>
  <c r="T286" i="55"/>
  <c r="S286" i="55"/>
  <c r="R286" i="55"/>
  <c r="Q286" i="55"/>
  <c r="P286" i="55"/>
  <c r="O286" i="55"/>
  <c r="N286" i="55"/>
  <c r="M286" i="55"/>
  <c r="L286" i="55"/>
  <c r="K286" i="55"/>
  <c r="J286" i="55"/>
  <c r="I286" i="55"/>
  <c r="H286" i="55"/>
  <c r="G286" i="55"/>
  <c r="F286" i="55"/>
  <c r="E286" i="55"/>
  <c r="D286" i="55"/>
  <c r="AB285" i="55"/>
  <c r="AA285" i="55"/>
  <c r="Z285" i="55"/>
  <c r="Y285" i="55"/>
  <c r="X285" i="55"/>
  <c r="W285" i="55"/>
  <c r="V285" i="55"/>
  <c r="U285" i="55"/>
  <c r="T285" i="55"/>
  <c r="S285" i="55"/>
  <c r="R285" i="55"/>
  <c r="Q285" i="55"/>
  <c r="P285" i="55"/>
  <c r="O285" i="55"/>
  <c r="N285" i="55"/>
  <c r="M285" i="55"/>
  <c r="L285" i="55"/>
  <c r="K285" i="55"/>
  <c r="J285" i="55"/>
  <c r="I285" i="55"/>
  <c r="H285" i="55"/>
  <c r="G285" i="55"/>
  <c r="F285" i="55"/>
  <c r="E285" i="55"/>
  <c r="D285" i="55"/>
  <c r="AB284" i="55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F284" i="55"/>
  <c r="E284" i="55"/>
  <c r="D284" i="55"/>
  <c r="AB283" i="55"/>
  <c r="AA283" i="55"/>
  <c r="Z283" i="55"/>
  <c r="Y283" i="55"/>
  <c r="X283" i="55"/>
  <c r="W283" i="55"/>
  <c r="V283" i="55"/>
  <c r="U283" i="55"/>
  <c r="T283" i="55"/>
  <c r="S283" i="55"/>
  <c r="R283" i="55"/>
  <c r="Q283" i="55"/>
  <c r="P283" i="55"/>
  <c r="O283" i="55"/>
  <c r="N283" i="55"/>
  <c r="M283" i="55"/>
  <c r="L283" i="55"/>
  <c r="K283" i="55"/>
  <c r="J283" i="55"/>
  <c r="I283" i="55"/>
  <c r="H283" i="55"/>
  <c r="G283" i="55"/>
  <c r="F283" i="55"/>
  <c r="E283" i="55"/>
  <c r="D283" i="55"/>
  <c r="AB282" i="55"/>
  <c r="AA282" i="55"/>
  <c r="Z282" i="55"/>
  <c r="Y282" i="55"/>
  <c r="X282" i="55"/>
  <c r="W282" i="55"/>
  <c r="V282" i="55"/>
  <c r="U282" i="55"/>
  <c r="T282" i="55"/>
  <c r="S282" i="55"/>
  <c r="R282" i="55"/>
  <c r="Q282" i="55"/>
  <c r="P282" i="55"/>
  <c r="O282" i="55"/>
  <c r="N282" i="55"/>
  <c r="M282" i="55"/>
  <c r="L282" i="55"/>
  <c r="K282" i="55"/>
  <c r="J282" i="55"/>
  <c r="I282" i="55"/>
  <c r="H282" i="55"/>
  <c r="G282" i="55"/>
  <c r="F282" i="55"/>
  <c r="E282" i="55"/>
  <c r="D282" i="55"/>
  <c r="AB281" i="55"/>
  <c r="AA281" i="55"/>
  <c r="Z281" i="55"/>
  <c r="Y281" i="55"/>
  <c r="X281" i="55"/>
  <c r="W281" i="55"/>
  <c r="V281" i="55"/>
  <c r="U281" i="55"/>
  <c r="T281" i="55"/>
  <c r="S281" i="55"/>
  <c r="R281" i="55"/>
  <c r="Q281" i="55"/>
  <c r="P281" i="55"/>
  <c r="O281" i="55"/>
  <c r="N281" i="55"/>
  <c r="M281" i="55"/>
  <c r="L281" i="55"/>
  <c r="K281" i="55"/>
  <c r="J281" i="55"/>
  <c r="I281" i="55"/>
  <c r="H281" i="55"/>
  <c r="G281" i="55"/>
  <c r="F281" i="55"/>
  <c r="E281" i="55"/>
  <c r="D281" i="55"/>
  <c r="AB280" i="55"/>
  <c r="AA280" i="55"/>
  <c r="Z280" i="55"/>
  <c r="Y280" i="55"/>
  <c r="X280" i="55"/>
  <c r="W280" i="55"/>
  <c r="V280" i="55"/>
  <c r="U280" i="55"/>
  <c r="T280" i="55"/>
  <c r="S280" i="55"/>
  <c r="R280" i="55"/>
  <c r="Q280" i="55"/>
  <c r="P280" i="55"/>
  <c r="O280" i="55"/>
  <c r="N280" i="55"/>
  <c r="M280" i="55"/>
  <c r="L280" i="55"/>
  <c r="K280" i="55"/>
  <c r="J280" i="55"/>
  <c r="I280" i="55"/>
  <c r="H280" i="55"/>
  <c r="G280" i="55"/>
  <c r="F280" i="55"/>
  <c r="E280" i="55"/>
  <c r="D280" i="55"/>
  <c r="AB279" i="55"/>
  <c r="AA279" i="55"/>
  <c r="Z279" i="55"/>
  <c r="Y279" i="55"/>
  <c r="X279" i="55"/>
  <c r="W279" i="55"/>
  <c r="V279" i="55"/>
  <c r="U279" i="55"/>
  <c r="T279" i="55"/>
  <c r="S279" i="55"/>
  <c r="R279" i="55"/>
  <c r="Q279" i="55"/>
  <c r="P279" i="55"/>
  <c r="O279" i="55"/>
  <c r="N279" i="55"/>
  <c r="M279" i="55"/>
  <c r="L279" i="55"/>
  <c r="K279" i="55"/>
  <c r="J279" i="55"/>
  <c r="I279" i="55"/>
  <c r="H279" i="55"/>
  <c r="G279" i="55"/>
  <c r="F279" i="55"/>
  <c r="E279" i="55"/>
  <c r="D279" i="55"/>
  <c r="AB278" i="55"/>
  <c r="AA278" i="55"/>
  <c r="Z278" i="55"/>
  <c r="Y278" i="55"/>
  <c r="X278" i="55"/>
  <c r="W278" i="55"/>
  <c r="V278" i="55"/>
  <c r="U278" i="55"/>
  <c r="T278" i="55"/>
  <c r="S278" i="55"/>
  <c r="R278" i="55"/>
  <c r="Q278" i="55"/>
  <c r="P278" i="55"/>
  <c r="O278" i="55"/>
  <c r="N278" i="55"/>
  <c r="M278" i="55"/>
  <c r="L278" i="55"/>
  <c r="K278" i="55"/>
  <c r="J278" i="55"/>
  <c r="I278" i="55"/>
  <c r="H278" i="55"/>
  <c r="G278" i="55"/>
  <c r="F278" i="55"/>
  <c r="E278" i="55"/>
  <c r="D278" i="55"/>
  <c r="AB277" i="55"/>
  <c r="AA277" i="55"/>
  <c r="Z277" i="55"/>
  <c r="Y277" i="55"/>
  <c r="X277" i="55"/>
  <c r="W277" i="55"/>
  <c r="V277" i="55"/>
  <c r="U277" i="55"/>
  <c r="T277" i="55"/>
  <c r="S277" i="55"/>
  <c r="R277" i="55"/>
  <c r="Q277" i="55"/>
  <c r="P277" i="55"/>
  <c r="O277" i="55"/>
  <c r="N277" i="55"/>
  <c r="M277" i="55"/>
  <c r="L277" i="55"/>
  <c r="K277" i="55"/>
  <c r="J277" i="55"/>
  <c r="I277" i="55"/>
  <c r="H277" i="55"/>
  <c r="G277" i="55"/>
  <c r="F277" i="55"/>
  <c r="E277" i="55"/>
  <c r="D277" i="55"/>
  <c r="AB276" i="55"/>
  <c r="AA276" i="55"/>
  <c r="Z276" i="55"/>
  <c r="Y276" i="55"/>
  <c r="X276" i="55"/>
  <c r="W276" i="55"/>
  <c r="V276" i="55"/>
  <c r="U276" i="55"/>
  <c r="T276" i="55"/>
  <c r="S276" i="55"/>
  <c r="R276" i="55"/>
  <c r="Q276" i="55"/>
  <c r="P276" i="55"/>
  <c r="O276" i="55"/>
  <c r="N276" i="55"/>
  <c r="M276" i="55"/>
  <c r="L276" i="55"/>
  <c r="K276" i="55"/>
  <c r="J276" i="55"/>
  <c r="I276" i="55"/>
  <c r="H276" i="55"/>
  <c r="G276" i="55"/>
  <c r="F276" i="55"/>
  <c r="E276" i="55"/>
  <c r="D276" i="55"/>
  <c r="AB275" i="55"/>
  <c r="AA275" i="55"/>
  <c r="Z275" i="55"/>
  <c r="Y275" i="55"/>
  <c r="X275" i="55"/>
  <c r="W275" i="55"/>
  <c r="V275" i="55"/>
  <c r="U275" i="55"/>
  <c r="T275" i="55"/>
  <c r="S275" i="55"/>
  <c r="R275" i="55"/>
  <c r="Q275" i="55"/>
  <c r="P275" i="55"/>
  <c r="O275" i="55"/>
  <c r="N275" i="55"/>
  <c r="M275" i="55"/>
  <c r="L275" i="55"/>
  <c r="K275" i="55"/>
  <c r="J275" i="55"/>
  <c r="I275" i="55"/>
  <c r="H275" i="55"/>
  <c r="G275" i="55"/>
  <c r="F275" i="55"/>
  <c r="E275" i="55"/>
  <c r="D275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G274" i="55"/>
  <c r="F274" i="55"/>
  <c r="E274" i="55"/>
  <c r="D274" i="55"/>
  <c r="AB273" i="55"/>
  <c r="AA273" i="55"/>
  <c r="Z273" i="55"/>
  <c r="Y273" i="55"/>
  <c r="X273" i="55"/>
  <c r="W273" i="55"/>
  <c r="V273" i="55"/>
  <c r="U273" i="55"/>
  <c r="T273" i="55"/>
  <c r="S273" i="55"/>
  <c r="R273" i="55"/>
  <c r="Q273" i="55"/>
  <c r="P273" i="55"/>
  <c r="O273" i="55"/>
  <c r="N273" i="55"/>
  <c r="M273" i="55"/>
  <c r="L273" i="55"/>
  <c r="K273" i="55"/>
  <c r="J273" i="55"/>
  <c r="I273" i="55"/>
  <c r="H273" i="55"/>
  <c r="G273" i="55"/>
  <c r="F273" i="55"/>
  <c r="E273" i="55"/>
  <c r="D273" i="55"/>
  <c r="AB272" i="55"/>
  <c r="AA272" i="55"/>
  <c r="Z272" i="55"/>
  <c r="Y272" i="55"/>
  <c r="X272" i="55"/>
  <c r="W272" i="55"/>
  <c r="V272" i="55"/>
  <c r="U272" i="55"/>
  <c r="T272" i="55"/>
  <c r="S272" i="55"/>
  <c r="R272" i="55"/>
  <c r="Q272" i="55"/>
  <c r="P272" i="55"/>
  <c r="O272" i="55"/>
  <c r="N272" i="55"/>
  <c r="M272" i="55"/>
  <c r="L272" i="55"/>
  <c r="K272" i="55"/>
  <c r="J272" i="55"/>
  <c r="I272" i="55"/>
  <c r="H272" i="55"/>
  <c r="G272" i="55"/>
  <c r="F272" i="55"/>
  <c r="E272" i="55"/>
  <c r="D272" i="55"/>
  <c r="AB271" i="55"/>
  <c r="AA271" i="55"/>
  <c r="Z271" i="55"/>
  <c r="Y271" i="55"/>
  <c r="X271" i="55"/>
  <c r="W271" i="55"/>
  <c r="V271" i="55"/>
  <c r="U271" i="55"/>
  <c r="T271" i="55"/>
  <c r="S271" i="55"/>
  <c r="R271" i="55"/>
  <c r="Q271" i="55"/>
  <c r="P271" i="55"/>
  <c r="O271" i="55"/>
  <c r="N271" i="55"/>
  <c r="M271" i="55"/>
  <c r="L271" i="55"/>
  <c r="K271" i="55"/>
  <c r="J271" i="55"/>
  <c r="I271" i="55"/>
  <c r="H271" i="55"/>
  <c r="G271" i="55"/>
  <c r="F271" i="55"/>
  <c r="E271" i="55"/>
  <c r="D271" i="55"/>
  <c r="AB270" i="55"/>
  <c r="AA270" i="55"/>
  <c r="Z270" i="55"/>
  <c r="Y270" i="55"/>
  <c r="X270" i="55"/>
  <c r="W270" i="55"/>
  <c r="V270" i="55"/>
  <c r="U270" i="55"/>
  <c r="T270" i="55"/>
  <c r="S270" i="55"/>
  <c r="R270" i="55"/>
  <c r="Q270" i="55"/>
  <c r="P270" i="55"/>
  <c r="O270" i="55"/>
  <c r="N270" i="55"/>
  <c r="M270" i="55"/>
  <c r="L270" i="55"/>
  <c r="K270" i="55"/>
  <c r="J270" i="55"/>
  <c r="I270" i="55"/>
  <c r="H270" i="55"/>
  <c r="G270" i="55"/>
  <c r="F270" i="55"/>
  <c r="E270" i="55"/>
  <c r="D270" i="55"/>
  <c r="AB269" i="55"/>
  <c r="AA269" i="55"/>
  <c r="Z269" i="55"/>
  <c r="Y269" i="55"/>
  <c r="X269" i="55"/>
  <c r="W269" i="55"/>
  <c r="V269" i="55"/>
  <c r="U269" i="55"/>
  <c r="T269" i="55"/>
  <c r="S269" i="55"/>
  <c r="R269" i="55"/>
  <c r="Q269" i="55"/>
  <c r="P269" i="55"/>
  <c r="O269" i="55"/>
  <c r="N269" i="55"/>
  <c r="M269" i="55"/>
  <c r="L269" i="55"/>
  <c r="K269" i="55"/>
  <c r="J269" i="55"/>
  <c r="I269" i="55"/>
  <c r="H269" i="55"/>
  <c r="G269" i="55"/>
  <c r="F269" i="55"/>
  <c r="E269" i="55"/>
  <c r="D269" i="55"/>
  <c r="AB268" i="55"/>
  <c r="AA268" i="55"/>
  <c r="Z268" i="55"/>
  <c r="Y268" i="55"/>
  <c r="X268" i="55"/>
  <c r="W268" i="55"/>
  <c r="V268" i="55"/>
  <c r="U268" i="55"/>
  <c r="T268" i="55"/>
  <c r="S268" i="55"/>
  <c r="R268" i="55"/>
  <c r="Q268" i="55"/>
  <c r="P268" i="55"/>
  <c r="O268" i="55"/>
  <c r="N268" i="55"/>
  <c r="M268" i="55"/>
  <c r="L268" i="55"/>
  <c r="K268" i="55"/>
  <c r="J268" i="55"/>
  <c r="I268" i="55"/>
  <c r="H268" i="55"/>
  <c r="G268" i="55"/>
  <c r="F268" i="55"/>
  <c r="E268" i="55"/>
  <c r="D268" i="55"/>
  <c r="AB267" i="55"/>
  <c r="AA267" i="55"/>
  <c r="Z267" i="55"/>
  <c r="Y267" i="55"/>
  <c r="X267" i="55"/>
  <c r="W267" i="55"/>
  <c r="V267" i="55"/>
  <c r="U267" i="55"/>
  <c r="T267" i="55"/>
  <c r="S267" i="55"/>
  <c r="R267" i="55"/>
  <c r="Q267" i="55"/>
  <c r="P267" i="55"/>
  <c r="O267" i="55"/>
  <c r="N267" i="55"/>
  <c r="M267" i="55"/>
  <c r="L267" i="55"/>
  <c r="K267" i="55"/>
  <c r="J267" i="55"/>
  <c r="I267" i="55"/>
  <c r="H267" i="55"/>
  <c r="G267" i="55"/>
  <c r="F267" i="55"/>
  <c r="E267" i="55"/>
  <c r="D267" i="55"/>
  <c r="AB266" i="55"/>
  <c r="AA266" i="55"/>
  <c r="Z266" i="55"/>
  <c r="Y266" i="55"/>
  <c r="X266" i="55"/>
  <c r="W266" i="55"/>
  <c r="V266" i="55"/>
  <c r="U266" i="55"/>
  <c r="T266" i="55"/>
  <c r="S266" i="55"/>
  <c r="R266" i="55"/>
  <c r="Q266" i="55"/>
  <c r="P266" i="55"/>
  <c r="O266" i="55"/>
  <c r="N266" i="55"/>
  <c r="M266" i="55"/>
  <c r="L266" i="55"/>
  <c r="K266" i="55"/>
  <c r="J266" i="55"/>
  <c r="I266" i="55"/>
  <c r="H266" i="55"/>
  <c r="G266" i="55"/>
  <c r="F266" i="55"/>
  <c r="E266" i="55"/>
  <c r="D266" i="55"/>
  <c r="AB265" i="55"/>
  <c r="AA265" i="55"/>
  <c r="Z265" i="55"/>
  <c r="Y265" i="55"/>
  <c r="X265" i="55"/>
  <c r="W265" i="55"/>
  <c r="V265" i="55"/>
  <c r="U265" i="55"/>
  <c r="T265" i="55"/>
  <c r="S265" i="55"/>
  <c r="R265" i="55"/>
  <c r="Q265" i="55"/>
  <c r="P265" i="55"/>
  <c r="O265" i="55"/>
  <c r="N265" i="55"/>
  <c r="M265" i="55"/>
  <c r="L265" i="55"/>
  <c r="K265" i="55"/>
  <c r="J265" i="55"/>
  <c r="I265" i="55"/>
  <c r="H265" i="55"/>
  <c r="G265" i="55"/>
  <c r="F265" i="55"/>
  <c r="E265" i="55"/>
  <c r="D265" i="55"/>
  <c r="AB264" i="55"/>
  <c r="AA264" i="55"/>
  <c r="Z264" i="55"/>
  <c r="Y264" i="55"/>
  <c r="X264" i="55"/>
  <c r="W264" i="55"/>
  <c r="V264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G264" i="55"/>
  <c r="F264" i="55"/>
  <c r="E264" i="55"/>
  <c r="D264" i="55"/>
  <c r="AB263" i="55"/>
  <c r="AA263" i="55"/>
  <c r="Z263" i="55"/>
  <c r="Y263" i="55"/>
  <c r="X263" i="55"/>
  <c r="W263" i="55"/>
  <c r="V263" i="55"/>
  <c r="U263" i="55"/>
  <c r="T263" i="55"/>
  <c r="S263" i="55"/>
  <c r="R263" i="55"/>
  <c r="Q263" i="55"/>
  <c r="P263" i="55"/>
  <c r="O263" i="55"/>
  <c r="N263" i="55"/>
  <c r="M263" i="55"/>
  <c r="L263" i="55"/>
  <c r="K263" i="55"/>
  <c r="J263" i="55"/>
  <c r="I263" i="55"/>
  <c r="H263" i="55"/>
  <c r="G263" i="55"/>
  <c r="F263" i="55"/>
  <c r="E263" i="55"/>
  <c r="D263" i="55"/>
  <c r="AB262" i="55"/>
  <c r="AA262" i="55"/>
  <c r="Z262" i="55"/>
  <c r="Y262" i="55"/>
  <c r="X262" i="55"/>
  <c r="W262" i="55"/>
  <c r="V262" i="55"/>
  <c r="U262" i="55"/>
  <c r="T262" i="55"/>
  <c r="S262" i="55"/>
  <c r="R262" i="55"/>
  <c r="Q262" i="55"/>
  <c r="P262" i="55"/>
  <c r="O262" i="55"/>
  <c r="N262" i="55"/>
  <c r="M262" i="55"/>
  <c r="L262" i="55"/>
  <c r="K262" i="55"/>
  <c r="J262" i="55"/>
  <c r="I262" i="55"/>
  <c r="H262" i="55"/>
  <c r="G262" i="55"/>
  <c r="F262" i="55"/>
  <c r="E262" i="55"/>
  <c r="D262" i="55"/>
  <c r="AB261" i="55"/>
  <c r="AA261" i="55"/>
  <c r="Z261" i="55"/>
  <c r="Y261" i="55"/>
  <c r="X261" i="55"/>
  <c r="W261" i="55"/>
  <c r="V261" i="55"/>
  <c r="U261" i="55"/>
  <c r="T261" i="55"/>
  <c r="S261" i="55"/>
  <c r="R261" i="55"/>
  <c r="Q261" i="55"/>
  <c r="P261" i="55"/>
  <c r="O261" i="55"/>
  <c r="N261" i="55"/>
  <c r="M261" i="55"/>
  <c r="L261" i="55"/>
  <c r="K261" i="55"/>
  <c r="J261" i="55"/>
  <c r="I261" i="55"/>
  <c r="H261" i="55"/>
  <c r="G261" i="55"/>
  <c r="F261" i="55"/>
  <c r="E261" i="55"/>
  <c r="D261" i="55"/>
  <c r="AB260" i="55"/>
  <c r="AA260" i="55"/>
  <c r="Z260" i="55"/>
  <c r="Y260" i="55"/>
  <c r="X260" i="55"/>
  <c r="W260" i="55"/>
  <c r="V260" i="55"/>
  <c r="U260" i="55"/>
  <c r="T260" i="55"/>
  <c r="S260" i="55"/>
  <c r="R260" i="55"/>
  <c r="Q260" i="55"/>
  <c r="P260" i="55"/>
  <c r="O260" i="55"/>
  <c r="N260" i="55"/>
  <c r="M260" i="55"/>
  <c r="L260" i="55"/>
  <c r="K260" i="55"/>
  <c r="J260" i="55"/>
  <c r="I260" i="55"/>
  <c r="H260" i="55"/>
  <c r="G260" i="55"/>
  <c r="F260" i="55"/>
  <c r="E260" i="55"/>
  <c r="D260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G259" i="55"/>
  <c r="F259" i="55"/>
  <c r="E259" i="55"/>
  <c r="D259" i="55"/>
  <c r="AB258" i="55"/>
  <c r="AA258" i="55"/>
  <c r="Z258" i="55"/>
  <c r="Y258" i="55"/>
  <c r="X258" i="55"/>
  <c r="W258" i="55"/>
  <c r="V258" i="55"/>
  <c r="U258" i="55"/>
  <c r="T258" i="55"/>
  <c r="S258" i="55"/>
  <c r="R258" i="55"/>
  <c r="Q258" i="55"/>
  <c r="P258" i="55"/>
  <c r="O258" i="55"/>
  <c r="N258" i="55"/>
  <c r="M258" i="55"/>
  <c r="L258" i="55"/>
  <c r="K258" i="55"/>
  <c r="J258" i="55"/>
  <c r="I258" i="55"/>
  <c r="H258" i="55"/>
  <c r="G258" i="55"/>
  <c r="F258" i="55"/>
  <c r="E258" i="55"/>
  <c r="D258" i="55"/>
  <c r="AB257" i="55"/>
  <c r="AA257" i="55"/>
  <c r="Z257" i="55"/>
  <c r="Y257" i="55"/>
  <c r="X257" i="55"/>
  <c r="W257" i="55"/>
  <c r="V257" i="55"/>
  <c r="U257" i="55"/>
  <c r="T257" i="55"/>
  <c r="S257" i="55"/>
  <c r="R257" i="55"/>
  <c r="Q257" i="55"/>
  <c r="P257" i="55"/>
  <c r="O257" i="55"/>
  <c r="N257" i="55"/>
  <c r="M257" i="55"/>
  <c r="L257" i="55"/>
  <c r="K257" i="55"/>
  <c r="J257" i="55"/>
  <c r="I257" i="55"/>
  <c r="H257" i="55"/>
  <c r="G257" i="55"/>
  <c r="F257" i="55"/>
  <c r="E257" i="55"/>
  <c r="D257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G256" i="55"/>
  <c r="F256" i="55"/>
  <c r="E256" i="55"/>
  <c r="D256" i="55"/>
  <c r="AB254" i="55"/>
  <c r="AA254" i="55"/>
  <c r="Z254" i="55"/>
  <c r="Y254" i="55"/>
  <c r="X254" i="55"/>
  <c r="W254" i="55"/>
  <c r="V254" i="55"/>
  <c r="U254" i="55"/>
  <c r="T254" i="55"/>
  <c r="S254" i="55"/>
  <c r="R254" i="55"/>
  <c r="Q254" i="55"/>
  <c r="P254" i="55"/>
  <c r="O254" i="55"/>
  <c r="N254" i="55"/>
  <c r="M254" i="55"/>
  <c r="L254" i="55"/>
  <c r="K254" i="55"/>
  <c r="J254" i="55"/>
  <c r="I254" i="55"/>
  <c r="H254" i="55"/>
  <c r="G254" i="55"/>
  <c r="F254" i="55"/>
  <c r="E254" i="55"/>
  <c r="D254" i="55"/>
  <c r="AB253" i="55"/>
  <c r="AA253" i="55"/>
  <c r="Z253" i="55"/>
  <c r="Y253" i="55"/>
  <c r="X253" i="55"/>
  <c r="W253" i="55"/>
  <c r="V253" i="55"/>
  <c r="U253" i="55"/>
  <c r="T253" i="55"/>
  <c r="S253" i="55"/>
  <c r="R253" i="55"/>
  <c r="Q253" i="55"/>
  <c r="P253" i="55"/>
  <c r="O253" i="55"/>
  <c r="N253" i="55"/>
  <c r="M253" i="55"/>
  <c r="L253" i="55"/>
  <c r="K253" i="55"/>
  <c r="J253" i="55"/>
  <c r="I253" i="55"/>
  <c r="H253" i="55"/>
  <c r="G253" i="55"/>
  <c r="F253" i="55"/>
  <c r="E253" i="55"/>
  <c r="D253" i="55"/>
  <c r="AB252" i="55"/>
  <c r="AA252" i="55"/>
  <c r="Z252" i="55"/>
  <c r="Y252" i="55"/>
  <c r="X252" i="55"/>
  <c r="W252" i="55"/>
  <c r="V252" i="55"/>
  <c r="U252" i="55"/>
  <c r="T252" i="55"/>
  <c r="S252" i="55"/>
  <c r="R252" i="55"/>
  <c r="Q252" i="55"/>
  <c r="P252" i="55"/>
  <c r="O252" i="55"/>
  <c r="N252" i="55"/>
  <c r="M252" i="55"/>
  <c r="L252" i="55"/>
  <c r="K252" i="55"/>
  <c r="J252" i="55"/>
  <c r="I252" i="55"/>
  <c r="H252" i="55"/>
  <c r="G252" i="55"/>
  <c r="F252" i="55"/>
  <c r="E252" i="55"/>
  <c r="D252" i="55"/>
  <c r="AB251" i="55"/>
  <c r="AA251" i="55"/>
  <c r="Z251" i="55"/>
  <c r="Y251" i="55"/>
  <c r="X251" i="55"/>
  <c r="W251" i="55"/>
  <c r="V251" i="55"/>
  <c r="U251" i="55"/>
  <c r="T251" i="55"/>
  <c r="S251" i="55"/>
  <c r="R251" i="55"/>
  <c r="Q251" i="55"/>
  <c r="P251" i="55"/>
  <c r="O251" i="55"/>
  <c r="N251" i="55"/>
  <c r="M251" i="55"/>
  <c r="L251" i="55"/>
  <c r="K251" i="55"/>
  <c r="J251" i="55"/>
  <c r="I251" i="55"/>
  <c r="H251" i="55"/>
  <c r="G251" i="55"/>
  <c r="F251" i="55"/>
  <c r="E251" i="55"/>
  <c r="D251" i="55"/>
  <c r="AB250" i="55"/>
  <c r="AA250" i="55"/>
  <c r="Z250" i="55"/>
  <c r="Y250" i="55"/>
  <c r="X250" i="55"/>
  <c r="W250" i="55"/>
  <c r="V250" i="55"/>
  <c r="U250" i="55"/>
  <c r="T250" i="55"/>
  <c r="S250" i="55"/>
  <c r="R250" i="55"/>
  <c r="Q250" i="55"/>
  <c r="P250" i="55"/>
  <c r="O250" i="55"/>
  <c r="N250" i="55"/>
  <c r="M250" i="55"/>
  <c r="L250" i="55"/>
  <c r="K250" i="55"/>
  <c r="J250" i="55"/>
  <c r="I250" i="55"/>
  <c r="H250" i="55"/>
  <c r="G250" i="55"/>
  <c r="F250" i="55"/>
  <c r="E250" i="55"/>
  <c r="D250" i="55"/>
  <c r="AB249" i="55"/>
  <c r="AA249" i="55"/>
  <c r="Z249" i="55"/>
  <c r="Y249" i="55"/>
  <c r="X249" i="55"/>
  <c r="W249" i="55"/>
  <c r="V249" i="55"/>
  <c r="U249" i="55"/>
  <c r="T249" i="55"/>
  <c r="S249" i="55"/>
  <c r="R249" i="55"/>
  <c r="Q249" i="55"/>
  <c r="P249" i="55"/>
  <c r="O249" i="55"/>
  <c r="N249" i="55"/>
  <c r="M249" i="55"/>
  <c r="L249" i="55"/>
  <c r="K249" i="55"/>
  <c r="J249" i="55"/>
  <c r="I249" i="55"/>
  <c r="H249" i="55"/>
  <c r="G249" i="55"/>
  <c r="F249" i="55"/>
  <c r="E249" i="55"/>
  <c r="D249" i="55"/>
  <c r="AB248" i="55"/>
  <c r="AA248" i="55"/>
  <c r="Z248" i="55"/>
  <c r="Y248" i="55"/>
  <c r="X248" i="55"/>
  <c r="W248" i="55"/>
  <c r="V248" i="55"/>
  <c r="U248" i="55"/>
  <c r="T248" i="55"/>
  <c r="S248" i="55"/>
  <c r="R248" i="55"/>
  <c r="Q248" i="55"/>
  <c r="P248" i="55"/>
  <c r="O248" i="55"/>
  <c r="N248" i="55"/>
  <c r="M248" i="55"/>
  <c r="L248" i="55"/>
  <c r="K248" i="55"/>
  <c r="J248" i="55"/>
  <c r="I248" i="55"/>
  <c r="H248" i="55"/>
  <c r="G248" i="55"/>
  <c r="F248" i="55"/>
  <c r="E248" i="55"/>
  <c r="D248" i="55"/>
  <c r="AB247" i="55"/>
  <c r="AA247" i="55"/>
  <c r="Z247" i="55"/>
  <c r="Y247" i="55"/>
  <c r="X247" i="55"/>
  <c r="W247" i="55"/>
  <c r="V247" i="55"/>
  <c r="U247" i="55"/>
  <c r="T247" i="55"/>
  <c r="S247" i="55"/>
  <c r="R247" i="55"/>
  <c r="Q247" i="55"/>
  <c r="P247" i="55"/>
  <c r="O247" i="55"/>
  <c r="N247" i="55"/>
  <c r="M247" i="55"/>
  <c r="L247" i="55"/>
  <c r="K247" i="55"/>
  <c r="J247" i="55"/>
  <c r="I247" i="55"/>
  <c r="H247" i="55"/>
  <c r="G247" i="55"/>
  <c r="F247" i="55"/>
  <c r="E247" i="55"/>
  <c r="D247" i="55"/>
  <c r="AB246" i="55"/>
  <c r="AA246" i="55"/>
  <c r="Z246" i="55"/>
  <c r="Y246" i="55"/>
  <c r="X246" i="55"/>
  <c r="W246" i="55"/>
  <c r="V246" i="55"/>
  <c r="U246" i="55"/>
  <c r="T246" i="55"/>
  <c r="S246" i="55"/>
  <c r="R246" i="55"/>
  <c r="Q246" i="55"/>
  <c r="P246" i="55"/>
  <c r="O246" i="55"/>
  <c r="N246" i="55"/>
  <c r="M246" i="55"/>
  <c r="L246" i="55"/>
  <c r="K246" i="55"/>
  <c r="J246" i="55"/>
  <c r="I246" i="55"/>
  <c r="H246" i="55"/>
  <c r="G246" i="55"/>
  <c r="F246" i="55"/>
  <c r="E246" i="55"/>
  <c r="D246" i="55"/>
  <c r="AB245" i="55"/>
  <c r="AA245" i="55"/>
  <c r="Z245" i="55"/>
  <c r="Y245" i="55"/>
  <c r="X245" i="55"/>
  <c r="W245" i="55"/>
  <c r="V245" i="55"/>
  <c r="U245" i="55"/>
  <c r="T245" i="55"/>
  <c r="S245" i="55"/>
  <c r="R245" i="55"/>
  <c r="Q245" i="55"/>
  <c r="P245" i="55"/>
  <c r="O245" i="55"/>
  <c r="N245" i="55"/>
  <c r="M245" i="55"/>
  <c r="L245" i="55"/>
  <c r="K245" i="55"/>
  <c r="J245" i="55"/>
  <c r="I245" i="55"/>
  <c r="H245" i="55"/>
  <c r="G245" i="55"/>
  <c r="F245" i="55"/>
  <c r="E245" i="55"/>
  <c r="D245" i="55"/>
  <c r="AB244" i="55"/>
  <c r="AA244" i="55"/>
  <c r="Z244" i="55"/>
  <c r="Y244" i="55"/>
  <c r="X244" i="55"/>
  <c r="W244" i="55"/>
  <c r="V244" i="55"/>
  <c r="U244" i="55"/>
  <c r="T244" i="55"/>
  <c r="S244" i="55"/>
  <c r="R244" i="55"/>
  <c r="Q244" i="55"/>
  <c r="P244" i="55"/>
  <c r="O244" i="55"/>
  <c r="N244" i="55"/>
  <c r="M244" i="55"/>
  <c r="L244" i="55"/>
  <c r="K244" i="55"/>
  <c r="J244" i="55"/>
  <c r="I244" i="55"/>
  <c r="H244" i="55"/>
  <c r="G244" i="55"/>
  <c r="F244" i="55"/>
  <c r="E244" i="55"/>
  <c r="D244" i="55"/>
  <c r="AB243" i="55"/>
  <c r="AA243" i="55"/>
  <c r="Z243" i="55"/>
  <c r="Y243" i="55"/>
  <c r="X243" i="55"/>
  <c r="W243" i="55"/>
  <c r="V243" i="55"/>
  <c r="U243" i="55"/>
  <c r="T243" i="55"/>
  <c r="S243" i="55"/>
  <c r="R243" i="55"/>
  <c r="Q243" i="55"/>
  <c r="P243" i="55"/>
  <c r="O243" i="55"/>
  <c r="N243" i="55"/>
  <c r="M243" i="55"/>
  <c r="L243" i="55"/>
  <c r="K243" i="55"/>
  <c r="J243" i="55"/>
  <c r="I243" i="55"/>
  <c r="H243" i="55"/>
  <c r="G243" i="55"/>
  <c r="F243" i="55"/>
  <c r="E243" i="55"/>
  <c r="D243" i="55"/>
  <c r="AB242" i="55"/>
  <c r="AA242" i="55"/>
  <c r="Z242" i="55"/>
  <c r="Y242" i="55"/>
  <c r="X242" i="55"/>
  <c r="W242" i="55"/>
  <c r="V242" i="55"/>
  <c r="U242" i="55"/>
  <c r="T242" i="55"/>
  <c r="S242" i="55"/>
  <c r="R242" i="55"/>
  <c r="Q242" i="55"/>
  <c r="P242" i="55"/>
  <c r="O242" i="55"/>
  <c r="N242" i="55"/>
  <c r="M242" i="55"/>
  <c r="L242" i="55"/>
  <c r="K242" i="55"/>
  <c r="J242" i="55"/>
  <c r="I242" i="55"/>
  <c r="H242" i="55"/>
  <c r="G242" i="55"/>
  <c r="F242" i="55"/>
  <c r="E242" i="55"/>
  <c r="D242" i="55"/>
  <c r="AB241" i="55"/>
  <c r="AA241" i="55"/>
  <c r="Z241" i="55"/>
  <c r="Y241" i="55"/>
  <c r="X241" i="55"/>
  <c r="W241" i="55"/>
  <c r="V241" i="55"/>
  <c r="U241" i="55"/>
  <c r="T241" i="55"/>
  <c r="S241" i="55"/>
  <c r="R241" i="55"/>
  <c r="Q241" i="55"/>
  <c r="P241" i="55"/>
  <c r="O241" i="55"/>
  <c r="N241" i="55"/>
  <c r="M241" i="55"/>
  <c r="L241" i="55"/>
  <c r="K241" i="55"/>
  <c r="J241" i="55"/>
  <c r="I241" i="55"/>
  <c r="H241" i="55"/>
  <c r="G241" i="55"/>
  <c r="F241" i="55"/>
  <c r="E241" i="55"/>
  <c r="D241" i="55"/>
  <c r="AB240" i="55"/>
  <c r="AA240" i="55"/>
  <c r="Z240" i="55"/>
  <c r="Y240" i="55"/>
  <c r="X240" i="55"/>
  <c r="W240" i="55"/>
  <c r="V240" i="55"/>
  <c r="U240" i="55"/>
  <c r="T240" i="55"/>
  <c r="S240" i="55"/>
  <c r="R240" i="55"/>
  <c r="Q240" i="55"/>
  <c r="P240" i="55"/>
  <c r="O240" i="55"/>
  <c r="N240" i="55"/>
  <c r="M240" i="55"/>
  <c r="L240" i="55"/>
  <c r="K240" i="55"/>
  <c r="J240" i="55"/>
  <c r="I240" i="55"/>
  <c r="H240" i="55"/>
  <c r="G240" i="55"/>
  <c r="F240" i="55"/>
  <c r="E240" i="55"/>
  <c r="D240" i="55"/>
  <c r="AB239" i="55"/>
  <c r="AA239" i="55"/>
  <c r="Z239" i="55"/>
  <c r="Y239" i="55"/>
  <c r="X239" i="55"/>
  <c r="W239" i="55"/>
  <c r="V239" i="55"/>
  <c r="U239" i="55"/>
  <c r="T239" i="55"/>
  <c r="S239" i="55"/>
  <c r="R239" i="55"/>
  <c r="Q239" i="55"/>
  <c r="P239" i="55"/>
  <c r="O239" i="55"/>
  <c r="N239" i="55"/>
  <c r="M239" i="55"/>
  <c r="L239" i="55"/>
  <c r="K239" i="55"/>
  <c r="J239" i="55"/>
  <c r="I239" i="55"/>
  <c r="H239" i="55"/>
  <c r="G239" i="55"/>
  <c r="F239" i="55"/>
  <c r="E239" i="55"/>
  <c r="D239" i="55"/>
  <c r="AB238" i="55"/>
  <c r="AA238" i="55"/>
  <c r="Z238" i="55"/>
  <c r="Y238" i="55"/>
  <c r="X238" i="55"/>
  <c r="W238" i="55"/>
  <c r="V238" i="55"/>
  <c r="U238" i="55"/>
  <c r="T238" i="55"/>
  <c r="S238" i="55"/>
  <c r="R238" i="55"/>
  <c r="Q238" i="55"/>
  <c r="P238" i="55"/>
  <c r="O238" i="55"/>
  <c r="N238" i="55"/>
  <c r="M238" i="55"/>
  <c r="L238" i="55"/>
  <c r="K238" i="55"/>
  <c r="J238" i="55"/>
  <c r="I238" i="55"/>
  <c r="H238" i="55"/>
  <c r="G238" i="55"/>
  <c r="F238" i="55"/>
  <c r="E238" i="55"/>
  <c r="D238" i="55"/>
  <c r="AB237" i="55"/>
  <c r="AA237" i="55"/>
  <c r="Z237" i="55"/>
  <c r="Y237" i="55"/>
  <c r="X237" i="55"/>
  <c r="W237" i="55"/>
  <c r="V237" i="55"/>
  <c r="U237" i="55"/>
  <c r="T237" i="55"/>
  <c r="S237" i="55"/>
  <c r="R237" i="55"/>
  <c r="Q237" i="55"/>
  <c r="P237" i="55"/>
  <c r="O237" i="55"/>
  <c r="N237" i="55"/>
  <c r="M237" i="55"/>
  <c r="L237" i="55"/>
  <c r="K237" i="55"/>
  <c r="J237" i="55"/>
  <c r="I237" i="55"/>
  <c r="H237" i="55"/>
  <c r="G237" i="55"/>
  <c r="F237" i="55"/>
  <c r="E237" i="55"/>
  <c r="D237" i="55"/>
  <c r="AB236" i="55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F236" i="55"/>
  <c r="E236" i="55"/>
  <c r="D236" i="55"/>
  <c r="AB235" i="55"/>
  <c r="AA235" i="55"/>
  <c r="Z235" i="55"/>
  <c r="Y235" i="55"/>
  <c r="X235" i="55"/>
  <c r="W235" i="55"/>
  <c r="V235" i="55"/>
  <c r="U235" i="55"/>
  <c r="T235" i="55"/>
  <c r="S235" i="55"/>
  <c r="R235" i="55"/>
  <c r="Q235" i="55"/>
  <c r="P235" i="55"/>
  <c r="O235" i="55"/>
  <c r="N235" i="55"/>
  <c r="M235" i="55"/>
  <c r="L235" i="55"/>
  <c r="K235" i="55"/>
  <c r="J235" i="55"/>
  <c r="I235" i="55"/>
  <c r="H235" i="55"/>
  <c r="G235" i="55"/>
  <c r="F235" i="55"/>
  <c r="E235" i="55"/>
  <c r="D235" i="55"/>
  <c r="AB234" i="55"/>
  <c r="AA234" i="55"/>
  <c r="Z234" i="55"/>
  <c r="Y234" i="55"/>
  <c r="X234" i="55"/>
  <c r="W234" i="55"/>
  <c r="V234" i="55"/>
  <c r="U234" i="55"/>
  <c r="T234" i="55"/>
  <c r="S234" i="55"/>
  <c r="R234" i="55"/>
  <c r="Q234" i="55"/>
  <c r="P234" i="55"/>
  <c r="O234" i="55"/>
  <c r="N234" i="55"/>
  <c r="M234" i="55"/>
  <c r="L234" i="55"/>
  <c r="K234" i="55"/>
  <c r="J234" i="55"/>
  <c r="I234" i="55"/>
  <c r="H234" i="55"/>
  <c r="G234" i="55"/>
  <c r="F234" i="55"/>
  <c r="E234" i="55"/>
  <c r="D234" i="55"/>
  <c r="AB233" i="55"/>
  <c r="AA233" i="55"/>
  <c r="Z233" i="55"/>
  <c r="Y233" i="55"/>
  <c r="X233" i="55"/>
  <c r="W233" i="55"/>
  <c r="V233" i="55"/>
  <c r="U233" i="55"/>
  <c r="T233" i="55"/>
  <c r="S233" i="55"/>
  <c r="R233" i="55"/>
  <c r="Q233" i="55"/>
  <c r="P233" i="55"/>
  <c r="O233" i="55"/>
  <c r="N233" i="55"/>
  <c r="M233" i="55"/>
  <c r="L233" i="55"/>
  <c r="K233" i="55"/>
  <c r="J233" i="55"/>
  <c r="I233" i="55"/>
  <c r="H233" i="55"/>
  <c r="G233" i="55"/>
  <c r="F233" i="55"/>
  <c r="E233" i="55"/>
  <c r="D233" i="55"/>
  <c r="AB232" i="55"/>
  <c r="AA232" i="55"/>
  <c r="Z232" i="55"/>
  <c r="Y232" i="55"/>
  <c r="X232" i="55"/>
  <c r="W232" i="55"/>
  <c r="V232" i="55"/>
  <c r="U232" i="55"/>
  <c r="T232" i="55"/>
  <c r="S232" i="55"/>
  <c r="R232" i="55"/>
  <c r="Q232" i="55"/>
  <c r="P232" i="55"/>
  <c r="O232" i="55"/>
  <c r="N232" i="55"/>
  <c r="M232" i="55"/>
  <c r="L232" i="55"/>
  <c r="K232" i="55"/>
  <c r="J232" i="55"/>
  <c r="I232" i="55"/>
  <c r="H232" i="55"/>
  <c r="G232" i="55"/>
  <c r="F232" i="55"/>
  <c r="E232" i="55"/>
  <c r="D232" i="55"/>
  <c r="AB231" i="55"/>
  <c r="AA231" i="55"/>
  <c r="Z231" i="55"/>
  <c r="Y231" i="55"/>
  <c r="X231" i="55"/>
  <c r="W231" i="55"/>
  <c r="V231" i="55"/>
  <c r="U231" i="55"/>
  <c r="T231" i="55"/>
  <c r="S231" i="55"/>
  <c r="R231" i="55"/>
  <c r="Q231" i="55"/>
  <c r="P231" i="55"/>
  <c r="O231" i="55"/>
  <c r="N231" i="55"/>
  <c r="M231" i="55"/>
  <c r="L231" i="55"/>
  <c r="K231" i="55"/>
  <c r="J231" i="55"/>
  <c r="I231" i="55"/>
  <c r="H231" i="55"/>
  <c r="G231" i="55"/>
  <c r="F231" i="55"/>
  <c r="E231" i="55"/>
  <c r="D231" i="55"/>
  <c r="AB230" i="55"/>
  <c r="AA230" i="55"/>
  <c r="Z230" i="55"/>
  <c r="Y230" i="55"/>
  <c r="X230" i="55"/>
  <c r="W230" i="55"/>
  <c r="V230" i="55"/>
  <c r="U230" i="55"/>
  <c r="T230" i="55"/>
  <c r="S230" i="55"/>
  <c r="R230" i="55"/>
  <c r="Q230" i="55"/>
  <c r="P230" i="55"/>
  <c r="O230" i="55"/>
  <c r="N230" i="55"/>
  <c r="M230" i="55"/>
  <c r="L230" i="55"/>
  <c r="K230" i="55"/>
  <c r="J230" i="55"/>
  <c r="I230" i="55"/>
  <c r="H230" i="55"/>
  <c r="G230" i="55"/>
  <c r="F230" i="55"/>
  <c r="E230" i="55"/>
  <c r="D230" i="55"/>
  <c r="AB229" i="55"/>
  <c r="AA229" i="55"/>
  <c r="Z229" i="55"/>
  <c r="Y229" i="55"/>
  <c r="X229" i="55"/>
  <c r="W229" i="55"/>
  <c r="V229" i="55"/>
  <c r="U229" i="55"/>
  <c r="T229" i="55"/>
  <c r="S229" i="55"/>
  <c r="R229" i="55"/>
  <c r="Q229" i="55"/>
  <c r="P229" i="55"/>
  <c r="O229" i="55"/>
  <c r="N229" i="55"/>
  <c r="M229" i="55"/>
  <c r="L229" i="55"/>
  <c r="K229" i="55"/>
  <c r="J229" i="55"/>
  <c r="I229" i="55"/>
  <c r="H229" i="55"/>
  <c r="G229" i="55"/>
  <c r="F229" i="55"/>
  <c r="E229" i="55"/>
  <c r="D229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F228" i="55"/>
  <c r="E228" i="55"/>
  <c r="D228" i="55"/>
  <c r="AB227" i="55"/>
  <c r="AA227" i="55"/>
  <c r="Z227" i="55"/>
  <c r="Y227" i="55"/>
  <c r="X227" i="55"/>
  <c r="W227" i="55"/>
  <c r="V227" i="55"/>
  <c r="U227" i="55"/>
  <c r="T227" i="55"/>
  <c r="S227" i="55"/>
  <c r="R227" i="55"/>
  <c r="Q227" i="55"/>
  <c r="P227" i="55"/>
  <c r="O227" i="55"/>
  <c r="N227" i="55"/>
  <c r="M227" i="55"/>
  <c r="L227" i="55"/>
  <c r="K227" i="55"/>
  <c r="J227" i="55"/>
  <c r="I227" i="55"/>
  <c r="H227" i="55"/>
  <c r="G227" i="55"/>
  <c r="F227" i="55"/>
  <c r="E227" i="55"/>
  <c r="D227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G226" i="55"/>
  <c r="F226" i="55"/>
  <c r="E226" i="55"/>
  <c r="D226" i="55"/>
  <c r="AB225" i="55"/>
  <c r="AA225" i="55"/>
  <c r="Z225" i="55"/>
  <c r="Y225" i="55"/>
  <c r="X225" i="55"/>
  <c r="W225" i="55"/>
  <c r="V225" i="55"/>
  <c r="U225" i="55"/>
  <c r="T225" i="55"/>
  <c r="S225" i="55"/>
  <c r="R225" i="55"/>
  <c r="Q225" i="55"/>
  <c r="P225" i="55"/>
  <c r="O225" i="55"/>
  <c r="N225" i="55"/>
  <c r="M225" i="55"/>
  <c r="L225" i="55"/>
  <c r="K225" i="55"/>
  <c r="J225" i="55"/>
  <c r="I225" i="55"/>
  <c r="H225" i="55"/>
  <c r="G225" i="55"/>
  <c r="F225" i="55"/>
  <c r="E225" i="55"/>
  <c r="D225" i="55"/>
  <c r="AB224" i="55"/>
  <c r="AA224" i="55"/>
  <c r="Z224" i="55"/>
  <c r="Y224" i="55"/>
  <c r="X224" i="55"/>
  <c r="W224" i="55"/>
  <c r="V224" i="55"/>
  <c r="U224" i="55"/>
  <c r="T224" i="55"/>
  <c r="S224" i="55"/>
  <c r="R224" i="55"/>
  <c r="Q224" i="55"/>
  <c r="P224" i="55"/>
  <c r="O224" i="55"/>
  <c r="N224" i="55"/>
  <c r="M224" i="55"/>
  <c r="L224" i="55"/>
  <c r="K224" i="55"/>
  <c r="J224" i="55"/>
  <c r="I224" i="55"/>
  <c r="H224" i="55"/>
  <c r="G224" i="55"/>
  <c r="F224" i="55"/>
  <c r="E224" i="55"/>
  <c r="D224" i="55"/>
  <c r="AB223" i="55"/>
  <c r="AA223" i="55"/>
  <c r="Z223" i="55"/>
  <c r="Y223" i="55"/>
  <c r="X223" i="55"/>
  <c r="W223" i="55"/>
  <c r="V223" i="55"/>
  <c r="U223" i="55"/>
  <c r="T223" i="55"/>
  <c r="S223" i="55"/>
  <c r="R223" i="55"/>
  <c r="Q223" i="55"/>
  <c r="P223" i="55"/>
  <c r="O223" i="55"/>
  <c r="N223" i="55"/>
  <c r="M223" i="55"/>
  <c r="L223" i="55"/>
  <c r="K223" i="55"/>
  <c r="J223" i="55"/>
  <c r="I223" i="55"/>
  <c r="H223" i="55"/>
  <c r="G223" i="55"/>
  <c r="F223" i="55"/>
  <c r="E223" i="55"/>
  <c r="D223" i="55"/>
  <c r="AB222" i="55"/>
  <c r="AA222" i="55"/>
  <c r="Z222" i="55"/>
  <c r="Y222" i="55"/>
  <c r="X222" i="55"/>
  <c r="W222" i="55"/>
  <c r="V222" i="55"/>
  <c r="U222" i="55"/>
  <c r="T222" i="55"/>
  <c r="S222" i="55"/>
  <c r="R222" i="55"/>
  <c r="Q222" i="55"/>
  <c r="P222" i="55"/>
  <c r="O222" i="55"/>
  <c r="N222" i="55"/>
  <c r="M222" i="55"/>
  <c r="L222" i="55"/>
  <c r="K222" i="55"/>
  <c r="J222" i="55"/>
  <c r="I222" i="55"/>
  <c r="H222" i="55"/>
  <c r="G222" i="55"/>
  <c r="F222" i="55"/>
  <c r="E222" i="55"/>
  <c r="D222" i="55"/>
  <c r="AB221" i="55"/>
  <c r="AA221" i="55"/>
  <c r="Z221" i="55"/>
  <c r="Y221" i="55"/>
  <c r="X221" i="55"/>
  <c r="W221" i="55"/>
  <c r="V221" i="55"/>
  <c r="U221" i="55"/>
  <c r="T221" i="55"/>
  <c r="S221" i="55"/>
  <c r="R221" i="55"/>
  <c r="Q221" i="55"/>
  <c r="P221" i="55"/>
  <c r="O221" i="55"/>
  <c r="N221" i="55"/>
  <c r="M221" i="55"/>
  <c r="L221" i="55"/>
  <c r="K221" i="55"/>
  <c r="J221" i="55"/>
  <c r="I221" i="55"/>
  <c r="H221" i="55"/>
  <c r="G221" i="55"/>
  <c r="F221" i="55"/>
  <c r="E221" i="55"/>
  <c r="D221" i="55"/>
  <c r="AB220" i="55"/>
  <c r="AA220" i="55"/>
  <c r="Z220" i="55"/>
  <c r="Y220" i="55"/>
  <c r="X220" i="55"/>
  <c r="W220" i="55"/>
  <c r="V220" i="55"/>
  <c r="U220" i="55"/>
  <c r="T220" i="55"/>
  <c r="S220" i="55"/>
  <c r="R220" i="55"/>
  <c r="Q220" i="55"/>
  <c r="P220" i="55"/>
  <c r="O220" i="55"/>
  <c r="N220" i="55"/>
  <c r="M220" i="55"/>
  <c r="L220" i="55"/>
  <c r="K220" i="55"/>
  <c r="J220" i="55"/>
  <c r="I220" i="55"/>
  <c r="H220" i="55"/>
  <c r="G220" i="55"/>
  <c r="F220" i="55"/>
  <c r="E220" i="55"/>
  <c r="D220" i="55"/>
  <c r="AB219" i="55"/>
  <c r="AA219" i="55"/>
  <c r="Z219" i="55"/>
  <c r="Y219" i="55"/>
  <c r="X219" i="55"/>
  <c r="W219" i="55"/>
  <c r="V219" i="55"/>
  <c r="U219" i="55"/>
  <c r="T219" i="55"/>
  <c r="S219" i="55"/>
  <c r="R219" i="55"/>
  <c r="Q219" i="55"/>
  <c r="P219" i="55"/>
  <c r="O219" i="55"/>
  <c r="N219" i="55"/>
  <c r="M219" i="55"/>
  <c r="L219" i="55"/>
  <c r="K219" i="55"/>
  <c r="J219" i="55"/>
  <c r="I219" i="55"/>
  <c r="H219" i="55"/>
  <c r="G219" i="55"/>
  <c r="F219" i="55"/>
  <c r="E219" i="55"/>
  <c r="D219" i="55"/>
  <c r="AB218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G218" i="55"/>
  <c r="F218" i="55"/>
  <c r="E218" i="55"/>
  <c r="D218" i="55"/>
  <c r="AB217" i="55"/>
  <c r="AA217" i="55"/>
  <c r="Z217" i="55"/>
  <c r="Y217" i="55"/>
  <c r="X217" i="55"/>
  <c r="W217" i="55"/>
  <c r="V217" i="55"/>
  <c r="U217" i="55"/>
  <c r="T217" i="55"/>
  <c r="S217" i="55"/>
  <c r="R217" i="55"/>
  <c r="Q217" i="55"/>
  <c r="P217" i="55"/>
  <c r="O217" i="55"/>
  <c r="N217" i="55"/>
  <c r="M217" i="55"/>
  <c r="L217" i="55"/>
  <c r="K217" i="55"/>
  <c r="J217" i="55"/>
  <c r="I217" i="55"/>
  <c r="H217" i="55"/>
  <c r="G217" i="55"/>
  <c r="F217" i="55"/>
  <c r="E217" i="55"/>
  <c r="D217" i="55"/>
  <c r="AB216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G216" i="55"/>
  <c r="F216" i="55"/>
  <c r="E216" i="55"/>
  <c r="D216" i="55"/>
  <c r="AB215" i="55"/>
  <c r="AA215" i="55"/>
  <c r="Z215" i="55"/>
  <c r="Y215" i="55"/>
  <c r="X215" i="55"/>
  <c r="W215" i="55"/>
  <c r="V215" i="55"/>
  <c r="U215" i="55"/>
  <c r="T215" i="55"/>
  <c r="S215" i="55"/>
  <c r="R215" i="55"/>
  <c r="Q215" i="55"/>
  <c r="P215" i="55"/>
  <c r="O215" i="55"/>
  <c r="N215" i="55"/>
  <c r="M215" i="55"/>
  <c r="L215" i="55"/>
  <c r="K215" i="55"/>
  <c r="J215" i="55"/>
  <c r="I215" i="55"/>
  <c r="H215" i="55"/>
  <c r="G215" i="55"/>
  <c r="F215" i="55"/>
  <c r="E215" i="55"/>
  <c r="D215" i="55"/>
  <c r="AB214" i="55"/>
  <c r="AA214" i="55"/>
  <c r="Z214" i="55"/>
  <c r="Y214" i="55"/>
  <c r="X214" i="55"/>
  <c r="W214" i="55"/>
  <c r="V214" i="55"/>
  <c r="U214" i="55"/>
  <c r="T214" i="55"/>
  <c r="S214" i="55"/>
  <c r="R214" i="55"/>
  <c r="Q214" i="55"/>
  <c r="P214" i="55"/>
  <c r="O214" i="55"/>
  <c r="N214" i="55"/>
  <c r="M214" i="55"/>
  <c r="L214" i="55"/>
  <c r="K214" i="55"/>
  <c r="J214" i="55"/>
  <c r="I214" i="55"/>
  <c r="H214" i="55"/>
  <c r="G214" i="55"/>
  <c r="F214" i="55"/>
  <c r="E214" i="55"/>
  <c r="D214" i="55"/>
  <c r="AB213" i="55"/>
  <c r="AA213" i="55"/>
  <c r="Z213" i="55"/>
  <c r="Y213" i="55"/>
  <c r="X213" i="55"/>
  <c r="W213" i="55"/>
  <c r="V213" i="55"/>
  <c r="U213" i="55"/>
  <c r="T213" i="55"/>
  <c r="S213" i="55"/>
  <c r="R213" i="55"/>
  <c r="Q213" i="55"/>
  <c r="P213" i="55"/>
  <c r="O213" i="55"/>
  <c r="N213" i="55"/>
  <c r="M213" i="55"/>
  <c r="L213" i="55"/>
  <c r="K213" i="55"/>
  <c r="J213" i="55"/>
  <c r="I213" i="55"/>
  <c r="H213" i="55"/>
  <c r="G213" i="55"/>
  <c r="F213" i="55"/>
  <c r="E213" i="55"/>
  <c r="D213" i="55"/>
  <c r="AB212" i="55"/>
  <c r="AA212" i="55"/>
  <c r="Z212" i="55"/>
  <c r="Y212" i="55"/>
  <c r="X212" i="55"/>
  <c r="W212" i="55"/>
  <c r="V212" i="55"/>
  <c r="U212" i="55"/>
  <c r="T212" i="55"/>
  <c r="S212" i="55"/>
  <c r="R212" i="55"/>
  <c r="Q212" i="55"/>
  <c r="P212" i="55"/>
  <c r="O212" i="55"/>
  <c r="N212" i="55"/>
  <c r="M212" i="55"/>
  <c r="L212" i="55"/>
  <c r="K212" i="55"/>
  <c r="J212" i="55"/>
  <c r="I212" i="55"/>
  <c r="H212" i="55"/>
  <c r="G212" i="55"/>
  <c r="F212" i="55"/>
  <c r="E212" i="55"/>
  <c r="D212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G211" i="55"/>
  <c r="F211" i="55"/>
  <c r="E211" i="55"/>
  <c r="D211" i="55"/>
  <c r="AB210" i="55"/>
  <c r="AA210" i="55"/>
  <c r="Z210" i="55"/>
  <c r="Y210" i="55"/>
  <c r="X210" i="55"/>
  <c r="W210" i="55"/>
  <c r="V210" i="55"/>
  <c r="U210" i="55"/>
  <c r="T210" i="55"/>
  <c r="S210" i="55"/>
  <c r="R210" i="55"/>
  <c r="Q210" i="55"/>
  <c r="P210" i="55"/>
  <c r="O210" i="55"/>
  <c r="N210" i="55"/>
  <c r="M210" i="55"/>
  <c r="L210" i="55"/>
  <c r="K210" i="55"/>
  <c r="J210" i="55"/>
  <c r="I210" i="55"/>
  <c r="H210" i="55"/>
  <c r="G210" i="55"/>
  <c r="F210" i="55"/>
  <c r="E210" i="55"/>
  <c r="D210" i="55"/>
  <c r="AB209" i="55"/>
  <c r="AA209" i="55"/>
  <c r="Z209" i="55"/>
  <c r="Y209" i="55"/>
  <c r="X209" i="55"/>
  <c r="W209" i="55"/>
  <c r="V209" i="55"/>
  <c r="U209" i="55"/>
  <c r="T209" i="55"/>
  <c r="S209" i="55"/>
  <c r="R209" i="55"/>
  <c r="Q209" i="55"/>
  <c r="P209" i="55"/>
  <c r="O209" i="55"/>
  <c r="N209" i="55"/>
  <c r="M209" i="55"/>
  <c r="L209" i="55"/>
  <c r="K209" i="55"/>
  <c r="J209" i="55"/>
  <c r="I209" i="55"/>
  <c r="H209" i="55"/>
  <c r="G209" i="55"/>
  <c r="F209" i="55"/>
  <c r="E209" i="55"/>
  <c r="D209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G208" i="55"/>
  <c r="F208" i="55"/>
  <c r="E208" i="55"/>
  <c r="D208" i="55"/>
  <c r="AB207" i="55"/>
  <c r="AA207" i="55"/>
  <c r="Z207" i="55"/>
  <c r="Y207" i="55"/>
  <c r="X207" i="55"/>
  <c r="W207" i="55"/>
  <c r="V207" i="55"/>
  <c r="U207" i="55"/>
  <c r="T207" i="55"/>
  <c r="S207" i="55"/>
  <c r="R207" i="55"/>
  <c r="Q207" i="55"/>
  <c r="P207" i="55"/>
  <c r="O207" i="55"/>
  <c r="N207" i="55"/>
  <c r="M207" i="55"/>
  <c r="L207" i="55"/>
  <c r="K207" i="55"/>
  <c r="J207" i="55"/>
  <c r="I207" i="55"/>
  <c r="H207" i="55"/>
  <c r="G207" i="55"/>
  <c r="F207" i="55"/>
  <c r="E207" i="55"/>
  <c r="D207" i="55"/>
  <c r="AB205" i="55"/>
  <c r="AA205" i="55"/>
  <c r="Z205" i="55"/>
  <c r="Y205" i="55"/>
  <c r="X205" i="55"/>
  <c r="W205" i="55"/>
  <c r="V205" i="55"/>
  <c r="U205" i="55"/>
  <c r="T205" i="55"/>
  <c r="S205" i="55"/>
  <c r="R205" i="55"/>
  <c r="Q205" i="55"/>
  <c r="P205" i="55"/>
  <c r="O205" i="55"/>
  <c r="N205" i="55"/>
  <c r="M205" i="55"/>
  <c r="L205" i="55"/>
  <c r="K205" i="55"/>
  <c r="J205" i="55"/>
  <c r="I205" i="55"/>
  <c r="H205" i="55"/>
  <c r="G205" i="55"/>
  <c r="F205" i="55"/>
  <c r="E205" i="55"/>
  <c r="D205" i="55"/>
  <c r="AB204" i="55"/>
  <c r="AA204" i="55"/>
  <c r="Z204" i="55"/>
  <c r="Y204" i="55"/>
  <c r="X204" i="55"/>
  <c r="W204" i="55"/>
  <c r="V204" i="55"/>
  <c r="U204" i="55"/>
  <c r="T204" i="55"/>
  <c r="S204" i="55"/>
  <c r="R204" i="55"/>
  <c r="Q204" i="55"/>
  <c r="P204" i="55"/>
  <c r="O204" i="55"/>
  <c r="N204" i="55"/>
  <c r="M204" i="55"/>
  <c r="L204" i="55"/>
  <c r="K204" i="55"/>
  <c r="J204" i="55"/>
  <c r="I204" i="55"/>
  <c r="H204" i="55"/>
  <c r="G204" i="55"/>
  <c r="F204" i="55"/>
  <c r="E204" i="55"/>
  <c r="D204" i="55"/>
  <c r="AB203" i="55"/>
  <c r="AA203" i="55"/>
  <c r="Z203" i="55"/>
  <c r="Y203" i="55"/>
  <c r="X203" i="55"/>
  <c r="W203" i="55"/>
  <c r="V203" i="55"/>
  <c r="U203" i="55"/>
  <c r="T203" i="55"/>
  <c r="S203" i="55"/>
  <c r="R203" i="55"/>
  <c r="Q203" i="55"/>
  <c r="P203" i="55"/>
  <c r="O203" i="55"/>
  <c r="N203" i="55"/>
  <c r="M203" i="55"/>
  <c r="L203" i="55"/>
  <c r="K203" i="55"/>
  <c r="J203" i="55"/>
  <c r="I203" i="55"/>
  <c r="H203" i="55"/>
  <c r="G203" i="55"/>
  <c r="F203" i="55"/>
  <c r="E203" i="55"/>
  <c r="D203" i="55"/>
  <c r="AB202" i="55"/>
  <c r="AA202" i="55"/>
  <c r="Z202" i="55"/>
  <c r="Y202" i="55"/>
  <c r="X202" i="55"/>
  <c r="W202" i="55"/>
  <c r="V202" i="55"/>
  <c r="U202" i="55"/>
  <c r="T202" i="55"/>
  <c r="S202" i="55"/>
  <c r="R202" i="55"/>
  <c r="Q202" i="55"/>
  <c r="P202" i="55"/>
  <c r="O202" i="55"/>
  <c r="N202" i="55"/>
  <c r="M202" i="55"/>
  <c r="L202" i="55"/>
  <c r="K202" i="55"/>
  <c r="J202" i="55"/>
  <c r="I202" i="55"/>
  <c r="H202" i="55"/>
  <c r="G202" i="55"/>
  <c r="F202" i="55"/>
  <c r="E202" i="55"/>
  <c r="D202" i="55"/>
  <c r="AB201" i="55"/>
  <c r="AA201" i="55"/>
  <c r="Z201" i="55"/>
  <c r="Y201" i="55"/>
  <c r="X201" i="55"/>
  <c r="W201" i="55"/>
  <c r="V201" i="55"/>
  <c r="U201" i="55"/>
  <c r="T201" i="55"/>
  <c r="S201" i="55"/>
  <c r="R201" i="55"/>
  <c r="Q201" i="55"/>
  <c r="P201" i="55"/>
  <c r="O201" i="55"/>
  <c r="N201" i="55"/>
  <c r="M201" i="55"/>
  <c r="L201" i="55"/>
  <c r="K201" i="55"/>
  <c r="J201" i="55"/>
  <c r="I201" i="55"/>
  <c r="H201" i="55"/>
  <c r="G201" i="55"/>
  <c r="F201" i="55"/>
  <c r="E201" i="55"/>
  <c r="D201" i="55"/>
  <c r="AB200" i="55"/>
  <c r="AA200" i="55"/>
  <c r="Z200" i="55"/>
  <c r="Y200" i="55"/>
  <c r="X200" i="55"/>
  <c r="W200" i="55"/>
  <c r="V200" i="55"/>
  <c r="U200" i="55"/>
  <c r="T200" i="55"/>
  <c r="S200" i="55"/>
  <c r="R200" i="55"/>
  <c r="Q200" i="55"/>
  <c r="P200" i="55"/>
  <c r="O200" i="55"/>
  <c r="N200" i="55"/>
  <c r="M200" i="55"/>
  <c r="L200" i="55"/>
  <c r="K200" i="55"/>
  <c r="J200" i="55"/>
  <c r="I200" i="55"/>
  <c r="H200" i="55"/>
  <c r="G200" i="55"/>
  <c r="F200" i="55"/>
  <c r="E200" i="55"/>
  <c r="D200" i="55"/>
  <c r="AB199" i="55"/>
  <c r="AA199" i="55"/>
  <c r="Z199" i="55"/>
  <c r="Y199" i="55"/>
  <c r="X199" i="55"/>
  <c r="W199" i="55"/>
  <c r="V199" i="55"/>
  <c r="U199" i="55"/>
  <c r="T199" i="55"/>
  <c r="S199" i="55"/>
  <c r="R199" i="55"/>
  <c r="Q199" i="55"/>
  <c r="P199" i="55"/>
  <c r="O199" i="55"/>
  <c r="N199" i="55"/>
  <c r="M199" i="55"/>
  <c r="L199" i="55"/>
  <c r="K199" i="55"/>
  <c r="J199" i="55"/>
  <c r="I199" i="55"/>
  <c r="H199" i="55"/>
  <c r="G199" i="55"/>
  <c r="F199" i="55"/>
  <c r="E199" i="55"/>
  <c r="D199" i="55"/>
  <c r="AB198" i="55"/>
  <c r="AA198" i="55"/>
  <c r="Z198" i="55"/>
  <c r="Y198" i="55"/>
  <c r="X198" i="55"/>
  <c r="W198" i="55"/>
  <c r="V198" i="55"/>
  <c r="U198" i="55"/>
  <c r="T198" i="55"/>
  <c r="S198" i="55"/>
  <c r="R198" i="55"/>
  <c r="Q198" i="55"/>
  <c r="P198" i="55"/>
  <c r="O198" i="55"/>
  <c r="N198" i="55"/>
  <c r="M198" i="55"/>
  <c r="L198" i="55"/>
  <c r="K198" i="55"/>
  <c r="J198" i="55"/>
  <c r="I198" i="55"/>
  <c r="H198" i="55"/>
  <c r="G198" i="55"/>
  <c r="F198" i="55"/>
  <c r="E198" i="55"/>
  <c r="D198" i="55"/>
  <c r="AB197" i="55"/>
  <c r="AA197" i="55"/>
  <c r="Z197" i="55"/>
  <c r="Y197" i="55"/>
  <c r="X197" i="55"/>
  <c r="W197" i="55"/>
  <c r="V197" i="55"/>
  <c r="U197" i="55"/>
  <c r="T197" i="55"/>
  <c r="S197" i="55"/>
  <c r="R197" i="55"/>
  <c r="Q197" i="55"/>
  <c r="P197" i="55"/>
  <c r="O197" i="55"/>
  <c r="N197" i="55"/>
  <c r="M197" i="55"/>
  <c r="L197" i="55"/>
  <c r="K197" i="55"/>
  <c r="J197" i="55"/>
  <c r="I197" i="55"/>
  <c r="H197" i="55"/>
  <c r="G197" i="55"/>
  <c r="F197" i="55"/>
  <c r="E197" i="55"/>
  <c r="D197" i="55"/>
  <c r="AB196" i="55"/>
  <c r="AA196" i="55"/>
  <c r="Z196" i="55"/>
  <c r="Y196" i="55"/>
  <c r="X196" i="55"/>
  <c r="W196" i="55"/>
  <c r="V196" i="55"/>
  <c r="U196" i="55"/>
  <c r="T196" i="55"/>
  <c r="S196" i="55"/>
  <c r="R196" i="55"/>
  <c r="Q196" i="55"/>
  <c r="P196" i="55"/>
  <c r="O196" i="55"/>
  <c r="N196" i="55"/>
  <c r="M196" i="55"/>
  <c r="L196" i="55"/>
  <c r="K196" i="55"/>
  <c r="J196" i="55"/>
  <c r="I196" i="55"/>
  <c r="H196" i="55"/>
  <c r="G196" i="55"/>
  <c r="F196" i="55"/>
  <c r="E196" i="55"/>
  <c r="D196" i="55"/>
  <c r="AB195" i="55"/>
  <c r="AA195" i="55"/>
  <c r="Z195" i="55"/>
  <c r="Y195" i="55"/>
  <c r="X195" i="55"/>
  <c r="W195" i="55"/>
  <c r="V195" i="55"/>
  <c r="U195" i="55"/>
  <c r="T195" i="55"/>
  <c r="S195" i="55"/>
  <c r="R195" i="55"/>
  <c r="Q195" i="55"/>
  <c r="P195" i="55"/>
  <c r="O195" i="55"/>
  <c r="N195" i="55"/>
  <c r="M195" i="55"/>
  <c r="L195" i="55"/>
  <c r="K195" i="55"/>
  <c r="J195" i="55"/>
  <c r="I195" i="55"/>
  <c r="H195" i="55"/>
  <c r="G195" i="55"/>
  <c r="F195" i="55"/>
  <c r="E195" i="55"/>
  <c r="D195" i="55"/>
  <c r="AB194" i="55"/>
  <c r="AA194" i="55"/>
  <c r="Z194" i="55"/>
  <c r="Y194" i="55"/>
  <c r="X194" i="55"/>
  <c r="W194" i="55"/>
  <c r="V194" i="55"/>
  <c r="U194" i="55"/>
  <c r="T194" i="55"/>
  <c r="S194" i="55"/>
  <c r="R194" i="55"/>
  <c r="Q194" i="55"/>
  <c r="P194" i="55"/>
  <c r="O194" i="55"/>
  <c r="N194" i="55"/>
  <c r="M194" i="55"/>
  <c r="L194" i="55"/>
  <c r="K194" i="55"/>
  <c r="J194" i="55"/>
  <c r="I194" i="55"/>
  <c r="H194" i="55"/>
  <c r="G194" i="55"/>
  <c r="F194" i="55"/>
  <c r="E194" i="55"/>
  <c r="D194" i="55"/>
  <c r="AB193" i="55"/>
  <c r="AA193" i="55"/>
  <c r="Z193" i="55"/>
  <c r="Y193" i="55"/>
  <c r="X193" i="55"/>
  <c r="W193" i="55"/>
  <c r="V193" i="55"/>
  <c r="U193" i="55"/>
  <c r="T193" i="55"/>
  <c r="S193" i="55"/>
  <c r="R193" i="55"/>
  <c r="Q193" i="55"/>
  <c r="P193" i="55"/>
  <c r="O193" i="55"/>
  <c r="N193" i="55"/>
  <c r="M193" i="55"/>
  <c r="L193" i="55"/>
  <c r="K193" i="55"/>
  <c r="J193" i="55"/>
  <c r="I193" i="55"/>
  <c r="H193" i="55"/>
  <c r="G193" i="55"/>
  <c r="F193" i="55"/>
  <c r="E193" i="55"/>
  <c r="D193" i="55"/>
  <c r="AB192" i="55"/>
  <c r="AA192" i="55"/>
  <c r="Z192" i="55"/>
  <c r="Y192" i="55"/>
  <c r="X192" i="55"/>
  <c r="W192" i="55"/>
  <c r="V192" i="55"/>
  <c r="U192" i="55"/>
  <c r="T192" i="55"/>
  <c r="S192" i="55"/>
  <c r="R192" i="55"/>
  <c r="Q192" i="55"/>
  <c r="P192" i="55"/>
  <c r="O192" i="55"/>
  <c r="N192" i="55"/>
  <c r="M192" i="55"/>
  <c r="L192" i="55"/>
  <c r="K192" i="55"/>
  <c r="J192" i="55"/>
  <c r="I192" i="55"/>
  <c r="H192" i="55"/>
  <c r="G192" i="55"/>
  <c r="F192" i="55"/>
  <c r="E192" i="55"/>
  <c r="D192" i="55"/>
  <c r="AB191" i="55"/>
  <c r="AA191" i="55"/>
  <c r="Z191" i="55"/>
  <c r="Y191" i="55"/>
  <c r="X191" i="55"/>
  <c r="W191" i="55"/>
  <c r="V191" i="55"/>
  <c r="U191" i="55"/>
  <c r="T191" i="55"/>
  <c r="S191" i="55"/>
  <c r="R191" i="55"/>
  <c r="Q191" i="55"/>
  <c r="P191" i="55"/>
  <c r="O191" i="55"/>
  <c r="N191" i="55"/>
  <c r="M191" i="55"/>
  <c r="L191" i="55"/>
  <c r="K191" i="55"/>
  <c r="J191" i="55"/>
  <c r="I191" i="55"/>
  <c r="H191" i="55"/>
  <c r="G191" i="55"/>
  <c r="F191" i="55"/>
  <c r="E191" i="55"/>
  <c r="D191" i="55"/>
  <c r="AB190" i="55"/>
  <c r="AA190" i="55"/>
  <c r="Z190" i="55"/>
  <c r="Y190" i="55"/>
  <c r="X190" i="55"/>
  <c r="W190" i="55"/>
  <c r="V190" i="55"/>
  <c r="U190" i="55"/>
  <c r="T190" i="55"/>
  <c r="S190" i="55"/>
  <c r="R190" i="55"/>
  <c r="Q190" i="55"/>
  <c r="P190" i="55"/>
  <c r="O190" i="55"/>
  <c r="N190" i="55"/>
  <c r="M190" i="55"/>
  <c r="L190" i="55"/>
  <c r="K190" i="55"/>
  <c r="J190" i="55"/>
  <c r="I190" i="55"/>
  <c r="H190" i="55"/>
  <c r="G190" i="55"/>
  <c r="F190" i="55"/>
  <c r="E190" i="55"/>
  <c r="D190" i="55"/>
  <c r="AB189" i="55"/>
  <c r="AA189" i="55"/>
  <c r="Z189" i="55"/>
  <c r="Y189" i="55"/>
  <c r="X189" i="55"/>
  <c r="W189" i="55"/>
  <c r="V189" i="55"/>
  <c r="U189" i="55"/>
  <c r="T189" i="55"/>
  <c r="S189" i="55"/>
  <c r="R189" i="55"/>
  <c r="Q189" i="55"/>
  <c r="P189" i="55"/>
  <c r="O189" i="55"/>
  <c r="N189" i="55"/>
  <c r="M189" i="55"/>
  <c r="L189" i="55"/>
  <c r="K189" i="55"/>
  <c r="J189" i="55"/>
  <c r="I189" i="55"/>
  <c r="H189" i="55"/>
  <c r="G189" i="55"/>
  <c r="F189" i="55"/>
  <c r="E189" i="55"/>
  <c r="D189" i="55"/>
  <c r="AB188" i="55"/>
  <c r="AA188" i="55"/>
  <c r="Z188" i="55"/>
  <c r="Y188" i="55"/>
  <c r="X188" i="55"/>
  <c r="W188" i="55"/>
  <c r="V188" i="55"/>
  <c r="U188" i="55"/>
  <c r="T188" i="55"/>
  <c r="S188" i="55"/>
  <c r="R188" i="55"/>
  <c r="Q188" i="55"/>
  <c r="P188" i="55"/>
  <c r="O188" i="55"/>
  <c r="N188" i="55"/>
  <c r="M188" i="55"/>
  <c r="L188" i="55"/>
  <c r="K188" i="55"/>
  <c r="J188" i="55"/>
  <c r="I188" i="55"/>
  <c r="H188" i="55"/>
  <c r="G188" i="55"/>
  <c r="F188" i="55"/>
  <c r="E188" i="55"/>
  <c r="D188" i="55"/>
  <c r="AB187" i="55"/>
  <c r="AA187" i="55"/>
  <c r="Z187" i="55"/>
  <c r="Y187" i="55"/>
  <c r="X187" i="55"/>
  <c r="W187" i="55"/>
  <c r="V187" i="55"/>
  <c r="U187" i="55"/>
  <c r="T187" i="55"/>
  <c r="S187" i="55"/>
  <c r="R187" i="55"/>
  <c r="Q187" i="55"/>
  <c r="P187" i="55"/>
  <c r="O187" i="55"/>
  <c r="N187" i="55"/>
  <c r="M187" i="55"/>
  <c r="L187" i="55"/>
  <c r="K187" i="55"/>
  <c r="J187" i="55"/>
  <c r="I187" i="55"/>
  <c r="H187" i="55"/>
  <c r="G187" i="55"/>
  <c r="F187" i="55"/>
  <c r="E187" i="55"/>
  <c r="D187" i="55"/>
  <c r="AB186" i="55"/>
  <c r="AA186" i="55"/>
  <c r="Z186" i="55"/>
  <c r="Y186" i="55"/>
  <c r="X186" i="55"/>
  <c r="W186" i="55"/>
  <c r="V186" i="55"/>
  <c r="U186" i="55"/>
  <c r="T186" i="55"/>
  <c r="S186" i="55"/>
  <c r="R186" i="55"/>
  <c r="Q186" i="55"/>
  <c r="P186" i="55"/>
  <c r="O186" i="55"/>
  <c r="N186" i="55"/>
  <c r="M186" i="55"/>
  <c r="L186" i="55"/>
  <c r="K186" i="55"/>
  <c r="J186" i="55"/>
  <c r="I186" i="55"/>
  <c r="H186" i="55"/>
  <c r="G186" i="55"/>
  <c r="F186" i="55"/>
  <c r="E186" i="55"/>
  <c r="D186" i="55"/>
  <c r="AB185" i="55"/>
  <c r="AA185" i="55"/>
  <c r="Z185" i="55"/>
  <c r="Y185" i="55"/>
  <c r="X185" i="55"/>
  <c r="W185" i="55"/>
  <c r="V185" i="55"/>
  <c r="U185" i="55"/>
  <c r="T185" i="55"/>
  <c r="S185" i="55"/>
  <c r="R185" i="55"/>
  <c r="Q185" i="55"/>
  <c r="P185" i="55"/>
  <c r="O185" i="55"/>
  <c r="N185" i="55"/>
  <c r="M185" i="55"/>
  <c r="L185" i="55"/>
  <c r="K185" i="55"/>
  <c r="J185" i="55"/>
  <c r="I185" i="55"/>
  <c r="H185" i="55"/>
  <c r="G185" i="55"/>
  <c r="F185" i="55"/>
  <c r="E185" i="55"/>
  <c r="D185" i="55"/>
  <c r="AB184" i="55"/>
  <c r="AA184" i="55"/>
  <c r="Z184" i="55"/>
  <c r="Y184" i="55"/>
  <c r="X184" i="55"/>
  <c r="W184" i="55"/>
  <c r="V184" i="55"/>
  <c r="U184" i="55"/>
  <c r="T184" i="55"/>
  <c r="S184" i="55"/>
  <c r="R184" i="55"/>
  <c r="Q184" i="55"/>
  <c r="P184" i="55"/>
  <c r="O184" i="55"/>
  <c r="N184" i="55"/>
  <c r="M184" i="55"/>
  <c r="L184" i="55"/>
  <c r="K184" i="55"/>
  <c r="J184" i="55"/>
  <c r="I184" i="55"/>
  <c r="H184" i="55"/>
  <c r="G184" i="55"/>
  <c r="F184" i="55"/>
  <c r="E184" i="55"/>
  <c r="D184" i="55"/>
  <c r="AB183" i="55"/>
  <c r="AA183" i="55"/>
  <c r="Z183" i="55"/>
  <c r="Y183" i="55"/>
  <c r="X183" i="55"/>
  <c r="W183" i="55"/>
  <c r="V183" i="55"/>
  <c r="U183" i="55"/>
  <c r="T183" i="55"/>
  <c r="S183" i="55"/>
  <c r="R183" i="55"/>
  <c r="Q183" i="55"/>
  <c r="P183" i="55"/>
  <c r="O183" i="55"/>
  <c r="N183" i="55"/>
  <c r="M183" i="55"/>
  <c r="L183" i="55"/>
  <c r="K183" i="55"/>
  <c r="J183" i="55"/>
  <c r="I183" i="55"/>
  <c r="H183" i="55"/>
  <c r="G183" i="55"/>
  <c r="F183" i="55"/>
  <c r="E183" i="55"/>
  <c r="D183" i="55"/>
  <c r="AB182" i="55"/>
  <c r="AA182" i="55"/>
  <c r="Z182" i="55"/>
  <c r="Y182" i="55"/>
  <c r="X182" i="55"/>
  <c r="W182" i="55"/>
  <c r="V182" i="55"/>
  <c r="U182" i="55"/>
  <c r="T182" i="55"/>
  <c r="S182" i="55"/>
  <c r="R182" i="55"/>
  <c r="Q182" i="55"/>
  <c r="P182" i="55"/>
  <c r="O182" i="55"/>
  <c r="N182" i="55"/>
  <c r="M182" i="55"/>
  <c r="L182" i="55"/>
  <c r="K182" i="55"/>
  <c r="J182" i="55"/>
  <c r="I182" i="55"/>
  <c r="H182" i="55"/>
  <c r="G182" i="55"/>
  <c r="F182" i="55"/>
  <c r="E182" i="55"/>
  <c r="D182" i="55"/>
  <c r="AB181" i="55"/>
  <c r="AA181" i="55"/>
  <c r="Z181" i="55"/>
  <c r="Y181" i="55"/>
  <c r="X181" i="55"/>
  <c r="W181" i="55"/>
  <c r="V181" i="55"/>
  <c r="U181" i="55"/>
  <c r="T181" i="55"/>
  <c r="S181" i="55"/>
  <c r="R181" i="55"/>
  <c r="Q181" i="55"/>
  <c r="P181" i="55"/>
  <c r="O181" i="55"/>
  <c r="N181" i="55"/>
  <c r="M181" i="55"/>
  <c r="L181" i="55"/>
  <c r="K181" i="55"/>
  <c r="J181" i="55"/>
  <c r="I181" i="55"/>
  <c r="H181" i="55"/>
  <c r="G181" i="55"/>
  <c r="F181" i="55"/>
  <c r="E181" i="55"/>
  <c r="D181" i="55"/>
  <c r="AB180" i="55"/>
  <c r="AA180" i="55"/>
  <c r="Z180" i="55"/>
  <c r="Y180" i="55"/>
  <c r="X180" i="55"/>
  <c r="W180" i="55"/>
  <c r="V180" i="55"/>
  <c r="U180" i="55"/>
  <c r="T180" i="55"/>
  <c r="S180" i="55"/>
  <c r="R180" i="55"/>
  <c r="Q180" i="55"/>
  <c r="P180" i="55"/>
  <c r="O180" i="55"/>
  <c r="N180" i="55"/>
  <c r="M180" i="55"/>
  <c r="L180" i="55"/>
  <c r="K180" i="55"/>
  <c r="J180" i="55"/>
  <c r="I180" i="55"/>
  <c r="H180" i="55"/>
  <c r="G180" i="55"/>
  <c r="F180" i="55"/>
  <c r="E180" i="55"/>
  <c r="D180" i="55"/>
  <c r="AB179" i="55"/>
  <c r="AA179" i="55"/>
  <c r="Z179" i="55"/>
  <c r="Y179" i="55"/>
  <c r="X179" i="55"/>
  <c r="W179" i="55"/>
  <c r="V179" i="55"/>
  <c r="U179" i="55"/>
  <c r="T179" i="55"/>
  <c r="S179" i="55"/>
  <c r="R179" i="55"/>
  <c r="Q179" i="55"/>
  <c r="P179" i="55"/>
  <c r="O179" i="55"/>
  <c r="N179" i="55"/>
  <c r="M179" i="55"/>
  <c r="L179" i="55"/>
  <c r="K179" i="55"/>
  <c r="J179" i="55"/>
  <c r="I179" i="55"/>
  <c r="H179" i="55"/>
  <c r="G179" i="55"/>
  <c r="F179" i="55"/>
  <c r="E179" i="55"/>
  <c r="D179" i="55"/>
  <c r="AB178" i="55"/>
  <c r="AA178" i="55"/>
  <c r="Z178" i="55"/>
  <c r="Y178" i="55"/>
  <c r="X178" i="55"/>
  <c r="W178" i="55"/>
  <c r="V178" i="55"/>
  <c r="U178" i="55"/>
  <c r="T178" i="55"/>
  <c r="S178" i="55"/>
  <c r="R178" i="55"/>
  <c r="Q178" i="55"/>
  <c r="P178" i="55"/>
  <c r="O178" i="55"/>
  <c r="N178" i="55"/>
  <c r="M178" i="55"/>
  <c r="L178" i="55"/>
  <c r="K178" i="55"/>
  <c r="J178" i="55"/>
  <c r="I178" i="55"/>
  <c r="H178" i="55"/>
  <c r="G178" i="55"/>
  <c r="F178" i="55"/>
  <c r="E178" i="55"/>
  <c r="D178" i="55"/>
  <c r="AB177" i="55"/>
  <c r="AA177" i="55"/>
  <c r="Z177" i="55"/>
  <c r="Y177" i="55"/>
  <c r="X177" i="55"/>
  <c r="W177" i="55"/>
  <c r="V177" i="55"/>
  <c r="U177" i="55"/>
  <c r="T177" i="55"/>
  <c r="S177" i="55"/>
  <c r="R177" i="55"/>
  <c r="Q177" i="55"/>
  <c r="P177" i="55"/>
  <c r="O177" i="55"/>
  <c r="N177" i="55"/>
  <c r="M177" i="55"/>
  <c r="L177" i="55"/>
  <c r="K177" i="55"/>
  <c r="J177" i="55"/>
  <c r="I177" i="55"/>
  <c r="H177" i="55"/>
  <c r="G177" i="55"/>
  <c r="F177" i="55"/>
  <c r="E177" i="55"/>
  <c r="D177" i="55"/>
  <c r="AB176" i="55"/>
  <c r="AA176" i="55"/>
  <c r="Z176" i="55"/>
  <c r="Y176" i="55"/>
  <c r="X176" i="55"/>
  <c r="W176" i="55"/>
  <c r="V176" i="55"/>
  <c r="U176" i="55"/>
  <c r="T176" i="55"/>
  <c r="S176" i="55"/>
  <c r="R176" i="55"/>
  <c r="Q176" i="55"/>
  <c r="P176" i="55"/>
  <c r="O176" i="55"/>
  <c r="N176" i="55"/>
  <c r="M176" i="55"/>
  <c r="L176" i="55"/>
  <c r="K176" i="55"/>
  <c r="J176" i="55"/>
  <c r="I176" i="55"/>
  <c r="H176" i="55"/>
  <c r="G176" i="55"/>
  <c r="F176" i="55"/>
  <c r="E176" i="55"/>
  <c r="D176" i="55"/>
  <c r="AB175" i="55"/>
  <c r="AA175" i="55"/>
  <c r="Z175" i="55"/>
  <c r="Y175" i="55"/>
  <c r="X175" i="55"/>
  <c r="W175" i="55"/>
  <c r="V175" i="55"/>
  <c r="U175" i="55"/>
  <c r="T175" i="55"/>
  <c r="S175" i="55"/>
  <c r="R175" i="55"/>
  <c r="Q175" i="55"/>
  <c r="P175" i="55"/>
  <c r="O175" i="55"/>
  <c r="N175" i="55"/>
  <c r="M175" i="55"/>
  <c r="L175" i="55"/>
  <c r="K175" i="55"/>
  <c r="J175" i="55"/>
  <c r="I175" i="55"/>
  <c r="H175" i="55"/>
  <c r="G175" i="55"/>
  <c r="F175" i="55"/>
  <c r="E175" i="55"/>
  <c r="D175" i="55"/>
  <c r="AB174" i="55"/>
  <c r="AA174" i="55"/>
  <c r="Z174" i="55"/>
  <c r="Y174" i="55"/>
  <c r="X174" i="55"/>
  <c r="W174" i="55"/>
  <c r="V174" i="55"/>
  <c r="U174" i="55"/>
  <c r="T174" i="55"/>
  <c r="S174" i="55"/>
  <c r="R174" i="55"/>
  <c r="Q174" i="55"/>
  <c r="P174" i="55"/>
  <c r="O174" i="55"/>
  <c r="N174" i="55"/>
  <c r="M174" i="55"/>
  <c r="L174" i="55"/>
  <c r="K174" i="55"/>
  <c r="J174" i="55"/>
  <c r="I174" i="55"/>
  <c r="H174" i="55"/>
  <c r="G174" i="55"/>
  <c r="F174" i="55"/>
  <c r="E174" i="55"/>
  <c r="D174" i="55"/>
  <c r="AB173" i="55"/>
  <c r="AA173" i="55"/>
  <c r="Z173" i="55"/>
  <c r="Y173" i="55"/>
  <c r="X173" i="55"/>
  <c r="W173" i="55"/>
  <c r="V173" i="55"/>
  <c r="U173" i="55"/>
  <c r="T173" i="55"/>
  <c r="S173" i="55"/>
  <c r="R173" i="55"/>
  <c r="Q173" i="55"/>
  <c r="P173" i="55"/>
  <c r="O173" i="55"/>
  <c r="N173" i="55"/>
  <c r="M173" i="55"/>
  <c r="L173" i="55"/>
  <c r="K173" i="55"/>
  <c r="J173" i="55"/>
  <c r="I173" i="55"/>
  <c r="H173" i="55"/>
  <c r="G173" i="55"/>
  <c r="F173" i="55"/>
  <c r="E173" i="55"/>
  <c r="D173" i="55"/>
  <c r="AB172" i="55"/>
  <c r="AA172" i="55"/>
  <c r="Z172" i="55"/>
  <c r="Y172" i="55"/>
  <c r="X172" i="55"/>
  <c r="W172" i="55"/>
  <c r="V172" i="55"/>
  <c r="U172" i="55"/>
  <c r="T172" i="55"/>
  <c r="S172" i="55"/>
  <c r="R172" i="55"/>
  <c r="Q172" i="55"/>
  <c r="P172" i="55"/>
  <c r="O172" i="55"/>
  <c r="N172" i="55"/>
  <c r="M172" i="55"/>
  <c r="L172" i="55"/>
  <c r="K172" i="55"/>
  <c r="J172" i="55"/>
  <c r="I172" i="55"/>
  <c r="H172" i="55"/>
  <c r="G172" i="55"/>
  <c r="F172" i="55"/>
  <c r="E172" i="55"/>
  <c r="D172" i="55"/>
  <c r="AB171" i="55"/>
  <c r="AA171" i="55"/>
  <c r="Z171" i="55"/>
  <c r="Y171" i="55"/>
  <c r="X171" i="55"/>
  <c r="W171" i="55"/>
  <c r="V171" i="55"/>
  <c r="U171" i="55"/>
  <c r="T171" i="55"/>
  <c r="S171" i="55"/>
  <c r="R171" i="55"/>
  <c r="Q171" i="55"/>
  <c r="P171" i="55"/>
  <c r="O171" i="55"/>
  <c r="N171" i="55"/>
  <c r="M171" i="55"/>
  <c r="L171" i="55"/>
  <c r="K171" i="55"/>
  <c r="J171" i="55"/>
  <c r="I171" i="55"/>
  <c r="H171" i="55"/>
  <c r="G171" i="55"/>
  <c r="F171" i="55"/>
  <c r="E171" i="55"/>
  <c r="D171" i="55"/>
  <c r="AB170" i="55"/>
  <c r="AA170" i="55"/>
  <c r="Z170" i="55"/>
  <c r="Y170" i="55"/>
  <c r="X170" i="55"/>
  <c r="W170" i="55"/>
  <c r="V170" i="55"/>
  <c r="U170" i="55"/>
  <c r="T170" i="55"/>
  <c r="S170" i="55"/>
  <c r="R170" i="55"/>
  <c r="Q170" i="55"/>
  <c r="P170" i="55"/>
  <c r="O170" i="55"/>
  <c r="N170" i="55"/>
  <c r="M170" i="55"/>
  <c r="L170" i="55"/>
  <c r="K170" i="55"/>
  <c r="J170" i="55"/>
  <c r="I170" i="55"/>
  <c r="H170" i="55"/>
  <c r="G170" i="55"/>
  <c r="F170" i="55"/>
  <c r="E170" i="55"/>
  <c r="D170" i="55"/>
  <c r="AB169" i="55"/>
  <c r="AA169" i="55"/>
  <c r="Z169" i="55"/>
  <c r="Y169" i="55"/>
  <c r="X169" i="55"/>
  <c r="W169" i="55"/>
  <c r="V169" i="55"/>
  <c r="U169" i="55"/>
  <c r="T169" i="55"/>
  <c r="S169" i="55"/>
  <c r="R169" i="55"/>
  <c r="Q169" i="55"/>
  <c r="P169" i="55"/>
  <c r="O169" i="55"/>
  <c r="N169" i="55"/>
  <c r="M169" i="55"/>
  <c r="L169" i="55"/>
  <c r="K169" i="55"/>
  <c r="J169" i="55"/>
  <c r="I169" i="55"/>
  <c r="H169" i="55"/>
  <c r="G169" i="55"/>
  <c r="F169" i="55"/>
  <c r="E169" i="55"/>
  <c r="D169" i="55"/>
  <c r="AB168" i="55"/>
  <c r="AA168" i="55"/>
  <c r="Z168" i="55"/>
  <c r="Y168" i="55"/>
  <c r="X168" i="55"/>
  <c r="W168" i="55"/>
  <c r="V168" i="55"/>
  <c r="U168" i="55"/>
  <c r="T168" i="55"/>
  <c r="S168" i="55"/>
  <c r="R168" i="55"/>
  <c r="Q168" i="55"/>
  <c r="P168" i="55"/>
  <c r="O168" i="55"/>
  <c r="N168" i="55"/>
  <c r="M168" i="55"/>
  <c r="L168" i="55"/>
  <c r="K168" i="55"/>
  <c r="J168" i="55"/>
  <c r="I168" i="55"/>
  <c r="H168" i="55"/>
  <c r="G168" i="55"/>
  <c r="F168" i="55"/>
  <c r="E168" i="55"/>
  <c r="D168" i="55"/>
  <c r="AB167" i="55"/>
  <c r="AA167" i="55"/>
  <c r="Z167" i="55"/>
  <c r="Y167" i="55"/>
  <c r="X167" i="55"/>
  <c r="W167" i="55"/>
  <c r="V167" i="55"/>
  <c r="U167" i="55"/>
  <c r="T167" i="55"/>
  <c r="S167" i="55"/>
  <c r="R167" i="55"/>
  <c r="Q167" i="55"/>
  <c r="P167" i="55"/>
  <c r="O167" i="55"/>
  <c r="N167" i="55"/>
  <c r="M167" i="55"/>
  <c r="L167" i="55"/>
  <c r="K167" i="55"/>
  <c r="J167" i="55"/>
  <c r="I167" i="55"/>
  <c r="H167" i="55"/>
  <c r="G167" i="55"/>
  <c r="F167" i="55"/>
  <c r="E167" i="55"/>
  <c r="D167" i="55"/>
  <c r="AB166" i="55"/>
  <c r="AA166" i="55"/>
  <c r="Z166" i="55"/>
  <c r="Y166" i="55"/>
  <c r="X166" i="55"/>
  <c r="W166" i="55"/>
  <c r="V166" i="55"/>
  <c r="U166" i="55"/>
  <c r="T166" i="55"/>
  <c r="S166" i="55"/>
  <c r="R166" i="55"/>
  <c r="Q166" i="55"/>
  <c r="P166" i="55"/>
  <c r="O166" i="55"/>
  <c r="N166" i="55"/>
  <c r="M166" i="55"/>
  <c r="L166" i="55"/>
  <c r="K166" i="55"/>
  <c r="J166" i="55"/>
  <c r="I166" i="55"/>
  <c r="H166" i="55"/>
  <c r="G166" i="55"/>
  <c r="F166" i="55"/>
  <c r="E166" i="55"/>
  <c r="D166" i="55"/>
  <c r="AB165" i="55"/>
  <c r="AA165" i="55"/>
  <c r="Z165" i="55"/>
  <c r="Y165" i="55"/>
  <c r="X165" i="55"/>
  <c r="W165" i="55"/>
  <c r="V165" i="55"/>
  <c r="U165" i="55"/>
  <c r="T165" i="55"/>
  <c r="S165" i="55"/>
  <c r="R165" i="55"/>
  <c r="Q165" i="55"/>
  <c r="P165" i="55"/>
  <c r="O165" i="55"/>
  <c r="N165" i="55"/>
  <c r="M165" i="55"/>
  <c r="L165" i="55"/>
  <c r="K165" i="55"/>
  <c r="J165" i="55"/>
  <c r="I165" i="55"/>
  <c r="H165" i="55"/>
  <c r="G165" i="55"/>
  <c r="F165" i="55"/>
  <c r="E165" i="55"/>
  <c r="D165" i="55"/>
  <c r="AB164" i="55"/>
  <c r="AA164" i="55"/>
  <c r="Z164" i="55"/>
  <c r="Y164" i="55"/>
  <c r="X164" i="55"/>
  <c r="W164" i="55"/>
  <c r="V164" i="55"/>
  <c r="U164" i="55"/>
  <c r="T164" i="55"/>
  <c r="S164" i="55"/>
  <c r="R164" i="55"/>
  <c r="Q164" i="55"/>
  <c r="P164" i="55"/>
  <c r="O164" i="55"/>
  <c r="N164" i="55"/>
  <c r="M164" i="55"/>
  <c r="L164" i="55"/>
  <c r="K164" i="55"/>
  <c r="J164" i="55"/>
  <c r="I164" i="55"/>
  <c r="H164" i="55"/>
  <c r="G164" i="55"/>
  <c r="F164" i="55"/>
  <c r="E164" i="55"/>
  <c r="D164" i="55"/>
  <c r="AB163" i="55"/>
  <c r="AA163" i="55"/>
  <c r="Z163" i="55"/>
  <c r="Y163" i="55"/>
  <c r="X163" i="55"/>
  <c r="W163" i="55"/>
  <c r="V163" i="55"/>
  <c r="U163" i="55"/>
  <c r="T163" i="55"/>
  <c r="S163" i="55"/>
  <c r="R163" i="55"/>
  <c r="Q163" i="55"/>
  <c r="P163" i="55"/>
  <c r="O163" i="55"/>
  <c r="N163" i="55"/>
  <c r="M163" i="55"/>
  <c r="L163" i="55"/>
  <c r="K163" i="55"/>
  <c r="J163" i="55"/>
  <c r="I163" i="55"/>
  <c r="H163" i="55"/>
  <c r="G163" i="55"/>
  <c r="F163" i="55"/>
  <c r="E163" i="55"/>
  <c r="D163" i="55"/>
  <c r="AB162" i="55"/>
  <c r="AA162" i="55"/>
  <c r="Z162" i="55"/>
  <c r="Y162" i="55"/>
  <c r="X162" i="55"/>
  <c r="W162" i="55"/>
  <c r="V162" i="55"/>
  <c r="U162" i="55"/>
  <c r="T162" i="55"/>
  <c r="S162" i="55"/>
  <c r="R162" i="55"/>
  <c r="Q162" i="55"/>
  <c r="P162" i="55"/>
  <c r="O162" i="55"/>
  <c r="N162" i="55"/>
  <c r="M162" i="55"/>
  <c r="L162" i="55"/>
  <c r="K162" i="55"/>
  <c r="J162" i="55"/>
  <c r="I162" i="55"/>
  <c r="H162" i="55"/>
  <c r="G162" i="55"/>
  <c r="F162" i="55"/>
  <c r="E162" i="55"/>
  <c r="D162" i="55"/>
  <c r="AB161" i="55"/>
  <c r="AA161" i="55"/>
  <c r="Z161" i="55"/>
  <c r="Y161" i="55"/>
  <c r="X161" i="55"/>
  <c r="W161" i="55"/>
  <c r="V161" i="55"/>
  <c r="U161" i="55"/>
  <c r="T161" i="55"/>
  <c r="S161" i="55"/>
  <c r="R161" i="55"/>
  <c r="Q161" i="55"/>
  <c r="P161" i="55"/>
  <c r="O161" i="55"/>
  <c r="N161" i="55"/>
  <c r="M161" i="55"/>
  <c r="L161" i="55"/>
  <c r="K161" i="55"/>
  <c r="J161" i="55"/>
  <c r="I161" i="55"/>
  <c r="H161" i="55"/>
  <c r="G161" i="55"/>
  <c r="F161" i="55"/>
  <c r="E161" i="55"/>
  <c r="D161" i="55"/>
  <c r="AB160" i="55"/>
  <c r="AA160" i="55"/>
  <c r="Z160" i="55"/>
  <c r="Y160" i="55"/>
  <c r="X160" i="55"/>
  <c r="W160" i="55"/>
  <c r="V160" i="55"/>
  <c r="U160" i="55"/>
  <c r="T160" i="55"/>
  <c r="S160" i="55"/>
  <c r="R160" i="55"/>
  <c r="Q160" i="55"/>
  <c r="P160" i="55"/>
  <c r="O160" i="55"/>
  <c r="N160" i="55"/>
  <c r="M160" i="55"/>
  <c r="L160" i="55"/>
  <c r="K160" i="55"/>
  <c r="J160" i="55"/>
  <c r="I160" i="55"/>
  <c r="H160" i="55"/>
  <c r="G160" i="55"/>
  <c r="F160" i="55"/>
  <c r="E160" i="55"/>
  <c r="D160" i="55"/>
  <c r="AB159" i="55"/>
  <c r="AA159" i="55"/>
  <c r="Z159" i="55"/>
  <c r="Y159" i="55"/>
  <c r="X159" i="55"/>
  <c r="W159" i="55"/>
  <c r="V159" i="55"/>
  <c r="U159" i="55"/>
  <c r="T159" i="55"/>
  <c r="S159" i="55"/>
  <c r="R159" i="55"/>
  <c r="Q159" i="55"/>
  <c r="P159" i="55"/>
  <c r="O159" i="55"/>
  <c r="N159" i="55"/>
  <c r="M159" i="55"/>
  <c r="L159" i="55"/>
  <c r="K159" i="55"/>
  <c r="J159" i="55"/>
  <c r="I159" i="55"/>
  <c r="H159" i="55"/>
  <c r="G159" i="55"/>
  <c r="F159" i="55"/>
  <c r="E159" i="55"/>
  <c r="D159" i="55"/>
  <c r="AB158" i="55"/>
  <c r="AA158" i="55"/>
  <c r="Z158" i="55"/>
  <c r="Y158" i="55"/>
  <c r="X158" i="55"/>
  <c r="W158" i="55"/>
  <c r="V158" i="55"/>
  <c r="U158" i="55"/>
  <c r="T158" i="55"/>
  <c r="S158" i="55"/>
  <c r="R158" i="55"/>
  <c r="Q158" i="55"/>
  <c r="P158" i="55"/>
  <c r="O158" i="55"/>
  <c r="N158" i="55"/>
  <c r="M158" i="55"/>
  <c r="L158" i="55"/>
  <c r="K158" i="55"/>
  <c r="J158" i="55"/>
  <c r="I158" i="55"/>
  <c r="H158" i="55"/>
  <c r="G158" i="55"/>
  <c r="F158" i="55"/>
  <c r="E158" i="55"/>
  <c r="D158" i="55"/>
  <c r="AB156" i="55"/>
  <c r="AA156" i="55"/>
  <c r="Z156" i="55"/>
  <c r="Y156" i="55"/>
  <c r="X156" i="55"/>
  <c r="W156" i="55"/>
  <c r="V156" i="55"/>
  <c r="U156" i="55"/>
  <c r="T156" i="55"/>
  <c r="S156" i="55"/>
  <c r="R156" i="55"/>
  <c r="Q156" i="55"/>
  <c r="P156" i="55"/>
  <c r="O156" i="55"/>
  <c r="N156" i="55"/>
  <c r="M156" i="55"/>
  <c r="L156" i="55"/>
  <c r="K156" i="55"/>
  <c r="J156" i="55"/>
  <c r="I156" i="55"/>
  <c r="H156" i="55"/>
  <c r="G156" i="55"/>
  <c r="F156" i="55"/>
  <c r="E156" i="55"/>
  <c r="D156" i="55"/>
  <c r="AB155" i="55"/>
  <c r="AA155" i="55"/>
  <c r="Z155" i="55"/>
  <c r="Y155" i="55"/>
  <c r="X155" i="55"/>
  <c r="W155" i="55"/>
  <c r="V155" i="55"/>
  <c r="U155" i="55"/>
  <c r="T155" i="55"/>
  <c r="S155" i="55"/>
  <c r="R155" i="55"/>
  <c r="Q155" i="55"/>
  <c r="P155" i="55"/>
  <c r="O155" i="55"/>
  <c r="N155" i="55"/>
  <c r="M155" i="55"/>
  <c r="L155" i="55"/>
  <c r="K155" i="55"/>
  <c r="J155" i="55"/>
  <c r="I155" i="55"/>
  <c r="H155" i="55"/>
  <c r="G155" i="55"/>
  <c r="F155" i="55"/>
  <c r="E155" i="55"/>
  <c r="D155" i="55"/>
  <c r="AB154" i="55"/>
  <c r="AA154" i="55"/>
  <c r="Z154" i="55"/>
  <c r="Y154" i="55"/>
  <c r="X154" i="55"/>
  <c r="W154" i="55"/>
  <c r="V154" i="55"/>
  <c r="U154" i="55"/>
  <c r="T154" i="55"/>
  <c r="S154" i="55"/>
  <c r="R154" i="55"/>
  <c r="Q154" i="55"/>
  <c r="P154" i="55"/>
  <c r="O154" i="55"/>
  <c r="N154" i="55"/>
  <c r="M154" i="55"/>
  <c r="L154" i="55"/>
  <c r="K154" i="55"/>
  <c r="J154" i="55"/>
  <c r="I154" i="55"/>
  <c r="H154" i="55"/>
  <c r="G154" i="55"/>
  <c r="F154" i="55"/>
  <c r="E154" i="55"/>
  <c r="D154" i="55"/>
  <c r="AB153" i="55"/>
  <c r="AA153" i="55"/>
  <c r="Z153" i="55"/>
  <c r="Y153" i="55"/>
  <c r="X153" i="55"/>
  <c r="W153" i="55"/>
  <c r="V153" i="55"/>
  <c r="U153" i="55"/>
  <c r="T153" i="55"/>
  <c r="S153" i="55"/>
  <c r="R153" i="55"/>
  <c r="Q153" i="55"/>
  <c r="P153" i="55"/>
  <c r="O153" i="55"/>
  <c r="N153" i="55"/>
  <c r="M153" i="55"/>
  <c r="L153" i="55"/>
  <c r="K153" i="55"/>
  <c r="J153" i="55"/>
  <c r="I153" i="55"/>
  <c r="H153" i="55"/>
  <c r="G153" i="55"/>
  <c r="F153" i="55"/>
  <c r="E153" i="55"/>
  <c r="D153" i="55"/>
  <c r="AB152" i="55"/>
  <c r="AA152" i="55"/>
  <c r="Z152" i="55"/>
  <c r="Y152" i="55"/>
  <c r="X152" i="55"/>
  <c r="W152" i="55"/>
  <c r="V152" i="55"/>
  <c r="U152" i="55"/>
  <c r="T152" i="55"/>
  <c r="S152" i="55"/>
  <c r="R152" i="55"/>
  <c r="Q152" i="55"/>
  <c r="P152" i="55"/>
  <c r="O152" i="55"/>
  <c r="N152" i="55"/>
  <c r="M152" i="55"/>
  <c r="L152" i="55"/>
  <c r="K152" i="55"/>
  <c r="J152" i="55"/>
  <c r="I152" i="55"/>
  <c r="H152" i="55"/>
  <c r="G152" i="55"/>
  <c r="F152" i="55"/>
  <c r="E152" i="55"/>
  <c r="D152" i="55"/>
  <c r="AB151" i="55"/>
  <c r="AA151" i="55"/>
  <c r="Z151" i="55"/>
  <c r="Y151" i="55"/>
  <c r="X151" i="55"/>
  <c r="W151" i="55"/>
  <c r="V151" i="55"/>
  <c r="U151" i="55"/>
  <c r="T151" i="55"/>
  <c r="S151" i="55"/>
  <c r="R151" i="55"/>
  <c r="Q151" i="55"/>
  <c r="P151" i="55"/>
  <c r="O151" i="55"/>
  <c r="N151" i="55"/>
  <c r="M151" i="55"/>
  <c r="L151" i="55"/>
  <c r="K151" i="55"/>
  <c r="J151" i="55"/>
  <c r="I151" i="55"/>
  <c r="H151" i="55"/>
  <c r="G151" i="55"/>
  <c r="F151" i="55"/>
  <c r="E151" i="55"/>
  <c r="D151" i="55"/>
  <c r="AB150" i="55"/>
  <c r="AA150" i="55"/>
  <c r="Z150" i="55"/>
  <c r="Y150" i="55"/>
  <c r="X150" i="55"/>
  <c r="W150" i="55"/>
  <c r="V150" i="55"/>
  <c r="U150" i="55"/>
  <c r="T150" i="55"/>
  <c r="S150" i="55"/>
  <c r="R150" i="55"/>
  <c r="Q150" i="55"/>
  <c r="P150" i="55"/>
  <c r="O150" i="55"/>
  <c r="N150" i="55"/>
  <c r="M150" i="55"/>
  <c r="L150" i="55"/>
  <c r="K150" i="55"/>
  <c r="J150" i="55"/>
  <c r="I150" i="55"/>
  <c r="H150" i="55"/>
  <c r="G150" i="55"/>
  <c r="F150" i="55"/>
  <c r="E150" i="55"/>
  <c r="D150" i="55"/>
  <c r="AB149" i="55"/>
  <c r="AA149" i="55"/>
  <c r="Z149" i="55"/>
  <c r="Y149" i="55"/>
  <c r="X149" i="55"/>
  <c r="W149" i="55"/>
  <c r="V149" i="55"/>
  <c r="U149" i="55"/>
  <c r="T149" i="55"/>
  <c r="S149" i="55"/>
  <c r="R149" i="55"/>
  <c r="Q149" i="55"/>
  <c r="P149" i="55"/>
  <c r="O149" i="55"/>
  <c r="N149" i="55"/>
  <c r="M149" i="55"/>
  <c r="L149" i="55"/>
  <c r="K149" i="55"/>
  <c r="J149" i="55"/>
  <c r="I149" i="55"/>
  <c r="H149" i="55"/>
  <c r="G149" i="55"/>
  <c r="F149" i="55"/>
  <c r="E149" i="55"/>
  <c r="D149" i="55"/>
  <c r="AB148" i="55"/>
  <c r="AA148" i="55"/>
  <c r="Z148" i="55"/>
  <c r="Y148" i="55"/>
  <c r="X148" i="55"/>
  <c r="W148" i="55"/>
  <c r="V148" i="55"/>
  <c r="U148" i="55"/>
  <c r="T148" i="55"/>
  <c r="S148" i="55"/>
  <c r="R148" i="55"/>
  <c r="Q148" i="55"/>
  <c r="P148" i="55"/>
  <c r="O148" i="55"/>
  <c r="N148" i="55"/>
  <c r="M148" i="55"/>
  <c r="L148" i="55"/>
  <c r="K148" i="55"/>
  <c r="J148" i="55"/>
  <c r="I148" i="55"/>
  <c r="H148" i="55"/>
  <c r="G148" i="55"/>
  <c r="F148" i="55"/>
  <c r="E148" i="55"/>
  <c r="D148" i="55"/>
  <c r="AB147" i="55"/>
  <c r="AA147" i="55"/>
  <c r="Z147" i="55"/>
  <c r="Y147" i="55"/>
  <c r="X147" i="55"/>
  <c r="W147" i="55"/>
  <c r="V147" i="55"/>
  <c r="U147" i="55"/>
  <c r="T147" i="55"/>
  <c r="S147" i="55"/>
  <c r="R147" i="55"/>
  <c r="Q147" i="55"/>
  <c r="P147" i="55"/>
  <c r="O147" i="55"/>
  <c r="N147" i="55"/>
  <c r="M147" i="55"/>
  <c r="L147" i="55"/>
  <c r="K147" i="55"/>
  <c r="J147" i="55"/>
  <c r="I147" i="55"/>
  <c r="H147" i="55"/>
  <c r="G147" i="55"/>
  <c r="F147" i="55"/>
  <c r="E147" i="55"/>
  <c r="D147" i="55"/>
  <c r="AB146" i="55"/>
  <c r="AA146" i="55"/>
  <c r="Z146" i="55"/>
  <c r="Y146" i="55"/>
  <c r="X146" i="55"/>
  <c r="W146" i="55"/>
  <c r="V146" i="55"/>
  <c r="U146" i="55"/>
  <c r="T146" i="55"/>
  <c r="S146" i="55"/>
  <c r="R146" i="55"/>
  <c r="Q146" i="55"/>
  <c r="P146" i="55"/>
  <c r="O146" i="55"/>
  <c r="N146" i="55"/>
  <c r="M146" i="55"/>
  <c r="L146" i="55"/>
  <c r="K146" i="55"/>
  <c r="J146" i="55"/>
  <c r="I146" i="55"/>
  <c r="H146" i="55"/>
  <c r="G146" i="55"/>
  <c r="F146" i="55"/>
  <c r="E146" i="55"/>
  <c r="D146" i="55"/>
  <c r="AB145" i="55"/>
  <c r="AA145" i="55"/>
  <c r="Z145" i="55"/>
  <c r="Y145" i="55"/>
  <c r="X145" i="55"/>
  <c r="W145" i="55"/>
  <c r="V145" i="55"/>
  <c r="U145" i="55"/>
  <c r="T145" i="55"/>
  <c r="S145" i="55"/>
  <c r="R145" i="55"/>
  <c r="Q145" i="55"/>
  <c r="P145" i="55"/>
  <c r="O145" i="55"/>
  <c r="N145" i="55"/>
  <c r="M145" i="55"/>
  <c r="L145" i="55"/>
  <c r="K145" i="55"/>
  <c r="J145" i="55"/>
  <c r="I145" i="55"/>
  <c r="H145" i="55"/>
  <c r="G145" i="55"/>
  <c r="F145" i="55"/>
  <c r="E145" i="55"/>
  <c r="D145" i="55"/>
  <c r="AB144" i="55"/>
  <c r="AA144" i="55"/>
  <c r="Z144" i="55"/>
  <c r="Y144" i="55"/>
  <c r="X144" i="55"/>
  <c r="W144" i="55"/>
  <c r="V144" i="55"/>
  <c r="U144" i="55"/>
  <c r="T144" i="55"/>
  <c r="S144" i="55"/>
  <c r="R144" i="55"/>
  <c r="Q144" i="55"/>
  <c r="P144" i="55"/>
  <c r="O144" i="55"/>
  <c r="N144" i="55"/>
  <c r="M144" i="55"/>
  <c r="L144" i="55"/>
  <c r="K144" i="55"/>
  <c r="J144" i="55"/>
  <c r="I144" i="55"/>
  <c r="H144" i="55"/>
  <c r="G144" i="55"/>
  <c r="F144" i="55"/>
  <c r="E144" i="55"/>
  <c r="D144" i="55"/>
  <c r="AB143" i="55"/>
  <c r="AA143" i="55"/>
  <c r="Z143" i="55"/>
  <c r="Y143" i="55"/>
  <c r="X143" i="55"/>
  <c r="W143" i="55"/>
  <c r="V143" i="55"/>
  <c r="U143" i="55"/>
  <c r="T143" i="55"/>
  <c r="S143" i="55"/>
  <c r="R143" i="55"/>
  <c r="Q143" i="55"/>
  <c r="P143" i="55"/>
  <c r="O143" i="55"/>
  <c r="N143" i="55"/>
  <c r="M143" i="55"/>
  <c r="L143" i="55"/>
  <c r="K143" i="55"/>
  <c r="J143" i="55"/>
  <c r="I143" i="55"/>
  <c r="H143" i="55"/>
  <c r="G143" i="55"/>
  <c r="F143" i="55"/>
  <c r="E143" i="55"/>
  <c r="D143" i="55"/>
  <c r="AB142" i="55"/>
  <c r="AA142" i="55"/>
  <c r="Z142" i="55"/>
  <c r="Y142" i="55"/>
  <c r="X142" i="55"/>
  <c r="W142" i="55"/>
  <c r="V142" i="55"/>
  <c r="U142" i="55"/>
  <c r="T142" i="55"/>
  <c r="S142" i="55"/>
  <c r="R142" i="55"/>
  <c r="Q142" i="55"/>
  <c r="P142" i="55"/>
  <c r="O142" i="55"/>
  <c r="N142" i="55"/>
  <c r="M142" i="55"/>
  <c r="L142" i="55"/>
  <c r="K142" i="55"/>
  <c r="J142" i="55"/>
  <c r="I142" i="55"/>
  <c r="H142" i="55"/>
  <c r="G142" i="55"/>
  <c r="F142" i="55"/>
  <c r="E142" i="55"/>
  <c r="D142" i="55"/>
  <c r="AB141" i="55"/>
  <c r="AA141" i="55"/>
  <c r="Z141" i="55"/>
  <c r="Y141" i="55"/>
  <c r="X141" i="55"/>
  <c r="W141" i="55"/>
  <c r="V141" i="55"/>
  <c r="U141" i="55"/>
  <c r="T141" i="55"/>
  <c r="S141" i="55"/>
  <c r="R141" i="55"/>
  <c r="Q141" i="55"/>
  <c r="P141" i="55"/>
  <c r="O141" i="55"/>
  <c r="N141" i="55"/>
  <c r="M141" i="55"/>
  <c r="L141" i="55"/>
  <c r="K141" i="55"/>
  <c r="J141" i="55"/>
  <c r="I141" i="55"/>
  <c r="H141" i="55"/>
  <c r="G141" i="55"/>
  <c r="F141" i="55"/>
  <c r="E141" i="55"/>
  <c r="D141" i="55"/>
  <c r="AB140" i="55"/>
  <c r="AA140" i="55"/>
  <c r="Z140" i="55"/>
  <c r="Y140" i="55"/>
  <c r="X140" i="55"/>
  <c r="W140" i="55"/>
  <c r="V140" i="55"/>
  <c r="U140" i="55"/>
  <c r="T140" i="55"/>
  <c r="S140" i="55"/>
  <c r="R140" i="55"/>
  <c r="Q140" i="55"/>
  <c r="P140" i="55"/>
  <c r="O140" i="55"/>
  <c r="N140" i="55"/>
  <c r="M140" i="55"/>
  <c r="L140" i="55"/>
  <c r="K140" i="55"/>
  <c r="J140" i="55"/>
  <c r="I140" i="55"/>
  <c r="H140" i="55"/>
  <c r="G140" i="55"/>
  <c r="F140" i="55"/>
  <c r="E140" i="55"/>
  <c r="D140" i="55"/>
  <c r="AB139" i="55"/>
  <c r="AA139" i="55"/>
  <c r="Z139" i="55"/>
  <c r="Y139" i="55"/>
  <c r="X139" i="55"/>
  <c r="W139" i="55"/>
  <c r="V139" i="55"/>
  <c r="U139" i="55"/>
  <c r="T139" i="55"/>
  <c r="S139" i="55"/>
  <c r="R139" i="55"/>
  <c r="Q139" i="55"/>
  <c r="P139" i="55"/>
  <c r="O139" i="55"/>
  <c r="N139" i="55"/>
  <c r="M139" i="55"/>
  <c r="L139" i="55"/>
  <c r="K139" i="55"/>
  <c r="J139" i="55"/>
  <c r="I139" i="55"/>
  <c r="H139" i="55"/>
  <c r="G139" i="55"/>
  <c r="F139" i="55"/>
  <c r="E139" i="55"/>
  <c r="D139" i="55"/>
  <c r="AB138" i="55"/>
  <c r="AA138" i="55"/>
  <c r="Z138" i="55"/>
  <c r="Y138" i="55"/>
  <c r="X138" i="55"/>
  <c r="W138" i="55"/>
  <c r="V138" i="55"/>
  <c r="U138" i="55"/>
  <c r="T138" i="55"/>
  <c r="S138" i="55"/>
  <c r="R138" i="55"/>
  <c r="Q138" i="55"/>
  <c r="P138" i="55"/>
  <c r="O138" i="55"/>
  <c r="N138" i="55"/>
  <c r="M138" i="55"/>
  <c r="L138" i="55"/>
  <c r="K138" i="55"/>
  <c r="J138" i="55"/>
  <c r="I138" i="55"/>
  <c r="H138" i="55"/>
  <c r="G138" i="55"/>
  <c r="F138" i="55"/>
  <c r="E138" i="55"/>
  <c r="D138" i="55"/>
  <c r="AB137" i="55"/>
  <c r="AA137" i="55"/>
  <c r="Z137" i="55"/>
  <c r="Y137" i="55"/>
  <c r="X137" i="55"/>
  <c r="W137" i="55"/>
  <c r="V137" i="55"/>
  <c r="U137" i="55"/>
  <c r="T137" i="55"/>
  <c r="S137" i="55"/>
  <c r="R137" i="55"/>
  <c r="Q137" i="55"/>
  <c r="P137" i="55"/>
  <c r="O137" i="55"/>
  <c r="N137" i="55"/>
  <c r="M137" i="55"/>
  <c r="L137" i="55"/>
  <c r="K137" i="55"/>
  <c r="J137" i="55"/>
  <c r="I137" i="55"/>
  <c r="H137" i="55"/>
  <c r="G137" i="55"/>
  <c r="F137" i="55"/>
  <c r="E137" i="55"/>
  <c r="D137" i="55"/>
  <c r="AB136" i="55"/>
  <c r="AA136" i="55"/>
  <c r="Z136" i="55"/>
  <c r="Y136" i="55"/>
  <c r="X136" i="55"/>
  <c r="W136" i="55"/>
  <c r="V136" i="55"/>
  <c r="U136" i="55"/>
  <c r="T136" i="55"/>
  <c r="S136" i="55"/>
  <c r="R136" i="55"/>
  <c r="Q136" i="55"/>
  <c r="P136" i="55"/>
  <c r="O136" i="55"/>
  <c r="N136" i="55"/>
  <c r="M136" i="55"/>
  <c r="L136" i="55"/>
  <c r="K136" i="55"/>
  <c r="J136" i="55"/>
  <c r="I136" i="55"/>
  <c r="H136" i="55"/>
  <c r="G136" i="55"/>
  <c r="F136" i="55"/>
  <c r="E136" i="55"/>
  <c r="D136" i="55"/>
  <c r="AB135" i="55"/>
  <c r="AA135" i="55"/>
  <c r="Z135" i="55"/>
  <c r="Y135" i="55"/>
  <c r="X135" i="55"/>
  <c r="W135" i="55"/>
  <c r="V135" i="55"/>
  <c r="U135" i="55"/>
  <c r="T135" i="55"/>
  <c r="S135" i="55"/>
  <c r="R135" i="55"/>
  <c r="Q135" i="55"/>
  <c r="P135" i="55"/>
  <c r="O135" i="55"/>
  <c r="N135" i="55"/>
  <c r="M135" i="55"/>
  <c r="L135" i="55"/>
  <c r="K135" i="55"/>
  <c r="J135" i="55"/>
  <c r="I135" i="55"/>
  <c r="H135" i="55"/>
  <c r="G135" i="55"/>
  <c r="F135" i="55"/>
  <c r="E135" i="55"/>
  <c r="D135" i="55"/>
  <c r="AB134" i="55"/>
  <c r="AA134" i="55"/>
  <c r="Z134" i="55"/>
  <c r="Y134" i="55"/>
  <c r="X134" i="55"/>
  <c r="W134" i="55"/>
  <c r="V134" i="55"/>
  <c r="U134" i="55"/>
  <c r="T134" i="55"/>
  <c r="S134" i="55"/>
  <c r="R134" i="55"/>
  <c r="Q134" i="55"/>
  <c r="P134" i="55"/>
  <c r="O134" i="55"/>
  <c r="N134" i="55"/>
  <c r="M134" i="55"/>
  <c r="L134" i="55"/>
  <c r="K134" i="55"/>
  <c r="J134" i="55"/>
  <c r="I134" i="55"/>
  <c r="H134" i="55"/>
  <c r="G134" i="55"/>
  <c r="F134" i="55"/>
  <c r="E134" i="55"/>
  <c r="D134" i="55"/>
  <c r="AB133" i="55"/>
  <c r="AA133" i="55"/>
  <c r="Z133" i="55"/>
  <c r="Y133" i="55"/>
  <c r="X133" i="55"/>
  <c r="W133" i="55"/>
  <c r="V133" i="55"/>
  <c r="U133" i="55"/>
  <c r="T133" i="55"/>
  <c r="S133" i="55"/>
  <c r="R133" i="55"/>
  <c r="Q133" i="55"/>
  <c r="P133" i="55"/>
  <c r="O133" i="55"/>
  <c r="N133" i="55"/>
  <c r="M133" i="55"/>
  <c r="L133" i="55"/>
  <c r="K133" i="55"/>
  <c r="J133" i="55"/>
  <c r="I133" i="55"/>
  <c r="H133" i="55"/>
  <c r="G133" i="55"/>
  <c r="F133" i="55"/>
  <c r="E133" i="55"/>
  <c r="D133" i="55"/>
  <c r="AB132" i="55"/>
  <c r="AA132" i="55"/>
  <c r="Z132" i="55"/>
  <c r="Y132" i="55"/>
  <c r="X132" i="55"/>
  <c r="W132" i="55"/>
  <c r="V132" i="55"/>
  <c r="U132" i="55"/>
  <c r="T132" i="55"/>
  <c r="S132" i="55"/>
  <c r="R132" i="55"/>
  <c r="Q132" i="55"/>
  <c r="P132" i="55"/>
  <c r="O132" i="55"/>
  <c r="N132" i="55"/>
  <c r="M132" i="55"/>
  <c r="L132" i="55"/>
  <c r="K132" i="55"/>
  <c r="J132" i="55"/>
  <c r="I132" i="55"/>
  <c r="H132" i="55"/>
  <c r="G132" i="55"/>
  <c r="F132" i="55"/>
  <c r="E132" i="55"/>
  <c r="D132" i="55"/>
  <c r="AB131" i="55"/>
  <c r="AA131" i="55"/>
  <c r="Z131" i="55"/>
  <c r="Y131" i="55"/>
  <c r="X131" i="55"/>
  <c r="W131" i="55"/>
  <c r="V131" i="55"/>
  <c r="U131" i="55"/>
  <c r="T131" i="55"/>
  <c r="S131" i="55"/>
  <c r="R131" i="55"/>
  <c r="Q131" i="55"/>
  <c r="P131" i="55"/>
  <c r="O131" i="55"/>
  <c r="N131" i="55"/>
  <c r="M131" i="55"/>
  <c r="L131" i="55"/>
  <c r="K131" i="55"/>
  <c r="J131" i="55"/>
  <c r="I131" i="55"/>
  <c r="H131" i="55"/>
  <c r="G131" i="55"/>
  <c r="F131" i="55"/>
  <c r="E131" i="55"/>
  <c r="D131" i="55"/>
  <c r="AB130" i="55"/>
  <c r="AA130" i="55"/>
  <c r="Z130" i="55"/>
  <c r="Y130" i="55"/>
  <c r="X130" i="55"/>
  <c r="W130" i="55"/>
  <c r="V130" i="55"/>
  <c r="U130" i="55"/>
  <c r="T130" i="55"/>
  <c r="S130" i="55"/>
  <c r="R130" i="55"/>
  <c r="Q130" i="55"/>
  <c r="P130" i="55"/>
  <c r="O130" i="55"/>
  <c r="N130" i="55"/>
  <c r="M130" i="55"/>
  <c r="L130" i="55"/>
  <c r="K130" i="55"/>
  <c r="J130" i="55"/>
  <c r="I130" i="55"/>
  <c r="H130" i="55"/>
  <c r="G130" i="55"/>
  <c r="F130" i="55"/>
  <c r="E130" i="55"/>
  <c r="D130" i="55"/>
  <c r="AB129" i="55"/>
  <c r="AA129" i="55"/>
  <c r="Z129" i="55"/>
  <c r="Y129" i="55"/>
  <c r="X129" i="55"/>
  <c r="W129" i="55"/>
  <c r="V129" i="55"/>
  <c r="U129" i="55"/>
  <c r="T129" i="55"/>
  <c r="S129" i="55"/>
  <c r="R129" i="55"/>
  <c r="Q129" i="55"/>
  <c r="P129" i="55"/>
  <c r="O129" i="55"/>
  <c r="N129" i="55"/>
  <c r="M129" i="55"/>
  <c r="L129" i="55"/>
  <c r="K129" i="55"/>
  <c r="J129" i="55"/>
  <c r="I129" i="55"/>
  <c r="H129" i="55"/>
  <c r="G129" i="55"/>
  <c r="F129" i="55"/>
  <c r="E129" i="55"/>
  <c r="D129" i="55"/>
  <c r="AB128" i="55"/>
  <c r="AA128" i="55"/>
  <c r="Z128" i="55"/>
  <c r="Y128" i="55"/>
  <c r="X128" i="55"/>
  <c r="W128" i="55"/>
  <c r="V128" i="55"/>
  <c r="U128" i="55"/>
  <c r="T128" i="55"/>
  <c r="S128" i="55"/>
  <c r="R128" i="55"/>
  <c r="Q128" i="55"/>
  <c r="P128" i="55"/>
  <c r="O128" i="55"/>
  <c r="N128" i="55"/>
  <c r="M128" i="55"/>
  <c r="L128" i="55"/>
  <c r="K128" i="55"/>
  <c r="J128" i="55"/>
  <c r="I128" i="55"/>
  <c r="H128" i="55"/>
  <c r="G128" i="55"/>
  <c r="F128" i="55"/>
  <c r="E128" i="55"/>
  <c r="D128" i="55"/>
  <c r="AB127" i="55"/>
  <c r="AA127" i="55"/>
  <c r="Z127" i="55"/>
  <c r="Y127" i="55"/>
  <c r="X127" i="55"/>
  <c r="W127" i="55"/>
  <c r="V127" i="55"/>
  <c r="U127" i="55"/>
  <c r="T127" i="55"/>
  <c r="S127" i="55"/>
  <c r="R127" i="55"/>
  <c r="Q127" i="55"/>
  <c r="P127" i="55"/>
  <c r="O127" i="55"/>
  <c r="N127" i="55"/>
  <c r="M127" i="55"/>
  <c r="L127" i="55"/>
  <c r="K127" i="55"/>
  <c r="J127" i="55"/>
  <c r="I127" i="55"/>
  <c r="H127" i="55"/>
  <c r="G127" i="55"/>
  <c r="F127" i="55"/>
  <c r="E127" i="55"/>
  <c r="D127" i="55"/>
  <c r="AB126" i="55"/>
  <c r="AA126" i="55"/>
  <c r="Z126" i="55"/>
  <c r="Y126" i="55"/>
  <c r="X126" i="55"/>
  <c r="W126" i="55"/>
  <c r="V126" i="55"/>
  <c r="U126" i="55"/>
  <c r="T126" i="55"/>
  <c r="S126" i="55"/>
  <c r="R126" i="55"/>
  <c r="Q126" i="55"/>
  <c r="P126" i="55"/>
  <c r="O126" i="55"/>
  <c r="N126" i="55"/>
  <c r="M126" i="55"/>
  <c r="L126" i="55"/>
  <c r="K126" i="55"/>
  <c r="J126" i="55"/>
  <c r="I126" i="55"/>
  <c r="H126" i="55"/>
  <c r="G126" i="55"/>
  <c r="F126" i="55"/>
  <c r="E126" i="55"/>
  <c r="D126" i="55"/>
  <c r="AB125" i="55"/>
  <c r="AA125" i="55"/>
  <c r="Z125" i="55"/>
  <c r="Y125" i="55"/>
  <c r="X125" i="55"/>
  <c r="W125" i="55"/>
  <c r="V125" i="55"/>
  <c r="U125" i="55"/>
  <c r="T125" i="55"/>
  <c r="S125" i="55"/>
  <c r="R125" i="55"/>
  <c r="Q125" i="55"/>
  <c r="P125" i="55"/>
  <c r="O125" i="55"/>
  <c r="N125" i="55"/>
  <c r="M125" i="55"/>
  <c r="L125" i="55"/>
  <c r="K125" i="55"/>
  <c r="J125" i="55"/>
  <c r="I125" i="55"/>
  <c r="H125" i="55"/>
  <c r="G125" i="55"/>
  <c r="F125" i="55"/>
  <c r="E125" i="55"/>
  <c r="D125" i="55"/>
  <c r="AB124" i="55"/>
  <c r="AA124" i="55"/>
  <c r="Z124" i="55"/>
  <c r="Y124" i="55"/>
  <c r="X124" i="55"/>
  <c r="W124" i="55"/>
  <c r="V124" i="55"/>
  <c r="U124" i="55"/>
  <c r="T124" i="55"/>
  <c r="S124" i="55"/>
  <c r="R124" i="55"/>
  <c r="Q124" i="55"/>
  <c r="P124" i="55"/>
  <c r="O124" i="55"/>
  <c r="N124" i="55"/>
  <c r="M124" i="55"/>
  <c r="L124" i="55"/>
  <c r="K124" i="55"/>
  <c r="J124" i="55"/>
  <c r="I124" i="55"/>
  <c r="H124" i="55"/>
  <c r="G124" i="55"/>
  <c r="F124" i="55"/>
  <c r="E124" i="55"/>
  <c r="D124" i="55"/>
  <c r="AB123" i="55"/>
  <c r="AA123" i="55"/>
  <c r="Z123" i="55"/>
  <c r="Y123" i="55"/>
  <c r="X123" i="55"/>
  <c r="W123" i="55"/>
  <c r="V123" i="55"/>
  <c r="U123" i="55"/>
  <c r="T123" i="55"/>
  <c r="S123" i="55"/>
  <c r="R123" i="55"/>
  <c r="Q123" i="55"/>
  <c r="P123" i="55"/>
  <c r="O123" i="55"/>
  <c r="N123" i="55"/>
  <c r="M123" i="55"/>
  <c r="L123" i="55"/>
  <c r="K123" i="55"/>
  <c r="J123" i="55"/>
  <c r="I123" i="55"/>
  <c r="H123" i="55"/>
  <c r="G123" i="55"/>
  <c r="F123" i="55"/>
  <c r="E123" i="55"/>
  <c r="D123" i="55"/>
  <c r="AB122" i="55"/>
  <c r="AA122" i="55"/>
  <c r="Z122" i="55"/>
  <c r="Y122" i="55"/>
  <c r="X122" i="55"/>
  <c r="W122" i="55"/>
  <c r="V122" i="55"/>
  <c r="U122" i="55"/>
  <c r="T122" i="55"/>
  <c r="S122" i="55"/>
  <c r="R122" i="55"/>
  <c r="Q122" i="55"/>
  <c r="P122" i="55"/>
  <c r="O122" i="55"/>
  <c r="N122" i="55"/>
  <c r="M122" i="55"/>
  <c r="L122" i="55"/>
  <c r="K122" i="55"/>
  <c r="J122" i="55"/>
  <c r="I122" i="55"/>
  <c r="H122" i="55"/>
  <c r="G122" i="55"/>
  <c r="F122" i="55"/>
  <c r="E122" i="55"/>
  <c r="D122" i="55"/>
  <c r="AB121" i="55"/>
  <c r="AA121" i="55"/>
  <c r="Z121" i="55"/>
  <c r="Y121" i="55"/>
  <c r="X121" i="55"/>
  <c r="W121" i="55"/>
  <c r="V121" i="55"/>
  <c r="U121" i="55"/>
  <c r="T121" i="55"/>
  <c r="S121" i="55"/>
  <c r="R121" i="55"/>
  <c r="Q121" i="55"/>
  <c r="P121" i="55"/>
  <c r="O121" i="55"/>
  <c r="N121" i="55"/>
  <c r="M121" i="55"/>
  <c r="L121" i="55"/>
  <c r="K121" i="55"/>
  <c r="J121" i="55"/>
  <c r="I121" i="55"/>
  <c r="H121" i="55"/>
  <c r="G121" i="55"/>
  <c r="F121" i="55"/>
  <c r="E121" i="55"/>
  <c r="D121" i="55"/>
  <c r="AB120" i="55"/>
  <c r="AA120" i="55"/>
  <c r="Z120" i="55"/>
  <c r="Y120" i="55"/>
  <c r="X120" i="55"/>
  <c r="W120" i="55"/>
  <c r="V120" i="55"/>
  <c r="U120" i="55"/>
  <c r="T120" i="55"/>
  <c r="S120" i="55"/>
  <c r="R120" i="55"/>
  <c r="Q120" i="55"/>
  <c r="P120" i="55"/>
  <c r="O120" i="55"/>
  <c r="N120" i="55"/>
  <c r="M120" i="55"/>
  <c r="L120" i="55"/>
  <c r="K120" i="55"/>
  <c r="J120" i="55"/>
  <c r="I120" i="55"/>
  <c r="H120" i="55"/>
  <c r="G120" i="55"/>
  <c r="F120" i="55"/>
  <c r="E120" i="55"/>
  <c r="D120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E119" i="55"/>
  <c r="D119" i="55"/>
  <c r="AB118" i="55"/>
  <c r="AA118" i="55"/>
  <c r="Z118" i="55"/>
  <c r="Y118" i="55"/>
  <c r="X118" i="55"/>
  <c r="W118" i="55"/>
  <c r="V118" i="55"/>
  <c r="U118" i="55"/>
  <c r="T118" i="55"/>
  <c r="S118" i="55"/>
  <c r="R118" i="55"/>
  <c r="Q118" i="55"/>
  <c r="P118" i="55"/>
  <c r="O118" i="55"/>
  <c r="N118" i="55"/>
  <c r="M118" i="55"/>
  <c r="L118" i="55"/>
  <c r="K118" i="55"/>
  <c r="J118" i="55"/>
  <c r="I118" i="55"/>
  <c r="H118" i="55"/>
  <c r="G118" i="55"/>
  <c r="F118" i="55"/>
  <c r="E118" i="55"/>
  <c r="D118" i="55"/>
  <c r="AB117" i="55"/>
  <c r="AA117" i="55"/>
  <c r="Z117" i="55"/>
  <c r="Y117" i="55"/>
  <c r="X117" i="55"/>
  <c r="W117" i="55"/>
  <c r="V117" i="55"/>
  <c r="U117" i="55"/>
  <c r="T117" i="55"/>
  <c r="S117" i="55"/>
  <c r="R117" i="55"/>
  <c r="Q117" i="55"/>
  <c r="P117" i="55"/>
  <c r="O117" i="55"/>
  <c r="N117" i="55"/>
  <c r="M117" i="55"/>
  <c r="L117" i="55"/>
  <c r="K117" i="55"/>
  <c r="J117" i="55"/>
  <c r="I117" i="55"/>
  <c r="H117" i="55"/>
  <c r="G117" i="55"/>
  <c r="F117" i="55"/>
  <c r="E117" i="55"/>
  <c r="D117" i="55"/>
  <c r="AB116" i="55"/>
  <c r="AA116" i="55"/>
  <c r="Z116" i="55"/>
  <c r="Y116" i="55"/>
  <c r="X116" i="55"/>
  <c r="W116" i="55"/>
  <c r="V116" i="55"/>
  <c r="U116" i="55"/>
  <c r="T116" i="55"/>
  <c r="S116" i="55"/>
  <c r="R116" i="55"/>
  <c r="Q116" i="55"/>
  <c r="P116" i="55"/>
  <c r="O116" i="55"/>
  <c r="N116" i="55"/>
  <c r="M116" i="55"/>
  <c r="L116" i="55"/>
  <c r="K116" i="55"/>
  <c r="J116" i="55"/>
  <c r="I116" i="55"/>
  <c r="H116" i="55"/>
  <c r="G116" i="55"/>
  <c r="F116" i="55"/>
  <c r="E116" i="55"/>
  <c r="D116" i="55"/>
  <c r="AB115" i="55"/>
  <c r="AA115" i="55"/>
  <c r="Z115" i="55"/>
  <c r="Y115" i="55"/>
  <c r="X115" i="55"/>
  <c r="W115" i="55"/>
  <c r="V115" i="55"/>
  <c r="U115" i="55"/>
  <c r="T115" i="55"/>
  <c r="S115" i="55"/>
  <c r="R115" i="55"/>
  <c r="Q115" i="55"/>
  <c r="P115" i="55"/>
  <c r="O115" i="55"/>
  <c r="N115" i="55"/>
  <c r="M115" i="55"/>
  <c r="L115" i="55"/>
  <c r="K115" i="55"/>
  <c r="J115" i="55"/>
  <c r="I115" i="55"/>
  <c r="H115" i="55"/>
  <c r="G115" i="55"/>
  <c r="F115" i="55"/>
  <c r="E115" i="55"/>
  <c r="D115" i="55"/>
  <c r="AB114" i="55"/>
  <c r="AA114" i="55"/>
  <c r="Z114" i="55"/>
  <c r="Y114" i="55"/>
  <c r="X114" i="55"/>
  <c r="W114" i="55"/>
  <c r="V114" i="55"/>
  <c r="U114" i="55"/>
  <c r="T114" i="55"/>
  <c r="S114" i="55"/>
  <c r="R114" i="55"/>
  <c r="Q114" i="55"/>
  <c r="P114" i="55"/>
  <c r="O114" i="55"/>
  <c r="N114" i="55"/>
  <c r="M114" i="55"/>
  <c r="L114" i="55"/>
  <c r="K114" i="55"/>
  <c r="J114" i="55"/>
  <c r="I114" i="55"/>
  <c r="H114" i="55"/>
  <c r="G114" i="55"/>
  <c r="F114" i="55"/>
  <c r="E114" i="55"/>
  <c r="D114" i="55"/>
  <c r="AB113" i="55"/>
  <c r="AA113" i="55"/>
  <c r="Z113" i="55"/>
  <c r="Y113" i="55"/>
  <c r="X113" i="55"/>
  <c r="W113" i="55"/>
  <c r="V113" i="55"/>
  <c r="U113" i="55"/>
  <c r="T113" i="55"/>
  <c r="S113" i="55"/>
  <c r="R113" i="55"/>
  <c r="Q113" i="55"/>
  <c r="P113" i="55"/>
  <c r="O113" i="55"/>
  <c r="N113" i="55"/>
  <c r="M113" i="55"/>
  <c r="L113" i="55"/>
  <c r="K113" i="55"/>
  <c r="J113" i="55"/>
  <c r="I113" i="55"/>
  <c r="H113" i="55"/>
  <c r="G113" i="55"/>
  <c r="F113" i="55"/>
  <c r="E113" i="55"/>
  <c r="D113" i="55"/>
  <c r="AB112" i="55"/>
  <c r="AA112" i="55"/>
  <c r="Z112" i="55"/>
  <c r="Y112" i="55"/>
  <c r="X112" i="55"/>
  <c r="W112" i="55"/>
  <c r="V112" i="55"/>
  <c r="U112" i="55"/>
  <c r="T112" i="55"/>
  <c r="S112" i="55"/>
  <c r="R112" i="55"/>
  <c r="Q112" i="55"/>
  <c r="P112" i="55"/>
  <c r="O112" i="55"/>
  <c r="N112" i="55"/>
  <c r="M112" i="55"/>
  <c r="L112" i="55"/>
  <c r="K112" i="55"/>
  <c r="J112" i="55"/>
  <c r="I112" i="55"/>
  <c r="H112" i="55"/>
  <c r="G112" i="55"/>
  <c r="F112" i="55"/>
  <c r="E112" i="55"/>
  <c r="D112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E111" i="55"/>
  <c r="D111" i="55"/>
  <c r="AB110" i="55"/>
  <c r="AA110" i="55"/>
  <c r="Z110" i="55"/>
  <c r="Y110" i="55"/>
  <c r="X110" i="55"/>
  <c r="W110" i="55"/>
  <c r="V110" i="55"/>
  <c r="U110" i="55"/>
  <c r="T110" i="55"/>
  <c r="S110" i="55"/>
  <c r="R110" i="55"/>
  <c r="Q110" i="55"/>
  <c r="P110" i="55"/>
  <c r="O110" i="55"/>
  <c r="N110" i="55"/>
  <c r="M110" i="55"/>
  <c r="L110" i="55"/>
  <c r="K110" i="55"/>
  <c r="J110" i="55"/>
  <c r="I110" i="55"/>
  <c r="H110" i="55"/>
  <c r="G110" i="55"/>
  <c r="F110" i="55"/>
  <c r="E110" i="55"/>
  <c r="D110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E109" i="55"/>
  <c r="D109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E106" i="55"/>
  <c r="D106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F105" i="55"/>
  <c r="E105" i="55"/>
  <c r="D105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E104" i="55"/>
  <c r="D104" i="55"/>
  <c r="AB103" i="55"/>
  <c r="AA103" i="55"/>
  <c r="Z103" i="55"/>
  <c r="Y103" i="55"/>
  <c r="X103" i="55"/>
  <c r="W103" i="55"/>
  <c r="V103" i="55"/>
  <c r="U103" i="55"/>
  <c r="T103" i="55"/>
  <c r="S103" i="55"/>
  <c r="R103" i="55"/>
  <c r="Q103" i="55"/>
  <c r="P103" i="55"/>
  <c r="O103" i="55"/>
  <c r="N103" i="55"/>
  <c r="M103" i="55"/>
  <c r="L103" i="55"/>
  <c r="K103" i="55"/>
  <c r="J103" i="55"/>
  <c r="I103" i="55"/>
  <c r="H103" i="55"/>
  <c r="G103" i="55"/>
  <c r="F103" i="55"/>
  <c r="E103" i="55"/>
  <c r="D103" i="55"/>
  <c r="AB102" i="55"/>
  <c r="AA102" i="55"/>
  <c r="Z102" i="55"/>
  <c r="Y102" i="55"/>
  <c r="X102" i="55"/>
  <c r="W102" i="55"/>
  <c r="V102" i="55"/>
  <c r="U102" i="55"/>
  <c r="T102" i="55"/>
  <c r="S102" i="55"/>
  <c r="R102" i="55"/>
  <c r="Q102" i="55"/>
  <c r="P102" i="55"/>
  <c r="O102" i="55"/>
  <c r="N102" i="55"/>
  <c r="M102" i="55"/>
  <c r="L102" i="55"/>
  <c r="K102" i="55"/>
  <c r="J102" i="55"/>
  <c r="I102" i="55"/>
  <c r="H102" i="55"/>
  <c r="G102" i="55"/>
  <c r="F102" i="55"/>
  <c r="E102" i="55"/>
  <c r="D102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E101" i="55"/>
  <c r="D101" i="55"/>
  <c r="AB100" i="55"/>
  <c r="AA100" i="55"/>
  <c r="Z100" i="55"/>
  <c r="Y100" i="55"/>
  <c r="X100" i="55"/>
  <c r="W100" i="55"/>
  <c r="V100" i="55"/>
  <c r="U100" i="55"/>
  <c r="T100" i="55"/>
  <c r="S100" i="55"/>
  <c r="R100" i="55"/>
  <c r="Q100" i="55"/>
  <c r="P100" i="55"/>
  <c r="O100" i="55"/>
  <c r="N100" i="55"/>
  <c r="M100" i="55"/>
  <c r="L100" i="55"/>
  <c r="K100" i="55"/>
  <c r="J100" i="55"/>
  <c r="I100" i="55"/>
  <c r="H100" i="55"/>
  <c r="G100" i="55"/>
  <c r="F100" i="55"/>
  <c r="E100" i="55"/>
  <c r="D100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E99" i="55"/>
  <c r="D99" i="55"/>
  <c r="AB98" i="55"/>
  <c r="AA98" i="55"/>
  <c r="Z98" i="55"/>
  <c r="Y98" i="55"/>
  <c r="X98" i="55"/>
  <c r="W98" i="55"/>
  <c r="V98" i="55"/>
  <c r="U98" i="55"/>
  <c r="T98" i="55"/>
  <c r="S98" i="55"/>
  <c r="R98" i="55"/>
  <c r="Q98" i="55"/>
  <c r="P98" i="55"/>
  <c r="O98" i="55"/>
  <c r="N98" i="55"/>
  <c r="M98" i="55"/>
  <c r="L98" i="55"/>
  <c r="K98" i="55"/>
  <c r="J98" i="55"/>
  <c r="I98" i="55"/>
  <c r="H98" i="55"/>
  <c r="G98" i="55"/>
  <c r="F98" i="55"/>
  <c r="E98" i="55"/>
  <c r="D98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G97" i="55"/>
  <c r="F97" i="55"/>
  <c r="E97" i="55"/>
  <c r="D97" i="55"/>
  <c r="AB96" i="55"/>
  <c r="AA96" i="55"/>
  <c r="Z96" i="55"/>
  <c r="Y96" i="55"/>
  <c r="X96" i="55"/>
  <c r="W96" i="55"/>
  <c r="V96" i="55"/>
  <c r="U96" i="55"/>
  <c r="T96" i="55"/>
  <c r="S96" i="55"/>
  <c r="R96" i="55"/>
  <c r="Q96" i="55"/>
  <c r="P96" i="55"/>
  <c r="O96" i="55"/>
  <c r="N96" i="55"/>
  <c r="M96" i="55"/>
  <c r="L96" i="55"/>
  <c r="K96" i="55"/>
  <c r="J96" i="55"/>
  <c r="I96" i="55"/>
  <c r="H96" i="55"/>
  <c r="G96" i="55"/>
  <c r="F96" i="55"/>
  <c r="E96" i="55"/>
  <c r="D96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G95" i="55"/>
  <c r="F95" i="55"/>
  <c r="E95" i="55"/>
  <c r="D95" i="55"/>
  <c r="AB94" i="55"/>
  <c r="AA94" i="55"/>
  <c r="Z94" i="55"/>
  <c r="Y94" i="55"/>
  <c r="X94" i="55"/>
  <c r="W94" i="55"/>
  <c r="V94" i="55"/>
  <c r="U94" i="55"/>
  <c r="T94" i="55"/>
  <c r="S94" i="55"/>
  <c r="R94" i="55"/>
  <c r="Q94" i="55"/>
  <c r="P94" i="55"/>
  <c r="O94" i="55"/>
  <c r="N94" i="55"/>
  <c r="M94" i="55"/>
  <c r="L94" i="55"/>
  <c r="K94" i="55"/>
  <c r="J94" i="55"/>
  <c r="I94" i="55"/>
  <c r="H94" i="55"/>
  <c r="G94" i="55"/>
  <c r="F94" i="55"/>
  <c r="E94" i="55"/>
  <c r="D94" i="55"/>
  <c r="AB93" i="55"/>
  <c r="AA93" i="55"/>
  <c r="Z93" i="55"/>
  <c r="Y93" i="55"/>
  <c r="X93" i="55"/>
  <c r="W93" i="55"/>
  <c r="V93" i="55"/>
  <c r="U93" i="55"/>
  <c r="T93" i="55"/>
  <c r="S93" i="55"/>
  <c r="R93" i="55"/>
  <c r="Q93" i="55"/>
  <c r="P93" i="55"/>
  <c r="O93" i="55"/>
  <c r="N93" i="55"/>
  <c r="M93" i="55"/>
  <c r="L93" i="55"/>
  <c r="K93" i="55"/>
  <c r="J93" i="55"/>
  <c r="I93" i="55"/>
  <c r="H93" i="55"/>
  <c r="G93" i="55"/>
  <c r="F93" i="55"/>
  <c r="E93" i="55"/>
  <c r="D93" i="55"/>
  <c r="AB92" i="55"/>
  <c r="AA92" i="55"/>
  <c r="Z92" i="55"/>
  <c r="Y92" i="55"/>
  <c r="X92" i="55"/>
  <c r="W92" i="55"/>
  <c r="V92" i="55"/>
  <c r="U92" i="55"/>
  <c r="T92" i="55"/>
  <c r="S92" i="55"/>
  <c r="R92" i="55"/>
  <c r="Q92" i="55"/>
  <c r="P92" i="55"/>
  <c r="O92" i="55"/>
  <c r="N92" i="55"/>
  <c r="M92" i="55"/>
  <c r="L92" i="55"/>
  <c r="K92" i="55"/>
  <c r="J92" i="55"/>
  <c r="I92" i="55"/>
  <c r="H92" i="55"/>
  <c r="G92" i="55"/>
  <c r="F92" i="55"/>
  <c r="E92" i="55"/>
  <c r="D92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E91" i="55"/>
  <c r="D91" i="55"/>
  <c r="AB90" i="55"/>
  <c r="AA90" i="55"/>
  <c r="Z90" i="55"/>
  <c r="Y90" i="55"/>
  <c r="X90" i="55"/>
  <c r="W90" i="55"/>
  <c r="V90" i="55"/>
  <c r="U90" i="55"/>
  <c r="T90" i="55"/>
  <c r="S90" i="55"/>
  <c r="R90" i="55"/>
  <c r="Q90" i="55"/>
  <c r="P90" i="55"/>
  <c r="O90" i="55"/>
  <c r="N90" i="55"/>
  <c r="M90" i="55"/>
  <c r="L90" i="55"/>
  <c r="K90" i="55"/>
  <c r="J90" i="55"/>
  <c r="I90" i="55"/>
  <c r="H90" i="55"/>
  <c r="G90" i="55"/>
  <c r="F90" i="55"/>
  <c r="E90" i="55"/>
  <c r="D90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E89" i="55"/>
  <c r="D89" i="55"/>
  <c r="AB88" i="55"/>
  <c r="AA88" i="55"/>
  <c r="Z88" i="55"/>
  <c r="Y88" i="55"/>
  <c r="X88" i="55"/>
  <c r="W88" i="55"/>
  <c r="V88" i="55"/>
  <c r="U88" i="55"/>
  <c r="T88" i="55"/>
  <c r="S88" i="55"/>
  <c r="R88" i="55"/>
  <c r="Q88" i="55"/>
  <c r="P88" i="55"/>
  <c r="O88" i="55"/>
  <c r="N88" i="55"/>
  <c r="M88" i="55"/>
  <c r="L88" i="55"/>
  <c r="K88" i="55"/>
  <c r="J88" i="55"/>
  <c r="I88" i="55"/>
  <c r="H88" i="55"/>
  <c r="G88" i="55"/>
  <c r="F88" i="55"/>
  <c r="E88" i="55"/>
  <c r="D88" i="55"/>
  <c r="AB87" i="55"/>
  <c r="AA87" i="55"/>
  <c r="Z87" i="55"/>
  <c r="Y87" i="55"/>
  <c r="X87" i="55"/>
  <c r="W87" i="55"/>
  <c r="V87" i="55"/>
  <c r="U87" i="55"/>
  <c r="T87" i="55"/>
  <c r="S87" i="55"/>
  <c r="R87" i="55"/>
  <c r="Q87" i="55"/>
  <c r="P87" i="55"/>
  <c r="O87" i="55"/>
  <c r="N87" i="55"/>
  <c r="M87" i="55"/>
  <c r="L87" i="55"/>
  <c r="K87" i="55"/>
  <c r="J87" i="55"/>
  <c r="I87" i="55"/>
  <c r="H87" i="55"/>
  <c r="G87" i="55"/>
  <c r="F87" i="55"/>
  <c r="E87" i="55"/>
  <c r="D87" i="55"/>
  <c r="AB86" i="55"/>
  <c r="AA86" i="55"/>
  <c r="Z86" i="55"/>
  <c r="Y86" i="55"/>
  <c r="X86" i="55"/>
  <c r="W86" i="55"/>
  <c r="V86" i="55"/>
  <c r="U86" i="55"/>
  <c r="T86" i="55"/>
  <c r="S86" i="55"/>
  <c r="R86" i="55"/>
  <c r="Q86" i="55"/>
  <c r="P86" i="55"/>
  <c r="O86" i="55"/>
  <c r="N86" i="55"/>
  <c r="M86" i="55"/>
  <c r="L86" i="55"/>
  <c r="K86" i="55"/>
  <c r="J86" i="55"/>
  <c r="I86" i="55"/>
  <c r="H86" i="55"/>
  <c r="G86" i="55"/>
  <c r="F86" i="55"/>
  <c r="E86" i="55"/>
  <c r="D86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G85" i="55"/>
  <c r="F85" i="55"/>
  <c r="E85" i="55"/>
  <c r="D85" i="55"/>
  <c r="AB84" i="55"/>
  <c r="AA84" i="55"/>
  <c r="Z84" i="55"/>
  <c r="Y84" i="55"/>
  <c r="X84" i="55"/>
  <c r="W84" i="55"/>
  <c r="V84" i="55"/>
  <c r="U84" i="55"/>
  <c r="T84" i="55"/>
  <c r="S84" i="55"/>
  <c r="R84" i="55"/>
  <c r="Q84" i="55"/>
  <c r="P84" i="55"/>
  <c r="O84" i="55"/>
  <c r="N84" i="55"/>
  <c r="M84" i="55"/>
  <c r="L84" i="55"/>
  <c r="K84" i="55"/>
  <c r="J84" i="55"/>
  <c r="I84" i="55"/>
  <c r="H84" i="55"/>
  <c r="G84" i="55"/>
  <c r="F84" i="55"/>
  <c r="E84" i="55"/>
  <c r="D84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F83" i="55"/>
  <c r="E83" i="55"/>
  <c r="D83" i="55"/>
  <c r="AB82" i="55"/>
  <c r="AA82" i="55"/>
  <c r="Z82" i="55"/>
  <c r="Y82" i="55"/>
  <c r="X82" i="55"/>
  <c r="W82" i="55"/>
  <c r="V82" i="55"/>
  <c r="U82" i="55"/>
  <c r="T82" i="55"/>
  <c r="S82" i="55"/>
  <c r="R82" i="55"/>
  <c r="Q82" i="55"/>
  <c r="P82" i="55"/>
  <c r="O82" i="55"/>
  <c r="N82" i="55"/>
  <c r="M82" i="55"/>
  <c r="L82" i="55"/>
  <c r="K82" i="55"/>
  <c r="J82" i="55"/>
  <c r="I82" i="55"/>
  <c r="H82" i="55"/>
  <c r="G82" i="55"/>
  <c r="F82" i="55"/>
  <c r="E82" i="55"/>
  <c r="D82" i="55"/>
  <c r="AB81" i="55"/>
  <c r="AA81" i="55"/>
  <c r="Z81" i="55"/>
  <c r="Y81" i="55"/>
  <c r="X81" i="55"/>
  <c r="W81" i="55"/>
  <c r="V81" i="55"/>
  <c r="U81" i="55"/>
  <c r="T81" i="55"/>
  <c r="S81" i="55"/>
  <c r="R81" i="55"/>
  <c r="Q81" i="55"/>
  <c r="P81" i="55"/>
  <c r="O81" i="55"/>
  <c r="N81" i="55"/>
  <c r="M81" i="55"/>
  <c r="L81" i="55"/>
  <c r="K81" i="55"/>
  <c r="J81" i="55"/>
  <c r="I81" i="55"/>
  <c r="H81" i="55"/>
  <c r="G81" i="55"/>
  <c r="F81" i="55"/>
  <c r="E81" i="55"/>
  <c r="D81" i="55"/>
  <c r="AB80" i="55"/>
  <c r="AA80" i="55"/>
  <c r="Z80" i="55"/>
  <c r="Y80" i="55"/>
  <c r="X80" i="55"/>
  <c r="W80" i="55"/>
  <c r="V80" i="55"/>
  <c r="U80" i="55"/>
  <c r="T80" i="55"/>
  <c r="S80" i="55"/>
  <c r="R80" i="55"/>
  <c r="Q80" i="55"/>
  <c r="P80" i="55"/>
  <c r="O80" i="55"/>
  <c r="N80" i="55"/>
  <c r="M80" i="55"/>
  <c r="L80" i="55"/>
  <c r="K80" i="55"/>
  <c r="J80" i="55"/>
  <c r="I80" i="55"/>
  <c r="H80" i="55"/>
  <c r="G80" i="55"/>
  <c r="F80" i="55"/>
  <c r="E80" i="55"/>
  <c r="D80" i="55"/>
  <c r="AB79" i="55"/>
  <c r="AA79" i="55"/>
  <c r="Z79" i="55"/>
  <c r="Y79" i="55"/>
  <c r="X79" i="55"/>
  <c r="W79" i="55"/>
  <c r="V79" i="55"/>
  <c r="U79" i="55"/>
  <c r="T79" i="55"/>
  <c r="S79" i="55"/>
  <c r="R79" i="55"/>
  <c r="Q79" i="55"/>
  <c r="P79" i="55"/>
  <c r="O79" i="55"/>
  <c r="N79" i="55"/>
  <c r="M79" i="55"/>
  <c r="L79" i="55"/>
  <c r="K79" i="55"/>
  <c r="J79" i="55"/>
  <c r="I79" i="55"/>
  <c r="H79" i="55"/>
  <c r="G79" i="55"/>
  <c r="F79" i="55"/>
  <c r="E79" i="55"/>
  <c r="D79" i="55"/>
  <c r="AB78" i="55"/>
  <c r="AA78" i="55"/>
  <c r="Z78" i="55"/>
  <c r="Y78" i="55"/>
  <c r="X78" i="55"/>
  <c r="W78" i="55"/>
  <c r="V78" i="55"/>
  <c r="U78" i="55"/>
  <c r="T78" i="55"/>
  <c r="S78" i="55"/>
  <c r="R78" i="55"/>
  <c r="Q78" i="55"/>
  <c r="P78" i="55"/>
  <c r="O78" i="55"/>
  <c r="N78" i="55"/>
  <c r="M78" i="55"/>
  <c r="L78" i="55"/>
  <c r="K78" i="55"/>
  <c r="J78" i="55"/>
  <c r="I78" i="55"/>
  <c r="H78" i="55"/>
  <c r="G78" i="55"/>
  <c r="F78" i="55"/>
  <c r="E78" i="55"/>
  <c r="D78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G77" i="55"/>
  <c r="F77" i="55"/>
  <c r="E77" i="55"/>
  <c r="D77" i="55"/>
  <c r="AB76" i="55"/>
  <c r="AA76" i="55"/>
  <c r="Z76" i="55"/>
  <c r="Y76" i="55"/>
  <c r="X76" i="55"/>
  <c r="W76" i="55"/>
  <c r="V76" i="55"/>
  <c r="U76" i="55"/>
  <c r="T76" i="55"/>
  <c r="S76" i="55"/>
  <c r="R76" i="55"/>
  <c r="Q76" i="55"/>
  <c r="P76" i="55"/>
  <c r="O76" i="55"/>
  <c r="N76" i="55"/>
  <c r="M76" i="55"/>
  <c r="L76" i="55"/>
  <c r="K76" i="55"/>
  <c r="J76" i="55"/>
  <c r="I76" i="55"/>
  <c r="H76" i="55"/>
  <c r="G76" i="55"/>
  <c r="F76" i="55"/>
  <c r="E76" i="55"/>
  <c r="D76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G75" i="55"/>
  <c r="F75" i="55"/>
  <c r="E75" i="55"/>
  <c r="D75" i="55"/>
  <c r="AB74" i="55"/>
  <c r="AA74" i="55"/>
  <c r="Z74" i="55"/>
  <c r="Y74" i="55"/>
  <c r="X74" i="55"/>
  <c r="W74" i="55"/>
  <c r="V74" i="55"/>
  <c r="U74" i="55"/>
  <c r="T74" i="55"/>
  <c r="S74" i="55"/>
  <c r="R74" i="55"/>
  <c r="Q74" i="55"/>
  <c r="P74" i="55"/>
  <c r="O74" i="55"/>
  <c r="N74" i="55"/>
  <c r="M74" i="55"/>
  <c r="L74" i="55"/>
  <c r="K74" i="55"/>
  <c r="J74" i="55"/>
  <c r="I74" i="55"/>
  <c r="H74" i="55"/>
  <c r="G74" i="55"/>
  <c r="F74" i="55"/>
  <c r="E74" i="55"/>
  <c r="D74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G73" i="55"/>
  <c r="F73" i="55"/>
  <c r="E73" i="55"/>
  <c r="D73" i="55"/>
  <c r="AB72" i="55"/>
  <c r="AA72" i="55"/>
  <c r="Z72" i="55"/>
  <c r="Y72" i="55"/>
  <c r="X72" i="55"/>
  <c r="W72" i="55"/>
  <c r="V72" i="55"/>
  <c r="U72" i="55"/>
  <c r="T72" i="55"/>
  <c r="S72" i="55"/>
  <c r="R72" i="55"/>
  <c r="Q72" i="55"/>
  <c r="P72" i="55"/>
  <c r="O72" i="55"/>
  <c r="N72" i="55"/>
  <c r="M72" i="55"/>
  <c r="L72" i="55"/>
  <c r="K72" i="55"/>
  <c r="J72" i="55"/>
  <c r="I72" i="55"/>
  <c r="H72" i="55"/>
  <c r="G72" i="55"/>
  <c r="F72" i="55"/>
  <c r="E72" i="55"/>
  <c r="D72" i="55"/>
  <c r="AB71" i="55"/>
  <c r="AA71" i="55"/>
  <c r="Z71" i="55"/>
  <c r="Y71" i="55"/>
  <c r="X71" i="55"/>
  <c r="W71" i="55"/>
  <c r="V71" i="55"/>
  <c r="U71" i="55"/>
  <c r="T71" i="55"/>
  <c r="S71" i="55"/>
  <c r="R71" i="55"/>
  <c r="Q71" i="55"/>
  <c r="P71" i="55"/>
  <c r="O71" i="55"/>
  <c r="N71" i="55"/>
  <c r="M71" i="55"/>
  <c r="L71" i="55"/>
  <c r="K71" i="55"/>
  <c r="J71" i="55"/>
  <c r="I71" i="55"/>
  <c r="H71" i="55"/>
  <c r="G71" i="55"/>
  <c r="F71" i="55"/>
  <c r="E71" i="55"/>
  <c r="D71" i="55"/>
  <c r="AB70" i="55"/>
  <c r="AA70" i="55"/>
  <c r="Z70" i="55"/>
  <c r="Y70" i="55"/>
  <c r="X70" i="55"/>
  <c r="W70" i="55"/>
  <c r="V70" i="55"/>
  <c r="U70" i="55"/>
  <c r="T70" i="55"/>
  <c r="S70" i="55"/>
  <c r="R70" i="55"/>
  <c r="Q70" i="55"/>
  <c r="P70" i="55"/>
  <c r="O70" i="55"/>
  <c r="N70" i="55"/>
  <c r="M70" i="55"/>
  <c r="L70" i="55"/>
  <c r="K70" i="55"/>
  <c r="J70" i="55"/>
  <c r="I70" i="55"/>
  <c r="H70" i="55"/>
  <c r="G70" i="55"/>
  <c r="F70" i="55"/>
  <c r="E70" i="55"/>
  <c r="D70" i="55"/>
  <c r="AB69" i="55"/>
  <c r="AA69" i="55"/>
  <c r="Z69" i="55"/>
  <c r="Y69" i="55"/>
  <c r="X69" i="55"/>
  <c r="W69" i="55"/>
  <c r="V69" i="55"/>
  <c r="U69" i="55"/>
  <c r="T69" i="55"/>
  <c r="S69" i="55"/>
  <c r="R69" i="55"/>
  <c r="Q69" i="55"/>
  <c r="P69" i="55"/>
  <c r="O69" i="55"/>
  <c r="N69" i="55"/>
  <c r="M69" i="55"/>
  <c r="L69" i="55"/>
  <c r="K69" i="55"/>
  <c r="J69" i="55"/>
  <c r="I69" i="55"/>
  <c r="H69" i="55"/>
  <c r="G69" i="55"/>
  <c r="F69" i="55"/>
  <c r="E69" i="55"/>
  <c r="D69" i="55"/>
  <c r="AB68" i="55"/>
  <c r="AA68" i="55"/>
  <c r="Z68" i="55"/>
  <c r="Y68" i="55"/>
  <c r="X68" i="55"/>
  <c r="W68" i="55"/>
  <c r="V68" i="55"/>
  <c r="U68" i="55"/>
  <c r="T68" i="55"/>
  <c r="S68" i="55"/>
  <c r="R68" i="55"/>
  <c r="Q68" i="55"/>
  <c r="P68" i="55"/>
  <c r="O68" i="55"/>
  <c r="N68" i="55"/>
  <c r="M68" i="55"/>
  <c r="L68" i="55"/>
  <c r="K68" i="55"/>
  <c r="J68" i="55"/>
  <c r="I68" i="55"/>
  <c r="H68" i="55"/>
  <c r="G68" i="55"/>
  <c r="F68" i="55"/>
  <c r="E68" i="55"/>
  <c r="D68" i="55"/>
  <c r="AB67" i="55"/>
  <c r="AA67" i="55"/>
  <c r="Z67" i="55"/>
  <c r="Y67" i="55"/>
  <c r="X67" i="55"/>
  <c r="W67" i="55"/>
  <c r="V67" i="55"/>
  <c r="U67" i="55"/>
  <c r="T67" i="55"/>
  <c r="S67" i="55"/>
  <c r="R67" i="55"/>
  <c r="Q67" i="55"/>
  <c r="P67" i="55"/>
  <c r="O67" i="55"/>
  <c r="N67" i="55"/>
  <c r="M67" i="55"/>
  <c r="L67" i="55"/>
  <c r="K67" i="55"/>
  <c r="J67" i="55"/>
  <c r="I67" i="55"/>
  <c r="H67" i="55"/>
  <c r="G67" i="55"/>
  <c r="F67" i="55"/>
  <c r="E67" i="55"/>
  <c r="D67" i="55"/>
  <c r="AB66" i="55"/>
  <c r="AA66" i="55"/>
  <c r="Z66" i="55"/>
  <c r="Y66" i="55"/>
  <c r="X66" i="55"/>
  <c r="W66" i="55"/>
  <c r="V66" i="55"/>
  <c r="U66" i="55"/>
  <c r="T66" i="55"/>
  <c r="S66" i="55"/>
  <c r="R66" i="55"/>
  <c r="Q66" i="55"/>
  <c r="P66" i="55"/>
  <c r="O66" i="55"/>
  <c r="N66" i="55"/>
  <c r="M66" i="55"/>
  <c r="L66" i="55"/>
  <c r="K66" i="55"/>
  <c r="J66" i="55"/>
  <c r="I66" i="55"/>
  <c r="H66" i="55"/>
  <c r="G66" i="55"/>
  <c r="F66" i="55"/>
  <c r="E66" i="55"/>
  <c r="D66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G65" i="55"/>
  <c r="F65" i="55"/>
  <c r="E65" i="55"/>
  <c r="D65" i="55"/>
  <c r="AB64" i="55"/>
  <c r="AA64" i="55"/>
  <c r="Z64" i="55"/>
  <c r="Y64" i="55"/>
  <c r="X64" i="55"/>
  <c r="W64" i="55"/>
  <c r="V64" i="55"/>
  <c r="U64" i="55"/>
  <c r="T64" i="55"/>
  <c r="S64" i="55"/>
  <c r="R64" i="55"/>
  <c r="Q64" i="55"/>
  <c r="P64" i="55"/>
  <c r="O64" i="55"/>
  <c r="N64" i="55"/>
  <c r="M64" i="55"/>
  <c r="L64" i="55"/>
  <c r="K64" i="55"/>
  <c r="J64" i="55"/>
  <c r="I64" i="55"/>
  <c r="H64" i="55"/>
  <c r="G64" i="55"/>
  <c r="F64" i="55"/>
  <c r="E64" i="55"/>
  <c r="D64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3" i="55"/>
  <c r="E63" i="55"/>
  <c r="D63" i="55"/>
  <c r="AB62" i="55"/>
  <c r="AA62" i="55"/>
  <c r="Z62" i="55"/>
  <c r="Y62" i="55"/>
  <c r="X62" i="55"/>
  <c r="W62" i="55"/>
  <c r="V62" i="55"/>
  <c r="U62" i="55"/>
  <c r="T62" i="55"/>
  <c r="S62" i="55"/>
  <c r="R62" i="55"/>
  <c r="Q62" i="55"/>
  <c r="P62" i="55"/>
  <c r="O62" i="55"/>
  <c r="N62" i="55"/>
  <c r="M62" i="55"/>
  <c r="L62" i="55"/>
  <c r="K62" i="55"/>
  <c r="J62" i="55"/>
  <c r="I62" i="55"/>
  <c r="H62" i="55"/>
  <c r="G62" i="55"/>
  <c r="F62" i="55"/>
  <c r="E62" i="55"/>
  <c r="D62" i="55"/>
  <c r="AB61" i="55"/>
  <c r="AA61" i="55"/>
  <c r="Z61" i="55"/>
  <c r="Y61" i="55"/>
  <c r="X61" i="55"/>
  <c r="W61" i="55"/>
  <c r="V61" i="55"/>
  <c r="U61" i="55"/>
  <c r="T61" i="55"/>
  <c r="S61" i="55"/>
  <c r="R61" i="55"/>
  <c r="Q61" i="55"/>
  <c r="P61" i="55"/>
  <c r="O61" i="55"/>
  <c r="N61" i="55"/>
  <c r="M61" i="55"/>
  <c r="L61" i="55"/>
  <c r="K61" i="55"/>
  <c r="J61" i="55"/>
  <c r="I61" i="55"/>
  <c r="H61" i="55"/>
  <c r="G61" i="55"/>
  <c r="F61" i="55"/>
  <c r="E61" i="55"/>
  <c r="D61" i="55"/>
  <c r="AB60" i="55"/>
  <c r="AA60" i="55"/>
  <c r="Z60" i="55"/>
  <c r="Y60" i="55"/>
  <c r="X60" i="55"/>
  <c r="W60" i="55"/>
  <c r="V60" i="55"/>
  <c r="U60" i="55"/>
  <c r="T60" i="55"/>
  <c r="S60" i="55"/>
  <c r="R60" i="55"/>
  <c r="Q60" i="55"/>
  <c r="P60" i="55"/>
  <c r="O60" i="55"/>
  <c r="N60" i="55"/>
  <c r="M60" i="55"/>
  <c r="L60" i="55"/>
  <c r="K60" i="55"/>
  <c r="J60" i="55"/>
  <c r="I60" i="55"/>
  <c r="H60" i="55"/>
  <c r="G60" i="55"/>
  <c r="F60" i="55"/>
  <c r="E60" i="55"/>
  <c r="D60" i="55"/>
  <c r="AB58" i="55"/>
  <c r="AA58" i="55"/>
  <c r="Z58" i="55"/>
  <c r="Y58" i="55"/>
  <c r="X58" i="55"/>
  <c r="W58" i="55"/>
  <c r="V58" i="55"/>
  <c r="U58" i="55"/>
  <c r="T58" i="55"/>
  <c r="S58" i="55"/>
  <c r="R58" i="55"/>
  <c r="Q58" i="55"/>
  <c r="P58" i="55"/>
  <c r="O58" i="55"/>
  <c r="N58" i="55"/>
  <c r="M58" i="55"/>
  <c r="L58" i="55"/>
  <c r="K58" i="55"/>
  <c r="J58" i="55"/>
  <c r="I58" i="55"/>
  <c r="H58" i="55"/>
  <c r="G58" i="55"/>
  <c r="F58" i="55"/>
  <c r="E58" i="55"/>
  <c r="D58" i="55"/>
  <c r="AB57" i="55"/>
  <c r="AA57" i="55"/>
  <c r="Z57" i="55"/>
  <c r="Y57" i="55"/>
  <c r="X57" i="55"/>
  <c r="W57" i="55"/>
  <c r="V57" i="55"/>
  <c r="U57" i="55"/>
  <c r="T57" i="55"/>
  <c r="S57" i="55"/>
  <c r="R57" i="55"/>
  <c r="Q57" i="55"/>
  <c r="P57" i="55"/>
  <c r="O57" i="55"/>
  <c r="N57" i="55"/>
  <c r="M57" i="55"/>
  <c r="L57" i="55"/>
  <c r="K57" i="55"/>
  <c r="J57" i="55"/>
  <c r="I57" i="55"/>
  <c r="H57" i="55"/>
  <c r="G57" i="55"/>
  <c r="F57" i="55"/>
  <c r="E57" i="55"/>
  <c r="D57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J56" i="55"/>
  <c r="I56" i="55"/>
  <c r="H56" i="55"/>
  <c r="G56" i="55"/>
  <c r="F56" i="55"/>
  <c r="E56" i="55"/>
  <c r="D56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5" i="55"/>
  <c r="E55" i="55"/>
  <c r="D55" i="55"/>
  <c r="AB54" i="55"/>
  <c r="AA54" i="55"/>
  <c r="Z54" i="55"/>
  <c r="Y54" i="55"/>
  <c r="X54" i="55"/>
  <c r="W54" i="55"/>
  <c r="V54" i="55"/>
  <c r="U54" i="55"/>
  <c r="T54" i="55"/>
  <c r="S54" i="55"/>
  <c r="R54" i="55"/>
  <c r="Q54" i="55"/>
  <c r="P54" i="55"/>
  <c r="O54" i="55"/>
  <c r="N54" i="55"/>
  <c r="M54" i="55"/>
  <c r="L54" i="55"/>
  <c r="K54" i="55"/>
  <c r="J54" i="55"/>
  <c r="I54" i="55"/>
  <c r="H54" i="55"/>
  <c r="G54" i="55"/>
  <c r="F54" i="55"/>
  <c r="E54" i="55"/>
  <c r="D54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G53" i="55"/>
  <c r="F53" i="55"/>
  <c r="E53" i="55"/>
  <c r="D53" i="55"/>
  <c r="AB52" i="55"/>
  <c r="AA52" i="55"/>
  <c r="Z52" i="55"/>
  <c r="Y52" i="55"/>
  <c r="X52" i="55"/>
  <c r="W52" i="55"/>
  <c r="V52" i="55"/>
  <c r="U52" i="55"/>
  <c r="T52" i="55"/>
  <c r="S52" i="55"/>
  <c r="R52" i="55"/>
  <c r="Q52" i="55"/>
  <c r="P52" i="55"/>
  <c r="O52" i="55"/>
  <c r="N52" i="55"/>
  <c r="M52" i="55"/>
  <c r="L52" i="55"/>
  <c r="K52" i="55"/>
  <c r="J52" i="55"/>
  <c r="I52" i="55"/>
  <c r="H52" i="55"/>
  <c r="G52" i="55"/>
  <c r="F52" i="55"/>
  <c r="E52" i="55"/>
  <c r="D52" i="55"/>
  <c r="AB51" i="55"/>
  <c r="AA51" i="55"/>
  <c r="Z51" i="55"/>
  <c r="Y51" i="55"/>
  <c r="X51" i="55"/>
  <c r="W51" i="55"/>
  <c r="V51" i="55"/>
  <c r="U51" i="55"/>
  <c r="T51" i="55"/>
  <c r="S51" i="55"/>
  <c r="R51" i="55"/>
  <c r="Q51" i="55"/>
  <c r="P51" i="55"/>
  <c r="O51" i="55"/>
  <c r="N51" i="55"/>
  <c r="M51" i="55"/>
  <c r="L51" i="55"/>
  <c r="K51" i="55"/>
  <c r="J51" i="55"/>
  <c r="I51" i="55"/>
  <c r="H51" i="55"/>
  <c r="G51" i="55"/>
  <c r="F51" i="55"/>
  <c r="E51" i="55"/>
  <c r="D51" i="55"/>
  <c r="AB50" i="55"/>
  <c r="AA50" i="55"/>
  <c r="Z50" i="55"/>
  <c r="Y50" i="55"/>
  <c r="X50" i="55"/>
  <c r="W50" i="55"/>
  <c r="V50" i="55"/>
  <c r="U50" i="55"/>
  <c r="T50" i="55"/>
  <c r="S50" i="55"/>
  <c r="R50" i="55"/>
  <c r="Q50" i="55"/>
  <c r="P50" i="55"/>
  <c r="O50" i="55"/>
  <c r="N50" i="55"/>
  <c r="M50" i="55"/>
  <c r="L50" i="55"/>
  <c r="K50" i="55"/>
  <c r="J50" i="55"/>
  <c r="I50" i="55"/>
  <c r="H50" i="55"/>
  <c r="G50" i="55"/>
  <c r="F50" i="55"/>
  <c r="E50" i="55"/>
  <c r="D50" i="55"/>
  <c r="AB49" i="55"/>
  <c r="AA49" i="55"/>
  <c r="Z49" i="55"/>
  <c r="Y49" i="55"/>
  <c r="X49" i="55"/>
  <c r="W49" i="55"/>
  <c r="V49" i="55"/>
  <c r="U49" i="55"/>
  <c r="T49" i="55"/>
  <c r="S49" i="55"/>
  <c r="R49" i="55"/>
  <c r="Q49" i="55"/>
  <c r="P49" i="55"/>
  <c r="O49" i="55"/>
  <c r="N49" i="55"/>
  <c r="M49" i="55"/>
  <c r="L49" i="55"/>
  <c r="K49" i="55"/>
  <c r="J49" i="55"/>
  <c r="I49" i="55"/>
  <c r="H49" i="55"/>
  <c r="G49" i="55"/>
  <c r="F49" i="55"/>
  <c r="E49" i="55"/>
  <c r="D49" i="55"/>
  <c r="AB48" i="55"/>
  <c r="AA48" i="55"/>
  <c r="Z48" i="55"/>
  <c r="Y48" i="55"/>
  <c r="X48" i="55"/>
  <c r="W48" i="55"/>
  <c r="V48" i="55"/>
  <c r="U48" i="55"/>
  <c r="T48" i="55"/>
  <c r="S48" i="55"/>
  <c r="R48" i="55"/>
  <c r="Q48" i="55"/>
  <c r="P48" i="55"/>
  <c r="O48" i="55"/>
  <c r="N48" i="55"/>
  <c r="M48" i="55"/>
  <c r="L48" i="55"/>
  <c r="K48" i="55"/>
  <c r="J48" i="55"/>
  <c r="I48" i="55"/>
  <c r="H48" i="55"/>
  <c r="G48" i="55"/>
  <c r="F48" i="55"/>
  <c r="E48" i="55"/>
  <c r="D48" i="55"/>
  <c r="AB47" i="55"/>
  <c r="AA47" i="55"/>
  <c r="Z47" i="55"/>
  <c r="Y47" i="55"/>
  <c r="X47" i="55"/>
  <c r="W47" i="55"/>
  <c r="V47" i="55"/>
  <c r="U47" i="55"/>
  <c r="T47" i="55"/>
  <c r="S47" i="55"/>
  <c r="R47" i="55"/>
  <c r="Q47" i="55"/>
  <c r="P47" i="55"/>
  <c r="O47" i="55"/>
  <c r="N47" i="55"/>
  <c r="M47" i="55"/>
  <c r="L47" i="55"/>
  <c r="K47" i="55"/>
  <c r="J47" i="55"/>
  <c r="I47" i="55"/>
  <c r="H47" i="55"/>
  <c r="G47" i="55"/>
  <c r="F47" i="55"/>
  <c r="E47" i="55"/>
  <c r="D47" i="55"/>
  <c r="AB46" i="55"/>
  <c r="AA46" i="55"/>
  <c r="Z46" i="55"/>
  <c r="Y46" i="55"/>
  <c r="X46" i="55"/>
  <c r="W46" i="55"/>
  <c r="V46" i="55"/>
  <c r="U46" i="55"/>
  <c r="T46" i="55"/>
  <c r="S46" i="55"/>
  <c r="R46" i="55"/>
  <c r="Q46" i="55"/>
  <c r="P46" i="55"/>
  <c r="O46" i="55"/>
  <c r="N46" i="55"/>
  <c r="M46" i="55"/>
  <c r="L46" i="55"/>
  <c r="K46" i="55"/>
  <c r="J46" i="55"/>
  <c r="I46" i="55"/>
  <c r="H46" i="55"/>
  <c r="G46" i="55"/>
  <c r="F46" i="55"/>
  <c r="E46" i="55"/>
  <c r="D46" i="55"/>
  <c r="AB45" i="55"/>
  <c r="AA45" i="55"/>
  <c r="Z45" i="55"/>
  <c r="Y45" i="55"/>
  <c r="X45" i="55"/>
  <c r="W45" i="55"/>
  <c r="V45" i="55"/>
  <c r="U45" i="55"/>
  <c r="T45" i="55"/>
  <c r="S45" i="55"/>
  <c r="R45" i="55"/>
  <c r="Q45" i="55"/>
  <c r="P45" i="55"/>
  <c r="O45" i="55"/>
  <c r="N45" i="55"/>
  <c r="M45" i="55"/>
  <c r="L45" i="55"/>
  <c r="K45" i="55"/>
  <c r="J45" i="55"/>
  <c r="I45" i="55"/>
  <c r="H45" i="55"/>
  <c r="G45" i="55"/>
  <c r="F45" i="55"/>
  <c r="E45" i="55"/>
  <c r="D45" i="55"/>
  <c r="AB44" i="55"/>
  <c r="AA44" i="55"/>
  <c r="Z44" i="55"/>
  <c r="Y44" i="55"/>
  <c r="X44" i="55"/>
  <c r="W44" i="55"/>
  <c r="V44" i="55"/>
  <c r="U44" i="55"/>
  <c r="T44" i="55"/>
  <c r="S44" i="55"/>
  <c r="R44" i="55"/>
  <c r="Q44" i="55"/>
  <c r="P44" i="55"/>
  <c r="O44" i="55"/>
  <c r="N44" i="55"/>
  <c r="M44" i="55"/>
  <c r="L44" i="55"/>
  <c r="K44" i="55"/>
  <c r="J44" i="55"/>
  <c r="I44" i="55"/>
  <c r="H44" i="55"/>
  <c r="G44" i="55"/>
  <c r="F44" i="55"/>
  <c r="E44" i="55"/>
  <c r="D44" i="55"/>
  <c r="AB43" i="55"/>
  <c r="AA43" i="55"/>
  <c r="Z43" i="55"/>
  <c r="Y43" i="55"/>
  <c r="X43" i="55"/>
  <c r="W43" i="55"/>
  <c r="V43" i="55"/>
  <c r="U43" i="55"/>
  <c r="T43" i="55"/>
  <c r="S43" i="55"/>
  <c r="R43" i="55"/>
  <c r="Q43" i="55"/>
  <c r="P43" i="55"/>
  <c r="O43" i="55"/>
  <c r="N43" i="55"/>
  <c r="M43" i="55"/>
  <c r="L43" i="55"/>
  <c r="K43" i="55"/>
  <c r="J43" i="55"/>
  <c r="I43" i="55"/>
  <c r="H43" i="55"/>
  <c r="G43" i="55"/>
  <c r="F43" i="55"/>
  <c r="E43" i="55"/>
  <c r="D43" i="55"/>
  <c r="AB42" i="55"/>
  <c r="AA42" i="55"/>
  <c r="Z42" i="55"/>
  <c r="Y42" i="55"/>
  <c r="X42" i="55"/>
  <c r="W42" i="55"/>
  <c r="V42" i="55"/>
  <c r="U42" i="55"/>
  <c r="T42" i="55"/>
  <c r="S42" i="55"/>
  <c r="R42" i="55"/>
  <c r="Q42" i="55"/>
  <c r="P42" i="55"/>
  <c r="O42" i="55"/>
  <c r="N42" i="55"/>
  <c r="M42" i="55"/>
  <c r="L42" i="55"/>
  <c r="K42" i="55"/>
  <c r="J42" i="55"/>
  <c r="I42" i="55"/>
  <c r="H42" i="55"/>
  <c r="G42" i="55"/>
  <c r="F42" i="55"/>
  <c r="E42" i="55"/>
  <c r="D42" i="55"/>
  <c r="AB41" i="55"/>
  <c r="AA41" i="55"/>
  <c r="Z41" i="55"/>
  <c r="Y41" i="55"/>
  <c r="X41" i="55"/>
  <c r="W41" i="55"/>
  <c r="V41" i="55"/>
  <c r="U41" i="55"/>
  <c r="T41" i="55"/>
  <c r="S41" i="55"/>
  <c r="R41" i="55"/>
  <c r="Q41" i="55"/>
  <c r="P41" i="55"/>
  <c r="O41" i="55"/>
  <c r="N41" i="55"/>
  <c r="M41" i="55"/>
  <c r="L41" i="55"/>
  <c r="K41" i="55"/>
  <c r="J41" i="55"/>
  <c r="I41" i="55"/>
  <c r="H41" i="55"/>
  <c r="G41" i="55"/>
  <c r="F41" i="55"/>
  <c r="E41" i="55"/>
  <c r="D41" i="55"/>
  <c r="AB40" i="55"/>
  <c r="AA40" i="55"/>
  <c r="Z40" i="55"/>
  <c r="Y40" i="55"/>
  <c r="X40" i="55"/>
  <c r="W40" i="55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F40" i="55"/>
  <c r="E40" i="55"/>
  <c r="D40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AB38" i="55"/>
  <c r="AA38" i="55"/>
  <c r="Z38" i="55"/>
  <c r="Y38" i="55"/>
  <c r="X38" i="55"/>
  <c r="W38" i="55"/>
  <c r="V38" i="55"/>
  <c r="U38" i="55"/>
  <c r="T38" i="55"/>
  <c r="S38" i="55"/>
  <c r="R38" i="55"/>
  <c r="Q38" i="55"/>
  <c r="P38" i="55"/>
  <c r="O38" i="55"/>
  <c r="N38" i="55"/>
  <c r="M38" i="55"/>
  <c r="L38" i="55"/>
  <c r="K38" i="55"/>
  <c r="J38" i="55"/>
  <c r="I38" i="55"/>
  <c r="H38" i="55"/>
  <c r="G38" i="55"/>
  <c r="F38" i="55"/>
  <c r="E38" i="55"/>
  <c r="D38" i="55"/>
  <c r="AB37" i="55"/>
  <c r="AA37" i="55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G37" i="55"/>
  <c r="F37" i="55"/>
  <c r="E37" i="55"/>
  <c r="D37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E36" i="55"/>
  <c r="D36" i="55"/>
  <c r="AB35" i="55"/>
  <c r="AA35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H35" i="55"/>
  <c r="G35" i="55"/>
  <c r="F35" i="55"/>
  <c r="E35" i="55"/>
  <c r="D35" i="55"/>
  <c r="AB34" i="55"/>
  <c r="AA34" i="55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H34" i="55"/>
  <c r="G34" i="55"/>
  <c r="F34" i="55"/>
  <c r="E34" i="55"/>
  <c r="D34" i="55"/>
  <c r="AB33" i="55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G33" i="55"/>
  <c r="F33" i="55"/>
  <c r="E33" i="55"/>
  <c r="D33" i="55"/>
  <c r="AB32" i="55"/>
  <c r="AA32" i="55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G32" i="55"/>
  <c r="F32" i="55"/>
  <c r="E32" i="55"/>
  <c r="D32" i="55"/>
  <c r="AB31" i="55"/>
  <c r="AA31" i="55"/>
  <c r="Z31" i="55"/>
  <c r="Y31" i="55"/>
  <c r="X31" i="55"/>
  <c r="W31" i="55"/>
  <c r="V31" i="55"/>
  <c r="U31" i="55"/>
  <c r="T31" i="55"/>
  <c r="S31" i="55"/>
  <c r="R31" i="55"/>
  <c r="Q31" i="55"/>
  <c r="P31" i="55"/>
  <c r="O31" i="55"/>
  <c r="N31" i="55"/>
  <c r="M31" i="55"/>
  <c r="L31" i="55"/>
  <c r="K31" i="55"/>
  <c r="J31" i="55"/>
  <c r="I31" i="55"/>
  <c r="H31" i="55"/>
  <c r="G31" i="55"/>
  <c r="F31" i="55"/>
  <c r="E31" i="55"/>
  <c r="D31" i="55"/>
  <c r="AB30" i="55"/>
  <c r="AA30" i="55"/>
  <c r="Z30" i="55"/>
  <c r="Y30" i="55"/>
  <c r="X30" i="55"/>
  <c r="W30" i="55"/>
  <c r="V30" i="55"/>
  <c r="U30" i="55"/>
  <c r="T30" i="55"/>
  <c r="S30" i="55"/>
  <c r="R30" i="55"/>
  <c r="Q30" i="55"/>
  <c r="P30" i="55"/>
  <c r="O30" i="55"/>
  <c r="N30" i="55"/>
  <c r="M30" i="55"/>
  <c r="L30" i="55"/>
  <c r="K30" i="55"/>
  <c r="J30" i="55"/>
  <c r="I30" i="55"/>
  <c r="H30" i="55"/>
  <c r="G30" i="55"/>
  <c r="F30" i="55"/>
  <c r="E30" i="55"/>
  <c r="D30" i="55"/>
  <c r="AB29" i="55"/>
  <c r="AA29" i="55"/>
  <c r="Z29" i="55"/>
  <c r="Y29" i="55"/>
  <c r="X29" i="55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F29" i="55"/>
  <c r="E29" i="55"/>
  <c r="D29" i="55"/>
  <c r="AB28" i="55"/>
  <c r="AA28" i="55"/>
  <c r="Z28" i="55"/>
  <c r="Y28" i="55"/>
  <c r="X28" i="55"/>
  <c r="W28" i="55"/>
  <c r="V28" i="55"/>
  <c r="U28" i="55"/>
  <c r="T28" i="55"/>
  <c r="S28" i="55"/>
  <c r="R28" i="55"/>
  <c r="Q28" i="55"/>
  <c r="P28" i="55"/>
  <c r="O28" i="55"/>
  <c r="N28" i="55"/>
  <c r="M28" i="55"/>
  <c r="L28" i="55"/>
  <c r="K28" i="55"/>
  <c r="J28" i="55"/>
  <c r="I28" i="55"/>
  <c r="H28" i="55"/>
  <c r="G28" i="55"/>
  <c r="F28" i="55"/>
  <c r="E28" i="55"/>
  <c r="D28" i="55"/>
  <c r="AB27" i="55"/>
  <c r="AA27" i="55"/>
  <c r="Z27" i="55"/>
  <c r="Y27" i="55"/>
  <c r="X27" i="55"/>
  <c r="W27" i="55"/>
  <c r="V27" i="55"/>
  <c r="U27" i="55"/>
  <c r="T27" i="55"/>
  <c r="S27" i="55"/>
  <c r="R27" i="55"/>
  <c r="Q27" i="55"/>
  <c r="P27" i="55"/>
  <c r="O27" i="55"/>
  <c r="N27" i="55"/>
  <c r="M27" i="55"/>
  <c r="L27" i="55"/>
  <c r="K27" i="55"/>
  <c r="J27" i="55"/>
  <c r="I27" i="55"/>
  <c r="H27" i="55"/>
  <c r="G27" i="55"/>
  <c r="F27" i="55"/>
  <c r="E27" i="55"/>
  <c r="D27" i="55"/>
  <c r="AB26" i="55"/>
  <c r="AA26" i="55"/>
  <c r="Z26" i="55"/>
  <c r="Y26" i="55"/>
  <c r="X26" i="55"/>
  <c r="W26" i="55"/>
  <c r="V26" i="55"/>
  <c r="U26" i="55"/>
  <c r="T26" i="55"/>
  <c r="S26" i="55"/>
  <c r="R26" i="55"/>
  <c r="Q26" i="55"/>
  <c r="P26" i="55"/>
  <c r="O26" i="55"/>
  <c r="N26" i="55"/>
  <c r="M26" i="55"/>
  <c r="L26" i="55"/>
  <c r="K26" i="55"/>
  <c r="J26" i="55"/>
  <c r="I26" i="55"/>
  <c r="H26" i="55"/>
  <c r="G26" i="55"/>
  <c r="F26" i="55"/>
  <c r="E26" i="55"/>
  <c r="D26" i="55"/>
  <c r="AB25" i="55"/>
  <c r="AA25" i="55"/>
  <c r="Z25" i="55"/>
  <c r="Y25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AB24" i="55"/>
  <c r="AA24" i="55"/>
  <c r="Z24" i="55"/>
  <c r="Y24" i="55"/>
  <c r="X24" i="55"/>
  <c r="W24" i="55"/>
  <c r="V24" i="55"/>
  <c r="U24" i="55"/>
  <c r="T24" i="55"/>
  <c r="S24" i="55"/>
  <c r="R24" i="55"/>
  <c r="Q24" i="55"/>
  <c r="P24" i="55"/>
  <c r="O24" i="55"/>
  <c r="N24" i="55"/>
  <c r="M24" i="55"/>
  <c r="L24" i="55"/>
  <c r="K24" i="55"/>
  <c r="J24" i="55"/>
  <c r="I24" i="55"/>
  <c r="H24" i="55"/>
  <c r="G24" i="55"/>
  <c r="F24" i="55"/>
  <c r="E24" i="55"/>
  <c r="D24" i="55"/>
  <c r="AB23" i="55"/>
  <c r="AA23" i="55"/>
  <c r="Z23" i="55"/>
  <c r="Y23" i="55"/>
  <c r="X23" i="55"/>
  <c r="W23" i="55"/>
  <c r="V23" i="55"/>
  <c r="U23" i="55"/>
  <c r="T23" i="55"/>
  <c r="S23" i="55"/>
  <c r="R23" i="55"/>
  <c r="Q23" i="55"/>
  <c r="P23" i="55"/>
  <c r="O23" i="55"/>
  <c r="N23" i="55"/>
  <c r="M23" i="55"/>
  <c r="L23" i="55"/>
  <c r="K23" i="55"/>
  <c r="J23" i="55"/>
  <c r="I23" i="55"/>
  <c r="H23" i="55"/>
  <c r="G23" i="55"/>
  <c r="F23" i="55"/>
  <c r="E23" i="55"/>
  <c r="D23" i="55"/>
  <c r="AB22" i="55"/>
  <c r="AA22" i="55"/>
  <c r="Z22" i="55"/>
  <c r="Y22" i="55"/>
  <c r="X22" i="55"/>
  <c r="W22" i="55"/>
  <c r="V22" i="55"/>
  <c r="U22" i="55"/>
  <c r="T22" i="55"/>
  <c r="S22" i="55"/>
  <c r="R22" i="55"/>
  <c r="Q22" i="55"/>
  <c r="P22" i="55"/>
  <c r="O22" i="55"/>
  <c r="N22" i="55"/>
  <c r="M22" i="55"/>
  <c r="L22" i="55"/>
  <c r="K22" i="55"/>
  <c r="J22" i="55"/>
  <c r="I22" i="55"/>
  <c r="H22" i="55"/>
  <c r="G22" i="55"/>
  <c r="F22" i="55"/>
  <c r="E22" i="55"/>
  <c r="D22" i="55"/>
  <c r="AB21" i="55"/>
  <c r="AA21" i="55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H21" i="55"/>
  <c r="G21" i="55"/>
  <c r="F21" i="55"/>
  <c r="E21" i="55"/>
  <c r="D21" i="55"/>
  <c r="AB20" i="55"/>
  <c r="AA20" i="55"/>
  <c r="Z20" i="55"/>
  <c r="Y20" i="55"/>
  <c r="X20" i="55"/>
  <c r="W20" i="55"/>
  <c r="V20" i="55"/>
  <c r="U20" i="55"/>
  <c r="T20" i="55"/>
  <c r="S20" i="55"/>
  <c r="R20" i="55"/>
  <c r="Q20" i="55"/>
  <c r="P20" i="55"/>
  <c r="O20" i="55"/>
  <c r="N20" i="55"/>
  <c r="M20" i="55"/>
  <c r="L20" i="55"/>
  <c r="K20" i="55"/>
  <c r="J20" i="55"/>
  <c r="I20" i="55"/>
  <c r="H20" i="55"/>
  <c r="G20" i="55"/>
  <c r="F20" i="55"/>
  <c r="E20" i="55"/>
  <c r="D20" i="55"/>
  <c r="AB19" i="55"/>
  <c r="AA19" i="55"/>
  <c r="Z19" i="55"/>
  <c r="Y19" i="55"/>
  <c r="X19" i="55"/>
  <c r="W19" i="55"/>
  <c r="V19" i="55"/>
  <c r="U19" i="55"/>
  <c r="T19" i="55"/>
  <c r="S19" i="55"/>
  <c r="R19" i="55"/>
  <c r="Q19" i="55"/>
  <c r="P19" i="55"/>
  <c r="O19" i="55"/>
  <c r="N19" i="55"/>
  <c r="M19" i="55"/>
  <c r="L19" i="55"/>
  <c r="K19" i="55"/>
  <c r="J19" i="55"/>
  <c r="I19" i="55"/>
  <c r="H19" i="55"/>
  <c r="G19" i="55"/>
  <c r="F19" i="55"/>
  <c r="E19" i="55"/>
  <c r="D19" i="55"/>
  <c r="AB18" i="55"/>
  <c r="AA18" i="55"/>
  <c r="Z18" i="55"/>
  <c r="Y18" i="55"/>
  <c r="X18" i="55"/>
  <c r="W18" i="55"/>
  <c r="V18" i="55"/>
  <c r="U18" i="55"/>
  <c r="T18" i="55"/>
  <c r="S18" i="55"/>
  <c r="R18" i="55"/>
  <c r="Q18" i="55"/>
  <c r="P18" i="55"/>
  <c r="O18" i="55"/>
  <c r="N18" i="55"/>
  <c r="M18" i="55"/>
  <c r="L18" i="55"/>
  <c r="K18" i="55"/>
  <c r="J18" i="55"/>
  <c r="I18" i="55"/>
  <c r="H18" i="55"/>
  <c r="G18" i="55"/>
  <c r="F18" i="55"/>
  <c r="E18" i="55"/>
  <c r="D18" i="55"/>
  <c r="AB17" i="55"/>
  <c r="AA17" i="55"/>
  <c r="Z17" i="55"/>
  <c r="Y17" i="55"/>
  <c r="X17" i="55"/>
  <c r="W17" i="55"/>
  <c r="V17" i="55"/>
  <c r="U17" i="55"/>
  <c r="T17" i="55"/>
  <c r="S17" i="55"/>
  <c r="R17" i="55"/>
  <c r="Q17" i="55"/>
  <c r="P17" i="55"/>
  <c r="O17" i="55"/>
  <c r="N17" i="55"/>
  <c r="M17" i="55"/>
  <c r="L17" i="55"/>
  <c r="K17" i="55"/>
  <c r="J17" i="55"/>
  <c r="I17" i="55"/>
  <c r="H17" i="55"/>
  <c r="G17" i="55"/>
  <c r="F17" i="55"/>
  <c r="E17" i="55"/>
  <c r="D17" i="55"/>
  <c r="AB16" i="55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AB15" i="55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E15" i="55"/>
  <c r="D15" i="55"/>
  <c r="AB14" i="55"/>
  <c r="AA14" i="55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G14" i="55"/>
  <c r="F14" i="55"/>
  <c r="E14" i="55"/>
  <c r="D14" i="55"/>
  <c r="AB13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AB12" i="55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AB11" i="55"/>
  <c r="AA11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G11" i="55"/>
  <c r="F11" i="55"/>
  <c r="E11" i="55"/>
  <c r="D11" i="55"/>
  <c r="AB58" i="72"/>
  <c r="AA58" i="72"/>
  <c r="Z58" i="72"/>
  <c r="Y58" i="72"/>
  <c r="X58" i="72"/>
  <c r="W58" i="72"/>
  <c r="V58" i="72"/>
  <c r="U58" i="72"/>
  <c r="T58" i="72"/>
  <c r="S58" i="72"/>
  <c r="R58" i="72"/>
  <c r="Q58" i="72"/>
  <c r="P58" i="72"/>
  <c r="O58" i="72"/>
  <c r="N58" i="72"/>
  <c r="M58" i="72"/>
  <c r="L58" i="72"/>
  <c r="K58" i="72"/>
  <c r="J58" i="72"/>
  <c r="I58" i="72"/>
  <c r="H58" i="72"/>
  <c r="G58" i="72"/>
  <c r="F58" i="72"/>
  <c r="E58" i="72"/>
  <c r="D58" i="72"/>
  <c r="AB57" i="72"/>
  <c r="AA57" i="72"/>
  <c r="Z57" i="72"/>
  <c r="Y57" i="72"/>
  <c r="X57" i="72"/>
  <c r="W57" i="72"/>
  <c r="V57" i="72"/>
  <c r="U57" i="72"/>
  <c r="T57" i="72"/>
  <c r="S57" i="72"/>
  <c r="R57" i="72"/>
  <c r="Q57" i="72"/>
  <c r="P57" i="72"/>
  <c r="O57" i="72"/>
  <c r="N57" i="72"/>
  <c r="M57" i="72"/>
  <c r="L57" i="72"/>
  <c r="K57" i="72"/>
  <c r="J57" i="72"/>
  <c r="I57" i="72"/>
  <c r="H57" i="72"/>
  <c r="G57" i="72"/>
  <c r="F57" i="72"/>
  <c r="E57" i="72"/>
  <c r="D57" i="72"/>
  <c r="AB56" i="72"/>
  <c r="AA56" i="72"/>
  <c r="Z56" i="72"/>
  <c r="Y56" i="72"/>
  <c r="X56" i="72"/>
  <c r="W56" i="72"/>
  <c r="V56" i="72"/>
  <c r="U56" i="72"/>
  <c r="T56" i="72"/>
  <c r="S56" i="72"/>
  <c r="R56" i="72"/>
  <c r="Q56" i="72"/>
  <c r="P56" i="72"/>
  <c r="O56" i="72"/>
  <c r="N56" i="72"/>
  <c r="M56" i="72"/>
  <c r="L56" i="72"/>
  <c r="K56" i="72"/>
  <c r="J56" i="72"/>
  <c r="I56" i="72"/>
  <c r="H56" i="72"/>
  <c r="G56" i="72"/>
  <c r="F56" i="72"/>
  <c r="E56" i="72"/>
  <c r="D56" i="72"/>
  <c r="AB55" i="72"/>
  <c r="AA55" i="72"/>
  <c r="Z55" i="72"/>
  <c r="Y55" i="72"/>
  <c r="X55" i="72"/>
  <c r="W55" i="72"/>
  <c r="V55" i="72"/>
  <c r="U55" i="72"/>
  <c r="T55" i="72"/>
  <c r="S55" i="72"/>
  <c r="R55" i="72"/>
  <c r="Q55" i="72"/>
  <c r="P55" i="72"/>
  <c r="O55" i="72"/>
  <c r="N55" i="72"/>
  <c r="M55" i="72"/>
  <c r="L55" i="72"/>
  <c r="K55" i="72"/>
  <c r="J55" i="72"/>
  <c r="I55" i="72"/>
  <c r="H55" i="72"/>
  <c r="G55" i="72"/>
  <c r="F55" i="72"/>
  <c r="E55" i="72"/>
  <c r="D55" i="72"/>
  <c r="AB54" i="72"/>
  <c r="AA54" i="72"/>
  <c r="Z54" i="72"/>
  <c r="Y54" i="72"/>
  <c r="X54" i="72"/>
  <c r="W54" i="72"/>
  <c r="V54" i="72"/>
  <c r="U54" i="72"/>
  <c r="T54" i="72"/>
  <c r="S54" i="72"/>
  <c r="R54" i="72"/>
  <c r="Q54" i="72"/>
  <c r="P54" i="72"/>
  <c r="O54" i="72"/>
  <c r="N54" i="72"/>
  <c r="M54" i="72"/>
  <c r="L54" i="72"/>
  <c r="K54" i="72"/>
  <c r="J54" i="72"/>
  <c r="I54" i="72"/>
  <c r="H54" i="72"/>
  <c r="G54" i="72"/>
  <c r="F54" i="72"/>
  <c r="E54" i="72"/>
  <c r="D54" i="72"/>
  <c r="AB53" i="72"/>
  <c r="AA53" i="72"/>
  <c r="Z53" i="72"/>
  <c r="Y53" i="72"/>
  <c r="X53" i="72"/>
  <c r="W53" i="72"/>
  <c r="V53" i="72"/>
  <c r="U53" i="72"/>
  <c r="T53" i="72"/>
  <c r="S53" i="72"/>
  <c r="R53" i="72"/>
  <c r="Q53" i="72"/>
  <c r="P53" i="72"/>
  <c r="O53" i="72"/>
  <c r="N53" i="72"/>
  <c r="M53" i="72"/>
  <c r="L53" i="72"/>
  <c r="K53" i="72"/>
  <c r="J53" i="72"/>
  <c r="I53" i="72"/>
  <c r="H53" i="72"/>
  <c r="G53" i="72"/>
  <c r="F53" i="72"/>
  <c r="E53" i="72"/>
  <c r="D53" i="72"/>
  <c r="AB52" i="72"/>
  <c r="AA52" i="72"/>
  <c r="Z52" i="72"/>
  <c r="Y52" i="72"/>
  <c r="X52" i="72"/>
  <c r="W52" i="72"/>
  <c r="V52" i="72"/>
  <c r="U52" i="72"/>
  <c r="T52" i="72"/>
  <c r="S52" i="72"/>
  <c r="R52" i="72"/>
  <c r="Q52" i="72"/>
  <c r="P52" i="72"/>
  <c r="O52" i="72"/>
  <c r="N52" i="72"/>
  <c r="M52" i="72"/>
  <c r="L52" i="72"/>
  <c r="K52" i="72"/>
  <c r="J52" i="72"/>
  <c r="I52" i="72"/>
  <c r="H52" i="72"/>
  <c r="G52" i="72"/>
  <c r="F52" i="72"/>
  <c r="E52" i="72"/>
  <c r="D52" i="72"/>
  <c r="AB51" i="72"/>
  <c r="AA51" i="72"/>
  <c r="Z51" i="72"/>
  <c r="Y51" i="72"/>
  <c r="X51" i="72"/>
  <c r="W51" i="72"/>
  <c r="V51" i="72"/>
  <c r="U51" i="72"/>
  <c r="T51" i="72"/>
  <c r="S51" i="72"/>
  <c r="R51" i="72"/>
  <c r="Q51" i="72"/>
  <c r="P51" i="72"/>
  <c r="O51" i="72"/>
  <c r="N51" i="72"/>
  <c r="M51" i="72"/>
  <c r="L51" i="72"/>
  <c r="K51" i="72"/>
  <c r="J51" i="72"/>
  <c r="I51" i="72"/>
  <c r="H51" i="72"/>
  <c r="G51" i="72"/>
  <c r="F51" i="72"/>
  <c r="E51" i="72"/>
  <c r="D51" i="72"/>
  <c r="AB50" i="72"/>
  <c r="AA50" i="72"/>
  <c r="Z50" i="72"/>
  <c r="Y50" i="72"/>
  <c r="X50" i="72"/>
  <c r="W50" i="72"/>
  <c r="V50" i="72"/>
  <c r="U50" i="72"/>
  <c r="T50" i="72"/>
  <c r="S50" i="72"/>
  <c r="R50" i="72"/>
  <c r="Q50" i="72"/>
  <c r="P50" i="72"/>
  <c r="O50" i="72"/>
  <c r="N50" i="72"/>
  <c r="M50" i="72"/>
  <c r="L50" i="72"/>
  <c r="K50" i="72"/>
  <c r="J50" i="72"/>
  <c r="I50" i="72"/>
  <c r="H50" i="72"/>
  <c r="G50" i="72"/>
  <c r="F50" i="72"/>
  <c r="E50" i="72"/>
  <c r="D50" i="72"/>
  <c r="AB49" i="72"/>
  <c r="AA49" i="72"/>
  <c r="Z49" i="72"/>
  <c r="Y49" i="72"/>
  <c r="X49" i="72"/>
  <c r="W49" i="72"/>
  <c r="V49" i="72"/>
  <c r="U49" i="72"/>
  <c r="T49" i="72"/>
  <c r="S49" i="72"/>
  <c r="R49" i="72"/>
  <c r="Q49" i="72"/>
  <c r="P49" i="72"/>
  <c r="O49" i="72"/>
  <c r="N49" i="72"/>
  <c r="M49" i="72"/>
  <c r="L49" i="72"/>
  <c r="K49" i="72"/>
  <c r="J49" i="72"/>
  <c r="I49" i="72"/>
  <c r="H49" i="72"/>
  <c r="G49" i="72"/>
  <c r="F49" i="72"/>
  <c r="E49" i="72"/>
  <c r="D49" i="72"/>
  <c r="AB48" i="72"/>
  <c r="AA48" i="72"/>
  <c r="Z48" i="72"/>
  <c r="Y48" i="72"/>
  <c r="X48" i="72"/>
  <c r="W48" i="72"/>
  <c r="V48" i="72"/>
  <c r="U48" i="72"/>
  <c r="T48" i="72"/>
  <c r="S48" i="72"/>
  <c r="R48" i="72"/>
  <c r="Q48" i="72"/>
  <c r="P48" i="72"/>
  <c r="O48" i="72"/>
  <c r="N48" i="72"/>
  <c r="M48" i="72"/>
  <c r="L48" i="72"/>
  <c r="K48" i="72"/>
  <c r="J48" i="72"/>
  <c r="I48" i="72"/>
  <c r="H48" i="72"/>
  <c r="G48" i="72"/>
  <c r="F48" i="72"/>
  <c r="E48" i="72"/>
  <c r="D48" i="72"/>
  <c r="AB47" i="72"/>
  <c r="AA47" i="72"/>
  <c r="Z47" i="72"/>
  <c r="Y47" i="72"/>
  <c r="X47" i="72"/>
  <c r="W47" i="72"/>
  <c r="V47" i="72"/>
  <c r="U47" i="72"/>
  <c r="T47" i="72"/>
  <c r="S47" i="72"/>
  <c r="R47" i="72"/>
  <c r="Q47" i="72"/>
  <c r="P47" i="72"/>
  <c r="O47" i="72"/>
  <c r="N47" i="72"/>
  <c r="M47" i="72"/>
  <c r="L47" i="72"/>
  <c r="K47" i="72"/>
  <c r="J47" i="72"/>
  <c r="I47" i="72"/>
  <c r="H47" i="72"/>
  <c r="G47" i="72"/>
  <c r="F47" i="72"/>
  <c r="E47" i="72"/>
  <c r="D47" i="72"/>
  <c r="AB46" i="72"/>
  <c r="AA46" i="72"/>
  <c r="Z46" i="72"/>
  <c r="Y46" i="72"/>
  <c r="X46" i="72"/>
  <c r="W46" i="72"/>
  <c r="V46" i="72"/>
  <c r="U46" i="72"/>
  <c r="T46" i="72"/>
  <c r="S46" i="72"/>
  <c r="R46" i="72"/>
  <c r="Q46" i="72"/>
  <c r="P46" i="72"/>
  <c r="O46" i="72"/>
  <c r="N46" i="72"/>
  <c r="M46" i="72"/>
  <c r="L46" i="72"/>
  <c r="K46" i="72"/>
  <c r="J46" i="72"/>
  <c r="I46" i="72"/>
  <c r="H46" i="72"/>
  <c r="G46" i="72"/>
  <c r="F46" i="72"/>
  <c r="E46" i="72"/>
  <c r="D46" i="72"/>
  <c r="AB45" i="72"/>
  <c r="AA45" i="72"/>
  <c r="Z45" i="72"/>
  <c r="Y45" i="72"/>
  <c r="X45" i="72"/>
  <c r="W45" i="72"/>
  <c r="V45" i="72"/>
  <c r="U45" i="72"/>
  <c r="T45" i="72"/>
  <c r="S45" i="72"/>
  <c r="R45" i="72"/>
  <c r="Q45" i="72"/>
  <c r="P45" i="72"/>
  <c r="O45" i="72"/>
  <c r="N45" i="72"/>
  <c r="M45" i="72"/>
  <c r="L45" i="72"/>
  <c r="K45" i="72"/>
  <c r="J45" i="72"/>
  <c r="I45" i="72"/>
  <c r="H45" i="72"/>
  <c r="G45" i="72"/>
  <c r="F45" i="72"/>
  <c r="E45" i="72"/>
  <c r="D45" i="72"/>
  <c r="AB44" i="72"/>
  <c r="AA44" i="72"/>
  <c r="Z44" i="72"/>
  <c r="Y44" i="72"/>
  <c r="X44" i="72"/>
  <c r="W44" i="72"/>
  <c r="V44" i="72"/>
  <c r="U44" i="72"/>
  <c r="T44" i="72"/>
  <c r="S44" i="72"/>
  <c r="R44" i="72"/>
  <c r="Q44" i="72"/>
  <c r="P44" i="72"/>
  <c r="O44" i="72"/>
  <c r="N44" i="72"/>
  <c r="M44" i="72"/>
  <c r="L44" i="72"/>
  <c r="K44" i="72"/>
  <c r="J44" i="72"/>
  <c r="I44" i="72"/>
  <c r="H44" i="72"/>
  <c r="G44" i="72"/>
  <c r="F44" i="72"/>
  <c r="E44" i="72"/>
  <c r="D44" i="72"/>
  <c r="AB43" i="72"/>
  <c r="AA43" i="72"/>
  <c r="Z43" i="72"/>
  <c r="Y43" i="72"/>
  <c r="X43" i="72"/>
  <c r="W43" i="72"/>
  <c r="V43" i="72"/>
  <c r="U43" i="72"/>
  <c r="T43" i="72"/>
  <c r="S43" i="72"/>
  <c r="R43" i="72"/>
  <c r="Q43" i="72"/>
  <c r="P43" i="72"/>
  <c r="O43" i="72"/>
  <c r="N43" i="72"/>
  <c r="M43" i="72"/>
  <c r="L43" i="72"/>
  <c r="K43" i="72"/>
  <c r="J43" i="72"/>
  <c r="I43" i="72"/>
  <c r="H43" i="72"/>
  <c r="G43" i="72"/>
  <c r="F43" i="72"/>
  <c r="E43" i="72"/>
  <c r="D43" i="72"/>
  <c r="AB42" i="72"/>
  <c r="AA42" i="72"/>
  <c r="Z42" i="72"/>
  <c r="Y42" i="72"/>
  <c r="X42" i="72"/>
  <c r="W42" i="72"/>
  <c r="V42" i="72"/>
  <c r="U42" i="72"/>
  <c r="T42" i="72"/>
  <c r="S42" i="72"/>
  <c r="R42" i="72"/>
  <c r="Q42" i="72"/>
  <c r="P42" i="72"/>
  <c r="O42" i="72"/>
  <c r="N42" i="72"/>
  <c r="M42" i="72"/>
  <c r="L42" i="72"/>
  <c r="K42" i="72"/>
  <c r="J42" i="72"/>
  <c r="I42" i="72"/>
  <c r="H42" i="72"/>
  <c r="G42" i="72"/>
  <c r="F42" i="72"/>
  <c r="E42" i="72"/>
  <c r="D42" i="72"/>
  <c r="AB41" i="72"/>
  <c r="AA41" i="72"/>
  <c r="Z41" i="72"/>
  <c r="Y41" i="72"/>
  <c r="X41" i="72"/>
  <c r="W41" i="72"/>
  <c r="V41" i="72"/>
  <c r="U41" i="72"/>
  <c r="T41" i="72"/>
  <c r="S41" i="72"/>
  <c r="R41" i="72"/>
  <c r="Q41" i="72"/>
  <c r="P41" i="72"/>
  <c r="O41" i="72"/>
  <c r="N41" i="72"/>
  <c r="M41" i="72"/>
  <c r="L41" i="72"/>
  <c r="K41" i="72"/>
  <c r="J41" i="72"/>
  <c r="I41" i="72"/>
  <c r="H41" i="72"/>
  <c r="G41" i="72"/>
  <c r="F41" i="72"/>
  <c r="E41" i="72"/>
  <c r="D41" i="72"/>
  <c r="AB40" i="72"/>
  <c r="AA40" i="72"/>
  <c r="Z40" i="72"/>
  <c r="Y40" i="72"/>
  <c r="X40" i="72"/>
  <c r="W40" i="72"/>
  <c r="V40" i="72"/>
  <c r="U40" i="72"/>
  <c r="T40" i="72"/>
  <c r="S40" i="72"/>
  <c r="R40" i="72"/>
  <c r="Q40" i="72"/>
  <c r="P40" i="72"/>
  <c r="O40" i="72"/>
  <c r="N40" i="72"/>
  <c r="M40" i="72"/>
  <c r="L40" i="72"/>
  <c r="K40" i="72"/>
  <c r="J40" i="72"/>
  <c r="I40" i="72"/>
  <c r="H40" i="72"/>
  <c r="G40" i="72"/>
  <c r="F40" i="72"/>
  <c r="E40" i="72"/>
  <c r="D40" i="72"/>
  <c r="AB39" i="72"/>
  <c r="AA39" i="72"/>
  <c r="Z39" i="72"/>
  <c r="Y39" i="72"/>
  <c r="X39" i="72"/>
  <c r="W39" i="72"/>
  <c r="V39" i="72"/>
  <c r="U39" i="72"/>
  <c r="T39" i="72"/>
  <c r="S39" i="72"/>
  <c r="R39" i="72"/>
  <c r="Q39" i="72"/>
  <c r="P39" i="72"/>
  <c r="O39" i="72"/>
  <c r="N39" i="72"/>
  <c r="M39" i="72"/>
  <c r="L39" i="72"/>
  <c r="K39" i="72"/>
  <c r="J39" i="72"/>
  <c r="I39" i="72"/>
  <c r="H39" i="72"/>
  <c r="G39" i="72"/>
  <c r="F39" i="72"/>
  <c r="E39" i="72"/>
  <c r="D39" i="72"/>
  <c r="AB38" i="72"/>
  <c r="AA38" i="72"/>
  <c r="Z38" i="72"/>
  <c r="Y38" i="72"/>
  <c r="X38" i="72"/>
  <c r="W38" i="72"/>
  <c r="V38" i="72"/>
  <c r="U38" i="72"/>
  <c r="T38" i="72"/>
  <c r="S38" i="72"/>
  <c r="R38" i="72"/>
  <c r="Q38" i="72"/>
  <c r="P38" i="72"/>
  <c r="O38" i="72"/>
  <c r="N38" i="72"/>
  <c r="M38" i="72"/>
  <c r="L38" i="72"/>
  <c r="K38" i="72"/>
  <c r="J38" i="72"/>
  <c r="I38" i="72"/>
  <c r="H38" i="72"/>
  <c r="G38" i="72"/>
  <c r="F38" i="72"/>
  <c r="E38" i="72"/>
  <c r="D38" i="72"/>
  <c r="AB37" i="72"/>
  <c r="AA37" i="72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G37" i="72"/>
  <c r="F37" i="72"/>
  <c r="E37" i="72"/>
  <c r="D37" i="72"/>
  <c r="AB36" i="72"/>
  <c r="AA36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G36" i="72"/>
  <c r="F36" i="72"/>
  <c r="E36" i="72"/>
  <c r="D36" i="72"/>
  <c r="AB35" i="72"/>
  <c r="AA35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G35" i="72"/>
  <c r="F35" i="72"/>
  <c r="E35" i="72"/>
  <c r="D35" i="72"/>
  <c r="AB34" i="72"/>
  <c r="AA34" i="72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G34" i="72"/>
  <c r="F34" i="72"/>
  <c r="E34" i="72"/>
  <c r="D34" i="72"/>
  <c r="AB33" i="72"/>
  <c r="AA33" i="72"/>
  <c r="Z33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H33" i="72"/>
  <c r="G33" i="72"/>
  <c r="F33" i="72"/>
  <c r="E33" i="72"/>
  <c r="D33" i="72"/>
  <c r="AB32" i="72"/>
  <c r="AA32" i="72"/>
  <c r="Z32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H32" i="72"/>
  <c r="G32" i="72"/>
  <c r="F32" i="72"/>
  <c r="E32" i="72"/>
  <c r="D32" i="72"/>
  <c r="AB31" i="72"/>
  <c r="AA31" i="72"/>
  <c r="Z31" i="72"/>
  <c r="Y31" i="72"/>
  <c r="X31" i="72"/>
  <c r="W31" i="72"/>
  <c r="V31" i="72"/>
  <c r="U31" i="72"/>
  <c r="T31" i="72"/>
  <c r="S31" i="72"/>
  <c r="R31" i="72"/>
  <c r="Q31" i="72"/>
  <c r="P31" i="72"/>
  <c r="O31" i="72"/>
  <c r="N31" i="72"/>
  <c r="M31" i="72"/>
  <c r="L31" i="72"/>
  <c r="K31" i="72"/>
  <c r="J31" i="72"/>
  <c r="I31" i="72"/>
  <c r="H31" i="72"/>
  <c r="G31" i="72"/>
  <c r="F31" i="72"/>
  <c r="E31" i="72"/>
  <c r="D31" i="72"/>
  <c r="AB30" i="72"/>
  <c r="AA30" i="72"/>
  <c r="Z30" i="72"/>
  <c r="Y30" i="72"/>
  <c r="X30" i="72"/>
  <c r="W30" i="72"/>
  <c r="V30" i="72"/>
  <c r="U30" i="72"/>
  <c r="T30" i="72"/>
  <c r="S30" i="72"/>
  <c r="R30" i="72"/>
  <c r="Q30" i="72"/>
  <c r="P30" i="72"/>
  <c r="O30" i="72"/>
  <c r="N30" i="72"/>
  <c r="M30" i="72"/>
  <c r="L30" i="72"/>
  <c r="K30" i="72"/>
  <c r="J30" i="72"/>
  <c r="I30" i="72"/>
  <c r="H30" i="72"/>
  <c r="G30" i="72"/>
  <c r="F30" i="72"/>
  <c r="E30" i="72"/>
  <c r="D30" i="72"/>
  <c r="AB29" i="72"/>
  <c r="AA29" i="72"/>
  <c r="Z29" i="72"/>
  <c r="Y29" i="72"/>
  <c r="X29" i="72"/>
  <c r="W29" i="72"/>
  <c r="V29" i="72"/>
  <c r="U29" i="72"/>
  <c r="T29" i="72"/>
  <c r="S29" i="72"/>
  <c r="R29" i="72"/>
  <c r="Q29" i="72"/>
  <c r="P29" i="72"/>
  <c r="O29" i="72"/>
  <c r="N29" i="72"/>
  <c r="M29" i="72"/>
  <c r="L29" i="72"/>
  <c r="K29" i="72"/>
  <c r="J29" i="72"/>
  <c r="I29" i="72"/>
  <c r="H29" i="72"/>
  <c r="G29" i="72"/>
  <c r="F29" i="72"/>
  <c r="E29" i="72"/>
  <c r="D29" i="72"/>
  <c r="AB28" i="72"/>
  <c r="AA28" i="72"/>
  <c r="Z28" i="72"/>
  <c r="Y28" i="72"/>
  <c r="X28" i="72"/>
  <c r="W28" i="72"/>
  <c r="V28" i="72"/>
  <c r="U28" i="72"/>
  <c r="T28" i="72"/>
  <c r="S28" i="72"/>
  <c r="R28" i="72"/>
  <c r="Q28" i="72"/>
  <c r="P28" i="72"/>
  <c r="O28" i="72"/>
  <c r="N28" i="72"/>
  <c r="M28" i="72"/>
  <c r="L28" i="72"/>
  <c r="K28" i="72"/>
  <c r="J28" i="72"/>
  <c r="I28" i="72"/>
  <c r="H28" i="72"/>
  <c r="G28" i="72"/>
  <c r="F28" i="72"/>
  <c r="E28" i="72"/>
  <c r="D28" i="72"/>
  <c r="AB27" i="72"/>
  <c r="AA27" i="72"/>
  <c r="Z27" i="72"/>
  <c r="Y27" i="72"/>
  <c r="X27" i="72"/>
  <c r="W27" i="72"/>
  <c r="V27" i="72"/>
  <c r="U27" i="72"/>
  <c r="T27" i="72"/>
  <c r="S27" i="72"/>
  <c r="R27" i="72"/>
  <c r="Q27" i="72"/>
  <c r="P27" i="72"/>
  <c r="O27" i="72"/>
  <c r="N27" i="72"/>
  <c r="M27" i="72"/>
  <c r="L27" i="72"/>
  <c r="K27" i="72"/>
  <c r="J27" i="72"/>
  <c r="I27" i="72"/>
  <c r="H27" i="72"/>
  <c r="G27" i="72"/>
  <c r="F27" i="72"/>
  <c r="E27" i="72"/>
  <c r="D27" i="72"/>
  <c r="AB26" i="72"/>
  <c r="AA26" i="72"/>
  <c r="Z26" i="72"/>
  <c r="Y26" i="72"/>
  <c r="X26" i="72"/>
  <c r="W26" i="72"/>
  <c r="V26" i="72"/>
  <c r="U26" i="72"/>
  <c r="T26" i="72"/>
  <c r="S26" i="72"/>
  <c r="R26" i="72"/>
  <c r="Q26" i="72"/>
  <c r="P26" i="72"/>
  <c r="O26" i="72"/>
  <c r="N26" i="72"/>
  <c r="M26" i="72"/>
  <c r="L26" i="72"/>
  <c r="K26" i="72"/>
  <c r="J26" i="72"/>
  <c r="I26" i="72"/>
  <c r="H26" i="72"/>
  <c r="G26" i="72"/>
  <c r="F26" i="72"/>
  <c r="E26" i="72"/>
  <c r="D26" i="72"/>
  <c r="AB25" i="72"/>
  <c r="AA25" i="72"/>
  <c r="Z25" i="72"/>
  <c r="Y25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K25" i="72"/>
  <c r="J25" i="72"/>
  <c r="I25" i="72"/>
  <c r="H25" i="72"/>
  <c r="G25" i="72"/>
  <c r="F25" i="72"/>
  <c r="E25" i="72"/>
  <c r="D25" i="72"/>
  <c r="AB24" i="72"/>
  <c r="AA24" i="72"/>
  <c r="Z24" i="72"/>
  <c r="Y24" i="72"/>
  <c r="X24" i="72"/>
  <c r="W24" i="72"/>
  <c r="V24" i="72"/>
  <c r="U24" i="72"/>
  <c r="T24" i="72"/>
  <c r="S24" i="72"/>
  <c r="R24" i="72"/>
  <c r="Q24" i="72"/>
  <c r="P24" i="72"/>
  <c r="O24" i="72"/>
  <c r="N24" i="72"/>
  <c r="M24" i="72"/>
  <c r="L24" i="72"/>
  <c r="K24" i="72"/>
  <c r="J24" i="72"/>
  <c r="I24" i="72"/>
  <c r="H24" i="72"/>
  <c r="G24" i="72"/>
  <c r="F24" i="72"/>
  <c r="E24" i="72"/>
  <c r="D24" i="72"/>
  <c r="AB23" i="72"/>
  <c r="AA23" i="72"/>
  <c r="Z23" i="72"/>
  <c r="Y23" i="72"/>
  <c r="X23" i="72"/>
  <c r="W23" i="72"/>
  <c r="V23" i="72"/>
  <c r="U23" i="72"/>
  <c r="T23" i="72"/>
  <c r="S23" i="72"/>
  <c r="R23" i="72"/>
  <c r="Q23" i="72"/>
  <c r="P23" i="72"/>
  <c r="O23" i="72"/>
  <c r="N23" i="72"/>
  <c r="M23" i="72"/>
  <c r="L23" i="72"/>
  <c r="K23" i="72"/>
  <c r="J23" i="72"/>
  <c r="I23" i="72"/>
  <c r="H23" i="72"/>
  <c r="G23" i="72"/>
  <c r="F23" i="72"/>
  <c r="E23" i="72"/>
  <c r="D23" i="72"/>
  <c r="AB22" i="72"/>
  <c r="AA22" i="72"/>
  <c r="Z22" i="72"/>
  <c r="Y22" i="72"/>
  <c r="X22" i="72"/>
  <c r="W22" i="72"/>
  <c r="V22" i="72"/>
  <c r="U22" i="72"/>
  <c r="T22" i="72"/>
  <c r="S22" i="72"/>
  <c r="R22" i="72"/>
  <c r="Q22" i="72"/>
  <c r="P22" i="72"/>
  <c r="O22" i="72"/>
  <c r="N22" i="72"/>
  <c r="M22" i="72"/>
  <c r="L22" i="72"/>
  <c r="K22" i="72"/>
  <c r="J22" i="72"/>
  <c r="I22" i="72"/>
  <c r="H22" i="72"/>
  <c r="G22" i="72"/>
  <c r="F22" i="72"/>
  <c r="E22" i="72"/>
  <c r="D22" i="72"/>
  <c r="AB21" i="72"/>
  <c r="AA21" i="72"/>
  <c r="Z21" i="72"/>
  <c r="Y21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H21" i="72"/>
  <c r="G21" i="72"/>
  <c r="F21" i="72"/>
  <c r="E21" i="72"/>
  <c r="D21" i="72"/>
  <c r="AB20" i="72"/>
  <c r="AA20" i="72"/>
  <c r="Z20" i="72"/>
  <c r="Y20" i="72"/>
  <c r="X20" i="72"/>
  <c r="W20" i="72"/>
  <c r="V20" i="72"/>
  <c r="U20" i="72"/>
  <c r="T20" i="72"/>
  <c r="S20" i="72"/>
  <c r="R20" i="72"/>
  <c r="Q20" i="72"/>
  <c r="P20" i="72"/>
  <c r="O20" i="72"/>
  <c r="N20" i="72"/>
  <c r="M20" i="72"/>
  <c r="L20" i="72"/>
  <c r="K20" i="72"/>
  <c r="J20" i="72"/>
  <c r="I20" i="72"/>
  <c r="H20" i="72"/>
  <c r="G20" i="72"/>
  <c r="F20" i="72"/>
  <c r="E20" i="72"/>
  <c r="D20" i="72"/>
  <c r="AB19" i="72"/>
  <c r="AA19" i="72"/>
  <c r="Z19" i="72"/>
  <c r="Y19" i="72"/>
  <c r="X19" i="72"/>
  <c r="W19" i="72"/>
  <c r="V19" i="72"/>
  <c r="U19" i="72"/>
  <c r="T19" i="72"/>
  <c r="S19" i="72"/>
  <c r="R19" i="72"/>
  <c r="Q19" i="72"/>
  <c r="P19" i="72"/>
  <c r="O19" i="72"/>
  <c r="N19" i="72"/>
  <c r="M19" i="72"/>
  <c r="L19" i="72"/>
  <c r="K19" i="72"/>
  <c r="J19" i="72"/>
  <c r="I19" i="72"/>
  <c r="H19" i="72"/>
  <c r="G19" i="72"/>
  <c r="F19" i="72"/>
  <c r="E19" i="72"/>
  <c r="D19" i="72"/>
  <c r="AB18" i="72"/>
  <c r="AA18" i="72"/>
  <c r="Z18" i="72"/>
  <c r="Y18" i="72"/>
  <c r="X18" i="72"/>
  <c r="W18" i="72"/>
  <c r="V18" i="72"/>
  <c r="U18" i="72"/>
  <c r="T18" i="72"/>
  <c r="S18" i="72"/>
  <c r="R18" i="72"/>
  <c r="Q18" i="72"/>
  <c r="P18" i="72"/>
  <c r="O18" i="72"/>
  <c r="N18" i="72"/>
  <c r="M18" i="72"/>
  <c r="L18" i="72"/>
  <c r="K18" i="72"/>
  <c r="J18" i="72"/>
  <c r="I18" i="72"/>
  <c r="H18" i="72"/>
  <c r="G18" i="72"/>
  <c r="F18" i="72"/>
  <c r="E18" i="72"/>
  <c r="D18" i="72"/>
  <c r="AB17" i="72"/>
  <c r="AA17" i="72"/>
  <c r="Z17" i="72"/>
  <c r="Y17" i="72"/>
  <c r="X17" i="72"/>
  <c r="W17" i="72"/>
  <c r="V17" i="72"/>
  <c r="U17" i="72"/>
  <c r="T17" i="72"/>
  <c r="S17" i="72"/>
  <c r="R17" i="72"/>
  <c r="Q17" i="72"/>
  <c r="P17" i="72"/>
  <c r="O17" i="72"/>
  <c r="N17" i="72"/>
  <c r="M17" i="72"/>
  <c r="L17" i="72"/>
  <c r="K17" i="72"/>
  <c r="J17" i="72"/>
  <c r="I17" i="72"/>
  <c r="H17" i="72"/>
  <c r="G17" i="72"/>
  <c r="F17" i="72"/>
  <c r="E17" i="72"/>
  <c r="D17" i="72"/>
  <c r="AB16" i="72"/>
  <c r="AA16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AB15" i="72"/>
  <c r="AA15" i="72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G15" i="72"/>
  <c r="F15" i="72"/>
  <c r="E15" i="72"/>
  <c r="D15" i="72"/>
  <c r="AB14" i="72"/>
  <c r="AA14" i="72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G14" i="72"/>
  <c r="F14" i="72"/>
  <c r="E14" i="72"/>
  <c r="D14" i="72"/>
  <c r="AB13" i="72"/>
  <c r="AA13" i="72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AB12" i="72"/>
  <c r="AA12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AB11" i="72"/>
  <c r="AA11" i="72"/>
  <c r="Z11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H11" i="72"/>
  <c r="G11" i="72"/>
  <c r="F11" i="72"/>
  <c r="E11" i="72"/>
  <c r="D11" i="72"/>
  <c r="AB58" i="70"/>
  <c r="AA58" i="70"/>
  <c r="Z58" i="70"/>
  <c r="Y58" i="70"/>
  <c r="X58" i="70"/>
  <c r="W58" i="70"/>
  <c r="V58" i="70"/>
  <c r="U58" i="70"/>
  <c r="T58" i="70"/>
  <c r="S58" i="70"/>
  <c r="R58" i="70"/>
  <c r="Q58" i="70"/>
  <c r="P58" i="70"/>
  <c r="O58" i="70"/>
  <c r="N58" i="70"/>
  <c r="M58" i="70"/>
  <c r="L58" i="70"/>
  <c r="K58" i="70"/>
  <c r="J58" i="70"/>
  <c r="I58" i="70"/>
  <c r="H58" i="70"/>
  <c r="G58" i="70"/>
  <c r="F58" i="70"/>
  <c r="E58" i="70"/>
  <c r="D58" i="70"/>
  <c r="AB57" i="70"/>
  <c r="AA57" i="70"/>
  <c r="Z57" i="70"/>
  <c r="Y57" i="70"/>
  <c r="X57" i="70"/>
  <c r="W57" i="70"/>
  <c r="V57" i="70"/>
  <c r="U57" i="70"/>
  <c r="T57" i="70"/>
  <c r="S57" i="70"/>
  <c r="R57" i="70"/>
  <c r="Q57" i="70"/>
  <c r="P57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AB56" i="70"/>
  <c r="AA56" i="70"/>
  <c r="Z56" i="70"/>
  <c r="Y56" i="70"/>
  <c r="X56" i="70"/>
  <c r="W56" i="70"/>
  <c r="V56" i="70"/>
  <c r="U56" i="70"/>
  <c r="T56" i="70"/>
  <c r="S56" i="70"/>
  <c r="R56" i="70"/>
  <c r="Q56" i="70"/>
  <c r="P56" i="70"/>
  <c r="O56" i="70"/>
  <c r="N56" i="70"/>
  <c r="M56" i="70"/>
  <c r="L56" i="70"/>
  <c r="K56" i="70"/>
  <c r="J56" i="70"/>
  <c r="I56" i="70"/>
  <c r="H56" i="70"/>
  <c r="G56" i="70"/>
  <c r="F56" i="70"/>
  <c r="E56" i="70"/>
  <c r="D56" i="70"/>
  <c r="AB55" i="70"/>
  <c r="AA55" i="70"/>
  <c r="Z55" i="70"/>
  <c r="Y55" i="70"/>
  <c r="X55" i="70"/>
  <c r="W55" i="70"/>
  <c r="V55" i="70"/>
  <c r="U55" i="70"/>
  <c r="T55" i="70"/>
  <c r="S55" i="70"/>
  <c r="R55" i="70"/>
  <c r="Q55" i="70"/>
  <c r="P55" i="70"/>
  <c r="O55" i="70"/>
  <c r="N55" i="70"/>
  <c r="M55" i="70"/>
  <c r="L55" i="70"/>
  <c r="K55" i="70"/>
  <c r="J55" i="70"/>
  <c r="I55" i="70"/>
  <c r="H55" i="70"/>
  <c r="G55" i="70"/>
  <c r="F55" i="70"/>
  <c r="E55" i="70"/>
  <c r="D55" i="70"/>
  <c r="AB54" i="70"/>
  <c r="AA54" i="70"/>
  <c r="Z54" i="70"/>
  <c r="Y54" i="70"/>
  <c r="X54" i="70"/>
  <c r="W54" i="70"/>
  <c r="V54" i="70"/>
  <c r="U54" i="70"/>
  <c r="T54" i="70"/>
  <c r="S54" i="70"/>
  <c r="R54" i="70"/>
  <c r="Q54" i="70"/>
  <c r="P54" i="70"/>
  <c r="O54" i="70"/>
  <c r="N54" i="70"/>
  <c r="M54" i="70"/>
  <c r="L54" i="70"/>
  <c r="K54" i="70"/>
  <c r="J54" i="70"/>
  <c r="I54" i="70"/>
  <c r="H54" i="70"/>
  <c r="G54" i="70"/>
  <c r="F54" i="70"/>
  <c r="E54" i="70"/>
  <c r="D54" i="70"/>
  <c r="AB53" i="70"/>
  <c r="AA53" i="70"/>
  <c r="Z53" i="70"/>
  <c r="Y53" i="70"/>
  <c r="X53" i="70"/>
  <c r="W53" i="70"/>
  <c r="V53" i="70"/>
  <c r="U53" i="70"/>
  <c r="T53" i="70"/>
  <c r="S53" i="70"/>
  <c r="R53" i="70"/>
  <c r="Q53" i="70"/>
  <c r="P53" i="70"/>
  <c r="O53" i="70"/>
  <c r="N53" i="70"/>
  <c r="M53" i="70"/>
  <c r="L53" i="70"/>
  <c r="K53" i="70"/>
  <c r="J53" i="70"/>
  <c r="I53" i="70"/>
  <c r="H53" i="70"/>
  <c r="G53" i="70"/>
  <c r="F53" i="70"/>
  <c r="E53" i="70"/>
  <c r="D53" i="70"/>
  <c r="AB52" i="70"/>
  <c r="AA52" i="70"/>
  <c r="Z52" i="70"/>
  <c r="Y52" i="70"/>
  <c r="X52" i="70"/>
  <c r="W52" i="70"/>
  <c r="V52" i="70"/>
  <c r="U52" i="70"/>
  <c r="T52" i="70"/>
  <c r="S52" i="70"/>
  <c r="R52" i="70"/>
  <c r="Q52" i="70"/>
  <c r="P52" i="70"/>
  <c r="O52" i="70"/>
  <c r="N52" i="70"/>
  <c r="M52" i="70"/>
  <c r="L52" i="70"/>
  <c r="K52" i="70"/>
  <c r="J52" i="70"/>
  <c r="I52" i="70"/>
  <c r="H52" i="70"/>
  <c r="G52" i="70"/>
  <c r="F52" i="70"/>
  <c r="E52" i="70"/>
  <c r="D52" i="70"/>
  <c r="AB51" i="70"/>
  <c r="AA51" i="70"/>
  <c r="Z51" i="70"/>
  <c r="Y51" i="70"/>
  <c r="X51" i="70"/>
  <c r="W51" i="70"/>
  <c r="V51" i="70"/>
  <c r="U51" i="70"/>
  <c r="T51" i="70"/>
  <c r="S51" i="70"/>
  <c r="R51" i="70"/>
  <c r="Q51" i="70"/>
  <c r="P51" i="70"/>
  <c r="O51" i="70"/>
  <c r="N51" i="70"/>
  <c r="M51" i="70"/>
  <c r="L51" i="70"/>
  <c r="K51" i="70"/>
  <c r="J51" i="70"/>
  <c r="I51" i="70"/>
  <c r="H51" i="70"/>
  <c r="G51" i="70"/>
  <c r="F51" i="70"/>
  <c r="E51" i="70"/>
  <c r="D51" i="70"/>
  <c r="AB50" i="70"/>
  <c r="AA50" i="70"/>
  <c r="Z50" i="70"/>
  <c r="Y50" i="70"/>
  <c r="X50" i="70"/>
  <c r="W50" i="70"/>
  <c r="V50" i="70"/>
  <c r="U50" i="70"/>
  <c r="T50" i="70"/>
  <c r="S50" i="70"/>
  <c r="R50" i="70"/>
  <c r="Q50" i="70"/>
  <c r="P50" i="70"/>
  <c r="O50" i="70"/>
  <c r="N50" i="70"/>
  <c r="M50" i="70"/>
  <c r="L50" i="70"/>
  <c r="K50" i="70"/>
  <c r="J50" i="70"/>
  <c r="I50" i="70"/>
  <c r="H50" i="70"/>
  <c r="G50" i="70"/>
  <c r="F50" i="70"/>
  <c r="E50" i="70"/>
  <c r="D50" i="70"/>
  <c r="AB49" i="70"/>
  <c r="AA49" i="70"/>
  <c r="Z49" i="70"/>
  <c r="Y49" i="70"/>
  <c r="X49" i="70"/>
  <c r="W49" i="70"/>
  <c r="V49" i="70"/>
  <c r="U49" i="70"/>
  <c r="T49" i="70"/>
  <c r="S49" i="70"/>
  <c r="R49" i="70"/>
  <c r="Q49" i="70"/>
  <c r="P49" i="70"/>
  <c r="O49" i="70"/>
  <c r="N49" i="70"/>
  <c r="M49" i="70"/>
  <c r="L49" i="70"/>
  <c r="K49" i="70"/>
  <c r="J49" i="70"/>
  <c r="I49" i="70"/>
  <c r="H49" i="70"/>
  <c r="G49" i="70"/>
  <c r="F49" i="70"/>
  <c r="E49" i="70"/>
  <c r="D49" i="70"/>
  <c r="AB48" i="70"/>
  <c r="AA48" i="70"/>
  <c r="Z48" i="70"/>
  <c r="Y48" i="70"/>
  <c r="X48" i="70"/>
  <c r="W48" i="70"/>
  <c r="V48" i="70"/>
  <c r="U48" i="70"/>
  <c r="T48" i="70"/>
  <c r="S48" i="70"/>
  <c r="R48" i="70"/>
  <c r="Q48" i="70"/>
  <c r="P48" i="70"/>
  <c r="O48" i="70"/>
  <c r="N48" i="70"/>
  <c r="M48" i="70"/>
  <c r="L48" i="70"/>
  <c r="K48" i="70"/>
  <c r="J48" i="70"/>
  <c r="I48" i="70"/>
  <c r="H48" i="70"/>
  <c r="G48" i="70"/>
  <c r="F48" i="70"/>
  <c r="E48" i="70"/>
  <c r="D48" i="70"/>
  <c r="AB47" i="70"/>
  <c r="AA47" i="70"/>
  <c r="Z47" i="70"/>
  <c r="Y47" i="70"/>
  <c r="X47" i="70"/>
  <c r="W47" i="70"/>
  <c r="V47" i="70"/>
  <c r="U47" i="70"/>
  <c r="T47" i="70"/>
  <c r="S47" i="70"/>
  <c r="R47" i="70"/>
  <c r="Q47" i="70"/>
  <c r="P47" i="70"/>
  <c r="O47" i="70"/>
  <c r="N47" i="70"/>
  <c r="M47" i="70"/>
  <c r="L47" i="70"/>
  <c r="K47" i="70"/>
  <c r="J47" i="70"/>
  <c r="I47" i="70"/>
  <c r="H47" i="70"/>
  <c r="G47" i="70"/>
  <c r="F47" i="70"/>
  <c r="E47" i="70"/>
  <c r="D47" i="70"/>
  <c r="AB46" i="70"/>
  <c r="AA46" i="70"/>
  <c r="Z46" i="70"/>
  <c r="Y46" i="70"/>
  <c r="X46" i="70"/>
  <c r="W46" i="70"/>
  <c r="V46" i="70"/>
  <c r="U46" i="70"/>
  <c r="T46" i="70"/>
  <c r="S46" i="70"/>
  <c r="R46" i="70"/>
  <c r="Q46" i="70"/>
  <c r="P46" i="70"/>
  <c r="O46" i="70"/>
  <c r="N46" i="70"/>
  <c r="M46" i="70"/>
  <c r="L46" i="70"/>
  <c r="K46" i="70"/>
  <c r="J46" i="70"/>
  <c r="I46" i="70"/>
  <c r="H46" i="70"/>
  <c r="G46" i="70"/>
  <c r="F46" i="70"/>
  <c r="E46" i="70"/>
  <c r="D46" i="70"/>
  <c r="AB45" i="70"/>
  <c r="AA45" i="70"/>
  <c r="Z45" i="70"/>
  <c r="Y45" i="70"/>
  <c r="X45" i="70"/>
  <c r="W45" i="70"/>
  <c r="V45" i="70"/>
  <c r="U45" i="70"/>
  <c r="T45" i="70"/>
  <c r="S45" i="70"/>
  <c r="R45" i="70"/>
  <c r="Q45" i="70"/>
  <c r="P45" i="70"/>
  <c r="O45" i="70"/>
  <c r="N45" i="70"/>
  <c r="M45" i="70"/>
  <c r="L45" i="70"/>
  <c r="K45" i="70"/>
  <c r="J45" i="70"/>
  <c r="I45" i="70"/>
  <c r="H45" i="70"/>
  <c r="G45" i="70"/>
  <c r="F45" i="70"/>
  <c r="E45" i="70"/>
  <c r="D45" i="70"/>
  <c r="AB44" i="70"/>
  <c r="AA44" i="70"/>
  <c r="Z44" i="70"/>
  <c r="Y44" i="70"/>
  <c r="X44" i="70"/>
  <c r="W44" i="70"/>
  <c r="V44" i="70"/>
  <c r="U44" i="70"/>
  <c r="T44" i="70"/>
  <c r="S44" i="70"/>
  <c r="R44" i="70"/>
  <c r="Q44" i="70"/>
  <c r="P44" i="70"/>
  <c r="O44" i="70"/>
  <c r="N44" i="70"/>
  <c r="M44" i="70"/>
  <c r="L44" i="70"/>
  <c r="K44" i="70"/>
  <c r="J44" i="70"/>
  <c r="I44" i="70"/>
  <c r="H44" i="70"/>
  <c r="G44" i="70"/>
  <c r="F44" i="70"/>
  <c r="E44" i="70"/>
  <c r="D44" i="70"/>
  <c r="AB43" i="70"/>
  <c r="AA43" i="70"/>
  <c r="Z43" i="70"/>
  <c r="Y43" i="70"/>
  <c r="X43" i="70"/>
  <c r="W43" i="70"/>
  <c r="V43" i="70"/>
  <c r="U43" i="70"/>
  <c r="T43" i="70"/>
  <c r="S43" i="70"/>
  <c r="R43" i="70"/>
  <c r="Q43" i="70"/>
  <c r="P43" i="70"/>
  <c r="O43" i="70"/>
  <c r="N43" i="70"/>
  <c r="M43" i="70"/>
  <c r="L43" i="70"/>
  <c r="K43" i="70"/>
  <c r="J43" i="70"/>
  <c r="I43" i="70"/>
  <c r="H43" i="70"/>
  <c r="G43" i="70"/>
  <c r="F43" i="70"/>
  <c r="E43" i="70"/>
  <c r="D43" i="70"/>
  <c r="AB42" i="70"/>
  <c r="AA42" i="70"/>
  <c r="Z42" i="70"/>
  <c r="Y42" i="70"/>
  <c r="X42" i="70"/>
  <c r="W42" i="70"/>
  <c r="V42" i="70"/>
  <c r="U42" i="70"/>
  <c r="T42" i="70"/>
  <c r="S42" i="70"/>
  <c r="R42" i="70"/>
  <c r="Q42" i="70"/>
  <c r="P42" i="70"/>
  <c r="O42" i="70"/>
  <c r="N42" i="70"/>
  <c r="M42" i="70"/>
  <c r="L42" i="70"/>
  <c r="K42" i="70"/>
  <c r="J42" i="70"/>
  <c r="I42" i="70"/>
  <c r="H42" i="70"/>
  <c r="G42" i="70"/>
  <c r="F42" i="70"/>
  <c r="E42" i="70"/>
  <c r="D42" i="70"/>
  <c r="AB41" i="70"/>
  <c r="AA41" i="70"/>
  <c r="Z41" i="70"/>
  <c r="Y41" i="70"/>
  <c r="X41" i="70"/>
  <c r="W41" i="70"/>
  <c r="V41" i="70"/>
  <c r="U41" i="70"/>
  <c r="T41" i="70"/>
  <c r="S41" i="70"/>
  <c r="R41" i="70"/>
  <c r="Q41" i="70"/>
  <c r="P41" i="70"/>
  <c r="O41" i="70"/>
  <c r="N41" i="70"/>
  <c r="M41" i="70"/>
  <c r="L41" i="70"/>
  <c r="K41" i="70"/>
  <c r="J41" i="70"/>
  <c r="I41" i="70"/>
  <c r="H41" i="70"/>
  <c r="G41" i="70"/>
  <c r="F41" i="70"/>
  <c r="E41" i="70"/>
  <c r="D41" i="70"/>
  <c r="AB40" i="70"/>
  <c r="AA40" i="70"/>
  <c r="Z40" i="70"/>
  <c r="Y40" i="70"/>
  <c r="X40" i="70"/>
  <c r="W40" i="70"/>
  <c r="V40" i="70"/>
  <c r="U40" i="70"/>
  <c r="T40" i="70"/>
  <c r="S40" i="70"/>
  <c r="R40" i="70"/>
  <c r="Q40" i="70"/>
  <c r="P40" i="70"/>
  <c r="O40" i="70"/>
  <c r="N40" i="70"/>
  <c r="M40" i="70"/>
  <c r="L40" i="70"/>
  <c r="K40" i="70"/>
  <c r="J40" i="70"/>
  <c r="I40" i="70"/>
  <c r="H40" i="70"/>
  <c r="G40" i="70"/>
  <c r="F40" i="70"/>
  <c r="E40" i="70"/>
  <c r="D40" i="70"/>
  <c r="AB39" i="70"/>
  <c r="AA39" i="70"/>
  <c r="Z39" i="70"/>
  <c r="Y39" i="70"/>
  <c r="X39" i="70"/>
  <c r="W39" i="70"/>
  <c r="V39" i="70"/>
  <c r="U39" i="70"/>
  <c r="T39" i="70"/>
  <c r="S39" i="70"/>
  <c r="R39" i="70"/>
  <c r="Q39" i="70"/>
  <c r="P39" i="70"/>
  <c r="O39" i="70"/>
  <c r="N39" i="70"/>
  <c r="M39" i="70"/>
  <c r="L39" i="70"/>
  <c r="K39" i="70"/>
  <c r="J39" i="70"/>
  <c r="I39" i="70"/>
  <c r="H39" i="70"/>
  <c r="G39" i="70"/>
  <c r="F39" i="70"/>
  <c r="E39" i="70"/>
  <c r="D39" i="70"/>
  <c r="AB38" i="70"/>
  <c r="AA38" i="70"/>
  <c r="Z38" i="70"/>
  <c r="Y38" i="70"/>
  <c r="X38" i="70"/>
  <c r="W38" i="70"/>
  <c r="V38" i="70"/>
  <c r="U38" i="70"/>
  <c r="T38" i="70"/>
  <c r="S38" i="70"/>
  <c r="R38" i="70"/>
  <c r="Q38" i="70"/>
  <c r="P38" i="70"/>
  <c r="O38" i="70"/>
  <c r="N38" i="70"/>
  <c r="M38" i="70"/>
  <c r="L38" i="70"/>
  <c r="K38" i="70"/>
  <c r="J38" i="70"/>
  <c r="I38" i="70"/>
  <c r="H38" i="70"/>
  <c r="G38" i="70"/>
  <c r="F38" i="70"/>
  <c r="E38" i="70"/>
  <c r="D38" i="70"/>
  <c r="AB37" i="70"/>
  <c r="AA37" i="70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G37" i="70"/>
  <c r="F37" i="70"/>
  <c r="E37" i="70"/>
  <c r="D37" i="70"/>
  <c r="AB36" i="70"/>
  <c r="AA36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G36" i="70"/>
  <c r="F36" i="70"/>
  <c r="E36" i="70"/>
  <c r="D36" i="70"/>
  <c r="AB35" i="70"/>
  <c r="AA35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H35" i="70"/>
  <c r="G35" i="70"/>
  <c r="F35" i="70"/>
  <c r="E35" i="70"/>
  <c r="D35" i="70"/>
  <c r="AB34" i="70"/>
  <c r="AA34" i="70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H34" i="70"/>
  <c r="G34" i="70"/>
  <c r="F34" i="70"/>
  <c r="E34" i="70"/>
  <c r="D34" i="70"/>
  <c r="AB33" i="70"/>
  <c r="AA33" i="70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H33" i="70"/>
  <c r="G33" i="70"/>
  <c r="F33" i="70"/>
  <c r="E33" i="70"/>
  <c r="D33" i="70"/>
  <c r="AB32" i="70"/>
  <c r="AA32" i="70"/>
  <c r="Z32" i="70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H32" i="70"/>
  <c r="G32" i="70"/>
  <c r="F32" i="70"/>
  <c r="E32" i="70"/>
  <c r="D32" i="70"/>
  <c r="AB31" i="70"/>
  <c r="AA31" i="70"/>
  <c r="Z31" i="70"/>
  <c r="Y31" i="70"/>
  <c r="X31" i="70"/>
  <c r="W31" i="70"/>
  <c r="V31" i="70"/>
  <c r="U31" i="70"/>
  <c r="T31" i="70"/>
  <c r="S31" i="70"/>
  <c r="R31" i="70"/>
  <c r="Q31" i="70"/>
  <c r="P31" i="70"/>
  <c r="O31" i="70"/>
  <c r="N31" i="70"/>
  <c r="M31" i="70"/>
  <c r="L31" i="70"/>
  <c r="K31" i="70"/>
  <c r="J31" i="70"/>
  <c r="I31" i="70"/>
  <c r="H31" i="70"/>
  <c r="G31" i="70"/>
  <c r="F31" i="70"/>
  <c r="E31" i="70"/>
  <c r="D31" i="70"/>
  <c r="AB30" i="70"/>
  <c r="AA30" i="70"/>
  <c r="Z30" i="70"/>
  <c r="Y30" i="70"/>
  <c r="X30" i="70"/>
  <c r="W30" i="70"/>
  <c r="V30" i="70"/>
  <c r="U30" i="70"/>
  <c r="T30" i="70"/>
  <c r="S30" i="70"/>
  <c r="R30" i="70"/>
  <c r="Q30" i="70"/>
  <c r="P30" i="70"/>
  <c r="O30" i="70"/>
  <c r="N30" i="70"/>
  <c r="M30" i="70"/>
  <c r="L30" i="70"/>
  <c r="K30" i="70"/>
  <c r="J30" i="70"/>
  <c r="I30" i="70"/>
  <c r="H30" i="70"/>
  <c r="G30" i="70"/>
  <c r="F30" i="70"/>
  <c r="E30" i="70"/>
  <c r="D30" i="70"/>
  <c r="AB29" i="70"/>
  <c r="AA29" i="70"/>
  <c r="Z29" i="70"/>
  <c r="Y29" i="70"/>
  <c r="X29" i="70"/>
  <c r="W29" i="70"/>
  <c r="V29" i="70"/>
  <c r="U29" i="70"/>
  <c r="T29" i="70"/>
  <c r="S29" i="70"/>
  <c r="R29" i="70"/>
  <c r="Q29" i="70"/>
  <c r="P29" i="70"/>
  <c r="O29" i="70"/>
  <c r="N29" i="70"/>
  <c r="M29" i="70"/>
  <c r="L29" i="70"/>
  <c r="K29" i="70"/>
  <c r="J29" i="70"/>
  <c r="I29" i="70"/>
  <c r="H29" i="70"/>
  <c r="G29" i="70"/>
  <c r="F29" i="70"/>
  <c r="E29" i="70"/>
  <c r="D29" i="70"/>
  <c r="AB28" i="70"/>
  <c r="AA28" i="70"/>
  <c r="Z28" i="70"/>
  <c r="Y28" i="70"/>
  <c r="X28" i="70"/>
  <c r="W28" i="70"/>
  <c r="V28" i="70"/>
  <c r="U28" i="70"/>
  <c r="T28" i="70"/>
  <c r="S28" i="70"/>
  <c r="R28" i="70"/>
  <c r="Q28" i="70"/>
  <c r="P28" i="70"/>
  <c r="O28" i="70"/>
  <c r="N28" i="70"/>
  <c r="M28" i="70"/>
  <c r="L28" i="70"/>
  <c r="K28" i="70"/>
  <c r="J28" i="70"/>
  <c r="I28" i="70"/>
  <c r="H28" i="70"/>
  <c r="G28" i="70"/>
  <c r="F28" i="70"/>
  <c r="E28" i="70"/>
  <c r="D28" i="70"/>
  <c r="AB27" i="70"/>
  <c r="AA27" i="70"/>
  <c r="Z27" i="70"/>
  <c r="Y27" i="70"/>
  <c r="X27" i="70"/>
  <c r="W27" i="70"/>
  <c r="V27" i="70"/>
  <c r="U27" i="70"/>
  <c r="T27" i="70"/>
  <c r="S27" i="70"/>
  <c r="R27" i="70"/>
  <c r="Q27" i="70"/>
  <c r="P27" i="70"/>
  <c r="O27" i="70"/>
  <c r="N27" i="70"/>
  <c r="M27" i="70"/>
  <c r="L27" i="70"/>
  <c r="K27" i="70"/>
  <c r="J27" i="70"/>
  <c r="I27" i="70"/>
  <c r="H27" i="70"/>
  <c r="G27" i="70"/>
  <c r="F27" i="70"/>
  <c r="E27" i="70"/>
  <c r="D27" i="70"/>
  <c r="AB26" i="70"/>
  <c r="AA26" i="70"/>
  <c r="Z26" i="70"/>
  <c r="Y26" i="70"/>
  <c r="X26" i="70"/>
  <c r="W26" i="70"/>
  <c r="V26" i="70"/>
  <c r="U26" i="70"/>
  <c r="T26" i="70"/>
  <c r="S26" i="70"/>
  <c r="R26" i="70"/>
  <c r="Q26" i="70"/>
  <c r="P26" i="70"/>
  <c r="O26" i="70"/>
  <c r="N26" i="70"/>
  <c r="M26" i="70"/>
  <c r="L26" i="70"/>
  <c r="K26" i="70"/>
  <c r="J26" i="70"/>
  <c r="I26" i="70"/>
  <c r="H26" i="70"/>
  <c r="G26" i="70"/>
  <c r="F26" i="70"/>
  <c r="E26" i="70"/>
  <c r="D26" i="70"/>
  <c r="AB25" i="70"/>
  <c r="AA25" i="70"/>
  <c r="Z25" i="70"/>
  <c r="Y25" i="70"/>
  <c r="X25" i="70"/>
  <c r="W25" i="70"/>
  <c r="V25" i="70"/>
  <c r="U25" i="70"/>
  <c r="T25" i="70"/>
  <c r="S25" i="70"/>
  <c r="R25" i="70"/>
  <c r="Q25" i="70"/>
  <c r="P25" i="70"/>
  <c r="O25" i="70"/>
  <c r="N25" i="70"/>
  <c r="M25" i="70"/>
  <c r="L25" i="70"/>
  <c r="K25" i="70"/>
  <c r="J25" i="70"/>
  <c r="I25" i="70"/>
  <c r="H25" i="70"/>
  <c r="G25" i="70"/>
  <c r="F25" i="70"/>
  <c r="E25" i="70"/>
  <c r="D25" i="70"/>
  <c r="AB24" i="70"/>
  <c r="AA24" i="70"/>
  <c r="Z24" i="70"/>
  <c r="Y24" i="70"/>
  <c r="X24" i="70"/>
  <c r="W24" i="70"/>
  <c r="V24" i="70"/>
  <c r="U24" i="70"/>
  <c r="T24" i="70"/>
  <c r="S24" i="70"/>
  <c r="R24" i="70"/>
  <c r="Q24" i="70"/>
  <c r="P24" i="70"/>
  <c r="O24" i="70"/>
  <c r="N24" i="70"/>
  <c r="M24" i="70"/>
  <c r="L24" i="70"/>
  <c r="K24" i="70"/>
  <c r="J24" i="70"/>
  <c r="I24" i="70"/>
  <c r="H24" i="70"/>
  <c r="G24" i="70"/>
  <c r="F24" i="70"/>
  <c r="E24" i="70"/>
  <c r="D24" i="70"/>
  <c r="AB23" i="70"/>
  <c r="AA23" i="70"/>
  <c r="Z23" i="70"/>
  <c r="Y23" i="70"/>
  <c r="X23" i="70"/>
  <c r="W23" i="70"/>
  <c r="V23" i="70"/>
  <c r="U23" i="70"/>
  <c r="T23" i="70"/>
  <c r="S23" i="70"/>
  <c r="R23" i="70"/>
  <c r="Q23" i="70"/>
  <c r="P23" i="70"/>
  <c r="O23" i="70"/>
  <c r="N23" i="70"/>
  <c r="M23" i="70"/>
  <c r="L23" i="70"/>
  <c r="K23" i="70"/>
  <c r="J23" i="70"/>
  <c r="I23" i="70"/>
  <c r="H23" i="70"/>
  <c r="G23" i="70"/>
  <c r="F23" i="70"/>
  <c r="E23" i="70"/>
  <c r="D23" i="70"/>
  <c r="AB22" i="70"/>
  <c r="AA22" i="70"/>
  <c r="Z22" i="70"/>
  <c r="Y22" i="70"/>
  <c r="X22" i="70"/>
  <c r="W22" i="70"/>
  <c r="V22" i="70"/>
  <c r="U22" i="70"/>
  <c r="T22" i="70"/>
  <c r="S22" i="70"/>
  <c r="R22" i="70"/>
  <c r="Q22" i="70"/>
  <c r="P22" i="70"/>
  <c r="O22" i="70"/>
  <c r="N22" i="70"/>
  <c r="M22" i="70"/>
  <c r="L22" i="70"/>
  <c r="K22" i="70"/>
  <c r="J22" i="70"/>
  <c r="I22" i="70"/>
  <c r="H22" i="70"/>
  <c r="G22" i="70"/>
  <c r="F22" i="70"/>
  <c r="E22" i="70"/>
  <c r="D22" i="70"/>
  <c r="AB21" i="70"/>
  <c r="AA21" i="70"/>
  <c r="Z21" i="70"/>
  <c r="Y21" i="70"/>
  <c r="X21" i="70"/>
  <c r="W21" i="70"/>
  <c r="V21" i="70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H21" i="70"/>
  <c r="G21" i="70"/>
  <c r="F21" i="70"/>
  <c r="E21" i="70"/>
  <c r="D21" i="70"/>
  <c r="AB20" i="70"/>
  <c r="AA20" i="70"/>
  <c r="Z20" i="70"/>
  <c r="Y20" i="70"/>
  <c r="X20" i="70"/>
  <c r="W20" i="70"/>
  <c r="V20" i="70"/>
  <c r="U20" i="70"/>
  <c r="T20" i="70"/>
  <c r="S20" i="70"/>
  <c r="R20" i="70"/>
  <c r="Q20" i="70"/>
  <c r="P20" i="70"/>
  <c r="O20" i="70"/>
  <c r="N20" i="70"/>
  <c r="M20" i="70"/>
  <c r="L20" i="70"/>
  <c r="K20" i="70"/>
  <c r="J20" i="70"/>
  <c r="I20" i="70"/>
  <c r="H20" i="70"/>
  <c r="G20" i="70"/>
  <c r="F20" i="70"/>
  <c r="E20" i="70"/>
  <c r="D20" i="70"/>
  <c r="AB19" i="70"/>
  <c r="AA19" i="70"/>
  <c r="Z19" i="70"/>
  <c r="Y19" i="70"/>
  <c r="X19" i="70"/>
  <c r="W19" i="70"/>
  <c r="V19" i="70"/>
  <c r="U19" i="70"/>
  <c r="T19" i="70"/>
  <c r="S19" i="70"/>
  <c r="R19" i="70"/>
  <c r="Q19" i="70"/>
  <c r="P19" i="70"/>
  <c r="O19" i="70"/>
  <c r="N19" i="70"/>
  <c r="M19" i="70"/>
  <c r="L19" i="70"/>
  <c r="K19" i="70"/>
  <c r="J19" i="70"/>
  <c r="I19" i="70"/>
  <c r="H19" i="70"/>
  <c r="G19" i="70"/>
  <c r="F19" i="70"/>
  <c r="E19" i="70"/>
  <c r="D19" i="70"/>
  <c r="AB18" i="70"/>
  <c r="AA18" i="70"/>
  <c r="Z18" i="70"/>
  <c r="Y18" i="70"/>
  <c r="X18" i="70"/>
  <c r="W18" i="70"/>
  <c r="V18" i="70"/>
  <c r="U18" i="70"/>
  <c r="T18" i="70"/>
  <c r="S18" i="70"/>
  <c r="R18" i="70"/>
  <c r="Q18" i="70"/>
  <c r="P18" i="70"/>
  <c r="O18" i="70"/>
  <c r="N18" i="70"/>
  <c r="M18" i="70"/>
  <c r="L18" i="70"/>
  <c r="K18" i="70"/>
  <c r="J18" i="70"/>
  <c r="I18" i="70"/>
  <c r="H18" i="70"/>
  <c r="G18" i="70"/>
  <c r="F18" i="70"/>
  <c r="E18" i="70"/>
  <c r="D18" i="70"/>
  <c r="AB17" i="70"/>
  <c r="AA17" i="70"/>
  <c r="Z17" i="70"/>
  <c r="Y17" i="70"/>
  <c r="X17" i="70"/>
  <c r="W17" i="70"/>
  <c r="V17" i="70"/>
  <c r="U17" i="70"/>
  <c r="T17" i="70"/>
  <c r="S17" i="70"/>
  <c r="R17" i="70"/>
  <c r="Q17" i="70"/>
  <c r="P17" i="70"/>
  <c r="O17" i="70"/>
  <c r="N17" i="70"/>
  <c r="M17" i="70"/>
  <c r="L17" i="70"/>
  <c r="K17" i="70"/>
  <c r="J17" i="70"/>
  <c r="I17" i="70"/>
  <c r="H17" i="70"/>
  <c r="G17" i="70"/>
  <c r="F17" i="70"/>
  <c r="E17" i="70"/>
  <c r="D17" i="70"/>
  <c r="AB16" i="70"/>
  <c r="AA16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AB15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AB14" i="70"/>
  <c r="AA14" i="70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H14" i="70"/>
  <c r="G14" i="70"/>
  <c r="F14" i="70"/>
  <c r="E14" i="70"/>
  <c r="D14" i="70"/>
  <c r="AB13" i="70"/>
  <c r="AA13" i="70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H13" i="70"/>
  <c r="G13" i="70"/>
  <c r="F13" i="70"/>
  <c r="E13" i="70"/>
  <c r="D13" i="70"/>
  <c r="AB12" i="70"/>
  <c r="AA12" i="70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G12" i="70"/>
  <c r="F12" i="70"/>
  <c r="E12" i="70"/>
  <c r="D12" i="70"/>
  <c r="AB11" i="70"/>
  <c r="AA11" i="70"/>
  <c r="Z11" i="70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H11" i="70"/>
  <c r="G11" i="70"/>
  <c r="F11" i="70"/>
  <c r="E11" i="70"/>
  <c r="D11" i="70"/>
  <c r="AB58" i="68"/>
  <c r="AA58" i="68"/>
  <c r="Z58" i="68"/>
  <c r="Y58" i="68"/>
  <c r="X58" i="68"/>
  <c r="W58" i="68"/>
  <c r="V58" i="68"/>
  <c r="U58" i="68"/>
  <c r="T58" i="68"/>
  <c r="S58" i="68"/>
  <c r="R58" i="68"/>
  <c r="Q58" i="68"/>
  <c r="P58" i="68"/>
  <c r="O58" i="68"/>
  <c r="N58" i="68"/>
  <c r="M58" i="68"/>
  <c r="L58" i="68"/>
  <c r="K58" i="68"/>
  <c r="J58" i="68"/>
  <c r="I58" i="68"/>
  <c r="H58" i="68"/>
  <c r="G58" i="68"/>
  <c r="F58" i="68"/>
  <c r="E58" i="68"/>
  <c r="D58" i="68"/>
  <c r="AB57" i="68"/>
  <c r="AA57" i="68"/>
  <c r="Z57" i="68"/>
  <c r="Y57" i="68"/>
  <c r="X57" i="68"/>
  <c r="W57" i="68"/>
  <c r="V57" i="68"/>
  <c r="U57" i="68"/>
  <c r="T57" i="68"/>
  <c r="S57" i="68"/>
  <c r="R57" i="68"/>
  <c r="Q57" i="68"/>
  <c r="P57" i="68"/>
  <c r="O57" i="68"/>
  <c r="N57" i="68"/>
  <c r="M57" i="68"/>
  <c r="L57" i="68"/>
  <c r="K57" i="68"/>
  <c r="J57" i="68"/>
  <c r="I57" i="68"/>
  <c r="H57" i="68"/>
  <c r="G57" i="68"/>
  <c r="F57" i="68"/>
  <c r="E57" i="68"/>
  <c r="D57" i="68"/>
  <c r="AB56" i="68"/>
  <c r="AA56" i="68"/>
  <c r="Z56" i="68"/>
  <c r="Y56" i="68"/>
  <c r="X56" i="68"/>
  <c r="W56" i="68"/>
  <c r="V56" i="68"/>
  <c r="U56" i="68"/>
  <c r="T56" i="68"/>
  <c r="S56" i="68"/>
  <c r="R56" i="68"/>
  <c r="Q56" i="68"/>
  <c r="P56" i="68"/>
  <c r="O56" i="68"/>
  <c r="N56" i="68"/>
  <c r="M56" i="68"/>
  <c r="L56" i="68"/>
  <c r="K56" i="68"/>
  <c r="J56" i="68"/>
  <c r="I56" i="68"/>
  <c r="H56" i="68"/>
  <c r="G56" i="68"/>
  <c r="F56" i="68"/>
  <c r="E56" i="68"/>
  <c r="D56" i="68"/>
  <c r="AB55" i="68"/>
  <c r="AA55" i="68"/>
  <c r="Z55" i="68"/>
  <c r="Y55" i="68"/>
  <c r="X55" i="68"/>
  <c r="W55" i="68"/>
  <c r="V55" i="68"/>
  <c r="U55" i="68"/>
  <c r="T55" i="68"/>
  <c r="S55" i="68"/>
  <c r="R55" i="68"/>
  <c r="Q55" i="68"/>
  <c r="P55" i="68"/>
  <c r="O55" i="68"/>
  <c r="N55" i="68"/>
  <c r="M55" i="68"/>
  <c r="L55" i="68"/>
  <c r="K55" i="68"/>
  <c r="J55" i="68"/>
  <c r="I55" i="68"/>
  <c r="H55" i="68"/>
  <c r="G55" i="68"/>
  <c r="F55" i="68"/>
  <c r="E55" i="68"/>
  <c r="D55" i="68"/>
  <c r="AB54" i="68"/>
  <c r="AA54" i="68"/>
  <c r="Z54" i="68"/>
  <c r="Y54" i="68"/>
  <c r="X54" i="68"/>
  <c r="W54" i="68"/>
  <c r="V54" i="68"/>
  <c r="U54" i="68"/>
  <c r="T54" i="68"/>
  <c r="S54" i="68"/>
  <c r="R54" i="68"/>
  <c r="Q54" i="68"/>
  <c r="P54" i="68"/>
  <c r="O54" i="68"/>
  <c r="N54" i="68"/>
  <c r="M54" i="68"/>
  <c r="L54" i="68"/>
  <c r="K54" i="68"/>
  <c r="J54" i="68"/>
  <c r="I54" i="68"/>
  <c r="H54" i="68"/>
  <c r="G54" i="68"/>
  <c r="F54" i="68"/>
  <c r="E54" i="68"/>
  <c r="D54" i="68"/>
  <c r="AB53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AB52" i="68"/>
  <c r="AA52" i="68"/>
  <c r="Z52" i="68"/>
  <c r="Y52" i="68"/>
  <c r="X52" i="68"/>
  <c r="W52" i="68"/>
  <c r="V52" i="68"/>
  <c r="U52" i="68"/>
  <c r="T52" i="68"/>
  <c r="S52" i="68"/>
  <c r="R52" i="68"/>
  <c r="Q52" i="68"/>
  <c r="P52" i="68"/>
  <c r="O52" i="68"/>
  <c r="N52" i="68"/>
  <c r="M52" i="68"/>
  <c r="L52" i="68"/>
  <c r="K52" i="68"/>
  <c r="J52" i="68"/>
  <c r="I52" i="68"/>
  <c r="H52" i="68"/>
  <c r="G52" i="68"/>
  <c r="F52" i="68"/>
  <c r="E52" i="68"/>
  <c r="D52" i="68"/>
  <c r="AB51" i="68"/>
  <c r="AA51" i="68"/>
  <c r="Z51" i="68"/>
  <c r="Y51" i="68"/>
  <c r="X51" i="68"/>
  <c r="W51" i="68"/>
  <c r="V51" i="68"/>
  <c r="U51" i="68"/>
  <c r="T51" i="68"/>
  <c r="S51" i="68"/>
  <c r="R51" i="68"/>
  <c r="Q51" i="68"/>
  <c r="P51" i="68"/>
  <c r="O51" i="68"/>
  <c r="N51" i="68"/>
  <c r="M51" i="68"/>
  <c r="L51" i="68"/>
  <c r="K51" i="68"/>
  <c r="J51" i="68"/>
  <c r="I51" i="68"/>
  <c r="H51" i="68"/>
  <c r="G51" i="68"/>
  <c r="F51" i="68"/>
  <c r="E51" i="68"/>
  <c r="D51" i="68"/>
  <c r="AB50" i="68"/>
  <c r="AA50" i="68"/>
  <c r="Z50" i="68"/>
  <c r="Y50" i="68"/>
  <c r="X50" i="68"/>
  <c r="W50" i="68"/>
  <c r="V50" i="68"/>
  <c r="U50" i="68"/>
  <c r="T50" i="68"/>
  <c r="S50" i="68"/>
  <c r="R50" i="68"/>
  <c r="Q50" i="68"/>
  <c r="P50" i="68"/>
  <c r="O50" i="68"/>
  <c r="N50" i="68"/>
  <c r="M50" i="68"/>
  <c r="L50" i="68"/>
  <c r="K50" i="68"/>
  <c r="J50" i="68"/>
  <c r="I50" i="68"/>
  <c r="H50" i="68"/>
  <c r="G50" i="68"/>
  <c r="F50" i="68"/>
  <c r="E50" i="68"/>
  <c r="D50" i="68"/>
  <c r="AB49" i="68"/>
  <c r="AA49" i="68"/>
  <c r="Z49" i="68"/>
  <c r="Y49" i="68"/>
  <c r="X49" i="68"/>
  <c r="W49" i="68"/>
  <c r="V49" i="68"/>
  <c r="U49" i="68"/>
  <c r="T49" i="68"/>
  <c r="S49" i="68"/>
  <c r="R49" i="68"/>
  <c r="Q49" i="68"/>
  <c r="P49" i="68"/>
  <c r="O49" i="68"/>
  <c r="N49" i="68"/>
  <c r="M49" i="68"/>
  <c r="L49" i="68"/>
  <c r="K49" i="68"/>
  <c r="J49" i="68"/>
  <c r="I49" i="68"/>
  <c r="H49" i="68"/>
  <c r="G49" i="68"/>
  <c r="F49" i="68"/>
  <c r="E49" i="68"/>
  <c r="D49" i="68"/>
  <c r="AB48" i="68"/>
  <c r="AA48" i="68"/>
  <c r="Z48" i="68"/>
  <c r="Y48" i="68"/>
  <c r="X48" i="68"/>
  <c r="W48" i="68"/>
  <c r="V48" i="68"/>
  <c r="U48" i="68"/>
  <c r="T48" i="68"/>
  <c r="S48" i="68"/>
  <c r="R48" i="68"/>
  <c r="Q48" i="68"/>
  <c r="P48" i="68"/>
  <c r="O48" i="68"/>
  <c r="N48" i="68"/>
  <c r="M48" i="68"/>
  <c r="L48" i="68"/>
  <c r="K48" i="68"/>
  <c r="J48" i="68"/>
  <c r="I48" i="68"/>
  <c r="H48" i="68"/>
  <c r="G48" i="68"/>
  <c r="F48" i="68"/>
  <c r="E48" i="68"/>
  <c r="D48" i="68"/>
  <c r="AB47" i="68"/>
  <c r="AA47" i="68"/>
  <c r="Z47" i="68"/>
  <c r="Y47" i="68"/>
  <c r="X47" i="68"/>
  <c r="W47" i="68"/>
  <c r="V47" i="68"/>
  <c r="U47" i="68"/>
  <c r="T47" i="68"/>
  <c r="S47" i="68"/>
  <c r="R47" i="68"/>
  <c r="Q47" i="68"/>
  <c r="P47" i="68"/>
  <c r="O47" i="68"/>
  <c r="N47" i="68"/>
  <c r="M47" i="68"/>
  <c r="L47" i="68"/>
  <c r="K47" i="68"/>
  <c r="J47" i="68"/>
  <c r="I47" i="68"/>
  <c r="H47" i="68"/>
  <c r="G47" i="68"/>
  <c r="F47" i="68"/>
  <c r="E47" i="68"/>
  <c r="D47" i="68"/>
  <c r="AB46" i="68"/>
  <c r="AA46" i="68"/>
  <c r="Z46" i="68"/>
  <c r="Y46" i="68"/>
  <c r="X46" i="68"/>
  <c r="W46" i="68"/>
  <c r="V46" i="68"/>
  <c r="U46" i="68"/>
  <c r="T46" i="68"/>
  <c r="S46" i="68"/>
  <c r="R46" i="68"/>
  <c r="Q46" i="68"/>
  <c r="P46" i="68"/>
  <c r="O46" i="68"/>
  <c r="N46" i="68"/>
  <c r="M46" i="68"/>
  <c r="L46" i="68"/>
  <c r="K46" i="68"/>
  <c r="J46" i="68"/>
  <c r="I46" i="68"/>
  <c r="H46" i="68"/>
  <c r="G46" i="68"/>
  <c r="F46" i="68"/>
  <c r="E46" i="68"/>
  <c r="D46" i="68"/>
  <c r="AB45" i="68"/>
  <c r="AA45" i="68"/>
  <c r="Z45" i="68"/>
  <c r="Y45" i="68"/>
  <c r="X45" i="68"/>
  <c r="W45" i="68"/>
  <c r="V45" i="68"/>
  <c r="U45" i="68"/>
  <c r="T45" i="68"/>
  <c r="S45" i="68"/>
  <c r="R45" i="68"/>
  <c r="Q45" i="68"/>
  <c r="P45" i="68"/>
  <c r="O45" i="68"/>
  <c r="N45" i="68"/>
  <c r="M45" i="68"/>
  <c r="L45" i="68"/>
  <c r="K45" i="68"/>
  <c r="J45" i="68"/>
  <c r="I45" i="68"/>
  <c r="H45" i="68"/>
  <c r="G45" i="68"/>
  <c r="F45" i="68"/>
  <c r="E45" i="68"/>
  <c r="D45" i="68"/>
  <c r="AB44" i="68"/>
  <c r="AA44" i="68"/>
  <c r="Z44" i="68"/>
  <c r="Y44" i="68"/>
  <c r="X44" i="68"/>
  <c r="W44" i="68"/>
  <c r="V44" i="68"/>
  <c r="U44" i="68"/>
  <c r="T44" i="68"/>
  <c r="S44" i="68"/>
  <c r="R44" i="68"/>
  <c r="Q44" i="68"/>
  <c r="P44" i="68"/>
  <c r="O44" i="68"/>
  <c r="N44" i="68"/>
  <c r="M44" i="68"/>
  <c r="L44" i="68"/>
  <c r="K44" i="68"/>
  <c r="J44" i="68"/>
  <c r="I44" i="68"/>
  <c r="H44" i="68"/>
  <c r="G44" i="68"/>
  <c r="F44" i="68"/>
  <c r="E44" i="68"/>
  <c r="D44" i="68"/>
  <c r="AB43" i="68"/>
  <c r="AA43" i="68"/>
  <c r="Z43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AB42" i="68"/>
  <c r="AA42" i="68"/>
  <c r="Z42" i="68"/>
  <c r="Y42" i="68"/>
  <c r="X42" i="68"/>
  <c r="W42" i="68"/>
  <c r="V42" i="68"/>
  <c r="U42" i="68"/>
  <c r="T42" i="68"/>
  <c r="S42" i="68"/>
  <c r="R42" i="68"/>
  <c r="Q42" i="68"/>
  <c r="P42" i="68"/>
  <c r="O42" i="68"/>
  <c r="N42" i="68"/>
  <c r="M42" i="68"/>
  <c r="L42" i="68"/>
  <c r="K42" i="68"/>
  <c r="J42" i="68"/>
  <c r="I42" i="68"/>
  <c r="H42" i="68"/>
  <c r="G42" i="68"/>
  <c r="F42" i="68"/>
  <c r="E42" i="68"/>
  <c r="D42" i="68"/>
  <c r="AB41" i="68"/>
  <c r="AA41" i="68"/>
  <c r="Z41" i="68"/>
  <c r="Y41" i="68"/>
  <c r="X41" i="68"/>
  <c r="W41" i="68"/>
  <c r="V41" i="68"/>
  <c r="U41" i="68"/>
  <c r="T41" i="68"/>
  <c r="S41" i="68"/>
  <c r="R41" i="68"/>
  <c r="Q41" i="68"/>
  <c r="P41" i="68"/>
  <c r="O41" i="68"/>
  <c r="N41" i="68"/>
  <c r="M41" i="68"/>
  <c r="L41" i="68"/>
  <c r="K41" i="68"/>
  <c r="J41" i="68"/>
  <c r="I41" i="68"/>
  <c r="H41" i="68"/>
  <c r="G41" i="68"/>
  <c r="F41" i="68"/>
  <c r="E41" i="68"/>
  <c r="D41" i="68"/>
  <c r="AB40" i="68"/>
  <c r="AA40" i="68"/>
  <c r="Z40" i="68"/>
  <c r="Y40" i="68"/>
  <c r="X40" i="68"/>
  <c r="W40" i="68"/>
  <c r="V40" i="68"/>
  <c r="U40" i="68"/>
  <c r="T40" i="68"/>
  <c r="S40" i="68"/>
  <c r="R40" i="68"/>
  <c r="Q40" i="68"/>
  <c r="P40" i="68"/>
  <c r="O40" i="68"/>
  <c r="N40" i="68"/>
  <c r="M40" i="68"/>
  <c r="L40" i="68"/>
  <c r="K40" i="68"/>
  <c r="J40" i="68"/>
  <c r="I40" i="68"/>
  <c r="H40" i="68"/>
  <c r="G40" i="68"/>
  <c r="F40" i="68"/>
  <c r="E40" i="68"/>
  <c r="D40" i="68"/>
  <c r="AB39" i="68"/>
  <c r="AA39" i="68"/>
  <c r="Z39" i="68"/>
  <c r="Y39" i="68"/>
  <c r="X39" i="68"/>
  <c r="W39" i="68"/>
  <c r="V39" i="68"/>
  <c r="U39" i="68"/>
  <c r="T39" i="68"/>
  <c r="S39" i="68"/>
  <c r="R39" i="68"/>
  <c r="Q39" i="68"/>
  <c r="P39" i="68"/>
  <c r="O39" i="68"/>
  <c r="N39" i="68"/>
  <c r="M39" i="68"/>
  <c r="L39" i="68"/>
  <c r="K39" i="68"/>
  <c r="J39" i="68"/>
  <c r="I39" i="68"/>
  <c r="H39" i="68"/>
  <c r="G39" i="68"/>
  <c r="F39" i="68"/>
  <c r="E39" i="68"/>
  <c r="D39" i="68"/>
  <c r="AB38" i="68"/>
  <c r="AA38" i="68"/>
  <c r="Z38" i="68"/>
  <c r="Y38" i="68"/>
  <c r="X38" i="68"/>
  <c r="W38" i="68"/>
  <c r="V38" i="68"/>
  <c r="U38" i="68"/>
  <c r="T38" i="68"/>
  <c r="S38" i="68"/>
  <c r="R38" i="68"/>
  <c r="Q38" i="68"/>
  <c r="P38" i="68"/>
  <c r="O38" i="68"/>
  <c r="N38" i="68"/>
  <c r="M38" i="68"/>
  <c r="L38" i="68"/>
  <c r="K38" i="68"/>
  <c r="J38" i="68"/>
  <c r="I38" i="68"/>
  <c r="H38" i="68"/>
  <c r="G38" i="68"/>
  <c r="F38" i="68"/>
  <c r="E38" i="68"/>
  <c r="D38" i="68"/>
  <c r="AB37" i="68"/>
  <c r="AA37" i="68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G37" i="68"/>
  <c r="F37" i="68"/>
  <c r="E37" i="68"/>
  <c r="D37" i="68"/>
  <c r="AB36" i="68"/>
  <c r="AA36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G36" i="68"/>
  <c r="F36" i="68"/>
  <c r="E36" i="68"/>
  <c r="D36" i="68"/>
  <c r="AB35" i="68"/>
  <c r="AA35" i="68"/>
  <c r="Z35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H35" i="68"/>
  <c r="G35" i="68"/>
  <c r="F35" i="68"/>
  <c r="E35" i="68"/>
  <c r="D35" i="68"/>
  <c r="AB34" i="68"/>
  <c r="AA34" i="68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H34" i="68"/>
  <c r="G34" i="68"/>
  <c r="F34" i="68"/>
  <c r="E34" i="68"/>
  <c r="D34" i="68"/>
  <c r="AB3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AB32" i="68"/>
  <c r="AA32" i="68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H32" i="68"/>
  <c r="G32" i="68"/>
  <c r="F32" i="68"/>
  <c r="E32" i="68"/>
  <c r="D32" i="68"/>
  <c r="AB31" i="68"/>
  <c r="AA31" i="68"/>
  <c r="Z31" i="68"/>
  <c r="Y31" i="68"/>
  <c r="X31" i="68"/>
  <c r="W31" i="68"/>
  <c r="V31" i="68"/>
  <c r="U31" i="68"/>
  <c r="T31" i="68"/>
  <c r="S31" i="68"/>
  <c r="R31" i="68"/>
  <c r="Q31" i="68"/>
  <c r="P31" i="68"/>
  <c r="O31" i="68"/>
  <c r="N31" i="68"/>
  <c r="M31" i="68"/>
  <c r="L31" i="68"/>
  <c r="K31" i="68"/>
  <c r="J31" i="68"/>
  <c r="I31" i="68"/>
  <c r="H31" i="68"/>
  <c r="G31" i="68"/>
  <c r="F31" i="68"/>
  <c r="E31" i="68"/>
  <c r="D31" i="68"/>
  <c r="AB30" i="68"/>
  <c r="AA30" i="68"/>
  <c r="Z30" i="68"/>
  <c r="Y30" i="68"/>
  <c r="X30" i="68"/>
  <c r="W30" i="68"/>
  <c r="V30" i="68"/>
  <c r="U30" i="68"/>
  <c r="T30" i="68"/>
  <c r="S30" i="68"/>
  <c r="R30" i="68"/>
  <c r="Q30" i="68"/>
  <c r="P30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AB29" i="68"/>
  <c r="AA29" i="68"/>
  <c r="Z29" i="68"/>
  <c r="Y29" i="68"/>
  <c r="X29" i="68"/>
  <c r="W29" i="68"/>
  <c r="V29" i="68"/>
  <c r="U29" i="68"/>
  <c r="T29" i="68"/>
  <c r="S29" i="68"/>
  <c r="R29" i="68"/>
  <c r="Q29" i="68"/>
  <c r="P29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AB28" i="68"/>
  <c r="AA28" i="68"/>
  <c r="Z28" i="68"/>
  <c r="Y28" i="68"/>
  <c r="X28" i="68"/>
  <c r="W28" i="68"/>
  <c r="V28" i="68"/>
  <c r="U28" i="68"/>
  <c r="T28" i="68"/>
  <c r="S28" i="68"/>
  <c r="R28" i="68"/>
  <c r="Q28" i="68"/>
  <c r="P28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AB27" i="68"/>
  <c r="AA27" i="68"/>
  <c r="Z27" i="68"/>
  <c r="Y27" i="68"/>
  <c r="X27" i="68"/>
  <c r="W27" i="68"/>
  <c r="V27" i="68"/>
  <c r="U27" i="68"/>
  <c r="T27" i="68"/>
  <c r="S27" i="68"/>
  <c r="R27" i="68"/>
  <c r="Q27" i="68"/>
  <c r="P27" i="68"/>
  <c r="O27" i="68"/>
  <c r="N27" i="68"/>
  <c r="M27" i="68"/>
  <c r="L27" i="68"/>
  <c r="K27" i="68"/>
  <c r="J27" i="68"/>
  <c r="I27" i="68"/>
  <c r="H27" i="68"/>
  <c r="G27" i="68"/>
  <c r="F27" i="68"/>
  <c r="E27" i="68"/>
  <c r="D27" i="68"/>
  <c r="AB26" i="68"/>
  <c r="AA26" i="68"/>
  <c r="Z26" i="68"/>
  <c r="Y26" i="68"/>
  <c r="X26" i="68"/>
  <c r="W26" i="68"/>
  <c r="V26" i="68"/>
  <c r="U26" i="68"/>
  <c r="T26" i="68"/>
  <c r="S26" i="68"/>
  <c r="R26" i="68"/>
  <c r="Q26" i="68"/>
  <c r="P26" i="68"/>
  <c r="O26" i="68"/>
  <c r="N26" i="68"/>
  <c r="M26" i="68"/>
  <c r="L26" i="68"/>
  <c r="K26" i="68"/>
  <c r="J26" i="68"/>
  <c r="I26" i="68"/>
  <c r="H26" i="68"/>
  <c r="G26" i="68"/>
  <c r="F26" i="68"/>
  <c r="E26" i="68"/>
  <c r="D26" i="68"/>
  <c r="AB25" i="68"/>
  <c r="AA25" i="68"/>
  <c r="Z25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AB24" i="68"/>
  <c r="AA24" i="68"/>
  <c r="Z24" i="68"/>
  <c r="Y24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D24" i="68"/>
  <c r="AB23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AB22" i="68"/>
  <c r="AA22" i="68"/>
  <c r="Z22" i="68"/>
  <c r="Y22" i="68"/>
  <c r="X22" i="68"/>
  <c r="W22" i="68"/>
  <c r="V22" i="68"/>
  <c r="U22" i="68"/>
  <c r="T22" i="68"/>
  <c r="S22" i="68"/>
  <c r="R22" i="68"/>
  <c r="Q22" i="68"/>
  <c r="P22" i="68"/>
  <c r="O22" i="68"/>
  <c r="N22" i="68"/>
  <c r="M22" i="68"/>
  <c r="L22" i="68"/>
  <c r="K22" i="68"/>
  <c r="J22" i="68"/>
  <c r="I22" i="68"/>
  <c r="H22" i="68"/>
  <c r="G22" i="68"/>
  <c r="F22" i="68"/>
  <c r="E22" i="68"/>
  <c r="D22" i="68"/>
  <c r="AB21" i="68"/>
  <c r="AA21" i="68"/>
  <c r="Z21" i="68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H21" i="68"/>
  <c r="G21" i="68"/>
  <c r="F21" i="68"/>
  <c r="E21" i="68"/>
  <c r="D21" i="68"/>
  <c r="AB20" i="68"/>
  <c r="AA20" i="68"/>
  <c r="Z20" i="68"/>
  <c r="Y20" i="68"/>
  <c r="X20" i="68"/>
  <c r="W20" i="68"/>
  <c r="V20" i="68"/>
  <c r="U20" i="68"/>
  <c r="T20" i="68"/>
  <c r="S20" i="68"/>
  <c r="R20" i="68"/>
  <c r="Q20" i="68"/>
  <c r="P20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AB19" i="68"/>
  <c r="AA19" i="68"/>
  <c r="Z19" i="68"/>
  <c r="Y19" i="68"/>
  <c r="X19" i="68"/>
  <c r="W19" i="68"/>
  <c r="V19" i="68"/>
  <c r="U19" i="68"/>
  <c r="T19" i="68"/>
  <c r="S19" i="68"/>
  <c r="R19" i="68"/>
  <c r="Q19" i="68"/>
  <c r="P19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AB18" i="68"/>
  <c r="AA18" i="68"/>
  <c r="Z18" i="68"/>
  <c r="Y18" i="68"/>
  <c r="X18" i="68"/>
  <c r="W18" i="68"/>
  <c r="V18" i="68"/>
  <c r="U18" i="68"/>
  <c r="T18" i="68"/>
  <c r="S18" i="68"/>
  <c r="R18" i="68"/>
  <c r="Q18" i="68"/>
  <c r="P18" i="68"/>
  <c r="O18" i="68"/>
  <c r="N18" i="68"/>
  <c r="M18" i="68"/>
  <c r="L18" i="68"/>
  <c r="K18" i="68"/>
  <c r="J18" i="68"/>
  <c r="I18" i="68"/>
  <c r="H18" i="68"/>
  <c r="G18" i="68"/>
  <c r="F18" i="68"/>
  <c r="E18" i="68"/>
  <c r="D18" i="68"/>
  <c r="AB17" i="68"/>
  <c r="AA17" i="68"/>
  <c r="Z17" i="68"/>
  <c r="Y17" i="68"/>
  <c r="X17" i="68"/>
  <c r="W17" i="68"/>
  <c r="V17" i="68"/>
  <c r="U17" i="68"/>
  <c r="T17" i="68"/>
  <c r="S17" i="68"/>
  <c r="R17" i="68"/>
  <c r="Q17" i="68"/>
  <c r="P17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AB16" i="68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AB15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AB14" i="68"/>
  <c r="AA14" i="68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H14" i="68"/>
  <c r="G14" i="68"/>
  <c r="F14" i="68"/>
  <c r="E14" i="68"/>
  <c r="D14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AB12" i="68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AB11" i="68"/>
  <c r="AA11" i="68"/>
  <c r="Z11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G11" i="68"/>
  <c r="F11" i="68"/>
  <c r="E11" i="68"/>
  <c r="D11" i="68"/>
  <c r="J75" i="54" l="1"/>
  <c r="J63" i="54"/>
  <c r="J51" i="54"/>
  <c r="J39" i="54"/>
  <c r="J27" i="54"/>
  <c r="J15" i="54"/>
  <c r="D75" i="54"/>
  <c r="D63" i="54"/>
  <c r="D51" i="54"/>
  <c r="D39" i="54"/>
  <c r="D27" i="54"/>
  <c r="AE10" i="72" l="1"/>
  <c r="A28" i="71"/>
  <c r="AE10" i="70"/>
  <c r="A28" i="69"/>
  <c r="AE10" i="68"/>
  <c r="A28" i="67"/>
  <c r="AC27" i="68" l="1"/>
  <c r="AE15" i="68" s="1"/>
  <c r="C20" i="67" s="1"/>
  <c r="E20" i="67" s="1"/>
  <c r="AC23" i="68"/>
  <c r="AE14" i="68" s="1"/>
  <c r="C19" i="67" s="1"/>
  <c r="E19" i="67" s="1"/>
  <c r="AC31" i="68"/>
  <c r="AE16" i="68" s="1"/>
  <c r="C21" i="67" s="1"/>
  <c r="E21" i="67" s="1"/>
  <c r="AC19" i="68"/>
  <c r="AE13" i="68" s="1"/>
  <c r="C18" i="67" s="1"/>
  <c r="E18" i="67" s="1"/>
  <c r="AC15" i="68"/>
  <c r="AE12" i="68" s="1"/>
  <c r="C17" i="67" s="1"/>
  <c r="E17" i="67" s="1"/>
  <c r="AC11" i="68"/>
  <c r="AE11" i="68" s="1"/>
  <c r="C16" i="67" l="1"/>
  <c r="E16" i="67" s="1"/>
  <c r="L15" i="62" l="1"/>
  <c r="K15" i="62"/>
  <c r="J15" i="62"/>
  <c r="I15" i="62"/>
  <c r="H15" i="62"/>
  <c r="G15" i="62"/>
  <c r="F15" i="62"/>
  <c r="M15" i="62" s="1"/>
  <c r="E15" i="62"/>
  <c r="D15" i="62"/>
  <c r="C15" i="62"/>
  <c r="L14" i="62"/>
  <c r="K14" i="62"/>
  <c r="J14" i="62"/>
  <c r="I14" i="62"/>
  <c r="H14" i="62"/>
  <c r="G14" i="62"/>
  <c r="F14" i="62"/>
  <c r="E14" i="62"/>
  <c r="D14" i="62"/>
  <c r="C14" i="62"/>
  <c r="L13" i="62"/>
  <c r="K13" i="62"/>
  <c r="J13" i="62"/>
  <c r="I13" i="62"/>
  <c r="H13" i="62"/>
  <c r="G13" i="62"/>
  <c r="F13" i="62"/>
  <c r="E13" i="62"/>
  <c r="D13" i="62"/>
  <c r="C13" i="62"/>
  <c r="M13" i="62" s="1"/>
  <c r="L12" i="62"/>
  <c r="K12" i="62"/>
  <c r="J12" i="62"/>
  <c r="I12" i="62"/>
  <c r="H12" i="62"/>
  <c r="G12" i="62"/>
  <c r="F12" i="62"/>
  <c r="E12" i="62"/>
  <c r="D12" i="62"/>
  <c r="C12" i="62"/>
  <c r="L11" i="62"/>
  <c r="K11" i="62"/>
  <c r="J11" i="62"/>
  <c r="I11" i="62"/>
  <c r="H11" i="62"/>
  <c r="G11" i="62"/>
  <c r="F11" i="62"/>
  <c r="M11" i="62" s="1"/>
  <c r="E11" i="62"/>
  <c r="D11" i="62"/>
  <c r="C11" i="62"/>
  <c r="L10" i="62"/>
  <c r="J10" i="62"/>
  <c r="H10" i="62"/>
  <c r="G10" i="62"/>
  <c r="F10" i="62"/>
  <c r="E10" i="62"/>
  <c r="D10" i="62"/>
  <c r="C10" i="62"/>
  <c r="L9" i="62"/>
  <c r="K9" i="62"/>
  <c r="J9" i="62"/>
  <c r="I9" i="62"/>
  <c r="H9" i="62"/>
  <c r="G9" i="62"/>
  <c r="F9" i="62"/>
  <c r="E9" i="62"/>
  <c r="D9" i="62"/>
  <c r="C9" i="62"/>
  <c r="M9" i="62" s="1"/>
  <c r="L8" i="62"/>
  <c r="K8" i="62"/>
  <c r="J8" i="62"/>
  <c r="I8" i="62"/>
  <c r="H8" i="62"/>
  <c r="G8" i="62"/>
  <c r="F8" i="62"/>
  <c r="E8" i="62"/>
  <c r="D8" i="62"/>
  <c r="C8" i="62"/>
  <c r="L7" i="62"/>
  <c r="K7" i="62"/>
  <c r="J7" i="62"/>
  <c r="I7" i="62"/>
  <c r="H7" i="62"/>
  <c r="G7" i="62"/>
  <c r="G16" i="62" s="1"/>
  <c r="F7" i="62"/>
  <c r="F16" i="62" s="1"/>
  <c r="E7" i="62"/>
  <c r="D7" i="62"/>
  <c r="C7" i="62"/>
  <c r="L6" i="62"/>
  <c r="K6" i="62"/>
  <c r="J6" i="62"/>
  <c r="I6" i="62"/>
  <c r="H6" i="62"/>
  <c r="M6" i="62" s="1"/>
  <c r="G6" i="62"/>
  <c r="F6" i="62"/>
  <c r="E6" i="62"/>
  <c r="D6" i="62"/>
  <c r="C6" i="62"/>
  <c r="L5" i="62"/>
  <c r="K5" i="62"/>
  <c r="J5" i="62"/>
  <c r="I5" i="62"/>
  <c r="H5" i="62"/>
  <c r="G5" i="62"/>
  <c r="F5" i="62"/>
  <c r="E5" i="62"/>
  <c r="D5" i="62"/>
  <c r="C5" i="62"/>
  <c r="L4" i="62"/>
  <c r="L16" i="62" s="1"/>
  <c r="K4" i="62"/>
  <c r="J4" i="62"/>
  <c r="I4" i="62"/>
  <c r="H4" i="62"/>
  <c r="G4" i="62"/>
  <c r="F4" i="62"/>
  <c r="E4" i="62"/>
  <c r="D4" i="62"/>
  <c r="D16" i="62" s="1"/>
  <c r="C4" i="62"/>
  <c r="L5" i="61"/>
  <c r="L6" i="61"/>
  <c r="L7" i="61"/>
  <c r="L8" i="61"/>
  <c r="L9" i="61"/>
  <c r="L11" i="61"/>
  <c r="L12" i="61"/>
  <c r="L13" i="61"/>
  <c r="L14" i="61"/>
  <c r="L15" i="61"/>
  <c r="L4" i="61"/>
  <c r="K15" i="61"/>
  <c r="K5" i="61"/>
  <c r="K6" i="61"/>
  <c r="K7" i="61"/>
  <c r="K8" i="61"/>
  <c r="K9" i="61"/>
  <c r="K10" i="61"/>
  <c r="K11" i="61"/>
  <c r="K12" i="61"/>
  <c r="K13" i="61"/>
  <c r="K14" i="61"/>
  <c r="K4" i="61"/>
  <c r="J5" i="61"/>
  <c r="J6" i="61"/>
  <c r="J7" i="61"/>
  <c r="J8" i="61"/>
  <c r="J9" i="61"/>
  <c r="J11" i="61"/>
  <c r="J12" i="61"/>
  <c r="J13" i="61"/>
  <c r="J14" i="61"/>
  <c r="J15" i="61"/>
  <c r="J4" i="61"/>
  <c r="I5" i="61"/>
  <c r="I6" i="61"/>
  <c r="I7" i="61"/>
  <c r="I8" i="61"/>
  <c r="I9" i="61"/>
  <c r="I10" i="61"/>
  <c r="I11" i="61"/>
  <c r="I12" i="61"/>
  <c r="I13" i="61"/>
  <c r="I14" i="61"/>
  <c r="I15" i="61"/>
  <c r="I4" i="61"/>
  <c r="H5" i="61"/>
  <c r="H6" i="61"/>
  <c r="H7" i="61"/>
  <c r="H8" i="61"/>
  <c r="H9" i="61"/>
  <c r="H10" i="61"/>
  <c r="H11" i="61"/>
  <c r="H12" i="61"/>
  <c r="H13" i="61"/>
  <c r="H14" i="61"/>
  <c r="H15" i="61"/>
  <c r="H4" i="61"/>
  <c r="G5" i="61"/>
  <c r="G6" i="61"/>
  <c r="G7" i="61"/>
  <c r="G8" i="61"/>
  <c r="G9" i="61"/>
  <c r="G10" i="61"/>
  <c r="G11" i="61"/>
  <c r="G12" i="61"/>
  <c r="G13" i="61"/>
  <c r="G14" i="61"/>
  <c r="G15" i="61"/>
  <c r="G4" i="61"/>
  <c r="F5" i="61"/>
  <c r="F6" i="61"/>
  <c r="F7" i="61"/>
  <c r="F8" i="61"/>
  <c r="F9" i="61"/>
  <c r="F10" i="61"/>
  <c r="F11" i="61"/>
  <c r="F12" i="61"/>
  <c r="F13" i="61"/>
  <c r="F14" i="61"/>
  <c r="F15" i="61"/>
  <c r="M15" i="61" s="1"/>
  <c r="F4" i="61"/>
  <c r="E5" i="61"/>
  <c r="E6" i="61"/>
  <c r="E7" i="61"/>
  <c r="E8" i="61"/>
  <c r="E9" i="61"/>
  <c r="E10" i="61"/>
  <c r="E11" i="61"/>
  <c r="E12" i="61"/>
  <c r="E13" i="61"/>
  <c r="E14" i="61"/>
  <c r="E15" i="61"/>
  <c r="E4" i="61"/>
  <c r="D5" i="61"/>
  <c r="D6" i="61"/>
  <c r="D7" i="61"/>
  <c r="D8" i="61"/>
  <c r="D9" i="61"/>
  <c r="D10" i="61"/>
  <c r="D11" i="61"/>
  <c r="D12" i="61"/>
  <c r="D13" i="61"/>
  <c r="D14" i="61"/>
  <c r="M14" i="61" s="1"/>
  <c r="D15" i="61"/>
  <c r="D4" i="61"/>
  <c r="C5" i="61"/>
  <c r="C6" i="61"/>
  <c r="C7" i="61"/>
  <c r="C8" i="61"/>
  <c r="C9" i="61"/>
  <c r="C10" i="61"/>
  <c r="C11" i="61"/>
  <c r="C12" i="61"/>
  <c r="C13" i="61"/>
  <c r="C14" i="61"/>
  <c r="C15" i="61"/>
  <c r="C4" i="61"/>
  <c r="M7" i="61"/>
  <c r="M6" i="61" l="1"/>
  <c r="C16" i="61"/>
  <c r="M9" i="61"/>
  <c r="M12" i="62"/>
  <c r="M14" i="62"/>
  <c r="J16" i="62"/>
  <c r="M8" i="62"/>
  <c r="C16" i="62"/>
  <c r="M8" i="61"/>
  <c r="M5" i="62"/>
  <c r="H16" i="62"/>
  <c r="E16" i="62"/>
  <c r="M7" i="62"/>
  <c r="M4" i="62"/>
  <c r="M5" i="61"/>
  <c r="K16" i="61"/>
  <c r="I16" i="61"/>
  <c r="H16" i="61"/>
  <c r="M13" i="61"/>
  <c r="G16" i="61"/>
  <c r="F16" i="61"/>
  <c r="E16" i="61"/>
  <c r="M11" i="61"/>
  <c r="M12" i="61"/>
  <c r="D16" i="61"/>
  <c r="M4" i="61"/>
  <c r="I10" i="62" l="1"/>
  <c r="K10" i="62" l="1"/>
  <c r="K16" i="62" s="1"/>
  <c r="L10" i="61"/>
  <c r="L16" i="61" s="1"/>
  <c r="M10" i="62"/>
  <c r="M16" i="62" s="1"/>
  <c r="I16" i="62"/>
  <c r="J10" i="61"/>
  <c r="BI10" i="55"/>
  <c r="M17" i="62" l="1"/>
  <c r="J16" i="61"/>
  <c r="M10" i="61"/>
  <c r="M16" i="61" s="1"/>
  <c r="M17" i="61" s="1"/>
  <c r="J87" i="54" l="1"/>
  <c r="AC35" i="72" l="1"/>
  <c r="AE17" i="72" s="1"/>
  <c r="C22" i="71" s="1"/>
  <c r="AC31" i="72"/>
  <c r="AE16" i="72" s="1"/>
  <c r="C21" i="71" s="1"/>
  <c r="AC47" i="72"/>
  <c r="AE20" i="72" s="1"/>
  <c r="C25" i="71" s="1"/>
  <c r="AC39" i="72"/>
  <c r="AE18" i="72" s="1"/>
  <c r="C23" i="71" s="1"/>
  <c r="AC19" i="72" l="1"/>
  <c r="AE13" i="72" s="1"/>
  <c r="C18" i="71" s="1"/>
  <c r="AC23" i="72"/>
  <c r="AE14" i="72" s="1"/>
  <c r="C19" i="71" s="1"/>
  <c r="AC64" i="55"/>
  <c r="C28" i="54" s="1"/>
  <c r="AC15" i="72"/>
  <c r="AE12" i="72" s="1"/>
  <c r="C17" i="71" s="1"/>
  <c r="AC43" i="72"/>
  <c r="AE19" i="72" s="1"/>
  <c r="C24" i="71" s="1"/>
  <c r="E24" i="71" s="1"/>
  <c r="AC55" i="72"/>
  <c r="AE22" i="72" s="1"/>
  <c r="C27" i="71" s="1"/>
  <c r="AC51" i="72"/>
  <c r="AE21" i="72" s="1"/>
  <c r="C26" i="71" s="1"/>
  <c r="E25" i="71"/>
  <c r="E21" i="71"/>
  <c r="AC27" i="72"/>
  <c r="AE15" i="72" s="1"/>
  <c r="C20" i="71" s="1"/>
  <c r="E23" i="71"/>
  <c r="E22" i="71"/>
  <c r="E18" i="71"/>
  <c r="AC11" i="72"/>
  <c r="AC19" i="55"/>
  <c r="C17" i="54" s="1"/>
  <c r="AC427" i="55"/>
  <c r="I45" i="54" s="1"/>
  <c r="AC366" i="55"/>
  <c r="I30" i="54" s="1"/>
  <c r="AC72" i="55"/>
  <c r="C30" i="54" s="1"/>
  <c r="AC121" i="55"/>
  <c r="C42" i="54" s="1"/>
  <c r="AC488" i="55"/>
  <c r="I60" i="54" s="1"/>
  <c r="AC582" i="55"/>
  <c r="I83" i="54" s="1"/>
  <c r="AC386" i="55"/>
  <c r="I35" i="54" s="1"/>
  <c r="AC468" i="55"/>
  <c r="I55" i="54" s="1"/>
  <c r="AC541" i="55"/>
  <c r="I73" i="54" s="1"/>
  <c r="AC578" i="55"/>
  <c r="I82" i="54" s="1"/>
  <c r="AC80" i="55"/>
  <c r="C32" i="54" s="1"/>
  <c r="AC358" i="55"/>
  <c r="I28" i="54" s="1"/>
  <c r="AC415" i="55"/>
  <c r="I42" i="54" s="1"/>
  <c r="AC496" i="55"/>
  <c r="I62" i="54" s="1"/>
  <c r="AC113" i="55"/>
  <c r="C40" i="54" s="1"/>
  <c r="AC423" i="55"/>
  <c r="I44" i="54" s="1"/>
  <c r="AC394" i="55"/>
  <c r="I37" i="54" s="1"/>
  <c r="AC537" i="55"/>
  <c r="I72" i="54" s="1"/>
  <c r="AC545" i="55"/>
  <c r="I74" i="54" s="1"/>
  <c r="AC550" i="55"/>
  <c r="AC464" i="55"/>
  <c r="I54" i="54" s="1"/>
  <c r="AC558" i="55"/>
  <c r="I77" i="54" s="1"/>
  <c r="AC149" i="55"/>
  <c r="C49" i="54" s="1"/>
  <c r="AC554" i="55"/>
  <c r="I76" i="54" s="1"/>
  <c r="AC133" i="55"/>
  <c r="C45" i="54" s="1"/>
  <c r="AC533" i="55"/>
  <c r="I71" i="54" s="1"/>
  <c r="AC590" i="55"/>
  <c r="I85" i="54" s="1"/>
  <c r="AC378" i="55"/>
  <c r="I33" i="54" s="1"/>
  <c r="AC476" i="55"/>
  <c r="I57" i="54" s="1"/>
  <c r="AC562" i="55"/>
  <c r="I78" i="54" s="1"/>
  <c r="AC480" i="55"/>
  <c r="I58" i="54" s="1"/>
  <c r="AC125" i="55"/>
  <c r="C43" i="54" s="1"/>
  <c r="AC382" i="55"/>
  <c r="I34" i="54" s="1"/>
  <c r="AC362" i="55"/>
  <c r="I29" i="54" s="1"/>
  <c r="AC586" i="55"/>
  <c r="I84" i="54" s="1"/>
  <c r="AC460" i="55"/>
  <c r="I53" i="54" s="1"/>
  <c r="AC88" i="55"/>
  <c r="C34" i="54" s="1"/>
  <c r="AC390" i="55"/>
  <c r="I36" i="54" s="1"/>
  <c r="AC76" i="55"/>
  <c r="C31" i="54" s="1"/>
  <c r="AC15" i="55"/>
  <c r="C16" i="54" s="1"/>
  <c r="AC47" i="55"/>
  <c r="C24" i="54" s="1"/>
  <c r="AC484" i="55"/>
  <c r="I59" i="54" s="1"/>
  <c r="AC141" i="55"/>
  <c r="C47" i="54" s="1"/>
  <c r="AC419" i="55"/>
  <c r="I43" i="54" s="1"/>
  <c r="AC374" i="55"/>
  <c r="I32" i="54" s="1"/>
  <c r="AC92" i="55"/>
  <c r="C35" i="54" s="1"/>
  <c r="AC55" i="55"/>
  <c r="C26" i="54" s="1"/>
  <c r="AC431" i="55"/>
  <c r="I46" i="54" s="1"/>
  <c r="AC435" i="55"/>
  <c r="I47" i="54" s="1"/>
  <c r="AC447" i="55"/>
  <c r="I50" i="54" s="1"/>
  <c r="AC39" i="55"/>
  <c r="C22" i="54" s="1"/>
  <c r="AC370" i="55"/>
  <c r="I31" i="54" s="1"/>
  <c r="AC570" i="55"/>
  <c r="I80" i="54" s="1"/>
  <c r="AC35" i="55"/>
  <c r="C21" i="54" s="1"/>
  <c r="AC137" i="55"/>
  <c r="C46" i="54" s="1"/>
  <c r="AC51" i="55"/>
  <c r="C25" i="54" s="1"/>
  <c r="AC43" i="55"/>
  <c r="C23" i="54" s="1"/>
  <c r="AC594" i="55"/>
  <c r="I86" i="54" s="1"/>
  <c r="AC443" i="55"/>
  <c r="I49" i="54" s="1"/>
  <c r="AC513" i="55"/>
  <c r="I66" i="54" s="1"/>
  <c r="AC104" i="55"/>
  <c r="C38" i="54" s="1"/>
  <c r="AC439" i="55"/>
  <c r="I48" i="54" s="1"/>
  <c r="AC23" i="55"/>
  <c r="C18" i="54" s="1"/>
  <c r="AC145" i="55"/>
  <c r="C48" i="54" s="1"/>
  <c r="AC129" i="55"/>
  <c r="C44" i="54" s="1"/>
  <c r="AC521" i="55"/>
  <c r="I68" i="54" s="1"/>
  <c r="AC55" i="68"/>
  <c r="AE22" i="68" s="1"/>
  <c r="C27" i="67" s="1"/>
  <c r="AC43" i="68"/>
  <c r="AE19" i="68" s="1"/>
  <c r="C24" i="67" s="1"/>
  <c r="AC39" i="68"/>
  <c r="AE18" i="68" s="1"/>
  <c r="C23" i="67" s="1"/>
  <c r="AC35" i="68"/>
  <c r="AC51" i="68"/>
  <c r="AE21" i="68" s="1"/>
  <c r="C26" i="67" s="1"/>
  <c r="E28" i="54" l="1"/>
  <c r="E27" i="71"/>
  <c r="E26" i="71"/>
  <c r="E17" i="71"/>
  <c r="E19" i="71"/>
  <c r="AC68" i="55"/>
  <c r="C29" i="54" s="1"/>
  <c r="AC407" i="55"/>
  <c r="I40" i="54" s="1"/>
  <c r="AC566" i="55"/>
  <c r="I79" i="54" s="1"/>
  <c r="AC27" i="55"/>
  <c r="C19" i="54" s="1"/>
  <c r="K50" i="54"/>
  <c r="K42" i="54"/>
  <c r="K35" i="54"/>
  <c r="E20" i="71"/>
  <c r="K85" i="54"/>
  <c r="K53" i="54"/>
  <c r="K60" i="54"/>
  <c r="E25" i="54"/>
  <c r="E47" i="54"/>
  <c r="K37" i="54"/>
  <c r="K58" i="54"/>
  <c r="E26" i="67"/>
  <c r="E44" i="54"/>
  <c r="K71" i="54"/>
  <c r="K29" i="54"/>
  <c r="AC492" i="55"/>
  <c r="I61" i="54" s="1"/>
  <c r="K48" i="54"/>
  <c r="K78" i="54"/>
  <c r="E18" i="54"/>
  <c r="K74" i="54"/>
  <c r="K73" i="54"/>
  <c r="E42" i="54"/>
  <c r="K46" i="54"/>
  <c r="K82" i="54"/>
  <c r="AC47" i="68"/>
  <c r="AE20" i="68" s="1"/>
  <c r="C25" i="67" s="1"/>
  <c r="E23" i="67"/>
  <c r="AC574" i="55"/>
  <c r="I81" i="54" s="1"/>
  <c r="E24" i="54"/>
  <c r="E45" i="54"/>
  <c r="K28" i="54"/>
  <c r="AC452" i="55"/>
  <c r="I51" i="54" s="1"/>
  <c r="AC153" i="55"/>
  <c r="C50" i="54" s="1"/>
  <c r="AC190" i="55"/>
  <c r="C59" i="54" s="1"/>
  <c r="K54" i="54"/>
  <c r="K45" i="54"/>
  <c r="K55" i="54"/>
  <c r="AC100" i="55"/>
  <c r="C37" i="54" s="1"/>
  <c r="E21" i="54"/>
  <c r="K84" i="54"/>
  <c r="K34" i="54"/>
  <c r="AC84" i="55"/>
  <c r="C33" i="54" s="1"/>
  <c r="K76" i="54"/>
  <c r="K72" i="54"/>
  <c r="K80" i="54"/>
  <c r="K83" i="54"/>
  <c r="AC96" i="55"/>
  <c r="C36" i="54" s="1"/>
  <c r="K59" i="54"/>
  <c r="AC411" i="55"/>
  <c r="I41" i="54" s="1"/>
  <c r="K31" i="54"/>
  <c r="K47" i="54"/>
  <c r="E26" i="54"/>
  <c r="K43" i="54"/>
  <c r="AC517" i="55"/>
  <c r="I67" i="54" s="1"/>
  <c r="AC505" i="55"/>
  <c r="I64" i="54" s="1"/>
  <c r="E17" i="54"/>
  <c r="E16" i="54"/>
  <c r="K36" i="54"/>
  <c r="E32" i="54"/>
  <c r="E38" i="54"/>
  <c r="AC509" i="55"/>
  <c r="I65" i="54" s="1"/>
  <c r="E46" i="54"/>
  <c r="K68" i="54"/>
  <c r="K57" i="54"/>
  <c r="E49" i="54"/>
  <c r="K77" i="54"/>
  <c r="E30" i="54"/>
  <c r="E22" i="54"/>
  <c r="E27" i="67"/>
  <c r="AC31" i="55"/>
  <c r="C20" i="54" s="1"/>
  <c r="K86" i="54"/>
  <c r="E48" i="54"/>
  <c r="AC117" i="55"/>
  <c r="C41" i="54" s="1"/>
  <c r="AC525" i="55"/>
  <c r="I69" i="54" s="1"/>
  <c r="K32" i="54"/>
  <c r="E31" i="54"/>
  <c r="AC398" i="55"/>
  <c r="I38" i="54" s="1"/>
  <c r="AC472" i="55"/>
  <c r="I56" i="54" s="1"/>
  <c r="K44" i="54"/>
  <c r="AC501" i="55"/>
  <c r="I63" i="54" s="1"/>
  <c r="K49" i="54"/>
  <c r="E43" i="54"/>
  <c r="E40" i="54"/>
  <c r="E35" i="54"/>
  <c r="K66" i="54"/>
  <c r="E24" i="67"/>
  <c r="AC60" i="55"/>
  <c r="E23" i="54"/>
  <c r="E34" i="54"/>
  <c r="K33" i="54"/>
  <c r="AC109" i="55"/>
  <c r="C39" i="54" s="1"/>
  <c r="AC456" i="55"/>
  <c r="I52" i="54" s="1"/>
  <c r="K62" i="54"/>
  <c r="K30" i="54"/>
  <c r="AC223" i="55"/>
  <c r="C67" i="54" s="1"/>
  <c r="I75" i="54"/>
  <c r="AC403" i="55"/>
  <c r="AE17" i="68"/>
  <c r="AC158" i="55"/>
  <c r="AC300" i="55"/>
  <c r="C86" i="54" s="1"/>
  <c r="AC182" i="55"/>
  <c r="C57" i="54" s="1"/>
  <c r="AC239" i="55"/>
  <c r="C71" i="54" s="1"/>
  <c r="AC349" i="55"/>
  <c r="I26" i="54" s="1"/>
  <c r="AC251" i="55"/>
  <c r="C74" i="54" s="1"/>
  <c r="AC276" i="55"/>
  <c r="C80" i="54" s="1"/>
  <c r="AC325" i="55"/>
  <c r="I20" i="54" s="1"/>
  <c r="AC219" i="55"/>
  <c r="C66" i="54" s="1"/>
  <c r="AC243" i="55"/>
  <c r="C72" i="54" s="1"/>
  <c r="AC354" i="55"/>
  <c r="AC202" i="55"/>
  <c r="C62" i="54" s="1"/>
  <c r="AC178" i="55"/>
  <c r="C56" i="54" s="1"/>
  <c r="AC292" i="55"/>
  <c r="C84" i="54" s="1"/>
  <c r="AC166" i="55"/>
  <c r="C53" i="54" s="1"/>
  <c r="AC337" i="55"/>
  <c r="I23" i="54" s="1"/>
  <c r="AC174" i="55"/>
  <c r="C55" i="54" s="1"/>
  <c r="AC305" i="55"/>
  <c r="AC194" i="55"/>
  <c r="C60" i="54" s="1"/>
  <c r="AC341" i="55"/>
  <c r="I24" i="54" s="1"/>
  <c r="AC211" i="55"/>
  <c r="C64" i="54" s="1"/>
  <c r="AC329" i="55"/>
  <c r="I21" i="54" s="1"/>
  <c r="AC313" i="55"/>
  <c r="I17" i="54" s="1"/>
  <c r="AC317" i="55"/>
  <c r="I18" i="54" s="1"/>
  <c r="AC333" i="55"/>
  <c r="I22" i="54" s="1"/>
  <c r="AC280" i="55"/>
  <c r="C81" i="54" s="1"/>
  <c r="AC207" i="55"/>
  <c r="AC272" i="55"/>
  <c r="C79" i="54" s="1"/>
  <c r="AC288" i="55"/>
  <c r="C83" i="54" s="1"/>
  <c r="AC247" i="55"/>
  <c r="C73" i="54" s="1"/>
  <c r="AC198" i="55"/>
  <c r="C61" i="54" s="1"/>
  <c r="AC345" i="55"/>
  <c r="I25" i="54" s="1"/>
  <c r="AC309" i="55"/>
  <c r="I16" i="54" s="1"/>
  <c r="AC321" i="55"/>
  <c r="I19" i="54" s="1"/>
  <c r="AC11" i="55"/>
  <c r="AC529" i="55"/>
  <c r="I70" i="54" s="1"/>
  <c r="AC162" i="55"/>
  <c r="C52" i="54" s="1"/>
  <c r="AC296" i="55"/>
  <c r="C85" i="54" s="1"/>
  <c r="AC215" i="55"/>
  <c r="C65" i="54" s="1"/>
  <c r="AC268" i="55"/>
  <c r="C78" i="54" s="1"/>
  <c r="AC260" i="55"/>
  <c r="C76" i="54" s="1"/>
  <c r="AE11" i="72"/>
  <c r="AC59" i="72"/>
  <c r="AC256" i="55"/>
  <c r="AC231" i="55"/>
  <c r="C69" i="54" s="1"/>
  <c r="AC170" i="55"/>
  <c r="C54" i="54" s="1"/>
  <c r="AC264" i="55"/>
  <c r="C77" i="54" s="1"/>
  <c r="AC235" i="55"/>
  <c r="C70" i="54" s="1"/>
  <c r="AC227" i="55"/>
  <c r="C68" i="54" s="1"/>
  <c r="AC284" i="55"/>
  <c r="C82" i="54" s="1"/>
  <c r="AC186" i="55"/>
  <c r="C58" i="54" s="1"/>
  <c r="AC598" i="55" l="1"/>
  <c r="BG23" i="55" s="1"/>
  <c r="AC157" i="55"/>
  <c r="BG14" i="55" s="1"/>
  <c r="E19" i="54"/>
  <c r="K79" i="54"/>
  <c r="K40" i="54"/>
  <c r="E29" i="54"/>
  <c r="AC59" i="68"/>
  <c r="AC500" i="55"/>
  <c r="BG21" i="55" s="1"/>
  <c r="AC108" i="55"/>
  <c r="BG13" i="55" s="1"/>
  <c r="C27" i="54"/>
  <c r="E39" i="54"/>
  <c r="E68" i="54"/>
  <c r="K38" i="54"/>
  <c r="E78" i="54"/>
  <c r="E81" i="54"/>
  <c r="E53" i="54"/>
  <c r="K20" i="54"/>
  <c r="K75" i="54"/>
  <c r="K61" i="54"/>
  <c r="E65" i="54"/>
  <c r="K22" i="54"/>
  <c r="E84" i="54"/>
  <c r="E80" i="54"/>
  <c r="E67" i="54"/>
  <c r="E70" i="54"/>
  <c r="E85" i="54"/>
  <c r="K18" i="54"/>
  <c r="E56" i="54"/>
  <c r="E74" i="54"/>
  <c r="K23" i="54"/>
  <c r="E77" i="54"/>
  <c r="E52" i="54"/>
  <c r="K25" i="54"/>
  <c r="E62" i="54"/>
  <c r="E72" i="54"/>
  <c r="K26" i="54"/>
  <c r="K51" i="54"/>
  <c r="K41" i="54"/>
  <c r="E33" i="54"/>
  <c r="E54" i="54"/>
  <c r="K70" i="54"/>
  <c r="E61" i="54"/>
  <c r="K63" i="54"/>
  <c r="E66" i="54"/>
  <c r="E71" i="54"/>
  <c r="K69" i="54"/>
  <c r="K81" i="54"/>
  <c r="E76" i="54"/>
  <c r="E69" i="54"/>
  <c r="E73" i="54"/>
  <c r="E64" i="54"/>
  <c r="E57" i="54"/>
  <c r="E41" i="54"/>
  <c r="K65" i="54"/>
  <c r="K64" i="54"/>
  <c r="E83" i="54"/>
  <c r="K24" i="54"/>
  <c r="E86" i="54"/>
  <c r="K67" i="54"/>
  <c r="E36" i="54"/>
  <c r="E79" i="54"/>
  <c r="E60" i="54"/>
  <c r="E59" i="54"/>
  <c r="E25" i="67"/>
  <c r="K19" i="54"/>
  <c r="E50" i="54"/>
  <c r="E58" i="54"/>
  <c r="K16" i="54"/>
  <c r="K17" i="54"/>
  <c r="E82" i="54"/>
  <c r="K21" i="54"/>
  <c r="E55" i="54"/>
  <c r="K52" i="54"/>
  <c r="K56" i="54"/>
  <c r="E20" i="54"/>
  <c r="E37" i="54"/>
  <c r="C63" i="54"/>
  <c r="AC255" i="55"/>
  <c r="BG16" i="55" s="1"/>
  <c r="I15" i="54"/>
  <c r="AC353" i="55"/>
  <c r="BG18" i="55" s="1"/>
  <c r="C51" i="54"/>
  <c r="AC206" i="55"/>
  <c r="BG15" i="55" s="1"/>
  <c r="C22" i="67"/>
  <c r="AE23" i="68"/>
  <c r="I39" i="54"/>
  <c r="AC451" i="55"/>
  <c r="AE23" i="72"/>
  <c r="C16" i="71"/>
  <c r="AC549" i="55"/>
  <c r="BG22" i="55" s="1"/>
  <c r="C15" i="54"/>
  <c r="AC59" i="55"/>
  <c r="BG12" i="55" s="1"/>
  <c r="C75" i="54"/>
  <c r="AC304" i="55"/>
  <c r="BG17" i="55" s="1"/>
  <c r="I27" i="54"/>
  <c r="AC402" i="55"/>
  <c r="BG19" i="55" s="1"/>
  <c r="E27" i="54" l="1"/>
  <c r="K27" i="54"/>
  <c r="K39" i="54"/>
  <c r="E63" i="54"/>
  <c r="E75" i="54"/>
  <c r="E51" i="54"/>
  <c r="K15" i="54"/>
  <c r="E15" i="54"/>
  <c r="I87" i="54"/>
  <c r="C28" i="71"/>
  <c r="E16" i="71"/>
  <c r="E28" i="71" s="1"/>
  <c r="BG20" i="55"/>
  <c r="AC599" i="55"/>
  <c r="E22" i="67"/>
  <c r="E28" i="67" s="1"/>
  <c r="C28" i="67"/>
  <c r="K87" i="54" l="1"/>
  <c r="D28" i="67"/>
  <c r="AC601" i="55"/>
  <c r="BG25" i="55"/>
  <c r="D28" i="71"/>
  <c r="AC39" i="70" l="1"/>
  <c r="AE18" i="70" s="1"/>
  <c r="C23" i="69" s="1"/>
  <c r="AC27" i="70"/>
  <c r="AE15" i="70" s="1"/>
  <c r="C20" i="69" s="1"/>
  <c r="AC23" i="70"/>
  <c r="AE14" i="70" s="1"/>
  <c r="C19" i="69" s="1"/>
  <c r="AC43" i="70"/>
  <c r="AE19" i="70" s="1"/>
  <c r="C24" i="69" s="1"/>
  <c r="AC15" i="70"/>
  <c r="AE12" i="70" s="1"/>
  <c r="C17" i="69" s="1"/>
  <c r="AC35" i="70"/>
  <c r="AE17" i="70" s="1"/>
  <c r="C22" i="69" s="1"/>
  <c r="AC31" i="70"/>
  <c r="AE16" i="70" s="1"/>
  <c r="C21" i="69" s="1"/>
  <c r="AC47" i="70"/>
  <c r="AE20" i="70" s="1"/>
  <c r="C25" i="69" s="1"/>
  <c r="AC51" i="70"/>
  <c r="AE21" i="70" s="1"/>
  <c r="C26" i="69" s="1"/>
  <c r="AC19" i="70"/>
  <c r="AE13" i="70" s="1"/>
  <c r="C18" i="69" s="1"/>
  <c r="AC55" i="70"/>
  <c r="AE22" i="70" s="1"/>
  <c r="C27" i="69" s="1"/>
  <c r="E24" i="69" l="1"/>
  <c r="E19" i="69"/>
  <c r="E22" i="69"/>
  <c r="E20" i="69"/>
  <c r="E18" i="69"/>
  <c r="E26" i="69"/>
  <c r="E25" i="69"/>
  <c r="E17" i="69"/>
  <c r="E27" i="69"/>
  <c r="E21" i="69"/>
  <c r="E23" i="69"/>
  <c r="AC11" i="70"/>
  <c r="AC59" i="70" l="1"/>
  <c r="AE11" i="70"/>
  <c r="AE23" i="70" l="1"/>
  <c r="C16" i="69"/>
  <c r="E16" i="69" l="1"/>
  <c r="E28" i="69" s="1"/>
  <c r="C28" i="69"/>
  <c r="D28" i="69" l="1"/>
  <c r="B5" i="78" l="1"/>
  <c r="B6" i="78" l="1"/>
  <c r="B7" i="78" l="1"/>
  <c r="B8" i="78" l="1"/>
  <c r="B9" i="78" l="1"/>
  <c r="B10" i="78" l="1"/>
  <c r="B11" i="78" l="1"/>
  <c r="B12" i="78" l="1"/>
  <c r="B13" i="78" l="1"/>
  <c r="B14" i="78" l="1"/>
  <c r="B15" i="78" l="1"/>
  <c r="B16" i="78" l="1"/>
  <c r="B17" i="78" l="1"/>
  <c r="B18" i="78" l="1"/>
  <c r="B19" i="78" l="1"/>
  <c r="B20" i="78" l="1"/>
  <c r="B21" i="78" l="1"/>
  <c r="B22" i="78" l="1"/>
  <c r="B23" i="78" l="1"/>
  <c r="B24" i="78" l="1"/>
  <c r="B25" i="78" l="1"/>
  <c r="B26" i="78" l="1"/>
  <c r="B27" i="78" l="1"/>
  <c r="B28" i="78" l="1"/>
  <c r="B29" i="78" l="1"/>
  <c r="B30" i="78" l="1"/>
  <c r="B31" i="78" l="1"/>
  <c r="B32" i="78" l="1"/>
  <c r="B33" i="78" l="1"/>
  <c r="B34" i="78" l="1"/>
  <c r="B35" i="78" l="1"/>
  <c r="B36" i="78" l="1"/>
  <c r="B37" i="78" l="1"/>
  <c r="B38" i="78" l="1"/>
  <c r="B39" i="78" l="1"/>
  <c r="B40" i="78" l="1"/>
  <c r="B41" i="78" l="1"/>
  <c r="B42" i="78" l="1"/>
  <c r="B43" i="78" l="1"/>
  <c r="B44" i="78" l="1"/>
  <c r="B45" i="78" l="1"/>
  <c r="B46" i="78" l="1"/>
  <c r="B47" i="78" l="1"/>
  <c r="B48" i="78" l="1"/>
  <c r="B49" i="78" l="1"/>
  <c r="B50" i="78" l="1"/>
  <c r="B51" i="78" l="1"/>
  <c r="B52" i="78" l="1"/>
  <c r="B53" i="78" l="1"/>
  <c r="B54" i="78" l="1"/>
  <c r="B55" i="78" l="1"/>
  <c r="B56" i="78" l="1"/>
  <c r="B57" i="78" l="1"/>
  <c r="B58" i="78" l="1"/>
  <c r="B59" i="78" l="1"/>
  <c r="B60" i="78" l="1"/>
  <c r="B61" i="78" l="1"/>
  <c r="B62" i="78" l="1"/>
  <c r="B63" i="78" l="1"/>
  <c r="B64" i="78" l="1"/>
  <c r="E5" i="78" l="1"/>
  <c r="E6" i="78" l="1"/>
  <c r="E7" i="78" l="1"/>
  <c r="E8" i="78" l="1"/>
  <c r="E9" i="78" l="1"/>
  <c r="E10" i="78" l="1"/>
  <c r="E11" i="78" l="1"/>
  <c r="E12" i="78" l="1"/>
  <c r="E13" i="78" l="1"/>
  <c r="E14" i="78" l="1"/>
  <c r="E15" i="78" l="1"/>
  <c r="E16" i="78" l="1"/>
  <c r="E17" i="78" l="1"/>
  <c r="E18" i="78" l="1"/>
  <c r="E19" i="78" l="1"/>
  <c r="E20" i="78" l="1"/>
  <c r="E21" i="78" l="1"/>
  <c r="E22" i="78" l="1"/>
  <c r="E23" i="78" l="1"/>
  <c r="E24" i="78" l="1"/>
  <c r="E25" i="78" l="1"/>
  <c r="E26" i="78" l="1"/>
  <c r="E27" i="78" l="1"/>
  <c r="E28" i="78" l="1"/>
  <c r="E29" i="78" l="1"/>
  <c r="E30" i="78" l="1"/>
  <c r="E31" i="78" l="1"/>
  <c r="E32" i="78" l="1"/>
  <c r="E33" i="78" l="1"/>
  <c r="E34" i="78" l="1"/>
  <c r="E35" i="78" l="1"/>
  <c r="E36" i="78" l="1"/>
  <c r="E37" i="78" l="1"/>
  <c r="E38" i="78" l="1"/>
  <c r="E39" i="78" l="1"/>
  <c r="E40" i="78" l="1"/>
  <c r="E41" i="78" l="1"/>
  <c r="E42" i="78" l="1"/>
  <c r="E43" i="78" l="1"/>
  <c r="E44" i="78" l="1"/>
  <c r="E45" i="78" l="1"/>
  <c r="E46" i="78" l="1"/>
  <c r="E47" i="78" l="1"/>
  <c r="E48" i="78" l="1"/>
  <c r="E49" i="78" l="1"/>
  <c r="E50" i="78" l="1"/>
  <c r="E51" i="78" l="1"/>
  <c r="E52" i="78" l="1"/>
  <c r="E53" i="78" l="1"/>
  <c r="E54" i="78" l="1"/>
  <c r="E55" i="78" l="1"/>
  <c r="E56" i="78" l="1"/>
  <c r="E57" i="78" l="1"/>
  <c r="E58" i="78" l="1"/>
  <c r="E59" i="78" l="1"/>
  <c r="E60" i="78" l="1"/>
  <c r="E61" i="78" l="1"/>
  <c r="E62" i="78" l="1"/>
  <c r="E63" i="78" l="1"/>
  <c r="E64" i="78" l="1"/>
  <c r="H5" i="78" l="1"/>
  <c r="H6" i="78" l="1"/>
  <c r="H7" i="78" l="1"/>
  <c r="H8" i="78" l="1"/>
  <c r="H9" i="78" l="1"/>
  <c r="H10" i="78" l="1"/>
  <c r="H11" i="78" l="1"/>
  <c r="H12" i="78" l="1"/>
  <c r="H13" i="78" l="1"/>
  <c r="H14" i="78" l="1"/>
  <c r="H15" i="78" l="1"/>
  <c r="H16" i="78" l="1"/>
  <c r="H17" i="78" l="1"/>
  <c r="H18" i="78" l="1"/>
  <c r="H19" i="78" l="1"/>
  <c r="H20" i="78" l="1"/>
  <c r="H21" i="78" l="1"/>
  <c r="H22" i="78" l="1"/>
  <c r="H23" i="78" l="1"/>
  <c r="H24" i="78" l="1"/>
  <c r="H25" i="78" l="1"/>
  <c r="H26" i="78" l="1"/>
  <c r="H27" i="78" l="1"/>
  <c r="H28" i="78" l="1"/>
  <c r="H29" i="78" l="1"/>
  <c r="H30" i="78" l="1"/>
  <c r="H31" i="78" l="1"/>
  <c r="H32" i="78" l="1"/>
  <c r="H33" i="78" l="1"/>
  <c r="H34" i="78" l="1"/>
  <c r="H35" i="78" l="1"/>
  <c r="H36" i="78" l="1"/>
  <c r="H37" i="78" l="1"/>
  <c r="H38" i="78" l="1"/>
  <c r="H39" i="78" l="1"/>
  <c r="H40" i="78" l="1"/>
  <c r="H41" i="78" l="1"/>
  <c r="H42" i="78" l="1"/>
  <c r="H43" i="78" l="1"/>
  <c r="H44" i="78" l="1"/>
  <c r="H45" i="78" l="1"/>
  <c r="H46" i="78" l="1"/>
  <c r="H47" i="78"/>
  <c r="H48" i="78" l="1"/>
  <c r="H49" i="78" l="1"/>
  <c r="H50" i="78" l="1"/>
  <c r="H51" i="78" l="1"/>
  <c r="H52" i="78" l="1"/>
  <c r="H53" i="78" l="1"/>
  <c r="H54" i="78" l="1"/>
  <c r="H55" i="78" l="1"/>
  <c r="H56" i="78" l="1"/>
  <c r="H57" i="78" l="1"/>
  <c r="H58" i="78" l="1"/>
  <c r="H59" i="78" l="1"/>
  <c r="H60" i="78" l="1"/>
  <c r="H61" i="78" l="1"/>
  <c r="H62" i="78" l="1"/>
  <c r="H63" i="78" l="1"/>
  <c r="H64" i="78"/>
</calcChain>
</file>

<file path=xl/sharedStrings.xml><?xml version="1.0" encoding="utf-8"?>
<sst xmlns="http://schemas.openxmlformats.org/spreadsheetml/2006/main" count="1395" uniqueCount="149">
  <si>
    <t>ELETRIFICADORA DE SANTANDER S.A  E.S.P.</t>
  </si>
  <si>
    <t>PAGUELO CONTRATADO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</si>
  <si>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</si>
  <si>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</si>
  <si>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</si>
  <si>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</si>
  <si>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</si>
  <si>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</si>
  <si>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</si>
  <si>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</si>
  <si>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</si>
  <si>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</si>
  <si>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</si>
  <si>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</si>
  <si>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</si>
  <si>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</si>
  <si>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</si>
  <si>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</si>
  <si>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</si>
  <si>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</si>
  <si>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</si>
  <si>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</si>
  <si>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</si>
  <si>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</si>
  <si>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</si>
  <si>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</si>
  <si>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</si>
  <si>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</si>
  <si>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</si>
  <si>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 xml:space="preserve"> Ordinario</t>
  </si>
  <si>
    <t xml:space="preserve"> Sábado</t>
  </si>
  <si>
    <t xml:space="preserve"> Domingo</t>
  </si>
  <si>
    <t xml:space="preserve"> Festivo</t>
  </si>
  <si>
    <t>TOTAL AÑO kWh</t>
  </si>
  <si>
    <t>Feb</t>
  </si>
  <si>
    <t>OFERENTE:</t>
  </si>
  <si>
    <t>Mes-año</t>
  </si>
  <si>
    <t>Energia Solicitada (kWh)</t>
  </si>
  <si>
    <t>%
a ofertar</t>
  </si>
  <si>
    <t>Energia Oferta
kWh</t>
  </si>
  <si>
    <t>Precio
$ / kWh</t>
  </si>
  <si>
    <t>TOTAL</t>
  </si>
  <si>
    <t xml:space="preserve">(2) Tipo de Contrato: pague lo contratado. </t>
  </si>
  <si>
    <t>FIRMA OFERENTE E.S.P.</t>
  </si>
  <si>
    <t>Tipo de agente:</t>
  </si>
  <si>
    <t>Oferta No.:</t>
  </si>
  <si>
    <t>Tipo de oferta:</t>
  </si>
  <si>
    <t>Notas:</t>
  </si>
  <si>
    <t>TOTAL MES
kWh</t>
  </si>
  <si>
    <t>TOTAL PRODUCTO kWh</t>
  </si>
  <si>
    <t>TOTAL PRODUCTO</t>
  </si>
  <si>
    <t>PERIODO</t>
  </si>
  <si>
    <t>TOTAL DIA</t>
  </si>
  <si>
    <t xml:space="preserve">TOTAL AÑO
 </t>
  </si>
  <si>
    <t>(4) El precio debe ser Igual para todos los meses por año e Independiente por año del productor año, con dos cifras decimales</t>
  </si>
  <si>
    <t>(7) No serán tenidas en cuenta ofertas con condiciones y/o modificaciones adicionales a los Pliegos definitivos.</t>
  </si>
  <si>
    <t>MWh-año</t>
  </si>
  <si>
    <t>Año 2024</t>
  </si>
  <si>
    <t>CURVA</t>
  </si>
  <si>
    <t>Comercializador</t>
  </si>
  <si>
    <t>Generador</t>
  </si>
  <si>
    <t>PLANA</t>
  </si>
  <si>
    <t>MIXTA</t>
  </si>
  <si>
    <t>Elegir de la lista desplegable</t>
  </si>
  <si>
    <t>Diligenciar</t>
  </si>
  <si>
    <t>(6) El precio incluye todos los cargos, impuestos y contribuciones que según la reglamentación vigente en la fecha de apertura de propuestas son responsabilidad de EL OFERENTE .</t>
  </si>
  <si>
    <t>PLANA SOLAR</t>
  </si>
  <si>
    <t>CURVA SOLAR</t>
  </si>
  <si>
    <t>AÑO 2026
Energia Solicitada (kWh)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</si>
  <si>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</si>
  <si>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</si>
  <si>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</si>
  <si>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</si>
  <si>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</si>
  <si>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</si>
  <si>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</si>
  <si>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</si>
  <si>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</si>
  <si>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</si>
  <si>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</si>
  <si>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</si>
  <si>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 misma curva de la tabla 9.1.2 del producto 1</t>
  </si>
  <si>
    <t>AÑO 2027
Energia Solicitada (kWh)</t>
  </si>
  <si>
    <t>La misma curva de la tabla 9.1.3 del producto 1</t>
  </si>
  <si>
    <t>AÑO 2028
Energia Solicitada (kWh)</t>
  </si>
  <si>
    <t>La misma curva de la tabla 9.1.4 del producto 1</t>
  </si>
  <si>
    <t>AÑO 2029
Energia Solicitada (kWh)</t>
  </si>
  <si>
    <t>La misma curva de la tabla 9.1.5 del producto 1</t>
  </si>
  <si>
    <t>AÑO 2030
Energia Solicitada (kWh)</t>
  </si>
  <si>
    <t>La misma curva de la tabla 9.1.6 del producto 1</t>
  </si>
  <si>
    <t>AÑO 2031
Energia Solicitada (kWh)</t>
  </si>
  <si>
    <t>La misma curva de la tabla 9.1.7 del producto 1</t>
  </si>
  <si>
    <t>AÑO 2032
Energia Solicitada (kWh)</t>
  </si>
  <si>
    <t>La misma curva de la tabla 9.1.8 del producto 1</t>
  </si>
  <si>
    <t>AÑO 2033
Energia Solicitada (kWh)</t>
  </si>
  <si>
    <t>La misma curva de la tabla 9.1.9 del producto 1</t>
  </si>
  <si>
    <t>AÑO 2034
Energia Solicitada (kWh)</t>
  </si>
  <si>
    <t>La misma curva de la tabla 9.1.10 del producto 1</t>
  </si>
  <si>
    <t>La misma curva de la tabla 9.1.11 del producto 1</t>
  </si>
  <si>
    <t>TOTAL PRODUCTO 2
Energia Solicitada (kWh)</t>
  </si>
  <si>
    <t>AÑO 2035
Energia Solicitada (kWh)</t>
  </si>
  <si>
    <t>La misma curva de la tabla 9.1.12 del producto 1</t>
  </si>
  <si>
    <t>AÑO 2036
Energia Solicitada (kWh)</t>
  </si>
  <si>
    <t>TOTAL PRODUCTO 3
Energia Solicitada (kWh)</t>
  </si>
  <si>
    <t>(4) El precio debe ser el mismo para todos los meses del año, con dos cifras decimales</t>
  </si>
  <si>
    <t>(6) El precio incluye todos los cargos, impuestos y contribuciones que según la reglamentación vigente en la fecha de apertura de propuestas son responsabilidad de EL OFERENTE.</t>
  </si>
  <si>
    <t>(9) Tipo de oferta curva</t>
  </si>
  <si>
    <t>Oferta No:</t>
  </si>
  <si>
    <t xml:space="preserve">% de su oferta con FNCER: </t>
  </si>
  <si>
    <t>Fijo</t>
  </si>
  <si>
    <t>AÑO 2026</t>
  </si>
  <si>
    <t>AÑO 2027</t>
  </si>
  <si>
    <t>AÑO 2028</t>
  </si>
  <si>
    <t xml:space="preserve">(5) El % de energía debe ser Igual para todos los meses y años del producto, a dos cifras decimales. </t>
  </si>
  <si>
    <r>
      <t xml:space="preserve">Consolidado banco de preguntas y respuestas agentes convocatorias </t>
    </r>
    <r>
      <rPr>
        <sz val="48"/>
        <color rgb="FF00B0F0"/>
        <rFont val="Franklin Gothic Demi Cond"/>
        <family val="2"/>
      </rPr>
      <t xml:space="preserve">ESSA </t>
    </r>
  </si>
  <si>
    <t xml:space="preserve">N° Convocatoria </t>
  </si>
  <si>
    <t>Nombre remitente correo:</t>
  </si>
  <si>
    <t>Correo electrónico</t>
  </si>
  <si>
    <t>Teléfono de contacto:</t>
  </si>
  <si>
    <t>AGENTE</t>
  </si>
  <si>
    <t>N° pregunta</t>
  </si>
  <si>
    <t>PREGUNTA</t>
  </si>
  <si>
    <t>RESPUESTA</t>
  </si>
  <si>
    <t>12. TABLA  Factores de Indexación IPP serie oferta interna</t>
  </si>
  <si>
    <t xml:space="preserve">Factor </t>
  </si>
  <si>
    <t>(5) El % igual o diferente para cada uno de los meses del año, con dos cifras decimales.</t>
  </si>
  <si>
    <t>AÑO 2029 al 2040</t>
  </si>
  <si>
    <t>CURVA FNCER</t>
  </si>
  <si>
    <t>(3) Precio ofertado en $kWh, en pesos de Abril 2025 (IPP Provisional)</t>
  </si>
  <si>
    <t>(8) La oferta se acoge a todas las condiciones del pliego CP-ESSC2025-002.</t>
  </si>
  <si>
    <t>EL OFERENTE deberá tener en cuenta lo siguiente al completar cada una de las Tablas de las cantidades a ofertar: Debe definir el porcentaje ofertado, hasta máximo el 100% de lo solicitado; EL CONTRATANTE aceptará la oferta de acuerdo a la metodología de evaluación hasta el máximo ofertado.</t>
  </si>
  <si>
    <r>
      <t xml:space="preserve">EL OFERENTE deberá tener en cuenta lo siguiente al completar cada una de las Tablas de las cantidades a ofertar: Debe definir el porcentaje ofertado, hasta máximo el 100% de lo solicitado; EL CONTRATANTE aceptará la oferta de acuerdo a la metodología de evaluación hasta el máximo ofertado, adjudicando proporcional a la oferta recibida para todos los años ofertados .
</t>
    </r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Diligenciar columnas % a ofertar, energía horaria ofertada y precio.</t>
    </r>
  </si>
  <si>
    <t>SOLICITUD PÚBLICA DE OFERTAS  CP-ESSC2025-002</t>
  </si>
  <si>
    <t>ANEXO 10.1 CANTIDADES DE ENERGÍA REQUERIDA PRODUCTO 1</t>
  </si>
  <si>
    <t>ANEXO 10.2 CANTIDADES DE ENERGÍA REQUERIDA PRODUCTO 2</t>
  </si>
  <si>
    <t>ANEXO 10.3 CANTIDADES DE ENERGÍA REQUERIDA PRODUCTO 3</t>
  </si>
  <si>
    <t>ANEXO 10.4 CANTIDADES DE ENERGÍA REQUERIDA PRODUCTO 4</t>
  </si>
  <si>
    <t>9.1 TABLAS CANTIDADES DE ENERGÍA REQUERIDA PRODUCTO 1 AÑO 2026
 (kWh)</t>
  </si>
  <si>
    <t>9.2 TABLAS CANTIDADES DE ENERGÍA REQUERIDA PRODUCTO 2 AÑO 2027
 (kWh)</t>
  </si>
  <si>
    <t>9.3 TABLAS CANTIDADES DE ENERGÍA REQUERIDA PRODUCTO 3 AÑO 2028
 (kWh)</t>
  </si>
  <si>
    <t>9.4. TABLAS CANTIDADES DE ENERGÍA REQUERIDA PRODUCTO 4 AÑO 2029-2040
 (kWh)</t>
  </si>
  <si>
    <t>Oferta Básica, para la Solicitud Pública de Ofertas No. CP-ESSC2025-002, del  1 de enero de 2026 a 31 de diciembre de 2026.</t>
  </si>
  <si>
    <t>(1) La Energía Ofertada se distribuye en forma horaria de acuerdo con la curva de carga presentada en la tabla 9.1. TABLAS CANTIDADES DE ENERGÍA REQUERIDA  PRODUCTO 1 AÑO 2026 del pliego de condiciones.</t>
  </si>
  <si>
    <t>Oferta Básica, para la Solicitud Pública de Ofertas No. CP-ESSC2025-002, del  1 de enero de 2027 a 31 de diciembre de 2027.</t>
  </si>
  <si>
    <t>(1) La Energía Ofertada se distribuye en forma horaria de acuerdo con la curva de carga presentada en la tabla 9.2. TABLAS CANTIDADES DE ENERGÍA REQUERIDA PRODUCTO 2 AÑO 2027 del pliego de condiciones.</t>
  </si>
  <si>
    <t>Oferta Básica, para la Solicitud Pública de Ofertas No. CP-ESSC2025-002, del  1 de enero de 2028 a 31 de diciembre de 2028.</t>
  </si>
  <si>
    <t>(1) La Energía Ofertada se distribuye en forma horaria de acuerdo con la curva de carga presentada en la tabla 9.3. TABLAS CANTIDADES DE ENERGÍA REQUERIDA  PRODUCTO 3 AÑO 2028 del pliego de condiciones.</t>
  </si>
  <si>
    <t>Oferta Básica, para la Solicitud Pública de Ofertas No. CP-ESSC2025-002, del 1 de enero de 2029 a 31 de diciembre de 2040.</t>
  </si>
  <si>
    <t>(1) La Energía Ofertada se distribuye en forma horaria de acuerdo con la curva de carga presentada en la tabla 9.4. TABLAS CANTIDADES DE ENERGÍA REQUERIDA PRODUCTO 4 del pliego de condiciones.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</si>
</sst>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_-* #,##0_-;\-* #,##0_-;_-* &quot;-&quot;??_-;_-@_-"/>
    <numFmt numFmtId="169" formatCode="0.0%"/>
    <numFmt numFmtId="170" formatCode="_-* #,##0.00_-;\-* #,##0.00_-;_-* &quot;-&quot;_-;_-@_-"/>
    <numFmt numFmtId="171" formatCode="0_ ;\-0\ "/>
    <numFmt numFmtId="172" formatCode="#,##0.00_ ;\-#,##0.00\ 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</font>
    <font>
      <b/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9"/>
      <color theme="1"/>
      <name val="Arial"/>
      <family val="2"/>
    </font>
    <font>
      <b/>
      <i/>
      <sz val="15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  <font>
      <b/>
      <sz val="13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48"/>
      <color rgb="FF00B050"/>
      <name val="Franklin Gothic Demi Cond"/>
      <family val="2"/>
    </font>
    <font>
      <b/>
      <sz val="16"/>
      <color theme="2" tint="-0.499984740745262"/>
      <name val="Franklin Gothic Demi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48"/>
      <color rgb="FF00B0F0"/>
      <name val="Franklin Gothic Demi Cond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41" fontId="2" fillId="0" borderId="0" applyFont="0" applyFill="0" applyBorder="0" applyAlignment="0" applyProtection="0"/>
  </cellStyleXfs>
  <cellXfs count="289">
    <xf numFmtId="0" fontId="0" fillId="0" borderId="0" xfId="0"/>
    <xf numFmtId="0" fontId="5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41" fontId="5" fillId="2" borderId="5" xfId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41" fontId="2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4" borderId="0" xfId="5" applyFont="1" applyFill="1" applyAlignment="1">
      <alignment vertical="top"/>
    </xf>
    <xf numFmtId="0" fontId="2" fillId="4" borderId="0" xfId="5" applyFont="1" applyFill="1"/>
    <xf numFmtId="0" fontId="12" fillId="4" borderId="0" xfId="5" applyFont="1" applyFill="1" applyAlignment="1">
      <alignment vertical="top" wrapText="1"/>
    </xf>
    <xf numFmtId="0" fontId="11" fillId="4" borderId="0" xfId="6" applyFont="1" applyFill="1" applyAlignment="1">
      <alignment horizontal="left"/>
    </xf>
    <xf numFmtId="4" fontId="11" fillId="4" borderId="29" xfId="6" applyNumberFormat="1" applyFont="1" applyFill="1" applyBorder="1" applyAlignment="1" applyProtection="1">
      <alignment horizontal="left"/>
      <protection locked="0"/>
    </xf>
    <xf numFmtId="4" fontId="11" fillId="4" borderId="29" xfId="6" applyNumberFormat="1" applyFont="1" applyFill="1" applyBorder="1" applyAlignment="1">
      <alignment horizontal="center"/>
    </xf>
    <xf numFmtId="0" fontId="14" fillId="0" borderId="0" xfId="5" applyFont="1"/>
    <xf numFmtId="165" fontId="15" fillId="2" borderId="33" xfId="7" applyNumberFormat="1" applyFont="1" applyFill="1" applyBorder="1" applyProtection="1"/>
    <xf numFmtId="0" fontId="6" fillId="4" borderId="0" xfId="6" applyFont="1" applyFill="1" applyAlignment="1">
      <alignment horizontal="center" vertical="center"/>
    </xf>
    <xf numFmtId="167" fontId="3" fillId="4" borderId="0" xfId="9" applyNumberFormat="1" applyFont="1" applyFill="1" applyBorder="1" applyProtection="1"/>
    <xf numFmtId="166" fontId="3" fillId="4" borderId="0" xfId="9" applyFont="1" applyFill="1" applyBorder="1" applyAlignment="1" applyProtection="1">
      <alignment horizontal="center"/>
    </xf>
    <xf numFmtId="166" fontId="3" fillId="4" borderId="0" xfId="9" applyFont="1" applyFill="1" applyBorder="1" applyProtection="1"/>
    <xf numFmtId="166" fontId="17" fillId="4" borderId="0" xfId="9" applyFont="1" applyFill="1" applyBorder="1" applyProtection="1"/>
    <xf numFmtId="0" fontId="2" fillId="0" borderId="0" xfId="5" applyFont="1"/>
    <xf numFmtId="0" fontId="2" fillId="0" borderId="0" xfId="5" applyFont="1" applyAlignment="1">
      <alignment horizontal="center"/>
    </xf>
    <xf numFmtId="0" fontId="2" fillId="4" borderId="0" xfId="5" applyFont="1" applyFill="1" applyAlignment="1">
      <alignment horizontal="center"/>
    </xf>
    <xf numFmtId="0" fontId="2" fillId="4" borderId="0" xfId="5" applyFont="1" applyFill="1" applyProtection="1">
      <protection locked="0"/>
    </xf>
    <xf numFmtId="0" fontId="2" fillId="4" borderId="0" xfId="5" applyFont="1" applyFill="1" applyAlignment="1">
      <alignment horizontal="left" wrapText="1"/>
    </xf>
    <xf numFmtId="4" fontId="10" fillId="4" borderId="35" xfId="5" applyNumberFormat="1" applyFont="1" applyFill="1" applyBorder="1"/>
    <xf numFmtId="0" fontId="2" fillId="4" borderId="35" xfId="5" applyFont="1" applyFill="1" applyBorder="1"/>
    <xf numFmtId="4" fontId="10" fillId="4" borderId="0" xfId="5" applyNumberFormat="1" applyFont="1" applyFill="1"/>
    <xf numFmtId="0" fontId="18" fillId="0" borderId="36" xfId="4" applyFont="1" applyBorder="1" applyAlignment="1">
      <alignment horizontal="left" vertical="center"/>
    </xf>
    <xf numFmtId="0" fontId="19" fillId="0" borderId="0" xfId="5" applyFont="1" applyAlignment="1">
      <alignment horizontal="left"/>
    </xf>
    <xf numFmtId="0" fontId="2" fillId="4" borderId="0" xfId="5" applyFont="1" applyFill="1" applyAlignment="1">
      <alignment vertical="center"/>
    </xf>
    <xf numFmtId="0" fontId="2" fillId="4" borderId="0" xfId="5" applyFont="1" applyFill="1" applyAlignment="1">
      <alignment vertical="center" wrapText="1"/>
    </xf>
    <xf numFmtId="3" fontId="5" fillId="2" borderId="7" xfId="3" applyNumberFormat="1" applyFont="1" applyFill="1" applyBorder="1" applyAlignment="1">
      <alignment horizontal="center" vertical="center" wrapText="1"/>
    </xf>
    <xf numFmtId="41" fontId="2" fillId="4" borderId="0" xfId="5" applyNumberFormat="1" applyFont="1" applyFill="1"/>
    <xf numFmtId="0" fontId="21" fillId="4" borderId="0" xfId="5" applyFont="1" applyFill="1"/>
    <xf numFmtId="0" fontId="21" fillId="4" borderId="0" xfId="5" applyFont="1" applyFill="1" applyAlignment="1">
      <alignment horizontal="center"/>
    </xf>
    <xf numFmtId="0" fontId="21" fillId="4" borderId="0" xfId="5" applyFont="1" applyFill="1" applyAlignment="1">
      <alignment vertical="center"/>
    </xf>
    <xf numFmtId="0" fontId="10" fillId="4" borderId="0" xfId="5" applyFont="1" applyFill="1" applyAlignment="1">
      <alignment vertical="top"/>
    </xf>
    <xf numFmtId="0" fontId="11" fillId="4" borderId="0" xfId="5" applyFont="1" applyFill="1" applyAlignment="1">
      <alignment vertical="top" wrapText="1"/>
    </xf>
    <xf numFmtId="0" fontId="2" fillId="4" borderId="0" xfId="5" applyFont="1" applyFill="1" applyAlignment="1">
      <alignment horizontal="center" vertical="top"/>
    </xf>
    <xf numFmtId="0" fontId="2" fillId="4" borderId="0" xfId="5" applyFont="1" applyFill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center" vertical="center" wrapText="1"/>
    </xf>
    <xf numFmtId="0" fontId="25" fillId="4" borderId="0" xfId="5" applyFont="1" applyFill="1"/>
    <xf numFmtId="0" fontId="21" fillId="0" borderId="0" xfId="5" applyFont="1" applyAlignment="1">
      <alignment wrapText="1"/>
    </xf>
    <xf numFmtId="0" fontId="22" fillId="0" borderId="31" xfId="0" applyFont="1" applyBorder="1"/>
    <xf numFmtId="0" fontId="25" fillId="0" borderId="0" xfId="5" applyFont="1"/>
    <xf numFmtId="165" fontId="25" fillId="5" borderId="33" xfId="7" applyNumberFormat="1" applyFont="1" applyFill="1" applyBorder="1" applyProtection="1"/>
    <xf numFmtId="0" fontId="1" fillId="0" borderId="0" xfId="0" applyFont="1"/>
    <xf numFmtId="17" fontId="3" fillId="4" borderId="33" xfId="6" applyNumberFormat="1" applyFont="1" applyFill="1" applyBorder="1" applyAlignment="1">
      <alignment horizontal="center" vertical="center"/>
    </xf>
    <xf numFmtId="165" fontId="25" fillId="4" borderId="33" xfId="7" applyNumberFormat="1" applyFont="1" applyFill="1" applyBorder="1" applyProtection="1"/>
    <xf numFmtId="0" fontId="24" fillId="2" borderId="33" xfId="6" applyFont="1" applyFill="1" applyBorder="1" applyAlignment="1">
      <alignment horizontal="center" vertical="center"/>
    </xf>
    <xf numFmtId="9" fontId="15" fillId="2" borderId="33" xfId="2" applyFont="1" applyFill="1" applyBorder="1" applyAlignment="1" applyProtection="1">
      <alignment horizontal="center"/>
    </xf>
    <xf numFmtId="166" fontId="16" fillId="2" borderId="33" xfId="9" applyFont="1" applyFill="1" applyBorder="1" applyAlignment="1" applyProtection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41" fontId="5" fillId="2" borderId="33" xfId="1" applyFont="1" applyFill="1" applyBorder="1" applyAlignment="1">
      <alignment horizontal="center" vertical="center"/>
    </xf>
    <xf numFmtId="3" fontId="5" fillId="2" borderId="33" xfId="3" applyNumberFormat="1" applyFont="1" applyFill="1" applyBorder="1" applyAlignment="1">
      <alignment horizontal="center" vertical="center" wrapText="1"/>
    </xf>
    <xf numFmtId="9" fontId="15" fillId="2" borderId="33" xfId="2" applyFont="1" applyFill="1" applyBorder="1" applyProtection="1"/>
    <xf numFmtId="0" fontId="29" fillId="6" borderId="0" xfId="0" applyFont="1" applyFill="1"/>
    <xf numFmtId="0" fontId="7" fillId="6" borderId="0" xfId="5" applyFont="1" applyFill="1"/>
    <xf numFmtId="0" fontId="12" fillId="4" borderId="29" xfId="5" applyFont="1" applyFill="1" applyBorder="1" applyAlignment="1">
      <alignment vertical="top" wrapText="1"/>
    </xf>
    <xf numFmtId="0" fontId="2" fillId="4" borderId="27" xfId="5" applyFont="1" applyFill="1" applyBorder="1"/>
    <xf numFmtId="0" fontId="11" fillId="4" borderId="27" xfId="6" applyFont="1" applyFill="1" applyBorder="1" applyAlignment="1">
      <alignment horizontal="left"/>
    </xf>
    <xf numFmtId="4" fontId="11" fillId="4" borderId="27" xfId="6" applyNumberFormat="1" applyFont="1" applyFill="1" applyBorder="1" applyAlignment="1">
      <alignment horizontal="center"/>
    </xf>
    <xf numFmtId="4" fontId="11" fillId="4" borderId="42" xfId="6" applyNumberFormat="1" applyFont="1" applyFill="1" applyBorder="1" applyAlignment="1" applyProtection="1">
      <alignment horizontal="left"/>
      <protection locked="0"/>
    </xf>
    <xf numFmtId="4" fontId="11" fillId="4" borderId="27" xfId="6" applyNumberFormat="1" applyFont="1" applyFill="1" applyBorder="1" applyProtection="1">
      <protection locked="0"/>
    </xf>
    <xf numFmtId="168" fontId="2" fillId="0" borderId="0" xfId="10" applyNumberFormat="1" applyFont="1" applyAlignment="1">
      <alignment horizontal="center" vertical="center"/>
    </xf>
    <xf numFmtId="4" fontId="30" fillId="4" borderId="0" xfId="6" applyNumberFormat="1" applyFont="1" applyFill="1" applyAlignment="1">
      <alignment horizontal="left"/>
    </xf>
    <xf numFmtId="4" fontId="30" fillId="4" borderId="0" xfId="6" applyNumberFormat="1" applyFont="1" applyFill="1" applyAlignment="1" applyProtection="1">
      <alignment horizontal="left"/>
      <protection locked="0"/>
    </xf>
    <xf numFmtId="41" fontId="26" fillId="0" borderId="0" xfId="5" applyNumberFormat="1" applyFont="1"/>
    <xf numFmtId="165" fontId="0" fillId="0" borderId="0" xfId="0" applyNumberFormat="1"/>
    <xf numFmtId="0" fontId="3" fillId="7" borderId="33" xfId="6" applyFont="1" applyFill="1" applyBorder="1" applyAlignment="1">
      <alignment horizontal="center" vertical="center" wrapText="1"/>
    </xf>
    <xf numFmtId="0" fontId="31" fillId="7" borderId="33" xfId="6" applyFont="1" applyFill="1" applyBorder="1" applyAlignment="1">
      <alignment horizontal="center" vertical="center" wrapText="1"/>
    </xf>
    <xf numFmtId="165" fontId="2" fillId="4" borderId="33" xfId="7" applyNumberFormat="1" applyFont="1" applyFill="1" applyBorder="1" applyProtection="1"/>
    <xf numFmtId="165" fontId="6" fillId="4" borderId="33" xfId="7" applyNumberFormat="1" applyFont="1" applyFill="1" applyBorder="1" applyProtection="1"/>
    <xf numFmtId="0" fontId="8" fillId="2" borderId="33" xfId="6" applyFont="1" applyFill="1" applyBorder="1" applyAlignment="1">
      <alignment horizontal="center" vertical="center" wrapText="1"/>
    </xf>
    <xf numFmtId="0" fontId="31" fillId="8" borderId="33" xfId="6" applyFont="1" applyFill="1" applyBorder="1" applyAlignment="1">
      <alignment horizontal="center" vertical="center" wrapText="1"/>
    </xf>
    <xf numFmtId="0" fontId="21" fillId="4" borderId="0" xfId="5" applyFont="1" applyFill="1" applyAlignment="1">
      <alignment vertical="top"/>
    </xf>
    <xf numFmtId="0" fontId="21" fillId="4" borderId="0" xfId="5" applyFont="1" applyFill="1" applyAlignment="1">
      <alignment horizontal="center" vertical="top"/>
    </xf>
    <xf numFmtId="0" fontId="32" fillId="4" borderId="0" xfId="5" applyFont="1" applyFill="1" applyAlignment="1">
      <alignment vertical="top" wrapText="1"/>
    </xf>
    <xf numFmtId="0" fontId="33" fillId="4" borderId="0" xfId="5" applyFont="1" applyFill="1" applyAlignment="1">
      <alignment vertical="top" wrapText="1"/>
    </xf>
    <xf numFmtId="41" fontId="2" fillId="4" borderId="0" xfId="1" applyFont="1" applyFill="1" applyProtection="1"/>
    <xf numFmtId="0" fontId="29" fillId="0" borderId="37" xfId="0" applyFont="1" applyBorder="1"/>
    <xf numFmtId="17" fontId="35" fillId="4" borderId="33" xfId="6" applyNumberFormat="1" applyFont="1" applyFill="1" applyBorder="1" applyAlignment="1">
      <alignment horizontal="center" vertical="center"/>
    </xf>
    <xf numFmtId="165" fontId="36" fillId="4" borderId="33" xfId="7" applyNumberFormat="1" applyFont="1" applyFill="1" applyBorder="1" applyProtection="1"/>
    <xf numFmtId="169" fontId="36" fillId="5" borderId="33" xfId="8" applyNumberFormat="1" applyFont="1" applyFill="1" applyBorder="1" applyAlignment="1" applyProtection="1">
      <alignment vertical="center"/>
    </xf>
    <xf numFmtId="165" fontId="36" fillId="5" borderId="33" xfId="7" applyNumberFormat="1" applyFont="1" applyFill="1" applyBorder="1" applyProtection="1"/>
    <xf numFmtId="0" fontId="15" fillId="2" borderId="33" xfId="6" applyFont="1" applyFill="1" applyBorder="1" applyAlignment="1">
      <alignment horizontal="center" vertical="center"/>
    </xf>
    <xf numFmtId="166" fontId="15" fillId="2" borderId="33" xfId="9" applyFont="1" applyFill="1" applyBorder="1" applyProtection="1"/>
    <xf numFmtId="0" fontId="7" fillId="4" borderId="0" xfId="5" applyFont="1" applyFill="1"/>
    <xf numFmtId="0" fontId="6" fillId="4" borderId="35" xfId="6" applyFont="1" applyFill="1" applyBorder="1" applyAlignment="1">
      <alignment horizontal="center" vertical="center"/>
    </xf>
    <xf numFmtId="166" fontId="3" fillId="4" borderId="35" xfId="9" applyFont="1" applyFill="1" applyBorder="1" applyProtection="1"/>
    <xf numFmtId="166" fontId="3" fillId="4" borderId="35" xfId="9" applyFont="1" applyFill="1" applyBorder="1" applyAlignment="1" applyProtection="1">
      <alignment horizontal="center"/>
    </xf>
    <xf numFmtId="166" fontId="17" fillId="4" borderId="35" xfId="9" applyFont="1" applyFill="1" applyBorder="1" applyProtection="1"/>
    <xf numFmtId="0" fontId="38" fillId="0" borderId="0" xfId="0" applyFont="1"/>
    <xf numFmtId="0" fontId="2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vertical="center" wrapText="1"/>
    </xf>
    <xf numFmtId="43" fontId="2" fillId="0" borderId="33" xfId="10" applyFont="1" applyBorder="1" applyAlignment="1">
      <alignment horizontal="center" vertical="center"/>
    </xf>
    <xf numFmtId="43" fontId="2" fillId="0" borderId="10" xfId="10" applyFont="1" applyBorder="1" applyAlignment="1">
      <alignment horizontal="center" vertical="center" wrapText="1"/>
    </xf>
    <xf numFmtId="43" fontId="2" fillId="0" borderId="14" xfId="10" applyFont="1" applyBorder="1" applyAlignment="1">
      <alignment horizontal="center" vertical="center" wrapText="1"/>
    </xf>
    <xf numFmtId="43" fontId="2" fillId="0" borderId="25" xfId="10" applyFont="1" applyBorder="1" applyAlignment="1">
      <alignment horizontal="center" vertical="center" wrapText="1"/>
    </xf>
    <xf numFmtId="43" fontId="2" fillId="0" borderId="18" xfId="10" applyFont="1" applyBorder="1" applyAlignment="1">
      <alignment horizontal="center" vertical="center" wrapText="1"/>
    </xf>
    <xf numFmtId="43" fontId="2" fillId="0" borderId="22" xfId="10" applyFont="1" applyBorder="1" applyAlignment="1">
      <alignment horizontal="center" vertical="center" wrapText="1"/>
    </xf>
    <xf numFmtId="171" fontId="7" fillId="2" borderId="9" xfId="10" applyNumberFormat="1" applyFont="1" applyFill="1" applyBorder="1" applyAlignment="1">
      <alignment horizontal="center" vertical="center" wrapText="1"/>
    </xf>
    <xf numFmtId="171" fontId="7" fillId="2" borderId="13" xfId="10" applyNumberFormat="1" applyFont="1" applyFill="1" applyBorder="1" applyAlignment="1">
      <alignment horizontal="center" vertical="center" wrapText="1"/>
    </xf>
    <xf numFmtId="171" fontId="7" fillId="2" borderId="24" xfId="10" applyNumberFormat="1" applyFont="1" applyFill="1" applyBorder="1" applyAlignment="1">
      <alignment horizontal="center" vertical="center" wrapText="1"/>
    </xf>
    <xf numFmtId="171" fontId="7" fillId="2" borderId="17" xfId="10" applyNumberFormat="1" applyFont="1" applyFill="1" applyBorder="1" applyAlignment="1">
      <alignment horizontal="center" vertical="center" wrapText="1"/>
    </xf>
    <xf numFmtId="171" fontId="7" fillId="2" borderId="21" xfId="10" applyNumberFormat="1" applyFont="1" applyFill="1" applyBorder="1" applyAlignment="1">
      <alignment horizontal="center" vertical="center" wrapText="1"/>
    </xf>
    <xf numFmtId="172" fontId="2" fillId="0" borderId="22" xfId="1" applyNumberFormat="1" applyFont="1" applyBorder="1" applyAlignment="1">
      <alignment horizontal="center" vertical="center" wrapText="1"/>
    </xf>
    <xf numFmtId="172" fontId="2" fillId="0" borderId="14" xfId="1" applyNumberFormat="1" applyFont="1" applyBorder="1" applyAlignment="1">
      <alignment horizontal="center" vertical="center" wrapText="1"/>
    </xf>
    <xf numFmtId="172" fontId="2" fillId="0" borderId="25" xfId="1" applyNumberFormat="1" applyFont="1" applyBorder="1" applyAlignment="1">
      <alignment horizontal="center" vertical="center" wrapText="1"/>
    </xf>
    <xf numFmtId="172" fontId="2" fillId="0" borderId="10" xfId="1" applyNumberFormat="1" applyFont="1" applyBorder="1" applyAlignment="1">
      <alignment horizontal="center" vertical="center" wrapText="1"/>
    </xf>
    <xf numFmtId="172" fontId="2" fillId="0" borderId="18" xfId="1" applyNumberFormat="1" applyFont="1" applyBorder="1" applyAlignment="1">
      <alignment horizontal="center" vertical="center" wrapText="1"/>
    </xf>
    <xf numFmtId="4" fontId="2" fillId="0" borderId="10" xfId="1" applyNumberFormat="1" applyFont="1" applyBorder="1" applyAlignment="1">
      <alignment horizontal="center" vertical="center" wrapText="1"/>
    </xf>
    <xf numFmtId="4" fontId="2" fillId="0" borderId="14" xfId="1" applyNumberFormat="1" applyFont="1" applyBorder="1" applyAlignment="1">
      <alignment horizontal="center" vertical="center" wrapText="1"/>
    </xf>
    <xf numFmtId="4" fontId="2" fillId="0" borderId="25" xfId="1" applyNumberFormat="1" applyFont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center" vertical="center" wrapText="1"/>
    </xf>
    <xf numFmtId="4" fontId="2" fillId="0" borderId="22" xfId="1" applyNumberFormat="1" applyFont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center" vertical="center"/>
    </xf>
    <xf numFmtId="4" fontId="2" fillId="0" borderId="10" xfId="1" applyNumberFormat="1" applyFont="1" applyBorder="1" applyAlignment="1">
      <alignment horizontal="right" vertical="center" wrapText="1"/>
    </xf>
    <xf numFmtId="4" fontId="2" fillId="0" borderId="14" xfId="1" applyNumberFormat="1" applyFont="1" applyBorder="1" applyAlignment="1">
      <alignment horizontal="right" vertical="center" wrapText="1"/>
    </xf>
    <xf numFmtId="4" fontId="2" fillId="0" borderId="25" xfId="1" applyNumberFormat="1" applyFont="1" applyBorder="1" applyAlignment="1">
      <alignment horizontal="right" vertical="center" wrapText="1"/>
    </xf>
    <xf numFmtId="4" fontId="2" fillId="0" borderId="22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right" vertical="center"/>
    </xf>
    <xf numFmtId="4" fontId="5" fillId="2" borderId="3" xfId="1" applyNumberFormat="1" applyFont="1" applyFill="1" applyBorder="1" applyAlignment="1">
      <alignment horizontal="center" vertical="center"/>
    </xf>
    <xf numFmtId="4" fontId="2" fillId="0" borderId="18" xfId="10" applyNumberFormat="1" applyFont="1" applyBorder="1" applyAlignment="1">
      <alignment horizontal="center" vertical="center" wrapText="1"/>
    </xf>
    <xf numFmtId="0" fontId="41" fillId="0" borderId="0" xfId="0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1" fillId="0" borderId="46" xfId="0" applyFont="1" applyBorder="1" applyAlignment="1">
      <alignment horizontal="center" vertical="center"/>
    </xf>
    <xf numFmtId="0" fontId="44" fillId="9" borderId="22" xfId="0" applyFont="1" applyFill="1" applyBorder="1" applyAlignment="1">
      <alignment horizontal="center" vertical="center"/>
    </xf>
    <xf numFmtId="0" fontId="44" fillId="9" borderId="40" xfId="0" applyFont="1" applyFill="1" applyBorder="1" applyAlignment="1">
      <alignment horizontal="center" vertical="center" wrapText="1"/>
    </xf>
    <xf numFmtId="0" fontId="44" fillId="10" borderId="40" xfId="0" applyFont="1" applyFill="1" applyBorder="1" applyAlignment="1">
      <alignment horizontal="center" vertical="center"/>
    </xf>
    <xf numFmtId="0" fontId="44" fillId="11" borderId="44" xfId="0" applyFont="1" applyFill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/>
    </xf>
    <xf numFmtId="0" fontId="45" fillId="0" borderId="33" xfId="0" applyFont="1" applyBorder="1" applyAlignment="1">
      <alignment horizontal="justify" vertical="center"/>
    </xf>
    <xf numFmtId="0" fontId="45" fillId="0" borderId="47" xfId="0" applyFont="1" applyBorder="1" applyAlignment="1">
      <alignment horizontal="justify" vertical="center"/>
    </xf>
    <xf numFmtId="0" fontId="41" fillId="0" borderId="33" xfId="0" applyFont="1" applyBorder="1" applyAlignment="1">
      <alignment vertical="center"/>
    </xf>
    <xf numFmtId="0" fontId="45" fillId="0" borderId="47" xfId="0" applyFont="1" applyBorder="1" applyAlignment="1">
      <alignment vertical="center"/>
    </xf>
    <xf numFmtId="0" fontId="46" fillId="0" borderId="14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1" fillId="0" borderId="33" xfId="0" applyFont="1" applyBorder="1" applyAlignment="1">
      <alignment horizontal="justify" vertical="center" wrapText="1"/>
    </xf>
    <xf numFmtId="0" fontId="41" fillId="0" borderId="33" xfId="0" applyFont="1" applyBorder="1" applyAlignment="1">
      <alignment horizontal="justify" vertical="center"/>
    </xf>
    <xf numFmtId="0" fontId="47" fillId="0" borderId="47" xfId="11" applyFont="1" applyBorder="1" applyAlignment="1">
      <alignment horizontal="justify" vertical="center"/>
    </xf>
    <xf numFmtId="0" fontId="41" fillId="0" borderId="33" xfId="0" applyFont="1" applyBorder="1" applyAlignment="1">
      <alignment vertical="center" wrapText="1"/>
    </xf>
    <xf numFmtId="0" fontId="41" fillId="0" borderId="47" xfId="0" applyFont="1" applyBorder="1" applyAlignment="1">
      <alignment horizontal="justify" vertical="center" wrapText="1"/>
    </xf>
    <xf numFmtId="0" fontId="45" fillId="0" borderId="47" xfId="0" applyFont="1" applyBorder="1" applyAlignment="1">
      <alignment horizontal="justify" vertical="center" wrapText="1"/>
    </xf>
    <xf numFmtId="0" fontId="45" fillId="0" borderId="47" xfId="0" applyFont="1" applyBorder="1" applyAlignment="1">
      <alignment horizontal="left" vertical="center" indent="1"/>
    </xf>
    <xf numFmtId="0" fontId="41" fillId="0" borderId="25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41" fillId="0" borderId="34" xfId="0" applyFont="1" applyBorder="1" applyAlignment="1">
      <alignment horizontal="justify" vertical="center"/>
    </xf>
    <xf numFmtId="0" fontId="45" fillId="0" borderId="43" xfId="0" applyFont="1" applyBorder="1" applyAlignment="1">
      <alignment horizontal="justify" vertical="center"/>
    </xf>
    <xf numFmtId="0" fontId="41" fillId="0" borderId="0" xfId="0" applyFont="1" applyAlignment="1">
      <alignment horizontal="justify" vertical="center" wrapText="1"/>
    </xf>
    <xf numFmtId="0" fontId="48" fillId="0" borderId="0" xfId="0" applyFont="1" applyAlignment="1">
      <alignment horizontal="justify" vertical="center"/>
    </xf>
    <xf numFmtId="0" fontId="49" fillId="0" borderId="0" xfId="0" applyFont="1" applyAlignment="1">
      <alignment horizontal="justify" vertical="center" wrapText="1"/>
    </xf>
    <xf numFmtId="0" fontId="49" fillId="0" borderId="0" xfId="0" applyFont="1" applyAlignment="1">
      <alignment horizontal="justify" vertical="center"/>
    </xf>
    <xf numFmtId="0" fontId="41" fillId="0" borderId="0" xfId="0" applyFont="1" applyAlignment="1">
      <alignment horizontal="justify" vertical="center"/>
    </xf>
    <xf numFmtId="0" fontId="45" fillId="0" borderId="0" xfId="0" applyFont="1" applyAlignment="1">
      <alignment horizontal="justify" vertical="center"/>
    </xf>
    <xf numFmtId="0" fontId="41" fillId="3" borderId="0" xfId="0" applyFont="1" applyFill="1" applyAlignment="1">
      <alignment horizontal="center" vertical="center"/>
    </xf>
    <xf numFmtId="0" fontId="41" fillId="0" borderId="0" xfId="0" applyFont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41" fillId="0" borderId="0" xfId="0" applyFont="1" applyAlignment="1">
      <alignment wrapText="1"/>
    </xf>
    <xf numFmtId="0" fontId="45" fillId="0" borderId="0" xfId="0" applyFont="1" applyAlignment="1">
      <alignment horizontal="left" vertical="center" indent="2"/>
    </xf>
    <xf numFmtId="0" fontId="41" fillId="0" borderId="0" xfId="0" applyFont="1" applyAlignment="1">
      <alignment vertical="center" wrapText="1"/>
    </xf>
    <xf numFmtId="0" fontId="30" fillId="0" borderId="0" xfId="3" applyFont="1"/>
    <xf numFmtId="0" fontId="2" fillId="0" borderId="0" xfId="3" applyAlignment="1">
      <alignment horizontal="center"/>
    </xf>
    <xf numFmtId="0" fontId="2" fillId="0" borderId="0" xfId="3"/>
    <xf numFmtId="170" fontId="2" fillId="0" borderId="0" xfId="3" applyNumberFormat="1"/>
    <xf numFmtId="172" fontId="2" fillId="0" borderId="0" xfId="3" applyNumberFormat="1"/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21" fillId="0" borderId="0" xfId="1" applyNumberFormat="1" applyFont="1" applyAlignment="1">
      <alignment horizontal="right" vertical="center"/>
    </xf>
    <xf numFmtId="41" fontId="21" fillId="0" borderId="0" xfId="1" applyFont="1" applyAlignment="1">
      <alignment horizontal="center" vertical="center"/>
    </xf>
    <xf numFmtId="4" fontId="21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2" fillId="0" borderId="0" xfId="1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/>
    </xf>
    <xf numFmtId="4" fontId="2" fillId="0" borderId="0" xfId="10" applyNumberFormat="1" applyFont="1" applyAlignment="1">
      <alignment horizontal="center" vertical="center"/>
    </xf>
    <xf numFmtId="4" fontId="5" fillId="2" borderId="7" xfId="10" applyNumberFormat="1" applyFont="1" applyFill="1" applyBorder="1" applyAlignment="1">
      <alignment horizontal="center" vertical="center" wrapText="1"/>
    </xf>
    <xf numFmtId="4" fontId="6" fillId="0" borderId="1" xfId="10" applyNumberFormat="1" applyFont="1" applyBorder="1" applyAlignment="1">
      <alignment horizontal="center" vertical="center"/>
    </xf>
    <xf numFmtId="43" fontId="51" fillId="0" borderId="18" xfId="10" applyFont="1" applyBorder="1" applyAlignment="1">
      <alignment horizontal="center" vertical="center" wrapText="1"/>
    </xf>
    <xf numFmtId="167" fontId="3" fillId="4" borderId="35" xfId="9" applyNumberFormat="1" applyFont="1" applyFill="1" applyBorder="1" applyProtection="1"/>
    <xf numFmtId="0" fontId="28" fillId="3" borderId="33" xfId="9" applyNumberFormat="1" applyFont="1" applyFill="1" applyBorder="1" applyAlignment="1" applyProtection="1">
      <alignment horizontal="center"/>
    </xf>
    <xf numFmtId="165" fontId="2" fillId="4" borderId="0" xfId="5" applyNumberFormat="1" applyFont="1" applyFill="1"/>
    <xf numFmtId="43" fontId="2" fillId="0" borderId="0" xfId="5" applyNumberFormat="1" applyFont="1"/>
    <xf numFmtId="4" fontId="2" fillId="0" borderId="10" xfId="10" applyNumberFormat="1" applyFont="1" applyBorder="1" applyAlignment="1">
      <alignment horizontal="center" vertical="center" wrapText="1"/>
    </xf>
    <xf numFmtId="4" fontId="2" fillId="0" borderId="14" xfId="10" applyNumberFormat="1" applyFont="1" applyBorder="1" applyAlignment="1">
      <alignment horizontal="center" vertical="center" wrapText="1"/>
    </xf>
    <xf numFmtId="4" fontId="2" fillId="0" borderId="25" xfId="10" applyNumberFormat="1" applyFont="1" applyBorder="1" applyAlignment="1">
      <alignment horizontal="center" vertical="center" wrapText="1"/>
    </xf>
    <xf numFmtId="4" fontId="2" fillId="0" borderId="22" xfId="10" applyNumberFormat="1" applyFont="1" applyBorder="1" applyAlignment="1">
      <alignment horizontal="center" vertical="center" wrapText="1"/>
    </xf>
    <xf numFmtId="0" fontId="21" fillId="0" borderId="0" xfId="3" applyFont="1"/>
    <xf numFmtId="0" fontId="7" fillId="2" borderId="33" xfId="0" applyFont="1" applyFill="1" applyBorder="1"/>
    <xf numFmtId="0" fontId="7" fillId="2" borderId="33" xfId="0" applyFont="1" applyFill="1" applyBorder="1" applyAlignment="1">
      <alignment horizontal="center"/>
    </xf>
    <xf numFmtId="17" fontId="0" fillId="7" borderId="33" xfId="0" applyNumberFormat="1" applyFill="1" applyBorder="1"/>
    <xf numFmtId="170" fontId="0" fillId="0" borderId="33" xfId="12" applyNumberFormat="1" applyFont="1" applyBorder="1" applyAlignment="1">
      <alignment horizontal="center"/>
    </xf>
    <xf numFmtId="17" fontId="0" fillId="12" borderId="33" xfId="0" applyNumberFormat="1" applyFill="1" applyBorder="1"/>
    <xf numFmtId="170" fontId="0" fillId="0" borderId="33" xfId="12" applyNumberFormat="1" applyFont="1" applyBorder="1"/>
    <xf numFmtId="0" fontId="2" fillId="5" borderId="43" xfId="5" applyFont="1" applyFill="1" applyBorder="1" applyAlignment="1">
      <alignment horizontal="left" vertical="center" wrapText="1"/>
    </xf>
    <xf numFmtId="0" fontId="2" fillId="5" borderId="35" xfId="5" applyFont="1" applyFill="1" applyBorder="1" applyAlignment="1">
      <alignment horizontal="left" vertical="center" wrapText="1"/>
    </xf>
    <xf numFmtId="0" fontId="2" fillId="5" borderId="25" xfId="5" applyFont="1" applyFill="1" applyBorder="1" applyAlignment="1">
      <alignment horizontal="left" vertical="center" wrapText="1"/>
    </xf>
    <xf numFmtId="0" fontId="2" fillId="5" borderId="44" xfId="5" applyFont="1" applyFill="1" applyBorder="1" applyAlignment="1">
      <alignment horizontal="left" vertical="center" wrapText="1"/>
    </xf>
    <xf numFmtId="0" fontId="2" fillId="5" borderId="45" xfId="5" applyFont="1" applyFill="1" applyBorder="1" applyAlignment="1">
      <alignment horizontal="left" vertical="center" wrapText="1"/>
    </xf>
    <xf numFmtId="0" fontId="2" fillId="5" borderId="22" xfId="5" applyFont="1" applyFill="1" applyBorder="1" applyAlignment="1">
      <alignment horizontal="left" vertical="center" wrapText="1"/>
    </xf>
    <xf numFmtId="4" fontId="37" fillId="5" borderId="34" xfId="5" applyNumberFormat="1" applyFont="1" applyFill="1" applyBorder="1" applyAlignment="1" applyProtection="1">
      <alignment horizontal="center" vertical="center" wrapText="1"/>
      <protection locked="0"/>
    </xf>
    <xf numFmtId="4" fontId="37" fillId="5" borderId="41" xfId="5" applyNumberFormat="1" applyFont="1" applyFill="1" applyBorder="1" applyAlignment="1" applyProtection="1">
      <alignment horizontal="center" vertical="center" wrapText="1"/>
      <protection locked="0"/>
    </xf>
    <xf numFmtId="4" fontId="37" fillId="5" borderId="40" xfId="5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5" applyFont="1" applyAlignment="1">
      <alignment horizontal="left" wrapText="1"/>
    </xf>
    <xf numFmtId="0" fontId="2" fillId="4" borderId="0" xfId="5" applyFont="1" applyFill="1" applyAlignment="1">
      <alignment horizontal="left" vertical="center" wrapText="1"/>
    </xf>
    <xf numFmtId="0" fontId="2" fillId="4" borderId="0" xfId="5" applyFont="1" applyFill="1" applyAlignment="1">
      <alignment horizontal="left" vertical="top" wrapText="1"/>
    </xf>
    <xf numFmtId="0" fontId="12" fillId="4" borderId="0" xfId="5" applyFont="1" applyFill="1" applyAlignment="1">
      <alignment horizontal="left" vertical="top" wrapText="1"/>
    </xf>
    <xf numFmtId="4" fontId="11" fillId="4" borderId="27" xfId="6" applyNumberFormat="1" applyFont="1" applyFill="1" applyBorder="1" applyAlignment="1" applyProtection="1">
      <alignment horizontal="center"/>
      <protection locked="0"/>
    </xf>
    <xf numFmtId="0" fontId="34" fillId="2" borderId="34" xfId="6" applyFont="1" applyFill="1" applyBorder="1" applyAlignment="1">
      <alignment horizontal="center" vertical="center" wrapText="1"/>
    </xf>
    <xf numFmtId="0" fontId="34" fillId="2" borderId="40" xfId="6" applyFont="1" applyFill="1" applyBorder="1" applyAlignment="1">
      <alignment horizontal="center" vertical="center" wrapText="1"/>
    </xf>
    <xf numFmtId="0" fontId="34" fillId="2" borderId="25" xfId="6" applyFont="1" applyFill="1" applyBorder="1" applyAlignment="1">
      <alignment horizontal="center" vertical="center" wrapText="1"/>
    </xf>
    <xf numFmtId="0" fontId="34" fillId="2" borderId="22" xfId="6" applyFont="1" applyFill="1" applyBorder="1" applyAlignment="1">
      <alignment horizontal="center" vertical="center" wrapText="1"/>
    </xf>
    <xf numFmtId="0" fontId="34" fillId="2" borderId="34" xfId="5" applyFont="1" applyFill="1" applyBorder="1" applyAlignment="1">
      <alignment horizontal="center" vertical="center" wrapText="1"/>
    </xf>
    <xf numFmtId="0" fontId="34" fillId="2" borderId="40" xfId="5" applyFont="1" applyFill="1" applyBorder="1" applyAlignment="1">
      <alignment horizontal="center" vertical="center" wrapText="1"/>
    </xf>
    <xf numFmtId="169" fontId="36" fillId="5" borderId="34" xfId="8" applyNumberFormat="1" applyFont="1" applyFill="1" applyBorder="1" applyAlignment="1" applyProtection="1">
      <alignment horizontal="center" vertical="center"/>
    </xf>
    <xf numFmtId="169" fontId="36" fillId="5" borderId="41" xfId="8" applyNumberFormat="1" applyFont="1" applyFill="1" applyBorder="1" applyAlignment="1" applyProtection="1">
      <alignment horizontal="center" vertical="center"/>
    </xf>
    <xf numFmtId="169" fontId="36" fillId="5" borderId="40" xfId="8" applyNumberFormat="1" applyFont="1" applyFill="1" applyBorder="1" applyAlignment="1" applyProtection="1">
      <alignment horizontal="center" vertical="center"/>
    </xf>
    <xf numFmtId="0" fontId="2" fillId="5" borderId="38" xfId="5" applyFont="1" applyFill="1" applyBorder="1" applyAlignment="1">
      <alignment horizontal="center" vertical="center" wrapText="1"/>
    </xf>
    <xf numFmtId="0" fontId="2" fillId="5" borderId="39" xfId="5" applyFont="1" applyFill="1" applyBorder="1" applyAlignment="1">
      <alignment horizontal="center" vertical="center" wrapText="1"/>
    </xf>
    <xf numFmtId="0" fontId="2" fillId="5" borderId="32" xfId="5" applyFont="1" applyFill="1" applyBorder="1" applyAlignment="1">
      <alignment horizontal="center" vertical="center" wrapText="1"/>
    </xf>
    <xf numFmtId="0" fontId="2" fillId="5" borderId="37" xfId="5" applyFont="1" applyFill="1" applyBorder="1" applyAlignment="1">
      <alignment horizontal="center" vertical="center" wrapText="1"/>
    </xf>
    <xf numFmtId="0" fontId="2" fillId="5" borderId="0" xfId="5" applyFont="1" applyFill="1" applyAlignment="1">
      <alignment horizontal="center" vertical="center" wrapText="1"/>
    </xf>
    <xf numFmtId="0" fontId="2" fillId="5" borderId="31" xfId="5" applyFont="1" applyFill="1" applyBorder="1" applyAlignment="1">
      <alignment horizontal="center" vertical="center" wrapText="1"/>
    </xf>
    <xf numFmtId="0" fontId="2" fillId="5" borderId="30" xfId="5" applyFont="1" applyFill="1" applyBorder="1" applyAlignment="1">
      <alignment horizontal="center" vertical="center" wrapText="1"/>
    </xf>
    <xf numFmtId="0" fontId="2" fillId="5" borderId="29" xfId="5" applyFont="1" applyFill="1" applyBorder="1" applyAlignment="1">
      <alignment horizontal="center" vertical="center" wrapText="1"/>
    </xf>
    <xf numFmtId="0" fontId="2" fillId="5" borderId="28" xfId="5" applyFont="1" applyFill="1" applyBorder="1" applyAlignment="1">
      <alignment horizontal="center" vertical="center" wrapText="1"/>
    </xf>
    <xf numFmtId="9" fontId="25" fillId="5" borderId="34" xfId="2" applyFont="1" applyFill="1" applyBorder="1" applyAlignment="1" applyProtection="1">
      <alignment horizontal="center" vertical="center"/>
    </xf>
    <xf numFmtId="9" fontId="25" fillId="5" borderId="41" xfId="2" applyFont="1" applyFill="1" applyBorder="1" applyAlignment="1" applyProtection="1">
      <alignment horizontal="center" vertical="center"/>
    </xf>
    <xf numFmtId="9" fontId="25" fillId="5" borderId="40" xfId="2" applyFont="1" applyFill="1" applyBorder="1" applyAlignment="1" applyProtection="1">
      <alignment horizontal="center" vertical="center"/>
    </xf>
    <xf numFmtId="164" fontId="25" fillId="5" borderId="34" xfId="2" applyNumberFormat="1" applyFont="1" applyFill="1" applyBorder="1" applyAlignment="1" applyProtection="1">
      <alignment horizontal="center" vertical="center"/>
    </xf>
    <xf numFmtId="164" fontId="25" fillId="5" borderId="41" xfId="2" applyNumberFormat="1" applyFont="1" applyFill="1" applyBorder="1" applyAlignment="1" applyProtection="1">
      <alignment horizontal="center" vertical="center"/>
    </xf>
    <xf numFmtId="164" fontId="25" fillId="5" borderId="40" xfId="2" applyNumberFormat="1" applyFont="1" applyFill="1" applyBorder="1" applyAlignment="1" applyProtection="1">
      <alignment horizontal="center" vertical="center"/>
    </xf>
    <xf numFmtId="0" fontId="2" fillId="4" borderId="0" xfId="5" applyFont="1" applyFill="1" applyAlignment="1">
      <alignment horizontal="left" vertical="center"/>
    </xf>
    <xf numFmtId="0" fontId="2" fillId="0" borderId="0" xfId="5" applyFont="1" applyAlignment="1">
      <alignment horizontal="left" vertical="center" wrapText="1"/>
    </xf>
    <xf numFmtId="0" fontId="2" fillId="0" borderId="0" xfId="5" applyFont="1" applyAlignment="1">
      <alignment horizontal="left"/>
    </xf>
    <xf numFmtId="0" fontId="2" fillId="4" borderId="0" xfId="5" applyFont="1" applyFill="1" applyAlignment="1">
      <alignment horizontal="left"/>
    </xf>
    <xf numFmtId="0" fontId="24" fillId="2" borderId="33" xfId="5" applyFont="1" applyFill="1" applyBorder="1" applyAlignment="1">
      <alignment horizontal="center" vertical="center" wrapText="1"/>
    </xf>
    <xf numFmtId="0" fontId="24" fillId="2" borderId="33" xfId="6" applyFont="1" applyFill="1" applyBorder="1" applyAlignment="1">
      <alignment horizontal="center" vertical="center" wrapText="1"/>
    </xf>
    <xf numFmtId="0" fontId="11" fillId="4" borderId="0" xfId="5" applyFont="1" applyFill="1" applyAlignment="1">
      <alignment horizontal="left" vertical="top" wrapText="1"/>
    </xf>
    <xf numFmtId="17" fontId="6" fillId="0" borderId="11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center" vertical="center" wrapText="1"/>
    </xf>
    <xf numFmtId="17" fontId="6" fillId="0" borderId="8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41" fontId="8" fillId="2" borderId="26" xfId="1" applyFont="1" applyFill="1" applyBorder="1" applyAlignment="1">
      <alignment horizontal="center" vertical="center"/>
    </xf>
    <xf numFmtId="41" fontId="8" fillId="2" borderId="27" xfId="1" applyFont="1" applyFill="1" applyBorder="1" applyAlignment="1">
      <alignment horizontal="center" vertical="center"/>
    </xf>
    <xf numFmtId="41" fontId="8" fillId="2" borderId="7" xfId="1" applyFont="1" applyFill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8" fillId="2" borderId="26" xfId="1" applyNumberFormat="1" applyFont="1" applyFill="1" applyBorder="1" applyAlignment="1">
      <alignment horizontal="center" vertical="center"/>
    </xf>
    <xf numFmtId="4" fontId="8" fillId="2" borderId="27" xfId="1" applyNumberFormat="1" applyFont="1" applyFill="1" applyBorder="1" applyAlignment="1">
      <alignment horizontal="center" vertical="center"/>
    </xf>
    <xf numFmtId="4" fontId="8" fillId="2" borderId="7" xfId="1" applyNumberFormat="1" applyFont="1" applyFill="1" applyBorder="1" applyAlignment="1">
      <alignment horizontal="center" vertical="center"/>
    </xf>
    <xf numFmtId="4" fontId="2" fillId="0" borderId="15" xfId="10" applyNumberFormat="1" applyFont="1" applyBorder="1" applyAlignment="1">
      <alignment horizontal="center" vertical="center" wrapText="1"/>
    </xf>
    <xf numFmtId="4" fontId="2" fillId="0" borderId="11" xfId="10" applyNumberFormat="1" applyFont="1" applyBorder="1" applyAlignment="1">
      <alignment horizontal="center" vertical="center" wrapText="1"/>
    </xf>
    <xf numFmtId="4" fontId="2" fillId="0" borderId="19" xfId="10" applyNumberFormat="1" applyFont="1" applyBorder="1" applyAlignment="1">
      <alignment horizontal="center" vertical="center" wrapText="1"/>
    </xf>
    <xf numFmtId="4" fontId="8" fillId="2" borderId="26" xfId="1" applyNumberFormat="1" applyFont="1" applyFill="1" applyBorder="1" applyAlignment="1">
      <alignment horizontal="right" vertical="center"/>
    </xf>
    <xf numFmtId="4" fontId="8" fillId="2" borderId="27" xfId="1" applyNumberFormat="1" applyFont="1" applyFill="1" applyBorder="1" applyAlignment="1">
      <alignment horizontal="right" vertical="center"/>
    </xf>
    <xf numFmtId="4" fontId="8" fillId="2" borderId="7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</cellXfs>
  <cellStyles count="13">
    <cellStyle name="Hipervínculo" xfId="11" xr:uid="{F148BA21-7829-48AC-87CD-D7D9FCBB62E0}"/>
    <cellStyle name="Millares" xfId="10" builtinId="3"/>
    <cellStyle name="Millares [0]" xfId="1" builtinId="6"/>
    <cellStyle name="Millares [0] 2" xfId="12" xr:uid="{757F38DF-AE68-474F-9F58-44C299B26B3E}"/>
    <cellStyle name="Millares 3" xfId="7" xr:uid="{00000000-0005-0000-0000-000001000000}"/>
    <cellStyle name="Millares_PLIEGOS_GR-07-006" xfId="9" xr:uid="{00000000-0005-0000-0000-000002000000}"/>
    <cellStyle name="Normal" xfId="0" builtinId="0"/>
    <cellStyle name="Normal 2" xfId="3" xr:uid="{00000000-0005-0000-0000-000004000000}"/>
    <cellStyle name="Normal 2 2 3" xfId="4" xr:uid="{00000000-0005-0000-0000-000005000000}"/>
    <cellStyle name="Normal_ENE99" xfId="6" xr:uid="{00000000-0005-0000-0000-000006000000}"/>
    <cellStyle name="Normal_GC00-001" xfId="5" xr:uid="{00000000-0005-0000-0000-000007000000}"/>
    <cellStyle name="Porcentaje" xfId="2" builtinId="5"/>
    <cellStyle name="Porcentaje 2" xfId="8" xr:uid="{00000000-0005-0000-0000-000009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28575</xdr:rowOff>
    </xdr:from>
    <xdr:to>
      <xdr:col>0</xdr:col>
      <xdr:colOff>1625600</xdr:colOff>
      <xdr:row>0</xdr:row>
      <xdr:rowOff>697012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192B433-714A-49BB-96E2-9FBB948B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8575"/>
          <a:ext cx="1584325" cy="665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7ED7A8-1295-4A0E-BAF6-BF38836F8AC0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0E11C7-84F9-4A60-BA55-5B88F2762647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D4BACE-F784-4381-9E1D-1FAB42ADEC11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E2353-2C2A-4E6D-BA25-2CC7B1E0B759}"/>
            </a:ext>
          </a:extLst>
        </xdr:cNvPr>
        <xdr:cNvSpPr/>
      </xdr:nvSpPr>
      <xdr:spPr>
        <a:xfrm>
          <a:off x="11412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ANEXOS\LIQ_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1_2012_SPO_066628\Contratos%20m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0_11_SPO_076577\Evaluaci&#243;n_menor%20precio_sin%20GENERARC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mco.sharepoint.com/7510%20A%20Compras%20Distribucion%20Respaldo/Procesos%20de%20Compra%20de%20Energia%20MR/Compra_2010_11_SPO_053599/Evaluaci&#243;n_menor%20precio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LicitaEDCC\LIQ_MAYO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-my.sharepoint.com/personal/viviana_florez_essa_com_co/Documents/CONVOCATORIAS/2025/CP-ESSC2025-002/SICEP/PLIEGO%20CONSULTA/20250527_Indices%20mensualizados_%20IPP_abr25_GARANTIA.xlsx" TargetMode="External"/><Relationship Id="rId1" Type="http://schemas.openxmlformats.org/officeDocument/2006/relationships/externalLinkPath" Target="20250527_Indices%20mensualizados_%20IPP_abr25_GARANTI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-my.sharepoint.com/personal/viviana_florez_essa_com_co/Documents/CONVOCATORIAS/2025/CP-ESSC2025-002/AN&#193;LISIS%20DE%20PRECIOS%20Y%20CANTIDADES/20250422_SIMULACION%20COMPRA%20ENERGIA.xlsx" TargetMode="External"/><Relationship Id="rId1" Type="http://schemas.openxmlformats.org/officeDocument/2006/relationships/externalLinkPath" Target="/personal/viviana_florez_essa_com_co/Documents/CONVOCATORIAS/2025/CP-ESSC2025-002/AN&#193;LISIS%20DE%20PRECIOS%20Y%20CANTIDADES/20250422_SIMULACION%20COMPRA%20ENERG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ción"/>
      <sheetName val="Ppto"/>
      <sheetName val="Mes"/>
      <sheetName val="Empresa"/>
      <sheetName val="IPP"/>
      <sheetName val="Emgesa"/>
      <sheetName val="Merilectrica"/>
      <sheetName val="ISAGEN_ALT"/>
      <sheetName val="CHIVOR_BIANUAL_2011"/>
      <sheetName val="CHIVOR_BIANUAL_2012"/>
      <sheetName val="CHIVOR_ANUAL_ALT2_2011"/>
      <sheetName val="CHIVOR_ANUAL_ALT2_2012"/>
      <sheetName val="EPM_ALT3_2011"/>
      <sheetName val="EPM_ALT1_2012"/>
      <sheetName val="EPM_ALT2_201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C - IPP COL"/>
      <sheetName val="IPC - IPP USA"/>
      <sheetName val="Factor"/>
      <sheetName val="Factor (2)"/>
      <sheetName val="CP-ESSC2025-002"/>
      <sheetName val="Hoja1"/>
      <sheetName val="IPC - IPP COL (BASE)"/>
    </sheetNames>
    <sheetDataSet>
      <sheetData sheetId="0">
        <row r="144">
          <cell r="P144">
            <v>1.02</v>
          </cell>
        </row>
        <row r="145">
          <cell r="P145">
            <v>1.02</v>
          </cell>
        </row>
        <row r="146">
          <cell r="P146">
            <v>1.03</v>
          </cell>
        </row>
        <row r="147">
          <cell r="P147">
            <v>1.03</v>
          </cell>
        </row>
        <row r="148">
          <cell r="P148">
            <v>1.03</v>
          </cell>
        </row>
        <row r="149">
          <cell r="P149">
            <v>1.03</v>
          </cell>
        </row>
        <row r="150">
          <cell r="P150">
            <v>1.03</v>
          </cell>
        </row>
        <row r="151">
          <cell r="P151">
            <v>1.03</v>
          </cell>
        </row>
        <row r="152">
          <cell r="P152">
            <v>1.04</v>
          </cell>
        </row>
        <row r="153">
          <cell r="P153">
            <v>1.04</v>
          </cell>
        </row>
        <row r="154">
          <cell r="P154">
            <v>1.04</v>
          </cell>
        </row>
        <row r="155">
          <cell r="P155">
            <v>1.04</v>
          </cell>
        </row>
        <row r="156">
          <cell r="P156">
            <v>1.05</v>
          </cell>
        </row>
        <row r="157">
          <cell r="P157">
            <v>1.05</v>
          </cell>
        </row>
        <row r="158">
          <cell r="P158">
            <v>1.05</v>
          </cell>
        </row>
        <row r="159">
          <cell r="P159">
            <v>1.05</v>
          </cell>
        </row>
        <row r="160">
          <cell r="P160">
            <v>1.06</v>
          </cell>
        </row>
        <row r="161">
          <cell r="P161">
            <v>1.06</v>
          </cell>
        </row>
        <row r="162">
          <cell r="P162">
            <v>1.06</v>
          </cell>
        </row>
        <row r="163">
          <cell r="P163">
            <v>1.06</v>
          </cell>
        </row>
        <row r="164">
          <cell r="P164">
            <v>1.06</v>
          </cell>
        </row>
        <row r="165">
          <cell r="P165">
            <v>1.07</v>
          </cell>
        </row>
        <row r="166">
          <cell r="P166">
            <v>1.07</v>
          </cell>
        </row>
        <row r="167">
          <cell r="P167">
            <v>1.07</v>
          </cell>
        </row>
        <row r="168">
          <cell r="P168">
            <v>1.08</v>
          </cell>
        </row>
        <row r="169">
          <cell r="P169">
            <v>1.08</v>
          </cell>
        </row>
        <row r="170">
          <cell r="P170">
            <v>1.08</v>
          </cell>
        </row>
        <row r="171">
          <cell r="P171">
            <v>1.08</v>
          </cell>
        </row>
        <row r="172">
          <cell r="P172">
            <v>1.0900000000000001</v>
          </cell>
        </row>
        <row r="173">
          <cell r="P173">
            <v>1.0900000000000001</v>
          </cell>
        </row>
        <row r="174">
          <cell r="P174">
            <v>1.0900000000000001</v>
          </cell>
        </row>
        <row r="175">
          <cell r="P175">
            <v>1.0900000000000001</v>
          </cell>
        </row>
        <row r="176">
          <cell r="P176">
            <v>1.0900000000000001</v>
          </cell>
        </row>
        <row r="177">
          <cell r="P177">
            <v>1.1000000000000001</v>
          </cell>
        </row>
        <row r="178">
          <cell r="P178">
            <v>1.1000000000000001</v>
          </cell>
        </row>
        <row r="179">
          <cell r="P179">
            <v>1.1000000000000001</v>
          </cell>
        </row>
        <row r="180">
          <cell r="P180">
            <v>1.1100000000000001</v>
          </cell>
        </row>
        <row r="181">
          <cell r="P181">
            <v>1.1100000000000001</v>
          </cell>
        </row>
        <row r="182">
          <cell r="P182">
            <v>1.1100000000000001</v>
          </cell>
        </row>
        <row r="183">
          <cell r="P183">
            <v>1.1100000000000001</v>
          </cell>
        </row>
        <row r="184">
          <cell r="P184">
            <v>1.1100000000000001</v>
          </cell>
        </row>
        <row r="185">
          <cell r="P185">
            <v>1.1200000000000001</v>
          </cell>
        </row>
        <row r="186">
          <cell r="P186">
            <v>1.1200000000000001</v>
          </cell>
        </row>
        <row r="187">
          <cell r="P187">
            <v>1.1200000000000001</v>
          </cell>
        </row>
        <row r="188">
          <cell r="P188">
            <v>1.1200000000000001</v>
          </cell>
        </row>
        <row r="189">
          <cell r="P189">
            <v>1.1299999999999999</v>
          </cell>
        </row>
        <row r="190">
          <cell r="P190">
            <v>1.1299999999999999</v>
          </cell>
        </row>
        <row r="191">
          <cell r="P191">
            <v>1.1299999999999999</v>
          </cell>
        </row>
        <row r="192">
          <cell r="P192">
            <v>1.1399999999999999</v>
          </cell>
        </row>
        <row r="193">
          <cell r="P193">
            <v>1.1399999999999999</v>
          </cell>
        </row>
        <row r="194">
          <cell r="P194">
            <v>1.1399999999999999</v>
          </cell>
        </row>
        <row r="195">
          <cell r="P195">
            <v>1.1399999999999999</v>
          </cell>
        </row>
        <row r="196">
          <cell r="P196">
            <v>1.1399999999999999</v>
          </cell>
        </row>
        <row r="197">
          <cell r="P197">
            <v>1.1499999999999999</v>
          </cell>
        </row>
        <row r="198">
          <cell r="P198">
            <v>1.1499999999999999</v>
          </cell>
        </row>
        <row r="199">
          <cell r="P199">
            <v>1.1499999999999999</v>
          </cell>
        </row>
        <row r="200">
          <cell r="P200">
            <v>1.1499999999999999</v>
          </cell>
        </row>
        <row r="201">
          <cell r="P201">
            <v>1.1599999999999999</v>
          </cell>
        </row>
        <row r="202">
          <cell r="P202">
            <v>1.1599999999999999</v>
          </cell>
        </row>
        <row r="203">
          <cell r="P203">
            <v>1.1599999999999999</v>
          </cell>
        </row>
        <row r="204">
          <cell r="P204">
            <v>1.17</v>
          </cell>
        </row>
        <row r="205">
          <cell r="P205">
            <v>1.17</v>
          </cell>
        </row>
        <row r="206">
          <cell r="P206">
            <v>1.17</v>
          </cell>
        </row>
        <row r="207">
          <cell r="P207">
            <v>1.17</v>
          </cell>
        </row>
        <row r="208">
          <cell r="P208">
            <v>1.18</v>
          </cell>
        </row>
        <row r="209">
          <cell r="P209">
            <v>1.18</v>
          </cell>
        </row>
        <row r="210">
          <cell r="P210">
            <v>1.18</v>
          </cell>
        </row>
        <row r="211">
          <cell r="P211">
            <v>1.18</v>
          </cell>
        </row>
        <row r="212">
          <cell r="P212">
            <v>1.18</v>
          </cell>
        </row>
        <row r="213">
          <cell r="P213">
            <v>1.19</v>
          </cell>
        </row>
        <row r="214">
          <cell r="P214">
            <v>1.2</v>
          </cell>
        </row>
        <row r="215">
          <cell r="P215">
            <v>1.2</v>
          </cell>
        </row>
        <row r="216">
          <cell r="P216">
            <v>1.2</v>
          </cell>
        </row>
        <row r="217">
          <cell r="P217">
            <v>1.21</v>
          </cell>
        </row>
        <row r="218">
          <cell r="P218">
            <v>1.21</v>
          </cell>
        </row>
        <row r="219">
          <cell r="P219">
            <v>1.21</v>
          </cell>
        </row>
        <row r="220">
          <cell r="P220">
            <v>1.21</v>
          </cell>
        </row>
        <row r="221">
          <cell r="P221">
            <v>1.21</v>
          </cell>
        </row>
        <row r="222">
          <cell r="P222">
            <v>1.22</v>
          </cell>
        </row>
        <row r="223">
          <cell r="P223">
            <v>1.22</v>
          </cell>
        </row>
        <row r="224">
          <cell r="P224">
            <v>1.22</v>
          </cell>
        </row>
        <row r="225">
          <cell r="P225">
            <v>1.23</v>
          </cell>
        </row>
        <row r="226">
          <cell r="P226">
            <v>1.23</v>
          </cell>
        </row>
        <row r="227">
          <cell r="P227">
            <v>1.23</v>
          </cell>
        </row>
        <row r="228">
          <cell r="P228">
            <v>1.24</v>
          </cell>
        </row>
        <row r="229">
          <cell r="P229">
            <v>1.24</v>
          </cell>
        </row>
        <row r="230">
          <cell r="P230">
            <v>1.25</v>
          </cell>
        </row>
        <row r="231">
          <cell r="P231">
            <v>1.24</v>
          </cell>
        </row>
        <row r="232">
          <cell r="P232">
            <v>1.25</v>
          </cell>
        </row>
        <row r="233">
          <cell r="P233">
            <v>1.25</v>
          </cell>
        </row>
        <row r="234">
          <cell r="P234">
            <v>1.25</v>
          </cell>
        </row>
        <row r="235">
          <cell r="P235">
            <v>1.25</v>
          </cell>
        </row>
        <row r="236">
          <cell r="P236">
            <v>1.26</v>
          </cell>
        </row>
        <row r="237">
          <cell r="P237">
            <v>1.26</v>
          </cell>
        </row>
        <row r="238">
          <cell r="P238">
            <v>1.27</v>
          </cell>
        </row>
        <row r="239">
          <cell r="P239">
            <v>1.27</v>
          </cell>
        </row>
        <row r="240">
          <cell r="P240">
            <v>1.28</v>
          </cell>
        </row>
        <row r="241">
          <cell r="P241">
            <v>1.28</v>
          </cell>
        </row>
        <row r="242">
          <cell r="P242">
            <v>1.28</v>
          </cell>
        </row>
        <row r="243">
          <cell r="P243">
            <v>1.28</v>
          </cell>
        </row>
        <row r="244">
          <cell r="P244">
            <v>1.29</v>
          </cell>
        </row>
        <row r="245">
          <cell r="P245">
            <v>1.29</v>
          </cell>
        </row>
        <row r="246">
          <cell r="P246">
            <v>1.29</v>
          </cell>
        </row>
        <row r="247">
          <cell r="P247">
            <v>1.29</v>
          </cell>
        </row>
        <row r="248">
          <cell r="P248">
            <v>1.29</v>
          </cell>
        </row>
        <row r="249">
          <cell r="P249">
            <v>1.3</v>
          </cell>
        </row>
        <row r="250">
          <cell r="P250">
            <v>1.31</v>
          </cell>
        </row>
        <row r="251">
          <cell r="P251">
            <v>1.31</v>
          </cell>
        </row>
        <row r="252">
          <cell r="P252">
            <v>1.31</v>
          </cell>
        </row>
        <row r="253">
          <cell r="P253">
            <v>1.32</v>
          </cell>
        </row>
        <row r="254">
          <cell r="P254">
            <v>1.32</v>
          </cell>
        </row>
        <row r="255">
          <cell r="P255">
            <v>1.32</v>
          </cell>
        </row>
        <row r="256">
          <cell r="P256">
            <v>1.32</v>
          </cell>
        </row>
        <row r="257">
          <cell r="P257">
            <v>1.33</v>
          </cell>
        </row>
        <row r="258">
          <cell r="P258">
            <v>1.33</v>
          </cell>
        </row>
        <row r="259">
          <cell r="P259">
            <v>1.33</v>
          </cell>
        </row>
        <row r="260">
          <cell r="P260">
            <v>1.33</v>
          </cell>
        </row>
        <row r="261">
          <cell r="P261">
            <v>1.34</v>
          </cell>
        </row>
        <row r="262">
          <cell r="P262">
            <v>1.35</v>
          </cell>
        </row>
        <row r="263">
          <cell r="P263">
            <v>1.35</v>
          </cell>
        </row>
        <row r="264">
          <cell r="P264">
            <v>1.35</v>
          </cell>
        </row>
        <row r="265">
          <cell r="P265">
            <v>1.36</v>
          </cell>
        </row>
        <row r="266">
          <cell r="P266">
            <v>1.36</v>
          </cell>
        </row>
        <row r="267">
          <cell r="P267">
            <v>1.36</v>
          </cell>
        </row>
        <row r="268">
          <cell r="P268">
            <v>1.36</v>
          </cell>
        </row>
        <row r="269">
          <cell r="P269">
            <v>1.37</v>
          </cell>
        </row>
        <row r="270">
          <cell r="P270">
            <v>1.37</v>
          </cell>
        </row>
        <row r="271">
          <cell r="P271">
            <v>1.37</v>
          </cell>
        </row>
        <row r="272">
          <cell r="P272">
            <v>1.37</v>
          </cell>
        </row>
        <row r="273">
          <cell r="P273">
            <v>1.38</v>
          </cell>
        </row>
        <row r="274">
          <cell r="P274">
            <v>1.39</v>
          </cell>
        </row>
        <row r="275">
          <cell r="P275">
            <v>1.39</v>
          </cell>
        </row>
        <row r="276">
          <cell r="P276">
            <v>1.39</v>
          </cell>
        </row>
        <row r="277">
          <cell r="P277">
            <v>1.4</v>
          </cell>
        </row>
        <row r="278">
          <cell r="P278">
            <v>1.4</v>
          </cell>
        </row>
        <row r="279">
          <cell r="P279">
            <v>1.4</v>
          </cell>
        </row>
        <row r="280">
          <cell r="P280">
            <v>1.41</v>
          </cell>
        </row>
        <row r="281">
          <cell r="P281">
            <v>1.41</v>
          </cell>
        </row>
        <row r="282">
          <cell r="P282">
            <v>1.41</v>
          </cell>
        </row>
        <row r="283">
          <cell r="P283">
            <v>1.41</v>
          </cell>
        </row>
        <row r="284">
          <cell r="P284">
            <v>1.41</v>
          </cell>
        </row>
        <row r="285">
          <cell r="P285">
            <v>1.42</v>
          </cell>
        </row>
        <row r="286">
          <cell r="P286">
            <v>1.43</v>
          </cell>
        </row>
        <row r="287">
          <cell r="P287">
            <v>1.43</v>
          </cell>
        </row>
        <row r="288">
          <cell r="P288">
            <v>1.44</v>
          </cell>
        </row>
        <row r="289">
          <cell r="P289">
            <v>1.44</v>
          </cell>
        </row>
        <row r="290">
          <cell r="P290">
            <v>1.44</v>
          </cell>
        </row>
        <row r="291">
          <cell r="P291">
            <v>1.44</v>
          </cell>
        </row>
        <row r="292">
          <cell r="P292">
            <v>1.45</v>
          </cell>
        </row>
        <row r="293">
          <cell r="P293">
            <v>1.45</v>
          </cell>
        </row>
        <row r="294">
          <cell r="P294">
            <v>1.45</v>
          </cell>
        </row>
        <row r="295">
          <cell r="P295">
            <v>1.45</v>
          </cell>
        </row>
        <row r="296">
          <cell r="P296">
            <v>1.46</v>
          </cell>
        </row>
        <row r="297">
          <cell r="P297">
            <v>1.46</v>
          </cell>
        </row>
        <row r="298">
          <cell r="P298">
            <v>1.47</v>
          </cell>
        </row>
        <row r="299">
          <cell r="P299">
            <v>1.47</v>
          </cell>
        </row>
        <row r="300">
          <cell r="P300">
            <v>1.48</v>
          </cell>
        </row>
        <row r="301">
          <cell r="P301">
            <v>1.48</v>
          </cell>
        </row>
        <row r="302">
          <cell r="P302">
            <v>1.49</v>
          </cell>
        </row>
        <row r="303">
          <cell r="P303">
            <v>1.48</v>
          </cell>
        </row>
        <row r="304">
          <cell r="P304">
            <v>1.49</v>
          </cell>
        </row>
        <row r="305">
          <cell r="P305">
            <v>1.49</v>
          </cell>
        </row>
        <row r="306">
          <cell r="P306">
            <v>1.5</v>
          </cell>
        </row>
        <row r="307">
          <cell r="P307">
            <v>1.5</v>
          </cell>
        </row>
        <row r="308">
          <cell r="P308">
            <v>1.5</v>
          </cell>
        </row>
        <row r="309">
          <cell r="P309">
            <v>1.51</v>
          </cell>
        </row>
        <row r="310">
          <cell r="P310">
            <v>1.52</v>
          </cell>
        </row>
        <row r="311">
          <cell r="P311">
            <v>1.52</v>
          </cell>
        </row>
        <row r="312">
          <cell r="P312">
            <v>1.52</v>
          </cell>
        </row>
        <row r="313">
          <cell r="P313">
            <v>1.53</v>
          </cell>
        </row>
        <row r="314">
          <cell r="P314">
            <v>1.53</v>
          </cell>
        </row>
        <row r="315">
          <cell r="P315">
            <v>1.53</v>
          </cell>
        </row>
        <row r="316">
          <cell r="P316">
            <v>1.54</v>
          </cell>
        </row>
        <row r="317">
          <cell r="P317">
            <v>1.54</v>
          </cell>
        </row>
        <row r="318">
          <cell r="P318">
            <v>1.54</v>
          </cell>
        </row>
        <row r="319">
          <cell r="P319">
            <v>1.54</v>
          </cell>
        </row>
        <row r="320">
          <cell r="P320">
            <v>1.55</v>
          </cell>
        </row>
        <row r="321">
          <cell r="P321">
            <v>1.55</v>
          </cell>
        </row>
        <row r="322">
          <cell r="P322">
            <v>1.56</v>
          </cell>
        </row>
        <row r="323">
          <cell r="P323">
            <v>1.56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SA"/>
      <sheetName val="Mensual"/>
      <sheetName val="Anual"/>
      <sheetName val="Hoja3"/>
      <sheetName val="2023"/>
      <sheetName val="2023 (2)"/>
      <sheetName val="2023 (3)"/>
      <sheetName val="2024 (2)"/>
      <sheetName val="2024"/>
      <sheetName val="2024_plana"/>
      <sheetName val="2024_mixta"/>
      <sheetName val="2025"/>
      <sheetName val="2026 (2)"/>
      <sheetName val="2025_plana"/>
      <sheetName val="2025_mixta"/>
      <sheetName val="2025 (PLANA)"/>
      <sheetName val="2026"/>
      <sheetName val="2026_plana"/>
      <sheetName val="2026_mixta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2037"/>
      <sheetName val="2038"/>
      <sheetName val="2039"/>
      <sheetName val="2040"/>
      <sheetName val="Resumen "/>
      <sheetName val="Vigencia futu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5">
          <cell r="D15">
            <v>20</v>
          </cell>
          <cell r="E15">
            <v>8287.1685941082396</v>
          </cell>
          <cell r="F15">
            <v>7838.0247461455901</v>
          </cell>
          <cell r="G15">
            <v>7513.373123693962</v>
          </cell>
          <cell r="H15">
            <v>7286.3902606221345</v>
          </cell>
          <cell r="I15">
            <v>7232.5875629985958</v>
          </cell>
          <cell r="J15">
            <v>7409.1451221995039</v>
          </cell>
          <cell r="K15">
            <v>7353.9776540944658</v>
          </cell>
          <cell r="L15">
            <v>8223.5807017277311</v>
          </cell>
          <cell r="M15">
            <v>9159.3119621077803</v>
          </cell>
          <cell r="N15">
            <v>9701.1881678729333</v>
          </cell>
          <cell r="O15">
            <v>10260.195808764172</v>
          </cell>
          <cell r="P15">
            <v>10657.739449300421</v>
          </cell>
          <cell r="Q15">
            <v>10361.598935724018</v>
          </cell>
          <cell r="R15">
            <v>10652.288030993268</v>
          </cell>
          <cell r="S15">
            <v>11137.085157418449</v>
          </cell>
          <cell r="T15">
            <v>11183.066947357831</v>
          </cell>
          <cell r="U15">
            <v>10951.580846449469</v>
          </cell>
          <cell r="V15">
            <v>10511.487055221201</v>
          </cell>
          <cell r="W15">
            <v>11135.470642218006</v>
          </cell>
          <cell r="X15">
            <v>11169.616511478238</v>
          </cell>
          <cell r="Y15">
            <v>10905.635743392206</v>
          </cell>
          <cell r="Z15">
            <v>10484.337531347357</v>
          </cell>
          <cell r="AA15">
            <v>9789.6769275516435</v>
          </cell>
          <cell r="AB15">
            <v>9009.7056883513942</v>
          </cell>
        </row>
        <row r="16">
          <cell r="D16">
            <v>5</v>
          </cell>
          <cell r="E16">
            <v>8349.6167655608915</v>
          </cell>
          <cell r="F16">
            <v>7906.2854416237014</v>
          </cell>
          <cell r="G16">
            <v>7577.8338991817436</v>
          </cell>
          <cell r="H16">
            <v>7318.6925294173616</v>
          </cell>
          <cell r="I16">
            <v>7250.7495855809366</v>
          </cell>
          <cell r="J16">
            <v>7282.5486639336032</v>
          </cell>
          <cell r="K16">
            <v>7094.3584161461367</v>
          </cell>
          <cell r="L16">
            <v>7769.6215350570201</v>
          </cell>
          <cell r="M16">
            <v>8661.4669359988238</v>
          </cell>
          <cell r="N16">
            <v>9251.678936107568</v>
          </cell>
          <cell r="O16">
            <v>9737.6315569732669</v>
          </cell>
          <cell r="P16">
            <v>10042.233629068396</v>
          </cell>
          <cell r="Q16">
            <v>9899.8960015404464</v>
          </cell>
          <cell r="R16">
            <v>9800.0951633851309</v>
          </cell>
          <cell r="S16">
            <v>9855.9195944451494</v>
          </cell>
          <cell r="T16">
            <v>9852.7801306657766</v>
          </cell>
          <cell r="U16">
            <v>9707.3839921031667</v>
          </cell>
          <cell r="V16">
            <v>9633.1437811141295</v>
          </cell>
          <cell r="W16">
            <v>10623.23010444779</v>
          </cell>
          <cell r="X16">
            <v>10729.593447141842</v>
          </cell>
          <cell r="Y16">
            <v>10433.030903616293</v>
          </cell>
          <cell r="Z16">
            <v>10063.705496297203</v>
          </cell>
          <cell r="AA16">
            <v>9562.1008803767436</v>
          </cell>
          <cell r="AB16">
            <v>8976.3564699659237</v>
          </cell>
        </row>
        <row r="17">
          <cell r="D17">
            <v>4</v>
          </cell>
          <cell r="E17">
            <v>8442.6613619700493</v>
          </cell>
          <cell r="F17">
            <v>8015.142484336131</v>
          </cell>
          <cell r="G17">
            <v>7668.4328663141459</v>
          </cell>
          <cell r="H17">
            <v>7391.3266120980543</v>
          </cell>
          <cell r="I17">
            <v>7250.464473568858</v>
          </cell>
          <cell r="J17">
            <v>7180.9947383455565</v>
          </cell>
          <cell r="K17">
            <v>6810.6907076764164</v>
          </cell>
          <cell r="L17">
            <v>7115.0680995489374</v>
          </cell>
          <cell r="M17">
            <v>7623.4819562180819</v>
          </cell>
          <cell r="N17">
            <v>8141.5724935715143</v>
          </cell>
          <cell r="O17">
            <v>8460.2026583573424</v>
          </cell>
          <cell r="P17">
            <v>8743.9331415602428</v>
          </cell>
          <cell r="Q17">
            <v>8912.8638265186746</v>
          </cell>
          <cell r="R17">
            <v>8950.947568602618</v>
          </cell>
          <cell r="S17">
            <v>8975.7669368539537</v>
          </cell>
          <cell r="T17">
            <v>8990.6862368569891</v>
          </cell>
          <cell r="U17">
            <v>8938.047320538908</v>
          </cell>
          <cell r="V17">
            <v>8947.1722783752193</v>
          </cell>
          <cell r="W17">
            <v>10030.798447943498</v>
          </cell>
          <cell r="X17">
            <v>10358.380354313473</v>
          </cell>
          <cell r="Y17">
            <v>10320.779177842493</v>
          </cell>
          <cell r="Z17">
            <v>10035.604229447197</v>
          </cell>
          <cell r="AA17">
            <v>9496.1106589353203</v>
          </cell>
          <cell r="AB17">
            <v>8836.0891159742514</v>
          </cell>
        </row>
        <row r="18">
          <cell r="D18">
            <v>2</v>
          </cell>
          <cell r="E18">
            <v>8442.6613619700493</v>
          </cell>
          <cell r="F18">
            <v>8015.142484336131</v>
          </cell>
          <cell r="G18">
            <v>7668.4328663141459</v>
          </cell>
          <cell r="H18">
            <v>7391.3266120980543</v>
          </cell>
          <cell r="I18">
            <v>7250.464473568858</v>
          </cell>
          <cell r="J18">
            <v>7180.9947383455565</v>
          </cell>
          <cell r="K18">
            <v>6810.6907076764164</v>
          </cell>
          <cell r="L18">
            <v>7115.0680995489374</v>
          </cell>
          <cell r="M18">
            <v>7623.4819562180819</v>
          </cell>
          <cell r="N18">
            <v>8141.5724935715143</v>
          </cell>
          <cell r="O18">
            <v>8460.2026583573424</v>
          </cell>
          <cell r="P18">
            <v>8743.9331415602428</v>
          </cell>
          <cell r="Q18">
            <v>8912.8638265186746</v>
          </cell>
          <cell r="R18">
            <v>8950.947568602618</v>
          </cell>
          <cell r="S18">
            <v>8975.7669368539537</v>
          </cell>
          <cell r="T18">
            <v>8990.6862368569891</v>
          </cell>
          <cell r="U18">
            <v>8938.047320538908</v>
          </cell>
          <cell r="V18">
            <v>8947.1722783752193</v>
          </cell>
          <cell r="W18">
            <v>10030.798447943498</v>
          </cell>
          <cell r="X18">
            <v>10358.380354313473</v>
          </cell>
          <cell r="Y18">
            <v>10320.779177842493</v>
          </cell>
          <cell r="Z18">
            <v>10035.604229447197</v>
          </cell>
          <cell r="AA18">
            <v>9496.1106589353203</v>
          </cell>
          <cell r="AB18">
            <v>8836.0891159742514</v>
          </cell>
        </row>
        <row r="19">
          <cell r="D19">
            <v>20</v>
          </cell>
          <cell r="E19">
            <v>8510.6645549095647</v>
          </cell>
          <cell r="F19">
            <v>8061.5648311646846</v>
          </cell>
          <cell r="G19">
            <v>7740.777899335345</v>
          </cell>
          <cell r="H19">
            <v>7530.7902980258559</v>
          </cell>
          <cell r="I19">
            <v>7546.2082089879104</v>
          </cell>
          <cell r="J19">
            <v>7965.3469872458654</v>
          </cell>
          <cell r="K19">
            <v>7944.0658762787507</v>
          </cell>
          <cell r="L19">
            <v>8764.1782637306751</v>
          </cell>
          <cell r="M19">
            <v>9591.1384061514964</v>
          </cell>
          <cell r="N19">
            <v>9997.2269548538879</v>
          </cell>
          <cell r="O19">
            <v>10482.38014901948</v>
          </cell>
          <cell r="P19">
            <v>10807.874996120096</v>
          </cell>
          <cell r="Q19">
            <v>10401.109907778184</v>
          </cell>
          <cell r="R19">
            <v>10772.059335283653</v>
          </cell>
          <cell r="S19">
            <v>11317.255326764605</v>
          </cell>
          <cell r="T19">
            <v>11387.324467055349</v>
          </cell>
          <cell r="U19">
            <v>11187.89064489329</v>
          </cell>
          <cell r="V19">
            <v>10711.431734679705</v>
          </cell>
          <cell r="W19">
            <v>11280.768516915676</v>
          </cell>
          <cell r="X19">
            <v>11463.348288524468</v>
          </cell>
          <cell r="Y19">
            <v>11236.368792906316</v>
          </cell>
          <cell r="Z19">
            <v>10747.051546700181</v>
          </cell>
          <cell r="AA19">
            <v>9949.5244829820112</v>
          </cell>
          <cell r="AB19">
            <v>9147.5291476659168</v>
          </cell>
        </row>
        <row r="20">
          <cell r="D20">
            <v>4</v>
          </cell>
          <cell r="E20">
            <v>8537.8050741019306</v>
          </cell>
          <cell r="F20">
            <v>8122.0853648253315</v>
          </cell>
          <cell r="G20">
            <v>7760.7669782795583</v>
          </cell>
          <cell r="H20">
            <v>7515.6767621200333</v>
          </cell>
          <cell r="I20">
            <v>7422.0991891028434</v>
          </cell>
          <cell r="J20">
            <v>7496.3681700939951</v>
          </cell>
          <cell r="K20">
            <v>7420.7931661700268</v>
          </cell>
          <cell r="L20">
            <v>8158.2666712545397</v>
          </cell>
          <cell r="M20">
            <v>9044.9613763731413</v>
          </cell>
          <cell r="N20">
            <v>9601.8805183368331</v>
          </cell>
          <cell r="O20">
            <v>10057.234733029381</v>
          </cell>
          <cell r="P20">
            <v>10358.834513452324</v>
          </cell>
          <cell r="Q20">
            <v>10178.144172562372</v>
          </cell>
          <cell r="R20">
            <v>10059.397231701383</v>
          </cell>
          <cell r="S20">
            <v>10112.215300961465</v>
          </cell>
          <cell r="T20">
            <v>10110.947124057988</v>
          </cell>
          <cell r="U20">
            <v>9957.4442151692074</v>
          </cell>
          <cell r="V20">
            <v>9888.0859239451293</v>
          </cell>
          <cell r="W20">
            <v>10830.943048111132</v>
          </cell>
          <cell r="X20">
            <v>11051.053294033858</v>
          </cell>
          <cell r="Y20">
            <v>10763.898137295484</v>
          </cell>
          <cell r="Z20">
            <v>10376.06927703882</v>
          </cell>
          <cell r="AA20">
            <v>9848.9616700840288</v>
          </cell>
          <cell r="AB20">
            <v>9228.992885304584</v>
          </cell>
        </row>
        <row r="21">
          <cell r="D21">
            <v>4</v>
          </cell>
          <cell r="E21">
            <v>8670.523981931512</v>
          </cell>
          <cell r="F21">
            <v>8226.585452624091</v>
          </cell>
          <cell r="G21">
            <v>7883.1633816068725</v>
          </cell>
          <cell r="H21">
            <v>7631.235175009193</v>
          </cell>
          <cell r="I21">
            <v>7471.6783248387474</v>
          </cell>
          <cell r="J21">
            <v>7438.1641587161121</v>
          </cell>
          <cell r="K21">
            <v>7110.3707394827643</v>
          </cell>
          <cell r="L21">
            <v>7428.0669720566566</v>
          </cell>
          <cell r="M21">
            <v>7948.2702742917973</v>
          </cell>
          <cell r="N21">
            <v>8420.656625599604</v>
          </cell>
          <cell r="O21">
            <v>8765.165179087413</v>
          </cell>
          <cell r="P21">
            <v>9115.5512544236626</v>
          </cell>
          <cell r="Q21">
            <v>9316.5080602946146</v>
          </cell>
          <cell r="R21">
            <v>9378.0873178864167</v>
          </cell>
          <cell r="S21">
            <v>9433.82246196099</v>
          </cell>
          <cell r="T21">
            <v>9476.9191254900979</v>
          </cell>
          <cell r="U21">
            <v>9414.7540080149156</v>
          </cell>
          <cell r="V21">
            <v>9392.6974760842695</v>
          </cell>
          <cell r="W21">
            <v>10443.499597750591</v>
          </cell>
          <cell r="X21">
            <v>10913.918457913676</v>
          </cell>
          <cell r="Y21">
            <v>10921.994482400081</v>
          </cell>
          <cell r="Z21">
            <v>10651.089255183848</v>
          </cell>
          <cell r="AA21">
            <v>10013.808256426009</v>
          </cell>
          <cell r="AB21">
            <v>9252.1715687511678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21</v>
          </cell>
          <cell r="E23">
            <v>8678.2326624926027</v>
          </cell>
          <cell r="F23">
            <v>8219.6086880334351</v>
          </cell>
          <cell r="G23">
            <v>7873.9904293929831</v>
          </cell>
          <cell r="H23">
            <v>7618.9163457278337</v>
          </cell>
          <cell r="I23">
            <v>7580.5761709867029</v>
          </cell>
          <cell r="J23">
            <v>7858.1479567762563</v>
          </cell>
          <cell r="K23">
            <v>7804.1820122512227</v>
          </cell>
          <cell r="L23">
            <v>8698.7569968990883</v>
          </cell>
          <cell r="M23">
            <v>9600.9932821628736</v>
          </cell>
          <cell r="N23">
            <v>10073.189884924588</v>
          </cell>
          <cell r="O23">
            <v>10608.800449714417</v>
          </cell>
          <cell r="P23">
            <v>10957.505324415219</v>
          </cell>
          <cell r="Q23">
            <v>10563.139275318592</v>
          </cell>
          <cell r="R23">
            <v>10984.098468180789</v>
          </cell>
          <cell r="S23">
            <v>11494.331388513416</v>
          </cell>
          <cell r="T23">
            <v>11549.156781452666</v>
          </cell>
          <cell r="U23">
            <v>11348.446063265954</v>
          </cell>
          <cell r="V23">
            <v>10863.683856781216</v>
          </cell>
          <cell r="W23">
            <v>11351.01489145272</v>
          </cell>
          <cell r="X23">
            <v>11492.89094061138</v>
          </cell>
          <cell r="Y23">
            <v>11286.267323276117</v>
          </cell>
          <cell r="Z23">
            <v>10848.326365563422</v>
          </cell>
          <cell r="AA23">
            <v>10163.173171593246</v>
          </cell>
          <cell r="AB23">
            <v>9392.4550768481877</v>
          </cell>
        </row>
        <row r="24">
          <cell r="D24">
            <v>4</v>
          </cell>
          <cell r="E24">
            <v>8703.4419874871874</v>
          </cell>
          <cell r="F24">
            <v>8230.2585384232589</v>
          </cell>
          <cell r="G24">
            <v>7896.9479907138848</v>
          </cell>
          <cell r="H24">
            <v>7633.1755651649764</v>
          </cell>
          <cell r="I24">
            <v>7475.7153776034302</v>
          </cell>
          <cell r="J24">
            <v>7451.6441688947125</v>
          </cell>
          <cell r="K24">
            <v>7342.4977693213077</v>
          </cell>
          <cell r="L24">
            <v>8044.9233002790861</v>
          </cell>
          <cell r="M24">
            <v>8891.6497167627058</v>
          </cell>
          <cell r="N24">
            <v>9421.8885056042163</v>
          </cell>
          <cell r="O24">
            <v>9844.2674454476328</v>
          </cell>
          <cell r="P24">
            <v>10114.291273636385</v>
          </cell>
          <cell r="Q24">
            <v>9970.857919842354</v>
          </cell>
          <cell r="R24">
            <v>9866.9767157854712</v>
          </cell>
          <cell r="S24">
            <v>9807.6394649850008</v>
          </cell>
          <cell r="T24">
            <v>10049.860706408112</v>
          </cell>
          <cell r="U24">
            <v>9709.1952719686051</v>
          </cell>
          <cell r="V24">
            <v>9630.3681148119176</v>
          </cell>
          <cell r="W24">
            <v>10638.640597534486</v>
          </cell>
          <cell r="X24">
            <v>10797.335276139669</v>
          </cell>
          <cell r="Y24">
            <v>10535.129848850773</v>
          </cell>
          <cell r="Z24">
            <v>10197.701830782376</v>
          </cell>
          <cell r="AA24">
            <v>9750.1607203960448</v>
          </cell>
          <cell r="AB24">
            <v>9181.3472170049699</v>
          </cell>
        </row>
        <row r="25">
          <cell r="D25">
            <v>5</v>
          </cell>
          <cell r="E25">
            <v>8633.7315412847383</v>
          </cell>
          <cell r="F25">
            <v>8191.7421127510397</v>
          </cell>
          <cell r="G25">
            <v>7797.2183912877072</v>
          </cell>
          <cell r="H25">
            <v>7520.4291123117546</v>
          </cell>
          <cell r="I25">
            <v>7392.0774493404442</v>
          </cell>
          <cell r="J25">
            <v>7308.4620229995789</v>
          </cell>
          <cell r="K25">
            <v>6951.4207829565794</v>
          </cell>
          <cell r="L25">
            <v>7285.7169021417576</v>
          </cell>
          <cell r="M25">
            <v>7770.0785941885088</v>
          </cell>
          <cell r="N25">
            <v>8212.9579928113872</v>
          </cell>
          <cell r="O25">
            <v>8548.7014813937913</v>
          </cell>
          <cell r="P25">
            <v>8866.1163916343576</v>
          </cell>
          <cell r="Q25">
            <v>9025.561261439625</v>
          </cell>
          <cell r="R25">
            <v>9066.301372822134</v>
          </cell>
          <cell r="S25">
            <v>9112.9270081334362</v>
          </cell>
          <cell r="T25">
            <v>9177.8964773270018</v>
          </cell>
          <cell r="U25">
            <v>9064.483548051734</v>
          </cell>
          <cell r="V25">
            <v>9086.2898175262835</v>
          </cell>
          <cell r="W25">
            <v>10064.633218278344</v>
          </cell>
          <cell r="X25">
            <v>10426.435458227023</v>
          </cell>
          <cell r="Y25">
            <v>10407.700573992028</v>
          </cell>
          <cell r="Z25">
            <v>10206.067397065251</v>
          </cell>
          <cell r="AA25">
            <v>9663.573069828346</v>
          </cell>
          <cell r="AB25">
            <v>8951.7473291235456</v>
          </cell>
        </row>
        <row r="26">
          <cell r="D26">
            <v>1</v>
          </cell>
          <cell r="E26">
            <v>8633.7315412847383</v>
          </cell>
          <cell r="F26">
            <v>8191.7421127510397</v>
          </cell>
          <cell r="G26">
            <v>7797.2183912877072</v>
          </cell>
          <cell r="H26">
            <v>7520.4291123117546</v>
          </cell>
          <cell r="I26">
            <v>7392.0774493404442</v>
          </cell>
          <cell r="J26">
            <v>7308.4620229995789</v>
          </cell>
          <cell r="K26">
            <v>6951.4207829565794</v>
          </cell>
          <cell r="L26">
            <v>7285.7169021417576</v>
          </cell>
          <cell r="M26">
            <v>7770.0785941885088</v>
          </cell>
          <cell r="N26">
            <v>8212.9579928113872</v>
          </cell>
          <cell r="O26">
            <v>8548.7014813937913</v>
          </cell>
          <cell r="P26">
            <v>8866.1163916343576</v>
          </cell>
          <cell r="Q26">
            <v>9025.561261439625</v>
          </cell>
          <cell r="R26">
            <v>9066.301372822134</v>
          </cell>
          <cell r="S26">
            <v>9112.9270081334362</v>
          </cell>
          <cell r="T26">
            <v>9177.8964773270018</v>
          </cell>
          <cell r="U26">
            <v>9064.483548051734</v>
          </cell>
          <cell r="V26">
            <v>9086.2898175262835</v>
          </cell>
          <cell r="W26">
            <v>10064.633218278344</v>
          </cell>
          <cell r="X26">
            <v>10426.435458227023</v>
          </cell>
          <cell r="Y26">
            <v>10407.700573992028</v>
          </cell>
          <cell r="Z26">
            <v>10206.067397065251</v>
          </cell>
          <cell r="AA26">
            <v>9663.573069828346</v>
          </cell>
          <cell r="AB26">
            <v>8951.7473291235456</v>
          </cell>
        </row>
        <row r="27">
          <cell r="D27">
            <v>20</v>
          </cell>
          <cell r="E27">
            <v>8465.9973372978675</v>
          </cell>
          <cell r="F27">
            <v>8100.9921147965206</v>
          </cell>
          <cell r="G27">
            <v>7743.2269812775367</v>
          </cell>
          <cell r="H27">
            <v>7543.2619706650958</v>
          </cell>
          <cell r="I27">
            <v>7495.4817661325887</v>
          </cell>
          <cell r="J27">
            <v>7417.671083946303</v>
          </cell>
          <cell r="K27">
            <v>7443.4224858158286</v>
          </cell>
          <cell r="L27">
            <v>8280.1078472342324</v>
          </cell>
          <cell r="M27">
            <v>9229.7918206411086</v>
          </cell>
          <cell r="N27">
            <v>9790.9434158549775</v>
          </cell>
          <cell r="O27">
            <v>10257.443192788378</v>
          </cell>
          <cell r="P27">
            <v>10551.358698500331</v>
          </cell>
          <cell r="Q27">
            <v>10355.268604296121</v>
          </cell>
          <cell r="R27">
            <v>10231.085012311596</v>
          </cell>
          <cell r="S27">
            <v>10302.063915224013</v>
          </cell>
          <cell r="T27">
            <v>10300.53592882149</v>
          </cell>
          <cell r="U27">
            <v>10138.540732859905</v>
          </cell>
          <cell r="V27">
            <v>10079.990249551849</v>
          </cell>
          <cell r="W27">
            <v>11102.583113476809</v>
          </cell>
          <cell r="X27">
            <v>11190.92377018857</v>
          </cell>
          <cell r="Y27">
            <v>10916.861545864953</v>
          </cell>
          <cell r="Z27">
            <v>10537.611220230036</v>
          </cell>
          <cell r="AA27">
            <v>10019.306412347045</v>
          </cell>
          <cell r="AB27">
            <v>9391.4630416500095</v>
          </cell>
        </row>
        <row r="28">
          <cell r="D28">
            <v>4</v>
          </cell>
          <cell r="E28">
            <v>8173.8028379023117</v>
          </cell>
          <cell r="F28">
            <v>7770.9547098841713</v>
          </cell>
          <cell r="G28">
            <v>7464.9479870317728</v>
          </cell>
          <cell r="H28">
            <v>7239.3092018328198</v>
          </cell>
          <cell r="I28">
            <v>7246.0699702569245</v>
          </cell>
          <cell r="J28">
            <v>7335.4358929707168</v>
          </cell>
          <cell r="K28">
            <v>7500.2508221354656</v>
          </cell>
          <cell r="L28">
            <v>8316.3757337098887</v>
          </cell>
          <cell r="M28">
            <v>9155.0168147952718</v>
          </cell>
          <cell r="N28">
            <v>9643.539168892954</v>
          </cell>
          <cell r="O28">
            <v>10081.658739435503</v>
          </cell>
          <cell r="P28">
            <v>10384.1049054492</v>
          </cell>
          <cell r="Q28">
            <v>10100.021695341442</v>
          </cell>
          <cell r="R28">
            <v>10299.335012716385</v>
          </cell>
          <cell r="S28">
            <v>10642.544973101705</v>
          </cell>
          <cell r="T28">
            <v>10665.419260074612</v>
          </cell>
          <cell r="U28">
            <v>10497.454094682682</v>
          </cell>
          <cell r="V28">
            <v>10268.177668921688</v>
          </cell>
          <cell r="W28">
            <v>10975.791939896872</v>
          </cell>
          <cell r="X28">
            <v>11070.680096851669</v>
          </cell>
          <cell r="Y28">
            <v>10782.329177515365</v>
          </cell>
          <cell r="Z28">
            <v>10309.455472598132</v>
          </cell>
          <cell r="AA28">
            <v>9566.9682767000377</v>
          </cell>
          <cell r="AB28">
            <v>8747.0399361859836</v>
          </cell>
        </row>
        <row r="29">
          <cell r="D29">
            <v>4</v>
          </cell>
          <cell r="E29">
            <v>8808.9200518340531</v>
          </cell>
          <cell r="F29">
            <v>8362.8624884666224</v>
          </cell>
          <cell r="G29">
            <v>7993.3525781079006</v>
          </cell>
          <cell r="H29">
            <v>7741.2916812463091</v>
          </cell>
          <cell r="I29">
            <v>7593.60923883757</v>
          </cell>
          <cell r="J29">
            <v>7368.4141911206152</v>
          </cell>
          <cell r="K29">
            <v>7142.7844375806453</v>
          </cell>
          <cell r="L29">
            <v>7542.9140897973775</v>
          </cell>
          <cell r="M29">
            <v>8071.7251323041082</v>
          </cell>
          <cell r="N29">
            <v>8548.5571619240673</v>
          </cell>
          <cell r="O29">
            <v>8925.5366746507989</v>
          </cell>
          <cell r="P29">
            <v>9233.1457873175787</v>
          </cell>
          <cell r="Q29">
            <v>9374.7621037866993</v>
          </cell>
          <cell r="R29">
            <v>9400.9345983887306</v>
          </cell>
          <cell r="S29">
            <v>9349.3606579511288</v>
          </cell>
          <cell r="T29">
            <v>9307.7837063430798</v>
          </cell>
          <cell r="U29">
            <v>9212.8054229104437</v>
          </cell>
          <cell r="V29">
            <v>9300.8162942040617</v>
          </cell>
          <cell r="W29">
            <v>10391.892217106677</v>
          </cell>
          <cell r="X29">
            <v>10704.322854011669</v>
          </cell>
          <cell r="Y29">
            <v>10632.018915954555</v>
          </cell>
          <cell r="Z29">
            <v>10305.687404491146</v>
          </cell>
          <cell r="AA29">
            <v>9677.1823047849321</v>
          </cell>
          <cell r="AB29">
            <v>8927.0791042103228</v>
          </cell>
        </row>
        <row r="30">
          <cell r="D30">
            <v>2</v>
          </cell>
          <cell r="E30">
            <v>8808.9200518340531</v>
          </cell>
          <cell r="F30">
            <v>8362.8624884666224</v>
          </cell>
          <cell r="G30">
            <v>7993.3525781079006</v>
          </cell>
          <cell r="H30">
            <v>7741.2916812463091</v>
          </cell>
          <cell r="I30">
            <v>7593.60923883757</v>
          </cell>
          <cell r="J30">
            <v>7368.4141911206152</v>
          </cell>
          <cell r="K30">
            <v>7142.7844375806453</v>
          </cell>
          <cell r="L30">
            <v>7542.9140897973775</v>
          </cell>
          <cell r="M30">
            <v>8071.7251323041082</v>
          </cell>
          <cell r="N30">
            <v>8548.5571619240673</v>
          </cell>
          <cell r="O30">
            <v>8925.5366746507989</v>
          </cell>
          <cell r="P30">
            <v>9233.1457873175787</v>
          </cell>
          <cell r="Q30">
            <v>9374.7621037866993</v>
          </cell>
          <cell r="R30">
            <v>9400.9345983887306</v>
          </cell>
          <cell r="S30">
            <v>9349.3606579511288</v>
          </cell>
          <cell r="T30">
            <v>9307.7837063430798</v>
          </cell>
          <cell r="U30">
            <v>9212.8054229104437</v>
          </cell>
          <cell r="V30">
            <v>9300.8162942040617</v>
          </cell>
          <cell r="W30">
            <v>10391.892217106677</v>
          </cell>
          <cell r="X30">
            <v>10704.322854011669</v>
          </cell>
          <cell r="Y30">
            <v>10632.018915954555</v>
          </cell>
          <cell r="Z30">
            <v>10305.687404491146</v>
          </cell>
          <cell r="AA30">
            <v>9677.1823047849321</v>
          </cell>
          <cell r="AB30">
            <v>8927.0791042103228</v>
          </cell>
        </row>
        <row r="31">
          <cell r="D31">
            <v>19</v>
          </cell>
          <cell r="E31">
            <v>8662.2050135619411</v>
          </cell>
          <cell r="F31">
            <v>8211.4714789827831</v>
          </cell>
          <cell r="G31">
            <v>7847.7592946670857</v>
          </cell>
          <cell r="H31">
            <v>7536.7032482576451</v>
          </cell>
          <cell r="I31">
            <v>7452.8571106328818</v>
          </cell>
          <cell r="J31">
            <v>7334.8157511366717</v>
          </cell>
          <cell r="K31">
            <v>7443.2225976567961</v>
          </cell>
          <cell r="L31">
            <v>8243.8152331220117</v>
          </cell>
          <cell r="M31">
            <v>9176.8885293244693</v>
          </cell>
          <cell r="N31">
            <v>9691.6724671143838</v>
          </cell>
          <cell r="O31">
            <v>10018.418779060577</v>
          </cell>
          <cell r="P31">
            <v>10258.527339363078</v>
          </cell>
          <cell r="Q31">
            <v>10082.289301737432</v>
          </cell>
          <cell r="R31">
            <v>9900.9373484443458</v>
          </cell>
          <cell r="S31">
            <v>9894.2717941113133</v>
          </cell>
          <cell r="T31">
            <v>9838.5094203124445</v>
          </cell>
          <cell r="U31">
            <v>9704.8367129167655</v>
          </cell>
          <cell r="V31">
            <v>9764.3522331937656</v>
          </cell>
          <cell r="W31">
            <v>10824.11467937214</v>
          </cell>
          <cell r="X31">
            <v>10924.854794377092</v>
          </cell>
          <cell r="Y31">
            <v>10573.068824707942</v>
          </cell>
          <cell r="Z31">
            <v>10136.709587549061</v>
          </cell>
          <cell r="AA31">
            <v>9562.8742855026703</v>
          </cell>
          <cell r="AB31">
            <v>8920.1196334630749</v>
          </cell>
        </row>
        <row r="32">
          <cell r="D32">
            <v>5</v>
          </cell>
          <cell r="E32">
            <v>7985.6375773875243</v>
          </cell>
          <cell r="F32">
            <v>7590.6111450446851</v>
          </cell>
          <cell r="G32">
            <v>7301.4879456593662</v>
          </cell>
          <cell r="H32">
            <v>7102.3419924275058</v>
          </cell>
          <cell r="I32">
            <v>7076.7884523108651</v>
          </cell>
          <cell r="J32">
            <v>7067.8922328381541</v>
          </cell>
          <cell r="K32">
            <v>7175.5450181314127</v>
          </cell>
          <cell r="L32">
            <v>8016.4629583621445</v>
          </cell>
          <cell r="M32">
            <v>8838.7125225964319</v>
          </cell>
          <cell r="N32">
            <v>9313.5160731633896</v>
          </cell>
          <cell r="O32">
            <v>9777.3497401102632</v>
          </cell>
          <cell r="P32">
            <v>10111.443636507822</v>
          </cell>
          <cell r="Q32">
            <v>9890.8571972245027</v>
          </cell>
          <cell r="R32">
            <v>9996.2949385823413</v>
          </cell>
          <cell r="S32">
            <v>10259.412766352032</v>
          </cell>
          <cell r="T32">
            <v>10246.56405535086</v>
          </cell>
          <cell r="U32">
            <v>10098.969406121914</v>
          </cell>
          <cell r="V32">
            <v>9902.7973988223439</v>
          </cell>
          <cell r="W32">
            <v>10624.109852944421</v>
          </cell>
          <cell r="X32">
            <v>10824.300578465263</v>
          </cell>
          <cell r="Y32">
            <v>10529.50195663311</v>
          </cell>
          <cell r="Z32">
            <v>10045.457686067166</v>
          </cell>
          <cell r="AA32">
            <v>9317.8215069800244</v>
          </cell>
          <cell r="AB32">
            <v>8558.970217032178</v>
          </cell>
        </row>
        <row r="33">
          <cell r="D33">
            <v>5</v>
          </cell>
          <cell r="E33">
            <v>7979.7554275752145</v>
          </cell>
          <cell r="F33">
            <v>7667.2696352303865</v>
          </cell>
          <cell r="G33">
            <v>7346.7986011017001</v>
          </cell>
          <cell r="H33">
            <v>7176.4010172961798</v>
          </cell>
          <cell r="I33">
            <v>7121.7440465715144</v>
          </cell>
          <cell r="J33">
            <v>6944.9972209131647</v>
          </cell>
          <cell r="K33">
            <v>6916.1182803097963</v>
          </cell>
          <cell r="L33">
            <v>7452.0354758633448</v>
          </cell>
          <cell r="M33">
            <v>8073.4292299711633</v>
          </cell>
          <cell r="N33">
            <v>8556.5949374106331</v>
          </cell>
          <cell r="O33">
            <v>8923.916904771424</v>
          </cell>
          <cell r="P33">
            <v>9380.2951209354978</v>
          </cell>
          <cell r="Q33">
            <v>9635.9625021176889</v>
          </cell>
          <cell r="R33">
            <v>9684.4100441488699</v>
          </cell>
          <cell r="S33">
            <v>9695.5682162526227</v>
          </cell>
          <cell r="T33">
            <v>9714.5708026169777</v>
          </cell>
          <cell r="U33">
            <v>9615.4566284342545</v>
          </cell>
          <cell r="V33">
            <v>9617.9631216633006</v>
          </cell>
          <cell r="W33">
            <v>10749.811170259012</v>
          </cell>
          <cell r="X33">
            <v>11157.822655383639</v>
          </cell>
          <cell r="Y33">
            <v>11089.887491977033</v>
          </cell>
          <cell r="Z33">
            <v>10716.219156794499</v>
          </cell>
          <cell r="AA33">
            <v>10030.897145797109</v>
          </cell>
          <cell r="AB33">
            <v>9230.0502431110326</v>
          </cell>
        </row>
        <row r="34">
          <cell r="D34">
            <v>2</v>
          </cell>
          <cell r="E34">
            <v>7979.7554275752145</v>
          </cell>
          <cell r="F34">
            <v>7667.2696352303865</v>
          </cell>
          <cell r="G34">
            <v>7346.7986011017001</v>
          </cell>
          <cell r="H34">
            <v>7176.4010172961798</v>
          </cell>
          <cell r="I34">
            <v>7121.7440465715144</v>
          </cell>
          <cell r="J34">
            <v>6944.9972209131647</v>
          </cell>
          <cell r="K34">
            <v>6916.1182803097963</v>
          </cell>
          <cell r="L34">
            <v>7452.0354758633448</v>
          </cell>
          <cell r="M34">
            <v>8073.4292299711633</v>
          </cell>
          <cell r="N34">
            <v>8556.5949374106331</v>
          </cell>
          <cell r="O34">
            <v>8923.916904771424</v>
          </cell>
          <cell r="P34">
            <v>9380.2951209354978</v>
          </cell>
          <cell r="Q34">
            <v>9635.9625021176889</v>
          </cell>
          <cell r="R34">
            <v>9684.4100441488699</v>
          </cell>
          <cell r="S34">
            <v>9695.5682162526227</v>
          </cell>
          <cell r="T34">
            <v>9714.5708026169777</v>
          </cell>
          <cell r="U34">
            <v>9615.4566284342545</v>
          </cell>
          <cell r="V34">
            <v>9617.9631216633006</v>
          </cell>
          <cell r="W34">
            <v>10749.811170259012</v>
          </cell>
          <cell r="X34">
            <v>11157.822655383639</v>
          </cell>
          <cell r="Y34">
            <v>11089.887491977033</v>
          </cell>
          <cell r="Z34">
            <v>10716.219156794499</v>
          </cell>
          <cell r="AA34">
            <v>10030.897145797109</v>
          </cell>
          <cell r="AB34">
            <v>9230.0502431110326</v>
          </cell>
        </row>
        <row r="35">
          <cell r="D35">
            <v>19</v>
          </cell>
          <cell r="E35">
            <v>7825.802690301075</v>
          </cell>
          <cell r="F35">
            <v>7437.2903987116051</v>
          </cell>
          <cell r="G35">
            <v>7150.2416429551358</v>
          </cell>
          <cell r="H35">
            <v>6958.6914608017141</v>
          </cell>
          <cell r="I35">
            <v>6907.5241844984912</v>
          </cell>
          <cell r="J35">
            <v>6834.135133397871</v>
          </cell>
          <cell r="K35">
            <v>6948.1688696356678</v>
          </cell>
          <cell r="L35">
            <v>7785.1063903379627</v>
          </cell>
          <cell r="M35">
            <v>8705.3746543147463</v>
          </cell>
          <cell r="N35">
            <v>9271.218105970278</v>
          </cell>
          <cell r="O35">
            <v>9762.9291999573143</v>
          </cell>
          <cell r="P35">
            <v>10033.542149829653</v>
          </cell>
          <cell r="Q35">
            <v>9885.4164893450525</v>
          </cell>
          <cell r="R35">
            <v>9715.6835225949853</v>
          </cell>
          <cell r="S35">
            <v>9723.8791343011671</v>
          </cell>
          <cell r="T35">
            <v>9695.9192902104642</v>
          </cell>
          <cell r="U35">
            <v>9597.6883152949722</v>
          </cell>
          <cell r="V35">
            <v>9607.9395637385442</v>
          </cell>
          <cell r="W35">
            <v>10435.650370389245</v>
          </cell>
          <cell r="X35">
            <v>10584.619515317254</v>
          </cell>
          <cell r="Y35">
            <v>10215.826210210902</v>
          </cell>
          <cell r="Z35">
            <v>9794.9162609874929</v>
          </cell>
          <cell r="AA35">
            <v>9275.4413000252007</v>
          </cell>
          <cell r="AB35">
            <v>8688.4877162758894</v>
          </cell>
        </row>
        <row r="36">
          <cell r="D36">
            <v>4</v>
          </cell>
          <cell r="E36">
            <v>8059.0884156867214</v>
          </cell>
          <cell r="F36">
            <v>7662.4917930826277</v>
          </cell>
          <cell r="G36">
            <v>7361.1271673520332</v>
          </cell>
          <cell r="H36">
            <v>7152.0194952822567</v>
          </cell>
          <cell r="I36">
            <v>7127.4119911202924</v>
          </cell>
          <cell r="J36">
            <v>7207.403211498653</v>
          </cell>
          <cell r="K36">
            <v>7256.3200403011469</v>
          </cell>
          <cell r="L36">
            <v>8072.638976769992</v>
          </cell>
          <cell r="M36">
            <v>8935.0326094665543</v>
          </cell>
          <cell r="N36">
            <v>9434.0524638189108</v>
          </cell>
          <cell r="O36">
            <v>9904.9368877960842</v>
          </cell>
          <cell r="P36">
            <v>10212.243146574376</v>
          </cell>
          <cell r="Q36">
            <v>9952.1986950590308</v>
          </cell>
          <cell r="R36">
            <v>10191.59554692464</v>
          </cell>
          <cell r="S36">
            <v>10537.653907987302</v>
          </cell>
          <cell r="T36">
            <v>10551.49404540765</v>
          </cell>
          <cell r="U36">
            <v>10355.104715441035</v>
          </cell>
          <cell r="V36">
            <v>10014.752683913679</v>
          </cell>
          <cell r="W36">
            <v>10603.47207767211</v>
          </cell>
          <cell r="X36">
            <v>10913.733038054304</v>
          </cell>
          <cell r="Y36">
            <v>10664.851346645117</v>
          </cell>
          <cell r="Z36">
            <v>10212.843293586473</v>
          </cell>
          <cell r="AA36">
            <v>9475.9650271996616</v>
          </cell>
          <cell r="AB36">
            <v>8704.8538021252134</v>
          </cell>
        </row>
        <row r="37">
          <cell r="D37">
            <v>4</v>
          </cell>
          <cell r="E37">
            <v>7671.1243020975862</v>
          </cell>
          <cell r="F37">
            <v>7361.0757676057056</v>
          </cell>
          <cell r="G37">
            <v>7107.7262520925315</v>
          </cell>
          <cell r="H37">
            <v>6943.578998019103</v>
          </cell>
          <cell r="I37">
            <v>6878.1029707698081</v>
          </cell>
          <cell r="J37">
            <v>6685.4987316054567</v>
          </cell>
          <cell r="K37">
            <v>6597.5336005856052</v>
          </cell>
          <cell r="L37">
            <v>7134.994537127227</v>
          </cell>
          <cell r="M37">
            <v>7756.5060381019875</v>
          </cell>
          <cell r="N37">
            <v>8143.7777826089214</v>
          </cell>
          <cell r="O37">
            <v>8603.0366187026975</v>
          </cell>
          <cell r="P37">
            <v>8942.9056520516788</v>
          </cell>
          <cell r="Q37">
            <v>9116.2462164943609</v>
          </cell>
          <cell r="R37">
            <v>9080.1116919025881</v>
          </cell>
          <cell r="S37">
            <v>9004.5827153289083</v>
          </cell>
          <cell r="T37">
            <v>8935.1455155607346</v>
          </cell>
          <cell r="U37">
            <v>8866.8139212864589</v>
          </cell>
          <cell r="V37">
            <v>9000.5706245852143</v>
          </cell>
          <cell r="W37">
            <v>10087.119267954682</v>
          </cell>
          <cell r="X37">
            <v>10487.9734074671</v>
          </cell>
          <cell r="Y37">
            <v>10354.886602246634</v>
          </cell>
          <cell r="Z37">
            <v>9972.2983392783717</v>
          </cell>
          <cell r="AA37">
            <v>9298.3735747948103</v>
          </cell>
          <cell r="AB37">
            <v>8525.5727495859883</v>
          </cell>
        </row>
        <row r="38">
          <cell r="D38">
            <v>3</v>
          </cell>
          <cell r="E38">
            <v>7671.1243020975862</v>
          </cell>
          <cell r="F38">
            <v>7361.0757676057056</v>
          </cell>
          <cell r="G38">
            <v>7107.7262520925315</v>
          </cell>
          <cell r="H38">
            <v>6943.578998019103</v>
          </cell>
          <cell r="I38">
            <v>6878.1029707698081</v>
          </cell>
          <cell r="J38">
            <v>6685.4987316054567</v>
          </cell>
          <cell r="K38">
            <v>6597.5336005856052</v>
          </cell>
          <cell r="L38">
            <v>7134.994537127227</v>
          </cell>
          <cell r="M38">
            <v>7756.5060381019875</v>
          </cell>
          <cell r="N38">
            <v>8143.7777826089214</v>
          </cell>
          <cell r="O38">
            <v>8603.0366187026975</v>
          </cell>
          <cell r="P38">
            <v>8942.9056520516788</v>
          </cell>
          <cell r="Q38">
            <v>9116.2462164943609</v>
          </cell>
          <cell r="R38">
            <v>9080.1116919025881</v>
          </cell>
          <cell r="S38">
            <v>9004.5827153289083</v>
          </cell>
          <cell r="T38">
            <v>8935.1455155607346</v>
          </cell>
          <cell r="U38">
            <v>8866.8139212864589</v>
          </cell>
          <cell r="V38">
            <v>9000.5706245852143</v>
          </cell>
          <cell r="W38">
            <v>10087.119267954682</v>
          </cell>
          <cell r="X38">
            <v>10487.9734074671</v>
          </cell>
          <cell r="Y38">
            <v>10354.886602246634</v>
          </cell>
          <cell r="Z38">
            <v>9972.2983392783717</v>
          </cell>
          <cell r="AA38">
            <v>9298.3735747948103</v>
          </cell>
          <cell r="AB38">
            <v>8525.5727495859883</v>
          </cell>
        </row>
        <row r="39">
          <cell r="D39">
            <v>22</v>
          </cell>
          <cell r="E39">
            <v>8078.9002331690408</v>
          </cell>
          <cell r="F39">
            <v>7690.1012192055696</v>
          </cell>
          <cell r="G39">
            <v>7433.8003485291556</v>
          </cell>
          <cell r="H39">
            <v>7244.0646073154339</v>
          </cell>
          <cell r="I39">
            <v>7214.6361255782758</v>
          </cell>
          <cell r="J39">
            <v>7181.0082979068038</v>
          </cell>
          <cell r="K39">
            <v>7247.1137387653907</v>
          </cell>
          <cell r="L39">
            <v>8092.5140250793957</v>
          </cell>
          <cell r="M39">
            <v>9076.0504448738575</v>
          </cell>
          <cell r="N39">
            <v>9633.2703682018418</v>
          </cell>
          <cell r="O39">
            <v>10134.476621812853</v>
          </cell>
          <cell r="P39">
            <v>10362.525626665827</v>
          </cell>
          <cell r="Q39">
            <v>10227.343883222895</v>
          </cell>
          <cell r="R39">
            <v>10085.513185119002</v>
          </cell>
          <cell r="S39">
            <v>10102.04316676865</v>
          </cell>
          <cell r="T39">
            <v>10129.702402277326</v>
          </cell>
          <cell r="U39">
            <v>9988.0663270995901</v>
          </cell>
          <cell r="V39">
            <v>9965.6275653748944</v>
          </cell>
          <cell r="W39">
            <v>10809.712686681289</v>
          </cell>
          <cell r="X39">
            <v>11096.961406308305</v>
          </cell>
          <cell r="Y39">
            <v>10743.593694646572</v>
          </cell>
          <cell r="Z39">
            <v>10267.240765341729</v>
          </cell>
          <cell r="AA39">
            <v>9661.1682679590976</v>
          </cell>
          <cell r="AB39">
            <v>9015.4863836684872</v>
          </cell>
        </row>
        <row r="40">
          <cell r="D40">
            <v>4</v>
          </cell>
          <cell r="E40">
            <v>8593.0787872661585</v>
          </cell>
          <cell r="F40">
            <v>8143.0242177375603</v>
          </cell>
          <cell r="G40">
            <v>7813.1611039798909</v>
          </cell>
          <cell r="H40">
            <v>7580.4266179383121</v>
          </cell>
          <cell r="I40">
            <v>7564.3793272228831</v>
          </cell>
          <cell r="J40">
            <v>7702.9430575899878</v>
          </cell>
          <cell r="K40">
            <v>7748.1207719989497</v>
          </cell>
          <cell r="L40">
            <v>8592.9551648153883</v>
          </cell>
          <cell r="M40">
            <v>9502.3129589715682</v>
          </cell>
          <cell r="N40">
            <v>10019.130943776445</v>
          </cell>
          <cell r="O40">
            <v>10541.45337788802</v>
          </cell>
          <cell r="P40">
            <v>10918.379066878151</v>
          </cell>
          <cell r="Q40">
            <v>10633.153866452209</v>
          </cell>
          <cell r="R40">
            <v>10846.290265486559</v>
          </cell>
          <cell r="S40">
            <v>11204.451852672337</v>
          </cell>
          <cell r="T40">
            <v>11204.555611872445</v>
          </cell>
          <cell r="U40">
            <v>10990.77057652232</v>
          </cell>
          <cell r="V40">
            <v>10675.392905062925</v>
          </cell>
          <cell r="W40">
            <v>11409.05000458064</v>
          </cell>
          <cell r="X40">
            <v>11644.142474405466</v>
          </cell>
          <cell r="Y40">
            <v>11398.007608635582</v>
          </cell>
          <cell r="Z40">
            <v>10913.30392154453</v>
          </cell>
          <cell r="AA40">
            <v>10116.546203739163</v>
          </cell>
          <cell r="AB40">
            <v>9258.848112034204</v>
          </cell>
        </row>
        <row r="41">
          <cell r="D41">
            <v>4</v>
          </cell>
          <cell r="E41">
            <v>8105.1237449307346</v>
          </cell>
          <cell r="F41">
            <v>7779.5497875648725</v>
          </cell>
          <cell r="G41">
            <v>7503.9582919738168</v>
          </cell>
          <cell r="H41">
            <v>7251.6747609178256</v>
          </cell>
          <cell r="I41">
            <v>7166.9733097417866</v>
          </cell>
          <cell r="J41">
            <v>7055.2887800178187</v>
          </cell>
          <cell r="K41">
            <v>6920.8246063971665</v>
          </cell>
          <cell r="L41">
            <v>7436.8815472019414</v>
          </cell>
          <cell r="M41">
            <v>8111.2739929459785</v>
          </cell>
          <cell r="N41">
            <v>8655.4750910880484</v>
          </cell>
          <cell r="O41">
            <v>9045.7784024225457</v>
          </cell>
          <cell r="P41">
            <v>9243.5932146609848</v>
          </cell>
          <cell r="Q41">
            <v>9582.9988341396529</v>
          </cell>
          <cell r="R41">
            <v>9605.2932641565039</v>
          </cell>
          <cell r="S41">
            <v>9588.2398099185557</v>
          </cell>
          <cell r="T41">
            <v>9615.7354383395468</v>
          </cell>
          <cell r="U41">
            <v>9540.6373318619935</v>
          </cell>
          <cell r="V41">
            <v>9454.2173929577275</v>
          </cell>
          <cell r="W41">
            <v>10448.25942045798</v>
          </cell>
          <cell r="X41">
            <v>11021.402326201329</v>
          </cell>
          <cell r="Y41">
            <v>10872.364738805429</v>
          </cell>
          <cell r="Z41">
            <v>10499.953711193439</v>
          </cell>
          <cell r="AA41">
            <v>9870.0954534966495</v>
          </cell>
          <cell r="AB41">
            <v>9168.7947527246051</v>
          </cell>
        </row>
        <row r="42">
          <cell r="D42">
            <v>1</v>
          </cell>
          <cell r="E42">
            <v>8105.1237449307346</v>
          </cell>
          <cell r="F42">
            <v>7779.5497875648725</v>
          </cell>
          <cell r="G42">
            <v>7503.9582919738168</v>
          </cell>
          <cell r="H42">
            <v>7251.6747609178256</v>
          </cell>
          <cell r="I42">
            <v>7166.9733097417866</v>
          </cell>
          <cell r="J42">
            <v>7055.2887800178187</v>
          </cell>
          <cell r="K42">
            <v>6920.8246063971665</v>
          </cell>
          <cell r="L42">
            <v>7436.8815472019414</v>
          </cell>
          <cell r="M42">
            <v>8111.2739929459785</v>
          </cell>
          <cell r="N42">
            <v>8655.4750910880484</v>
          </cell>
          <cell r="O42">
            <v>9045.7784024225457</v>
          </cell>
          <cell r="P42">
            <v>9243.5932146609848</v>
          </cell>
          <cell r="Q42">
            <v>9582.9988341396529</v>
          </cell>
          <cell r="R42">
            <v>9605.2932641565039</v>
          </cell>
          <cell r="S42">
            <v>9588.2398099185557</v>
          </cell>
          <cell r="T42">
            <v>9615.7354383395468</v>
          </cell>
          <cell r="U42">
            <v>9540.6373318619935</v>
          </cell>
          <cell r="V42">
            <v>9454.2173929577275</v>
          </cell>
          <cell r="W42">
            <v>10448.25942045798</v>
          </cell>
          <cell r="X42">
            <v>11021.402326201329</v>
          </cell>
          <cell r="Y42">
            <v>10872.364738805429</v>
          </cell>
          <cell r="Z42">
            <v>10499.953711193439</v>
          </cell>
          <cell r="AA42">
            <v>9870.0954534966495</v>
          </cell>
          <cell r="AB42">
            <v>9168.7947527246051</v>
          </cell>
        </row>
        <row r="43">
          <cell r="D43">
            <v>19</v>
          </cell>
          <cell r="E43">
            <v>8376.3348897229152</v>
          </cell>
          <cell r="F43">
            <v>7924.9655511608671</v>
          </cell>
          <cell r="G43">
            <v>7588.1927308185896</v>
          </cell>
          <cell r="H43">
            <v>7362.6605669740702</v>
          </cell>
          <cell r="I43">
            <v>7279.8173605219072</v>
          </cell>
          <cell r="J43">
            <v>7258.9479647240141</v>
          </cell>
          <cell r="K43">
            <v>7282.7878601323018</v>
          </cell>
          <cell r="L43">
            <v>8123.1372749418824</v>
          </cell>
          <cell r="M43">
            <v>9069.3247880320778</v>
          </cell>
          <cell r="N43">
            <v>9650.8449174956058</v>
          </cell>
          <cell r="O43">
            <v>10133.790403801258</v>
          </cell>
          <cell r="P43">
            <v>10441.875133345688</v>
          </cell>
          <cell r="Q43">
            <v>10268.614452425029</v>
          </cell>
          <cell r="R43">
            <v>10122.280679192301</v>
          </cell>
          <cell r="S43">
            <v>10107.038838572722</v>
          </cell>
          <cell r="T43">
            <v>10024.564667616105</v>
          </cell>
          <cell r="U43">
            <v>9823.6155300726423</v>
          </cell>
          <cell r="V43">
            <v>9810.5881048224055</v>
          </cell>
          <cell r="W43">
            <v>10700.03394798704</v>
          </cell>
          <cell r="X43">
            <v>10837.365683881268</v>
          </cell>
          <cell r="Y43">
            <v>10519.771779919723</v>
          </cell>
          <cell r="Z43">
            <v>10081.901921701574</v>
          </cell>
          <cell r="AA43">
            <v>9464.1973559096677</v>
          </cell>
          <cell r="AB43">
            <v>8806.3885491592755</v>
          </cell>
        </row>
        <row r="44">
          <cell r="D44">
            <v>5</v>
          </cell>
          <cell r="E44">
            <v>8265.6698926166846</v>
          </cell>
          <cell r="F44">
            <v>7855.3898341828863</v>
          </cell>
          <cell r="G44">
            <v>7541.5954441222766</v>
          </cell>
          <cell r="H44">
            <v>7320.3089313315477</v>
          </cell>
          <cell r="I44">
            <v>7299.1835269973171</v>
          </cell>
          <cell r="J44">
            <v>7418.5951713381382</v>
          </cell>
          <cell r="K44">
            <v>7497.7575017173222</v>
          </cell>
          <cell r="L44">
            <v>8353.120296963707</v>
          </cell>
          <cell r="M44">
            <v>9229.6462771435072</v>
          </cell>
          <cell r="N44">
            <v>9726.1784652537135</v>
          </cell>
          <cell r="O44">
            <v>10241.578824316422</v>
          </cell>
          <cell r="P44">
            <v>10590.313780698594</v>
          </cell>
          <cell r="Q44">
            <v>10318.577495762183</v>
          </cell>
          <cell r="R44">
            <v>10562.611133862647</v>
          </cell>
          <cell r="S44">
            <v>10929.434249243443</v>
          </cell>
          <cell r="T44">
            <v>10937.207056557309</v>
          </cell>
          <cell r="U44">
            <v>10735.601110043664</v>
          </cell>
          <cell r="V44">
            <v>10555.160192516485</v>
          </cell>
          <cell r="W44">
            <v>11330.473454223871</v>
          </cell>
          <cell r="X44">
            <v>11284.451838163317</v>
          </cell>
          <cell r="Y44">
            <v>10993.237236841916</v>
          </cell>
          <cell r="Z44">
            <v>10489.389038096888</v>
          </cell>
          <cell r="AA44">
            <v>9686.3453000943337</v>
          </cell>
          <cell r="AB44">
            <v>8862.4685076321457</v>
          </cell>
        </row>
        <row r="45">
          <cell r="D45">
            <v>5</v>
          </cell>
          <cell r="E45">
            <v>8261.5509190124012</v>
          </cell>
          <cell r="F45">
            <v>7830.993259636467</v>
          </cell>
          <cell r="G45">
            <v>7496.5929597245531</v>
          </cell>
          <cell r="H45">
            <v>7254.7313462616139</v>
          </cell>
          <cell r="I45">
            <v>7153.2325859253688</v>
          </cell>
          <cell r="J45">
            <v>7016.4706961578549</v>
          </cell>
          <cell r="K45">
            <v>6866.8431630630121</v>
          </cell>
          <cell r="L45">
            <v>7366.3937624303762</v>
          </cell>
          <cell r="M45">
            <v>7916.3914128407414</v>
          </cell>
          <cell r="N45">
            <v>8412.0725367333362</v>
          </cell>
          <cell r="O45">
            <v>8882.0237232783893</v>
          </cell>
          <cell r="P45">
            <v>9284.1317481561127</v>
          </cell>
          <cell r="Q45">
            <v>9432.099296174556</v>
          </cell>
          <cell r="R45">
            <v>9386.8265005850917</v>
          </cell>
          <cell r="S45">
            <v>9344.6394017008388</v>
          </cell>
          <cell r="T45">
            <v>9374.4189470227993</v>
          </cell>
          <cell r="U45">
            <v>9288.9027294460957</v>
          </cell>
          <cell r="V45">
            <v>9278.3936509925188</v>
          </cell>
          <cell r="W45">
            <v>10354.470965255761</v>
          </cell>
          <cell r="X45">
            <v>10937.831246028019</v>
          </cell>
          <cell r="Y45">
            <v>10879.495976936043</v>
          </cell>
          <cell r="Z45">
            <v>10470.137956274033</v>
          </cell>
          <cell r="AA45">
            <v>9760.3177455459208</v>
          </cell>
          <cell r="AB45">
            <v>8982.748824648419</v>
          </cell>
        </row>
        <row r="46">
          <cell r="D46">
            <v>2</v>
          </cell>
          <cell r="E46">
            <v>8261.5509190124012</v>
          </cell>
          <cell r="F46">
            <v>7830.993259636467</v>
          </cell>
          <cell r="G46">
            <v>7496.5929597245531</v>
          </cell>
          <cell r="H46">
            <v>7254.7313462616139</v>
          </cell>
          <cell r="I46">
            <v>7153.2325859253688</v>
          </cell>
          <cell r="J46">
            <v>7016.4706961578549</v>
          </cell>
          <cell r="K46">
            <v>6866.8431630630121</v>
          </cell>
          <cell r="L46">
            <v>7366.3937624303762</v>
          </cell>
          <cell r="M46">
            <v>7916.3914128407414</v>
          </cell>
          <cell r="N46">
            <v>8412.0725367333362</v>
          </cell>
          <cell r="O46">
            <v>8882.0237232783893</v>
          </cell>
          <cell r="P46">
            <v>9284.1317481561127</v>
          </cell>
          <cell r="Q46">
            <v>9432.099296174556</v>
          </cell>
          <cell r="R46">
            <v>9386.8265005850917</v>
          </cell>
          <cell r="S46">
            <v>9344.6394017008388</v>
          </cell>
          <cell r="T46">
            <v>9374.4189470227993</v>
          </cell>
          <cell r="U46">
            <v>9288.9027294460957</v>
          </cell>
          <cell r="V46">
            <v>9278.3936509925188</v>
          </cell>
          <cell r="W46">
            <v>10354.470965255761</v>
          </cell>
          <cell r="X46">
            <v>10937.831246028019</v>
          </cell>
          <cell r="Y46">
            <v>10879.495976936043</v>
          </cell>
          <cell r="Z46">
            <v>10470.137956274033</v>
          </cell>
          <cell r="AA46">
            <v>9760.3177455459208</v>
          </cell>
          <cell r="AB46">
            <v>8982.748824648419</v>
          </cell>
        </row>
        <row r="47">
          <cell r="D47">
            <v>22</v>
          </cell>
          <cell r="E47">
            <v>8505.4551075719428</v>
          </cell>
          <cell r="F47">
            <v>8071.3447218050633</v>
          </cell>
          <cell r="G47">
            <v>7735.4664103396217</v>
          </cell>
          <cell r="H47">
            <v>7497.5212025558903</v>
          </cell>
          <cell r="I47">
            <v>7427.7039519229647</v>
          </cell>
          <cell r="J47">
            <v>7331.8123424167743</v>
          </cell>
          <cell r="K47">
            <v>7379.2414452042922</v>
          </cell>
          <cell r="L47">
            <v>8256.8186936069105</v>
          </cell>
          <cell r="M47">
            <v>9194.0851108689458</v>
          </cell>
          <cell r="N47">
            <v>9734.6133108167378</v>
          </cell>
          <cell r="O47">
            <v>10195.122676157913</v>
          </cell>
          <cell r="P47">
            <v>10423.737898140362</v>
          </cell>
          <cell r="Q47">
            <v>10226.070045886225</v>
          </cell>
          <cell r="R47">
            <v>10078.478889401427</v>
          </cell>
          <cell r="S47">
            <v>10066.431508757742</v>
          </cell>
          <cell r="T47">
            <v>10049.128468505203</v>
          </cell>
          <cell r="U47">
            <v>9898.844894470285</v>
          </cell>
          <cell r="V47">
            <v>10014.788728352503</v>
          </cell>
          <cell r="W47">
            <v>11055.615877133247</v>
          </cell>
          <cell r="X47">
            <v>10950.114990284808</v>
          </cell>
          <cell r="Y47">
            <v>10570.089020366948</v>
          </cell>
          <cell r="Z47">
            <v>10097.780533529607</v>
          </cell>
          <cell r="AA47">
            <v>9529.5600012196628</v>
          </cell>
          <cell r="AB47">
            <v>8903.1343044260411</v>
          </cell>
        </row>
        <row r="48">
          <cell r="D48">
            <v>4</v>
          </cell>
          <cell r="E48">
            <v>7951.2818375378865</v>
          </cell>
          <cell r="F48">
            <v>7551.1082862521835</v>
          </cell>
          <cell r="G48">
            <v>7271.8696351863291</v>
          </cell>
          <cell r="H48">
            <v>7066.0373661240146</v>
          </cell>
          <cell r="I48">
            <v>7069.4139422836424</v>
          </cell>
          <cell r="J48">
            <v>7186.5742899370389</v>
          </cell>
          <cell r="K48">
            <v>7332.8567659809514</v>
          </cell>
          <cell r="L48">
            <v>8227.4676650302808</v>
          </cell>
          <cell r="M48">
            <v>9098.8262160281392</v>
          </cell>
          <cell r="N48">
            <v>9574.3428593162516</v>
          </cell>
          <cell r="O48">
            <v>10077.494072773932</v>
          </cell>
          <cell r="P48">
            <v>10424.274968250875</v>
          </cell>
          <cell r="Q48">
            <v>10125.759783279211</v>
          </cell>
          <cell r="R48">
            <v>10353.484281433715</v>
          </cell>
          <cell r="S48">
            <v>10737.635470777768</v>
          </cell>
          <cell r="T48">
            <v>10757.000085787717</v>
          </cell>
          <cell r="U48">
            <v>10534.381220716838</v>
          </cell>
          <cell r="V48">
            <v>10563.449623648859</v>
          </cell>
          <cell r="W48">
            <v>11200.473632907882</v>
          </cell>
          <cell r="X48">
            <v>11010.233911267851</v>
          </cell>
          <cell r="Y48">
            <v>10658.129203739703</v>
          </cell>
          <cell r="Z48">
            <v>10139.673678696647</v>
          </cell>
          <cell r="AA48">
            <v>9392.6175648322733</v>
          </cell>
          <cell r="AB48">
            <v>8616.4469294338578</v>
          </cell>
        </row>
        <row r="49">
          <cell r="D49">
            <v>4</v>
          </cell>
          <cell r="E49">
            <v>8193.6692907356392</v>
          </cell>
          <cell r="F49">
            <v>7795.0396192062062</v>
          </cell>
          <cell r="G49">
            <v>7499.9485892894072</v>
          </cell>
          <cell r="H49">
            <v>7277.0510407455213</v>
          </cell>
          <cell r="I49">
            <v>7288.7090647687073</v>
          </cell>
          <cell r="J49">
            <v>7518.4191627741047</v>
          </cell>
          <cell r="K49">
            <v>7663.1568728611546</v>
          </cell>
          <cell r="L49">
            <v>8612.2578411695904</v>
          </cell>
          <cell r="M49">
            <v>9552.0025728909623</v>
          </cell>
          <cell r="N49">
            <v>10049.48197908703</v>
          </cell>
          <cell r="O49">
            <v>10615.777353655762</v>
          </cell>
          <cell r="P49">
            <v>10997.025216556533</v>
          </cell>
          <cell r="Q49">
            <v>10609.956991788682</v>
          </cell>
          <cell r="R49">
            <v>10985.149561304912</v>
          </cell>
          <cell r="S49">
            <v>11517.203963551559</v>
          </cell>
          <cell r="T49">
            <v>11531.633461839143</v>
          </cell>
          <cell r="U49">
            <v>11269.878519034433</v>
          </cell>
          <cell r="V49">
            <v>10944.463142043172</v>
          </cell>
          <cell r="W49">
            <v>11584.252002573628</v>
          </cell>
          <cell r="X49">
            <v>11498.694672660766</v>
          </cell>
          <cell r="Y49">
            <v>11202.058518689724</v>
          </cell>
          <cell r="Z49">
            <v>10672.854066740749</v>
          </cell>
          <cell r="AA49">
            <v>9798.1770035491245</v>
          </cell>
          <cell r="AB49">
            <v>8919.2355312440886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8206.1037859601183</v>
          </cell>
          <cell r="F51">
            <v>7791.1394204736207</v>
          </cell>
          <cell r="G51">
            <v>7460.8475542550959</v>
          </cell>
          <cell r="H51">
            <v>7187.8283037570809</v>
          </cell>
          <cell r="I51">
            <v>7084.2344267088174</v>
          </cell>
          <cell r="J51">
            <v>7026.7074440817305</v>
          </cell>
          <cell r="K51">
            <v>7175.0334388282063</v>
          </cell>
          <cell r="L51">
            <v>8075.2768095963838</v>
          </cell>
          <cell r="M51">
            <v>8995.4315357067953</v>
          </cell>
          <cell r="N51">
            <v>9529.5841877438907</v>
          </cell>
          <cell r="O51">
            <v>10021.87835573216</v>
          </cell>
          <cell r="P51">
            <v>10280.103761041395</v>
          </cell>
          <cell r="Q51">
            <v>10097.401440802258</v>
          </cell>
          <cell r="R51">
            <v>9977.784124862932</v>
          </cell>
          <cell r="S51">
            <v>10018.867942250308</v>
          </cell>
          <cell r="T51">
            <v>9999.0972220544409</v>
          </cell>
          <cell r="U51">
            <v>9870.5124459713388</v>
          </cell>
          <cell r="V51">
            <v>10127.129598703852</v>
          </cell>
          <cell r="W51">
            <v>11050.386595340467</v>
          </cell>
          <cell r="X51">
            <v>10865.744214095239</v>
          </cell>
          <cell r="Y51">
            <v>10481.311588026078</v>
          </cell>
          <cell r="Z51">
            <v>9992.7455923954258</v>
          </cell>
          <cell r="AA51">
            <v>9410.0356807766602</v>
          </cell>
          <cell r="AB51">
            <v>8786.9587887233938</v>
          </cell>
        </row>
        <row r="52">
          <cell r="D52">
            <v>5</v>
          </cell>
          <cell r="E52">
            <v>7627.2720798714154</v>
          </cell>
          <cell r="F52">
            <v>7250.538437447417</v>
          </cell>
          <cell r="G52">
            <v>6971.7971077014781</v>
          </cell>
          <cell r="H52">
            <v>6804.7311137254301</v>
          </cell>
          <cell r="I52">
            <v>6828.0978360609006</v>
          </cell>
          <cell r="J52">
            <v>6961.1380699139163</v>
          </cell>
          <cell r="K52">
            <v>7087.29407646043</v>
          </cell>
          <cell r="L52">
            <v>7916.6525897445954</v>
          </cell>
          <cell r="M52">
            <v>8744.5880675544231</v>
          </cell>
          <cell r="N52">
            <v>9229.7539333415079</v>
          </cell>
          <cell r="O52">
            <v>9674.9189505920458</v>
          </cell>
          <cell r="P52">
            <v>10006.972823775766</v>
          </cell>
          <cell r="Q52">
            <v>9725.3749187476187</v>
          </cell>
          <cell r="R52">
            <v>9852.9513235102568</v>
          </cell>
          <cell r="S52">
            <v>10143.519839982244</v>
          </cell>
          <cell r="T52">
            <v>10171.136045751678</v>
          </cell>
          <cell r="U52">
            <v>10039.283013910219</v>
          </cell>
          <cell r="V52">
            <v>10221.67814944227</v>
          </cell>
          <cell r="W52">
            <v>10927.081191133322</v>
          </cell>
          <cell r="X52">
            <v>10714.67951051124</v>
          </cell>
          <cell r="Y52">
            <v>10298.311106749361</v>
          </cell>
          <cell r="Z52">
            <v>9725.0456637652769</v>
          </cell>
          <cell r="AA52">
            <v>8977.518099016288</v>
          </cell>
          <cell r="AB52">
            <v>8228.2981408614451</v>
          </cell>
        </row>
        <row r="53">
          <cell r="D53">
            <v>4</v>
          </cell>
          <cell r="E53">
            <v>7708.819500799611</v>
          </cell>
          <cell r="F53">
            <v>7382.4500812350652</v>
          </cell>
          <cell r="G53">
            <v>7122.8694492769382</v>
          </cell>
          <cell r="H53">
            <v>6963.1236794982115</v>
          </cell>
          <cell r="I53">
            <v>6907.6621393903142</v>
          </cell>
          <cell r="J53">
            <v>6798.7974615552748</v>
          </cell>
          <cell r="K53">
            <v>6637.0657022482774</v>
          </cell>
          <cell r="L53">
            <v>7158.8187428429692</v>
          </cell>
          <cell r="M53">
            <v>7591.6648923340699</v>
          </cell>
          <cell r="N53">
            <v>8194.934354898196</v>
          </cell>
          <cell r="O53">
            <v>8665.7570225801519</v>
          </cell>
          <cell r="P53">
            <v>9038.1357582908076</v>
          </cell>
          <cell r="Q53">
            <v>9227.0860337693775</v>
          </cell>
          <cell r="R53">
            <v>9231.0000154949994</v>
          </cell>
          <cell r="S53">
            <v>9246.2549897513254</v>
          </cell>
          <cell r="T53">
            <v>9269.5397447607211</v>
          </cell>
          <cell r="U53">
            <v>9185.810707854318</v>
          </cell>
          <cell r="V53">
            <v>9575.9889249988119</v>
          </cell>
          <cell r="W53">
            <v>10669.633195904566</v>
          </cell>
          <cell r="X53">
            <v>10800.2582711553</v>
          </cell>
          <cell r="Y53">
            <v>10630.577860309593</v>
          </cell>
          <cell r="Z53">
            <v>10229.447534471798</v>
          </cell>
          <cell r="AA53">
            <v>9467.0233385128595</v>
          </cell>
          <cell r="AB53">
            <v>8651.6425507504264</v>
          </cell>
        </row>
        <row r="54">
          <cell r="D54">
            <v>1</v>
          </cell>
          <cell r="E54">
            <v>7708.819500799611</v>
          </cell>
          <cell r="F54">
            <v>7382.4500812350652</v>
          </cell>
          <cell r="G54">
            <v>7122.8694492769382</v>
          </cell>
          <cell r="H54">
            <v>6963.1236794982115</v>
          </cell>
          <cell r="I54">
            <v>6907.6621393903142</v>
          </cell>
          <cell r="J54">
            <v>6798.7974615552748</v>
          </cell>
          <cell r="K54">
            <v>6637.0657022482774</v>
          </cell>
          <cell r="L54">
            <v>7158.8187428429692</v>
          </cell>
          <cell r="M54">
            <v>7591.6648923340699</v>
          </cell>
          <cell r="N54">
            <v>8194.934354898196</v>
          </cell>
          <cell r="O54">
            <v>8665.7570225801519</v>
          </cell>
          <cell r="P54">
            <v>9038.1357582908076</v>
          </cell>
          <cell r="Q54">
            <v>9227.0860337693775</v>
          </cell>
          <cell r="R54">
            <v>9231.0000154949994</v>
          </cell>
          <cell r="S54">
            <v>9246.2549897513254</v>
          </cell>
          <cell r="T54">
            <v>9269.5397447607211</v>
          </cell>
          <cell r="U54">
            <v>9185.810707854318</v>
          </cell>
          <cell r="V54">
            <v>9575.9889249988119</v>
          </cell>
          <cell r="W54">
            <v>10669.633195904566</v>
          </cell>
          <cell r="X54">
            <v>10800.2582711553</v>
          </cell>
          <cell r="Y54">
            <v>10630.577860309593</v>
          </cell>
          <cell r="Z54">
            <v>10229.447534471798</v>
          </cell>
          <cell r="AA54">
            <v>9467.0233385128595</v>
          </cell>
          <cell r="AB54">
            <v>8651.6425507504264</v>
          </cell>
        </row>
        <row r="55">
          <cell r="D55">
            <v>19</v>
          </cell>
          <cell r="E55">
            <v>8153.5084642486718</v>
          </cell>
          <cell r="F55">
            <v>7754.6347246568675</v>
          </cell>
          <cell r="G55">
            <v>7466.538255632664</v>
          </cell>
          <cell r="H55">
            <v>7277.9142580596281</v>
          </cell>
          <cell r="I55">
            <v>7279.597991482754</v>
          </cell>
          <cell r="J55">
            <v>7340.1545630262981</v>
          </cell>
          <cell r="K55">
            <v>7390.941333280839</v>
          </cell>
          <cell r="L55">
            <v>8317.789074917162</v>
          </cell>
          <cell r="M55">
            <v>9307.0248738877508</v>
          </cell>
          <cell r="N55">
            <v>9936.8387818711344</v>
          </cell>
          <cell r="O55">
            <v>10412.378033986954</v>
          </cell>
          <cell r="P55">
            <v>10661.807806733817</v>
          </cell>
          <cell r="Q55">
            <v>10447.814736582808</v>
          </cell>
          <cell r="R55">
            <v>10265.726792473652</v>
          </cell>
          <cell r="S55">
            <v>10240.242682208383</v>
          </cell>
          <cell r="T55">
            <v>10215.863452170501</v>
          </cell>
          <cell r="U55">
            <v>10111.279177845465</v>
          </cell>
          <cell r="V55">
            <v>10448.397790844052</v>
          </cell>
          <cell r="W55">
            <v>11370.975283472761</v>
          </cell>
          <cell r="X55">
            <v>11131.524203293226</v>
          </cell>
          <cell r="Y55">
            <v>10679.919047040683</v>
          </cell>
          <cell r="Z55">
            <v>10169.007895999013</v>
          </cell>
          <cell r="AA55">
            <v>9536.3617547913764</v>
          </cell>
          <cell r="AB55">
            <v>8850.208876876708</v>
          </cell>
        </row>
        <row r="56">
          <cell r="D56">
            <v>4</v>
          </cell>
          <cell r="E56">
            <v>8885.7423279639152</v>
          </cell>
          <cell r="F56">
            <v>8435.9698194989378</v>
          </cell>
          <cell r="G56">
            <v>8103.6213419357227</v>
          </cell>
          <cell r="H56">
            <v>7875.0166805106974</v>
          </cell>
          <cell r="I56">
            <v>7826.6026905060016</v>
          </cell>
          <cell r="J56">
            <v>7880.9836236754309</v>
          </cell>
          <cell r="K56">
            <v>7838.6812295837035</v>
          </cell>
          <cell r="L56">
            <v>8731.7305976694715</v>
          </cell>
          <cell r="M56">
            <v>9660.3048791932069</v>
          </cell>
          <cell r="N56">
            <v>10198.401303875893</v>
          </cell>
          <cell r="O56">
            <v>10673.298410010193</v>
          </cell>
          <cell r="P56">
            <v>11043.661150016305</v>
          </cell>
          <cell r="Q56">
            <v>10805.524804387014</v>
          </cell>
          <cell r="R56">
            <v>10918.096682483299</v>
          </cell>
          <cell r="S56">
            <v>11230.067806763116</v>
          </cell>
          <cell r="T56">
            <v>11247.682294861988</v>
          </cell>
          <cell r="U56">
            <v>11069.420895735788</v>
          </cell>
          <cell r="V56">
            <v>11098.183172092538</v>
          </cell>
          <cell r="W56">
            <v>12031.351498954622</v>
          </cell>
          <cell r="X56">
            <v>11838.501970510488</v>
          </cell>
          <cell r="Y56">
            <v>11456.652012300683</v>
          </cell>
          <cell r="Z56">
            <v>10950.626239100724</v>
          </cell>
          <cell r="AA56">
            <v>10272.124680764722</v>
          </cell>
          <cell r="AB56">
            <v>9509.9859690938611</v>
          </cell>
        </row>
        <row r="57">
          <cell r="D57">
            <v>5</v>
          </cell>
          <cell r="E57">
            <v>8193.5615121421197</v>
          </cell>
          <cell r="F57">
            <v>7758.2236859779532</v>
          </cell>
          <cell r="G57">
            <v>7427.7524993712768</v>
          </cell>
          <cell r="H57">
            <v>7173.9237641205245</v>
          </cell>
          <cell r="I57">
            <v>7087.9209812856116</v>
          </cell>
          <cell r="J57">
            <v>6979.8300686464818</v>
          </cell>
          <cell r="K57">
            <v>6783.9240156374108</v>
          </cell>
          <cell r="L57">
            <v>7230.7691859058959</v>
          </cell>
          <cell r="M57">
            <v>7767.281540740697</v>
          </cell>
          <cell r="N57">
            <v>8186.1207994450533</v>
          </cell>
          <cell r="O57">
            <v>8529.1980428617444</v>
          </cell>
          <cell r="P57">
            <v>8833.299230688177</v>
          </cell>
          <cell r="Q57">
            <v>8928.1939708906339</v>
          </cell>
          <cell r="R57">
            <v>8973.4499937178116</v>
          </cell>
          <cell r="S57">
            <v>8844.4937294890533</v>
          </cell>
          <cell r="T57">
            <v>8853.534422452296</v>
          </cell>
          <cell r="U57">
            <v>8875.0192077427328</v>
          </cell>
          <cell r="V57">
            <v>9433.7480483405361</v>
          </cell>
          <cell r="W57">
            <v>10526.502391763896</v>
          </cell>
          <cell r="X57">
            <v>10565.523318309099</v>
          </cell>
          <cell r="Y57">
            <v>10236.909717729885</v>
          </cell>
          <cell r="Z57">
            <v>9622.8265654472871</v>
          </cell>
          <cell r="AA57">
            <v>8845.8641706868748</v>
          </cell>
          <cell r="AB57">
            <v>8114.1392068041769</v>
          </cell>
        </row>
        <row r="58">
          <cell r="D58">
            <v>2</v>
          </cell>
          <cell r="E58">
            <v>8193.5615121421197</v>
          </cell>
          <cell r="F58">
            <v>7758.2236859779532</v>
          </cell>
          <cell r="G58">
            <v>7427.7524993712768</v>
          </cell>
          <cell r="H58">
            <v>7173.9237641205245</v>
          </cell>
          <cell r="I58">
            <v>7087.9209812856116</v>
          </cell>
          <cell r="J58">
            <v>6979.8300686464818</v>
          </cell>
          <cell r="K58">
            <v>6783.9240156374108</v>
          </cell>
          <cell r="L58">
            <v>7230.7691859058959</v>
          </cell>
          <cell r="M58">
            <v>7767.281540740697</v>
          </cell>
          <cell r="N58">
            <v>8186.1207994450533</v>
          </cell>
          <cell r="O58">
            <v>8529.1980428617444</v>
          </cell>
          <cell r="P58">
            <v>8833.299230688177</v>
          </cell>
          <cell r="Q58">
            <v>8928.1939708906339</v>
          </cell>
          <cell r="R58">
            <v>8973.4499937178116</v>
          </cell>
          <cell r="S58">
            <v>8844.4937294890533</v>
          </cell>
          <cell r="T58">
            <v>8853.534422452296</v>
          </cell>
          <cell r="U58">
            <v>8875.0192077427328</v>
          </cell>
          <cell r="V58">
            <v>9433.7480483405361</v>
          </cell>
          <cell r="W58">
            <v>10526.502391763896</v>
          </cell>
          <cell r="X58">
            <v>10565.523318309099</v>
          </cell>
          <cell r="Y58">
            <v>10236.909717729885</v>
          </cell>
          <cell r="Z58">
            <v>9622.8265654472871</v>
          </cell>
          <cell r="AA58">
            <v>8845.8641706868748</v>
          </cell>
          <cell r="AB58">
            <v>8114.1392068041769</v>
          </cell>
        </row>
        <row r="59">
          <cell r="D59">
            <v>21</v>
          </cell>
          <cell r="E59">
            <v>8624.0151595588322</v>
          </cell>
          <cell r="F59">
            <v>8168.8919882965029</v>
          </cell>
          <cell r="G59">
            <v>7824.8734559189761</v>
          </cell>
          <cell r="H59">
            <v>7585.7525534340784</v>
          </cell>
          <cell r="I59">
            <v>7533.2102274533372</v>
          </cell>
          <cell r="J59">
            <v>7571.4769636755445</v>
          </cell>
          <cell r="K59">
            <v>7483.7142032479842</v>
          </cell>
          <cell r="L59">
            <v>8286.4941026833458</v>
          </cell>
          <cell r="M59">
            <v>9162.6396598226693</v>
          </cell>
          <cell r="N59">
            <v>9716.9757265266435</v>
          </cell>
          <cell r="O59">
            <v>10124.973532445427</v>
          </cell>
          <cell r="P59">
            <v>10369.799464358561</v>
          </cell>
          <cell r="Q59">
            <v>10145.433267234417</v>
          </cell>
          <cell r="R59">
            <v>9984.5005200861051</v>
          </cell>
          <cell r="S59">
            <v>10008.770658262385</v>
          </cell>
          <cell r="T59">
            <v>10001.793296462789</v>
          </cell>
          <cell r="U59">
            <v>9877.8028027807413</v>
          </cell>
          <cell r="V59">
            <v>10142.717508126507</v>
          </cell>
          <cell r="W59">
            <v>11169.916268867491</v>
          </cell>
          <cell r="X59">
            <v>10926.51989117481</v>
          </cell>
          <cell r="Y59">
            <v>10456.641158223574</v>
          </cell>
          <cell r="Z59">
            <v>9941.9849404617053</v>
          </cell>
          <cell r="AA59">
            <v>9442.7691756463828</v>
          </cell>
          <cell r="AB59">
            <v>8883.3541410276321</v>
          </cell>
        </row>
        <row r="60">
          <cell r="D60">
            <v>4</v>
          </cell>
          <cell r="E60">
            <v>8464.3984708627722</v>
          </cell>
          <cell r="F60">
            <v>8037.0594589708035</v>
          </cell>
          <cell r="G60">
            <v>7716.1271910965143</v>
          </cell>
          <cell r="H60">
            <v>7493.267091763385</v>
          </cell>
          <cell r="I60">
            <v>7468.8175200831001</v>
          </cell>
          <cell r="J60">
            <v>7589.2571353650274</v>
          </cell>
          <cell r="K60">
            <v>7621.5193032500829</v>
          </cell>
          <cell r="L60">
            <v>8457.6563821819109</v>
          </cell>
          <cell r="M60">
            <v>9324.5625361651819</v>
          </cell>
          <cell r="N60">
            <v>9825.5857500077291</v>
          </cell>
          <cell r="O60">
            <v>10315.213675952551</v>
          </cell>
          <cell r="P60">
            <v>10659.28001109451</v>
          </cell>
          <cell r="Q60">
            <v>10390.963690493212</v>
          </cell>
          <cell r="R60">
            <v>10597.227787079333</v>
          </cell>
          <cell r="S60">
            <v>10946.324586867137</v>
          </cell>
          <cell r="T60">
            <v>10970.776091135003</v>
          </cell>
          <cell r="U60">
            <v>10782.121580990672</v>
          </cell>
          <cell r="V60">
            <v>10588.089990768314</v>
          </cell>
          <cell r="W60">
            <v>11322.757612466343</v>
          </cell>
          <cell r="X60">
            <v>11390.861021825975</v>
          </cell>
          <cell r="Y60">
            <v>11104.105733357237</v>
          </cell>
          <cell r="Z60">
            <v>10622.749199909347</v>
          </cell>
          <cell r="AA60">
            <v>9885.2186607478998</v>
          </cell>
          <cell r="AB60">
            <v>9096.4738103643485</v>
          </cell>
        </row>
        <row r="61">
          <cell r="D61">
            <v>4</v>
          </cell>
          <cell r="E61">
            <v>8413.7080724358639</v>
          </cell>
          <cell r="F61">
            <v>8152.7718676940403</v>
          </cell>
          <cell r="G61">
            <v>7905.9876845581166</v>
          </cell>
          <cell r="H61">
            <v>7669.4246342695114</v>
          </cell>
          <cell r="I61">
            <v>7533.063795338986</v>
          </cell>
          <cell r="J61">
            <v>7335.8332672931811</v>
          </cell>
          <cell r="K61">
            <v>6880.1813990285127</v>
          </cell>
          <cell r="L61">
            <v>7108.7559352331609</v>
          </cell>
          <cell r="M61">
            <v>7480.3783769236916</v>
          </cell>
          <cell r="N61">
            <v>7829.2838028110309</v>
          </cell>
          <cell r="O61">
            <v>8154.5525164576757</v>
          </cell>
          <cell r="P61">
            <v>8431.016348352141</v>
          </cell>
          <cell r="Q61">
            <v>8582.1262408776038</v>
          </cell>
          <cell r="R61">
            <v>8588.8062855420958</v>
          </cell>
          <cell r="S61">
            <v>8549.9433736590017</v>
          </cell>
          <cell r="T61">
            <v>8597.2116601714679</v>
          </cell>
          <cell r="U61">
            <v>8593.2006190976681</v>
          </cell>
          <cell r="V61">
            <v>8870.9636720675317</v>
          </cell>
          <cell r="W61">
            <v>10106.584056601789</v>
          </cell>
          <cell r="X61">
            <v>10200.040286027506</v>
          </cell>
          <cell r="Y61">
            <v>10070.831842371275</v>
          </cell>
          <cell r="Z61">
            <v>9764.6267060911759</v>
          </cell>
          <cell r="AA61">
            <v>9259.9563878326953</v>
          </cell>
          <cell r="AB61">
            <v>8674.4286537484877</v>
          </cell>
        </row>
        <row r="62">
          <cell r="D62">
            <v>2</v>
          </cell>
          <cell r="E62">
            <v>8413.7080724358639</v>
          </cell>
          <cell r="F62">
            <v>8152.7718676940403</v>
          </cell>
          <cell r="G62">
            <v>7905.9876845581166</v>
          </cell>
          <cell r="H62">
            <v>7669.4246342695114</v>
          </cell>
          <cell r="I62">
            <v>7533.063795338986</v>
          </cell>
          <cell r="J62">
            <v>7335.8332672931811</v>
          </cell>
          <cell r="K62">
            <v>6880.1813990285127</v>
          </cell>
          <cell r="L62">
            <v>7108.7559352331609</v>
          </cell>
          <cell r="M62">
            <v>7480.3783769236916</v>
          </cell>
          <cell r="N62">
            <v>7829.2838028110309</v>
          </cell>
          <cell r="O62">
            <v>8154.5525164576757</v>
          </cell>
          <cell r="P62">
            <v>8431.016348352141</v>
          </cell>
          <cell r="Q62">
            <v>8582.1262408776038</v>
          </cell>
          <cell r="R62">
            <v>8588.8062855420958</v>
          </cell>
          <cell r="S62">
            <v>8549.9433736590017</v>
          </cell>
          <cell r="T62">
            <v>8597.2116601714679</v>
          </cell>
          <cell r="U62">
            <v>8593.2006190976681</v>
          </cell>
          <cell r="V62">
            <v>8870.9636720675317</v>
          </cell>
          <cell r="W62">
            <v>10106.584056601789</v>
          </cell>
          <cell r="X62">
            <v>10200.040286027506</v>
          </cell>
          <cell r="Y62">
            <v>10070.831842371275</v>
          </cell>
          <cell r="Z62">
            <v>9764.6267060911759</v>
          </cell>
          <cell r="AA62">
            <v>9259.9563878326953</v>
          </cell>
          <cell r="AB62">
            <v>8674.4286537484877</v>
          </cell>
        </row>
      </sheetData>
      <sheetData sheetId="17" refreshError="1"/>
      <sheetData sheetId="18" refreshError="1"/>
      <sheetData sheetId="19">
        <row r="15">
          <cell r="D15">
            <v>19</v>
          </cell>
          <cell r="E15">
            <v>43171.095803612676</v>
          </cell>
          <cell r="F15">
            <v>39285.024746175222</v>
          </cell>
          <cell r="G15">
            <v>36255.567253530782</v>
          </cell>
          <cell r="H15">
            <v>34072.345311617821</v>
          </cell>
          <cell r="I15">
            <v>32359.274721956295</v>
          </cell>
          <cell r="J15">
            <v>29013.649233203752</v>
          </cell>
          <cell r="K15">
            <v>27055.711338209363</v>
          </cell>
          <cell r="L15">
            <v>24975.507694438762</v>
          </cell>
          <cell r="M15">
            <v>21898.65862303961</v>
          </cell>
          <cell r="N15">
            <v>21154.683119405348</v>
          </cell>
          <cell r="O15">
            <v>22355.271573623326</v>
          </cell>
          <cell r="P15">
            <v>24183.301953574413</v>
          </cell>
          <cell r="Q15">
            <v>24061.348104334884</v>
          </cell>
          <cell r="R15">
            <v>29468.401391761374</v>
          </cell>
          <cell r="S15">
            <v>34498.258808303777</v>
          </cell>
          <cell r="T15">
            <v>36836.207813345478</v>
          </cell>
          <cell r="U15">
            <v>40646.897189601528</v>
          </cell>
          <cell r="V15">
            <v>67715.076354774574</v>
          </cell>
          <cell r="W15">
            <v>69442.403399907795</v>
          </cell>
          <cell r="X15">
            <v>69355.861037863098</v>
          </cell>
          <cell r="Y15">
            <v>70947.841325708418</v>
          </cell>
          <cell r="Z15">
            <v>70908.761597986973</v>
          </cell>
          <cell r="AA15">
            <v>69036.039570068475</v>
          </cell>
          <cell r="AB15">
            <v>66742.818724168013</v>
          </cell>
        </row>
        <row r="16">
          <cell r="D16">
            <v>5</v>
          </cell>
          <cell r="E16">
            <v>43330.496776054417</v>
          </cell>
          <cell r="F16">
            <v>39748.785818443648</v>
          </cell>
          <cell r="G16">
            <v>36510.033606092577</v>
          </cell>
          <cell r="H16">
            <v>33885.658023261698</v>
          </cell>
          <cell r="I16">
            <v>32602.289217865575</v>
          </cell>
          <cell r="J16">
            <v>29315.974613716433</v>
          </cell>
          <cell r="K16">
            <v>26165.341811548642</v>
          </cell>
          <cell r="L16">
            <v>22196.345288764918</v>
          </cell>
          <cell r="M16">
            <v>18661.803885872956</v>
          </cell>
          <cell r="N16">
            <v>18036.877207998034</v>
          </cell>
          <cell r="O16">
            <v>17989.480066506501</v>
          </cell>
          <cell r="P16">
            <v>18955.216754208494</v>
          </cell>
          <cell r="Q16">
            <v>18566.143116052048</v>
          </cell>
          <cell r="R16">
            <v>20356.721009825749</v>
          </cell>
          <cell r="S16">
            <v>24325.541723099945</v>
          </cell>
          <cell r="T16">
            <v>27378.355817076084</v>
          </cell>
          <cell r="U16">
            <v>33107.439131122475</v>
          </cell>
          <cell r="V16">
            <v>63760.987037812811</v>
          </cell>
          <cell r="W16">
            <v>67489.726437111749</v>
          </cell>
          <cell r="X16">
            <v>66979.371325820946</v>
          </cell>
          <cell r="Y16">
            <v>67173.228133279248</v>
          </cell>
          <cell r="Z16">
            <v>67714.451515627021</v>
          </cell>
          <cell r="AA16">
            <v>67735.504888940573</v>
          </cell>
          <cell r="AB16">
            <v>65924.482678818153</v>
          </cell>
        </row>
        <row r="17">
          <cell r="D17">
            <v>5</v>
          </cell>
          <cell r="E17">
            <v>45437.096764440357</v>
          </cell>
          <cell r="F17">
            <v>42313.61949161291</v>
          </cell>
          <cell r="G17">
            <v>38963.34819389577</v>
          </cell>
          <cell r="H17">
            <v>35859.141172909549</v>
          </cell>
          <cell r="I17">
            <v>34342.830458701486</v>
          </cell>
          <cell r="J17">
            <v>30819.20579026101</v>
          </cell>
          <cell r="K17">
            <v>27378.917863525628</v>
          </cell>
          <cell r="L17">
            <v>21925.473474652081</v>
          </cell>
          <cell r="M17">
            <v>16409.656924764193</v>
          </cell>
          <cell r="N17">
            <v>15226.506543797484</v>
          </cell>
          <cell r="O17">
            <v>13690.00050231324</v>
          </cell>
          <cell r="P17">
            <v>14540.619810458167</v>
          </cell>
          <cell r="Q17">
            <v>16479.119365004892</v>
          </cell>
          <cell r="R17">
            <v>19205.057783416578</v>
          </cell>
          <cell r="S17">
            <v>22646.369818058643</v>
          </cell>
          <cell r="T17">
            <v>26035.956429291444</v>
          </cell>
          <cell r="U17">
            <v>31977.815283906664</v>
          </cell>
          <cell r="V17">
            <v>60785.399388126134</v>
          </cell>
          <cell r="W17">
            <v>65584.760613067003</v>
          </cell>
          <cell r="X17">
            <v>66714.854516083331</v>
          </cell>
          <cell r="Y17">
            <v>68930.84568069443</v>
          </cell>
          <cell r="Z17">
            <v>72612.887178699733</v>
          </cell>
          <cell r="AA17">
            <v>69126.527324404946</v>
          </cell>
          <cell r="AB17">
            <v>66655.384102599899</v>
          </cell>
        </row>
        <row r="18">
          <cell r="D18">
            <v>2</v>
          </cell>
          <cell r="E18">
            <v>45437.096764440357</v>
          </cell>
          <cell r="F18">
            <v>42313.61949161291</v>
          </cell>
          <cell r="G18">
            <v>38963.34819389577</v>
          </cell>
          <cell r="H18">
            <v>35859.141172909549</v>
          </cell>
          <cell r="I18">
            <v>34342.830458701486</v>
          </cell>
          <cell r="J18">
            <v>30819.20579026101</v>
          </cell>
          <cell r="K18">
            <v>27378.917863525628</v>
          </cell>
          <cell r="L18">
            <v>21925.473474652081</v>
          </cell>
          <cell r="M18">
            <v>16409.656924764193</v>
          </cell>
          <cell r="N18">
            <v>15226.506543797484</v>
          </cell>
          <cell r="O18">
            <v>13690.00050231324</v>
          </cell>
          <cell r="P18">
            <v>14540.619810458167</v>
          </cell>
          <cell r="Q18">
            <v>16479.119365004892</v>
          </cell>
          <cell r="R18">
            <v>19205.057783416578</v>
          </cell>
          <cell r="S18">
            <v>22646.369818058643</v>
          </cell>
          <cell r="T18">
            <v>26035.956429291444</v>
          </cell>
          <cell r="U18">
            <v>31977.815283906664</v>
          </cell>
          <cell r="V18">
            <v>60785.399388126134</v>
          </cell>
          <cell r="W18">
            <v>65584.760613067003</v>
          </cell>
          <cell r="X18">
            <v>66714.854516083331</v>
          </cell>
          <cell r="Y18">
            <v>68930.84568069443</v>
          </cell>
          <cell r="Z18">
            <v>72612.887178699733</v>
          </cell>
          <cell r="AA18">
            <v>69126.527324404946</v>
          </cell>
          <cell r="AB18">
            <v>66655.384102599899</v>
          </cell>
        </row>
        <row r="19">
          <cell r="D19">
            <v>20</v>
          </cell>
          <cell r="E19">
            <v>38856.484808320602</v>
          </cell>
          <cell r="F19">
            <v>35875.047023472347</v>
          </cell>
          <cell r="G19">
            <v>33188.931028078885</v>
          </cell>
          <cell r="H19">
            <v>31604.991137108358</v>
          </cell>
          <cell r="I19">
            <v>30612.152571800008</v>
          </cell>
          <cell r="J19">
            <v>27980.196722364468</v>
          </cell>
          <cell r="K19">
            <v>26991.913918837698</v>
          </cell>
          <cell r="L19">
            <v>26297.503802073294</v>
          </cell>
          <cell r="M19">
            <v>19591.695771118935</v>
          </cell>
          <cell r="N19">
            <v>14497.990759033939</v>
          </cell>
          <cell r="O19">
            <v>13135.051119764314</v>
          </cell>
          <cell r="P19">
            <v>12990.368103868121</v>
          </cell>
          <cell r="Q19">
            <v>12384.661013121673</v>
          </cell>
          <cell r="R19">
            <v>18853.751311939734</v>
          </cell>
          <cell r="S19">
            <v>23548.975950703978</v>
          </cell>
          <cell r="T19">
            <v>26636.434018897206</v>
          </cell>
          <cell r="U19">
            <v>31494.721061479366</v>
          </cell>
          <cell r="V19">
            <v>58339.776116729437</v>
          </cell>
          <cell r="W19">
            <v>60698.969340497824</v>
          </cell>
          <cell r="X19">
            <v>65279.858379590078</v>
          </cell>
          <cell r="Y19">
            <v>68245.461921195238</v>
          </cell>
          <cell r="Z19">
            <v>67722.836830799075</v>
          </cell>
          <cell r="AA19">
            <v>65063.504785534664</v>
          </cell>
          <cell r="AB19">
            <v>63082.262543571858</v>
          </cell>
        </row>
        <row r="20">
          <cell r="D20">
            <v>4</v>
          </cell>
          <cell r="E20">
            <v>34735.885931414457</v>
          </cell>
          <cell r="F20">
            <v>32632.894824367981</v>
          </cell>
          <cell r="G20">
            <v>29722.477709373179</v>
          </cell>
          <cell r="H20">
            <v>27737.11898534964</v>
          </cell>
          <cell r="I20">
            <v>26252.730230000678</v>
          </cell>
          <cell r="J20">
            <v>23237.751272055277</v>
          </cell>
          <cell r="K20">
            <v>22613.500774559725</v>
          </cell>
          <cell r="L20">
            <v>19631.804461901225</v>
          </cell>
          <cell r="M20">
            <v>13069.576713438862</v>
          </cell>
          <cell r="N20">
            <v>8624.8443473354546</v>
          </cell>
          <cell r="O20">
            <v>7487.2256766886385</v>
          </cell>
          <cell r="P20">
            <v>8395.1540792972137</v>
          </cell>
          <cell r="Q20">
            <v>7860.9011675605416</v>
          </cell>
          <cell r="R20">
            <v>12479.3428189937</v>
          </cell>
          <cell r="S20">
            <v>16619.144191931751</v>
          </cell>
          <cell r="T20">
            <v>21217.563467985769</v>
          </cell>
          <cell r="U20">
            <v>26653.252907194768</v>
          </cell>
          <cell r="V20">
            <v>56906.648886050592</v>
          </cell>
          <cell r="W20">
            <v>62017.111964893702</v>
          </cell>
          <cell r="X20">
            <v>64395.068862605855</v>
          </cell>
          <cell r="Y20">
            <v>64747.767683740276</v>
          </cell>
          <cell r="Z20">
            <v>64665.75059420961</v>
          </cell>
          <cell r="AA20">
            <v>63678.760101200991</v>
          </cell>
          <cell r="AB20">
            <v>62078.811000346461</v>
          </cell>
        </row>
        <row r="21">
          <cell r="D21">
            <v>4</v>
          </cell>
          <cell r="E21">
            <v>39324.77263361503</v>
          </cell>
          <cell r="F21">
            <v>36814.259187667885</v>
          </cell>
          <cell r="G21">
            <v>34223.082896307205</v>
          </cell>
          <cell r="H21">
            <v>32635.021705461098</v>
          </cell>
          <cell r="I21">
            <v>30645.149035633694</v>
          </cell>
          <cell r="J21">
            <v>27396.370311911</v>
          </cell>
          <cell r="K21">
            <v>25352.596978963902</v>
          </cell>
          <cell r="L21">
            <v>19887.46803658492</v>
          </cell>
          <cell r="M21">
            <v>13617.768727938994</v>
          </cell>
          <cell r="N21">
            <v>9919.7141602180345</v>
          </cell>
          <cell r="O21">
            <v>8216.2424424622877</v>
          </cell>
          <cell r="P21">
            <v>10780.653547769618</v>
          </cell>
          <cell r="Q21">
            <v>13076.360120373722</v>
          </cell>
          <cell r="R21">
            <v>18414.998724977522</v>
          </cell>
          <cell r="S21">
            <v>21869.344338081533</v>
          </cell>
          <cell r="T21">
            <v>25305.814999741357</v>
          </cell>
          <cell r="U21">
            <v>30608.489549405873</v>
          </cell>
          <cell r="V21">
            <v>58088.038121653452</v>
          </cell>
          <cell r="W21">
            <v>63130.082731716102</v>
          </cell>
          <cell r="X21">
            <v>68166.526454548177</v>
          </cell>
          <cell r="Y21">
            <v>71993.349947665789</v>
          </cell>
          <cell r="Z21">
            <v>74580.497717685226</v>
          </cell>
          <cell r="AA21">
            <v>73178.191489898672</v>
          </cell>
          <cell r="AB21">
            <v>68240.069727869413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53035.074405011474</v>
          </cell>
          <cell r="F23">
            <v>48680.644520019283</v>
          </cell>
          <cell r="G23">
            <v>44575.337547382245</v>
          </cell>
          <cell r="H23">
            <v>41289.810814438424</v>
          </cell>
          <cell r="I23">
            <v>38303.196181286214</v>
          </cell>
          <cell r="J23">
            <v>32939.664556750329</v>
          </cell>
          <cell r="K23">
            <v>30432.904241107506</v>
          </cell>
          <cell r="L23">
            <v>31308.453816415466</v>
          </cell>
          <cell r="M23">
            <v>28821.434765080456</v>
          </cell>
          <cell r="N23">
            <v>25800.456985323592</v>
          </cell>
          <cell r="O23">
            <v>25986.674600109298</v>
          </cell>
          <cell r="P23">
            <v>27098.231313925597</v>
          </cell>
          <cell r="Q23">
            <v>26185.064372937602</v>
          </cell>
          <cell r="R23">
            <v>32693.623133594629</v>
          </cell>
          <cell r="S23">
            <v>36925.270122588132</v>
          </cell>
          <cell r="T23">
            <v>39745.218664726366</v>
          </cell>
          <cell r="U23">
            <v>44454.802234522671</v>
          </cell>
          <cell r="V23">
            <v>69482.543840132334</v>
          </cell>
          <cell r="W23">
            <v>71718.512951726952</v>
          </cell>
          <cell r="X23">
            <v>72462.858911134681</v>
          </cell>
          <cell r="Y23">
            <v>75804.372887046135</v>
          </cell>
          <cell r="Z23">
            <v>76908.463376406304</v>
          </cell>
          <cell r="AA23">
            <v>76913.608642729145</v>
          </cell>
          <cell r="AB23">
            <v>75628.631519963019</v>
          </cell>
        </row>
        <row r="24">
          <cell r="D24">
            <v>4</v>
          </cell>
          <cell r="E24">
            <v>49965.737153915572</v>
          </cell>
          <cell r="F24">
            <v>45851.264824695078</v>
          </cell>
          <cell r="G24">
            <v>42607.654125834611</v>
          </cell>
          <cell r="H24">
            <v>39990.661943996965</v>
          </cell>
          <cell r="I24">
            <v>36384.143746010974</v>
          </cell>
          <cell r="J24">
            <v>30672.319847574385</v>
          </cell>
          <cell r="K24">
            <v>28004.632330181637</v>
          </cell>
          <cell r="L24">
            <v>23199.671085996586</v>
          </cell>
          <cell r="M24">
            <v>17711.156699479743</v>
          </cell>
          <cell r="N24">
            <v>14634.45740771752</v>
          </cell>
          <cell r="O24">
            <v>12275.678479309619</v>
          </cell>
          <cell r="P24">
            <v>12360.891846316947</v>
          </cell>
          <cell r="Q24">
            <v>12390.151931160091</v>
          </cell>
          <cell r="R24">
            <v>15103.601203196347</v>
          </cell>
          <cell r="S24">
            <v>15837.255527195965</v>
          </cell>
          <cell r="T24">
            <v>25645.784765746099</v>
          </cell>
          <cell r="U24">
            <v>28146.085410877648</v>
          </cell>
          <cell r="V24">
            <v>57328.70015704762</v>
          </cell>
          <cell r="W24">
            <v>64855.119054808514</v>
          </cell>
          <cell r="X24">
            <v>63898.85532947383</v>
          </cell>
          <cell r="Y24">
            <v>65512.385406340567</v>
          </cell>
          <cell r="Z24">
            <v>67169.422987950689</v>
          </cell>
          <cell r="AA24">
            <v>68218.778387622588</v>
          </cell>
          <cell r="AB24">
            <v>68219.79724329109</v>
          </cell>
        </row>
        <row r="25">
          <cell r="D25">
            <v>4</v>
          </cell>
          <cell r="E25">
            <v>46959.952313537688</v>
          </cell>
          <cell r="F25">
            <v>44152.177331617168</v>
          </cell>
          <cell r="G25">
            <v>39880.334256331029</v>
          </cell>
          <cell r="H25">
            <v>36939.592615636175</v>
          </cell>
          <cell r="I25">
            <v>35073.993032764804</v>
          </cell>
          <cell r="J25">
            <v>31210.465494903474</v>
          </cell>
          <cell r="K25">
            <v>26938.821972564965</v>
          </cell>
          <cell r="L25">
            <v>22899.601440742827</v>
          </cell>
          <cell r="M25">
            <v>17453.373799442601</v>
          </cell>
          <cell r="N25">
            <v>14482.347336617124</v>
          </cell>
          <cell r="O25">
            <v>14127.338170635483</v>
          </cell>
          <cell r="P25">
            <v>16966.248902182371</v>
          </cell>
          <cell r="Q25">
            <v>18971.59748161917</v>
          </cell>
          <cell r="R25">
            <v>22198.70089130646</v>
          </cell>
          <cell r="S25">
            <v>26409.290916915437</v>
          </cell>
          <cell r="T25">
            <v>30671.966079154827</v>
          </cell>
          <cell r="U25">
            <v>34139.672445970289</v>
          </cell>
          <cell r="V25">
            <v>60953.386272925512</v>
          </cell>
          <cell r="W25">
            <v>65999.894405741434</v>
          </cell>
          <cell r="X25">
            <v>66650.099838552167</v>
          </cell>
          <cell r="Y25">
            <v>70448.851326311167</v>
          </cell>
          <cell r="Z25">
            <v>74835.537656996254</v>
          </cell>
          <cell r="AA25">
            <v>76390.083257080594</v>
          </cell>
          <cell r="AB25">
            <v>73005.944703024477</v>
          </cell>
        </row>
        <row r="26">
          <cell r="D26">
            <v>3</v>
          </cell>
          <cell r="E26">
            <v>46959.952313537688</v>
          </cell>
          <cell r="F26">
            <v>44152.177331617168</v>
          </cell>
          <cell r="G26">
            <v>39880.334256331029</v>
          </cell>
          <cell r="H26">
            <v>36939.592615636175</v>
          </cell>
          <cell r="I26">
            <v>35073.993032764804</v>
          </cell>
          <cell r="J26">
            <v>31210.465494903474</v>
          </cell>
          <cell r="K26">
            <v>26938.821972564965</v>
          </cell>
          <cell r="L26">
            <v>22899.601440742827</v>
          </cell>
          <cell r="M26">
            <v>17453.373799442601</v>
          </cell>
          <cell r="N26">
            <v>14482.347336617124</v>
          </cell>
          <cell r="O26">
            <v>14127.338170635483</v>
          </cell>
          <cell r="P26">
            <v>16966.248902182371</v>
          </cell>
          <cell r="Q26">
            <v>18971.59748161917</v>
          </cell>
          <cell r="R26">
            <v>22198.70089130646</v>
          </cell>
          <cell r="S26">
            <v>26409.290916915437</v>
          </cell>
          <cell r="T26">
            <v>30671.966079154827</v>
          </cell>
          <cell r="U26">
            <v>34139.672445970289</v>
          </cell>
          <cell r="V26">
            <v>60953.386272925512</v>
          </cell>
          <cell r="W26">
            <v>65999.894405741434</v>
          </cell>
          <cell r="X26">
            <v>66650.099838552167</v>
          </cell>
          <cell r="Y26">
            <v>70448.851326311167</v>
          </cell>
          <cell r="Z26">
            <v>74835.537656996254</v>
          </cell>
          <cell r="AA26">
            <v>76390.083257080594</v>
          </cell>
          <cell r="AB26">
            <v>73005.944703024477</v>
          </cell>
        </row>
        <row r="27">
          <cell r="D27">
            <v>22</v>
          </cell>
          <cell r="E27">
            <v>46244.16521028721</v>
          </cell>
          <cell r="F27">
            <v>44513.001582296907</v>
          </cell>
          <cell r="G27">
            <v>40360.024429302175</v>
          </cell>
          <cell r="H27">
            <v>39185.14739996846</v>
          </cell>
          <cell r="I27">
            <v>36564.133590991078</v>
          </cell>
          <cell r="J27">
            <v>26081.976118762355</v>
          </cell>
          <cell r="K27">
            <v>23639.253155865874</v>
          </cell>
          <cell r="L27">
            <v>21796.148702621791</v>
          </cell>
          <cell r="M27">
            <v>20387.721762085137</v>
          </cell>
          <cell r="N27">
            <v>20941.719097857487</v>
          </cell>
          <cell r="O27">
            <v>19965.635708069243</v>
          </cell>
          <cell r="P27">
            <v>19090.653278984035</v>
          </cell>
          <cell r="Q27">
            <v>22485.912598156403</v>
          </cell>
          <cell r="R27">
            <v>17064.165091265211</v>
          </cell>
          <cell r="S27">
            <v>10616.987621815355</v>
          </cell>
          <cell r="T27">
            <v>11534.699332468392</v>
          </cell>
          <cell r="U27">
            <v>16309.161997523517</v>
          </cell>
          <cell r="V27">
            <v>51470.855661418907</v>
          </cell>
          <cell r="W27">
            <v>64556.407165470206</v>
          </cell>
          <cell r="X27">
            <v>65121.91446123748</v>
          </cell>
          <cell r="Y27">
            <v>66608.427462419539</v>
          </cell>
          <cell r="Z27">
            <v>69012.336005876248</v>
          </cell>
          <cell r="AA27">
            <v>73032.741883196257</v>
          </cell>
          <cell r="AB27">
            <v>74620.415079031227</v>
          </cell>
        </row>
        <row r="28">
          <cell r="D28">
            <v>4</v>
          </cell>
          <cell r="E28">
            <v>38104.705036200641</v>
          </cell>
          <cell r="F28">
            <v>35417.877916387595</v>
          </cell>
          <cell r="G28">
            <v>32498.010880661441</v>
          </cell>
          <cell r="H28">
            <v>30342.340687306289</v>
          </cell>
          <cell r="I28">
            <v>30489.663177046936</v>
          </cell>
          <cell r="J28">
            <v>30842.213890877618</v>
          </cell>
          <cell r="K28">
            <v>32446.584266163285</v>
          </cell>
          <cell r="L28">
            <v>29939.406449656701</v>
          </cell>
          <cell r="M28">
            <v>26397.975695636062</v>
          </cell>
          <cell r="N28">
            <v>22516.107194209184</v>
          </cell>
          <cell r="O28">
            <v>20884.461814662616</v>
          </cell>
          <cell r="P28">
            <v>22012.871933346418</v>
          </cell>
          <cell r="Q28">
            <v>18013.762911006095</v>
          </cell>
          <cell r="R28">
            <v>27100.380578255823</v>
          </cell>
          <cell r="S28">
            <v>37094.625123873528</v>
          </cell>
          <cell r="T28">
            <v>41401.239179270138</v>
          </cell>
          <cell r="U28">
            <v>46532.512480266858</v>
          </cell>
          <cell r="V28">
            <v>71773.294758014483</v>
          </cell>
          <cell r="W28">
            <v>70531.562481718487</v>
          </cell>
          <cell r="X28">
            <v>69800.899162703281</v>
          </cell>
          <cell r="Y28">
            <v>70472.060824112443</v>
          </cell>
          <cell r="Z28">
            <v>68964.63947166859</v>
          </cell>
          <cell r="AA28">
            <v>63159.796882574199</v>
          </cell>
          <cell r="AB28">
            <v>55484.532430583728</v>
          </cell>
        </row>
        <row r="29">
          <cell r="D29">
            <v>4</v>
          </cell>
          <cell r="E29">
            <v>48588.361817967692</v>
          </cell>
          <cell r="F29">
            <v>45648.923960150343</v>
          </cell>
          <cell r="G29">
            <v>43041.599447513479</v>
          </cell>
          <cell r="H29">
            <v>40590.748908000191</v>
          </cell>
          <cell r="I29">
            <v>38879.279869112506</v>
          </cell>
          <cell r="J29">
            <v>33226.495540582306</v>
          </cell>
          <cell r="K29">
            <v>30414.73569264133</v>
          </cell>
          <cell r="L29">
            <v>26163.040149281103</v>
          </cell>
          <cell r="M29">
            <v>22183.244913038096</v>
          </cell>
          <cell r="N29">
            <v>20765.877526426324</v>
          </cell>
          <cell r="O29">
            <v>21235.317952892161</v>
          </cell>
          <cell r="P29">
            <v>22442.138498251807</v>
          </cell>
          <cell r="Q29">
            <v>23788.332242404438</v>
          </cell>
          <cell r="R29">
            <v>25871.512680304222</v>
          </cell>
          <cell r="S29">
            <v>26806.043083825898</v>
          </cell>
          <cell r="T29">
            <v>27891.800057089029</v>
          </cell>
          <cell r="U29">
            <v>32244.994560124582</v>
          </cell>
          <cell r="V29">
            <v>62711.356079947989</v>
          </cell>
          <cell r="W29">
            <v>69441.229001767715</v>
          </cell>
          <cell r="X29">
            <v>69709.670290011651</v>
          </cell>
          <cell r="Y29">
            <v>71214.790872627113</v>
          </cell>
          <cell r="Z29">
            <v>72408.089901523621</v>
          </cell>
          <cell r="AA29">
            <v>71371.938892519553</v>
          </cell>
          <cell r="AB29">
            <v>66378.388611988499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19</v>
          </cell>
          <cell r="E31">
            <v>49321.071593320965</v>
          </cell>
          <cell r="F31">
            <v>45542.504297760133</v>
          </cell>
          <cell r="G31">
            <v>41380.141385711795</v>
          </cell>
          <cell r="H31">
            <v>37063.840439816857</v>
          </cell>
          <cell r="I31">
            <v>33708.362782439704</v>
          </cell>
          <cell r="J31">
            <v>24313.941265227044</v>
          </cell>
          <cell r="K31">
            <v>21097.029142029442</v>
          </cell>
          <cell r="L31">
            <v>16980.124828188083</v>
          </cell>
          <cell r="M31">
            <v>15639.087476145618</v>
          </cell>
          <cell r="N31">
            <v>14789.150030446308</v>
          </cell>
          <cell r="O31">
            <v>11189.659351206757</v>
          </cell>
          <cell r="P31">
            <v>9696.34844262771</v>
          </cell>
          <cell r="Q31">
            <v>13490.154107504735</v>
          </cell>
          <cell r="R31">
            <v>6578.7056385868254</v>
          </cell>
          <cell r="S31">
            <v>0</v>
          </cell>
          <cell r="T31">
            <v>0</v>
          </cell>
          <cell r="U31">
            <v>4377.7031917478271</v>
          </cell>
          <cell r="V31">
            <v>41357.229467879333</v>
          </cell>
          <cell r="W31">
            <v>55695.398615094688</v>
          </cell>
          <cell r="X31">
            <v>55995.321618563539</v>
          </cell>
          <cell r="Y31">
            <v>55573.135327045806</v>
          </cell>
          <cell r="Z31">
            <v>57287.343256908767</v>
          </cell>
          <cell r="AA31">
            <v>60498.409294384313</v>
          </cell>
          <cell r="AB31">
            <v>62274.568728834456</v>
          </cell>
        </row>
        <row r="32">
          <cell r="D32">
            <v>4</v>
          </cell>
          <cell r="E32">
            <v>33504.352922876169</v>
          </cell>
          <cell r="F32">
            <v>30664.884774559028</v>
          </cell>
          <cell r="G32">
            <v>28799.507422240651</v>
          </cell>
          <cell r="H32">
            <v>26875.585930384033</v>
          </cell>
          <cell r="I32">
            <v>25789.807611971639</v>
          </cell>
          <cell r="J32">
            <v>24464.795194161128</v>
          </cell>
          <cell r="K32">
            <v>22474.436115098371</v>
          </cell>
          <cell r="L32">
            <v>19994.488773593046</v>
          </cell>
          <cell r="M32">
            <v>15222.508134764666</v>
          </cell>
          <cell r="N32">
            <v>11581.1015974449</v>
          </cell>
          <cell r="O32">
            <v>11279.223617080446</v>
          </cell>
          <cell r="P32">
            <v>13472.690365849303</v>
          </cell>
          <cell r="Q32">
            <v>11705.640139386276</v>
          </cell>
          <cell r="R32">
            <v>20025.643394573992</v>
          </cell>
          <cell r="S32">
            <v>30259.919061162607</v>
          </cell>
          <cell r="T32">
            <v>34198.884976700581</v>
          </cell>
          <cell r="U32">
            <v>38859.497377510452</v>
          </cell>
          <cell r="V32">
            <v>64148.918929311068</v>
          </cell>
          <cell r="W32">
            <v>63677.476102682645</v>
          </cell>
          <cell r="X32">
            <v>63774.06635239251</v>
          </cell>
          <cell r="Y32">
            <v>63675.878460787775</v>
          </cell>
          <cell r="Z32">
            <v>62334.204901247373</v>
          </cell>
          <cell r="AA32">
            <v>57599.737457953583</v>
          </cell>
          <cell r="AB32">
            <v>52860.970017706735</v>
          </cell>
        </row>
        <row r="33">
          <cell r="D33">
            <v>5</v>
          </cell>
          <cell r="E33">
            <v>31153.725114430243</v>
          </cell>
          <cell r="F33">
            <v>30720.557618583087</v>
          </cell>
          <cell r="G33">
            <v>28260.643382297047</v>
          </cell>
          <cell r="H33">
            <v>27445.18682687408</v>
          </cell>
          <cell r="I33">
            <v>27449.267542678372</v>
          </cell>
          <cell r="J33">
            <v>24984.376485658628</v>
          </cell>
          <cell r="K33">
            <v>23928.377324864839</v>
          </cell>
          <cell r="L33">
            <v>22259.362743091628</v>
          </cell>
          <cell r="M33">
            <v>20555.131575788779</v>
          </cell>
          <cell r="N33">
            <v>18113.002430703262</v>
          </cell>
          <cell r="O33">
            <v>18045.30316994547</v>
          </cell>
          <cell r="P33">
            <v>23425.008976571604</v>
          </cell>
          <cell r="Q33">
            <v>28962.530850143536</v>
          </cell>
          <cell r="R33">
            <v>32558.095948079939</v>
          </cell>
          <cell r="S33">
            <v>34322.55358121165</v>
          </cell>
          <cell r="T33">
            <v>36990.98282458121</v>
          </cell>
          <cell r="U33">
            <v>40122.905979225805</v>
          </cell>
          <cell r="V33">
            <v>67115.083506669514</v>
          </cell>
          <cell r="W33">
            <v>74759.456785085626</v>
          </cell>
          <cell r="X33">
            <v>76191.814411225525</v>
          </cell>
          <cell r="Y33">
            <v>77719.034429407111</v>
          </cell>
          <cell r="Z33">
            <v>77420.769497347574</v>
          </cell>
          <cell r="AA33">
            <v>74751.443529044249</v>
          </cell>
          <cell r="AB33">
            <v>69511.527583795134</v>
          </cell>
        </row>
        <row r="34">
          <cell r="D34">
            <v>3</v>
          </cell>
          <cell r="E34">
            <v>31153.725114430243</v>
          </cell>
          <cell r="F34">
            <v>30720.557618583087</v>
          </cell>
          <cell r="G34">
            <v>28260.643382297047</v>
          </cell>
          <cell r="H34">
            <v>27445.18682687408</v>
          </cell>
          <cell r="I34">
            <v>27449.267542678372</v>
          </cell>
          <cell r="J34">
            <v>24984.376485658628</v>
          </cell>
          <cell r="K34">
            <v>23928.377324864839</v>
          </cell>
          <cell r="L34">
            <v>22259.362743091628</v>
          </cell>
          <cell r="M34">
            <v>20555.131575788779</v>
          </cell>
          <cell r="N34">
            <v>18113.002430703262</v>
          </cell>
          <cell r="O34">
            <v>18045.30316994547</v>
          </cell>
          <cell r="P34">
            <v>23425.008976571604</v>
          </cell>
          <cell r="Q34">
            <v>28962.530850143536</v>
          </cell>
          <cell r="R34">
            <v>32558.095948079939</v>
          </cell>
          <cell r="S34">
            <v>34322.55358121165</v>
          </cell>
          <cell r="T34">
            <v>36990.98282458121</v>
          </cell>
          <cell r="U34">
            <v>40122.905979225805</v>
          </cell>
          <cell r="V34">
            <v>67115.083506669514</v>
          </cell>
          <cell r="W34">
            <v>74759.456785085626</v>
          </cell>
          <cell r="X34">
            <v>76191.814411225525</v>
          </cell>
          <cell r="Y34">
            <v>77719.034429407111</v>
          </cell>
          <cell r="Z34">
            <v>77420.769497347574</v>
          </cell>
          <cell r="AA34">
            <v>74751.443529044249</v>
          </cell>
          <cell r="AB34">
            <v>69511.527583795134</v>
          </cell>
        </row>
        <row r="35">
          <cell r="D35">
            <v>21</v>
          </cell>
          <cell r="E35">
            <v>5000</v>
          </cell>
          <cell r="F35">
            <v>5000</v>
          </cell>
          <cell r="G35">
            <v>5000</v>
          </cell>
          <cell r="H35">
            <v>5000</v>
          </cell>
          <cell r="I35">
            <v>5000</v>
          </cell>
          <cell r="J35">
            <v>5000</v>
          </cell>
          <cell r="K35">
            <v>5000</v>
          </cell>
          <cell r="L35">
            <v>5000</v>
          </cell>
          <cell r="M35">
            <v>5000</v>
          </cell>
          <cell r="N35">
            <v>5000</v>
          </cell>
          <cell r="O35">
            <v>5000</v>
          </cell>
          <cell r="P35">
            <v>5000</v>
          </cell>
          <cell r="Q35">
            <v>5000</v>
          </cell>
          <cell r="R35">
            <v>5000</v>
          </cell>
          <cell r="S35">
            <v>5000</v>
          </cell>
          <cell r="T35">
            <v>5000</v>
          </cell>
          <cell r="U35">
            <v>5000</v>
          </cell>
          <cell r="V35">
            <v>995.21723926940808</v>
          </cell>
          <cell r="W35">
            <v>9446.6076447911855</v>
          </cell>
          <cell r="X35">
            <v>9004.7358284087404</v>
          </cell>
          <cell r="Y35">
            <v>10157.998550223681</v>
          </cell>
          <cell r="Z35">
            <v>14955.92152449899</v>
          </cell>
          <cell r="AA35">
            <v>22319.858837513835</v>
          </cell>
          <cell r="AB35">
            <v>27993.864780941978</v>
          </cell>
        </row>
        <row r="36">
          <cell r="D36">
            <v>4</v>
          </cell>
          <cell r="E36">
            <v>5000</v>
          </cell>
          <cell r="F36">
            <v>5000</v>
          </cell>
          <cell r="G36">
            <v>5000</v>
          </cell>
          <cell r="H36">
            <v>5000</v>
          </cell>
          <cell r="I36">
            <v>5000</v>
          </cell>
          <cell r="J36">
            <v>5000</v>
          </cell>
          <cell r="K36">
            <v>5000</v>
          </cell>
          <cell r="L36">
            <v>5000</v>
          </cell>
          <cell r="M36">
            <v>5000</v>
          </cell>
          <cell r="N36">
            <v>5000</v>
          </cell>
          <cell r="O36">
            <v>5000</v>
          </cell>
          <cell r="P36">
            <v>5000</v>
          </cell>
          <cell r="Q36">
            <v>5000</v>
          </cell>
          <cell r="R36">
            <v>5000</v>
          </cell>
          <cell r="S36">
            <v>5000</v>
          </cell>
          <cell r="T36">
            <v>5000</v>
          </cell>
          <cell r="U36">
            <v>5000</v>
          </cell>
          <cell r="V36">
            <v>34781.059414497548</v>
          </cell>
          <cell r="W36">
            <v>28270.13938738787</v>
          </cell>
          <cell r="X36">
            <v>30204.671268037317</v>
          </cell>
          <cell r="Y36">
            <v>34307.483246912001</v>
          </cell>
          <cell r="Z36">
            <v>36173.866483407241</v>
          </cell>
          <cell r="AA36">
            <v>34419.941508769967</v>
          </cell>
          <cell r="AB36">
            <v>31643.582586356133</v>
          </cell>
        </row>
        <row r="37">
          <cell r="D37">
            <v>4</v>
          </cell>
          <cell r="E37">
            <v>5000</v>
          </cell>
          <cell r="F37">
            <v>5000</v>
          </cell>
          <cell r="G37">
            <v>5000</v>
          </cell>
          <cell r="H37">
            <v>5000</v>
          </cell>
          <cell r="I37">
            <v>5000</v>
          </cell>
          <cell r="J37">
            <v>5000</v>
          </cell>
          <cell r="K37">
            <v>5000</v>
          </cell>
          <cell r="L37">
            <v>5000</v>
          </cell>
          <cell r="M37">
            <v>5000</v>
          </cell>
          <cell r="N37">
            <v>5000</v>
          </cell>
          <cell r="O37">
            <v>5000</v>
          </cell>
          <cell r="P37">
            <v>5000</v>
          </cell>
          <cell r="Q37">
            <v>5000</v>
          </cell>
          <cell r="R37">
            <v>5000</v>
          </cell>
          <cell r="S37">
            <v>5000</v>
          </cell>
          <cell r="T37">
            <v>5000</v>
          </cell>
          <cell r="U37">
            <v>5000</v>
          </cell>
          <cell r="V37">
            <v>28668.430440449072</v>
          </cell>
          <cell r="W37">
            <v>33452.381372933443</v>
          </cell>
          <cell r="X37">
            <v>32863.466385378561</v>
          </cell>
          <cell r="Y37">
            <v>35073.088996733444</v>
          </cell>
          <cell r="Z37">
            <v>37070.642293797559</v>
          </cell>
          <cell r="AA37">
            <v>37196.799107325009</v>
          </cell>
          <cell r="AB37">
            <v>33862.821206585097</v>
          </cell>
        </row>
        <row r="38">
          <cell r="D38">
            <v>1</v>
          </cell>
          <cell r="E38">
            <v>5000</v>
          </cell>
          <cell r="F38">
            <v>5000</v>
          </cell>
          <cell r="G38">
            <v>5000</v>
          </cell>
          <cell r="H38">
            <v>5000</v>
          </cell>
          <cell r="I38">
            <v>5000</v>
          </cell>
          <cell r="J38">
            <v>5000</v>
          </cell>
          <cell r="K38">
            <v>5000</v>
          </cell>
          <cell r="L38">
            <v>5000</v>
          </cell>
          <cell r="M38">
            <v>5000</v>
          </cell>
          <cell r="N38">
            <v>5000</v>
          </cell>
          <cell r="O38">
            <v>5000</v>
          </cell>
          <cell r="P38">
            <v>5000</v>
          </cell>
          <cell r="Q38">
            <v>5000</v>
          </cell>
          <cell r="R38">
            <v>5000</v>
          </cell>
          <cell r="S38">
            <v>5000</v>
          </cell>
          <cell r="T38">
            <v>5000</v>
          </cell>
          <cell r="U38">
            <v>5000</v>
          </cell>
          <cell r="V38">
            <v>28668.430440449072</v>
          </cell>
          <cell r="W38">
            <v>33452.381372933443</v>
          </cell>
          <cell r="X38">
            <v>32863.466385378561</v>
          </cell>
          <cell r="Y38">
            <v>35073.088996733444</v>
          </cell>
          <cell r="Z38">
            <v>37070.642293797559</v>
          </cell>
          <cell r="AA38">
            <v>37196.799107325009</v>
          </cell>
          <cell r="AB38">
            <v>33862.821206585097</v>
          </cell>
        </row>
        <row r="39">
          <cell r="D39">
            <v>20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  <cell r="P39">
            <v>5000</v>
          </cell>
          <cell r="Q39">
            <v>5000</v>
          </cell>
          <cell r="R39">
            <v>5000</v>
          </cell>
          <cell r="S39">
            <v>5000</v>
          </cell>
          <cell r="T39">
            <v>5000</v>
          </cell>
          <cell r="U39">
            <v>5000</v>
          </cell>
          <cell r="V39">
            <v>1885.1087440012861</v>
          </cell>
          <cell r="W39">
            <v>12279.592128195958</v>
          </cell>
          <cell r="X39">
            <v>13480.153902457005</v>
          </cell>
          <cell r="Y39">
            <v>15088.323358128917</v>
          </cell>
          <cell r="Z39">
            <v>18934.647432905167</v>
          </cell>
          <cell r="AA39">
            <v>25667.503818931265</v>
          </cell>
          <cell r="AB39">
            <v>29212.654234554237</v>
          </cell>
        </row>
        <row r="40">
          <cell r="D40">
            <v>5</v>
          </cell>
          <cell r="E40">
            <v>5000</v>
          </cell>
          <cell r="F40">
            <v>5000</v>
          </cell>
          <cell r="G40">
            <v>5000</v>
          </cell>
          <cell r="H40">
            <v>5000</v>
          </cell>
          <cell r="I40">
            <v>5000</v>
          </cell>
          <cell r="J40">
            <v>5000</v>
          </cell>
          <cell r="K40">
            <v>5000</v>
          </cell>
          <cell r="L40">
            <v>5000</v>
          </cell>
          <cell r="M40">
            <v>5000</v>
          </cell>
          <cell r="N40">
            <v>5000</v>
          </cell>
          <cell r="O40">
            <v>5000</v>
          </cell>
          <cell r="P40">
            <v>5000</v>
          </cell>
          <cell r="Q40">
            <v>5000</v>
          </cell>
          <cell r="R40">
            <v>5000</v>
          </cell>
          <cell r="S40">
            <v>5000</v>
          </cell>
          <cell r="T40">
            <v>5000</v>
          </cell>
          <cell r="U40">
            <v>5000</v>
          </cell>
          <cell r="V40">
            <v>36761.686177652991</v>
          </cell>
          <cell r="W40">
            <v>37137.423228408181</v>
          </cell>
          <cell r="X40">
            <v>33784.071823888669</v>
          </cell>
          <cell r="Y40">
            <v>37132.163495958739</v>
          </cell>
          <cell r="Z40">
            <v>36751.289530268448</v>
          </cell>
          <cell r="AA40">
            <v>32837.488733107959</v>
          </cell>
          <cell r="AB40">
            <v>27935.754537988061</v>
          </cell>
        </row>
        <row r="41">
          <cell r="D41">
            <v>4</v>
          </cell>
          <cell r="E41">
            <v>5000</v>
          </cell>
          <cell r="F41">
            <v>5000</v>
          </cell>
          <cell r="G41">
            <v>5000</v>
          </cell>
          <cell r="H41">
            <v>5000</v>
          </cell>
          <cell r="I41">
            <v>5000</v>
          </cell>
          <cell r="J41">
            <v>5000</v>
          </cell>
          <cell r="K41">
            <v>5000</v>
          </cell>
          <cell r="L41">
            <v>5000</v>
          </cell>
          <cell r="M41">
            <v>5000</v>
          </cell>
          <cell r="N41">
            <v>5000</v>
          </cell>
          <cell r="O41">
            <v>5000</v>
          </cell>
          <cell r="P41">
            <v>5000</v>
          </cell>
          <cell r="Q41">
            <v>5000</v>
          </cell>
          <cell r="R41">
            <v>5000</v>
          </cell>
          <cell r="S41">
            <v>5000</v>
          </cell>
          <cell r="T41">
            <v>5000</v>
          </cell>
          <cell r="U41">
            <v>5000</v>
          </cell>
          <cell r="V41">
            <v>23559.643534935334</v>
          </cell>
          <cell r="W41">
            <v>27317.407183470721</v>
          </cell>
          <cell r="X41">
            <v>27762.677494363968</v>
          </cell>
          <cell r="Y41">
            <v>27923.493238951094</v>
          </cell>
          <cell r="Z41">
            <v>29149.45130935638</v>
          </cell>
          <cell r="AA41">
            <v>31627.941541269705</v>
          </cell>
          <cell r="AB41">
            <v>32781.617704960045</v>
          </cell>
        </row>
        <row r="42">
          <cell r="D42">
            <v>2</v>
          </cell>
          <cell r="E42">
            <v>5000</v>
          </cell>
          <cell r="F42">
            <v>5000</v>
          </cell>
          <cell r="G42">
            <v>5000</v>
          </cell>
          <cell r="H42">
            <v>5000</v>
          </cell>
          <cell r="I42">
            <v>5000</v>
          </cell>
          <cell r="J42">
            <v>5000</v>
          </cell>
          <cell r="K42">
            <v>5000</v>
          </cell>
          <cell r="L42">
            <v>5000</v>
          </cell>
          <cell r="M42">
            <v>5000</v>
          </cell>
          <cell r="N42">
            <v>5000</v>
          </cell>
          <cell r="O42">
            <v>5000</v>
          </cell>
          <cell r="P42">
            <v>5000</v>
          </cell>
          <cell r="Q42">
            <v>5000</v>
          </cell>
          <cell r="R42">
            <v>5000</v>
          </cell>
          <cell r="S42">
            <v>5000</v>
          </cell>
          <cell r="T42">
            <v>5000</v>
          </cell>
          <cell r="U42">
            <v>5000</v>
          </cell>
          <cell r="V42">
            <v>23559.643534935334</v>
          </cell>
          <cell r="W42">
            <v>27317.407183470721</v>
          </cell>
          <cell r="X42">
            <v>27762.677494363968</v>
          </cell>
          <cell r="Y42">
            <v>27923.493238951094</v>
          </cell>
          <cell r="Z42">
            <v>29149.45130935638</v>
          </cell>
          <cell r="AA42">
            <v>31627.941541269705</v>
          </cell>
          <cell r="AB42">
            <v>32781.617704960045</v>
          </cell>
        </row>
        <row r="43">
          <cell r="D43">
            <v>21</v>
          </cell>
          <cell r="E43">
            <v>5000</v>
          </cell>
          <cell r="F43">
            <v>5000</v>
          </cell>
          <cell r="G43">
            <v>5000</v>
          </cell>
          <cell r="H43">
            <v>5000</v>
          </cell>
          <cell r="I43">
            <v>5000</v>
          </cell>
          <cell r="J43">
            <v>5000</v>
          </cell>
          <cell r="K43">
            <v>5000</v>
          </cell>
          <cell r="L43">
            <v>5000</v>
          </cell>
          <cell r="M43">
            <v>5000</v>
          </cell>
          <cell r="N43">
            <v>5000</v>
          </cell>
          <cell r="O43">
            <v>5000</v>
          </cell>
          <cell r="P43">
            <v>5000</v>
          </cell>
          <cell r="Q43">
            <v>5000</v>
          </cell>
          <cell r="R43">
            <v>5000</v>
          </cell>
          <cell r="S43">
            <v>5000</v>
          </cell>
          <cell r="T43">
            <v>5000</v>
          </cell>
          <cell r="U43">
            <v>5000</v>
          </cell>
          <cell r="V43">
            <v>8600.1162543227856</v>
          </cell>
          <cell r="W43">
            <v>18907.007582435257</v>
          </cell>
          <cell r="X43">
            <v>19082.89032060486</v>
          </cell>
          <cell r="Y43">
            <v>21515.303111043635</v>
          </cell>
          <cell r="Z43">
            <v>25170.065310038553</v>
          </cell>
          <cell r="AA43">
            <v>31309.282624370524</v>
          </cell>
          <cell r="AB43">
            <v>34395.690416282465</v>
          </cell>
        </row>
        <row r="44">
          <cell r="D44">
            <v>3</v>
          </cell>
          <cell r="E44">
            <v>5000</v>
          </cell>
          <cell r="F44">
            <v>5000</v>
          </cell>
          <cell r="G44">
            <v>5000</v>
          </cell>
          <cell r="H44">
            <v>5000</v>
          </cell>
          <cell r="I44">
            <v>5000</v>
          </cell>
          <cell r="J44">
            <v>5000</v>
          </cell>
          <cell r="K44">
            <v>5000</v>
          </cell>
          <cell r="L44">
            <v>5000</v>
          </cell>
          <cell r="M44">
            <v>5000</v>
          </cell>
          <cell r="N44">
            <v>5000</v>
          </cell>
          <cell r="O44">
            <v>5000</v>
          </cell>
          <cell r="P44">
            <v>5000</v>
          </cell>
          <cell r="Q44">
            <v>5000</v>
          </cell>
          <cell r="R44">
            <v>5000</v>
          </cell>
          <cell r="S44">
            <v>5000</v>
          </cell>
          <cell r="T44">
            <v>5000</v>
          </cell>
          <cell r="U44">
            <v>5000</v>
          </cell>
          <cell r="V44">
            <v>49480.52105639263</v>
          </cell>
          <cell r="W44">
            <v>49309.797349821398</v>
          </cell>
          <cell r="X44">
            <v>44524.271663887732</v>
          </cell>
          <cell r="Y44">
            <v>46795.308827543377</v>
          </cell>
          <cell r="Z44">
            <v>47383.445373528841</v>
          </cell>
          <cell r="AA44">
            <v>42627.34588063071</v>
          </cell>
          <cell r="AB44">
            <v>38480.284389110493</v>
          </cell>
        </row>
        <row r="45">
          <cell r="D45">
            <v>5</v>
          </cell>
          <cell r="E45">
            <v>5000</v>
          </cell>
          <cell r="F45">
            <v>5000</v>
          </cell>
          <cell r="G45">
            <v>5000</v>
          </cell>
          <cell r="H45">
            <v>5000</v>
          </cell>
          <cell r="I45">
            <v>5000</v>
          </cell>
          <cell r="J45">
            <v>5000</v>
          </cell>
          <cell r="K45">
            <v>5000</v>
          </cell>
          <cell r="L45">
            <v>5000</v>
          </cell>
          <cell r="M45">
            <v>5000</v>
          </cell>
          <cell r="N45">
            <v>5000</v>
          </cell>
          <cell r="O45">
            <v>5000</v>
          </cell>
          <cell r="P45">
            <v>5000</v>
          </cell>
          <cell r="Q45">
            <v>5000</v>
          </cell>
          <cell r="R45">
            <v>5000</v>
          </cell>
          <cell r="S45">
            <v>5000</v>
          </cell>
          <cell r="T45">
            <v>5000</v>
          </cell>
          <cell r="U45">
            <v>5000</v>
          </cell>
          <cell r="V45">
            <v>35369.970840117334</v>
          </cell>
          <cell r="W45">
            <v>39692.019941966035</v>
          </cell>
          <cell r="X45">
            <v>45959.14472395245</v>
          </cell>
          <cell r="Y45">
            <v>49579.96078195177</v>
          </cell>
          <cell r="Z45">
            <v>51224.148853021237</v>
          </cell>
          <cell r="AA45">
            <v>51339.426304888802</v>
          </cell>
          <cell r="AB45">
            <v>48046.76152936682</v>
          </cell>
        </row>
        <row r="46">
          <cell r="D46">
            <v>2</v>
          </cell>
          <cell r="E46">
            <v>5000</v>
          </cell>
          <cell r="F46">
            <v>5000</v>
          </cell>
          <cell r="G46">
            <v>5000</v>
          </cell>
          <cell r="H46">
            <v>5000</v>
          </cell>
          <cell r="I46">
            <v>5000</v>
          </cell>
          <cell r="J46">
            <v>5000</v>
          </cell>
          <cell r="K46">
            <v>5000</v>
          </cell>
          <cell r="L46">
            <v>5000</v>
          </cell>
          <cell r="M46">
            <v>5000</v>
          </cell>
          <cell r="N46">
            <v>5000</v>
          </cell>
          <cell r="O46">
            <v>5000</v>
          </cell>
          <cell r="P46">
            <v>5000</v>
          </cell>
          <cell r="Q46">
            <v>5000</v>
          </cell>
          <cell r="R46">
            <v>5000</v>
          </cell>
          <cell r="S46">
            <v>5000</v>
          </cell>
          <cell r="T46">
            <v>5000</v>
          </cell>
          <cell r="U46">
            <v>5000</v>
          </cell>
          <cell r="V46">
            <v>35369.970840117334</v>
          </cell>
          <cell r="W46">
            <v>39692.019941966035</v>
          </cell>
          <cell r="X46">
            <v>45959.14472395245</v>
          </cell>
          <cell r="Y46">
            <v>49579.96078195177</v>
          </cell>
          <cell r="Z46">
            <v>51224.148853021237</v>
          </cell>
          <cell r="AA46">
            <v>51339.426304888802</v>
          </cell>
          <cell r="AB46">
            <v>48046.76152936682</v>
          </cell>
        </row>
        <row r="47">
          <cell r="D47">
            <v>22</v>
          </cell>
          <cell r="E47">
            <v>5000</v>
          </cell>
          <cell r="F47">
            <v>5000</v>
          </cell>
          <cell r="G47">
            <v>5000</v>
          </cell>
          <cell r="H47">
            <v>5000</v>
          </cell>
          <cell r="I47">
            <v>5000</v>
          </cell>
          <cell r="J47">
            <v>5000</v>
          </cell>
          <cell r="K47">
            <v>5000</v>
          </cell>
          <cell r="L47">
            <v>5000</v>
          </cell>
          <cell r="M47">
            <v>5000</v>
          </cell>
          <cell r="N47">
            <v>5000</v>
          </cell>
          <cell r="O47">
            <v>5000</v>
          </cell>
          <cell r="P47">
            <v>5000</v>
          </cell>
          <cell r="Q47">
            <v>5000</v>
          </cell>
          <cell r="R47">
            <v>5000</v>
          </cell>
          <cell r="S47">
            <v>5000</v>
          </cell>
          <cell r="T47">
            <v>5000</v>
          </cell>
          <cell r="U47">
            <v>5000</v>
          </cell>
          <cell r="V47">
            <v>15907.671090951424</v>
          </cell>
          <cell r="W47">
            <v>26044.52298237689</v>
          </cell>
          <cell r="X47">
            <v>26804.245766033971</v>
          </cell>
          <cell r="Y47">
            <v>28847.040489838491</v>
          </cell>
          <cell r="Z47">
            <v>31861.496449271272</v>
          </cell>
          <cell r="AA47">
            <v>38227.516276459086</v>
          </cell>
          <cell r="AB47">
            <v>41772.077578481942</v>
          </cell>
        </row>
        <row r="48">
          <cell r="D48">
            <v>4</v>
          </cell>
          <cell r="E48">
            <v>5000</v>
          </cell>
          <cell r="F48">
            <v>5000</v>
          </cell>
          <cell r="G48">
            <v>5000</v>
          </cell>
          <cell r="H48">
            <v>5000</v>
          </cell>
          <cell r="I48">
            <v>5000</v>
          </cell>
          <cell r="J48">
            <v>5000</v>
          </cell>
          <cell r="K48">
            <v>5000</v>
          </cell>
          <cell r="L48">
            <v>5000</v>
          </cell>
          <cell r="M48">
            <v>5000</v>
          </cell>
          <cell r="N48">
            <v>5000</v>
          </cell>
          <cell r="O48">
            <v>5000</v>
          </cell>
          <cell r="P48">
            <v>5000</v>
          </cell>
          <cell r="Q48">
            <v>5000</v>
          </cell>
          <cell r="R48">
            <v>5000</v>
          </cell>
          <cell r="S48">
            <v>5000</v>
          </cell>
          <cell r="T48">
            <v>5000</v>
          </cell>
          <cell r="U48">
            <v>5000</v>
          </cell>
          <cell r="V48">
            <v>48889.700787884547</v>
          </cell>
          <cell r="W48">
            <v>42339.175168867827</v>
          </cell>
          <cell r="X48">
            <v>39496.562845210545</v>
          </cell>
          <cell r="Y48">
            <v>42435.973740506146</v>
          </cell>
          <cell r="Z48">
            <v>43844.354615418211</v>
          </cell>
          <cell r="AA48">
            <v>42865.184897243867</v>
          </cell>
          <cell r="AB48">
            <v>38971.610265947049</v>
          </cell>
        </row>
        <row r="49">
          <cell r="D49">
            <v>4</v>
          </cell>
          <cell r="E49">
            <v>5000</v>
          </cell>
          <cell r="F49">
            <v>5000</v>
          </cell>
          <cell r="G49">
            <v>5000</v>
          </cell>
          <cell r="H49">
            <v>5000</v>
          </cell>
          <cell r="I49">
            <v>5000</v>
          </cell>
          <cell r="J49">
            <v>5000</v>
          </cell>
          <cell r="K49">
            <v>5000</v>
          </cell>
          <cell r="L49">
            <v>5000</v>
          </cell>
          <cell r="M49">
            <v>5000</v>
          </cell>
          <cell r="N49">
            <v>5000</v>
          </cell>
          <cell r="O49">
            <v>5000</v>
          </cell>
          <cell r="P49">
            <v>5000</v>
          </cell>
          <cell r="Q49">
            <v>5000</v>
          </cell>
          <cell r="R49">
            <v>5000</v>
          </cell>
          <cell r="S49">
            <v>5000</v>
          </cell>
          <cell r="T49">
            <v>5000</v>
          </cell>
          <cell r="U49">
            <v>5000</v>
          </cell>
          <cell r="V49">
            <v>77300.916978140609</v>
          </cell>
          <cell r="W49">
            <v>66480.618993525437</v>
          </cell>
          <cell r="X49">
            <v>59901.068412840912</v>
          </cell>
          <cell r="Y49">
            <v>58432.377682826002</v>
          </cell>
          <cell r="Z49">
            <v>56947.786311614291</v>
          </cell>
          <cell r="AA49">
            <v>52430.547815670281</v>
          </cell>
          <cell r="AB49">
            <v>47388.456397667622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5000</v>
          </cell>
          <cell r="F51">
            <v>5000</v>
          </cell>
          <cell r="G51">
            <v>5000</v>
          </cell>
          <cell r="H51">
            <v>5000</v>
          </cell>
          <cell r="I51">
            <v>5000</v>
          </cell>
          <cell r="J51">
            <v>5000</v>
          </cell>
          <cell r="K51">
            <v>5000</v>
          </cell>
          <cell r="L51">
            <v>5000</v>
          </cell>
          <cell r="M51">
            <v>5000</v>
          </cell>
          <cell r="N51">
            <v>5000</v>
          </cell>
          <cell r="O51">
            <v>5000</v>
          </cell>
          <cell r="P51">
            <v>5000</v>
          </cell>
          <cell r="Q51">
            <v>5000</v>
          </cell>
          <cell r="R51">
            <v>5000</v>
          </cell>
          <cell r="S51">
            <v>5000</v>
          </cell>
          <cell r="T51">
            <v>5000</v>
          </cell>
          <cell r="U51">
            <v>5000</v>
          </cell>
          <cell r="V51">
            <v>26445.465670790185</v>
          </cell>
          <cell r="W51">
            <v>36447.875570339223</v>
          </cell>
          <cell r="X51">
            <v>37957.86935431997</v>
          </cell>
          <cell r="Y51">
            <v>39940.414858688942</v>
          </cell>
          <cell r="Z51">
            <v>41692.018321959549</v>
          </cell>
          <cell r="AA51">
            <v>46633.695228421631</v>
          </cell>
          <cell r="AB51">
            <v>48844.799126038029</v>
          </cell>
        </row>
        <row r="52">
          <cell r="D52">
            <v>5</v>
          </cell>
          <cell r="E52">
            <v>5000</v>
          </cell>
          <cell r="F52">
            <v>5000</v>
          </cell>
          <cell r="G52">
            <v>5000</v>
          </cell>
          <cell r="H52">
            <v>5000</v>
          </cell>
          <cell r="I52">
            <v>5000</v>
          </cell>
          <cell r="J52">
            <v>5000</v>
          </cell>
          <cell r="K52">
            <v>5000</v>
          </cell>
          <cell r="L52">
            <v>5000</v>
          </cell>
          <cell r="M52">
            <v>5000</v>
          </cell>
          <cell r="N52">
            <v>5000</v>
          </cell>
          <cell r="O52">
            <v>5000</v>
          </cell>
          <cell r="P52">
            <v>5000</v>
          </cell>
          <cell r="Q52">
            <v>5000</v>
          </cell>
          <cell r="R52">
            <v>5000</v>
          </cell>
          <cell r="S52">
            <v>5000</v>
          </cell>
          <cell r="T52">
            <v>5000</v>
          </cell>
          <cell r="U52">
            <v>5000</v>
          </cell>
          <cell r="V52">
            <v>48601.382872695722</v>
          </cell>
          <cell r="W52">
            <v>45666.325437776635</v>
          </cell>
          <cell r="X52">
            <v>44562.795935434537</v>
          </cell>
          <cell r="Y52">
            <v>43730.720512293432</v>
          </cell>
          <cell r="Z52">
            <v>41976.952029221138</v>
          </cell>
          <cell r="AA52">
            <v>38827.866460985577</v>
          </cell>
          <cell r="AB52">
            <v>34322.258535964691</v>
          </cell>
        </row>
        <row r="53">
          <cell r="D53">
            <v>5</v>
          </cell>
          <cell r="E53">
            <v>5000</v>
          </cell>
          <cell r="F53">
            <v>5000</v>
          </cell>
          <cell r="G53">
            <v>5000</v>
          </cell>
          <cell r="H53">
            <v>5000</v>
          </cell>
          <cell r="I53">
            <v>5000</v>
          </cell>
          <cell r="J53">
            <v>5000</v>
          </cell>
          <cell r="K53">
            <v>5000</v>
          </cell>
          <cell r="L53">
            <v>5000</v>
          </cell>
          <cell r="M53">
            <v>5000</v>
          </cell>
          <cell r="N53">
            <v>5000</v>
          </cell>
          <cell r="O53">
            <v>5000</v>
          </cell>
          <cell r="P53">
            <v>5000</v>
          </cell>
          <cell r="Q53">
            <v>5000</v>
          </cell>
          <cell r="R53">
            <v>5000</v>
          </cell>
          <cell r="S53">
            <v>5000</v>
          </cell>
          <cell r="T53">
            <v>5000</v>
          </cell>
          <cell r="U53">
            <v>5000</v>
          </cell>
          <cell r="V53">
            <v>46789.961205517611</v>
          </cell>
          <cell r="W53">
            <v>52267.80106568768</v>
          </cell>
          <cell r="X53">
            <v>55000.056086551129</v>
          </cell>
          <cell r="Y53">
            <v>56779.381856901695</v>
          </cell>
          <cell r="Z53">
            <v>57356.626953224237</v>
          </cell>
          <cell r="AA53">
            <v>54384.161665617168</v>
          </cell>
          <cell r="AB53">
            <v>49852.073991388468</v>
          </cell>
        </row>
        <row r="54">
          <cell r="D54">
            <v>1</v>
          </cell>
          <cell r="E54">
            <v>5000</v>
          </cell>
          <cell r="F54">
            <v>5000</v>
          </cell>
          <cell r="G54">
            <v>5000</v>
          </cell>
          <cell r="H54">
            <v>5000</v>
          </cell>
          <cell r="I54">
            <v>5000</v>
          </cell>
          <cell r="J54">
            <v>5000</v>
          </cell>
          <cell r="K54">
            <v>5000</v>
          </cell>
          <cell r="L54">
            <v>5000</v>
          </cell>
          <cell r="M54">
            <v>5000</v>
          </cell>
          <cell r="N54">
            <v>5000</v>
          </cell>
          <cell r="O54">
            <v>5000</v>
          </cell>
          <cell r="P54">
            <v>5000</v>
          </cell>
          <cell r="Q54">
            <v>5000</v>
          </cell>
          <cell r="R54">
            <v>5000</v>
          </cell>
          <cell r="S54">
            <v>5000</v>
          </cell>
          <cell r="T54">
            <v>5000</v>
          </cell>
          <cell r="U54">
            <v>5000</v>
          </cell>
          <cell r="V54">
            <v>46789.961205517611</v>
          </cell>
          <cell r="W54">
            <v>52267.80106568768</v>
          </cell>
          <cell r="X54">
            <v>55000.056086551129</v>
          </cell>
          <cell r="Y54">
            <v>56779.381856901695</v>
          </cell>
          <cell r="Z54">
            <v>57356.626953224237</v>
          </cell>
          <cell r="AA54">
            <v>54384.161665617168</v>
          </cell>
          <cell r="AB54">
            <v>49852.073991388468</v>
          </cell>
        </row>
        <row r="55">
          <cell r="D55">
            <v>20</v>
          </cell>
          <cell r="E55">
            <v>33323.144112976253</v>
          </cell>
          <cell r="F55">
            <v>30217.765259876815</v>
          </cell>
          <cell r="G55">
            <v>27486.428379363104</v>
          </cell>
          <cell r="H55">
            <v>25497.927928482284</v>
          </cell>
          <cell r="I55">
            <v>23777.358018956165</v>
          </cell>
          <cell r="J55">
            <v>17454.510933684163</v>
          </cell>
          <cell r="K55">
            <v>12299.226897257853</v>
          </cell>
          <cell r="L55">
            <v>10484.621344654272</v>
          </cell>
          <cell r="M55">
            <v>10906.766487943856</v>
          </cell>
          <cell r="N55">
            <v>13698.613808698781</v>
          </cell>
          <cell r="O55">
            <v>13392.839093822118</v>
          </cell>
          <cell r="P55">
            <v>12337.496701201786</v>
          </cell>
          <cell r="Q55">
            <v>16696.856975048348</v>
          </cell>
          <cell r="R55">
            <v>9307.9111802021835</v>
          </cell>
          <cell r="S55">
            <v>1388.1163707980022</v>
          </cell>
          <cell r="T55">
            <v>2508.8652423590647</v>
          </cell>
          <cell r="U55">
            <v>8660.2811037430456</v>
          </cell>
          <cell r="V55">
            <v>48454.735109579502</v>
          </cell>
          <cell r="W55">
            <v>61411.399317962205</v>
          </cell>
          <cell r="X55">
            <v>61836.36677616238</v>
          </cell>
          <cell r="Y55">
            <v>61287.644095797899</v>
          </cell>
          <cell r="Z55">
            <v>61507.34009203242</v>
          </cell>
          <cell r="AA55">
            <v>63465.842791091716</v>
          </cell>
          <cell r="AB55">
            <v>63191.437985295808</v>
          </cell>
        </row>
        <row r="56">
          <cell r="D56">
            <v>4</v>
          </cell>
          <cell r="E56">
            <v>49756.448544223589</v>
          </cell>
          <cell r="F56">
            <v>46141.751781733037</v>
          </cell>
          <cell r="G56">
            <v>42565.972315155675</v>
          </cell>
          <cell r="H56">
            <v>39912.136048116481</v>
          </cell>
          <cell r="I56">
            <v>37591.784824189941</v>
          </cell>
          <cell r="J56">
            <v>34751.380210120828</v>
          </cell>
          <cell r="K56">
            <v>31387.495784394985</v>
          </cell>
          <cell r="L56">
            <v>29557.303014867328</v>
          </cell>
          <cell r="M56">
            <v>28195.434072769815</v>
          </cell>
          <cell r="N56">
            <v>27629.515027039703</v>
          </cell>
          <cell r="O56">
            <v>28728.621324773285</v>
          </cell>
          <cell r="P56">
            <v>32207.301965989445</v>
          </cell>
          <cell r="Q56">
            <v>31815.924538838088</v>
          </cell>
          <cell r="R56">
            <v>39452.201318642496</v>
          </cell>
          <cell r="S56">
            <v>49475.321503062136</v>
          </cell>
          <cell r="T56">
            <v>54088.430489725855</v>
          </cell>
          <cell r="U56">
            <v>58659.201040008244</v>
          </cell>
          <cell r="V56">
            <v>85124.933692901832</v>
          </cell>
          <cell r="W56">
            <v>92163.05542674115</v>
          </cell>
          <cell r="X56">
            <v>91471.097546302335</v>
          </cell>
          <cell r="Y56">
            <v>91251.024248005167</v>
          </cell>
          <cell r="Z56">
            <v>89831.405274717894</v>
          </cell>
          <cell r="AA56">
            <v>86924.800290844418</v>
          </cell>
          <cell r="AB56">
            <v>81582.656863077427</v>
          </cell>
        </row>
        <row r="57">
          <cell r="D57">
            <v>4</v>
          </cell>
          <cell r="E57">
            <v>34748.062643595571</v>
          </cell>
          <cell r="F57">
            <v>31042.178730318454</v>
          </cell>
          <cell r="G57">
            <v>27772.886175798845</v>
          </cell>
          <cell r="H57">
            <v>24419.78164785948</v>
          </cell>
          <cell r="I57">
            <v>22632.491613293496</v>
          </cell>
          <cell r="J57">
            <v>20490.477381808007</v>
          </cell>
          <cell r="K57">
            <v>15930.388508098673</v>
          </cell>
          <cell r="L57">
            <v>11654.202409039215</v>
          </cell>
          <cell r="M57">
            <v>7148.2565366711415</v>
          </cell>
          <cell r="N57">
            <v>3966.3624778891917</v>
          </cell>
          <cell r="O57">
            <v>3517.1693600468075</v>
          </cell>
          <cell r="P57">
            <v>4797.1761115491345</v>
          </cell>
          <cell r="Q57">
            <v>5116.086896252853</v>
          </cell>
          <cell r="R57">
            <v>9085.6907852836448</v>
          </cell>
          <cell r="S57">
            <v>9652.9808315656846</v>
          </cell>
          <cell r="T57">
            <v>13534.993080379052</v>
          </cell>
          <cell r="U57">
            <v>20370.277832551579</v>
          </cell>
          <cell r="V57">
            <v>58153.104181200491</v>
          </cell>
          <cell r="W57">
            <v>66284.367772777507</v>
          </cell>
          <cell r="X57">
            <v>66886.25441324967</v>
          </cell>
          <cell r="Y57">
            <v>64045.89163365338</v>
          </cell>
          <cell r="Z57">
            <v>58591.230413790639</v>
          </cell>
          <cell r="AA57">
            <v>53713.974832582157</v>
          </cell>
          <cell r="AB57">
            <v>49801.732953070146</v>
          </cell>
        </row>
        <row r="58">
          <cell r="D58">
            <v>2</v>
          </cell>
          <cell r="E58">
            <v>34748.062643595571</v>
          </cell>
          <cell r="F58">
            <v>31042.178730318454</v>
          </cell>
          <cell r="G58">
            <v>27772.886175798845</v>
          </cell>
          <cell r="H58">
            <v>24419.78164785948</v>
          </cell>
          <cell r="I58">
            <v>22632.491613293496</v>
          </cell>
          <cell r="J58">
            <v>20490.477381808007</v>
          </cell>
          <cell r="K58">
            <v>15930.388508098673</v>
          </cell>
          <cell r="L58">
            <v>11654.202409039215</v>
          </cell>
          <cell r="M58">
            <v>7148.2565366711415</v>
          </cell>
          <cell r="N58">
            <v>3966.3624778891917</v>
          </cell>
          <cell r="O58">
            <v>3517.1693600468075</v>
          </cell>
          <cell r="P58">
            <v>4797.1761115491345</v>
          </cell>
          <cell r="Q58">
            <v>5116.086896252853</v>
          </cell>
          <cell r="R58">
            <v>9085.6907852836448</v>
          </cell>
          <cell r="S58">
            <v>9652.9808315656846</v>
          </cell>
          <cell r="T58">
            <v>13534.993080379052</v>
          </cell>
          <cell r="U58">
            <v>20370.277832551579</v>
          </cell>
          <cell r="V58">
            <v>58153.104181200491</v>
          </cell>
          <cell r="W58">
            <v>66284.367772777507</v>
          </cell>
          <cell r="X58">
            <v>66886.25441324967</v>
          </cell>
          <cell r="Y58">
            <v>64045.89163365338</v>
          </cell>
          <cell r="Z58">
            <v>58591.230413790639</v>
          </cell>
          <cell r="AA58">
            <v>53713.974832582157</v>
          </cell>
          <cell r="AB58">
            <v>49801.732953070146</v>
          </cell>
        </row>
        <row r="59">
          <cell r="D59">
            <v>22</v>
          </cell>
          <cell r="E59">
            <v>35855.295194645638</v>
          </cell>
          <cell r="F59">
            <v>32857.378449771488</v>
          </cell>
          <cell r="G59">
            <v>29361.838670854781</v>
          </cell>
          <cell r="H59">
            <v>26704.571224728908</v>
          </cell>
          <cell r="I59">
            <v>24607.628729772416</v>
          </cell>
          <cell r="J59">
            <v>20162.075464267418</v>
          </cell>
          <cell r="K59">
            <v>15149.329130631117</v>
          </cell>
          <cell r="L59">
            <v>5000</v>
          </cell>
          <cell r="M59">
            <v>5000</v>
          </cell>
          <cell r="N59">
            <v>5000</v>
          </cell>
          <cell r="O59">
            <v>5000</v>
          </cell>
          <cell r="P59">
            <v>5000</v>
          </cell>
          <cell r="Q59">
            <v>5000</v>
          </cell>
          <cell r="R59">
            <v>5000</v>
          </cell>
          <cell r="S59">
            <v>5000</v>
          </cell>
          <cell r="T59">
            <v>5000</v>
          </cell>
          <cell r="U59">
            <v>0</v>
          </cell>
          <cell r="V59">
            <v>41860.060677854308</v>
          </cell>
          <cell r="W59">
            <v>52621.380287501946</v>
          </cell>
          <cell r="X59">
            <v>51589.284038816346</v>
          </cell>
          <cell r="Y59">
            <v>49481.173294850036</v>
          </cell>
          <cell r="Z59">
            <v>48134.293525341403</v>
          </cell>
          <cell r="AA59">
            <v>51493.743364660135</v>
          </cell>
          <cell r="AB59">
            <v>53585.028003332642</v>
          </cell>
        </row>
        <row r="60">
          <cell r="D60">
            <v>3</v>
          </cell>
          <cell r="E60">
            <v>27034.338794466548</v>
          </cell>
          <cell r="F60">
            <v>24847.563097900405</v>
          </cell>
          <cell r="G60">
            <v>22937.915237243771</v>
          </cell>
          <cell r="H60">
            <v>21325.463228619752</v>
          </cell>
          <cell r="I60">
            <v>20822.207373083216</v>
          </cell>
          <cell r="J60">
            <v>20369.435478598745</v>
          </cell>
          <cell r="K60">
            <v>22313.744745526492</v>
          </cell>
          <cell r="L60">
            <v>5000</v>
          </cell>
          <cell r="M60">
            <v>5000</v>
          </cell>
          <cell r="N60">
            <v>5000</v>
          </cell>
          <cell r="O60">
            <v>5000</v>
          </cell>
          <cell r="P60">
            <v>5000</v>
          </cell>
          <cell r="Q60">
            <v>5000</v>
          </cell>
          <cell r="R60">
            <v>5000</v>
          </cell>
          <cell r="S60">
            <v>5000</v>
          </cell>
          <cell r="T60">
            <v>5000</v>
          </cell>
          <cell r="U60">
            <v>41363.813188794215</v>
          </cell>
          <cell r="V60">
            <v>71927.268875394526</v>
          </cell>
          <cell r="W60">
            <v>67511.227501548696</v>
          </cell>
          <cell r="X60">
            <v>71042.169648273353</v>
          </cell>
          <cell r="Y60">
            <v>72586.980711101205</v>
          </cell>
          <cell r="Z60">
            <v>72210.68087828072</v>
          </cell>
          <cell r="AA60">
            <v>66661.473654437548</v>
          </cell>
          <cell r="AB60">
            <v>59843.670640627381</v>
          </cell>
        </row>
        <row r="61">
          <cell r="D61">
            <v>4</v>
          </cell>
          <cell r="E61">
            <v>27779.678541143141</v>
          </cell>
          <cell r="F61">
            <v>28801.05010945215</v>
          </cell>
          <cell r="G61">
            <v>28467.216039767151</v>
          </cell>
          <cell r="H61">
            <v>26554.837333676118</v>
          </cell>
          <cell r="I61">
            <v>24689.861979003781</v>
          </cell>
          <cell r="J61">
            <v>19837.767329084214</v>
          </cell>
          <cell r="K61">
            <v>12477.708841961061</v>
          </cell>
          <cell r="L61">
            <v>5000</v>
          </cell>
          <cell r="M61">
            <v>5000</v>
          </cell>
          <cell r="N61">
            <v>5000</v>
          </cell>
          <cell r="O61">
            <v>5000</v>
          </cell>
          <cell r="P61">
            <v>5000</v>
          </cell>
          <cell r="Q61">
            <v>5000</v>
          </cell>
          <cell r="R61">
            <v>5000</v>
          </cell>
          <cell r="S61">
            <v>5000</v>
          </cell>
          <cell r="T61">
            <v>5000</v>
          </cell>
          <cell r="U61">
            <v>5230.0079546780862</v>
          </cell>
          <cell r="V61">
            <v>44182.270729082236</v>
          </cell>
          <cell r="W61">
            <v>51362.410186136403</v>
          </cell>
          <cell r="X61">
            <v>52773.287565594357</v>
          </cell>
          <cell r="Y61">
            <v>54655.119726244011</v>
          </cell>
          <cell r="Z61">
            <v>56812.655314237985</v>
          </cell>
          <cell r="AA61">
            <v>56461.917227410195</v>
          </cell>
          <cell r="AB61">
            <v>55198.9696053281</v>
          </cell>
        </row>
        <row r="62">
          <cell r="D62">
            <v>2</v>
          </cell>
          <cell r="E62">
            <v>27779.678541143141</v>
          </cell>
          <cell r="F62">
            <v>28801.05010945215</v>
          </cell>
          <cell r="G62">
            <v>28467.216039767151</v>
          </cell>
          <cell r="H62">
            <v>26554.837333676118</v>
          </cell>
          <cell r="I62">
            <v>24689.861979003781</v>
          </cell>
          <cell r="J62">
            <v>19837.767329084214</v>
          </cell>
          <cell r="K62">
            <v>12477.708841961061</v>
          </cell>
          <cell r="L62">
            <v>5000</v>
          </cell>
          <cell r="M62">
            <v>5000</v>
          </cell>
          <cell r="N62">
            <v>5000</v>
          </cell>
          <cell r="O62">
            <v>5000</v>
          </cell>
          <cell r="P62">
            <v>5000</v>
          </cell>
          <cell r="Q62">
            <v>5000</v>
          </cell>
          <cell r="R62">
            <v>5000</v>
          </cell>
          <cell r="S62">
            <v>5000</v>
          </cell>
          <cell r="T62">
            <v>5000</v>
          </cell>
          <cell r="U62">
            <v>5230.0079546780862</v>
          </cell>
          <cell r="V62">
            <v>44182.270729082236</v>
          </cell>
          <cell r="W62">
            <v>51362.410186136403</v>
          </cell>
          <cell r="X62">
            <v>52773.287565594357</v>
          </cell>
          <cell r="Y62">
            <v>54655.119726244011</v>
          </cell>
          <cell r="Z62">
            <v>56812.655314237985</v>
          </cell>
          <cell r="AA62">
            <v>56461.917227410195</v>
          </cell>
          <cell r="AB62">
            <v>55198.9696053281</v>
          </cell>
        </row>
      </sheetData>
      <sheetData sheetId="20">
        <row r="15">
          <cell r="D15">
            <v>20</v>
          </cell>
          <cell r="E15">
            <v>14335.445790909849</v>
          </cell>
          <cell r="F15">
            <v>13558.500419077207</v>
          </cell>
          <cell r="G15">
            <v>12996.906229006667</v>
          </cell>
          <cell r="H15">
            <v>12604.263012921368</v>
          </cell>
          <cell r="I15">
            <v>12511.193148777989</v>
          </cell>
          <cell r="J15">
            <v>12816.608839331144</v>
          </cell>
          <cell r="K15">
            <v>12721.17814554705</v>
          </cell>
          <cell r="L15">
            <v>14225.449140808261</v>
          </cell>
          <cell r="M15">
            <v>15844.111124778847</v>
          </cell>
          <cell r="N15">
            <v>16781.468303520563</v>
          </cell>
          <cell r="O15">
            <v>17748.460062128928</v>
          </cell>
          <cell r="P15">
            <v>18436.145517506298</v>
          </cell>
          <cell r="Q15">
            <v>17923.870881041803</v>
          </cell>
          <cell r="R15">
            <v>18426.715455750185</v>
          </cell>
          <cell r="S15">
            <v>19265.335166033135</v>
          </cell>
          <cell r="T15">
            <v>19344.876139474134</v>
          </cell>
          <cell r="U15">
            <v>18944.443058713576</v>
          </cell>
          <cell r="V15">
            <v>18183.152804337165</v>
          </cell>
          <cell r="W15">
            <v>19262.54231888978</v>
          </cell>
          <cell r="X15">
            <v>19321.609086049746</v>
          </cell>
          <cell r="Y15">
            <v>18864.965547576241</v>
          </cell>
          <cell r="Z15">
            <v>18136.188570012404</v>
          </cell>
          <cell r="AA15">
            <v>16934.539379977341</v>
          </cell>
          <cell r="AB15">
            <v>15585.316748501829</v>
          </cell>
        </row>
        <row r="16">
          <cell r="D16">
            <v>4</v>
          </cell>
          <cell r="E16">
            <v>14443.470910277809</v>
          </cell>
          <cell r="F16">
            <v>13676.580254012864</v>
          </cell>
          <cell r="G16">
            <v>13108.412824070036</v>
          </cell>
          <cell r="H16">
            <v>12660.140652911299</v>
          </cell>
          <cell r="I16">
            <v>12542.610476327904</v>
          </cell>
          <cell r="J16">
            <v>12597.617679179988</v>
          </cell>
          <cell r="K16">
            <v>12272.079340614857</v>
          </cell>
          <cell r="L16">
            <v>13440.17405545266</v>
          </cell>
          <cell r="M16">
            <v>14982.920682830674</v>
          </cell>
          <cell r="N16">
            <v>16003.890877490254</v>
          </cell>
          <cell r="O16">
            <v>16844.509404103002</v>
          </cell>
          <cell r="P16">
            <v>17371.421152395782</v>
          </cell>
          <cell r="Q16">
            <v>17125.200344859139</v>
          </cell>
          <cell r="R16">
            <v>16952.561223425066</v>
          </cell>
          <cell r="S16">
            <v>17049.128355634515</v>
          </cell>
          <cell r="T16">
            <v>17043.697596948889</v>
          </cell>
          <cell r="U16">
            <v>16792.186065730155</v>
          </cell>
          <cell r="V16">
            <v>16663.762647278687</v>
          </cell>
          <cell r="W16">
            <v>18376.449997040305</v>
          </cell>
          <cell r="X16">
            <v>18560.441177624536</v>
          </cell>
          <cell r="Y16">
            <v>18047.436498397023</v>
          </cell>
          <cell r="Z16">
            <v>17408.563969655101</v>
          </cell>
          <cell r="AA16">
            <v>16540.870052445531</v>
          </cell>
          <cell r="AB16">
            <v>15527.628057013881</v>
          </cell>
        </row>
        <row r="17">
          <cell r="D17">
            <v>5</v>
          </cell>
          <cell r="E17">
            <v>14604.422838890538</v>
          </cell>
          <cell r="F17">
            <v>13864.885127630645</v>
          </cell>
          <cell r="G17">
            <v>13265.134214167292</v>
          </cell>
          <cell r="H17">
            <v>12785.785732170549</v>
          </cell>
          <cell r="I17">
            <v>12542.117279194637</v>
          </cell>
          <cell r="J17">
            <v>12421.946003312723</v>
          </cell>
          <cell r="K17">
            <v>11781.380616289351</v>
          </cell>
          <cell r="L17">
            <v>12307.903704557306</v>
          </cell>
          <cell r="M17">
            <v>13187.37649419134</v>
          </cell>
          <cell r="N17">
            <v>14083.588358191995</v>
          </cell>
          <cell r="O17">
            <v>14634.766411681019</v>
          </cell>
          <cell r="P17">
            <v>15125.573726024248</v>
          </cell>
          <cell r="Q17">
            <v>15417.796171983002</v>
          </cell>
          <cell r="R17">
            <v>15483.674814846318</v>
          </cell>
          <cell r="S17">
            <v>15526.608261184625</v>
          </cell>
          <cell r="T17">
            <v>15552.416209219362</v>
          </cell>
          <cell r="U17">
            <v>15461.3594963263</v>
          </cell>
          <cell r="V17">
            <v>15477.14418043419</v>
          </cell>
          <cell r="W17">
            <v>17351.640159977964</v>
          </cell>
          <cell r="X17">
            <v>17918.30326179881</v>
          </cell>
          <cell r="Y17">
            <v>17853.259378492592</v>
          </cell>
          <cell r="Z17">
            <v>17359.953375697765</v>
          </cell>
          <cell r="AA17">
            <v>16426.717766117465</v>
          </cell>
          <cell r="AB17">
            <v>15284.988483974234</v>
          </cell>
        </row>
        <row r="18">
          <cell r="D18">
            <v>2</v>
          </cell>
          <cell r="E18">
            <v>14604.422838890538</v>
          </cell>
          <cell r="F18">
            <v>13864.885127630645</v>
          </cell>
          <cell r="G18">
            <v>13265.134214167292</v>
          </cell>
          <cell r="H18">
            <v>12785.785732170549</v>
          </cell>
          <cell r="I18">
            <v>12542.117279194637</v>
          </cell>
          <cell r="J18">
            <v>12421.946003312723</v>
          </cell>
          <cell r="K18">
            <v>11781.380616289351</v>
          </cell>
          <cell r="L18">
            <v>12307.903704557306</v>
          </cell>
          <cell r="M18">
            <v>13187.37649419134</v>
          </cell>
          <cell r="N18">
            <v>14083.588358191995</v>
          </cell>
          <cell r="O18">
            <v>14634.766411681019</v>
          </cell>
          <cell r="P18">
            <v>15125.573726024248</v>
          </cell>
          <cell r="Q18">
            <v>15417.796171983002</v>
          </cell>
          <cell r="R18">
            <v>15483.674814846318</v>
          </cell>
          <cell r="S18">
            <v>15526.608261184625</v>
          </cell>
          <cell r="T18">
            <v>15552.416209219362</v>
          </cell>
          <cell r="U18">
            <v>15461.3594963263</v>
          </cell>
          <cell r="V18">
            <v>15477.14418043419</v>
          </cell>
          <cell r="W18">
            <v>17351.640159977964</v>
          </cell>
          <cell r="X18">
            <v>17918.30326179881</v>
          </cell>
          <cell r="Y18">
            <v>17853.259378492592</v>
          </cell>
          <cell r="Z18">
            <v>17359.953375697765</v>
          </cell>
          <cell r="AA18">
            <v>16426.717766117465</v>
          </cell>
          <cell r="AB18">
            <v>15284.988483974234</v>
          </cell>
        </row>
        <row r="19">
          <cell r="D19">
            <v>21</v>
          </cell>
          <cell r="E19">
            <v>14184.037115653542</v>
          </cell>
          <cell r="F19">
            <v>13435.5588847083</v>
          </cell>
          <cell r="G19">
            <v>12900.929218842879</v>
          </cell>
          <cell r="H19">
            <v>12550.959846699941</v>
          </cell>
          <cell r="I19">
            <v>12576.655633429718</v>
          </cell>
          <cell r="J19">
            <v>13275.200376800078</v>
          </cell>
          <cell r="K19">
            <v>13239.732868255664</v>
          </cell>
          <cell r="L19">
            <v>14606.547935113735</v>
          </cell>
          <cell r="M19">
            <v>15984.775602011563</v>
          </cell>
          <cell r="N19">
            <v>16661.570581989228</v>
          </cell>
          <cell r="O19">
            <v>17470.136219657663</v>
          </cell>
          <cell r="P19">
            <v>18012.612187596707</v>
          </cell>
          <cell r="Q19">
            <v>17334.689673653251</v>
          </cell>
          <cell r="R19">
            <v>17952.921118897182</v>
          </cell>
          <cell r="S19">
            <v>18861.555236547883</v>
          </cell>
          <cell r="T19">
            <v>18978.333812431541</v>
          </cell>
          <cell r="U19">
            <v>18645.953571451249</v>
          </cell>
          <cell r="V19">
            <v>17851.877994514685</v>
          </cell>
          <cell r="W19">
            <v>18800.745618005178</v>
          </cell>
          <cell r="X19">
            <v>19105.036574411479</v>
          </cell>
          <cell r="Y19">
            <v>18726.748184642554</v>
          </cell>
          <cell r="Z19">
            <v>17911.242657813462</v>
          </cell>
          <cell r="AA19">
            <v>16582.068725562658</v>
          </cell>
          <cell r="AB19">
            <v>15245.447885989995</v>
          </cell>
        </row>
        <row r="20">
          <cell r="D20">
            <v>4</v>
          </cell>
          <cell r="E20">
            <v>14229.270026559492</v>
          </cell>
          <cell r="F20">
            <v>13536.423569265346</v>
          </cell>
          <cell r="G20">
            <v>12934.243401986061</v>
          </cell>
          <cell r="H20">
            <v>12525.771337288737</v>
          </cell>
          <cell r="I20">
            <v>12369.81315560915</v>
          </cell>
          <cell r="J20">
            <v>12493.59126672182</v>
          </cell>
          <cell r="K20">
            <v>12367.636512688559</v>
          </cell>
          <cell r="L20">
            <v>13596.724029937204</v>
          </cell>
          <cell r="M20">
            <v>15074.506467079609</v>
          </cell>
          <cell r="N20">
            <v>16002.678612634796</v>
          </cell>
          <cell r="O20">
            <v>16761.580698399946</v>
          </cell>
          <cell r="P20">
            <v>17264.232688969139</v>
          </cell>
          <cell r="Q20">
            <v>16963.090694112263</v>
          </cell>
          <cell r="R20">
            <v>16765.184760248267</v>
          </cell>
          <cell r="S20">
            <v>16853.212369599878</v>
          </cell>
          <cell r="T20">
            <v>16851.098801599157</v>
          </cell>
          <cell r="U20">
            <v>16595.267903437012</v>
          </cell>
          <cell r="V20">
            <v>16479.674042269831</v>
          </cell>
          <cell r="W20">
            <v>18051.057846395226</v>
          </cell>
          <cell r="X20">
            <v>18417.897812600044</v>
          </cell>
          <cell r="Y20">
            <v>17939.319509478137</v>
          </cell>
          <cell r="Z20">
            <v>17292.956477201322</v>
          </cell>
          <cell r="AA20">
            <v>16414.468808846785</v>
          </cell>
          <cell r="AB20">
            <v>15381.216916809115</v>
          </cell>
        </row>
        <row r="21">
          <cell r="D21">
            <v>4</v>
          </cell>
          <cell r="E21">
            <v>14450.461909103829</v>
          </cell>
          <cell r="F21">
            <v>13710.585424002251</v>
          </cell>
          <cell r="G21">
            <v>13138.231600136301</v>
          </cell>
          <cell r="H21">
            <v>12718.363209153822</v>
          </cell>
          <cell r="I21">
            <v>12452.442696099548</v>
          </cell>
          <cell r="J21">
            <v>12396.587342723011</v>
          </cell>
          <cell r="K21">
            <v>11850.280530290758</v>
          </cell>
          <cell r="L21">
            <v>12379.759177376183</v>
          </cell>
          <cell r="M21">
            <v>13246.739998789508</v>
          </cell>
          <cell r="N21">
            <v>14034.028170782238</v>
          </cell>
          <cell r="O21">
            <v>14608.192747215027</v>
          </cell>
          <cell r="P21">
            <v>15192.152914521892</v>
          </cell>
          <cell r="Q21">
            <v>15527.071389421999</v>
          </cell>
          <cell r="R21">
            <v>15629.700563630571</v>
          </cell>
          <cell r="S21">
            <v>15722.589825931947</v>
          </cell>
          <cell r="T21">
            <v>15794.415553654362</v>
          </cell>
          <cell r="U21">
            <v>15690.809974104372</v>
          </cell>
          <cell r="V21">
            <v>15654.050134079138</v>
          </cell>
          <cell r="W21">
            <v>17405.337145658574</v>
          </cell>
          <cell r="X21">
            <v>18189.346259095844</v>
          </cell>
          <cell r="Y21">
            <v>18202.805916719877</v>
          </cell>
          <cell r="Z21">
            <v>17751.310058450745</v>
          </cell>
          <cell r="AA21">
            <v>16689.205297869212</v>
          </cell>
          <cell r="AB21">
            <v>15419.846956117704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14866.450283525857</v>
          </cell>
          <cell r="F23">
            <v>14080.793712620802</v>
          </cell>
          <cell r="G23">
            <v>13488.724237304232</v>
          </cell>
          <cell r="H23">
            <v>13051.763587492074</v>
          </cell>
          <cell r="I23">
            <v>12986.084050676453</v>
          </cell>
          <cell r="J23">
            <v>13461.584917504408</v>
          </cell>
          <cell r="K23">
            <v>13369.137288766309</v>
          </cell>
          <cell r="L23">
            <v>14901.609976625034</v>
          </cell>
          <cell r="M23">
            <v>16447.207035440759</v>
          </cell>
          <cell r="N23">
            <v>17256.114516032616</v>
          </cell>
          <cell r="O23">
            <v>18173.654773646787</v>
          </cell>
          <cell r="P23">
            <v>18771.011849099246</v>
          </cell>
          <cell r="Q23">
            <v>18095.43382642826</v>
          </cell>
          <cell r="R23">
            <v>18816.567858605904</v>
          </cell>
          <cell r="S23">
            <v>19690.634346351402</v>
          </cell>
          <cell r="T23">
            <v>19784.554273380883</v>
          </cell>
          <cell r="U23">
            <v>19440.72206360507</v>
          </cell>
          <cell r="V23">
            <v>18610.288780433817</v>
          </cell>
          <cell r="W23">
            <v>19445.122655063107</v>
          </cell>
          <cell r="X23">
            <v>19688.166753241789</v>
          </cell>
          <cell r="Y23">
            <v>19334.205312706425</v>
          </cell>
          <cell r="Z23">
            <v>18583.980269409934</v>
          </cell>
          <cell r="AA23">
            <v>17410.26249865003</v>
          </cell>
          <cell r="AB23">
            <v>16089.965765000326</v>
          </cell>
        </row>
        <row r="24">
          <cell r="D24">
            <v>4</v>
          </cell>
          <cell r="E24">
            <v>14909.63570978586</v>
          </cell>
          <cell r="F24">
            <v>14099.037688958468</v>
          </cell>
          <cell r="G24">
            <v>13528.052226917056</v>
          </cell>
          <cell r="H24">
            <v>13076.190678247591</v>
          </cell>
          <cell r="I24">
            <v>12806.44980576146</v>
          </cell>
          <cell r="J24">
            <v>12765.21405633529</v>
          </cell>
          <cell r="K24">
            <v>12578.238253082533</v>
          </cell>
          <cell r="L24">
            <v>13781.544806385253</v>
          </cell>
          <cell r="M24">
            <v>15232.0493807563</v>
          </cell>
          <cell r="N24">
            <v>16140.387391418155</v>
          </cell>
          <cell r="O24">
            <v>16863.953554506821</v>
          </cell>
          <cell r="P24">
            <v>17326.524215291851</v>
          </cell>
          <cell r="Q24">
            <v>17080.812339831959</v>
          </cell>
          <cell r="R24">
            <v>16902.856203419629</v>
          </cell>
          <cell r="S24">
            <v>16801.207132313379</v>
          </cell>
          <cell r="T24">
            <v>17216.149918854931</v>
          </cell>
          <cell r="U24">
            <v>16632.564995360153</v>
          </cell>
          <cell r="V24">
            <v>16497.528282421299</v>
          </cell>
          <cell r="W24">
            <v>18224.773139709665</v>
          </cell>
          <cell r="X24">
            <v>18496.628786071931</v>
          </cell>
          <cell r="Y24">
            <v>18047.451620575033</v>
          </cell>
          <cell r="Z24">
            <v>17469.412629230264</v>
          </cell>
          <cell r="AA24">
            <v>16702.74181892251</v>
          </cell>
          <cell r="AB24">
            <v>15728.322487517687</v>
          </cell>
        </row>
        <row r="25">
          <cell r="D25">
            <v>4</v>
          </cell>
          <cell r="E25">
            <v>14790.216592666518</v>
          </cell>
          <cell r="F25">
            <v>14033.056221345831</v>
          </cell>
          <cell r="G25">
            <v>13357.208094323894</v>
          </cell>
          <cell r="H25">
            <v>12883.0477191713</v>
          </cell>
          <cell r="I25">
            <v>12663.171888390938</v>
          </cell>
          <cell r="J25">
            <v>12519.932518466592</v>
          </cell>
          <cell r="K25">
            <v>11908.294636572897</v>
          </cell>
          <cell r="L25">
            <v>12480.968454978523</v>
          </cell>
          <cell r="M25">
            <v>13310.715627485108</v>
          </cell>
          <cell r="N25">
            <v>14069.400582969318</v>
          </cell>
          <cell r="O25">
            <v>14644.553851514464</v>
          </cell>
          <cell r="P25">
            <v>15188.308918457527</v>
          </cell>
          <cell r="Q25">
            <v>15461.449697474451</v>
          </cell>
          <cell r="R25">
            <v>15531.240502119615</v>
          </cell>
          <cell r="S25">
            <v>15611.113641761185</v>
          </cell>
          <cell r="T25">
            <v>15722.411116866651</v>
          </cell>
          <cell r="U25">
            <v>15528.126434702403</v>
          </cell>
          <cell r="V25">
            <v>15565.482176778052</v>
          </cell>
          <cell r="W25">
            <v>17241.456317268377</v>
          </cell>
          <cell r="X25">
            <v>17861.250141869576</v>
          </cell>
          <cell r="Y25">
            <v>17829.155908414537</v>
          </cell>
          <cell r="Z25">
            <v>17483.743459028752</v>
          </cell>
          <cell r="AA25">
            <v>16554.410810479338</v>
          </cell>
          <cell r="AB25">
            <v>15335.001007091745</v>
          </cell>
        </row>
        <row r="26">
          <cell r="D26">
            <v>1</v>
          </cell>
          <cell r="E26">
            <v>14790.216592666518</v>
          </cell>
          <cell r="F26">
            <v>14033.056221345831</v>
          </cell>
          <cell r="G26">
            <v>13357.208094323894</v>
          </cell>
          <cell r="H26">
            <v>12883.0477191713</v>
          </cell>
          <cell r="I26">
            <v>12663.171888390938</v>
          </cell>
          <cell r="J26">
            <v>12519.932518466592</v>
          </cell>
          <cell r="K26">
            <v>11908.294636572897</v>
          </cell>
          <cell r="L26">
            <v>12480.968454978523</v>
          </cell>
          <cell r="M26">
            <v>13310.715627485108</v>
          </cell>
          <cell r="N26">
            <v>14069.400582969318</v>
          </cell>
          <cell r="O26">
            <v>14644.553851514464</v>
          </cell>
          <cell r="P26">
            <v>15188.308918457527</v>
          </cell>
          <cell r="Q26">
            <v>15461.449697474451</v>
          </cell>
          <cell r="R26">
            <v>15531.240502119615</v>
          </cell>
          <cell r="S26">
            <v>15611.113641761185</v>
          </cell>
          <cell r="T26">
            <v>15722.411116866651</v>
          </cell>
          <cell r="U26">
            <v>15528.126434702403</v>
          </cell>
          <cell r="V26">
            <v>15565.482176778052</v>
          </cell>
          <cell r="W26">
            <v>17241.456317268377</v>
          </cell>
          <cell r="X26">
            <v>17861.250141869576</v>
          </cell>
          <cell r="Y26">
            <v>17829.155908414537</v>
          </cell>
          <cell r="Z26">
            <v>17483.743459028752</v>
          </cell>
          <cell r="AA26">
            <v>16554.410810479338</v>
          </cell>
          <cell r="AB26">
            <v>15335.001007091745</v>
          </cell>
        </row>
        <row r="27">
          <cell r="D27">
            <v>18</v>
          </cell>
          <cell r="E27">
            <v>14600.060866197573</v>
          </cell>
          <cell r="F27">
            <v>13970.590025057365</v>
          </cell>
          <cell r="G27">
            <v>13353.605100886856</v>
          </cell>
          <cell r="H27">
            <v>13008.754847604907</v>
          </cell>
          <cell r="I27">
            <v>12926.355353891313</v>
          </cell>
          <cell r="J27">
            <v>12792.166710699192</v>
          </cell>
          <cell r="K27">
            <v>12836.576367317981</v>
          </cell>
          <cell r="L27">
            <v>14279.484593705887</v>
          </cell>
          <cell r="M27">
            <v>15917.264912193243</v>
          </cell>
          <cell r="N27">
            <v>16885.000563277354</v>
          </cell>
          <cell r="O27">
            <v>17689.504139871809</v>
          </cell>
          <cell r="P27">
            <v>18196.376998667602</v>
          </cell>
          <cell r="Q27">
            <v>17858.209243992445</v>
          </cell>
          <cell r="R27">
            <v>17644.048061402726</v>
          </cell>
          <cell r="S27">
            <v>17766.454939346295</v>
          </cell>
          <cell r="T27">
            <v>17763.819845855149</v>
          </cell>
          <cell r="U27">
            <v>17484.450549263136</v>
          </cell>
          <cell r="V27">
            <v>17383.477139281447</v>
          </cell>
          <cell r="W27">
            <v>19146.99270157301</v>
          </cell>
          <cell r="X27">
            <v>19299.340843624665</v>
          </cell>
          <cell r="Y27">
            <v>18826.706020244543</v>
          </cell>
          <cell r="Z27">
            <v>18172.668744163577</v>
          </cell>
          <cell r="AA27">
            <v>17278.824647497495</v>
          </cell>
          <cell r="AB27">
            <v>16196.075496817848</v>
          </cell>
        </row>
        <row r="28">
          <cell r="D28">
            <v>5</v>
          </cell>
          <cell r="E28">
            <v>14096.15597395899</v>
          </cell>
          <cell r="F28">
            <v>13401.423037653123</v>
          </cell>
          <cell r="G28">
            <v>12873.698234406649</v>
          </cell>
          <cell r="H28">
            <v>12484.572196867513</v>
          </cell>
          <cell r="I28">
            <v>12496.231500144086</v>
          </cell>
          <cell r="J28">
            <v>12650.347767726293</v>
          </cell>
          <cell r="K28">
            <v>12934.579843593143</v>
          </cell>
          <cell r="L28">
            <v>14342.030485103714</v>
          </cell>
          <cell r="M28">
            <v>15788.311453655067</v>
          </cell>
          <cell r="N28">
            <v>16630.79413114204</v>
          </cell>
          <cell r="O28">
            <v>17386.354538468506</v>
          </cell>
          <cell r="P28">
            <v>17907.938972837994</v>
          </cell>
          <cell r="Q28">
            <v>17418.022428644766</v>
          </cell>
          <cell r="R28">
            <v>17761.748802417365</v>
          </cell>
          <cell r="S28">
            <v>18353.632559507027</v>
          </cell>
          <cell r="T28">
            <v>18393.080479081014</v>
          </cell>
          <cell r="U28">
            <v>18103.415653967117</v>
          </cell>
          <cell r="V28">
            <v>17708.016312586838</v>
          </cell>
          <cell r="W28">
            <v>18928.334606394044</v>
          </cell>
          <cell r="X28">
            <v>19091.974259446844</v>
          </cell>
          <cell r="Y28">
            <v>18594.697824621304</v>
          </cell>
          <cell r="Z28">
            <v>17779.202071581112</v>
          </cell>
          <cell r="AA28">
            <v>16498.743571467232</v>
          </cell>
          <cell r="AB28">
            <v>15084.733715276272</v>
          </cell>
        </row>
        <row r="29">
          <cell r="D29">
            <v>5</v>
          </cell>
          <cell r="E29">
            <v>15191.449252604516</v>
          </cell>
          <cell r="F29">
            <v>14422.19935616279</v>
          </cell>
          <cell r="G29">
            <v>13784.959942191694</v>
          </cell>
          <cell r="H29">
            <v>13350.267573466925</v>
          </cell>
          <cell r="I29">
            <v>13095.581378547271</v>
          </cell>
          <cell r="J29">
            <v>12707.220589801362</v>
          </cell>
          <cell r="K29">
            <v>12318.110127836564</v>
          </cell>
          <cell r="L29">
            <v>13008.154908620698</v>
          </cell>
          <cell r="M29">
            <v>13920.117563428228</v>
          </cell>
          <cell r="N29">
            <v>14742.439657097342</v>
          </cell>
          <cell r="O29">
            <v>15392.560796029396</v>
          </cell>
          <cell r="P29">
            <v>15923.049005392028</v>
          </cell>
          <cell r="Q29">
            <v>16167.273844795982</v>
          </cell>
          <cell r="R29">
            <v>16212.409698137964</v>
          </cell>
          <cell r="S29">
            <v>16123.467705895504</v>
          </cell>
          <cell r="T29">
            <v>16051.766050446815</v>
          </cell>
          <cell r="U29">
            <v>15887.970969508831</v>
          </cell>
          <cell r="V29">
            <v>16039.750379137608</v>
          </cell>
          <cell r="W29">
            <v>17921.368604298226</v>
          </cell>
          <cell r="X29">
            <v>18460.171787613857</v>
          </cell>
          <cell r="Y29">
            <v>18335.479816373932</v>
          </cell>
          <cell r="Z29">
            <v>17772.703838529749</v>
          </cell>
          <cell r="AA29">
            <v>16688.813501120887</v>
          </cell>
          <cell r="AB29">
            <v>15395.220797509863</v>
          </cell>
        </row>
        <row r="30">
          <cell r="D30">
            <v>2</v>
          </cell>
          <cell r="E30">
            <v>15191.449252604516</v>
          </cell>
          <cell r="F30">
            <v>14422.19935616279</v>
          </cell>
          <cell r="G30">
            <v>13784.959942191694</v>
          </cell>
          <cell r="H30">
            <v>13350.267573466925</v>
          </cell>
          <cell r="I30">
            <v>13095.581378547271</v>
          </cell>
          <cell r="J30">
            <v>12707.220589801362</v>
          </cell>
          <cell r="K30">
            <v>12318.110127836564</v>
          </cell>
          <cell r="L30">
            <v>13008.154908620698</v>
          </cell>
          <cell r="M30">
            <v>13920.117563428228</v>
          </cell>
          <cell r="N30">
            <v>14742.439657097342</v>
          </cell>
          <cell r="O30">
            <v>15392.560796029396</v>
          </cell>
          <cell r="P30">
            <v>15923.049005392028</v>
          </cell>
          <cell r="Q30">
            <v>16167.273844795982</v>
          </cell>
          <cell r="R30">
            <v>16212.409698137964</v>
          </cell>
          <cell r="S30">
            <v>16123.467705895504</v>
          </cell>
          <cell r="T30">
            <v>16051.766050446815</v>
          </cell>
          <cell r="U30">
            <v>15887.970969508831</v>
          </cell>
          <cell r="V30">
            <v>16039.750379137608</v>
          </cell>
          <cell r="W30">
            <v>17921.368604298226</v>
          </cell>
          <cell r="X30">
            <v>18460.171787613857</v>
          </cell>
          <cell r="Y30">
            <v>18335.479816373932</v>
          </cell>
          <cell r="Z30">
            <v>17772.703838529749</v>
          </cell>
          <cell r="AA30">
            <v>16688.813501120887</v>
          </cell>
          <cell r="AB30">
            <v>15395.220797509863</v>
          </cell>
        </row>
        <row r="31">
          <cell r="D31">
            <v>21</v>
          </cell>
          <cell r="E31">
            <v>14830.980944078399</v>
          </cell>
          <cell r="F31">
            <v>14059.258218544366</v>
          </cell>
          <cell r="G31">
            <v>13436.52896354869</v>
          </cell>
          <cell r="H31">
            <v>12903.954833795811</v>
          </cell>
          <cell r="I31">
            <v>12760.397798675938</v>
          </cell>
          <cell r="J31">
            <v>12558.293467208321</v>
          </cell>
          <cell r="K31">
            <v>12743.90208215456</v>
          </cell>
          <cell r="L31">
            <v>14114.63552727209</v>
          </cell>
          <cell r="M31">
            <v>15712.19553119038</v>
          </cell>
          <cell r="N31">
            <v>16593.582055721563</v>
          </cell>
          <cell r="O31">
            <v>17153.020249395668</v>
          </cell>
          <cell r="P31">
            <v>17564.121750316175</v>
          </cell>
          <cell r="Q31">
            <v>17262.376066214321</v>
          </cell>
          <cell r="R31">
            <v>16951.874599295665</v>
          </cell>
          <cell r="S31">
            <v>16940.462180732473</v>
          </cell>
          <cell r="T31">
            <v>16844.988718500535</v>
          </cell>
          <cell r="U31">
            <v>16616.121198853427</v>
          </cell>
          <cell r="V31">
            <v>16718.020605035013</v>
          </cell>
          <cell r="W31">
            <v>18532.49124154311</v>
          </cell>
          <cell r="X31">
            <v>18704.973273959047</v>
          </cell>
          <cell r="Y31">
            <v>18102.663468962655</v>
          </cell>
          <cell r="Z31">
            <v>17355.551674570386</v>
          </cell>
          <cell r="AA31">
            <v>16373.060447871761</v>
          </cell>
          <cell r="AB31">
            <v>15272.569062457516</v>
          </cell>
        </row>
        <row r="32">
          <cell r="D32">
            <v>4</v>
          </cell>
          <cell r="E32">
            <v>13672.597052496885</v>
          </cell>
          <cell r="F32">
            <v>12996.253156074279</v>
          </cell>
          <cell r="G32">
            <v>12501.231316500967</v>
          </cell>
          <cell r="H32">
            <v>12160.263880051716</v>
          </cell>
          <cell r="I32">
            <v>12116.512425782243</v>
          </cell>
          <cell r="J32">
            <v>12101.280777343125</v>
          </cell>
          <cell r="K32">
            <v>12285.598327523663</v>
          </cell>
          <cell r="L32">
            <v>13725.374680954399</v>
          </cell>
          <cell r="M32">
            <v>15133.188003236983</v>
          </cell>
          <cell r="N32">
            <v>15946.122169493075</v>
          </cell>
          <cell r="O32">
            <v>16740.274266440774</v>
          </cell>
          <cell r="P32">
            <v>17312.292615492479</v>
          </cell>
          <cell r="Q32">
            <v>16934.615883943061</v>
          </cell>
          <cell r="R32">
            <v>17115.140950068431</v>
          </cell>
          <cell r="S32">
            <v>17565.637732768679</v>
          </cell>
          <cell r="T32">
            <v>17543.638832059678</v>
          </cell>
          <cell r="U32">
            <v>17290.9348811909</v>
          </cell>
          <cell r="V32">
            <v>16955.059281679412</v>
          </cell>
          <cell r="W32">
            <v>18190.053286677223</v>
          </cell>
          <cell r="X32">
            <v>18532.809528388469</v>
          </cell>
          <cell r="Y32">
            <v>18028.070523032682</v>
          </cell>
          <cell r="Z32">
            <v>17199.314872293133</v>
          </cell>
          <cell r="AA32">
            <v>15953.493711356903</v>
          </cell>
          <cell r="AB32">
            <v>14654.22764654023</v>
          </cell>
        </row>
        <row r="33">
          <cell r="D33">
            <v>4</v>
          </cell>
          <cell r="E33">
            <v>13662.525938774686</v>
          </cell>
          <cell r="F33">
            <v>13127.503871725312</v>
          </cell>
          <cell r="G33">
            <v>12578.809885280722</v>
          </cell>
          <cell r="H33">
            <v>12287.063925172406</v>
          </cell>
          <cell r="I33">
            <v>12193.483077107803</v>
          </cell>
          <cell r="J33">
            <v>11890.866272361065</v>
          </cell>
          <cell r="K33">
            <v>11841.421238780915</v>
          </cell>
          <cell r="L33">
            <v>12758.991037973447</v>
          </cell>
          <cell r="M33">
            <v>13822.909394963797</v>
          </cell>
          <cell r="N33">
            <v>14650.160815202387</v>
          </cell>
          <cell r="O33">
            <v>15279.070554667114</v>
          </cell>
          <cell r="P33">
            <v>16060.457813064339</v>
          </cell>
          <cell r="Q33">
            <v>16498.198325139369</v>
          </cell>
          <cell r="R33">
            <v>16581.147709450514</v>
          </cell>
          <cell r="S33">
            <v>16600.252156595601</v>
          </cell>
          <cell r="T33">
            <v>16632.787405509327</v>
          </cell>
          <cell r="U33">
            <v>16463.08922516257</v>
          </cell>
          <cell r="V33">
            <v>16467.380713675971</v>
          </cell>
          <cell r="W33">
            <v>18405.272603100631</v>
          </cell>
          <cell r="X33">
            <v>19103.848837601483</v>
          </cell>
          <cell r="Y33">
            <v>18987.533752431042</v>
          </cell>
          <cell r="Z33">
            <v>18347.75808909578</v>
          </cell>
          <cell r="AA33">
            <v>17174.38506574358</v>
          </cell>
          <cell r="AB33">
            <v>15803.216277396305</v>
          </cell>
        </row>
        <row r="34">
          <cell r="D34">
            <v>2</v>
          </cell>
          <cell r="E34">
            <v>13662.525938774686</v>
          </cell>
          <cell r="F34">
            <v>13127.503871725312</v>
          </cell>
          <cell r="G34">
            <v>12578.809885280722</v>
          </cell>
          <cell r="H34">
            <v>12287.063925172406</v>
          </cell>
          <cell r="I34">
            <v>12193.483077107803</v>
          </cell>
          <cell r="J34">
            <v>11890.866272361065</v>
          </cell>
          <cell r="K34">
            <v>11841.421238780915</v>
          </cell>
          <cell r="L34">
            <v>12758.991037973447</v>
          </cell>
          <cell r="M34">
            <v>13822.909394963797</v>
          </cell>
          <cell r="N34">
            <v>14650.160815202387</v>
          </cell>
          <cell r="O34">
            <v>15279.070554667114</v>
          </cell>
          <cell r="P34">
            <v>16060.457813064339</v>
          </cell>
          <cell r="Q34">
            <v>16498.198325139369</v>
          </cell>
          <cell r="R34">
            <v>16581.147709450514</v>
          </cell>
          <cell r="S34">
            <v>16600.252156595601</v>
          </cell>
          <cell r="T34">
            <v>16632.787405509327</v>
          </cell>
          <cell r="U34">
            <v>16463.08922516257</v>
          </cell>
          <cell r="V34">
            <v>16467.380713675971</v>
          </cell>
          <cell r="W34">
            <v>18405.272603100631</v>
          </cell>
          <cell r="X34">
            <v>19103.848837601483</v>
          </cell>
          <cell r="Y34">
            <v>18987.533752431042</v>
          </cell>
          <cell r="Z34">
            <v>18347.75808909578</v>
          </cell>
          <cell r="AA34">
            <v>17174.38506574358</v>
          </cell>
          <cell r="AB34">
            <v>15803.216277396305</v>
          </cell>
        </row>
        <row r="35">
          <cell r="D35">
            <v>20</v>
          </cell>
          <cell r="E35">
            <v>13392.915069239039</v>
          </cell>
          <cell r="F35">
            <v>12728.023258069054</v>
          </cell>
          <cell r="G35">
            <v>12236.774020295437</v>
          </cell>
          <cell r="H35">
            <v>11908.959044298468</v>
          </cell>
          <cell r="I35">
            <v>11821.392437654704</v>
          </cell>
          <cell r="J35">
            <v>11695.795950329408</v>
          </cell>
          <cell r="K35">
            <v>11890.950901827686</v>
          </cell>
          <cell r="L35">
            <v>13323.268272532327</v>
          </cell>
          <cell r="M35">
            <v>14898.196134645719</v>
          </cell>
          <cell r="N35">
            <v>15866.568784763742</v>
          </cell>
          <cell r="O35">
            <v>16708.072868240404</v>
          </cell>
          <cell r="P35">
            <v>17171.19421153318</v>
          </cell>
          <cell r="Q35">
            <v>16917.695053816897</v>
          </cell>
          <cell r="R35">
            <v>16627.217604014721</v>
          </cell>
          <cell r="S35">
            <v>16641.243402500208</v>
          </cell>
          <cell r="T35">
            <v>16593.393510025911</v>
          </cell>
          <cell r="U35">
            <v>16425.283073783739</v>
          </cell>
          <cell r="V35">
            <v>16442.826845993655</v>
          </cell>
          <cell r="W35">
            <v>17859.353811221514</v>
          </cell>
          <cell r="X35">
            <v>18114.296490575111</v>
          </cell>
          <cell r="Y35">
            <v>17483.151340504475</v>
          </cell>
          <cell r="Z35">
            <v>16762.814855566852</v>
          </cell>
          <cell r="AA35">
            <v>15873.796270752953</v>
          </cell>
          <cell r="AB35">
            <v>14869.296182029453</v>
          </cell>
        </row>
        <row r="36">
          <cell r="D36">
            <v>4</v>
          </cell>
          <cell r="E36">
            <v>13792.155381140583</v>
          </cell>
          <cell r="F36">
            <v>13113.428214933523</v>
          </cell>
          <cell r="G36">
            <v>12597.679096662872</v>
          </cell>
          <cell r="H36">
            <v>12239.816599589225</v>
          </cell>
          <cell r="I36">
            <v>12197.703831564089</v>
          </cell>
          <cell r="J36">
            <v>12334.599133325262</v>
          </cell>
          <cell r="K36">
            <v>12418.314371178149</v>
          </cell>
          <cell r="L36">
            <v>13815.345528006124</v>
          </cell>
          <cell r="M36">
            <v>15291.227956433828</v>
          </cell>
          <cell r="N36">
            <v>16145.240099557252</v>
          </cell>
          <cell r="O36">
            <v>16951.101855511035</v>
          </cell>
          <cell r="P36">
            <v>17477.019360326751</v>
          </cell>
          <cell r="Q36">
            <v>17031.98472411132</v>
          </cell>
          <cell r="R36">
            <v>17441.683490073428</v>
          </cell>
          <cell r="S36">
            <v>18033.920532345957</v>
          </cell>
          <cell r="T36">
            <v>18057.606254099079</v>
          </cell>
          <cell r="U36">
            <v>17721.509661731965</v>
          </cell>
          <cell r="V36">
            <v>17139.038312494111</v>
          </cell>
          <cell r="W36">
            <v>18146.560371540199</v>
          </cell>
          <cell r="X36">
            <v>18677.534490891456</v>
          </cell>
          <cell r="Y36">
            <v>18251.603568883558</v>
          </cell>
          <cell r="Z36">
            <v>17478.046439372847</v>
          </cell>
          <cell r="AA36">
            <v>16216.96838404214</v>
          </cell>
          <cell r="AB36">
            <v>14897.304759100731</v>
          </cell>
        </row>
        <row r="37">
          <cell r="D37">
            <v>4</v>
          </cell>
          <cell r="E37">
            <v>13128.201710336756</v>
          </cell>
          <cell r="F37">
            <v>12597.59113221189</v>
          </cell>
          <cell r="G37">
            <v>12164.014069464571</v>
          </cell>
          <cell r="H37">
            <v>11883.095891527524</v>
          </cell>
          <cell r="I37">
            <v>11771.041587742455</v>
          </cell>
          <cell r="J37">
            <v>11441.422720619665</v>
          </cell>
          <cell r="K37">
            <v>11290.881034938851</v>
          </cell>
          <cell r="L37">
            <v>12210.680442232453</v>
          </cell>
          <cell r="M37">
            <v>13274.322227812663</v>
          </cell>
          <cell r="N37">
            <v>13937.090992648193</v>
          </cell>
          <cell r="O37">
            <v>14723.056960615226</v>
          </cell>
          <cell r="P37">
            <v>15304.70171687117</v>
          </cell>
          <cell r="Q37">
            <v>15601.353133921592</v>
          </cell>
          <cell r="R37">
            <v>15539.513264188514</v>
          </cell>
          <cell r="S37">
            <v>15410.254553159231</v>
          </cell>
          <cell r="T37">
            <v>15291.421181562289</v>
          </cell>
          <cell r="U37">
            <v>15174.479920086927</v>
          </cell>
          <cell r="V37">
            <v>15403.388344962214</v>
          </cell>
          <cell r="W37">
            <v>17262.884971075637</v>
          </cell>
          <cell r="X37">
            <v>17948.898362685457</v>
          </cell>
          <cell r="Y37">
            <v>17721.136387372291</v>
          </cell>
          <cell r="Z37">
            <v>17066.382834900025</v>
          </cell>
          <cell r="AA37">
            <v>15913.04208622879</v>
          </cell>
          <cell r="AB37">
            <v>14590.486914950703</v>
          </cell>
        </row>
        <row r="38">
          <cell r="D38">
            <v>2</v>
          </cell>
          <cell r="E38">
            <v>13128.201710336756</v>
          </cell>
          <cell r="F38">
            <v>12597.59113221189</v>
          </cell>
          <cell r="G38">
            <v>12164.014069464571</v>
          </cell>
          <cell r="H38">
            <v>11883.095891527524</v>
          </cell>
          <cell r="I38">
            <v>11771.041587742455</v>
          </cell>
          <cell r="J38">
            <v>11441.422720619665</v>
          </cell>
          <cell r="K38">
            <v>11290.881034938851</v>
          </cell>
          <cell r="L38">
            <v>12210.680442232453</v>
          </cell>
          <cell r="M38">
            <v>13274.322227812663</v>
          </cell>
          <cell r="N38">
            <v>13937.090992648193</v>
          </cell>
          <cell r="O38">
            <v>14723.056960615226</v>
          </cell>
          <cell r="P38">
            <v>15304.70171687117</v>
          </cell>
          <cell r="Q38">
            <v>15601.353133921592</v>
          </cell>
          <cell r="R38">
            <v>15539.513264188514</v>
          </cell>
          <cell r="S38">
            <v>15410.254553159231</v>
          </cell>
          <cell r="T38">
            <v>15291.421181562289</v>
          </cell>
          <cell r="U38">
            <v>15174.479920086927</v>
          </cell>
          <cell r="V38">
            <v>15403.388344962214</v>
          </cell>
          <cell r="W38">
            <v>17262.884971075637</v>
          </cell>
          <cell r="X38">
            <v>17948.898362685457</v>
          </cell>
          <cell r="Y38">
            <v>17721.136387372291</v>
          </cell>
          <cell r="Z38">
            <v>17066.382834900025</v>
          </cell>
          <cell r="AA38">
            <v>15913.04208622879</v>
          </cell>
          <cell r="AB38">
            <v>14590.486914950703</v>
          </cell>
        </row>
        <row r="39">
          <cell r="D39">
            <v>19</v>
          </cell>
          <cell r="E39">
            <v>13794.228154312479</v>
          </cell>
          <cell r="F39">
            <v>13130.377611541255</v>
          </cell>
          <cell r="G39">
            <v>12692.759546678417</v>
          </cell>
          <cell r="H39">
            <v>12368.797370170263</v>
          </cell>
          <cell r="I39">
            <v>12318.550037043073</v>
          </cell>
          <cell r="J39">
            <v>12261.132577506969</v>
          </cell>
          <cell r="K39">
            <v>12374.003575678347</v>
          </cell>
          <cell r="L39">
            <v>13817.47287156815</v>
          </cell>
          <cell r="M39">
            <v>15496.801168880045</v>
          </cell>
          <cell r="N39">
            <v>16448.22011609728</v>
          </cell>
          <cell r="O39">
            <v>17303.999147294264</v>
          </cell>
          <cell r="P39">
            <v>17693.378878757027</v>
          </cell>
          <cell r="Q39">
            <v>17462.564317674369</v>
          </cell>
          <cell r="R39">
            <v>17220.397073066233</v>
          </cell>
          <cell r="S39">
            <v>17248.621005987909</v>
          </cell>
          <cell r="T39">
            <v>17295.847459362598</v>
          </cell>
          <cell r="U39">
            <v>17054.012521500441</v>
          </cell>
          <cell r="V39">
            <v>17015.699707899901</v>
          </cell>
          <cell r="W39">
            <v>18456.923439956514</v>
          </cell>
          <cell r="X39">
            <v>18947.383064560014</v>
          </cell>
          <cell r="Y39">
            <v>18344.0293039805</v>
          </cell>
          <cell r="Z39">
            <v>17530.685804350655</v>
          </cell>
          <cell r="AA39">
            <v>16495.854074083014</v>
          </cell>
          <cell r="AB39">
            <v>15393.391737632386</v>
          </cell>
        </row>
        <row r="40">
          <cell r="D40">
            <v>5</v>
          </cell>
          <cell r="E40">
            <v>14672.156595382976</v>
          </cell>
          <cell r="F40">
            <v>13903.715937027035</v>
          </cell>
          <cell r="G40">
            <v>13340.494840152522</v>
          </cell>
          <cell r="H40">
            <v>12943.114936059452</v>
          </cell>
          <cell r="I40">
            <v>12915.715168393259</v>
          </cell>
          <cell r="J40">
            <v>13152.304265353394</v>
          </cell>
          <cell r="K40">
            <v>13229.442450262395</v>
          </cell>
          <cell r="L40">
            <v>14671.945517607321</v>
          </cell>
          <cell r="M40">
            <v>16224.618347380861</v>
          </cell>
          <cell r="N40">
            <v>17107.053454993773</v>
          </cell>
          <cell r="O40">
            <v>17998.88707322186</v>
          </cell>
          <cell r="P40">
            <v>18642.464639609479</v>
          </cell>
          <cell r="Q40">
            <v>18155.460050311362</v>
          </cell>
          <cell r="R40">
            <v>18519.377419187589</v>
          </cell>
          <cell r="S40">
            <v>19130.916429097273</v>
          </cell>
          <cell r="T40">
            <v>19131.093591586981</v>
          </cell>
          <cell r="U40">
            <v>18766.068715863192</v>
          </cell>
          <cell r="V40">
            <v>18227.580625983635</v>
          </cell>
          <cell r="W40">
            <v>19480.255263086903</v>
          </cell>
          <cell r="X40">
            <v>19881.661280308184</v>
          </cell>
          <cell r="Y40">
            <v>19461.401047210962</v>
          </cell>
          <cell r="Z40">
            <v>18633.799139278028</v>
          </cell>
          <cell r="AA40">
            <v>17273.384054809867</v>
          </cell>
          <cell r="AB40">
            <v>15808.917008178734</v>
          </cell>
        </row>
        <row r="41">
          <cell r="D41">
            <v>5</v>
          </cell>
          <cell r="E41">
            <v>13839.00319717821</v>
          </cell>
          <cell r="F41">
            <v>13283.105572577213</v>
          </cell>
          <cell r="G41">
            <v>12812.549945220495</v>
          </cell>
          <cell r="H41">
            <v>12381.791242114583</v>
          </cell>
          <cell r="I41">
            <v>12237.168693401007</v>
          </cell>
          <cell r="J41">
            <v>12046.474187978798</v>
          </cell>
          <cell r="K41">
            <v>11816.884833491029</v>
          </cell>
          <cell r="L41">
            <v>12698.02050500869</v>
          </cell>
          <cell r="M41">
            <v>13849.504369600119</v>
          </cell>
          <cell r="N41">
            <v>14778.69446886372</v>
          </cell>
          <cell r="O41">
            <v>15445.113507413947</v>
          </cell>
          <cell r="P41">
            <v>15782.870203692542</v>
          </cell>
          <cell r="Q41">
            <v>16362.384545597963</v>
          </cell>
          <cell r="R41">
            <v>16400.450921632684</v>
          </cell>
          <cell r="S41">
            <v>16371.333191274833</v>
          </cell>
          <cell r="T41">
            <v>16418.280295551249</v>
          </cell>
          <cell r="U41">
            <v>16290.05487070257</v>
          </cell>
          <cell r="V41">
            <v>16142.498109271983</v>
          </cell>
          <cell r="W41">
            <v>17839.764089363824</v>
          </cell>
          <cell r="X41">
            <v>18818.37055542587</v>
          </cell>
          <cell r="Y41">
            <v>18563.897988025325</v>
          </cell>
          <cell r="Z41">
            <v>17928.028929886623</v>
          </cell>
          <cell r="AA41">
            <v>16852.584468290748</v>
          </cell>
          <cell r="AB41">
            <v>15655.156403575797</v>
          </cell>
        </row>
        <row r="42">
          <cell r="D42">
            <v>2</v>
          </cell>
          <cell r="E42">
            <v>13839.00319717821</v>
          </cell>
          <cell r="F42">
            <v>13283.105572577213</v>
          </cell>
          <cell r="G42">
            <v>12812.549945220495</v>
          </cell>
          <cell r="H42">
            <v>12381.791242114583</v>
          </cell>
          <cell r="I42">
            <v>12237.168693401007</v>
          </cell>
          <cell r="J42">
            <v>12046.474187978798</v>
          </cell>
          <cell r="K42">
            <v>11816.884833491029</v>
          </cell>
          <cell r="L42">
            <v>12698.02050500869</v>
          </cell>
          <cell r="M42">
            <v>13849.504369600119</v>
          </cell>
          <cell r="N42">
            <v>14778.69446886372</v>
          </cell>
          <cell r="O42">
            <v>15445.113507413947</v>
          </cell>
          <cell r="P42">
            <v>15782.870203692542</v>
          </cell>
          <cell r="Q42">
            <v>16362.384545597963</v>
          </cell>
          <cell r="R42">
            <v>16400.450921632684</v>
          </cell>
          <cell r="S42">
            <v>16371.333191274833</v>
          </cell>
          <cell r="T42">
            <v>16418.280295551249</v>
          </cell>
          <cell r="U42">
            <v>16290.05487070257</v>
          </cell>
          <cell r="V42">
            <v>16142.498109271983</v>
          </cell>
          <cell r="W42">
            <v>17839.764089363824</v>
          </cell>
          <cell r="X42">
            <v>18818.37055542587</v>
          </cell>
          <cell r="Y42">
            <v>18563.897988025325</v>
          </cell>
          <cell r="Z42">
            <v>17928.028929886623</v>
          </cell>
          <cell r="AA42">
            <v>16852.584468290748</v>
          </cell>
          <cell r="AB42">
            <v>15655.156403575797</v>
          </cell>
        </row>
        <row r="43">
          <cell r="D43">
            <v>21</v>
          </cell>
          <cell r="E43">
            <v>14268.243564001901</v>
          </cell>
          <cell r="F43">
            <v>13499.381317600146</v>
          </cell>
          <cell r="G43">
            <v>12925.722708000501</v>
          </cell>
          <cell r="H43">
            <v>12541.551362463906</v>
          </cell>
          <cell r="I43">
            <v>12400.436296884018</v>
          </cell>
          <cell r="J43">
            <v>12364.887381254668</v>
          </cell>
          <cell r="K43">
            <v>12405.496244045378</v>
          </cell>
          <cell r="L43">
            <v>13836.946906802512</v>
          </cell>
          <cell r="M43">
            <v>15448.682119365714</v>
          </cell>
          <cell r="N43">
            <v>16439.24314083772</v>
          </cell>
          <cell r="O43">
            <v>17261.892177375026</v>
          </cell>
          <cell r="P43">
            <v>17786.683511217587</v>
          </cell>
          <cell r="Q43">
            <v>17491.551376699666</v>
          </cell>
          <cell r="R43">
            <v>17242.286519741087</v>
          </cell>
          <cell r="S43">
            <v>17216.32357805036</v>
          </cell>
          <cell r="T43">
            <v>17075.837127300652</v>
          </cell>
          <cell r="U43">
            <v>16733.540493248442</v>
          </cell>
          <cell r="V43">
            <v>16711.349585300108</v>
          </cell>
          <cell r="W43">
            <v>18226.431073127522</v>
          </cell>
          <cell r="X43">
            <v>18460.361865365805</v>
          </cell>
          <cell r="Y43">
            <v>17919.372609823342</v>
          </cell>
          <cell r="Z43">
            <v>17173.505369718496</v>
          </cell>
          <cell r="AA43">
            <v>16121.307802244384</v>
          </cell>
          <cell r="AB43">
            <v>15000.796696035439</v>
          </cell>
        </row>
        <row r="44">
          <cell r="D44">
            <v>4</v>
          </cell>
          <cell r="E44">
            <v>14079.736877783016</v>
          </cell>
          <cell r="F44">
            <v>13380.866085216128</v>
          </cell>
          <cell r="G44">
            <v>12846.34891925426</v>
          </cell>
          <cell r="H44">
            <v>12469.409613042832</v>
          </cell>
          <cell r="I44">
            <v>12433.424612634284</v>
          </cell>
          <cell r="J44">
            <v>12636.83033223167</v>
          </cell>
          <cell r="K44">
            <v>12771.675395832217</v>
          </cell>
          <cell r="L44">
            <v>14228.699841348945</v>
          </cell>
          <cell r="M44">
            <v>15721.773642723021</v>
          </cell>
          <cell r="N44">
            <v>16567.566258538263</v>
          </cell>
          <cell r="O44">
            <v>17445.498904844389</v>
          </cell>
          <cell r="P44">
            <v>18039.533809423876</v>
          </cell>
          <cell r="Q44">
            <v>17576.658393183447</v>
          </cell>
          <cell r="R44">
            <v>17992.345138289467</v>
          </cell>
          <cell r="S44">
            <v>18617.191401489948</v>
          </cell>
          <cell r="T44">
            <v>18630.431596562183</v>
          </cell>
          <cell r="U44">
            <v>18287.016154524739</v>
          </cell>
          <cell r="V44">
            <v>17979.65320950346</v>
          </cell>
          <cell r="W44">
            <v>19300.321330117207</v>
          </cell>
          <cell r="X44">
            <v>19221.928138368559</v>
          </cell>
          <cell r="Y44">
            <v>18725.873370292673</v>
          </cell>
          <cell r="Z44">
            <v>17867.618666579947</v>
          </cell>
          <cell r="AA44">
            <v>16499.714470148516</v>
          </cell>
          <cell r="AB44">
            <v>15096.32326190039</v>
          </cell>
        </row>
        <row r="45">
          <cell r="D45">
            <v>4</v>
          </cell>
          <cell r="E45">
            <v>14072.720620745386</v>
          </cell>
          <cell r="F45">
            <v>13339.308975532904</v>
          </cell>
          <cell r="G45">
            <v>12769.691715736797</v>
          </cell>
          <cell r="H45">
            <v>12357.704796027352</v>
          </cell>
          <cell r="I45">
            <v>12184.811871736727</v>
          </cell>
          <cell r="J45">
            <v>11951.851755031003</v>
          </cell>
          <cell r="K45">
            <v>11696.976309602318</v>
          </cell>
          <cell r="L45">
            <v>12547.910485247779</v>
          </cell>
          <cell r="M45">
            <v>13484.776135797652</v>
          </cell>
          <cell r="N45">
            <v>14329.119049361805</v>
          </cell>
          <cell r="O45">
            <v>15129.633603888922</v>
          </cell>
          <cell r="P45">
            <v>15814.584159654598</v>
          </cell>
          <cell r="Q45">
            <v>16066.631987551929</v>
          </cell>
          <cell r="R45">
            <v>15989.514336121079</v>
          </cell>
          <cell r="S45">
            <v>15917.652858510184</v>
          </cell>
          <cell r="T45">
            <v>15968.379317214731</v>
          </cell>
          <cell r="U45">
            <v>15822.711046172504</v>
          </cell>
          <cell r="V45">
            <v>15804.809888568027</v>
          </cell>
          <cell r="W45">
            <v>17637.79930646281</v>
          </cell>
          <cell r="X45">
            <v>18631.494840512598</v>
          </cell>
          <cell r="Y45">
            <v>18532.12657996262</v>
          </cell>
          <cell r="Z45">
            <v>17834.826385954202</v>
          </cell>
          <cell r="AA45">
            <v>16625.719087039255</v>
          </cell>
          <cell r="AB45">
            <v>15301.20867798484</v>
          </cell>
        </row>
        <row r="46">
          <cell r="D46">
            <v>2</v>
          </cell>
          <cell r="E46">
            <v>14072.720620745386</v>
          </cell>
          <cell r="F46">
            <v>13339.308975532904</v>
          </cell>
          <cell r="G46">
            <v>12769.691715736797</v>
          </cell>
          <cell r="H46">
            <v>12357.704796027352</v>
          </cell>
          <cell r="I46">
            <v>12184.811871736727</v>
          </cell>
          <cell r="J46">
            <v>11951.851755031003</v>
          </cell>
          <cell r="K46">
            <v>11696.976309602318</v>
          </cell>
          <cell r="L46">
            <v>12547.910485247779</v>
          </cell>
          <cell r="M46">
            <v>13484.776135797652</v>
          </cell>
          <cell r="N46">
            <v>14329.119049361805</v>
          </cell>
          <cell r="O46">
            <v>15129.633603888922</v>
          </cell>
          <cell r="P46">
            <v>15814.584159654598</v>
          </cell>
          <cell r="Q46">
            <v>16066.631987551929</v>
          </cell>
          <cell r="R46">
            <v>15989.514336121079</v>
          </cell>
          <cell r="S46">
            <v>15917.652858510184</v>
          </cell>
          <cell r="T46">
            <v>15968.379317214731</v>
          </cell>
          <cell r="U46">
            <v>15822.711046172504</v>
          </cell>
          <cell r="V46">
            <v>15804.809888568027</v>
          </cell>
          <cell r="W46">
            <v>17637.79930646281</v>
          </cell>
          <cell r="X46">
            <v>18631.494840512598</v>
          </cell>
          <cell r="Y46">
            <v>18532.12657996262</v>
          </cell>
          <cell r="Z46">
            <v>17834.826385954202</v>
          </cell>
          <cell r="AA46">
            <v>16625.719087039255</v>
          </cell>
          <cell r="AB46">
            <v>15301.20867798484</v>
          </cell>
        </row>
        <row r="47">
          <cell r="D47">
            <v>21</v>
          </cell>
          <cell r="E47">
            <v>14461.386942279541</v>
          </cell>
          <cell r="F47">
            <v>13723.291427714039</v>
          </cell>
          <cell r="G47">
            <v>13152.214846133227</v>
          </cell>
          <cell r="H47">
            <v>12747.648873201535</v>
          </cell>
          <cell r="I47">
            <v>12628.94220038047</v>
          </cell>
          <cell r="J47">
            <v>12465.902639057938</v>
          </cell>
          <cell r="K47">
            <v>12546.543897998314</v>
          </cell>
          <cell r="L47">
            <v>14038.643262510057</v>
          </cell>
          <cell r="M47">
            <v>15632.229044411808</v>
          </cell>
          <cell r="N47">
            <v>16551.26128358029</v>
          </cell>
          <cell r="O47">
            <v>17334.241622494043</v>
          </cell>
          <cell r="P47">
            <v>17722.944301441825</v>
          </cell>
          <cell r="Q47">
            <v>17386.859840193934</v>
          </cell>
          <cell r="R47">
            <v>17135.91820377461</v>
          </cell>
          <cell r="S47">
            <v>17115.434663396609</v>
          </cell>
          <cell r="T47">
            <v>17086.01519586605</v>
          </cell>
          <cell r="U47">
            <v>16830.495780655347</v>
          </cell>
          <cell r="V47">
            <v>17027.629105578722</v>
          </cell>
          <cell r="W47">
            <v>18797.293861688962</v>
          </cell>
          <cell r="X47">
            <v>18617.916141370308</v>
          </cell>
          <cell r="Y47">
            <v>17971.777571524144</v>
          </cell>
          <cell r="Z47">
            <v>17168.735794465472</v>
          </cell>
          <cell r="AA47">
            <v>16202.61970986386</v>
          </cell>
          <cell r="AB47">
            <v>15137.54038402568</v>
          </cell>
        </row>
        <row r="48">
          <cell r="D48">
            <v>5</v>
          </cell>
          <cell r="E48">
            <v>13519.154693719869</v>
          </cell>
          <cell r="F48">
            <v>12838.760229694446</v>
          </cell>
          <cell r="G48">
            <v>12363.985143443208</v>
          </cell>
          <cell r="H48">
            <v>12014.019145096147</v>
          </cell>
          <cell r="I48">
            <v>12019.760163509258</v>
          </cell>
          <cell r="J48">
            <v>12218.961864097793</v>
          </cell>
          <cell r="K48">
            <v>12467.678418613785</v>
          </cell>
          <cell r="L48">
            <v>13988.73922139382</v>
          </cell>
          <cell r="M48">
            <v>15470.265255224278</v>
          </cell>
          <cell r="N48">
            <v>16278.761695345565</v>
          </cell>
          <cell r="O48">
            <v>17134.243770821024</v>
          </cell>
          <cell r="P48">
            <v>17723.857454069763</v>
          </cell>
          <cell r="Q48">
            <v>17216.307470744559</v>
          </cell>
          <cell r="R48">
            <v>17603.495697876217</v>
          </cell>
          <cell r="S48">
            <v>18256.648165696028</v>
          </cell>
          <cell r="T48">
            <v>18289.572822531594</v>
          </cell>
          <cell r="U48">
            <v>17911.065440184113</v>
          </cell>
          <cell r="V48">
            <v>17960.488947483544</v>
          </cell>
          <cell r="W48">
            <v>19043.588037762183</v>
          </cell>
          <cell r="X48">
            <v>18720.1332441464</v>
          </cell>
          <cell r="Y48">
            <v>18121.467757660004</v>
          </cell>
          <cell r="Z48">
            <v>17239.964549990887</v>
          </cell>
          <cell r="AA48">
            <v>15969.783543383661</v>
          </cell>
          <cell r="AB48">
            <v>14650.100616394966</v>
          </cell>
        </row>
        <row r="49">
          <cell r="D49">
            <v>4</v>
          </cell>
          <cell r="E49">
            <v>13931.273587572574</v>
          </cell>
          <cell r="F49">
            <v>13253.50410272409</v>
          </cell>
          <cell r="G49">
            <v>12751.776033755321</v>
          </cell>
          <cell r="H49">
            <v>12372.794820262223</v>
          </cell>
          <cell r="I49">
            <v>12392.616357646109</v>
          </cell>
          <cell r="J49">
            <v>12783.180597865034</v>
          </cell>
          <cell r="K49">
            <v>13029.270666442892</v>
          </cell>
          <cell r="L49">
            <v>14642.978125527779</v>
          </cell>
          <cell r="M49">
            <v>16240.777657770679</v>
          </cell>
          <cell r="N49">
            <v>17086.616251688152</v>
          </cell>
          <cell r="O49">
            <v>18049.459089806354</v>
          </cell>
          <cell r="P49">
            <v>18697.675181314135</v>
          </cell>
          <cell r="Q49">
            <v>18039.563028509292</v>
          </cell>
          <cell r="R49">
            <v>18677.483616769412</v>
          </cell>
          <cell r="S49">
            <v>19582.108294452115</v>
          </cell>
          <cell r="T49">
            <v>19606.642026684025</v>
          </cell>
          <cell r="U49">
            <v>19161.593588466621</v>
          </cell>
          <cell r="V49">
            <v>18608.306595105281</v>
          </cell>
          <cell r="W49">
            <v>19696.106619498361</v>
          </cell>
          <cell r="X49">
            <v>19550.637901132352</v>
          </cell>
          <cell r="Y49">
            <v>19046.282737370922</v>
          </cell>
          <cell r="Z49">
            <v>18146.503683290914</v>
          </cell>
          <cell r="AA49">
            <v>16659.335354215844</v>
          </cell>
          <cell r="AB49">
            <v>15164.916470115875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13942.346920314401</v>
          </cell>
          <cell r="F51">
            <v>13237.313533693154</v>
          </cell>
          <cell r="G51">
            <v>12676.140545404176</v>
          </cell>
          <cell r="H51">
            <v>12212.274963679489</v>
          </cell>
          <cell r="I51">
            <v>12036.266737327487</v>
          </cell>
          <cell r="J51">
            <v>11938.527155915177</v>
          </cell>
          <cell r="K51">
            <v>12190.536212831352</v>
          </cell>
          <cell r="L51">
            <v>13720.069072193624</v>
          </cell>
          <cell r="M51">
            <v>15283.431752756804</v>
          </cell>
          <cell r="N51">
            <v>16190.968603052177</v>
          </cell>
          <cell r="O51">
            <v>17027.386988191691</v>
          </cell>
          <cell r="P51">
            <v>17466.1175085904</v>
          </cell>
          <cell r="Q51">
            <v>17155.702334914607</v>
          </cell>
          <cell r="R51">
            <v>16952.469941076706</v>
          </cell>
          <cell r="S51">
            <v>17022.272230904633</v>
          </cell>
          <cell r="T51">
            <v>16988.681351843748</v>
          </cell>
          <cell r="U51">
            <v>16770.213050249899</v>
          </cell>
          <cell r="V51">
            <v>17206.211114912618</v>
          </cell>
          <cell r="W51">
            <v>18774.844619857882</v>
          </cell>
          <cell r="X51">
            <v>18461.133240784362</v>
          </cell>
          <cell r="Y51">
            <v>17807.973936448729</v>
          </cell>
          <cell r="Z51">
            <v>16977.889796371728</v>
          </cell>
          <cell r="AA51">
            <v>15987.853117138569</v>
          </cell>
          <cell r="AB51">
            <v>14929.232069486106</v>
          </cell>
        </row>
        <row r="52">
          <cell r="D52">
            <v>4</v>
          </cell>
          <cell r="E52">
            <v>12958.899395732313</v>
          </cell>
          <cell r="F52">
            <v>12318.820830285009</v>
          </cell>
          <cell r="G52">
            <v>11845.233312784105</v>
          </cell>
          <cell r="H52">
            <v>11561.384593908962</v>
          </cell>
          <cell r="I52">
            <v>11601.085157987764</v>
          </cell>
          <cell r="J52">
            <v>11827.123378210137</v>
          </cell>
          <cell r="K52">
            <v>12041.465148096386</v>
          </cell>
          <cell r="L52">
            <v>13450.563109214983</v>
          </cell>
          <cell r="M52">
            <v>14857.24330244024</v>
          </cell>
          <cell r="N52">
            <v>15681.55054874529</v>
          </cell>
          <cell r="O52">
            <v>16437.89549260449</v>
          </cell>
          <cell r="P52">
            <v>17002.062168644137</v>
          </cell>
          <cell r="Q52">
            <v>16523.621268267831</v>
          </cell>
          <cell r="R52">
            <v>16740.376325288966</v>
          </cell>
          <cell r="S52">
            <v>17234.058487547845</v>
          </cell>
          <cell r="T52">
            <v>17280.979015426008</v>
          </cell>
          <cell r="U52">
            <v>17056.957876968783</v>
          </cell>
          <cell r="V52">
            <v>17366.851137216905</v>
          </cell>
          <cell r="W52">
            <v>18565.346084688612</v>
          </cell>
          <cell r="X52">
            <v>18204.471058618685</v>
          </cell>
          <cell r="Y52">
            <v>17497.052180753926</v>
          </cell>
          <cell r="Z52">
            <v>16523.061856967564</v>
          </cell>
          <cell r="AA52">
            <v>15252.996438338592</v>
          </cell>
          <cell r="AB52">
            <v>13980.055606894299</v>
          </cell>
        </row>
        <row r="53">
          <cell r="D53">
            <v>5</v>
          </cell>
          <cell r="E53">
            <v>13097.450218716429</v>
          </cell>
          <cell r="F53">
            <v>12542.94155170008</v>
          </cell>
          <cell r="G53">
            <v>12101.908472061639</v>
          </cell>
          <cell r="H53">
            <v>11830.496971622386</v>
          </cell>
          <cell r="I53">
            <v>11736.266621496641</v>
          </cell>
          <cell r="J53">
            <v>11551.303191185018</v>
          </cell>
          <cell r="K53">
            <v>11276.517451800524</v>
          </cell>
          <cell r="L53">
            <v>12162.987095426772</v>
          </cell>
          <cell r="M53">
            <v>12898.402017871735</v>
          </cell>
          <cell r="N53">
            <v>13923.369816584092</v>
          </cell>
          <cell r="O53">
            <v>14723.307660655813</v>
          </cell>
          <cell r="P53">
            <v>15355.987145883477</v>
          </cell>
          <cell r="Q53">
            <v>15677.017729961446</v>
          </cell>
          <cell r="R53">
            <v>15683.667669138642</v>
          </cell>
          <cell r="S53">
            <v>15709.586198673456</v>
          </cell>
          <cell r="T53">
            <v>15749.147498501387</v>
          </cell>
          <cell r="U53">
            <v>15606.890063023886</v>
          </cell>
          <cell r="V53">
            <v>16269.811250236469</v>
          </cell>
          <cell r="W53">
            <v>18127.936400745795</v>
          </cell>
          <cell r="X53">
            <v>18349.871214530856</v>
          </cell>
          <cell r="Y53">
            <v>18061.580545134264</v>
          </cell>
          <cell r="Z53">
            <v>17380.051489572244</v>
          </cell>
          <cell r="AA53">
            <v>16084.676373955484</v>
          </cell>
          <cell r="AB53">
            <v>14699.326869286375</v>
          </cell>
        </row>
        <row r="54">
          <cell r="D54">
            <v>1</v>
          </cell>
          <cell r="E54">
            <v>13097.450218716429</v>
          </cell>
          <cell r="F54">
            <v>12542.94155170008</v>
          </cell>
          <cell r="G54">
            <v>12101.908472061639</v>
          </cell>
          <cell r="H54">
            <v>11830.496971622386</v>
          </cell>
          <cell r="I54">
            <v>11736.266621496641</v>
          </cell>
          <cell r="J54">
            <v>11551.303191185018</v>
          </cell>
          <cell r="K54">
            <v>11276.517451800524</v>
          </cell>
          <cell r="L54">
            <v>12162.987095426772</v>
          </cell>
          <cell r="M54">
            <v>12898.402017871735</v>
          </cell>
          <cell r="N54">
            <v>13923.369816584092</v>
          </cell>
          <cell r="O54">
            <v>14723.307660655813</v>
          </cell>
          <cell r="P54">
            <v>15355.987145883477</v>
          </cell>
          <cell r="Q54">
            <v>15677.017729961446</v>
          </cell>
          <cell r="R54">
            <v>15683.667669138642</v>
          </cell>
          <cell r="S54">
            <v>15709.586198673456</v>
          </cell>
          <cell r="T54">
            <v>15749.147498501387</v>
          </cell>
          <cell r="U54">
            <v>15606.890063023886</v>
          </cell>
          <cell r="V54">
            <v>16269.811250236469</v>
          </cell>
          <cell r="W54">
            <v>18127.936400745795</v>
          </cell>
          <cell r="X54">
            <v>18349.871214530856</v>
          </cell>
          <cell r="Y54">
            <v>18061.580545134264</v>
          </cell>
          <cell r="Z54">
            <v>17380.051489572244</v>
          </cell>
          <cell r="AA54">
            <v>16084.676373955484</v>
          </cell>
          <cell r="AB54">
            <v>14699.326869286375</v>
          </cell>
        </row>
        <row r="55">
          <cell r="D55">
            <v>20</v>
          </cell>
          <cell r="E55">
            <v>13758.562862682913</v>
          </cell>
          <cell r="F55">
            <v>13085.487039617225</v>
          </cell>
          <cell r="G55">
            <v>12599.341302850426</v>
          </cell>
          <cell r="H55">
            <v>12281.049473094126</v>
          </cell>
          <cell r="I55">
            <v>12283.890673572134</v>
          </cell>
          <cell r="J55">
            <v>12386.076303228831</v>
          </cell>
          <cell r="K55">
            <v>12471.775971562236</v>
          </cell>
          <cell r="L55">
            <v>14035.776668115643</v>
          </cell>
          <cell r="M55">
            <v>15705.053518177436</v>
          </cell>
          <cell r="N55">
            <v>16767.827204226451</v>
          </cell>
          <cell r="O55">
            <v>17570.271541237587</v>
          </cell>
          <cell r="P55">
            <v>17991.169517024347</v>
          </cell>
          <cell r="Q55">
            <v>17630.068879089027</v>
          </cell>
          <cell r="R55">
            <v>17322.806252632261</v>
          </cell>
          <cell r="S55">
            <v>17279.803325165929</v>
          </cell>
          <cell r="T55">
            <v>17238.66481767669</v>
          </cell>
          <cell r="U55">
            <v>17062.185045924638</v>
          </cell>
          <cell r="V55">
            <v>17631.052748639278</v>
          </cell>
          <cell r="W55">
            <v>19187.847652782195</v>
          </cell>
          <cell r="X55">
            <v>18783.788129984972</v>
          </cell>
          <cell r="Y55">
            <v>18021.731162894437</v>
          </cell>
          <cell r="Z55">
            <v>17159.598840388742</v>
          </cell>
          <cell r="AA55">
            <v>16092.045928436122</v>
          </cell>
          <cell r="AB55">
            <v>14934.203565777863</v>
          </cell>
        </row>
        <row r="56">
          <cell r="D56">
            <v>4</v>
          </cell>
          <cell r="E56">
            <v>14994.164160981156</v>
          </cell>
          <cell r="F56">
            <v>14235.1996785432</v>
          </cell>
          <cell r="G56">
            <v>13674.381296993659</v>
          </cell>
          <cell r="H56">
            <v>13288.624463759243</v>
          </cell>
          <cell r="I56">
            <v>13206.928721633798</v>
          </cell>
          <cell r="J56">
            <v>13298.693327119108</v>
          </cell>
          <cell r="K56">
            <v>13227.310541303032</v>
          </cell>
          <cell r="L56">
            <v>14734.278483283279</v>
          </cell>
          <cell r="M56">
            <v>16301.192613689125</v>
          </cell>
          <cell r="N56">
            <v>17209.198476152389</v>
          </cell>
          <cell r="O56">
            <v>18010.559229833427</v>
          </cell>
          <cell r="P56">
            <v>18635.524428890112</v>
          </cell>
          <cell r="Q56">
            <v>18233.68344281687</v>
          </cell>
          <cell r="R56">
            <v>18423.641823083388</v>
          </cell>
          <cell r="S56">
            <v>18950.074627264115</v>
          </cell>
          <cell r="T56">
            <v>18979.79803318992</v>
          </cell>
          <cell r="U56">
            <v>18678.992474868392</v>
          </cell>
          <cell r="V56">
            <v>18727.527113553489</v>
          </cell>
          <cell r="W56">
            <v>20302.193423509874</v>
          </cell>
          <cell r="X56">
            <v>19976.771260551232</v>
          </cell>
          <cell r="Y56">
            <v>19332.422060795223</v>
          </cell>
          <cell r="Z56">
            <v>18478.533524193226</v>
          </cell>
          <cell r="AA56">
            <v>17333.602310381768</v>
          </cell>
          <cell r="AB56">
            <v>16047.538351463199</v>
          </cell>
        </row>
        <row r="57">
          <cell r="D57">
            <v>4</v>
          </cell>
          <cell r="E57">
            <v>13826.150009946001</v>
          </cell>
          <cell r="F57">
            <v>13091.543199387512</v>
          </cell>
          <cell r="G57">
            <v>12533.892635195405</v>
          </cell>
          <cell r="H57">
            <v>12105.571670592764</v>
          </cell>
          <cell r="I57">
            <v>11960.447065744656</v>
          </cell>
          <cell r="J57">
            <v>11778.050049423255</v>
          </cell>
          <cell r="K57">
            <v>11447.470182201179</v>
          </cell>
          <cell r="L57">
            <v>12201.494954724885</v>
          </cell>
          <cell r="M57">
            <v>13106.827793093486</v>
          </cell>
          <cell r="N57">
            <v>13813.594247744417</v>
          </cell>
          <cell r="O57">
            <v>14392.516786551083</v>
          </cell>
          <cell r="P57">
            <v>14905.669538850589</v>
          </cell>
          <cell r="Q57">
            <v>15065.798795371054</v>
          </cell>
          <cell r="R57">
            <v>15142.165654829527</v>
          </cell>
          <cell r="S57">
            <v>14924.559592886037</v>
          </cell>
          <cell r="T57">
            <v>14939.815227071287</v>
          </cell>
          <cell r="U57">
            <v>14976.069530394316</v>
          </cell>
          <cell r="V57">
            <v>15918.891373318251</v>
          </cell>
          <cell r="W57">
            <v>17762.849639061642</v>
          </cell>
          <cell r="X57">
            <v>17828.695142649016</v>
          </cell>
          <cell r="Y57">
            <v>17274.179144913025</v>
          </cell>
          <cell r="Z57">
            <v>16237.950177881083</v>
          </cell>
          <cell r="AA57">
            <v>14926.87213128009</v>
          </cell>
          <cell r="AB57">
            <v>13692.129571323458</v>
          </cell>
        </row>
        <row r="58">
          <cell r="D58">
            <v>2</v>
          </cell>
          <cell r="E58">
            <v>13826.150009946001</v>
          </cell>
          <cell r="F58">
            <v>13091.543199387512</v>
          </cell>
          <cell r="G58">
            <v>12533.892635195405</v>
          </cell>
          <cell r="H58">
            <v>12105.571670592764</v>
          </cell>
          <cell r="I58">
            <v>11960.447065744656</v>
          </cell>
          <cell r="J58">
            <v>11778.050049423255</v>
          </cell>
          <cell r="K58">
            <v>11447.470182201179</v>
          </cell>
          <cell r="L58">
            <v>12201.494954724885</v>
          </cell>
          <cell r="M58">
            <v>13106.827793093486</v>
          </cell>
          <cell r="N58">
            <v>13813.594247744417</v>
          </cell>
          <cell r="O58">
            <v>14392.516786551083</v>
          </cell>
          <cell r="P58">
            <v>14905.669538850589</v>
          </cell>
          <cell r="Q58">
            <v>15065.798795371054</v>
          </cell>
          <cell r="R58">
            <v>15142.165654829527</v>
          </cell>
          <cell r="S58">
            <v>14924.559592886037</v>
          </cell>
          <cell r="T58">
            <v>14939.815227071287</v>
          </cell>
          <cell r="U58">
            <v>14976.069530394316</v>
          </cell>
          <cell r="V58">
            <v>15918.891373318251</v>
          </cell>
          <cell r="W58">
            <v>17762.849639061642</v>
          </cell>
          <cell r="X58">
            <v>17828.695142649016</v>
          </cell>
          <cell r="Y58">
            <v>17274.179144913025</v>
          </cell>
          <cell r="Z58">
            <v>16237.950177881083</v>
          </cell>
          <cell r="AA58">
            <v>14926.87213128009</v>
          </cell>
          <cell r="AB58">
            <v>13692.129571323458</v>
          </cell>
        </row>
        <row r="59">
          <cell r="D59">
            <v>19</v>
          </cell>
          <cell r="E59">
            <v>14595.206787980058</v>
          </cell>
          <cell r="F59">
            <v>13824.960368455586</v>
          </cell>
          <cell r="G59">
            <v>13242.746454628897</v>
          </cell>
          <cell r="H59">
            <v>12838.060359518413</v>
          </cell>
          <cell r="I59">
            <v>12749.138192914797</v>
          </cell>
          <cell r="J59">
            <v>12813.900477990928</v>
          </cell>
          <cell r="K59">
            <v>12665.371560424677</v>
          </cell>
          <cell r="L59">
            <v>14023.989144080724</v>
          </cell>
          <cell r="M59">
            <v>15506.770116310903</v>
          </cell>
          <cell r="N59">
            <v>16444.923560372554</v>
          </cell>
          <cell r="O59">
            <v>17135.415429444289</v>
          </cell>
          <cell r="P59">
            <v>17549.756665773344</v>
          </cell>
          <cell r="Q59">
            <v>17170.041303187281</v>
          </cell>
          <cell r="R59">
            <v>16897.680148883901</v>
          </cell>
          <cell r="S59">
            <v>16938.754715533178</v>
          </cell>
          <cell r="T59">
            <v>16926.946290290929</v>
          </cell>
          <cell r="U59">
            <v>16717.105878191538</v>
          </cell>
          <cell r="V59">
            <v>17165.445176553349</v>
          </cell>
          <cell r="W59">
            <v>18903.867251189225</v>
          </cell>
          <cell r="X59">
            <v>18491.945379747191</v>
          </cell>
          <cell r="Y59">
            <v>17696.726778456123</v>
          </cell>
          <cell r="Z59">
            <v>16825.727158907859</v>
          </cell>
          <cell r="AA59">
            <v>15980.858825017785</v>
          </cell>
          <cell r="AB59">
            <v>15034.109780691733</v>
          </cell>
        </row>
        <row r="60">
          <cell r="D60">
            <v>5</v>
          </cell>
          <cell r="E60">
            <v>14325.072919331937</v>
          </cell>
          <cell r="F60">
            <v>13601.848164767218</v>
          </cell>
          <cell r="G60">
            <v>13058.70524028281</v>
          </cell>
          <cell r="H60">
            <v>12681.538784243879</v>
          </cell>
          <cell r="I60">
            <v>12640.160545923442</v>
          </cell>
          <cell r="J60">
            <v>12843.991482903664</v>
          </cell>
          <cell r="K60">
            <v>12898.591689767747</v>
          </cell>
          <cell r="L60">
            <v>14313.662668229699</v>
          </cell>
          <cell r="M60">
            <v>15780.8069564832</v>
          </cell>
          <cell r="N60">
            <v>16628.73420108053</v>
          </cell>
          <cell r="O60">
            <v>17457.376161480333</v>
          </cell>
          <cell r="P60">
            <v>18039.670976281679</v>
          </cell>
          <cell r="Q60">
            <v>17585.574814423097</v>
          </cell>
          <cell r="R60">
            <v>17934.654342567661</v>
          </cell>
          <cell r="S60">
            <v>18525.462671131136</v>
          </cell>
          <cell r="T60">
            <v>18566.844180145661</v>
          </cell>
          <cell r="U60">
            <v>18247.566959953201</v>
          </cell>
          <cell r="V60">
            <v>17919.189617114582</v>
          </cell>
          <cell r="W60">
            <v>19162.534585870966</v>
          </cell>
          <cell r="X60">
            <v>19277.792192006844</v>
          </cell>
          <cell r="Y60">
            <v>18792.490084425408</v>
          </cell>
          <cell r="Z60">
            <v>17977.846555346016</v>
          </cell>
          <cell r="AA60">
            <v>16729.656410459673</v>
          </cell>
          <cell r="AB60">
            <v>15394.791619371907</v>
          </cell>
        </row>
        <row r="61">
          <cell r="D61">
            <v>5</v>
          </cell>
          <cell r="E61">
            <v>14239.284938499624</v>
          </cell>
          <cell r="F61">
            <v>13797.678819283059</v>
          </cell>
          <cell r="G61">
            <v>13380.023455948118</v>
          </cell>
          <cell r="H61">
            <v>12979.666247214487</v>
          </cell>
          <cell r="I61">
            <v>12748.890372502865</v>
          </cell>
          <cell r="J61">
            <v>12415.099175656422</v>
          </cell>
          <cell r="K61">
            <v>11643.957994013079</v>
          </cell>
          <cell r="L61">
            <v>12030.795512344175</v>
          </cell>
          <cell r="M61">
            <v>12659.726037531795</v>
          </cell>
          <cell r="N61">
            <v>13250.210486603019</v>
          </cell>
          <cell r="O61">
            <v>13800.692373461845</v>
          </cell>
          <cell r="P61">
            <v>14268.577311190025</v>
          </cell>
          <cell r="Q61">
            <v>14524.314353427711</v>
          </cell>
          <cell r="R61">
            <v>14535.619601786782</v>
          </cell>
          <cell r="S61">
            <v>14469.848354308384</v>
          </cell>
          <cell r="T61">
            <v>14549.844783280138</v>
          </cell>
          <cell r="U61">
            <v>14543.056532932231</v>
          </cell>
          <cell r="V61">
            <v>15013.140260888389</v>
          </cell>
          <cell r="W61">
            <v>17104.293243583692</v>
          </cell>
          <cell r="X61">
            <v>17262.457737599139</v>
          </cell>
          <cell r="Y61">
            <v>17043.786513230356</v>
          </cell>
          <cell r="Z61">
            <v>16525.567655672327</v>
          </cell>
          <cell r="AA61">
            <v>15671.468083899885</v>
          </cell>
          <cell r="AB61">
            <v>14680.526138536519</v>
          </cell>
        </row>
        <row r="62">
          <cell r="D62">
            <v>2</v>
          </cell>
          <cell r="E62">
            <v>14239.284938499624</v>
          </cell>
          <cell r="F62">
            <v>13797.678819283059</v>
          </cell>
          <cell r="G62">
            <v>13380.023455948118</v>
          </cell>
          <cell r="H62">
            <v>12979.666247214487</v>
          </cell>
          <cell r="I62">
            <v>12748.890372502865</v>
          </cell>
          <cell r="J62">
            <v>12415.099175656422</v>
          </cell>
          <cell r="K62">
            <v>11643.957994013079</v>
          </cell>
          <cell r="L62">
            <v>12030.795512344175</v>
          </cell>
          <cell r="M62">
            <v>12659.726037531795</v>
          </cell>
          <cell r="N62">
            <v>13250.210486603019</v>
          </cell>
          <cell r="O62">
            <v>13800.692373461845</v>
          </cell>
          <cell r="P62">
            <v>14268.577311190025</v>
          </cell>
          <cell r="Q62">
            <v>14524.314353427711</v>
          </cell>
          <cell r="R62">
            <v>14535.619601786782</v>
          </cell>
          <cell r="S62">
            <v>14469.848354308384</v>
          </cell>
          <cell r="T62">
            <v>14549.844783280138</v>
          </cell>
          <cell r="U62">
            <v>14543.056532932231</v>
          </cell>
          <cell r="V62">
            <v>15013.140260888389</v>
          </cell>
          <cell r="W62">
            <v>17104.293243583692</v>
          </cell>
          <cell r="X62">
            <v>17262.457737599139</v>
          </cell>
          <cell r="Y62">
            <v>17043.786513230356</v>
          </cell>
          <cell r="Z62">
            <v>16525.567655672327</v>
          </cell>
          <cell r="AA62">
            <v>15671.468083899885</v>
          </cell>
          <cell r="AB62">
            <v>14680.526138536519</v>
          </cell>
        </row>
      </sheetData>
      <sheetData sheetId="21">
        <row r="15">
          <cell r="D15">
            <v>21</v>
          </cell>
          <cell r="E15">
            <v>11367.967286605757</v>
          </cell>
          <cell r="F15">
            <v>10751.8518410663</v>
          </cell>
          <cell r="G15">
            <v>10306.509263361599</v>
          </cell>
          <cell r="H15">
            <v>9995.1443221613972</v>
          </cell>
          <cell r="I15">
            <v>9921.3401875441377</v>
          </cell>
          <cell r="J15">
            <v>10163.533951844505</v>
          </cell>
          <cell r="K15">
            <v>10087.857686111382</v>
          </cell>
          <cell r="L15">
            <v>11280.740259401347</v>
          </cell>
          <cell r="M15">
            <v>12564.334557774549</v>
          </cell>
          <cell r="N15">
            <v>13307.656104883868</v>
          </cell>
          <cell r="O15">
            <v>14074.477788604912</v>
          </cell>
          <cell r="P15">
            <v>14619.810377087211</v>
          </cell>
          <cell r="Q15">
            <v>14213.578063559933</v>
          </cell>
          <cell r="R15">
            <v>14612.332365233397</v>
          </cell>
          <cell r="S15">
            <v>15277.355383802134</v>
          </cell>
          <cell r="T15">
            <v>15340.431146998519</v>
          </cell>
          <cell r="U15">
            <v>15022.888865512772</v>
          </cell>
          <cell r="V15">
            <v>14419.187883095428</v>
          </cell>
          <cell r="W15">
            <v>15275.140664049068</v>
          </cell>
          <cell r="X15">
            <v>15321.980440543901</v>
          </cell>
          <cell r="Y15">
            <v>14959.863427740689</v>
          </cell>
          <cell r="Z15">
            <v>14381.945380334691</v>
          </cell>
          <cell r="AA15">
            <v>13429.041028315381</v>
          </cell>
          <cell r="AB15">
            <v>12359.111361622521</v>
          </cell>
        </row>
        <row r="16">
          <cell r="D16">
            <v>4</v>
          </cell>
          <cell r="E16">
            <v>11453.630895608096</v>
          </cell>
          <cell r="F16">
            <v>10845.488810598667</v>
          </cell>
          <cell r="G16">
            <v>10394.933672578434</v>
          </cell>
          <cell r="H16">
            <v>10039.455129981621</v>
          </cell>
          <cell r="I16">
            <v>9946.2540379418988</v>
          </cell>
          <cell r="J16">
            <v>9989.8745916149983</v>
          </cell>
          <cell r="K16">
            <v>9731.7236253094343</v>
          </cell>
          <cell r="L16">
            <v>10658.019374992604</v>
          </cell>
          <cell r="M16">
            <v>11881.413013903746</v>
          </cell>
          <cell r="N16">
            <v>12691.039442183304</v>
          </cell>
          <cell r="O16">
            <v>13357.64751635342</v>
          </cell>
          <cell r="P16">
            <v>13775.48701746742</v>
          </cell>
          <cell r="Q16">
            <v>13580.234625167688</v>
          </cell>
          <cell r="R16">
            <v>13443.332298342571</v>
          </cell>
          <cell r="S16">
            <v>13519.909756478859</v>
          </cell>
          <cell r="T16">
            <v>13515.60318045882</v>
          </cell>
          <cell r="U16">
            <v>13316.155259494155</v>
          </cell>
          <cell r="V16">
            <v>13214.315857979615</v>
          </cell>
          <cell r="W16">
            <v>14572.472001028853</v>
          </cell>
          <cell r="X16">
            <v>14718.376478114027</v>
          </cell>
          <cell r="Y16">
            <v>14311.56524277511</v>
          </cell>
          <cell r="Z16">
            <v>13804.941164739495</v>
          </cell>
          <cell r="AA16">
            <v>13116.862383688966</v>
          </cell>
          <cell r="AB16">
            <v>12313.364395172548</v>
          </cell>
        </row>
        <row r="17">
          <cell r="D17">
            <v>4</v>
          </cell>
          <cell r="E17">
            <v>11581.265312135678</v>
          </cell>
          <cell r="F17">
            <v>10994.814033854214</v>
          </cell>
          <cell r="G17">
            <v>10519.213284229349</v>
          </cell>
          <cell r="H17">
            <v>10139.091316506625</v>
          </cell>
          <cell r="I17">
            <v>9945.8629340335465</v>
          </cell>
          <cell r="J17">
            <v>9850.5674578453181</v>
          </cell>
          <cell r="K17">
            <v>9342.6009480607991</v>
          </cell>
          <cell r="L17">
            <v>9760.1322428928142</v>
          </cell>
          <cell r="M17">
            <v>10457.551635902499</v>
          </cell>
          <cell r="N17">
            <v>11168.245066747031</v>
          </cell>
          <cell r="O17">
            <v>11605.327678097095</v>
          </cell>
          <cell r="P17">
            <v>11994.536466917505</v>
          </cell>
          <cell r="Q17">
            <v>12226.268026195385</v>
          </cell>
          <cell r="R17">
            <v>12278.509600533518</v>
          </cell>
          <cell r="S17">
            <v>12312.555700012663</v>
          </cell>
          <cell r="T17">
            <v>12333.02132858623</v>
          </cell>
          <cell r="U17">
            <v>12260.813617121092</v>
          </cell>
          <cell r="V17">
            <v>12273.330826225372</v>
          </cell>
          <cell r="W17">
            <v>13759.800747365867</v>
          </cell>
          <cell r="X17">
            <v>14209.162957511486</v>
          </cell>
          <cell r="Y17">
            <v>14157.583345101541</v>
          </cell>
          <cell r="Z17">
            <v>13766.393103524693</v>
          </cell>
          <cell r="AA17">
            <v>13026.339948907646</v>
          </cell>
          <cell r="AB17">
            <v>12120.951911530101</v>
          </cell>
        </row>
        <row r="18">
          <cell r="D18">
            <v>2</v>
          </cell>
          <cell r="E18">
            <v>11581.265312135678</v>
          </cell>
          <cell r="F18">
            <v>10994.814033854214</v>
          </cell>
          <cell r="G18">
            <v>10519.213284229349</v>
          </cell>
          <cell r="H18">
            <v>10139.091316506625</v>
          </cell>
          <cell r="I18">
            <v>9945.8629340335465</v>
          </cell>
          <cell r="J18">
            <v>9850.5674578453181</v>
          </cell>
          <cell r="K18">
            <v>9342.6009480607991</v>
          </cell>
          <cell r="L18">
            <v>9760.1322428928142</v>
          </cell>
          <cell r="M18">
            <v>10457.551635902499</v>
          </cell>
          <cell r="N18">
            <v>11168.245066747031</v>
          </cell>
          <cell r="O18">
            <v>11605.327678097095</v>
          </cell>
          <cell r="P18">
            <v>11994.536466917505</v>
          </cell>
          <cell r="Q18">
            <v>12226.268026195385</v>
          </cell>
          <cell r="R18">
            <v>12278.509600533518</v>
          </cell>
          <cell r="S18">
            <v>12312.555700012663</v>
          </cell>
          <cell r="T18">
            <v>12333.02132858623</v>
          </cell>
          <cell r="U18">
            <v>12260.813617121092</v>
          </cell>
          <cell r="V18">
            <v>12273.330826225372</v>
          </cell>
          <cell r="W18">
            <v>13759.800747365867</v>
          </cell>
          <cell r="X18">
            <v>14209.162957511486</v>
          </cell>
          <cell r="Y18">
            <v>14157.583345101541</v>
          </cell>
          <cell r="Z18">
            <v>13766.393103524693</v>
          </cell>
          <cell r="AA18">
            <v>13026.339948907646</v>
          </cell>
          <cell r="AB18">
            <v>12120.951911530101</v>
          </cell>
        </row>
        <row r="19">
          <cell r="D19">
            <v>20</v>
          </cell>
          <cell r="E19">
            <v>11710.615885187577</v>
          </cell>
          <cell r="F19">
            <v>11092.657754540045</v>
          </cell>
          <cell r="G19">
            <v>10651.257142942195</v>
          </cell>
          <cell r="H19">
            <v>10362.315647983523</v>
          </cell>
          <cell r="I19">
            <v>10383.530587412019</v>
          </cell>
          <cell r="J19">
            <v>10960.26266316211</v>
          </cell>
          <cell r="K19">
            <v>10930.980000857888</v>
          </cell>
          <cell r="L19">
            <v>12059.449004678901</v>
          </cell>
          <cell r="M19">
            <v>13197.34047223342</v>
          </cell>
          <cell r="N19">
            <v>13756.115521883761</v>
          </cell>
          <cell r="O19">
            <v>14423.682979828936</v>
          </cell>
          <cell r="P19">
            <v>14871.561650455693</v>
          </cell>
          <cell r="Q19">
            <v>14311.855686915087</v>
          </cell>
          <cell r="R19">
            <v>14822.27954751019</v>
          </cell>
          <cell r="S19">
            <v>15572.465481544486</v>
          </cell>
          <cell r="T19">
            <v>15668.880136599462</v>
          </cell>
          <cell r="U19">
            <v>15394.460569151299</v>
          </cell>
          <cell r="V19">
            <v>14738.856386118654</v>
          </cell>
          <cell r="W19">
            <v>15522.259882174436</v>
          </cell>
          <cell r="X19">
            <v>15773.488391995377</v>
          </cell>
          <cell r="Y19">
            <v>15461.166167350248</v>
          </cell>
          <cell r="Z19">
            <v>14787.869002440579</v>
          </cell>
          <cell r="AA19">
            <v>13690.477248719388</v>
          </cell>
          <cell r="AB19">
            <v>12586.937184015382</v>
          </cell>
        </row>
        <row r="20">
          <cell r="D20">
            <v>4</v>
          </cell>
          <cell r="E20">
            <v>11747.961052904597</v>
          </cell>
          <cell r="F20">
            <v>11175.933592554078</v>
          </cell>
          <cell r="G20">
            <v>10678.761978070415</v>
          </cell>
          <cell r="H20">
            <v>10341.519526538697</v>
          </cell>
          <cell r="I20">
            <v>10212.757429759753</v>
          </cell>
          <cell r="J20">
            <v>10314.951036729015</v>
          </cell>
          <cell r="K20">
            <v>10210.960351187943</v>
          </cell>
          <cell r="L20">
            <v>11225.718821320062</v>
          </cell>
          <cell r="M20">
            <v>12445.804636250168</v>
          </cell>
          <cell r="N20">
            <v>13212.121544708598</v>
          </cell>
          <cell r="O20">
            <v>13838.685811877318</v>
          </cell>
          <cell r="P20">
            <v>14253.685035122762</v>
          </cell>
          <cell r="Q20">
            <v>14005.056368974103</v>
          </cell>
          <cell r="R20">
            <v>13841.661395174795</v>
          </cell>
          <cell r="S20">
            <v>13914.338695156643</v>
          </cell>
          <cell r="T20">
            <v>13912.593692460876</v>
          </cell>
          <cell r="U20">
            <v>13701.374745731451</v>
          </cell>
          <cell r="V20">
            <v>13605.938214102483</v>
          </cell>
          <cell r="W20">
            <v>14903.303131316989</v>
          </cell>
          <cell r="X20">
            <v>15206.173315632766</v>
          </cell>
          <cell r="Y20">
            <v>14811.049795216957</v>
          </cell>
          <cell r="Z20">
            <v>14277.399951264886</v>
          </cell>
          <cell r="AA20">
            <v>13552.103509913886</v>
          </cell>
          <cell r="AB20">
            <v>12699.030726640998</v>
          </cell>
        </row>
        <row r="21">
          <cell r="D21">
            <v>4</v>
          </cell>
          <cell r="E21">
            <v>11930.581357143619</v>
          </cell>
          <cell r="F21">
            <v>11319.724994539687</v>
          </cell>
          <cell r="G21">
            <v>10847.178587119799</v>
          </cell>
          <cell r="H21">
            <v>10500.527107781716</v>
          </cell>
          <cell r="I21">
            <v>10280.977979492007</v>
          </cell>
          <cell r="J21">
            <v>10234.862717441389</v>
          </cell>
          <cell r="K21">
            <v>9783.8212273711961</v>
          </cell>
          <cell r="L21">
            <v>10220.969058053568</v>
          </cell>
          <cell r="M21">
            <v>10936.765223603015</v>
          </cell>
          <cell r="N21">
            <v>11586.765593595248</v>
          </cell>
          <cell r="O21">
            <v>12060.806993421071</v>
          </cell>
          <cell r="P21">
            <v>12542.935822880598</v>
          </cell>
          <cell r="Q21">
            <v>12819.451005436034</v>
          </cell>
          <cell r="R21">
            <v>12904.183640296687</v>
          </cell>
          <cell r="S21">
            <v>12980.874815157571</v>
          </cell>
          <cell r="T21">
            <v>13040.175527724303</v>
          </cell>
          <cell r="U21">
            <v>12954.63675369408</v>
          </cell>
          <cell r="V21">
            <v>12924.287117477928</v>
          </cell>
          <cell r="W21">
            <v>14370.183608730864</v>
          </cell>
          <cell r="X21">
            <v>15017.476724441754</v>
          </cell>
          <cell r="Y21">
            <v>15028.589278582444</v>
          </cell>
          <cell r="Z21">
            <v>14655.825549410596</v>
          </cell>
          <cell r="AA21">
            <v>13778.931278789085</v>
          </cell>
          <cell r="AB21">
            <v>12730.924435624129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11949.540779947674</v>
          </cell>
          <cell r="F23">
            <v>11318.035944965823</v>
          </cell>
          <cell r="G23">
            <v>10842.134959530345</v>
          </cell>
          <cell r="H23">
            <v>10490.90927992417</v>
          </cell>
          <cell r="I23">
            <v>10438.116562858677</v>
          </cell>
          <cell r="J23">
            <v>10820.320578659113</v>
          </cell>
          <cell r="K23">
            <v>10746.011870894525</v>
          </cell>
          <cell r="L23">
            <v>11977.801876476187</v>
          </cell>
          <cell r="M23">
            <v>13220.141152594584</v>
          </cell>
          <cell r="N23">
            <v>13870.334893682091</v>
          </cell>
          <cell r="O23">
            <v>14607.846842836096</v>
          </cell>
          <cell r="P23">
            <v>15087.997961440349</v>
          </cell>
          <cell r="Q23">
            <v>14544.973434537025</v>
          </cell>
          <cell r="R23">
            <v>15124.615538803433</v>
          </cell>
          <cell r="S23">
            <v>15827.1835991342</v>
          </cell>
          <cell r="T23">
            <v>15902.675729177652</v>
          </cell>
          <cell r="U23">
            <v>15626.305988330461</v>
          </cell>
          <cell r="V23">
            <v>14958.809969238593</v>
          </cell>
          <cell r="W23">
            <v>15629.843150603963</v>
          </cell>
          <cell r="X23">
            <v>15825.200166375918</v>
          </cell>
          <cell r="Y23">
            <v>15540.688626126566</v>
          </cell>
          <cell r="Z23">
            <v>14937.663386204717</v>
          </cell>
          <cell r="AA23">
            <v>13994.237881234856</v>
          </cell>
          <cell r="AB23">
            <v>12932.993309767655</v>
          </cell>
        </row>
        <row r="24">
          <cell r="D24">
            <v>5</v>
          </cell>
          <cell r="E24">
            <v>11984.252900349753</v>
          </cell>
          <cell r="F24">
            <v>11332.700315752236</v>
          </cell>
          <cell r="G24">
            <v>10873.746501405447</v>
          </cell>
          <cell r="H24">
            <v>10510.543591515143</v>
          </cell>
          <cell r="I24">
            <v>10293.727909605957</v>
          </cell>
          <cell r="J24">
            <v>10260.582924760063</v>
          </cell>
          <cell r="K24">
            <v>10110.293182204088</v>
          </cell>
          <cell r="L24">
            <v>11077.501927751306</v>
          </cell>
          <cell r="M24">
            <v>12243.40658100634</v>
          </cell>
          <cell r="N24">
            <v>12973.521833361401</v>
          </cell>
          <cell r="O24">
            <v>13555.118866137924</v>
          </cell>
          <cell r="P24">
            <v>13926.929679697312</v>
          </cell>
          <cell r="Q24">
            <v>13729.428324637523</v>
          </cell>
          <cell r="R24">
            <v>13586.388522361553</v>
          </cell>
          <cell r="S24">
            <v>13504.683764516707</v>
          </cell>
          <cell r="T24">
            <v>13838.211651440593</v>
          </cell>
          <cell r="U24">
            <v>13369.130484863041</v>
          </cell>
          <cell r="V24">
            <v>13260.588991952589</v>
          </cell>
          <cell r="W24">
            <v>14648.935400509446</v>
          </cell>
          <cell r="X24">
            <v>14867.450921734093</v>
          </cell>
          <cell r="Y24">
            <v>14506.405698822042</v>
          </cell>
          <cell r="Z24">
            <v>14041.782310740733</v>
          </cell>
          <cell r="AA24">
            <v>13425.538087146882</v>
          </cell>
          <cell r="AB24">
            <v>12642.30716683133</v>
          </cell>
        </row>
        <row r="25">
          <cell r="D25">
            <v>4</v>
          </cell>
          <cell r="E25">
            <v>11888.264713344266</v>
          </cell>
          <cell r="F25">
            <v>11279.664908985922</v>
          </cell>
          <cell r="G25">
            <v>10736.423274239434</v>
          </cell>
          <cell r="H25">
            <v>10355.296735552531</v>
          </cell>
          <cell r="I25">
            <v>10178.562198637126</v>
          </cell>
          <cell r="J25">
            <v>10063.427471815237</v>
          </cell>
          <cell r="K25">
            <v>9571.797548541037</v>
          </cell>
          <cell r="L25">
            <v>10032.108451018517</v>
          </cell>
          <cell r="M25">
            <v>10699.052979525166</v>
          </cell>
          <cell r="N25">
            <v>11308.878233152636</v>
          </cell>
          <cell r="O25">
            <v>11771.18209897974</v>
          </cell>
          <cell r="P25">
            <v>12208.248326816227</v>
          </cell>
          <cell r="Q25">
            <v>12427.796827990462</v>
          </cell>
          <cell r="R25">
            <v>12483.894151175735</v>
          </cell>
          <cell r="S25">
            <v>12548.095579301928</v>
          </cell>
          <cell r="T25">
            <v>12637.55565162005</v>
          </cell>
          <cell r="U25">
            <v>12481.391087237553</v>
          </cell>
          <cell r="V25">
            <v>12511.417351395099</v>
          </cell>
          <cell r="W25">
            <v>13858.552743905026</v>
          </cell>
          <cell r="X25">
            <v>14356.738352505816</v>
          </cell>
          <cell r="Y25">
            <v>14330.941249353553</v>
          </cell>
          <cell r="Z25">
            <v>14053.30132380852</v>
          </cell>
          <cell r="AA25">
            <v>13306.310739628245</v>
          </cell>
          <cell r="AB25">
            <v>12326.158322934989</v>
          </cell>
        </row>
        <row r="26">
          <cell r="D26">
            <v>3</v>
          </cell>
          <cell r="E26">
            <v>11888.264713344266</v>
          </cell>
          <cell r="F26">
            <v>11279.664908985922</v>
          </cell>
          <cell r="G26">
            <v>10736.423274239434</v>
          </cell>
          <cell r="H26">
            <v>10355.296735552531</v>
          </cell>
          <cell r="I26">
            <v>10178.562198637126</v>
          </cell>
          <cell r="J26">
            <v>10063.427471815237</v>
          </cell>
          <cell r="K26">
            <v>9571.797548541037</v>
          </cell>
          <cell r="L26">
            <v>10032.108451018517</v>
          </cell>
          <cell r="M26">
            <v>10699.052979525166</v>
          </cell>
          <cell r="N26">
            <v>11308.878233152636</v>
          </cell>
          <cell r="O26">
            <v>11771.18209897974</v>
          </cell>
          <cell r="P26">
            <v>12208.248326816227</v>
          </cell>
          <cell r="Q26">
            <v>12427.796827990462</v>
          </cell>
          <cell r="R26">
            <v>12483.894151175735</v>
          </cell>
          <cell r="S26">
            <v>12548.095579301928</v>
          </cell>
          <cell r="T26">
            <v>12637.55565162005</v>
          </cell>
          <cell r="U26">
            <v>12481.391087237553</v>
          </cell>
          <cell r="V26">
            <v>12511.417351395099</v>
          </cell>
          <cell r="W26">
            <v>13858.552743905026</v>
          </cell>
          <cell r="X26">
            <v>14356.738352505816</v>
          </cell>
          <cell r="Y26">
            <v>14330.941249353553</v>
          </cell>
          <cell r="Z26">
            <v>14053.30132380852</v>
          </cell>
          <cell r="AA26">
            <v>13306.310739628245</v>
          </cell>
          <cell r="AB26">
            <v>12326.158322934989</v>
          </cell>
        </row>
        <row r="27">
          <cell r="D27">
            <v>21</v>
          </cell>
          <cell r="E27">
            <v>11584.339915867657</v>
          </cell>
          <cell r="F27">
            <v>11084.889656192512</v>
          </cell>
          <cell r="G27">
            <v>10595.346280308046</v>
          </cell>
          <cell r="H27">
            <v>10321.726698122595</v>
          </cell>
          <cell r="I27">
            <v>10256.347262185882</v>
          </cell>
          <cell r="J27">
            <v>10149.87600361835</v>
          </cell>
          <cell r="K27">
            <v>10185.112607255402</v>
          </cell>
          <cell r="L27">
            <v>11329.980393428712</v>
          </cell>
          <cell r="M27">
            <v>12629.468394934334</v>
          </cell>
          <cell r="N27">
            <v>13397.313052131405</v>
          </cell>
          <cell r="O27">
            <v>14035.642096113577</v>
          </cell>
          <cell r="P27">
            <v>14437.817644847937</v>
          </cell>
          <cell r="Q27">
            <v>14169.500255307968</v>
          </cell>
          <cell r="R27">
            <v>13999.575214676983</v>
          </cell>
          <cell r="S27">
            <v>14096.69829485684</v>
          </cell>
          <cell r="T27">
            <v>14094.607494072423</v>
          </cell>
          <cell r="U27">
            <v>13872.943425447105</v>
          </cell>
          <cell r="V27">
            <v>13792.826615358979</v>
          </cell>
          <cell r="W27">
            <v>15192.078571068703</v>
          </cell>
          <cell r="X27">
            <v>15312.95838651956</v>
          </cell>
          <cell r="Y27">
            <v>14937.948823183589</v>
          </cell>
          <cell r="Z27">
            <v>14419.00645758622</v>
          </cell>
          <cell r="AA27">
            <v>13709.790657565498</v>
          </cell>
          <cell r="AB27">
            <v>12850.689156548488</v>
          </cell>
        </row>
        <row r="28">
          <cell r="D28">
            <v>4</v>
          </cell>
          <cell r="E28">
            <v>11184.519284264994</v>
          </cell>
          <cell r="F28">
            <v>10633.287165531228</v>
          </cell>
          <cell r="G28">
            <v>10214.566753413274</v>
          </cell>
          <cell r="H28">
            <v>9905.8167878974073</v>
          </cell>
          <cell r="I28">
            <v>9915.0677994908383</v>
          </cell>
          <cell r="J28">
            <v>10037.350524651974</v>
          </cell>
          <cell r="K28">
            <v>10262.872939387757</v>
          </cell>
          <cell r="L28">
            <v>11379.607095189309</v>
          </cell>
          <cell r="M28">
            <v>12527.150965526111</v>
          </cell>
          <cell r="N28">
            <v>13195.614323225876</v>
          </cell>
          <cell r="O28">
            <v>13795.109672297031</v>
          </cell>
          <cell r="P28">
            <v>14208.958041693268</v>
          </cell>
          <cell r="Q28">
            <v>13820.23638975267</v>
          </cell>
          <cell r="R28">
            <v>14092.964235774822</v>
          </cell>
          <cell r="S28">
            <v>14562.59122539115</v>
          </cell>
          <cell r="T28">
            <v>14593.890965406406</v>
          </cell>
          <cell r="U28">
            <v>14364.057964945516</v>
          </cell>
          <cell r="V28">
            <v>14050.330480174267</v>
          </cell>
          <cell r="W28">
            <v>15018.585479284835</v>
          </cell>
          <cell r="X28">
            <v>15148.424483522631</v>
          </cell>
          <cell r="Y28">
            <v>14753.863165870385</v>
          </cell>
          <cell r="Z28">
            <v>14106.812438497327</v>
          </cell>
          <cell r="AA28">
            <v>13090.839515547148</v>
          </cell>
          <cell r="AB28">
            <v>11968.900986069682</v>
          </cell>
        </row>
        <row r="29">
          <cell r="D29">
            <v>5</v>
          </cell>
          <cell r="E29">
            <v>12053.573856275107</v>
          </cell>
          <cell r="F29">
            <v>11443.216655555589</v>
          </cell>
          <cell r="G29">
            <v>10937.602463472287</v>
          </cell>
          <cell r="H29">
            <v>10592.698137093757</v>
          </cell>
          <cell r="I29">
            <v>10390.618742982537</v>
          </cell>
          <cell r="J29">
            <v>10082.475960013522</v>
          </cell>
          <cell r="K29">
            <v>9773.7383528535011</v>
          </cell>
          <cell r="L29">
            <v>10321.250679756264</v>
          </cell>
          <cell r="M29">
            <v>11044.842552467337</v>
          </cell>
          <cell r="N29">
            <v>11697.309603166143</v>
          </cell>
          <cell r="O29">
            <v>12213.144730765942</v>
          </cell>
          <cell r="P29">
            <v>12634.057752631801</v>
          </cell>
          <cell r="Q29">
            <v>12827.836640369438</v>
          </cell>
          <cell r="R29">
            <v>12863.649440898023</v>
          </cell>
          <cell r="S29">
            <v>12793.078894626084</v>
          </cell>
          <cell r="T29">
            <v>12736.187601030786</v>
          </cell>
          <cell r="U29">
            <v>12606.225273371887</v>
          </cell>
          <cell r="V29">
            <v>12726.653831134974</v>
          </cell>
          <cell r="W29">
            <v>14219.61371068026</v>
          </cell>
          <cell r="X29">
            <v>14647.124203991334</v>
          </cell>
          <cell r="Y29">
            <v>14548.188028802697</v>
          </cell>
          <cell r="Z29">
            <v>14101.656450367595</v>
          </cell>
          <cell r="AA29">
            <v>13241.649480866592</v>
          </cell>
          <cell r="AB29">
            <v>12215.25529466077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21</v>
          </cell>
          <cell r="E31">
            <v>11812.40380060409</v>
          </cell>
          <cell r="F31">
            <v>11197.751237130162</v>
          </cell>
          <cell r="G31">
            <v>10701.767225944759</v>
          </cell>
          <cell r="H31">
            <v>10277.588899634649</v>
          </cell>
          <cell r="I31">
            <v>10163.250294949807</v>
          </cell>
          <cell r="J31">
            <v>10002.280634065719</v>
          </cell>
          <cell r="K31">
            <v>10150.111982301067</v>
          </cell>
          <cell r="L31">
            <v>11241.85749918721</v>
          </cell>
          <cell r="M31">
            <v>12514.263143367622</v>
          </cell>
          <cell r="N31">
            <v>13216.259428807545</v>
          </cell>
          <cell r="O31">
            <v>13661.834126130423</v>
          </cell>
          <cell r="P31">
            <v>13989.26337374512</v>
          </cell>
          <cell r="Q31">
            <v>13748.932550103695</v>
          </cell>
          <cell r="R31">
            <v>13501.628024411648</v>
          </cell>
          <cell r="S31">
            <v>13492.538396630574</v>
          </cell>
          <cell r="T31">
            <v>13416.496825787908</v>
          </cell>
          <cell r="U31">
            <v>13234.211138205403</v>
          </cell>
          <cell r="V31">
            <v>13315.37076867066</v>
          </cell>
          <cell r="W31">
            <v>14760.538820843938</v>
          </cell>
          <cell r="X31">
            <v>14897.915264312393</v>
          </cell>
          <cell r="Y31">
            <v>14418.194694479063</v>
          </cell>
          <cell r="Z31">
            <v>13823.143953544828</v>
          </cell>
          <cell r="AA31">
            <v>13040.620994067302</v>
          </cell>
          <cell r="AB31">
            <v>12164.114667707983</v>
          </cell>
        </row>
        <row r="32">
          <cell r="D32">
            <v>4</v>
          </cell>
          <cell r="E32">
            <v>10889.78793756238</v>
          </cell>
          <cell r="F32">
            <v>10351.101572665688</v>
          </cell>
          <cell r="G32">
            <v>9956.8324490516789</v>
          </cell>
          <cell r="H32">
            <v>9685.2627492872471</v>
          </cell>
          <cell r="I32">
            <v>9650.4161099015364</v>
          </cell>
          <cell r="J32">
            <v>9638.28458720657</v>
          </cell>
          <cell r="K32">
            <v>9785.0876434899055</v>
          </cell>
          <cell r="L32">
            <v>10931.823637111125</v>
          </cell>
          <cell r="M32">
            <v>12053.102094778595</v>
          </cell>
          <cell r="N32">
            <v>12700.578257773632</v>
          </cell>
          <cell r="O32">
            <v>13333.095100969242</v>
          </cell>
          <cell r="P32">
            <v>13788.689491241279</v>
          </cell>
          <cell r="Q32">
            <v>13487.882007503305</v>
          </cell>
          <cell r="R32">
            <v>13631.664471066855</v>
          </cell>
          <cell r="S32">
            <v>13990.470805468694</v>
          </cell>
          <cell r="T32">
            <v>13972.9493819483</v>
          </cell>
          <cell r="U32">
            <v>13771.678736336564</v>
          </cell>
          <cell r="V32">
            <v>13504.164522464973</v>
          </cell>
          <cell r="W32">
            <v>14487.797900011996</v>
          </cell>
          <cell r="X32">
            <v>14760.792326175513</v>
          </cell>
          <cell r="Y32">
            <v>14358.783789608788</v>
          </cell>
          <cell r="Z32">
            <v>13698.706318301904</v>
          </cell>
          <cell r="AA32">
            <v>12706.449456007713</v>
          </cell>
          <cell r="AB32">
            <v>11671.625430550099</v>
          </cell>
        </row>
        <row r="33">
          <cell r="D33">
            <v>4</v>
          </cell>
          <cell r="E33">
            <v>10881.766616352616</v>
          </cell>
          <cell r="F33">
            <v>10455.638585978164</v>
          </cell>
          <cell r="G33">
            <v>10018.621307398587</v>
          </cell>
          <cell r="H33">
            <v>9786.2549453225638</v>
          </cell>
          <cell r="I33">
            <v>9711.7207813646892</v>
          </cell>
          <cell r="J33">
            <v>9470.6961378838878</v>
          </cell>
          <cell r="K33">
            <v>9431.3147439770783</v>
          </cell>
          <cell r="L33">
            <v>10162.129854870265</v>
          </cell>
          <cell r="M33">
            <v>11009.506929322184</v>
          </cell>
          <cell r="N33">
            <v>11668.38632896048</v>
          </cell>
          <cell r="O33">
            <v>12169.292899112623</v>
          </cell>
          <cell r="P33">
            <v>12791.64295509596</v>
          </cell>
          <cell r="Q33">
            <v>13140.289326365015</v>
          </cell>
          <cell r="R33">
            <v>13206.355868166214</v>
          </cell>
          <cell r="S33">
            <v>13221.571951641474</v>
          </cell>
          <cell r="T33">
            <v>13247.485240814402</v>
          </cell>
          <cell r="U33">
            <v>13112.326046824339</v>
          </cell>
          <cell r="V33">
            <v>13115.744080696619</v>
          </cell>
          <cell r="W33">
            <v>14659.213228564375</v>
          </cell>
          <cell r="X33">
            <v>15215.606942408656</v>
          </cell>
          <cell r="Y33">
            <v>15122.965682918435</v>
          </cell>
          <cell r="Z33">
            <v>14613.404750596364</v>
          </cell>
          <cell r="AA33">
            <v>13678.850521659411</v>
          </cell>
          <cell r="AB33">
            <v>12586.758267760993</v>
          </cell>
        </row>
        <row r="34">
          <cell r="D34">
            <v>2</v>
          </cell>
          <cell r="E34">
            <v>10881.766616352616</v>
          </cell>
          <cell r="F34">
            <v>10455.638585978164</v>
          </cell>
          <cell r="G34">
            <v>10018.621307398587</v>
          </cell>
          <cell r="H34">
            <v>9786.2549453225638</v>
          </cell>
          <cell r="I34">
            <v>9711.7207813646892</v>
          </cell>
          <cell r="J34">
            <v>9470.6961378838878</v>
          </cell>
          <cell r="K34">
            <v>9431.3147439770783</v>
          </cell>
          <cell r="L34">
            <v>10162.129854870265</v>
          </cell>
          <cell r="M34">
            <v>11009.506929322184</v>
          </cell>
          <cell r="N34">
            <v>11668.38632896048</v>
          </cell>
          <cell r="O34">
            <v>12169.292899112623</v>
          </cell>
          <cell r="P34">
            <v>12791.64295509596</v>
          </cell>
          <cell r="Q34">
            <v>13140.289326365015</v>
          </cell>
          <cell r="R34">
            <v>13206.355868166214</v>
          </cell>
          <cell r="S34">
            <v>13221.571951641474</v>
          </cell>
          <cell r="T34">
            <v>13247.485240814402</v>
          </cell>
          <cell r="U34">
            <v>13112.326046824339</v>
          </cell>
          <cell r="V34">
            <v>13115.744080696619</v>
          </cell>
          <cell r="W34">
            <v>14659.213228564375</v>
          </cell>
          <cell r="X34">
            <v>15215.606942408656</v>
          </cell>
          <cell r="Y34">
            <v>15122.965682918435</v>
          </cell>
          <cell r="Z34">
            <v>14613.404750596364</v>
          </cell>
          <cell r="AA34">
            <v>13678.850521659411</v>
          </cell>
          <cell r="AB34">
            <v>12586.758267760993</v>
          </cell>
        </row>
        <row r="35">
          <cell r="D35">
            <v>19</v>
          </cell>
          <cell r="E35">
            <v>10667.660114634498</v>
          </cell>
          <cell r="F35">
            <v>10138.063696088098</v>
          </cell>
          <cell r="G35">
            <v>9746.7762225955939</v>
          </cell>
          <cell r="H35">
            <v>9485.666619022084</v>
          </cell>
          <cell r="I35">
            <v>9415.9184878468823</v>
          </cell>
          <cell r="J35">
            <v>9315.8789795358389</v>
          </cell>
          <cell r="K35">
            <v>9471.3228602376003</v>
          </cell>
          <cell r="L35">
            <v>10612.185384040058</v>
          </cell>
          <cell r="M35">
            <v>11866.639328624673</v>
          </cell>
          <cell r="N35">
            <v>12637.962841270071</v>
          </cell>
          <cell r="O35">
            <v>13308.233615123047</v>
          </cell>
          <cell r="P35">
            <v>13677.116793769306</v>
          </cell>
          <cell r="Q35">
            <v>13475.200867334848</v>
          </cell>
          <cell r="R35">
            <v>13243.83117004075</v>
          </cell>
          <cell r="S35">
            <v>13255.002931401596</v>
          </cell>
          <cell r="T35">
            <v>13216.88976583616</v>
          </cell>
          <cell r="U35">
            <v>13082.987251985878</v>
          </cell>
          <cell r="V35">
            <v>13096.961132809916</v>
          </cell>
          <cell r="W35">
            <v>14225.246359001829</v>
          </cell>
          <cell r="X35">
            <v>14428.312072328494</v>
          </cell>
          <cell r="Y35">
            <v>13925.595381515033</v>
          </cell>
          <cell r="Z35">
            <v>13351.836438838358</v>
          </cell>
          <cell r="AA35">
            <v>12643.719643550798</v>
          </cell>
          <cell r="AB35">
            <v>11843.620077756172</v>
          </cell>
        </row>
        <row r="36">
          <cell r="D36">
            <v>5</v>
          </cell>
          <cell r="E36">
            <v>10985.661082266137</v>
          </cell>
          <cell r="F36">
            <v>10445.044593455881</v>
          </cell>
          <cell r="G36">
            <v>10034.242593316987</v>
          </cell>
          <cell r="H36">
            <v>9749.199683179806</v>
          </cell>
          <cell r="I36">
            <v>9715.6562243094904</v>
          </cell>
          <cell r="J36">
            <v>9824.695409798891</v>
          </cell>
          <cell r="K36">
            <v>9891.375867280587</v>
          </cell>
          <cell r="L36">
            <v>11004.132386197438</v>
          </cell>
          <cell r="M36">
            <v>12179.695139655762</v>
          </cell>
          <cell r="N36">
            <v>12859.928772850077</v>
          </cell>
          <cell r="O36">
            <v>13501.809891893552</v>
          </cell>
          <cell r="P36">
            <v>13920.711166239458</v>
          </cell>
          <cell r="Q36">
            <v>13566.234324279172</v>
          </cell>
          <cell r="R36">
            <v>13892.565609296222</v>
          </cell>
          <cell r="S36">
            <v>14364.291401746774</v>
          </cell>
          <cell r="T36">
            <v>14383.157438597294</v>
          </cell>
          <cell r="U36">
            <v>14115.45140189628</v>
          </cell>
          <cell r="V36">
            <v>13651.5041321601</v>
          </cell>
          <cell r="W36">
            <v>14454.010743180599</v>
          </cell>
          <cell r="X36">
            <v>14876.939687747437</v>
          </cell>
          <cell r="Y36">
            <v>14537.679244087256</v>
          </cell>
          <cell r="Z36">
            <v>13921.529250287478</v>
          </cell>
          <cell r="AA36">
            <v>12917.061440050215</v>
          </cell>
          <cell r="AB36">
            <v>11865.929334474835</v>
          </cell>
        </row>
        <row r="37">
          <cell r="D37">
            <v>4</v>
          </cell>
          <cell r="E37">
            <v>10456.811906759374</v>
          </cell>
          <cell r="F37">
            <v>10034.17252829676</v>
          </cell>
          <cell r="G37">
            <v>9688.8218174934573</v>
          </cell>
          <cell r="H37">
            <v>9465.0662253193714</v>
          </cell>
          <cell r="I37">
            <v>9375.813271725523</v>
          </cell>
          <cell r="J37">
            <v>9113.2668414929467</v>
          </cell>
          <cell r="K37">
            <v>8993.3581041027137</v>
          </cell>
          <cell r="L37">
            <v>9725.9922916506475</v>
          </cell>
          <cell r="M37">
            <v>10573.199116575081</v>
          </cell>
          <cell r="N37">
            <v>11101.10449649498</v>
          </cell>
          <cell r="O37">
            <v>11727.138318452042</v>
          </cell>
          <cell r="P37">
            <v>12190.427194333068</v>
          </cell>
          <cell r="Q37">
            <v>12426.714550241639</v>
          </cell>
          <cell r="R37">
            <v>12377.458155466104</v>
          </cell>
          <cell r="S37">
            <v>12274.501630393885</v>
          </cell>
          <cell r="T37">
            <v>12179.849046403124</v>
          </cell>
          <cell r="U37">
            <v>12086.703556840441</v>
          </cell>
          <cell r="V37">
            <v>12269.032591357694</v>
          </cell>
          <cell r="W37">
            <v>13750.149875319881</v>
          </cell>
          <cell r="X37">
            <v>14296.569953245238</v>
          </cell>
          <cell r="Y37">
            <v>14115.154083203681</v>
          </cell>
          <cell r="Z37">
            <v>13593.632941576634</v>
          </cell>
          <cell r="AA37">
            <v>12674.979531204346</v>
          </cell>
          <cell r="AB37">
            <v>11621.544265087296</v>
          </cell>
        </row>
        <row r="38">
          <cell r="D38">
            <v>2</v>
          </cell>
          <cell r="E38">
            <v>10456.811906759374</v>
          </cell>
          <cell r="F38">
            <v>10034.17252829676</v>
          </cell>
          <cell r="G38">
            <v>9688.8218174934573</v>
          </cell>
          <cell r="H38">
            <v>9465.0662253193714</v>
          </cell>
          <cell r="I38">
            <v>9375.813271725523</v>
          </cell>
          <cell r="J38">
            <v>9113.2668414929467</v>
          </cell>
          <cell r="K38">
            <v>8993.3581041027137</v>
          </cell>
          <cell r="L38">
            <v>9725.9922916506475</v>
          </cell>
          <cell r="M38">
            <v>10573.199116575081</v>
          </cell>
          <cell r="N38">
            <v>11101.10449649498</v>
          </cell>
          <cell r="O38">
            <v>11727.138318452042</v>
          </cell>
          <cell r="P38">
            <v>12190.427194333068</v>
          </cell>
          <cell r="Q38">
            <v>12426.714550241639</v>
          </cell>
          <cell r="R38">
            <v>12377.458155466104</v>
          </cell>
          <cell r="S38">
            <v>12274.501630393885</v>
          </cell>
          <cell r="T38">
            <v>12179.849046403124</v>
          </cell>
          <cell r="U38">
            <v>12086.703556840441</v>
          </cell>
          <cell r="V38">
            <v>12269.032591357694</v>
          </cell>
          <cell r="W38">
            <v>13750.149875319881</v>
          </cell>
          <cell r="X38">
            <v>14296.569953245238</v>
          </cell>
          <cell r="Y38">
            <v>14115.154083203681</v>
          </cell>
          <cell r="Z38">
            <v>13593.632941576634</v>
          </cell>
          <cell r="AA38">
            <v>12674.979531204346</v>
          </cell>
          <cell r="AB38">
            <v>11621.544265087296</v>
          </cell>
        </row>
        <row r="39">
          <cell r="D39">
            <v>20</v>
          </cell>
          <cell r="E39">
            <v>11006.337051814664</v>
          </cell>
          <cell r="F39">
            <v>10476.654437895741</v>
          </cell>
          <cell r="G39">
            <v>10127.481445542595</v>
          </cell>
          <cell r="H39">
            <v>9868.9938471934638</v>
          </cell>
          <cell r="I39">
            <v>9828.9017827324478</v>
          </cell>
          <cell r="J39">
            <v>9783.088714741707</v>
          </cell>
          <cell r="K39">
            <v>9873.1478492834704</v>
          </cell>
          <cell r="L39">
            <v>11024.883880961463</v>
          </cell>
          <cell r="M39">
            <v>12364.810483167645</v>
          </cell>
          <cell r="N39">
            <v>13123.94230942222</v>
          </cell>
          <cell r="O39">
            <v>13806.763584658613</v>
          </cell>
          <cell r="P39">
            <v>14117.447482132391</v>
          </cell>
          <cell r="Q39">
            <v>13933.281842176069</v>
          </cell>
          <cell r="R39">
            <v>13740.057959893607</v>
          </cell>
          <cell r="S39">
            <v>13762.57767721223</v>
          </cell>
          <cell r="T39">
            <v>13800.259398711174</v>
          </cell>
          <cell r="U39">
            <v>13607.300662112093</v>
          </cell>
          <cell r="V39">
            <v>13576.73108364974</v>
          </cell>
          <cell r="W39">
            <v>14726.67539257653</v>
          </cell>
          <cell r="X39">
            <v>15118.010368213056</v>
          </cell>
          <cell r="Y39">
            <v>14636.597796510598</v>
          </cell>
          <cell r="Z39">
            <v>13987.635593211828</v>
          </cell>
          <cell r="AA39">
            <v>13161.949176558104</v>
          </cell>
          <cell r="AB39">
            <v>12282.300679653021</v>
          </cell>
        </row>
        <row r="40">
          <cell r="D40">
            <v>4</v>
          </cell>
          <cell r="E40">
            <v>11706.831216598735</v>
          </cell>
          <cell r="F40">
            <v>11093.696737774004</v>
          </cell>
          <cell r="G40">
            <v>10644.305792695595</v>
          </cell>
          <cell r="H40">
            <v>10327.23860248106</v>
          </cell>
          <cell r="I40">
            <v>10305.376481983851</v>
          </cell>
          <cell r="J40">
            <v>10494.14959163505</v>
          </cell>
          <cell r="K40">
            <v>10555.697715471779</v>
          </cell>
          <cell r="L40">
            <v>11706.662798828856</v>
          </cell>
          <cell r="M40">
            <v>12945.531715922983</v>
          </cell>
          <cell r="N40">
            <v>13649.621724591258</v>
          </cell>
          <cell r="O40">
            <v>14361.210752012776</v>
          </cell>
          <cell r="P40">
            <v>14874.717672110675</v>
          </cell>
          <cell r="Q40">
            <v>14486.139449709741</v>
          </cell>
          <cell r="R40">
            <v>14776.507071301468</v>
          </cell>
          <cell r="S40">
            <v>15264.450607402454</v>
          </cell>
          <cell r="T40">
            <v>15264.591964356456</v>
          </cell>
          <cell r="U40">
            <v>14973.340669280784</v>
          </cell>
          <cell r="V40">
            <v>14543.684051360529</v>
          </cell>
          <cell r="W40">
            <v>15543.186098012397</v>
          </cell>
          <cell r="X40">
            <v>15863.465701245057</v>
          </cell>
          <cell r="Y40">
            <v>15528.142425219921</v>
          </cell>
          <cell r="Z40">
            <v>14867.803518139641</v>
          </cell>
          <cell r="AA40">
            <v>13782.335974575162</v>
          </cell>
          <cell r="AB40">
            <v>12613.845955692972</v>
          </cell>
        </row>
        <row r="41">
          <cell r="D41">
            <v>5</v>
          </cell>
          <cell r="E41">
            <v>11042.062806657683</v>
          </cell>
          <cell r="F41">
            <v>10598.515218911796</v>
          </cell>
          <cell r="G41">
            <v>10223.06153071852</v>
          </cell>
          <cell r="H41">
            <v>9879.3615845273271</v>
          </cell>
          <cell r="I41">
            <v>9763.9680664103707</v>
          </cell>
          <cell r="J41">
            <v>9611.8139931902788</v>
          </cell>
          <cell r="K41">
            <v>9428.6259386842394</v>
          </cell>
          <cell r="L41">
            <v>10131.679134601442</v>
          </cell>
          <cell r="M41">
            <v>11050.441633064047</v>
          </cell>
          <cell r="N41">
            <v>11791.837186573659</v>
          </cell>
          <cell r="O41">
            <v>12323.569188826857</v>
          </cell>
          <cell r="P41">
            <v>12593.06335690667</v>
          </cell>
          <cell r="Q41">
            <v>13055.454590545763</v>
          </cell>
          <cell r="R41">
            <v>13085.827537860561</v>
          </cell>
          <cell r="S41">
            <v>13062.594664595219</v>
          </cell>
          <cell r="T41">
            <v>13100.053495019985</v>
          </cell>
          <cell r="U41">
            <v>12997.743149801032</v>
          </cell>
          <cell r="V41">
            <v>12880.00843986212</v>
          </cell>
          <cell r="W41">
            <v>14234.247418258979</v>
          </cell>
          <cell r="X41">
            <v>15015.07201287008</v>
          </cell>
          <cell r="Y41">
            <v>14812.02978274897</v>
          </cell>
          <cell r="Z41">
            <v>14304.673438022535</v>
          </cell>
          <cell r="AA41">
            <v>13446.582351488556</v>
          </cell>
          <cell r="AB41">
            <v>12491.161234183441</v>
          </cell>
        </row>
        <row r="42">
          <cell r="D42">
            <v>2</v>
          </cell>
          <cell r="E42">
            <v>11042.062806657683</v>
          </cell>
          <cell r="F42">
            <v>10598.515218911796</v>
          </cell>
          <cell r="G42">
            <v>10223.06153071852</v>
          </cell>
          <cell r="H42">
            <v>9879.3615845273271</v>
          </cell>
          <cell r="I42">
            <v>9763.9680664103707</v>
          </cell>
          <cell r="J42">
            <v>9611.8139931902788</v>
          </cell>
          <cell r="K42">
            <v>9428.6259386842394</v>
          </cell>
          <cell r="L42">
            <v>10131.679134601442</v>
          </cell>
          <cell r="M42">
            <v>11050.441633064047</v>
          </cell>
          <cell r="N42">
            <v>11791.837186573659</v>
          </cell>
          <cell r="O42">
            <v>12323.569188826857</v>
          </cell>
          <cell r="P42">
            <v>12593.06335690667</v>
          </cell>
          <cell r="Q42">
            <v>13055.454590545763</v>
          </cell>
          <cell r="R42">
            <v>13085.827537860561</v>
          </cell>
          <cell r="S42">
            <v>13062.594664595219</v>
          </cell>
          <cell r="T42">
            <v>13100.053495019985</v>
          </cell>
          <cell r="U42">
            <v>12997.743149801032</v>
          </cell>
          <cell r="V42">
            <v>12880.00843986212</v>
          </cell>
          <cell r="W42">
            <v>14234.247418258979</v>
          </cell>
          <cell r="X42">
            <v>15015.07201287008</v>
          </cell>
          <cell r="Y42">
            <v>14812.02978274897</v>
          </cell>
          <cell r="Z42">
            <v>14304.673438022535</v>
          </cell>
          <cell r="AA42">
            <v>13446.582351488556</v>
          </cell>
          <cell r="AB42">
            <v>12491.161234183441</v>
          </cell>
        </row>
        <row r="43">
          <cell r="D43">
            <v>21</v>
          </cell>
          <cell r="E43">
            <v>11366.682140110761</v>
          </cell>
          <cell r="F43">
            <v>10754.174179675505</v>
          </cell>
          <cell r="G43">
            <v>10297.173635564508</v>
          </cell>
          <cell r="H43">
            <v>9991.1266051458351</v>
          </cell>
          <cell r="I43">
            <v>9878.7084165697506</v>
          </cell>
          <cell r="J43">
            <v>9850.3886571983949</v>
          </cell>
          <cell r="K43">
            <v>9882.7393830142846</v>
          </cell>
          <cell r="L43">
            <v>11023.093106990638</v>
          </cell>
          <cell r="M43">
            <v>12307.069075935442</v>
          </cell>
          <cell r="N43">
            <v>13096.191592729496</v>
          </cell>
          <cell r="O43">
            <v>13751.548369423404</v>
          </cell>
          <cell r="P43">
            <v>14169.619189066745</v>
          </cell>
          <cell r="Q43">
            <v>13934.504534109406</v>
          </cell>
          <cell r="R43">
            <v>13735.929679044788</v>
          </cell>
          <cell r="S43">
            <v>13715.246509157971</v>
          </cell>
          <cell r="T43">
            <v>13603.32910155967</v>
          </cell>
          <cell r="U43">
            <v>13330.641225196419</v>
          </cell>
          <cell r="V43">
            <v>13312.963015827645</v>
          </cell>
          <cell r="W43">
            <v>14519.940567847372</v>
          </cell>
          <cell r="X43">
            <v>14706.299662870491</v>
          </cell>
          <cell r="Y43">
            <v>14275.324898430626</v>
          </cell>
          <cell r="Z43">
            <v>13681.13572588362</v>
          </cell>
          <cell r="AA43">
            <v>12842.910947589922</v>
          </cell>
          <cell r="AB43">
            <v>11950.264734928222</v>
          </cell>
        </row>
        <row r="44">
          <cell r="D44">
            <v>4</v>
          </cell>
          <cell r="E44">
            <v>11216.509795916863</v>
          </cell>
          <cell r="F44">
            <v>10659.7599674967</v>
          </cell>
          <cell r="G44">
            <v>10233.941141467545</v>
          </cell>
          <cell r="H44">
            <v>9933.6554573466947</v>
          </cell>
          <cell r="I44">
            <v>9904.9882945231166</v>
          </cell>
          <cell r="J44">
            <v>10067.029834518773</v>
          </cell>
          <cell r="K44">
            <v>10174.453076155711</v>
          </cell>
          <cell r="L44">
            <v>11335.179949668278</v>
          </cell>
          <cell r="M44">
            <v>12524.625254258097</v>
          </cell>
          <cell r="N44">
            <v>13198.419178317541</v>
          </cell>
          <cell r="O44">
            <v>13897.817200661719</v>
          </cell>
          <cell r="P44">
            <v>14371.05035723059</v>
          </cell>
          <cell r="Q44">
            <v>14002.304358238072</v>
          </cell>
          <cell r="R44">
            <v>14333.457879712732</v>
          </cell>
          <cell r="S44">
            <v>14831.236658745836</v>
          </cell>
          <cell r="T44">
            <v>14841.784354275709</v>
          </cell>
          <cell r="U44">
            <v>14568.205188477508</v>
          </cell>
          <cell r="V44">
            <v>14323.346956135601</v>
          </cell>
          <cell r="W44">
            <v>15375.446653779363</v>
          </cell>
          <cell r="X44">
            <v>15312.995344439245</v>
          </cell>
          <cell r="Y44">
            <v>14917.817280123701</v>
          </cell>
          <cell r="Z44">
            <v>14234.095533393071</v>
          </cell>
          <cell r="AA44">
            <v>13144.365593669592</v>
          </cell>
          <cell r="AB44">
            <v>12026.365209752101</v>
          </cell>
        </row>
        <row r="45">
          <cell r="D45">
            <v>4</v>
          </cell>
          <cell r="E45">
            <v>11210.92035085291</v>
          </cell>
          <cell r="F45">
            <v>10626.653828376488</v>
          </cell>
          <cell r="G45">
            <v>10172.872793270073</v>
          </cell>
          <cell r="H45">
            <v>9844.666708112165</v>
          </cell>
          <cell r="I45">
            <v>9706.9329425039086</v>
          </cell>
          <cell r="J45">
            <v>9521.3471283818508</v>
          </cell>
          <cell r="K45">
            <v>9318.3026428772573</v>
          </cell>
          <cell r="L45">
            <v>9996.192549461266</v>
          </cell>
          <cell r="M45">
            <v>10742.539078382004</v>
          </cell>
          <cell r="N45">
            <v>11415.178108735572</v>
          </cell>
          <cell r="O45">
            <v>12052.90162733312</v>
          </cell>
          <cell r="P45">
            <v>12598.562010417925</v>
          </cell>
          <cell r="Q45">
            <v>12799.353897027042</v>
          </cell>
          <cell r="R45">
            <v>12737.918736681313</v>
          </cell>
          <cell r="S45">
            <v>12680.670865178581</v>
          </cell>
          <cell r="T45">
            <v>12721.081692874479</v>
          </cell>
          <cell r="U45">
            <v>12605.036229576261</v>
          </cell>
          <cell r="V45">
            <v>12590.775415516177</v>
          </cell>
          <cell r="W45">
            <v>14051.011777892441</v>
          </cell>
          <cell r="X45">
            <v>14842.631379066645</v>
          </cell>
          <cell r="Y45">
            <v>14763.470448891818</v>
          </cell>
          <cell r="Z45">
            <v>14207.971825254068</v>
          </cell>
          <cell r="AA45">
            <v>13244.746164127258</v>
          </cell>
          <cell r="AB45">
            <v>12189.58553812187</v>
          </cell>
        </row>
        <row r="46">
          <cell r="D46">
            <v>2</v>
          </cell>
          <cell r="E46">
            <v>11210.92035085291</v>
          </cell>
          <cell r="F46">
            <v>10626.653828376488</v>
          </cell>
          <cell r="G46">
            <v>10172.872793270073</v>
          </cell>
          <cell r="H46">
            <v>9844.666708112165</v>
          </cell>
          <cell r="I46">
            <v>9706.9329425039086</v>
          </cell>
          <cell r="J46">
            <v>9521.3471283818508</v>
          </cell>
          <cell r="K46">
            <v>9318.3026428772573</v>
          </cell>
          <cell r="L46">
            <v>9996.192549461266</v>
          </cell>
          <cell r="M46">
            <v>10742.539078382004</v>
          </cell>
          <cell r="N46">
            <v>11415.178108735572</v>
          </cell>
          <cell r="O46">
            <v>12052.90162733312</v>
          </cell>
          <cell r="P46">
            <v>12598.562010417925</v>
          </cell>
          <cell r="Q46">
            <v>12799.353897027042</v>
          </cell>
          <cell r="R46">
            <v>12737.918736681313</v>
          </cell>
          <cell r="S46">
            <v>12680.670865178581</v>
          </cell>
          <cell r="T46">
            <v>12721.081692874479</v>
          </cell>
          <cell r="U46">
            <v>12605.036229576261</v>
          </cell>
          <cell r="V46">
            <v>12590.775415516177</v>
          </cell>
          <cell r="W46">
            <v>14051.011777892441</v>
          </cell>
          <cell r="X46">
            <v>14842.631379066645</v>
          </cell>
          <cell r="Y46">
            <v>14763.470448891818</v>
          </cell>
          <cell r="Z46">
            <v>14207.971825254068</v>
          </cell>
          <cell r="AA46">
            <v>13244.746164127258</v>
          </cell>
          <cell r="AB46">
            <v>12189.58553812187</v>
          </cell>
        </row>
        <row r="47">
          <cell r="D47">
            <v>20</v>
          </cell>
          <cell r="E47">
            <v>11504.241986818673</v>
          </cell>
          <cell r="F47">
            <v>10917.076354446172</v>
          </cell>
          <cell r="G47">
            <v>10462.776693304873</v>
          </cell>
          <cell r="H47">
            <v>10140.938624050827</v>
          </cell>
          <cell r="I47">
            <v>10046.50575291375</v>
          </cell>
          <cell r="J47">
            <v>9916.8054292611487</v>
          </cell>
          <cell r="K47">
            <v>9980.9567143816312</v>
          </cell>
          <cell r="L47">
            <v>11167.943289475352</v>
          </cell>
          <cell r="M47">
            <v>12435.66377402672</v>
          </cell>
          <cell r="N47">
            <v>13166.767181693056</v>
          </cell>
          <cell r="O47">
            <v>13789.639339511492</v>
          </cell>
          <cell r="P47">
            <v>14098.857929497935</v>
          </cell>
          <cell r="Q47">
            <v>13831.497890959623</v>
          </cell>
          <cell r="R47">
            <v>13631.870198162329</v>
          </cell>
          <cell r="S47">
            <v>13615.575246219207</v>
          </cell>
          <cell r="T47">
            <v>13592.171635283015</v>
          </cell>
          <cell r="U47">
            <v>13388.90225340096</v>
          </cell>
          <cell r="V47">
            <v>13545.724657962606</v>
          </cell>
          <cell r="W47">
            <v>14953.518507272855</v>
          </cell>
          <cell r="X47">
            <v>14810.820942383249</v>
          </cell>
          <cell r="Y47">
            <v>14296.808386450937</v>
          </cell>
          <cell r="Z47">
            <v>13657.977065106625</v>
          </cell>
          <cell r="AA47">
            <v>12889.417778989995</v>
          </cell>
          <cell r="AB47">
            <v>12042.131806454589</v>
          </cell>
        </row>
        <row r="48">
          <cell r="D48">
            <v>5</v>
          </cell>
          <cell r="E48">
            <v>10754.682636911251</v>
          </cell>
          <cell r="F48">
            <v>10213.419022855267</v>
          </cell>
          <cell r="G48">
            <v>9835.7285908553877</v>
          </cell>
          <cell r="H48">
            <v>9557.3255892475408</v>
          </cell>
          <cell r="I48">
            <v>9561.8926522366455</v>
          </cell>
          <cell r="J48">
            <v>9720.3604794860748</v>
          </cell>
          <cell r="K48">
            <v>9918.2180875218874</v>
          </cell>
          <cell r="L48">
            <v>11128.243904664419</v>
          </cell>
          <cell r="M48">
            <v>12306.819242630634</v>
          </cell>
          <cell r="N48">
            <v>12949.989827150697</v>
          </cell>
          <cell r="O48">
            <v>13630.538162586095</v>
          </cell>
          <cell r="P48">
            <v>14099.584355590025</v>
          </cell>
          <cell r="Q48">
            <v>13695.821020034155</v>
          </cell>
          <cell r="R48">
            <v>14003.834841747699</v>
          </cell>
          <cell r="S48">
            <v>14523.427054726855</v>
          </cell>
          <cell r="T48">
            <v>14549.619094334201</v>
          </cell>
          <cell r="U48">
            <v>14248.511009908911</v>
          </cell>
          <cell r="V48">
            <v>14287.82812313459</v>
          </cell>
          <cell r="W48">
            <v>15149.449078303121</v>
          </cell>
          <cell r="X48">
            <v>14892.136122609125</v>
          </cell>
          <cell r="Y48">
            <v>14415.889089514358</v>
          </cell>
          <cell r="Z48">
            <v>13714.640567940407</v>
          </cell>
          <cell r="AA48">
            <v>12704.193248786722</v>
          </cell>
          <cell r="AB48">
            <v>11654.366437669118</v>
          </cell>
        </row>
        <row r="49">
          <cell r="D49">
            <v>5</v>
          </cell>
          <cell r="E49">
            <v>11082.529163744741</v>
          </cell>
          <cell r="F49">
            <v>10543.353758501817</v>
          </cell>
          <cell r="G49">
            <v>10144.221839825268</v>
          </cell>
          <cell r="H49">
            <v>9842.7368158863737</v>
          </cell>
          <cell r="I49">
            <v>9858.5051348951329</v>
          </cell>
          <cell r="J49">
            <v>10169.204623734633</v>
          </cell>
          <cell r="K49">
            <v>10364.97282430712</v>
          </cell>
          <cell r="L49">
            <v>11648.70039340849</v>
          </cell>
          <cell r="M49">
            <v>12919.772977159613</v>
          </cell>
          <cell r="N49">
            <v>13592.64978386258</v>
          </cell>
          <cell r="O49">
            <v>14358.60515516952</v>
          </cell>
          <cell r="P49">
            <v>14874.270409561772</v>
          </cell>
          <cell r="Q49">
            <v>14350.732695609995</v>
          </cell>
          <cell r="R49">
            <v>14858.20772860716</v>
          </cell>
          <cell r="S49">
            <v>15577.849713214016</v>
          </cell>
          <cell r="T49">
            <v>15597.366651220185</v>
          </cell>
          <cell r="U49">
            <v>15243.324196679401</v>
          </cell>
          <cell r="V49">
            <v>14803.176409666043</v>
          </cell>
          <cell r="W49">
            <v>15668.537025755928</v>
          </cell>
          <cell r="X49">
            <v>15552.814561218152</v>
          </cell>
          <cell r="Y49">
            <v>15151.592750725722</v>
          </cell>
          <cell r="Z49">
            <v>14435.805529615962</v>
          </cell>
          <cell r="AA49">
            <v>13252.741664365733</v>
          </cell>
          <cell r="AB49">
            <v>12063.909877969487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11089.871274471048</v>
          </cell>
          <cell r="F51">
            <v>10529.081219072132</v>
          </cell>
          <cell r="G51">
            <v>10082.719050751144</v>
          </cell>
          <cell r="H51">
            <v>9713.7560906852777</v>
          </cell>
          <cell r="I51">
            <v>9573.7575248306548</v>
          </cell>
          <cell r="J51">
            <v>9496.0145607172053</v>
          </cell>
          <cell r="K51">
            <v>9696.4648878518183</v>
          </cell>
          <cell r="L51">
            <v>10913.069424903368</v>
          </cell>
          <cell r="M51">
            <v>12156.582513614167</v>
          </cell>
          <cell r="N51">
            <v>12878.445690892471</v>
          </cell>
          <cell r="O51">
            <v>13543.740585346944</v>
          </cell>
          <cell r="P51">
            <v>13892.710885914799</v>
          </cell>
          <cell r="Q51">
            <v>13645.803795065454</v>
          </cell>
          <cell r="R51">
            <v>13484.150875413809</v>
          </cell>
          <cell r="S51">
            <v>13539.672260248033</v>
          </cell>
          <cell r="T51">
            <v>13512.953765369763</v>
          </cell>
          <cell r="U51">
            <v>13339.182064229684</v>
          </cell>
          <cell r="V51">
            <v>13685.978944314704</v>
          </cell>
          <cell r="W51">
            <v>14933.684495330581</v>
          </cell>
          <cell r="X51">
            <v>14684.155572320275</v>
          </cell>
          <cell r="Y51">
            <v>14164.62664019685</v>
          </cell>
          <cell r="Z51">
            <v>13504.370062660304</v>
          </cell>
          <cell r="AA51">
            <v>12716.885760881585</v>
          </cell>
          <cell r="AB51">
            <v>11874.848820185036</v>
          </cell>
        </row>
        <row r="52">
          <cell r="D52">
            <v>4</v>
          </cell>
          <cell r="E52">
            <v>10307.628047046996</v>
          </cell>
          <cell r="F52">
            <v>9798.5036552262663</v>
          </cell>
          <cell r="G52">
            <v>9421.8077778177794</v>
          </cell>
          <cell r="H52">
            <v>9196.0318900321781</v>
          </cell>
          <cell r="I52">
            <v>9227.6100846986919</v>
          </cell>
          <cell r="J52">
            <v>9407.4029689027357</v>
          </cell>
          <cell r="K52">
            <v>9577.8923886802168</v>
          </cell>
          <cell r="L52">
            <v>10698.701897383255</v>
          </cell>
          <cell r="M52">
            <v>11817.588291214601</v>
          </cell>
          <cell r="N52">
            <v>12473.249874187932</v>
          </cell>
          <cell r="O52">
            <v>13074.853615253529</v>
          </cell>
          <cell r="P52">
            <v>13523.596990410117</v>
          </cell>
          <cell r="Q52">
            <v>13143.040687519353</v>
          </cell>
          <cell r="R52">
            <v>13315.449658131945</v>
          </cell>
          <cell r="S52">
            <v>13708.129001232808</v>
          </cell>
          <cell r="T52">
            <v>13745.450021665956</v>
          </cell>
          <cell r="U52">
            <v>13567.26154289333</v>
          </cell>
          <cell r="V52">
            <v>13813.753498990796</v>
          </cell>
          <cell r="W52">
            <v>14767.047429096612</v>
          </cell>
          <cell r="X52">
            <v>14480.004106465198</v>
          </cell>
          <cell r="Y52">
            <v>13917.316609339425</v>
          </cell>
          <cell r="Z52">
            <v>13142.595726613923</v>
          </cell>
          <cell r="AA52">
            <v>12132.373983943731</v>
          </cell>
          <cell r="AB52">
            <v>11119.865111411882</v>
          </cell>
        </row>
        <row r="53">
          <cell r="D53">
            <v>4</v>
          </cell>
          <cell r="E53">
            <v>10417.832648944192</v>
          </cell>
          <cell r="F53">
            <v>9976.7713432016171</v>
          </cell>
          <cell r="G53">
            <v>9625.9695657872635</v>
          </cell>
          <cell r="H53">
            <v>9410.0863562038885</v>
          </cell>
          <cell r="I53">
            <v>9335.1346670072671</v>
          </cell>
          <cell r="J53">
            <v>9188.0130493654178</v>
          </cell>
          <cell r="K53">
            <v>8969.4459390179982</v>
          </cell>
          <cell r="L53">
            <v>9674.5520658937749</v>
          </cell>
          <cell r="M53">
            <v>10259.507874973286</v>
          </cell>
          <cell r="N53">
            <v>11074.776711214645</v>
          </cell>
          <cell r="O53">
            <v>11711.054646990842</v>
          </cell>
          <cell r="P53">
            <v>12214.293742192987</v>
          </cell>
          <cell r="Q53">
            <v>12469.644428339348</v>
          </cell>
          <cell r="R53">
            <v>12474.933851266467</v>
          </cell>
          <cell r="S53">
            <v>12495.54968860056</v>
          </cell>
          <cell r="T53">
            <v>12527.017111198062</v>
          </cell>
          <cell r="U53">
            <v>12413.864235552484</v>
          </cell>
          <cell r="V53">
            <v>12941.157859310721</v>
          </cell>
          <cell r="W53">
            <v>14419.127734022524</v>
          </cell>
          <cell r="X53">
            <v>14595.656730917157</v>
          </cell>
          <cell r="Y53">
            <v>14366.347674736589</v>
          </cell>
          <cell r="Z53">
            <v>13824.253180947866</v>
          </cell>
          <cell r="AA53">
            <v>12793.899871964286</v>
          </cell>
          <cell r="AB53">
            <v>11691.980104457441</v>
          </cell>
        </row>
        <row r="54">
          <cell r="D54">
            <v>1</v>
          </cell>
          <cell r="E54">
            <v>10417.832648944192</v>
          </cell>
          <cell r="F54">
            <v>9976.7713432016171</v>
          </cell>
          <cell r="G54">
            <v>9625.9695657872635</v>
          </cell>
          <cell r="H54">
            <v>9410.0863562038885</v>
          </cell>
          <cell r="I54">
            <v>9335.1346670072671</v>
          </cell>
          <cell r="J54">
            <v>9188.0130493654178</v>
          </cell>
          <cell r="K54">
            <v>8969.4459390179982</v>
          </cell>
          <cell r="L54">
            <v>9674.5520658937749</v>
          </cell>
          <cell r="M54">
            <v>10259.507874973286</v>
          </cell>
          <cell r="N54">
            <v>11074.776711214645</v>
          </cell>
          <cell r="O54">
            <v>11711.054646990842</v>
          </cell>
          <cell r="P54">
            <v>12214.293742192987</v>
          </cell>
          <cell r="Q54">
            <v>12469.644428339348</v>
          </cell>
          <cell r="R54">
            <v>12474.933851266467</v>
          </cell>
          <cell r="S54">
            <v>12495.54968860056</v>
          </cell>
          <cell r="T54">
            <v>12527.017111198062</v>
          </cell>
          <cell r="U54">
            <v>12413.864235552484</v>
          </cell>
          <cell r="V54">
            <v>12941.157859310721</v>
          </cell>
          <cell r="W54">
            <v>14419.127734022524</v>
          </cell>
          <cell r="X54">
            <v>14595.656730917157</v>
          </cell>
          <cell r="Y54">
            <v>14366.347674736589</v>
          </cell>
          <cell r="Z54">
            <v>13824.253180947866</v>
          </cell>
          <cell r="AA54">
            <v>12793.899871964286</v>
          </cell>
          <cell r="AB54">
            <v>11691.980104457441</v>
          </cell>
        </row>
        <row r="55">
          <cell r="D55">
            <v>20</v>
          </cell>
          <cell r="E55">
            <v>10965.553028860288</v>
          </cell>
          <cell r="F55">
            <v>10429.112653224181</v>
          </cell>
          <cell r="G55">
            <v>10041.655263271818</v>
          </cell>
          <cell r="H55">
            <v>9787.9771740207798</v>
          </cell>
          <cell r="I55">
            <v>9790.2416063469009</v>
          </cell>
          <cell r="J55">
            <v>9871.6833929616296</v>
          </cell>
          <cell r="K55">
            <v>9939.9858942508145</v>
          </cell>
          <cell r="L55">
            <v>11186.491997133608</v>
          </cell>
          <cell r="M55">
            <v>12516.90302929515</v>
          </cell>
          <cell r="N55">
            <v>13363.931990703355</v>
          </cell>
          <cell r="O55">
            <v>14003.478869111001</v>
          </cell>
          <cell r="P55">
            <v>14338.933895867311</v>
          </cell>
          <cell r="Q55">
            <v>14051.137253619539</v>
          </cell>
          <cell r="R55">
            <v>13806.249422105027</v>
          </cell>
          <cell r="S55">
            <v>13771.976156340674</v>
          </cell>
          <cell r="T55">
            <v>13739.188830374751</v>
          </cell>
          <cell r="U55">
            <v>13598.534728999299</v>
          </cell>
          <cell r="V55">
            <v>14051.921396108435</v>
          </cell>
          <cell r="W55">
            <v>15292.684493738372</v>
          </cell>
          <cell r="X55">
            <v>14970.649687612919</v>
          </cell>
          <cell r="Y55">
            <v>14363.29147970673</v>
          </cell>
          <cell r="Z55">
            <v>13676.173370447523</v>
          </cell>
          <cell r="AA55">
            <v>12825.335373487716</v>
          </cell>
          <cell r="AB55">
            <v>11902.536825884597</v>
          </cell>
        </row>
        <row r="56">
          <cell r="D56">
            <v>4</v>
          </cell>
          <cell r="E56">
            <v>11950.325326246582</v>
          </cell>
          <cell r="F56">
            <v>11345.431823759651</v>
          </cell>
          <cell r="G56">
            <v>10898.460452998192</v>
          </cell>
          <cell r="H56">
            <v>10591.012861756648</v>
          </cell>
          <cell r="I56">
            <v>10525.901483377267</v>
          </cell>
          <cell r="J56">
            <v>10599.037730067015</v>
          </cell>
          <cell r="K56">
            <v>10542.145761696032</v>
          </cell>
          <cell r="L56">
            <v>11743.196848608355</v>
          </cell>
          <cell r="M56">
            <v>12992.024953703431</v>
          </cell>
          <cell r="N56">
            <v>13715.704202381545</v>
          </cell>
          <cell r="O56">
            <v>14354.387466574102</v>
          </cell>
          <cell r="P56">
            <v>14852.483750309946</v>
          </cell>
          <cell r="Q56">
            <v>14532.217114474961</v>
          </cell>
          <cell r="R56">
            <v>14683.613645702695</v>
          </cell>
          <cell r="S56">
            <v>15103.179765215973</v>
          </cell>
          <cell r="T56">
            <v>15126.869273134113</v>
          </cell>
          <cell r="U56">
            <v>14887.127714799039</v>
          </cell>
          <cell r="V56">
            <v>14925.809745731322</v>
          </cell>
          <cell r="W56">
            <v>16180.816325773172</v>
          </cell>
          <cell r="X56">
            <v>15921.455372139852</v>
          </cell>
          <cell r="Y56">
            <v>15407.910070239739</v>
          </cell>
          <cell r="Z56">
            <v>14727.36224541995</v>
          </cell>
          <cell r="AA56">
            <v>13814.853863203734</v>
          </cell>
          <cell r="AB56">
            <v>12789.86290442582</v>
          </cell>
        </row>
        <row r="57">
          <cell r="D57">
            <v>4</v>
          </cell>
          <cell r="E57">
            <v>11019.419879255905</v>
          </cell>
          <cell r="F57">
            <v>10433.939403065362</v>
          </cell>
          <cell r="G57">
            <v>9989.4927777708108</v>
          </cell>
          <cell r="H57">
            <v>9648.1216405670966</v>
          </cell>
          <cell r="I57">
            <v>9532.4575580508499</v>
          </cell>
          <cell r="J57">
            <v>9387.0874220315582</v>
          </cell>
          <cell r="K57">
            <v>9123.6157861872871</v>
          </cell>
          <cell r="L57">
            <v>9724.5723476177682</v>
          </cell>
          <cell r="M57">
            <v>10446.121200283593</v>
          </cell>
          <cell r="N57">
            <v>11009.41295646801</v>
          </cell>
          <cell r="O57">
            <v>11470.813312177035</v>
          </cell>
          <cell r="P57">
            <v>11879.795251163403</v>
          </cell>
          <cell r="Q57">
            <v>12007.418017536018</v>
          </cell>
          <cell r="R57">
            <v>12068.282284785229</v>
          </cell>
          <cell r="S57">
            <v>11894.850594611047</v>
          </cell>
          <cell r="T57">
            <v>11907.00931113667</v>
          </cell>
          <cell r="U57">
            <v>11935.903934040294</v>
          </cell>
          <cell r="V57">
            <v>12687.331464555948</v>
          </cell>
          <cell r="W57">
            <v>14156.963311124515</v>
          </cell>
          <cell r="X57">
            <v>14209.442074241388</v>
          </cell>
          <cell r="Y57">
            <v>13767.493693497525</v>
          </cell>
          <cell r="Z57">
            <v>12941.620831525213</v>
          </cell>
          <cell r="AA57">
            <v>11896.693684085172</v>
          </cell>
          <cell r="AB57">
            <v>10912.605799810686</v>
          </cell>
        </row>
        <row r="58">
          <cell r="D58">
            <v>2</v>
          </cell>
          <cell r="E58">
            <v>11019.419879255905</v>
          </cell>
          <cell r="F58">
            <v>10433.939403065362</v>
          </cell>
          <cell r="G58">
            <v>9989.4927777708108</v>
          </cell>
          <cell r="H58">
            <v>9648.1216405670966</v>
          </cell>
          <cell r="I58">
            <v>9532.4575580508499</v>
          </cell>
          <cell r="J58">
            <v>9387.0874220315582</v>
          </cell>
          <cell r="K58">
            <v>9123.6157861872871</v>
          </cell>
          <cell r="L58">
            <v>9724.5723476177682</v>
          </cell>
          <cell r="M58">
            <v>10446.121200283593</v>
          </cell>
          <cell r="N58">
            <v>11009.41295646801</v>
          </cell>
          <cell r="O58">
            <v>11470.813312177035</v>
          </cell>
          <cell r="P58">
            <v>11879.795251163403</v>
          </cell>
          <cell r="Q58">
            <v>12007.418017536018</v>
          </cell>
          <cell r="R58">
            <v>12068.282284785229</v>
          </cell>
          <cell r="S58">
            <v>11894.850594611047</v>
          </cell>
          <cell r="T58">
            <v>11907.00931113667</v>
          </cell>
          <cell r="U58">
            <v>11935.903934040294</v>
          </cell>
          <cell r="V58">
            <v>12687.331464555948</v>
          </cell>
          <cell r="W58">
            <v>14156.963311124515</v>
          </cell>
          <cell r="X58">
            <v>14209.442074241388</v>
          </cell>
          <cell r="Y58">
            <v>13767.493693497525</v>
          </cell>
          <cell r="Z58">
            <v>12941.620831525213</v>
          </cell>
          <cell r="AA58">
            <v>11896.693684085172</v>
          </cell>
          <cell r="AB58">
            <v>10912.605799810686</v>
          </cell>
        </row>
        <row r="59">
          <cell r="D59">
            <v>20</v>
          </cell>
          <cell r="E59">
            <v>11641.940030733102</v>
          </cell>
          <cell r="F59">
            <v>11027.549103954609</v>
          </cell>
          <cell r="G59">
            <v>10563.143250149866</v>
          </cell>
          <cell r="H59">
            <v>10240.343352965272</v>
          </cell>
          <cell r="I59">
            <v>10169.414139968119</v>
          </cell>
          <cell r="J59">
            <v>10221.072102069105</v>
          </cell>
          <cell r="K59">
            <v>10102.597264661525</v>
          </cell>
          <cell r="L59">
            <v>11186.305406888689</v>
          </cell>
          <cell r="M59">
            <v>12369.05309989379</v>
          </cell>
          <cell r="N59">
            <v>13117.37590847409</v>
          </cell>
          <cell r="O59">
            <v>13668.150217342554</v>
          </cell>
          <cell r="P59">
            <v>13998.651586434169</v>
          </cell>
          <cell r="Q59">
            <v>13695.769719517722</v>
          </cell>
          <cell r="R59">
            <v>13478.519476258914</v>
          </cell>
          <cell r="S59">
            <v>13511.282810733428</v>
          </cell>
          <cell r="T59">
            <v>13501.863761005343</v>
          </cell>
          <cell r="U59">
            <v>13334.483501912518</v>
          </cell>
          <cell r="V59">
            <v>13692.103596014082</v>
          </cell>
          <cell r="W59">
            <v>15078.764698868827</v>
          </cell>
          <cell r="X59">
            <v>14750.193148335884</v>
          </cell>
          <cell r="Y59">
            <v>14115.883035293946</v>
          </cell>
          <cell r="Z59">
            <v>13421.125812263494</v>
          </cell>
          <cell r="AA59">
            <v>12747.212340539749</v>
          </cell>
          <cell r="AB59">
            <v>11992.033208218378</v>
          </cell>
        </row>
        <row r="60">
          <cell r="D60">
            <v>4</v>
          </cell>
          <cell r="E60">
            <v>11426.466393068622</v>
          </cell>
          <cell r="F60">
            <v>10849.582533614281</v>
          </cell>
          <cell r="G60">
            <v>10416.341850777777</v>
          </cell>
          <cell r="H60">
            <v>10115.493131976098</v>
          </cell>
          <cell r="I60">
            <v>10082.487572267233</v>
          </cell>
          <cell r="J60">
            <v>10245.074343335538</v>
          </cell>
          <cell r="K60">
            <v>10288.626472689455</v>
          </cell>
          <cell r="L60">
            <v>11417.364948944018</v>
          </cell>
          <cell r="M60">
            <v>12587.63996240573</v>
          </cell>
          <cell r="N60">
            <v>13263.993389625179</v>
          </cell>
          <cell r="O60">
            <v>13924.963813002014</v>
          </cell>
          <cell r="P60">
            <v>14389.434197875702</v>
          </cell>
          <cell r="Q60">
            <v>14027.222112679523</v>
          </cell>
          <cell r="R60">
            <v>14305.667152318321</v>
          </cell>
          <cell r="S60">
            <v>14776.928384222087</v>
          </cell>
          <cell r="T60">
            <v>14809.936552816522</v>
          </cell>
          <cell r="U60">
            <v>14555.263473862895</v>
          </cell>
          <cell r="V60">
            <v>14293.331636355313</v>
          </cell>
          <cell r="W60">
            <v>15285.091998099313</v>
          </cell>
          <cell r="X60">
            <v>15377.027806766631</v>
          </cell>
          <cell r="Y60">
            <v>14989.924142164613</v>
          </cell>
          <cell r="Z60">
            <v>14340.119637868194</v>
          </cell>
          <cell r="AA60">
            <v>13344.494497038655</v>
          </cell>
          <cell r="AB60">
            <v>12279.732889153853</v>
          </cell>
        </row>
        <row r="61">
          <cell r="D61">
            <v>5</v>
          </cell>
          <cell r="E61">
            <v>11358.037179100244</v>
          </cell>
          <cell r="F61">
            <v>11005.787839175982</v>
          </cell>
          <cell r="G61">
            <v>10672.64294002568</v>
          </cell>
          <cell r="H61">
            <v>10353.296000810871</v>
          </cell>
          <cell r="I61">
            <v>10169.21646477132</v>
          </cell>
          <cell r="J61">
            <v>9902.9662394114966</v>
          </cell>
          <cell r="K61">
            <v>9287.8616011329941</v>
          </cell>
          <cell r="L61">
            <v>9596.4244913660459</v>
          </cell>
          <cell r="M61">
            <v>10098.094084959052</v>
          </cell>
          <cell r="N61">
            <v>10569.096972758423</v>
          </cell>
          <cell r="O61">
            <v>11008.19161580885</v>
          </cell>
          <cell r="P61">
            <v>11381.40238736165</v>
          </cell>
          <cell r="Q61">
            <v>11585.392324100347</v>
          </cell>
          <cell r="R61">
            <v>11594.410012259263</v>
          </cell>
          <cell r="S61">
            <v>11541.947246228385</v>
          </cell>
          <cell r="T61">
            <v>11605.756799754474</v>
          </cell>
          <cell r="U61">
            <v>11600.342117755657</v>
          </cell>
          <cell r="V61">
            <v>11975.306765382033</v>
          </cell>
          <cell r="W61">
            <v>13643.325449411695</v>
          </cell>
          <cell r="X61">
            <v>13769.486152789712</v>
          </cell>
          <cell r="Y61">
            <v>13595.061951918162</v>
          </cell>
          <cell r="Z61">
            <v>13181.702076301046</v>
          </cell>
          <cell r="AA61">
            <v>12500.425261296376</v>
          </cell>
          <cell r="AB61">
            <v>11709.99543940723</v>
          </cell>
        </row>
        <row r="62">
          <cell r="D62">
            <v>2</v>
          </cell>
          <cell r="E62">
            <v>11358.037179100244</v>
          </cell>
          <cell r="F62">
            <v>11005.787839175982</v>
          </cell>
          <cell r="G62">
            <v>10672.64294002568</v>
          </cell>
          <cell r="H62">
            <v>10353.296000810871</v>
          </cell>
          <cell r="I62">
            <v>10169.21646477132</v>
          </cell>
          <cell r="J62">
            <v>9902.9662394114966</v>
          </cell>
          <cell r="K62">
            <v>9287.8616011329941</v>
          </cell>
          <cell r="L62">
            <v>9596.4244913660459</v>
          </cell>
          <cell r="M62">
            <v>10098.094084959052</v>
          </cell>
          <cell r="N62">
            <v>10569.096972758423</v>
          </cell>
          <cell r="O62">
            <v>11008.19161580885</v>
          </cell>
          <cell r="P62">
            <v>11381.40238736165</v>
          </cell>
          <cell r="Q62">
            <v>11585.392324100347</v>
          </cell>
          <cell r="R62">
            <v>11594.410012259263</v>
          </cell>
          <cell r="S62">
            <v>11541.947246228385</v>
          </cell>
          <cell r="T62">
            <v>11605.756799754474</v>
          </cell>
          <cell r="U62">
            <v>11600.342117755657</v>
          </cell>
          <cell r="V62">
            <v>11975.306765382033</v>
          </cell>
          <cell r="W62">
            <v>13643.325449411695</v>
          </cell>
          <cell r="X62">
            <v>13769.486152789712</v>
          </cell>
          <cell r="Y62">
            <v>13595.061951918162</v>
          </cell>
          <cell r="Z62">
            <v>13181.702076301046</v>
          </cell>
          <cell r="AA62">
            <v>12500.425261296376</v>
          </cell>
          <cell r="AB62">
            <v>11709.99543940723</v>
          </cell>
        </row>
      </sheetData>
      <sheetData sheetId="22">
        <row r="15">
          <cell r="D15">
            <v>21</v>
          </cell>
          <cell r="E15">
            <v>23012.438944860798</v>
          </cell>
          <cell r="F15">
            <v>21765.222207162398</v>
          </cell>
          <cell r="G15">
            <v>20863.704933176974</v>
          </cell>
          <cell r="H15">
            <v>20233.401685613775</v>
          </cell>
          <cell r="I15">
            <v>20083.998269951313</v>
          </cell>
          <cell r="J15">
            <v>20574.276705248634</v>
          </cell>
          <cell r="K15">
            <v>20421.083491294685</v>
          </cell>
          <cell r="L15">
            <v>22835.863257468707</v>
          </cell>
          <cell r="M15">
            <v>25434.272865498486</v>
          </cell>
          <cell r="N15">
            <v>26938.995854929268</v>
          </cell>
          <cell r="O15">
            <v>28491.290714100585</v>
          </cell>
          <cell r="P15">
            <v>29595.220078137201</v>
          </cell>
          <cell r="Q15">
            <v>28772.874615946203</v>
          </cell>
          <cell r="R15">
            <v>29580.082165889897</v>
          </cell>
          <cell r="S15">
            <v>30926.303634152897</v>
          </cell>
          <cell r="T15">
            <v>31053.98935956553</v>
          </cell>
          <cell r="U15">
            <v>30411.181179275241</v>
          </cell>
          <cell r="V15">
            <v>29189.095326230919</v>
          </cell>
          <cell r="W15">
            <v>30921.820325764293</v>
          </cell>
          <cell r="X15">
            <v>31016.639168007827</v>
          </cell>
          <cell r="Y15">
            <v>30283.597328782282</v>
          </cell>
          <cell r="Z15">
            <v>29113.704467044943</v>
          </cell>
          <cell r="AA15">
            <v>27184.718161201701</v>
          </cell>
          <cell r="AB15">
            <v>25018.83480586559</v>
          </cell>
        </row>
        <row r="16">
          <cell r="D16">
            <v>4</v>
          </cell>
          <cell r="E16">
            <v>23185.849768648557</v>
          </cell>
          <cell r="F16">
            <v>21954.773688972549</v>
          </cell>
          <cell r="G16">
            <v>21042.704508653882</v>
          </cell>
          <cell r="H16">
            <v>20323.101078113064</v>
          </cell>
          <cell r="I16">
            <v>20134.431953186435</v>
          </cell>
          <cell r="J16">
            <v>20222.734048260718</v>
          </cell>
          <cell r="K16">
            <v>19700.153080099142</v>
          </cell>
          <cell r="L16">
            <v>21575.274977184807</v>
          </cell>
          <cell r="M16">
            <v>24051.818998748375</v>
          </cell>
          <cell r="N16">
            <v>25690.764491746191</v>
          </cell>
          <cell r="O16">
            <v>27040.194624701056</v>
          </cell>
          <cell r="P16">
            <v>27886.036785019944</v>
          </cell>
          <cell r="Q16">
            <v>27490.782854096891</v>
          </cell>
          <cell r="R16">
            <v>27213.648309455442</v>
          </cell>
          <cell r="S16">
            <v>27368.665828021865</v>
          </cell>
          <cell r="T16">
            <v>27359.947926639506</v>
          </cell>
          <cell r="U16">
            <v>26956.200890061853</v>
          </cell>
          <cell r="V16">
            <v>26750.045035593848</v>
          </cell>
          <cell r="W16">
            <v>29499.391909272283</v>
          </cell>
          <cell r="X16">
            <v>29794.74971476672</v>
          </cell>
          <cell r="Y16">
            <v>28971.232327770838</v>
          </cell>
          <cell r="Z16">
            <v>27945.661496165114</v>
          </cell>
          <cell r="AA16">
            <v>26552.767714984344</v>
          </cell>
          <cell r="AB16">
            <v>24926.228164255801</v>
          </cell>
        </row>
        <row r="17">
          <cell r="D17">
            <v>4</v>
          </cell>
          <cell r="E17">
            <v>23444.223068250209</v>
          </cell>
          <cell r="F17">
            <v>22257.056190009022</v>
          </cell>
          <cell r="G17">
            <v>21294.286599198542</v>
          </cell>
          <cell r="H17">
            <v>20524.796913551207</v>
          </cell>
          <cell r="I17">
            <v>20133.640232504527</v>
          </cell>
          <cell r="J17">
            <v>19940.731397335123</v>
          </cell>
          <cell r="K17">
            <v>18912.443050110243</v>
          </cell>
          <cell r="L17">
            <v>19757.661301328426</v>
          </cell>
          <cell r="M17">
            <v>21169.463499203091</v>
          </cell>
          <cell r="N17">
            <v>22608.136638691569</v>
          </cell>
          <cell r="O17">
            <v>23492.933071859075</v>
          </cell>
          <cell r="P17">
            <v>24280.817419493153</v>
          </cell>
          <cell r="Q17">
            <v>24749.916971333241</v>
          </cell>
          <cell r="R17">
            <v>24855.670797811636</v>
          </cell>
          <cell r="S17">
            <v>24924.591103950937</v>
          </cell>
          <cell r="T17">
            <v>24966.020148928252</v>
          </cell>
          <cell r="U17">
            <v>24819.84840955339</v>
          </cell>
          <cell r="V17">
            <v>24845.187285274096</v>
          </cell>
          <cell r="W17">
            <v>27854.282705870726</v>
          </cell>
          <cell r="X17">
            <v>28763.9370147187</v>
          </cell>
          <cell r="Y17">
            <v>28659.523213072564</v>
          </cell>
          <cell r="Z17">
            <v>27867.627764823046</v>
          </cell>
          <cell r="AA17">
            <v>26369.521057862123</v>
          </cell>
          <cell r="AB17">
            <v>24536.723126071181</v>
          </cell>
        </row>
        <row r="18">
          <cell r="D18">
            <v>2</v>
          </cell>
          <cell r="E18">
            <v>23444.223068250209</v>
          </cell>
          <cell r="F18">
            <v>22257.056190009022</v>
          </cell>
          <cell r="G18">
            <v>21294.286599198542</v>
          </cell>
          <cell r="H18">
            <v>20524.796913551207</v>
          </cell>
          <cell r="I18">
            <v>20133.640232504527</v>
          </cell>
          <cell r="J18">
            <v>19940.731397335123</v>
          </cell>
          <cell r="K18">
            <v>18912.443050110243</v>
          </cell>
          <cell r="L18">
            <v>19757.661301328426</v>
          </cell>
          <cell r="M18">
            <v>21169.463499203091</v>
          </cell>
          <cell r="N18">
            <v>22608.136638691569</v>
          </cell>
          <cell r="O18">
            <v>23492.933071859075</v>
          </cell>
          <cell r="P18">
            <v>24280.817419493153</v>
          </cell>
          <cell r="Q18">
            <v>24749.916971333241</v>
          </cell>
          <cell r="R18">
            <v>24855.670797811636</v>
          </cell>
          <cell r="S18">
            <v>24924.591103950937</v>
          </cell>
          <cell r="T18">
            <v>24966.020148928252</v>
          </cell>
          <cell r="U18">
            <v>24819.84840955339</v>
          </cell>
          <cell r="V18">
            <v>24845.187285274096</v>
          </cell>
          <cell r="W18">
            <v>27854.282705870726</v>
          </cell>
          <cell r="X18">
            <v>28763.9370147187</v>
          </cell>
          <cell r="Y18">
            <v>28659.523213072564</v>
          </cell>
          <cell r="Z18">
            <v>27867.627764823046</v>
          </cell>
          <cell r="AA18">
            <v>26369.521057862123</v>
          </cell>
          <cell r="AB18">
            <v>24536.723126071181</v>
          </cell>
        </row>
        <row r="19">
          <cell r="D19">
            <v>20</v>
          </cell>
          <cell r="E19">
            <v>23735.580692795884</v>
          </cell>
          <cell r="F19">
            <v>22483.076536007138</v>
          </cell>
          <cell r="G19">
            <v>21588.4267637708</v>
          </cell>
          <cell r="H19">
            <v>21002.787696079806</v>
          </cell>
          <cell r="I19">
            <v>21045.787049114238</v>
          </cell>
          <cell r="J19">
            <v>22214.732462088195</v>
          </cell>
          <cell r="K19">
            <v>22155.381100824536</v>
          </cell>
          <cell r="L19">
            <v>24442.610684828916</v>
          </cell>
          <cell r="M19">
            <v>26748.938124186436</v>
          </cell>
          <cell r="N19">
            <v>27881.487463190246</v>
          </cell>
          <cell r="O19">
            <v>29234.541941391031</v>
          </cell>
          <cell r="P19">
            <v>30142.321722699533</v>
          </cell>
          <cell r="Q19">
            <v>29007.885567325266</v>
          </cell>
          <cell r="R19">
            <v>30042.434633699108</v>
          </cell>
          <cell r="S19">
            <v>31562.943797900618</v>
          </cell>
          <cell r="T19">
            <v>31758.361173678437</v>
          </cell>
          <cell r="U19">
            <v>31202.15577417535</v>
          </cell>
          <cell r="V19">
            <v>29873.34897686687</v>
          </cell>
          <cell r="W19">
            <v>31461.184926568723</v>
          </cell>
          <cell r="X19">
            <v>31970.385691553962</v>
          </cell>
          <cell r="Y19">
            <v>31337.357553845621</v>
          </cell>
          <cell r="Z19">
            <v>29972.689858770915</v>
          </cell>
          <cell r="AA19">
            <v>27748.448983873423</v>
          </cell>
          <cell r="AB19">
            <v>25511.746447446956</v>
          </cell>
        </row>
        <row r="20">
          <cell r="D20">
            <v>4</v>
          </cell>
          <cell r="E20">
            <v>23811.273487310176</v>
          </cell>
          <cell r="F20">
            <v>22651.863591472116</v>
          </cell>
          <cell r="G20">
            <v>21644.174748336987</v>
          </cell>
          <cell r="H20">
            <v>20960.637221374614</v>
          </cell>
          <cell r="I20">
            <v>20699.656657394542</v>
          </cell>
          <cell r="J20">
            <v>20906.787061831674</v>
          </cell>
          <cell r="K20">
            <v>20696.014261138815</v>
          </cell>
          <cell r="L20">
            <v>22752.770437556876</v>
          </cell>
          <cell r="M20">
            <v>25225.692920569843</v>
          </cell>
          <cell r="N20">
            <v>26778.897038551</v>
          </cell>
          <cell r="O20">
            <v>28048.84448353693</v>
          </cell>
          <cell r="P20">
            <v>28889.982784661574</v>
          </cell>
          <cell r="Q20">
            <v>28386.051494815561</v>
          </cell>
          <cell r="R20">
            <v>28054.875523932918</v>
          </cell>
          <cell r="S20">
            <v>28202.181005998606</v>
          </cell>
          <cell r="T20">
            <v>28198.644159371532</v>
          </cell>
          <cell r="U20">
            <v>27770.536500210332</v>
          </cell>
          <cell r="V20">
            <v>27577.101627123498</v>
          </cell>
          <cell r="W20">
            <v>30206.656723324493</v>
          </cell>
          <cell r="X20">
            <v>30820.527058561263</v>
          </cell>
          <cell r="Y20">
            <v>30019.673688046936</v>
          </cell>
          <cell r="Z20">
            <v>28938.04919818183</v>
          </cell>
          <cell r="AA20">
            <v>27467.987129827288</v>
          </cell>
          <cell r="AB20">
            <v>25738.942467896835</v>
          </cell>
        </row>
        <row r="21">
          <cell r="D21">
            <v>4</v>
          </cell>
          <cell r="E21">
            <v>24181.416186029466</v>
          </cell>
          <cell r="F21">
            <v>22943.306198609167</v>
          </cell>
          <cell r="G21">
            <v>21985.528785843675</v>
          </cell>
          <cell r="H21">
            <v>21282.920636044015</v>
          </cell>
          <cell r="I21">
            <v>20837.929006086721</v>
          </cell>
          <cell r="J21">
            <v>20744.460606618817</v>
          </cell>
          <cell r="K21">
            <v>19830.270286628784</v>
          </cell>
          <cell r="L21">
            <v>20716.300339323654</v>
          </cell>
          <cell r="M21">
            <v>22167.106839473898</v>
          </cell>
          <cell r="N21">
            <v>23484.555587136474</v>
          </cell>
          <cell r="O21">
            <v>24445.363114904812</v>
          </cell>
          <cell r="P21">
            <v>25422.562593408282</v>
          </cell>
          <cell r="Q21">
            <v>25983.015475876186</v>
          </cell>
          <cell r="R21">
            <v>26154.755229939172</v>
          </cell>
          <cell r="S21">
            <v>26310.19620650115</v>
          </cell>
          <cell r="T21">
            <v>26430.389445018045</v>
          </cell>
          <cell r="U21">
            <v>26257.015773362968</v>
          </cell>
          <cell r="V21">
            <v>26195.501823416354</v>
          </cell>
          <cell r="W21">
            <v>29126.107111646656</v>
          </cell>
          <cell r="X21">
            <v>30438.068679721015</v>
          </cell>
          <cell r="Y21">
            <v>30460.592083109459</v>
          </cell>
          <cell r="Z21">
            <v>29705.058500601888</v>
          </cell>
          <cell r="AA21">
            <v>27927.731422039455</v>
          </cell>
          <cell r="AB21">
            <v>25803.58601103611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24095.920913277834</v>
          </cell>
          <cell r="F23">
            <v>22822.508751229718</v>
          </cell>
          <cell r="G23">
            <v>21862.867479755314</v>
          </cell>
          <cell r="H23">
            <v>21154.630539578957</v>
          </cell>
          <cell r="I23">
            <v>21048.175475017666</v>
          </cell>
          <cell r="J23">
            <v>21818.879379632879</v>
          </cell>
          <cell r="K23">
            <v>21669.0379105391</v>
          </cell>
          <cell r="L23">
            <v>24152.908638531357</v>
          </cell>
          <cell r="M23">
            <v>26658.05168093527</v>
          </cell>
          <cell r="N23">
            <v>27969.149509049581</v>
          </cell>
          <cell r="O23">
            <v>29456.322106446267</v>
          </cell>
          <cell r="P23">
            <v>30424.53365476993</v>
          </cell>
          <cell r="Q23">
            <v>29329.539604773483</v>
          </cell>
          <cell r="R23">
            <v>30498.371994202804</v>
          </cell>
          <cell r="S23">
            <v>31915.081199156812</v>
          </cell>
          <cell r="T23">
            <v>32067.30900678557</v>
          </cell>
          <cell r="U23">
            <v>31510.017011979213</v>
          </cell>
          <cell r="V23">
            <v>30164.029615295683</v>
          </cell>
          <cell r="W23">
            <v>31517.149602592461</v>
          </cell>
          <cell r="X23">
            <v>31911.081661454027</v>
          </cell>
          <cell r="Y23">
            <v>31337.371951682795</v>
          </cell>
          <cell r="Z23">
            <v>30121.388111178185</v>
          </cell>
          <cell r="AA23">
            <v>28218.996481746672</v>
          </cell>
          <cell r="AB23">
            <v>26079.025939394905</v>
          </cell>
        </row>
        <row r="24">
          <cell r="D24">
            <v>5</v>
          </cell>
          <cell r="E24">
            <v>24165.916951062336</v>
          </cell>
          <cell r="F24">
            <v>22852.079052316545</v>
          </cell>
          <cell r="G24">
            <v>21926.611286065214</v>
          </cell>
          <cell r="H24">
            <v>21194.222589850604</v>
          </cell>
          <cell r="I24">
            <v>20757.019719861739</v>
          </cell>
          <cell r="J24">
            <v>20690.183767901246</v>
          </cell>
          <cell r="K24">
            <v>20387.128628177161</v>
          </cell>
          <cell r="L24">
            <v>22337.478509274311</v>
          </cell>
          <cell r="M24">
            <v>24688.493233153851</v>
          </cell>
          <cell r="N24">
            <v>26160.750594528574</v>
          </cell>
          <cell r="O24">
            <v>27333.525043626814</v>
          </cell>
          <cell r="P24">
            <v>28083.271341263848</v>
          </cell>
          <cell r="Q24">
            <v>27685.015281100277</v>
          </cell>
          <cell r="R24">
            <v>27396.579446906846</v>
          </cell>
          <cell r="S24">
            <v>27231.824045881593</v>
          </cell>
          <cell r="T24">
            <v>27904.37387299936</v>
          </cell>
          <cell r="U24">
            <v>26958.484579016778</v>
          </cell>
          <cell r="V24">
            <v>26739.613638522711</v>
          </cell>
          <cell r="W24">
            <v>29539.176054925956</v>
          </cell>
          <cell r="X24">
            <v>29979.806604226091</v>
          </cell>
          <cell r="Y24">
            <v>29251.768824564766</v>
          </cell>
          <cell r="Z24">
            <v>28314.868518533469</v>
          </cell>
          <cell r="AA24">
            <v>27072.22896037576</v>
          </cell>
          <cell r="AB24">
            <v>25492.865312826449</v>
          </cell>
        </row>
        <row r="25">
          <cell r="D25">
            <v>5</v>
          </cell>
          <cell r="E25">
            <v>23972.359407280019</v>
          </cell>
          <cell r="F25">
            <v>22745.13461063648</v>
          </cell>
          <cell r="G25">
            <v>21649.702768634907</v>
          </cell>
          <cell r="H25">
            <v>20881.171567037447</v>
          </cell>
          <cell r="I25">
            <v>20524.791225517991</v>
          </cell>
          <cell r="J25">
            <v>20292.625209855905</v>
          </cell>
          <cell r="K25">
            <v>19301.266967060918</v>
          </cell>
          <cell r="L25">
            <v>20229.471264269523</v>
          </cell>
          <cell r="M25">
            <v>21574.346595328898</v>
          </cell>
          <cell r="N25">
            <v>22804.042476779454</v>
          </cell>
          <cell r="O25">
            <v>23736.265529866621</v>
          </cell>
          <cell r="P25">
            <v>24617.597578834182</v>
          </cell>
          <cell r="Q25">
            <v>25060.311103842643</v>
          </cell>
          <cell r="R25">
            <v>25173.429815917949</v>
          </cell>
          <cell r="S25">
            <v>25302.89023311191</v>
          </cell>
          <cell r="T25">
            <v>25483.284012853706</v>
          </cell>
          <cell r="U25">
            <v>25168.382456207142</v>
          </cell>
          <cell r="V25">
            <v>25228.929593522706</v>
          </cell>
          <cell r="W25">
            <v>27945.391127497969</v>
          </cell>
          <cell r="X25">
            <v>28949.968729770524</v>
          </cell>
          <cell r="Y25">
            <v>28897.949579512322</v>
          </cell>
          <cell r="Z25">
            <v>28338.096292135127</v>
          </cell>
          <cell r="AA25">
            <v>26831.81028743981</v>
          </cell>
          <cell r="AB25">
            <v>24855.359848839591</v>
          </cell>
        </row>
        <row r="26">
          <cell r="D26">
            <v>1</v>
          </cell>
          <cell r="E26">
            <v>23972.359407280019</v>
          </cell>
          <cell r="F26">
            <v>22745.13461063648</v>
          </cell>
          <cell r="G26">
            <v>21649.702768634907</v>
          </cell>
          <cell r="H26">
            <v>20881.171567037447</v>
          </cell>
          <cell r="I26">
            <v>20524.791225517991</v>
          </cell>
          <cell r="J26">
            <v>20292.625209855905</v>
          </cell>
          <cell r="K26">
            <v>19301.266967060918</v>
          </cell>
          <cell r="L26">
            <v>20229.471264269523</v>
          </cell>
          <cell r="M26">
            <v>21574.346595328898</v>
          </cell>
          <cell r="N26">
            <v>22804.042476779454</v>
          </cell>
          <cell r="O26">
            <v>23736.265529866621</v>
          </cell>
          <cell r="P26">
            <v>24617.597578834182</v>
          </cell>
          <cell r="Q26">
            <v>25060.311103842643</v>
          </cell>
          <cell r="R26">
            <v>25173.429815917949</v>
          </cell>
          <cell r="S26">
            <v>25302.89023311191</v>
          </cell>
          <cell r="T26">
            <v>25483.284012853706</v>
          </cell>
          <cell r="U26">
            <v>25168.382456207142</v>
          </cell>
          <cell r="V26">
            <v>25228.929593522706</v>
          </cell>
          <cell r="W26">
            <v>27945.391127497969</v>
          </cell>
          <cell r="X26">
            <v>28949.968729770524</v>
          </cell>
          <cell r="Y26">
            <v>28897.949579512322</v>
          </cell>
          <cell r="Z26">
            <v>28338.096292135127</v>
          </cell>
          <cell r="AA26">
            <v>26831.81028743981</v>
          </cell>
          <cell r="AB26">
            <v>24855.359848839591</v>
          </cell>
        </row>
        <row r="27">
          <cell r="D27">
            <v>20</v>
          </cell>
          <cell r="E27">
            <v>23530.590810483616</v>
          </cell>
          <cell r="F27">
            <v>22516.086766579672</v>
          </cell>
          <cell r="G27">
            <v>21521.705995160697</v>
          </cell>
          <cell r="H27">
            <v>20965.918572407132</v>
          </cell>
          <cell r="I27">
            <v>20833.117155527114</v>
          </cell>
          <cell r="J27">
            <v>20616.848327382817</v>
          </cell>
          <cell r="K27">
            <v>20688.422375430124</v>
          </cell>
          <cell r="L27">
            <v>23013.925218423206</v>
          </cell>
          <cell r="M27">
            <v>25653.49904383194</v>
          </cell>
          <cell r="N27">
            <v>27213.176899086513</v>
          </cell>
          <cell r="O27">
            <v>28509.777279037178</v>
          </cell>
          <cell r="P27">
            <v>29326.692903058833</v>
          </cell>
          <cell r="Q27">
            <v>28781.675513509166</v>
          </cell>
          <cell r="R27">
            <v>28436.516736351248</v>
          </cell>
          <cell r="S27">
            <v>28633.797157554673</v>
          </cell>
          <cell r="T27">
            <v>28629.550236445513</v>
          </cell>
          <cell r="U27">
            <v>28179.297003711476</v>
          </cell>
          <cell r="V27">
            <v>28016.5604223511</v>
          </cell>
          <cell r="W27">
            <v>30858.778921609322</v>
          </cell>
          <cell r="X27">
            <v>31104.315006986511</v>
          </cell>
          <cell r="Y27">
            <v>30342.580057134954</v>
          </cell>
          <cell r="Z27">
            <v>29288.482840739394</v>
          </cell>
          <cell r="AA27">
            <v>27847.894347323494</v>
          </cell>
          <cell r="AB27">
            <v>26102.851813012687</v>
          </cell>
        </row>
        <row r="28">
          <cell r="D28">
            <v>4</v>
          </cell>
          <cell r="E28">
            <v>22718.458591629718</v>
          </cell>
          <cell r="F28">
            <v>21598.773091918742</v>
          </cell>
          <cell r="G28">
            <v>20748.25085646112</v>
          </cell>
          <cell r="H28">
            <v>20121.105144744444</v>
          </cell>
          <cell r="I28">
            <v>20139.896182470286</v>
          </cell>
          <cell r="J28">
            <v>20388.281916129243</v>
          </cell>
          <cell r="K28">
            <v>20846.372381212288</v>
          </cell>
          <cell r="L28">
            <v>23114.729029506398</v>
          </cell>
          <cell r="M28">
            <v>25445.66764543801</v>
          </cell>
          <cell r="N28">
            <v>26803.478090924837</v>
          </cell>
          <cell r="O28">
            <v>28021.197862118621</v>
          </cell>
          <cell r="P28">
            <v>28861.82380270501</v>
          </cell>
          <cell r="Q28">
            <v>28072.236290820932</v>
          </cell>
          <cell r="R28">
            <v>28626.212382163136</v>
          </cell>
          <cell r="S28">
            <v>29580.138165287346</v>
          </cell>
          <cell r="T28">
            <v>29643.715492966116</v>
          </cell>
          <cell r="U28">
            <v>29176.869187706794</v>
          </cell>
          <cell r="V28">
            <v>28539.612932817148</v>
          </cell>
          <cell r="W28">
            <v>30506.372571237989</v>
          </cell>
          <cell r="X28">
            <v>30770.10693177547</v>
          </cell>
          <cell r="Y28">
            <v>29968.657649144945</v>
          </cell>
          <cell r="Z28">
            <v>28654.341424826798</v>
          </cell>
          <cell r="AA28">
            <v>26590.655164056276</v>
          </cell>
          <cell r="AB28">
            <v>24311.727176498811</v>
          </cell>
        </row>
        <row r="29">
          <cell r="D29">
            <v>4</v>
          </cell>
          <cell r="E29">
            <v>24483.71821578313</v>
          </cell>
          <cell r="F29">
            <v>23243.935401857692</v>
          </cell>
          <cell r="G29">
            <v>22216.910923269243</v>
          </cell>
          <cell r="H29">
            <v>21516.326977034892</v>
          </cell>
          <cell r="I29">
            <v>21105.854945948475</v>
          </cell>
          <cell r="J29">
            <v>20479.942568557355</v>
          </cell>
          <cell r="K29">
            <v>19852.821959644687</v>
          </cell>
          <cell r="L29">
            <v>20964.951664195025</v>
          </cell>
          <cell r="M29">
            <v>22434.74143160626</v>
          </cell>
          <cell r="N29">
            <v>23760.059516090903</v>
          </cell>
          <cell r="O29">
            <v>24807.845182031055</v>
          </cell>
          <cell r="P29">
            <v>25662.821137179202</v>
          </cell>
          <cell r="Q29">
            <v>26056.432836091739</v>
          </cell>
          <cell r="R29">
            <v>26129.177279118769</v>
          </cell>
          <cell r="S29">
            <v>25985.83146402206</v>
          </cell>
          <cell r="T29">
            <v>25870.271513261607</v>
          </cell>
          <cell r="U29">
            <v>25606.286653085779</v>
          </cell>
          <cell r="V29">
            <v>25850.906125166224</v>
          </cell>
          <cell r="W29">
            <v>28883.468038679261</v>
          </cell>
          <cell r="X29">
            <v>29751.845050951815</v>
          </cell>
          <cell r="Y29">
            <v>29550.881796107285</v>
          </cell>
          <cell r="Z29">
            <v>28643.868368287924</v>
          </cell>
          <cell r="AA29">
            <v>26896.986608907468</v>
          </cell>
          <cell r="AB29">
            <v>24812.132246788242</v>
          </cell>
        </row>
        <row r="30">
          <cell r="D30">
            <v>2</v>
          </cell>
          <cell r="E30">
            <v>24483.71821578313</v>
          </cell>
          <cell r="F30">
            <v>23243.935401857692</v>
          </cell>
          <cell r="G30">
            <v>22216.910923269243</v>
          </cell>
          <cell r="H30">
            <v>21516.326977034892</v>
          </cell>
          <cell r="I30">
            <v>21105.854945948475</v>
          </cell>
          <cell r="J30">
            <v>20479.942568557355</v>
          </cell>
          <cell r="K30">
            <v>19852.821959644687</v>
          </cell>
          <cell r="L30">
            <v>20964.951664195025</v>
          </cell>
          <cell r="M30">
            <v>22434.74143160626</v>
          </cell>
          <cell r="N30">
            <v>23760.059516090903</v>
          </cell>
          <cell r="O30">
            <v>24807.845182031055</v>
          </cell>
          <cell r="P30">
            <v>25662.821137179202</v>
          </cell>
          <cell r="Q30">
            <v>26056.432836091739</v>
          </cell>
          <cell r="R30">
            <v>26129.177279118769</v>
          </cell>
          <cell r="S30">
            <v>25985.83146402206</v>
          </cell>
          <cell r="T30">
            <v>25870.271513261607</v>
          </cell>
          <cell r="U30">
            <v>25606.286653085779</v>
          </cell>
          <cell r="V30">
            <v>25850.906125166224</v>
          </cell>
          <cell r="W30">
            <v>28883.468038679261</v>
          </cell>
          <cell r="X30">
            <v>29751.845050951815</v>
          </cell>
          <cell r="Y30">
            <v>29550.881796107285</v>
          </cell>
          <cell r="Z30">
            <v>28643.868368287924</v>
          </cell>
          <cell r="AA30">
            <v>26896.986608907468</v>
          </cell>
          <cell r="AB30">
            <v>24812.132246788242</v>
          </cell>
        </row>
        <row r="31">
          <cell r="D31">
            <v>22</v>
          </cell>
          <cell r="E31">
            <v>23910.806426602332</v>
          </cell>
          <cell r="F31">
            <v>22666.619492856607</v>
          </cell>
          <cell r="G31">
            <v>21662.642835578987</v>
          </cell>
          <cell r="H31">
            <v>20804.016088477565</v>
          </cell>
          <cell r="I31">
            <v>20572.570542773541</v>
          </cell>
          <cell r="J31">
            <v>20246.733865757942</v>
          </cell>
          <cell r="K31">
            <v>20545.97581609308</v>
          </cell>
          <cell r="L31">
            <v>22755.899906229632</v>
          </cell>
          <cell r="M31">
            <v>25331.518346614997</v>
          </cell>
          <cell r="N31">
            <v>26752.507467600648</v>
          </cell>
          <cell r="O31">
            <v>27654.445000055672</v>
          </cell>
          <cell r="P31">
            <v>28317.231126425871</v>
          </cell>
          <cell r="Q31">
            <v>27830.750652219424</v>
          </cell>
          <cell r="R31">
            <v>27330.153928465126</v>
          </cell>
          <cell r="S31">
            <v>27311.754597217063</v>
          </cell>
          <cell r="T31">
            <v>27157.830356945087</v>
          </cell>
          <cell r="U31">
            <v>26788.845528480073</v>
          </cell>
          <cell r="V31">
            <v>26953.129805115626</v>
          </cell>
          <cell r="W31">
            <v>29878.455939636868</v>
          </cell>
          <cell r="X31">
            <v>30156.534949023717</v>
          </cell>
          <cell r="Y31">
            <v>29185.478940630448</v>
          </cell>
          <cell r="Z31">
            <v>27980.970246154797</v>
          </cell>
          <cell r="AA31">
            <v>26396.978086364066</v>
          </cell>
          <cell r="AB31">
            <v>24622.743692159023</v>
          </cell>
        </row>
        <row r="32">
          <cell r="D32">
            <v>4</v>
          </cell>
          <cell r="E32">
            <v>22043.236567013315</v>
          </cell>
          <cell r="F32">
            <v>20952.82130411515</v>
          </cell>
          <cell r="G32">
            <v>20154.737116183944</v>
          </cell>
          <cell r="H32">
            <v>19605.022542248891</v>
          </cell>
          <cell r="I32">
            <v>19534.48556577618</v>
          </cell>
          <cell r="J32">
            <v>19509.928795137814</v>
          </cell>
          <cell r="K32">
            <v>19807.089264833652</v>
          </cell>
          <cell r="L32">
            <v>22128.325723452868</v>
          </cell>
          <cell r="M32">
            <v>24398.030738975198</v>
          </cell>
          <cell r="N32">
            <v>25708.659588153365</v>
          </cell>
          <cell r="O32">
            <v>26989.007606601772</v>
          </cell>
          <cell r="P32">
            <v>27911.22711913515</v>
          </cell>
          <cell r="Q32">
            <v>27302.329079689174</v>
          </cell>
          <cell r="R32">
            <v>27593.375230146055</v>
          </cell>
          <cell r="S32">
            <v>28319.675223893504</v>
          </cell>
          <cell r="T32">
            <v>28284.208152737905</v>
          </cell>
          <cell r="U32">
            <v>27876.793749385612</v>
          </cell>
          <cell r="V32">
            <v>27335.288337597947</v>
          </cell>
          <cell r="W32">
            <v>29326.370566269234</v>
          </cell>
          <cell r="X32">
            <v>29878.969088104677</v>
          </cell>
          <cell r="Y32">
            <v>29065.218689629728</v>
          </cell>
          <cell r="Z32">
            <v>27729.082124253167</v>
          </cell>
          <cell r="AA32">
            <v>25720.544136534634</v>
          </cell>
          <cell r="AB32">
            <v>23625.841197489404</v>
          </cell>
        </row>
        <row r="33">
          <cell r="D33">
            <v>4</v>
          </cell>
          <cell r="E33">
            <v>22026.999714466627</v>
          </cell>
          <cell r="F33">
            <v>21164.426353512637</v>
          </cell>
          <cell r="G33">
            <v>20279.810848524361</v>
          </cell>
          <cell r="H33">
            <v>19809.452130905054</v>
          </cell>
          <cell r="I33">
            <v>19658.579201343142</v>
          </cell>
          <cell r="J33">
            <v>19170.694288873798</v>
          </cell>
          <cell r="K33">
            <v>19090.97800907075</v>
          </cell>
          <cell r="L33">
            <v>20570.302534812858</v>
          </cell>
          <cell r="M33">
            <v>22285.573155389189</v>
          </cell>
          <cell r="N33">
            <v>23619.284570031283</v>
          </cell>
          <cell r="O33">
            <v>24633.225528950126</v>
          </cell>
          <cell r="P33">
            <v>25892.993817386203</v>
          </cell>
          <cell r="Q33">
            <v>26598.727894503118</v>
          </cell>
          <cell r="R33">
            <v>26732.460563902951</v>
          </cell>
          <cell r="S33">
            <v>26763.261138679212</v>
          </cell>
          <cell r="T33">
            <v>26815.715122791975</v>
          </cell>
          <cell r="U33">
            <v>26542.124295825262</v>
          </cell>
          <cell r="V33">
            <v>26549.043120110247</v>
          </cell>
          <cell r="W33">
            <v>29673.351486389725</v>
          </cell>
          <cell r="X33">
            <v>30799.610172875586</v>
          </cell>
          <cell r="Y33">
            <v>30612.084647996893</v>
          </cell>
          <cell r="Z33">
            <v>29580.625427589195</v>
          </cell>
          <cell r="AA33">
            <v>27688.889787623066</v>
          </cell>
          <cell r="AB33">
            <v>25478.263828356299</v>
          </cell>
        </row>
        <row r="34">
          <cell r="D34">
            <v>1</v>
          </cell>
          <cell r="E34">
            <v>22026.999714466627</v>
          </cell>
          <cell r="F34">
            <v>21164.426353512637</v>
          </cell>
          <cell r="G34">
            <v>20279.810848524361</v>
          </cell>
          <cell r="H34">
            <v>19809.452130905054</v>
          </cell>
          <cell r="I34">
            <v>19658.579201343142</v>
          </cell>
          <cell r="J34">
            <v>19170.694288873798</v>
          </cell>
          <cell r="K34">
            <v>19090.97800907075</v>
          </cell>
          <cell r="L34">
            <v>20570.302534812858</v>
          </cell>
          <cell r="M34">
            <v>22285.573155389189</v>
          </cell>
          <cell r="N34">
            <v>23619.284570031283</v>
          </cell>
          <cell r="O34">
            <v>24633.225528950126</v>
          </cell>
          <cell r="P34">
            <v>25892.993817386203</v>
          </cell>
          <cell r="Q34">
            <v>26598.727894503118</v>
          </cell>
          <cell r="R34">
            <v>26732.460563902951</v>
          </cell>
          <cell r="S34">
            <v>26763.261138679212</v>
          </cell>
          <cell r="T34">
            <v>26815.715122791975</v>
          </cell>
          <cell r="U34">
            <v>26542.124295825262</v>
          </cell>
          <cell r="V34">
            <v>26549.043120110247</v>
          </cell>
          <cell r="W34">
            <v>29673.351486389725</v>
          </cell>
          <cell r="X34">
            <v>30799.610172875586</v>
          </cell>
          <cell r="Y34">
            <v>30612.084647996893</v>
          </cell>
          <cell r="Z34">
            <v>29580.625427589195</v>
          </cell>
          <cell r="AA34">
            <v>27688.889787623066</v>
          </cell>
          <cell r="AB34">
            <v>25478.263828356299</v>
          </cell>
        </row>
        <row r="35">
          <cell r="D35">
            <v>18</v>
          </cell>
          <cell r="E35">
            <v>21678.959188594668</v>
          </cell>
          <cell r="F35">
            <v>20602.706381445056</v>
          </cell>
          <cell r="G35">
            <v>19807.526831506522</v>
          </cell>
          <cell r="H35">
            <v>19276.896460948057</v>
          </cell>
          <cell r="I35">
            <v>19135.153391429598</v>
          </cell>
          <cell r="J35">
            <v>18931.851786896194</v>
          </cell>
          <cell r="K35">
            <v>19247.746885693665</v>
          </cell>
          <cell r="L35">
            <v>21566.222711463637</v>
          </cell>
          <cell r="M35">
            <v>24115.540516528818</v>
          </cell>
          <cell r="N35">
            <v>25683.034303559361</v>
          </cell>
          <cell r="O35">
            <v>27045.167385745979</v>
          </cell>
          <cell r="P35">
            <v>27794.8166330313</v>
          </cell>
          <cell r="Q35">
            <v>27384.480431684311</v>
          </cell>
          <cell r="R35">
            <v>26914.287889813277</v>
          </cell>
          <cell r="S35">
            <v>26936.991290184473</v>
          </cell>
          <cell r="T35">
            <v>26859.537213848882</v>
          </cell>
          <cell r="U35">
            <v>26587.418764084228</v>
          </cell>
          <cell r="V35">
            <v>26615.816668482679</v>
          </cell>
          <cell r="W35">
            <v>28908.732744628858</v>
          </cell>
          <cell r="X35">
            <v>29321.405558020462</v>
          </cell>
          <cell r="Y35">
            <v>28299.778087098388</v>
          </cell>
          <cell r="Z35">
            <v>27133.777617575077</v>
          </cell>
          <cell r="AA35">
            <v>25694.733352869105</v>
          </cell>
          <cell r="AB35">
            <v>24068.760492159123</v>
          </cell>
        </row>
        <row r="36">
          <cell r="D36">
            <v>5</v>
          </cell>
          <cell r="E36">
            <v>22325.204937440987</v>
          </cell>
          <cell r="F36">
            <v>21226.556998562548</v>
          </cell>
          <cell r="G36">
            <v>20391.719770913467</v>
          </cell>
          <cell r="H36">
            <v>19812.451819979695</v>
          </cell>
          <cell r="I36">
            <v>19744.284361691796</v>
          </cell>
          <cell r="J36">
            <v>19965.875228552974</v>
          </cell>
          <cell r="K36">
            <v>20101.384131244711</v>
          </cell>
          <cell r="L36">
            <v>22362.742564229204</v>
          </cell>
          <cell r="M36">
            <v>24751.736653091604</v>
          </cell>
          <cell r="N36">
            <v>26134.116389065617</v>
          </cell>
          <cell r="O36">
            <v>27438.55564136081</v>
          </cell>
          <cell r="P36">
            <v>28289.852320576985</v>
          </cell>
          <cell r="Q36">
            <v>27569.479820180513</v>
          </cell>
          <cell r="R36">
            <v>28232.654549579791</v>
          </cell>
          <cell r="S36">
            <v>29191.301909249018</v>
          </cell>
          <cell r="T36">
            <v>29229.641717467297</v>
          </cell>
          <cell r="U36">
            <v>28685.605988749245</v>
          </cell>
          <cell r="V36">
            <v>27742.766245245177</v>
          </cell>
          <cell r="W36">
            <v>29373.630734921215</v>
          </cell>
          <cell r="X36">
            <v>30233.112498533261</v>
          </cell>
          <cell r="Y36">
            <v>29543.662962891995</v>
          </cell>
          <cell r="Z36">
            <v>28291.514841739008</v>
          </cell>
          <cell r="AA36">
            <v>26250.222146772343</v>
          </cell>
          <cell r="AB36">
            <v>24114.097657079506</v>
          </cell>
        </row>
        <row r="37">
          <cell r="D37">
            <v>5</v>
          </cell>
          <cell r="E37">
            <v>21250.470687424444</v>
          </cell>
          <cell r="F37">
            <v>20391.577383857843</v>
          </cell>
          <cell r="G37">
            <v>19689.751127227668</v>
          </cell>
          <cell r="H37">
            <v>19235.032069924066</v>
          </cell>
          <cell r="I37">
            <v>19053.651043754315</v>
          </cell>
          <cell r="J37">
            <v>18520.100735161803</v>
          </cell>
          <cell r="K37">
            <v>18276.420621968784</v>
          </cell>
          <cell r="L37">
            <v>19765.289453684938</v>
          </cell>
          <cell r="M37">
            <v>21486.994305964534</v>
          </cell>
          <cell r="N37">
            <v>22559.810562176415</v>
          </cell>
          <cell r="O37">
            <v>23832.044728905126</v>
          </cell>
          <cell r="P37">
            <v>24773.546475757401</v>
          </cell>
          <cell r="Q37">
            <v>25253.732748142993</v>
          </cell>
          <cell r="R37">
            <v>25153.633254848184</v>
          </cell>
          <cell r="S37">
            <v>24944.403650487413</v>
          </cell>
          <cell r="T37">
            <v>24752.049424407815</v>
          </cell>
          <cell r="U37">
            <v>24562.757935446625</v>
          </cell>
          <cell r="V37">
            <v>24933.289397427947</v>
          </cell>
          <cell r="W37">
            <v>27943.235421907051</v>
          </cell>
          <cell r="X37">
            <v>29053.677490915394</v>
          </cell>
          <cell r="Y37">
            <v>28685.001773791744</v>
          </cell>
          <cell r="Z37">
            <v>27625.159650605623</v>
          </cell>
          <cell r="AA37">
            <v>25758.260107696209</v>
          </cell>
          <cell r="AB37">
            <v>23617.455104858876</v>
          </cell>
        </row>
        <row r="38">
          <cell r="D38">
            <v>2</v>
          </cell>
          <cell r="E38">
            <v>21250.470687424444</v>
          </cell>
          <cell r="F38">
            <v>20391.577383857843</v>
          </cell>
          <cell r="G38">
            <v>19689.751127227668</v>
          </cell>
          <cell r="H38">
            <v>19235.032069924066</v>
          </cell>
          <cell r="I38">
            <v>19053.651043754315</v>
          </cell>
          <cell r="J38">
            <v>18520.100735161803</v>
          </cell>
          <cell r="K38">
            <v>18276.420621968784</v>
          </cell>
          <cell r="L38">
            <v>19765.289453684938</v>
          </cell>
          <cell r="M38">
            <v>21486.994305964534</v>
          </cell>
          <cell r="N38">
            <v>22559.810562176415</v>
          </cell>
          <cell r="O38">
            <v>23832.044728905126</v>
          </cell>
          <cell r="P38">
            <v>24773.546475757401</v>
          </cell>
          <cell r="Q38">
            <v>25253.732748142993</v>
          </cell>
          <cell r="R38">
            <v>25153.633254848184</v>
          </cell>
          <cell r="S38">
            <v>24944.403650487413</v>
          </cell>
          <cell r="T38">
            <v>24752.049424407815</v>
          </cell>
          <cell r="U38">
            <v>24562.757935446625</v>
          </cell>
          <cell r="V38">
            <v>24933.289397427947</v>
          </cell>
          <cell r="W38">
            <v>27943.235421907051</v>
          </cell>
          <cell r="X38">
            <v>29053.677490915394</v>
          </cell>
          <cell r="Y38">
            <v>28685.001773791744</v>
          </cell>
          <cell r="Z38">
            <v>27625.159650605623</v>
          </cell>
          <cell r="AA38">
            <v>25758.260107696209</v>
          </cell>
          <cell r="AB38">
            <v>23617.455104858876</v>
          </cell>
        </row>
        <row r="39">
          <cell r="D39">
            <v>22</v>
          </cell>
          <cell r="E39">
            <v>22318.07121358857</v>
          </cell>
          <cell r="F39">
            <v>21244.008676489259</v>
          </cell>
          <cell r="G39">
            <v>20535.974053116126</v>
          </cell>
          <cell r="H39">
            <v>20011.826500608247</v>
          </cell>
          <cell r="I39">
            <v>19930.529921598503</v>
          </cell>
          <cell r="J39">
            <v>19837.632592621852</v>
          </cell>
          <cell r="K39">
            <v>20020.249767498015</v>
          </cell>
          <cell r="L39">
            <v>22355.679497955651</v>
          </cell>
          <cell r="M39">
            <v>25072.712166339068</v>
          </cell>
          <cell r="N39">
            <v>26612.039744541649</v>
          </cell>
          <cell r="O39">
            <v>27996.628802203359</v>
          </cell>
          <cell r="P39">
            <v>28626.617263949742</v>
          </cell>
          <cell r="Q39">
            <v>28253.175868479884</v>
          </cell>
          <cell r="R39">
            <v>27861.366645788938</v>
          </cell>
          <cell r="S39">
            <v>27907.030943771169</v>
          </cell>
          <cell r="T39">
            <v>27983.439956134218</v>
          </cell>
          <cell r="U39">
            <v>27592.16838191032</v>
          </cell>
          <cell r="V39">
            <v>27530.180999016236</v>
          </cell>
          <cell r="W39">
            <v>29861.977568344224</v>
          </cell>
          <cell r="X39">
            <v>30655.506043213532</v>
          </cell>
          <cell r="Y39">
            <v>29679.322958160643</v>
          </cell>
          <cell r="Z39">
            <v>28363.391545196933</v>
          </cell>
          <cell r="AA39">
            <v>26689.108070120881</v>
          </cell>
          <cell r="AB39">
            <v>24905.403127737987</v>
          </cell>
        </row>
        <row r="40">
          <cell r="D40">
            <v>3</v>
          </cell>
          <cell r="E40">
            <v>23738.49642687754</v>
          </cell>
          <cell r="F40">
            <v>22495.214588651383</v>
          </cell>
          <cell r="G40">
            <v>21583.963273360419</v>
          </cell>
          <cell r="H40">
            <v>20941.031106429022</v>
          </cell>
          <cell r="I40">
            <v>20896.700248684097</v>
          </cell>
          <cell r="J40">
            <v>21279.484428795269</v>
          </cell>
          <cell r="K40">
            <v>21404.288476171259</v>
          </cell>
          <cell r="L40">
            <v>23738.154918184504</v>
          </cell>
          <cell r="M40">
            <v>26250.268129495744</v>
          </cell>
          <cell r="N40">
            <v>27677.9848058303</v>
          </cell>
          <cell r="O40">
            <v>29120.907597857931</v>
          </cell>
          <cell r="P40">
            <v>30162.169914054768</v>
          </cell>
          <cell r="Q40">
            <v>29374.231438359635</v>
          </cell>
          <cell r="R40">
            <v>29963.02362474248</v>
          </cell>
          <cell r="S40">
            <v>30952.449855798761</v>
          </cell>
          <cell r="T40">
            <v>30952.73649199307</v>
          </cell>
          <cell r="U40">
            <v>30362.152439010893</v>
          </cell>
          <cell r="V40">
            <v>29490.917354078352</v>
          </cell>
          <cell r="W40">
            <v>31517.655018960791</v>
          </cell>
          <cell r="X40">
            <v>32167.101148000405</v>
          </cell>
          <cell r="Y40">
            <v>31487.150250742638</v>
          </cell>
          <cell r="Z40">
            <v>30148.149756396422</v>
          </cell>
          <cell r="AA40">
            <v>27947.095779649735</v>
          </cell>
          <cell r="AB40">
            <v>25577.693195392105</v>
          </cell>
        </row>
        <row r="41">
          <cell r="D41">
            <v>4</v>
          </cell>
          <cell r="E41">
            <v>22390.514019673115</v>
          </cell>
          <cell r="F41">
            <v>21491.111556953147</v>
          </cell>
          <cell r="G41">
            <v>20729.786321222658</v>
          </cell>
          <cell r="H41">
            <v>20032.849652911478</v>
          </cell>
          <cell r="I41">
            <v>19798.860747901868</v>
          </cell>
          <cell r="J41">
            <v>19490.330723282666</v>
          </cell>
          <cell r="K41">
            <v>19118.87162415664</v>
          </cell>
          <cell r="L41">
            <v>20544.485906142869</v>
          </cell>
          <cell r="M41">
            <v>22407.504163037174</v>
          </cell>
          <cell r="N41">
            <v>23910.867060499717</v>
          </cell>
          <cell r="O41">
            <v>24989.085239441847</v>
          </cell>
          <cell r="P41">
            <v>25535.551334977277</v>
          </cell>
          <cell r="Q41">
            <v>26473.16395144671</v>
          </cell>
          <cell r="R41">
            <v>26534.75261604484</v>
          </cell>
          <cell r="S41">
            <v>26487.642217954071</v>
          </cell>
          <cell r="T41">
            <v>26563.599263523545</v>
          </cell>
          <cell r="U41">
            <v>26356.139728190945</v>
          </cell>
          <cell r="V41">
            <v>26117.403477578424</v>
          </cell>
          <cell r="W41">
            <v>28863.458029405501</v>
          </cell>
          <cell r="X41">
            <v>30446.773061991993</v>
          </cell>
          <cell r="Y41">
            <v>30035.054710112014</v>
          </cell>
          <cell r="Z41">
            <v>29006.264207062341</v>
          </cell>
          <cell r="AA41">
            <v>27266.272247261932</v>
          </cell>
          <cell r="AB41">
            <v>25328.919571744304</v>
          </cell>
        </row>
        <row r="42">
          <cell r="D42">
            <v>2</v>
          </cell>
          <cell r="E42">
            <v>22390.514019673115</v>
          </cell>
          <cell r="F42">
            <v>21491.111556953147</v>
          </cell>
          <cell r="G42">
            <v>20729.786321222658</v>
          </cell>
          <cell r="H42">
            <v>20032.849652911478</v>
          </cell>
          <cell r="I42">
            <v>19798.860747901868</v>
          </cell>
          <cell r="J42">
            <v>19490.330723282666</v>
          </cell>
          <cell r="K42">
            <v>19118.87162415664</v>
          </cell>
          <cell r="L42">
            <v>20544.485906142869</v>
          </cell>
          <cell r="M42">
            <v>22407.504163037174</v>
          </cell>
          <cell r="N42">
            <v>23910.867060499717</v>
          </cell>
          <cell r="O42">
            <v>24989.085239441847</v>
          </cell>
          <cell r="P42">
            <v>25535.551334977277</v>
          </cell>
          <cell r="Q42">
            <v>26473.16395144671</v>
          </cell>
          <cell r="R42">
            <v>26534.75261604484</v>
          </cell>
          <cell r="S42">
            <v>26487.642217954071</v>
          </cell>
          <cell r="T42">
            <v>26563.599263523545</v>
          </cell>
          <cell r="U42">
            <v>26356.139728190945</v>
          </cell>
          <cell r="V42">
            <v>26117.403477578424</v>
          </cell>
          <cell r="W42">
            <v>28863.458029405501</v>
          </cell>
          <cell r="X42">
            <v>30446.773061991993</v>
          </cell>
          <cell r="Y42">
            <v>30035.054710112014</v>
          </cell>
          <cell r="Z42">
            <v>29006.264207062341</v>
          </cell>
          <cell r="AA42">
            <v>27266.272247261932</v>
          </cell>
          <cell r="AB42">
            <v>25328.919571744304</v>
          </cell>
        </row>
        <row r="43">
          <cell r="D43">
            <v>20</v>
          </cell>
          <cell r="E43">
            <v>23015.305323300156</v>
          </cell>
          <cell r="F43">
            <v>21775.096654789621</v>
          </cell>
          <cell r="G43">
            <v>20849.760050318833</v>
          </cell>
          <cell r="H43">
            <v>20230.074748878131</v>
          </cell>
          <cell r="I43">
            <v>20002.44993258801</v>
          </cell>
          <cell r="J43">
            <v>19945.107965901523</v>
          </cell>
          <cell r="K43">
            <v>20010.611850228128</v>
          </cell>
          <cell r="L43">
            <v>22319.604818480719</v>
          </cell>
          <cell r="M43">
            <v>24919.404706327048</v>
          </cell>
          <cell r="N43">
            <v>26517.223263900371</v>
          </cell>
          <cell r="O43">
            <v>27844.192393975583</v>
          </cell>
          <cell r="P43">
            <v>28690.703930257536</v>
          </cell>
          <cell r="Q43">
            <v>28214.642797983033</v>
          </cell>
          <cell r="R43">
            <v>27812.567604667402</v>
          </cell>
          <cell r="S43">
            <v>27770.688236164704</v>
          </cell>
          <cell r="T43">
            <v>27544.077403283434</v>
          </cell>
          <cell r="U43">
            <v>26991.937855867414</v>
          </cell>
          <cell r="V43">
            <v>26956.142943933017</v>
          </cell>
          <cell r="W43">
            <v>29400.036116600964</v>
          </cell>
          <cell r="X43">
            <v>29777.376788123358</v>
          </cell>
          <cell r="Y43">
            <v>28904.737290690897</v>
          </cell>
          <cell r="Z43">
            <v>27701.620580168081</v>
          </cell>
          <cell r="AA43">
            <v>26004.379559069472</v>
          </cell>
          <cell r="AB43">
            <v>24196.945791074933</v>
          </cell>
        </row>
        <row r="44">
          <cell r="D44">
            <v>5</v>
          </cell>
          <cell r="E44">
            <v>22711.235735522921</v>
          </cell>
          <cell r="F44">
            <v>21583.926364869574</v>
          </cell>
          <cell r="G44">
            <v>20721.72663299823</v>
          </cell>
          <cell r="H44">
            <v>20113.706929529151</v>
          </cell>
          <cell r="I44">
            <v>20055.661538886165</v>
          </cell>
          <cell r="J44">
            <v>20383.763923741055</v>
          </cell>
          <cell r="K44">
            <v>20601.274950671963</v>
          </cell>
          <cell r="L44">
            <v>22951.519556930576</v>
          </cell>
          <cell r="M44">
            <v>25359.913362005664</v>
          </cell>
          <cell r="N44">
            <v>26724.214104831</v>
          </cell>
          <cell r="O44">
            <v>28140.35813246778</v>
          </cell>
          <cell r="P44">
            <v>29098.562598228935</v>
          </cell>
          <cell r="Q44">
            <v>28351.924164168231</v>
          </cell>
          <cell r="R44">
            <v>29022.445193231779</v>
          </cell>
          <cell r="S44">
            <v>30030.349737555989</v>
          </cell>
          <cell r="T44">
            <v>30051.706755380961</v>
          </cell>
          <cell r="U44">
            <v>29497.762521406104</v>
          </cell>
          <cell r="V44">
            <v>29001.972553075244</v>
          </cell>
          <cell r="W44">
            <v>31132.268401357582</v>
          </cell>
          <cell r="X44">
            <v>31005.816730185161</v>
          </cell>
          <cell r="Y44">
            <v>30205.658540206568</v>
          </cell>
          <cell r="Z44">
            <v>28821.255900701402</v>
          </cell>
          <cell r="AA44">
            <v>26614.766181579813</v>
          </cell>
          <cell r="AB44">
            <v>24351.03434934816</v>
          </cell>
        </row>
        <row r="45">
          <cell r="D45">
            <v>4</v>
          </cell>
          <cell r="E45">
            <v>22699.918203885372</v>
          </cell>
          <cell r="F45">
            <v>21516.89291653916</v>
          </cell>
          <cell r="G45">
            <v>20598.075187305501</v>
          </cell>
          <cell r="H45">
            <v>19933.522139567973</v>
          </cell>
          <cell r="I45">
            <v>19654.638237499872</v>
          </cell>
          <cell r="J45">
            <v>19278.863308365562</v>
          </cell>
          <cell r="K45">
            <v>18867.737988725446</v>
          </cell>
          <cell r="L45">
            <v>20240.332294020445</v>
          </cell>
          <cell r="M45">
            <v>21751.537853246951</v>
          </cell>
          <cell r="N45">
            <v>23113.500162488148</v>
          </cell>
          <cell r="O45">
            <v>24404.7653981525</v>
          </cell>
          <cell r="P45">
            <v>25509.620813719121</v>
          </cell>
          <cell r="Q45">
            <v>25916.185061736807</v>
          </cell>
          <cell r="R45">
            <v>25791.790893279041</v>
          </cell>
          <cell r="S45">
            <v>25675.875164704648</v>
          </cell>
          <cell r="T45">
            <v>25757.699176876711</v>
          </cell>
          <cell r="U45">
            <v>25522.729839626787</v>
          </cell>
          <cell r="V45">
            <v>25493.854483942014</v>
          </cell>
          <cell r="W45">
            <v>28450.547150281258</v>
          </cell>
          <cell r="X45">
            <v>30053.421814704299</v>
          </cell>
          <cell r="Y45">
            <v>29893.13643369405</v>
          </cell>
          <cell r="Z45">
            <v>28768.360507693607</v>
          </cell>
          <cell r="AA45">
            <v>26818.017178584272</v>
          </cell>
          <cell r="AB45">
            <v>24681.523549810918</v>
          </cell>
        </row>
        <row r="46">
          <cell r="D46">
            <v>2</v>
          </cell>
          <cell r="E46">
            <v>22699.918203885372</v>
          </cell>
          <cell r="F46">
            <v>21516.89291653916</v>
          </cell>
          <cell r="G46">
            <v>20598.075187305501</v>
          </cell>
          <cell r="H46">
            <v>19933.522139567973</v>
          </cell>
          <cell r="I46">
            <v>19654.638237499872</v>
          </cell>
          <cell r="J46">
            <v>19278.863308365562</v>
          </cell>
          <cell r="K46">
            <v>18867.737988725446</v>
          </cell>
          <cell r="L46">
            <v>20240.332294020445</v>
          </cell>
          <cell r="M46">
            <v>21751.537853246951</v>
          </cell>
          <cell r="N46">
            <v>23113.500162488148</v>
          </cell>
          <cell r="O46">
            <v>24404.7653981525</v>
          </cell>
          <cell r="P46">
            <v>25509.620813719121</v>
          </cell>
          <cell r="Q46">
            <v>25916.185061736807</v>
          </cell>
          <cell r="R46">
            <v>25791.790893279041</v>
          </cell>
          <cell r="S46">
            <v>25675.875164704648</v>
          </cell>
          <cell r="T46">
            <v>25757.699176876711</v>
          </cell>
          <cell r="U46">
            <v>25522.729839626787</v>
          </cell>
          <cell r="V46">
            <v>25493.854483942014</v>
          </cell>
          <cell r="W46">
            <v>28450.547150281258</v>
          </cell>
          <cell r="X46">
            <v>30053.421814704299</v>
          </cell>
          <cell r="Y46">
            <v>29893.13643369405</v>
          </cell>
          <cell r="Z46">
            <v>28768.360507693607</v>
          </cell>
          <cell r="AA46">
            <v>26818.017178584272</v>
          </cell>
          <cell r="AB46">
            <v>24681.523549810918</v>
          </cell>
        </row>
        <row r="47">
          <cell r="D47">
            <v>21</v>
          </cell>
          <cell r="E47">
            <v>23319.523835376549</v>
          </cell>
          <cell r="F47">
            <v>22129.317390213706</v>
          </cell>
          <cell r="G47">
            <v>21208.435180979373</v>
          </cell>
          <cell r="H47">
            <v>20556.057515792869</v>
          </cell>
          <cell r="I47">
            <v>20364.63859468123</v>
          </cell>
          <cell r="J47">
            <v>20101.731243433023</v>
          </cell>
          <cell r="K47">
            <v>20231.768270135974</v>
          </cell>
          <cell r="L47">
            <v>22637.833942423214</v>
          </cell>
          <cell r="M47">
            <v>25207.550234027909</v>
          </cell>
          <cell r="N47">
            <v>26689.523871294456</v>
          </cell>
          <cell r="O47">
            <v>27952.108763656939</v>
          </cell>
          <cell r="P47">
            <v>28578.906277808012</v>
          </cell>
          <cell r="Q47">
            <v>28036.957595012136</v>
          </cell>
          <cell r="R47">
            <v>27632.304881193919</v>
          </cell>
          <cell r="S47">
            <v>27599.274411157789</v>
          </cell>
          <cell r="T47">
            <v>27551.83442652554</v>
          </cell>
          <cell r="U47">
            <v>27139.799874294116</v>
          </cell>
          <cell r="V47">
            <v>27457.684686286637</v>
          </cell>
          <cell r="W47">
            <v>30311.334866967962</v>
          </cell>
          <cell r="X47">
            <v>30022.081627205953</v>
          </cell>
          <cell r="Y47">
            <v>28980.159172560077</v>
          </cell>
          <cell r="Z47">
            <v>27685.224465697789</v>
          </cell>
          <cell r="AA47">
            <v>26127.32637801571</v>
          </cell>
          <cell r="AB47">
            <v>24409.846386325844</v>
          </cell>
        </row>
        <row r="48">
          <cell r="D48">
            <v>4</v>
          </cell>
          <cell r="E48">
            <v>21800.139320845043</v>
          </cell>
          <cell r="F48">
            <v>20702.977963872308</v>
          </cell>
          <cell r="G48">
            <v>19937.385494459173</v>
          </cell>
          <cell r="H48">
            <v>19373.052317247388</v>
          </cell>
          <cell r="I48">
            <v>19382.30992277708</v>
          </cell>
          <cell r="J48">
            <v>19703.530067391344</v>
          </cell>
          <cell r="K48">
            <v>20104.594753955513</v>
          </cell>
          <cell r="L48">
            <v>22557.361821669059</v>
          </cell>
          <cell r="M48">
            <v>24946.377605323512</v>
          </cell>
          <cell r="N48">
            <v>26250.10815907174</v>
          </cell>
          <cell r="O48">
            <v>27629.604795833649</v>
          </cell>
          <cell r="P48">
            <v>28580.37877035368</v>
          </cell>
          <cell r="Q48">
            <v>27761.935561480419</v>
          </cell>
          <cell r="R48">
            <v>28386.290965800352</v>
          </cell>
          <cell r="S48">
            <v>29439.523591568006</v>
          </cell>
          <cell r="T48">
            <v>29492.615824208842</v>
          </cell>
          <cell r="U48">
            <v>28882.258604687078</v>
          </cell>
          <cell r="V48">
            <v>28961.955846804805</v>
          </cell>
          <cell r="W48">
            <v>30708.493378276598</v>
          </cell>
          <cell r="X48">
            <v>30186.910503861014</v>
          </cell>
          <cell r="Y48">
            <v>29221.540160251632</v>
          </cell>
          <cell r="Z48">
            <v>27800.083480871697</v>
          </cell>
          <cell r="AA48">
            <v>25751.869407280861</v>
          </cell>
          <cell r="AB48">
            <v>23623.831647563649</v>
          </cell>
        </row>
        <row r="49">
          <cell r="D49">
            <v>5</v>
          </cell>
          <cell r="E49">
            <v>22464.696351686249</v>
          </cell>
          <cell r="F49">
            <v>21371.767871181626</v>
          </cell>
          <cell r="G49">
            <v>20562.712715552796</v>
          </cell>
          <cell r="H49">
            <v>19951.591425700968</v>
          </cell>
          <cell r="I49">
            <v>19983.554391308779</v>
          </cell>
          <cell r="J49">
            <v>20613.353742185929</v>
          </cell>
          <cell r="K49">
            <v>21010.183122573584</v>
          </cell>
          <cell r="L49">
            <v>23612.34636636568</v>
          </cell>
          <cell r="M49">
            <v>26188.857486980138</v>
          </cell>
          <cell r="N49">
            <v>27552.803651374146</v>
          </cell>
          <cell r="O49">
            <v>29105.423507466574</v>
          </cell>
          <cell r="P49">
            <v>30150.696042993357</v>
          </cell>
          <cell r="Q49">
            <v>29089.46574088345</v>
          </cell>
          <cell r="R49">
            <v>30118.13639483833</v>
          </cell>
          <cell r="S49">
            <v>31576.877303818288</v>
          </cell>
          <cell r="T49">
            <v>31616.438858725589</v>
          </cell>
          <cell r="U49">
            <v>30898.781713921198</v>
          </cell>
          <cell r="V49">
            <v>30006.585876758989</v>
          </cell>
          <cell r="W49">
            <v>31760.703839178928</v>
          </cell>
          <cell r="X49">
            <v>31526.130125137697</v>
          </cell>
          <cell r="Y49">
            <v>30712.838681531819</v>
          </cell>
          <cell r="Z49">
            <v>29261.911520676524</v>
          </cell>
          <cell r="AA49">
            <v>26863.797326270174</v>
          </cell>
          <cell r="AB49">
            <v>24453.991342452642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22486.649142160499</v>
          </cell>
          <cell r="F51">
            <v>21349.549449470909</v>
          </cell>
          <cell r="G51">
            <v>20444.472264988726</v>
          </cell>
          <cell r="H51">
            <v>19696.335481061102</v>
          </cell>
          <cell r="I51">
            <v>19412.463959664321</v>
          </cell>
          <cell r="J51">
            <v>19254.826534123138</v>
          </cell>
          <cell r="K51">
            <v>19661.274550078339</v>
          </cell>
          <cell r="L51">
            <v>22128.152541026313</v>
          </cell>
          <cell r="M51">
            <v>24649.5923158859</v>
          </cell>
          <cell r="N51">
            <v>26113.295869728699</v>
          </cell>
          <cell r="O51">
            <v>27462.297359232634</v>
          </cell>
          <cell r="P51">
            <v>28169.895537397959</v>
          </cell>
          <cell r="Q51">
            <v>27669.248326512676</v>
          </cell>
          <cell r="R51">
            <v>27341.468824204094</v>
          </cell>
          <cell r="S51">
            <v>27454.048120189978</v>
          </cell>
          <cell r="T51">
            <v>27399.871709565861</v>
          </cell>
          <cell r="U51">
            <v>27047.519263116061</v>
          </cell>
          <cell r="V51">
            <v>27750.710452000239</v>
          </cell>
          <cell r="W51">
            <v>30280.651175749375</v>
          </cell>
          <cell r="X51">
            <v>29774.687742659698</v>
          </cell>
          <cell r="Y51">
            <v>28721.2521772935</v>
          </cell>
          <cell r="Z51">
            <v>27382.46675450453</v>
          </cell>
          <cell r="AA51">
            <v>25785.704920143035</v>
          </cell>
          <cell r="AB51">
            <v>24078.328091182986</v>
          </cell>
        </row>
        <row r="52">
          <cell r="D52">
            <v>4</v>
          </cell>
          <cell r="E52">
            <v>20900.51450059723</v>
          </cell>
          <cell r="F52">
            <v>19868.17595624071</v>
          </cell>
          <cell r="G52">
            <v>19104.359333041273</v>
          </cell>
          <cell r="H52">
            <v>18646.559323668593</v>
          </cell>
          <cell r="I52">
            <v>18710.589623609347</v>
          </cell>
          <cell r="J52">
            <v>19075.151069390988</v>
          </cell>
          <cell r="K52">
            <v>19420.848117634647</v>
          </cell>
          <cell r="L52">
            <v>21693.484972799997</v>
          </cell>
          <cell r="M52">
            <v>23962.222376988015</v>
          </cell>
          <cell r="N52">
            <v>25291.690646493971</v>
          </cell>
          <cell r="O52">
            <v>26511.547208679229</v>
          </cell>
          <cell r="P52">
            <v>27421.452705530577</v>
          </cell>
          <cell r="Q52">
            <v>26649.808396038756</v>
          </cell>
          <cell r="R52">
            <v>26999.397668553673</v>
          </cell>
          <cell r="S52">
            <v>27795.623557488023</v>
          </cell>
          <cell r="T52">
            <v>27871.298438768161</v>
          </cell>
          <cell r="U52">
            <v>27509.990204960319</v>
          </cell>
          <cell r="V52">
            <v>28009.795657697014</v>
          </cell>
          <cell r="W52">
            <v>29942.765446533729</v>
          </cell>
          <cell r="X52">
            <v>29360.735022116525</v>
          </cell>
          <cell r="Y52">
            <v>28219.787935230594</v>
          </cell>
          <cell r="Z52">
            <v>26648.906160159298</v>
          </cell>
          <cell r="AA52">
            <v>24600.505297698423</v>
          </cell>
          <cell r="AB52">
            <v>22547.466880349068</v>
          </cell>
        </row>
        <row r="53">
          <cell r="D53">
            <v>4</v>
          </cell>
          <cell r="E53">
            <v>21123.973561156243</v>
          </cell>
          <cell r="F53">
            <v>20229.644800528724</v>
          </cell>
          <cell r="G53">
            <v>19518.332983472566</v>
          </cell>
          <cell r="H53">
            <v>19080.592105383213</v>
          </cell>
          <cell r="I53">
            <v>18928.614476800951</v>
          </cell>
          <cell r="J53">
            <v>18630.299724964741</v>
          </cell>
          <cell r="K53">
            <v>18187.11676974755</v>
          </cell>
          <cell r="L53">
            <v>19616.842479868519</v>
          </cell>
          <cell r="M53">
            <v>20802.942454961962</v>
          </cell>
          <cell r="N53">
            <v>22456.042281224047</v>
          </cell>
          <cell r="O53">
            <v>23746.206823677669</v>
          </cell>
          <cell r="P53">
            <v>24766.611902181936</v>
          </cell>
          <cell r="Q53">
            <v>25284.379975901724</v>
          </cell>
          <cell r="R53">
            <v>25295.10520386721</v>
          </cell>
          <cell r="S53">
            <v>25336.907411433924</v>
          </cell>
          <cell r="T53">
            <v>25400.713101675519</v>
          </cell>
          <cell r="U53">
            <v>25171.275901631019</v>
          </cell>
          <cell r="V53">
            <v>26240.455734190917</v>
          </cell>
          <cell r="W53">
            <v>29237.297554332999</v>
          </cell>
          <cell r="X53">
            <v>29595.240899061006</v>
          </cell>
          <cell r="Y53">
            <v>29130.276774245376</v>
          </cell>
          <cell r="Z53">
            <v>28031.085595012726</v>
          </cell>
          <cell r="AA53">
            <v>25941.864468982752</v>
          </cell>
          <cell r="AB53">
            <v>23707.529860268438</v>
          </cell>
        </row>
        <row r="54">
          <cell r="D54">
            <v>1</v>
          </cell>
          <cell r="E54">
            <v>21123.973561156243</v>
          </cell>
          <cell r="F54">
            <v>20229.644800528724</v>
          </cell>
          <cell r="G54">
            <v>19518.332983472566</v>
          </cell>
          <cell r="H54">
            <v>19080.592105383213</v>
          </cell>
          <cell r="I54">
            <v>18928.614476800951</v>
          </cell>
          <cell r="J54">
            <v>18630.299724964741</v>
          </cell>
          <cell r="K54">
            <v>18187.11676974755</v>
          </cell>
          <cell r="L54">
            <v>19616.842479868519</v>
          </cell>
          <cell r="M54">
            <v>20802.942454961962</v>
          </cell>
          <cell r="N54">
            <v>22456.042281224047</v>
          </cell>
          <cell r="O54">
            <v>23746.206823677669</v>
          </cell>
          <cell r="P54">
            <v>24766.611902181936</v>
          </cell>
          <cell r="Q54">
            <v>25284.379975901724</v>
          </cell>
          <cell r="R54">
            <v>25295.10520386721</v>
          </cell>
          <cell r="S54">
            <v>25336.907411433924</v>
          </cell>
          <cell r="T54">
            <v>25400.713101675519</v>
          </cell>
          <cell r="U54">
            <v>25171.275901631019</v>
          </cell>
          <cell r="V54">
            <v>26240.455734190917</v>
          </cell>
          <cell r="W54">
            <v>29237.297554332999</v>
          </cell>
          <cell r="X54">
            <v>29595.240899061006</v>
          </cell>
          <cell r="Y54">
            <v>29130.276774245376</v>
          </cell>
          <cell r="Z54">
            <v>28031.085595012726</v>
          </cell>
          <cell r="AA54">
            <v>25941.864468982752</v>
          </cell>
          <cell r="AB54">
            <v>23707.529860268438</v>
          </cell>
        </row>
        <row r="55">
          <cell r="D55">
            <v>19</v>
          </cell>
          <cell r="E55">
            <v>22186.092991571371</v>
          </cell>
          <cell r="F55">
            <v>21100.738151102087</v>
          </cell>
          <cell r="G55">
            <v>20316.813650337695</v>
          </cell>
          <cell r="H55">
            <v>19803.558581192086</v>
          </cell>
          <cell r="I55">
            <v>19808.140101707118</v>
          </cell>
          <cell r="J55">
            <v>19972.917477410705</v>
          </cell>
          <cell r="K55">
            <v>20111.110748755105</v>
          </cell>
          <cell r="L55">
            <v>22633.108521264461</v>
          </cell>
          <cell r="M55">
            <v>25324.867231369055</v>
          </cell>
          <cell r="N55">
            <v>27038.621499384273</v>
          </cell>
          <cell r="O55">
            <v>28332.586927254353</v>
          </cell>
          <cell r="P55">
            <v>29011.297467298951</v>
          </cell>
          <cell r="Q55">
            <v>28429.011918109958</v>
          </cell>
          <cell r="R55">
            <v>27933.541768251958</v>
          </cell>
          <cell r="S55">
            <v>27864.1982650678</v>
          </cell>
          <cell r="T55">
            <v>27797.861194706609</v>
          </cell>
          <cell r="U55">
            <v>27513.28229890914</v>
          </cell>
          <cell r="V55">
            <v>28430.598437105531</v>
          </cell>
          <cell r="W55">
            <v>30940.976654426413</v>
          </cell>
          <cell r="X55">
            <v>30289.418622066551</v>
          </cell>
          <cell r="Y55">
            <v>29060.579032824113</v>
          </cell>
          <cell r="Z55">
            <v>27670.364948035553</v>
          </cell>
          <cell r="AA55">
            <v>25948.904035701198</v>
          </cell>
          <cell r="AB55">
            <v>24081.84869104817</v>
          </cell>
        </row>
        <row r="56">
          <cell r="D56">
            <v>5</v>
          </cell>
          <cell r="E56">
            <v>24178.536939253096</v>
          </cell>
          <cell r="F56">
            <v>22954.684073752222</v>
          </cell>
          <cell r="G56">
            <v>22050.347706020981</v>
          </cell>
          <cell r="H56">
            <v>21428.303306493923</v>
          </cell>
          <cell r="I56">
            <v>21296.566485584623</v>
          </cell>
          <cell r="J56">
            <v>21444.53964898485</v>
          </cell>
          <cell r="K56">
            <v>21329.432777728089</v>
          </cell>
          <cell r="L56">
            <v>23759.463532377056</v>
          </cell>
          <cell r="M56">
            <v>26286.159303872224</v>
          </cell>
          <cell r="N56">
            <v>27750.345840108585</v>
          </cell>
          <cell r="O56">
            <v>29042.563957538932</v>
          </cell>
          <cell r="P56">
            <v>30050.338981802175</v>
          </cell>
          <cell r="Q56">
            <v>29402.358406081836</v>
          </cell>
          <cell r="R56">
            <v>29708.671960134194</v>
          </cell>
          <cell r="S56">
            <v>30557.560558742513</v>
          </cell>
          <cell r="T56">
            <v>30605.490437355395</v>
          </cell>
          <cell r="U56">
            <v>30120.432502459887</v>
          </cell>
          <cell r="V56">
            <v>30198.696054978183</v>
          </cell>
          <cell r="W56">
            <v>32737.892447222202</v>
          </cell>
          <cell r="X56">
            <v>32213.139503111954</v>
          </cell>
          <cell r="Y56">
            <v>31174.107199556107</v>
          </cell>
          <cell r="Z56">
            <v>29797.186465423947</v>
          </cell>
          <cell r="AA56">
            <v>27950.950733386137</v>
          </cell>
          <cell r="AB56">
            <v>25877.134240308609</v>
          </cell>
        </row>
        <row r="57">
          <cell r="D57">
            <v>4</v>
          </cell>
          <cell r="E57">
            <v>22295.079282449249</v>
          </cell>
          <cell r="F57">
            <v>21110.503889368243</v>
          </cell>
          <cell r="G57">
            <v>20211.275721612081</v>
          </cell>
          <cell r="H57">
            <v>19520.595390697006</v>
          </cell>
          <cell r="I57">
            <v>19286.577636760067</v>
          </cell>
          <cell r="J57">
            <v>18992.457007601377</v>
          </cell>
          <cell r="K57">
            <v>18459.387111527936</v>
          </cell>
          <cell r="L57">
            <v>19675.274547455763</v>
          </cell>
          <cell r="M57">
            <v>21135.150752611407</v>
          </cell>
          <cell r="N57">
            <v>22274.832741399532</v>
          </cell>
          <cell r="O57">
            <v>23208.362602699061</v>
          </cell>
          <cell r="P57">
            <v>24035.836721545918</v>
          </cell>
          <cell r="Q57">
            <v>24294.049923847015</v>
          </cell>
          <cell r="R57">
            <v>24417.193762511677</v>
          </cell>
          <cell r="S57">
            <v>24066.297497110125</v>
          </cell>
          <cell r="T57">
            <v>24090.897662262363</v>
          </cell>
          <cell r="U57">
            <v>24149.358807724799</v>
          </cell>
          <cell r="V57">
            <v>25669.687150907306</v>
          </cell>
          <cell r="W57">
            <v>28643.124854006339</v>
          </cell>
          <cell r="X57">
            <v>28749.30269250926</v>
          </cell>
          <cell r="Y57">
            <v>27855.129106658042</v>
          </cell>
          <cell r="Z57">
            <v>26184.17898980495</v>
          </cell>
          <cell r="AA57">
            <v>24070.026534246426</v>
          </cell>
          <cell r="AB57">
            <v>22078.967327754064</v>
          </cell>
        </row>
        <row r="58">
          <cell r="D58">
            <v>2</v>
          </cell>
          <cell r="E58">
            <v>22295.079282449249</v>
          </cell>
          <cell r="F58">
            <v>21110.503889368243</v>
          </cell>
          <cell r="G58">
            <v>20211.275721612081</v>
          </cell>
          <cell r="H58">
            <v>19520.595390697006</v>
          </cell>
          <cell r="I58">
            <v>19286.577636760067</v>
          </cell>
          <cell r="J58">
            <v>18992.457007601377</v>
          </cell>
          <cell r="K58">
            <v>18459.387111527936</v>
          </cell>
          <cell r="L58">
            <v>19675.274547455763</v>
          </cell>
          <cell r="M58">
            <v>21135.150752611407</v>
          </cell>
          <cell r="N58">
            <v>22274.832741399532</v>
          </cell>
          <cell r="O58">
            <v>23208.362602699061</v>
          </cell>
          <cell r="P58">
            <v>24035.836721545918</v>
          </cell>
          <cell r="Q58">
            <v>24294.049923847015</v>
          </cell>
          <cell r="R58">
            <v>24417.193762511677</v>
          </cell>
          <cell r="S58">
            <v>24066.297497110125</v>
          </cell>
          <cell r="T58">
            <v>24090.897662262363</v>
          </cell>
          <cell r="U58">
            <v>24149.358807724799</v>
          </cell>
          <cell r="V58">
            <v>25669.687150907306</v>
          </cell>
          <cell r="W58">
            <v>28643.124854006339</v>
          </cell>
          <cell r="X58">
            <v>28749.30269250926</v>
          </cell>
          <cell r="Y58">
            <v>27855.129106658042</v>
          </cell>
          <cell r="Z58">
            <v>26184.17898980495</v>
          </cell>
          <cell r="AA58">
            <v>24070.026534246426</v>
          </cell>
          <cell r="AB58">
            <v>22078.967327754064</v>
          </cell>
        </row>
        <row r="59">
          <cell r="D59">
            <v>21</v>
          </cell>
          <cell r="E59">
            <v>23530.008629214826</v>
          </cell>
          <cell r="F59">
            <v>22288.237603883506</v>
          </cell>
          <cell r="G59">
            <v>21349.607640266055</v>
          </cell>
          <cell r="H59">
            <v>20697.183358212365</v>
          </cell>
          <cell r="I59">
            <v>20553.825379260357</v>
          </cell>
          <cell r="J59">
            <v>20658.233432453817</v>
          </cell>
          <cell r="K59">
            <v>20418.779016850742</v>
          </cell>
          <cell r="L59">
            <v>22609.106562847377</v>
          </cell>
          <cell r="M59">
            <v>24999.607059253176</v>
          </cell>
          <cell r="N59">
            <v>26512.073374734089</v>
          </cell>
          <cell r="O59">
            <v>27625.266210826088</v>
          </cell>
          <cell r="P59">
            <v>28293.256257688008</v>
          </cell>
          <cell r="Q59">
            <v>27681.089134050279</v>
          </cell>
          <cell r="R59">
            <v>27241.995642322618</v>
          </cell>
          <cell r="S59">
            <v>27308.214978693697</v>
          </cell>
          <cell r="T59">
            <v>27289.177745999172</v>
          </cell>
          <cell r="U59">
            <v>26950.878550983791</v>
          </cell>
          <cell r="V59">
            <v>27673.679379537829</v>
          </cell>
          <cell r="W59">
            <v>30476.317739625145</v>
          </cell>
          <cell r="X59">
            <v>29812.22812922129</v>
          </cell>
          <cell r="Y59">
            <v>28530.197609043877</v>
          </cell>
          <cell r="Z59">
            <v>27125.994923755996</v>
          </cell>
          <cell r="AA59">
            <v>25763.920410131719</v>
          </cell>
          <cell r="AB59">
            <v>24237.59649391018</v>
          </cell>
        </row>
        <row r="60">
          <cell r="D60">
            <v>4</v>
          </cell>
          <cell r="E60">
            <v>23094.505908858162</v>
          </cell>
          <cell r="F60">
            <v>21928.541975425953</v>
          </cell>
          <cell r="G60">
            <v>21052.901233525656</v>
          </cell>
          <cell r="H60">
            <v>20444.843390004371</v>
          </cell>
          <cell r="I60">
            <v>20378.134482149537</v>
          </cell>
          <cell r="J60">
            <v>20706.745359385986</v>
          </cell>
          <cell r="K60">
            <v>20794.770377279325</v>
          </cell>
          <cell r="L60">
            <v>23076.110602042889</v>
          </cell>
          <cell r="M60">
            <v>25441.402047679599</v>
          </cell>
          <cell r="N60">
            <v>26808.408056717642</v>
          </cell>
          <cell r="O60">
            <v>28144.322837643827</v>
          </cell>
          <cell r="P60">
            <v>29083.083227685489</v>
          </cell>
          <cell r="Q60">
            <v>28351.001335168192</v>
          </cell>
          <cell r="R60">
            <v>28913.778172032758</v>
          </cell>
          <cell r="S60">
            <v>29866.263825114391</v>
          </cell>
          <cell r="T60">
            <v>29932.978005896235</v>
          </cell>
          <cell r="U60">
            <v>29418.247666314659</v>
          </cell>
          <cell r="V60">
            <v>28888.846348274084</v>
          </cell>
          <cell r="W60">
            <v>30893.334415412839</v>
          </cell>
          <cell r="X60">
            <v>31079.149697536366</v>
          </cell>
          <cell r="Y60">
            <v>30296.75839982817</v>
          </cell>
          <cell r="Z60">
            <v>28983.411521813501</v>
          </cell>
          <cell r="AA60">
            <v>26971.112189113104</v>
          </cell>
          <cell r="AB60">
            <v>24819.078270758648</v>
          </cell>
        </row>
        <row r="61">
          <cell r="D61">
            <v>4</v>
          </cell>
          <cell r="E61">
            <v>22956.200781798929</v>
          </cell>
          <cell r="F61">
            <v>22244.25500762618</v>
          </cell>
          <cell r="G61">
            <v>21570.922012344305</v>
          </cell>
          <cell r="H61">
            <v>20925.476647087198</v>
          </cell>
          <cell r="I61">
            <v>20553.425849708223</v>
          </cell>
          <cell r="J61">
            <v>20015.296458583663</v>
          </cell>
          <cell r="K61">
            <v>18772.082921290439</v>
          </cell>
          <cell r="L61">
            <v>19395.732197156194</v>
          </cell>
          <cell r="M61">
            <v>20409.677453281576</v>
          </cell>
          <cell r="N61">
            <v>21361.640956361611</v>
          </cell>
          <cell r="O61">
            <v>22249.113380437306</v>
          </cell>
          <cell r="P61">
            <v>23003.425174860833</v>
          </cell>
          <cell r="Q61">
            <v>23415.717710216919</v>
          </cell>
          <cell r="R61">
            <v>23433.94373437051</v>
          </cell>
          <cell r="S61">
            <v>23327.909058520938</v>
          </cell>
          <cell r="T61">
            <v>23456.877197948856</v>
          </cell>
          <cell r="U61">
            <v>23445.933359222654</v>
          </cell>
          <cell r="V61">
            <v>24203.789985438536</v>
          </cell>
          <cell r="W61">
            <v>27575.091841082787</v>
          </cell>
          <cell r="X61">
            <v>27830.080479687349</v>
          </cell>
          <cell r="Y61">
            <v>27477.544481321354</v>
          </cell>
          <cell r="Z61">
            <v>26642.085664786853</v>
          </cell>
          <cell r="AA61">
            <v>25265.12879216719</v>
          </cell>
          <cell r="AB61">
            <v>23667.5582428651</v>
          </cell>
        </row>
        <row r="62">
          <cell r="D62">
            <v>2</v>
          </cell>
          <cell r="E62">
            <v>22956.200781798929</v>
          </cell>
          <cell r="F62">
            <v>22244.25500762618</v>
          </cell>
          <cell r="G62">
            <v>21570.922012344305</v>
          </cell>
          <cell r="H62">
            <v>20925.476647087198</v>
          </cell>
          <cell r="I62">
            <v>20553.425849708223</v>
          </cell>
          <cell r="J62">
            <v>20015.296458583663</v>
          </cell>
          <cell r="K62">
            <v>18772.082921290439</v>
          </cell>
          <cell r="L62">
            <v>19395.732197156194</v>
          </cell>
          <cell r="M62">
            <v>20409.677453281576</v>
          </cell>
          <cell r="N62">
            <v>21361.640956361611</v>
          </cell>
          <cell r="O62">
            <v>22249.113380437306</v>
          </cell>
          <cell r="P62">
            <v>23003.425174860833</v>
          </cell>
          <cell r="Q62">
            <v>23415.717710216919</v>
          </cell>
          <cell r="R62">
            <v>23433.94373437051</v>
          </cell>
          <cell r="S62">
            <v>23327.909058520938</v>
          </cell>
          <cell r="T62">
            <v>23456.877197948856</v>
          </cell>
          <cell r="U62">
            <v>23445.933359222654</v>
          </cell>
          <cell r="V62">
            <v>24203.789985438536</v>
          </cell>
          <cell r="W62">
            <v>27575.091841082787</v>
          </cell>
          <cell r="X62">
            <v>27830.080479687349</v>
          </cell>
          <cell r="Y62">
            <v>27477.544481321354</v>
          </cell>
          <cell r="Z62">
            <v>26642.085664786853</v>
          </cell>
          <cell r="AA62">
            <v>25265.12879216719</v>
          </cell>
          <cell r="AB62">
            <v>23667.5582428651</v>
          </cell>
        </row>
      </sheetData>
      <sheetData sheetId="23">
        <row r="15">
          <cell r="D15">
            <v>21</v>
          </cell>
          <cell r="E15">
            <v>25841.925454112279</v>
          </cell>
          <cell r="F15">
            <v>24441.35761174019</v>
          </cell>
          <cell r="G15">
            <v>23428.994591647155</v>
          </cell>
          <cell r="H15">
            <v>22721.192625239302</v>
          </cell>
          <cell r="I15">
            <v>22553.419364030877</v>
          </cell>
          <cell r="J15">
            <v>23103.979815579263</v>
          </cell>
          <cell r="K15">
            <v>22931.950782734919</v>
          </cell>
          <cell r="L15">
            <v>25643.638963856793</v>
          </cell>
          <cell r="M15">
            <v>28561.535130831762</v>
          </cell>
          <cell r="N15">
            <v>30251.270817480614</v>
          </cell>
          <cell r="O15">
            <v>31994.427556739032</v>
          </cell>
          <cell r="P15">
            <v>33234.090175742342</v>
          </cell>
          <cell r="Q15">
            <v>32310.633510310829</v>
          </cell>
          <cell r="R15">
            <v>33217.090986705349</v>
          </cell>
          <cell r="S15">
            <v>34728.836652209757</v>
          </cell>
          <cell r="T15">
            <v>34872.221932039232</v>
          </cell>
          <cell r="U15">
            <v>34150.377493205204</v>
          </cell>
          <cell r="V15">
            <v>32778.03049475942</v>
          </cell>
          <cell r="W15">
            <v>34723.802100181449</v>
          </cell>
          <cell r="X15">
            <v>34830.279360535023</v>
          </cell>
          <cell r="Y15">
            <v>34007.106614291086</v>
          </cell>
          <cell r="Z15">
            <v>32693.369978432856</v>
          </cell>
          <cell r="AA15">
            <v>30527.205825339606</v>
          </cell>
          <cell r="AB15">
            <v>28095.017027576483</v>
          </cell>
        </row>
        <row r="16">
          <cell r="D16">
            <v>4</v>
          </cell>
          <cell r="E16">
            <v>26036.657946048355</v>
          </cell>
          <cell r="F16">
            <v>24654.215330749947</v>
          </cell>
          <cell r="G16">
            <v>23630.002998312582</v>
          </cell>
          <cell r="H16">
            <v>22821.920975667515</v>
          </cell>
          <cell r="I16">
            <v>22610.05410342817</v>
          </cell>
          <cell r="J16">
            <v>22709.213352207458</v>
          </cell>
          <cell r="K16">
            <v>22122.378620985495</v>
          </cell>
          <cell r="L16">
            <v>24228.055485483277</v>
          </cell>
          <cell r="M16">
            <v>27009.10212475598</v>
          </cell>
          <cell r="N16">
            <v>28849.563596696626</v>
          </cell>
          <cell r="O16">
            <v>30364.91244715561</v>
          </cell>
          <cell r="P16">
            <v>31314.754839145418</v>
          </cell>
          <cell r="Q16">
            <v>30870.902597197841</v>
          </cell>
          <cell r="R16">
            <v>30559.693070013713</v>
          </cell>
          <cell r="S16">
            <v>30733.7707142162</v>
          </cell>
          <cell r="T16">
            <v>30723.980906270201</v>
          </cell>
          <cell r="U16">
            <v>30270.591291785706</v>
          </cell>
          <cell r="V16">
            <v>30039.087615193414</v>
          </cell>
          <cell r="W16">
            <v>33126.479487360062</v>
          </cell>
          <cell r="X16">
            <v>33458.152910162651</v>
          </cell>
          <cell r="Y16">
            <v>32533.380226315265</v>
          </cell>
          <cell r="Z16">
            <v>31381.710686125756</v>
          </cell>
          <cell r="AA16">
            <v>29817.554129534063</v>
          </cell>
          <cell r="AB16">
            <v>27991.023968224108</v>
          </cell>
        </row>
        <row r="17">
          <cell r="D17">
            <v>4</v>
          </cell>
          <cell r="E17">
            <v>26326.799445766705</v>
          </cell>
          <cell r="F17">
            <v>24993.664872651352</v>
          </cell>
          <cell r="G17">
            <v>23912.518278201976</v>
          </cell>
          <cell r="H17">
            <v>23048.416253125331</v>
          </cell>
          <cell r="I17">
            <v>22609.165037002338</v>
          </cell>
          <cell r="J17">
            <v>22392.53716240669</v>
          </cell>
          <cell r="K17">
            <v>21237.815975400481</v>
          </cell>
          <cell r="L17">
            <v>22186.957745760865</v>
          </cell>
          <cell r="M17">
            <v>23772.347596912488</v>
          </cell>
          <cell r="N17">
            <v>25387.912297054696</v>
          </cell>
          <cell r="O17">
            <v>26381.498571102609</v>
          </cell>
          <cell r="P17">
            <v>27266.256967498863</v>
          </cell>
          <cell r="Q17">
            <v>27793.034493264615</v>
          </cell>
          <cell r="R17">
            <v>27911.791245075659</v>
          </cell>
          <cell r="S17">
            <v>27989.185623732956</v>
          </cell>
          <cell r="T17">
            <v>28035.708562674979</v>
          </cell>
          <cell r="U17">
            <v>27871.564327399712</v>
          </cell>
          <cell r="V17">
            <v>27900.018735862643</v>
          </cell>
          <cell r="W17">
            <v>31279.096448124626</v>
          </cell>
          <cell r="X17">
            <v>32300.596989400845</v>
          </cell>
          <cell r="Y17">
            <v>32183.34502471405</v>
          </cell>
          <cell r="Z17">
            <v>31294.082344206869</v>
          </cell>
          <cell r="AA17">
            <v>29611.776442761533</v>
          </cell>
          <cell r="AB17">
            <v>27553.627472142758</v>
          </cell>
        </row>
        <row r="18">
          <cell r="D18">
            <v>2</v>
          </cell>
          <cell r="E18">
            <v>26326.799445766705</v>
          </cell>
          <cell r="F18">
            <v>24993.664872651352</v>
          </cell>
          <cell r="G18">
            <v>23912.518278201976</v>
          </cell>
          <cell r="H18">
            <v>23048.416253125331</v>
          </cell>
          <cell r="I18">
            <v>22609.165037002338</v>
          </cell>
          <cell r="J18">
            <v>22392.53716240669</v>
          </cell>
          <cell r="K18">
            <v>21237.815975400481</v>
          </cell>
          <cell r="L18">
            <v>22186.957745760865</v>
          </cell>
          <cell r="M18">
            <v>23772.347596912488</v>
          </cell>
          <cell r="N18">
            <v>25387.912297054696</v>
          </cell>
          <cell r="O18">
            <v>26381.498571102609</v>
          </cell>
          <cell r="P18">
            <v>27266.256967498863</v>
          </cell>
          <cell r="Q18">
            <v>27793.034493264615</v>
          </cell>
          <cell r="R18">
            <v>27911.791245075659</v>
          </cell>
          <cell r="S18">
            <v>27989.185623732956</v>
          </cell>
          <cell r="T18">
            <v>28035.708562674979</v>
          </cell>
          <cell r="U18">
            <v>27871.564327399712</v>
          </cell>
          <cell r="V18">
            <v>27900.018735862643</v>
          </cell>
          <cell r="W18">
            <v>31279.096448124626</v>
          </cell>
          <cell r="X18">
            <v>32300.596989400845</v>
          </cell>
          <cell r="Y18">
            <v>32183.34502471405</v>
          </cell>
          <cell r="Z18">
            <v>31294.082344206869</v>
          </cell>
          <cell r="AA18">
            <v>29611.776442761533</v>
          </cell>
          <cell r="AB18">
            <v>27553.627472142758</v>
          </cell>
        </row>
        <row r="19">
          <cell r="D19">
            <v>20</v>
          </cell>
          <cell r="E19">
            <v>26678.38825460997</v>
          </cell>
          <cell r="F19">
            <v>25270.594924511879</v>
          </cell>
          <cell r="G19">
            <v>24265.0238249658</v>
          </cell>
          <cell r="H19">
            <v>23606.77549191911</v>
          </cell>
          <cell r="I19">
            <v>23655.106032039315</v>
          </cell>
          <cell r="J19">
            <v>24968.980757894664</v>
          </cell>
          <cell r="K19">
            <v>24902.270839155994</v>
          </cell>
          <cell r="L19">
            <v>27473.077918167943</v>
          </cell>
          <cell r="M19">
            <v>30065.350661177563</v>
          </cell>
          <cell r="N19">
            <v>31338.316820063923</v>
          </cell>
          <cell r="O19">
            <v>32859.126998094885</v>
          </cell>
          <cell r="P19">
            <v>33879.456004108375</v>
          </cell>
          <cell r="Q19">
            <v>32604.369095772156</v>
          </cell>
          <cell r="R19">
            <v>33767.184618104948</v>
          </cell>
          <cell r="S19">
            <v>35476.211009844854</v>
          </cell>
          <cell r="T19">
            <v>35695.856810391037</v>
          </cell>
          <cell r="U19">
            <v>35070.691418850503</v>
          </cell>
          <cell r="V19">
            <v>33577.135220972428</v>
          </cell>
          <cell r="W19">
            <v>35361.835772395236</v>
          </cell>
          <cell r="X19">
            <v>35934.168755676488</v>
          </cell>
          <cell r="Y19">
            <v>35222.65591541968</v>
          </cell>
          <cell r="Z19">
            <v>33688.792679506645</v>
          </cell>
          <cell r="AA19">
            <v>31188.783836230319</v>
          </cell>
          <cell r="AB19">
            <v>28674.768297736777</v>
          </cell>
        </row>
        <row r="20">
          <cell r="D20">
            <v>4</v>
          </cell>
          <cell r="E20">
            <v>26763.46566587135</v>
          </cell>
          <cell r="F20">
            <v>25460.308698795641</v>
          </cell>
          <cell r="G20">
            <v>24327.683609696502</v>
          </cell>
          <cell r="H20">
            <v>23559.399076576439</v>
          </cell>
          <cell r="I20">
            <v>23266.061369659474</v>
          </cell>
          <cell r="J20">
            <v>23498.872414833753</v>
          </cell>
          <cell r="K20">
            <v>23261.967378332902</v>
          </cell>
          <cell r="L20">
            <v>25573.726274385623</v>
          </cell>
          <cell r="M20">
            <v>28353.24900775604</v>
          </cell>
          <cell r="N20">
            <v>30099.023970436312</v>
          </cell>
          <cell r="O20">
            <v>31526.42325924191</v>
          </cell>
          <cell r="P20">
            <v>32471.848377070899</v>
          </cell>
          <cell r="Q20">
            <v>31905.438194056558</v>
          </cell>
          <cell r="R20">
            <v>31533.202045880658</v>
          </cell>
          <cell r="S20">
            <v>31698.7708977004</v>
          </cell>
          <cell r="T20">
            <v>31694.795542357908</v>
          </cell>
          <cell r="U20">
            <v>31213.609828231216</v>
          </cell>
          <cell r="V20">
            <v>30996.192326928707</v>
          </cell>
          <cell r="W20">
            <v>33951.76744857007</v>
          </cell>
          <cell r="X20">
            <v>34641.747245289545</v>
          </cell>
          <cell r="Y20">
            <v>33741.601703028646</v>
          </cell>
          <cell r="Z20">
            <v>32525.874206836648</v>
          </cell>
          <cell r="AA20">
            <v>30873.549491231901</v>
          </cell>
          <cell r="AB20">
            <v>28930.132753399903</v>
          </cell>
        </row>
        <row r="21">
          <cell r="D21">
            <v>4</v>
          </cell>
          <cell r="E21">
            <v>27179.49975215934</v>
          </cell>
          <cell r="F21">
            <v>25787.885223160934</v>
          </cell>
          <cell r="G21">
            <v>24711.359731327942</v>
          </cell>
          <cell r="H21">
            <v>23921.640143093988</v>
          </cell>
          <cell r="I21">
            <v>23421.477133488097</v>
          </cell>
          <cell r="J21">
            <v>23316.420245147525</v>
          </cell>
          <cell r="K21">
            <v>22288.885902888833</v>
          </cell>
          <cell r="L21">
            <v>23284.768584546615</v>
          </cell>
          <cell r="M21">
            <v>24915.450369596332</v>
          </cell>
          <cell r="N21">
            <v>26396.240313208695</v>
          </cell>
          <cell r="O21">
            <v>27476.171602673021</v>
          </cell>
          <cell r="P21">
            <v>28574.527165451847</v>
          </cell>
          <cell r="Q21">
            <v>29204.466655469554</v>
          </cell>
          <cell r="R21">
            <v>29397.499212664756</v>
          </cell>
          <cell r="S21">
            <v>29572.212221672999</v>
          </cell>
          <cell r="T21">
            <v>29707.307373724863</v>
          </cell>
          <cell r="U21">
            <v>29512.438320997404</v>
          </cell>
          <cell r="V21">
            <v>29443.297689428673</v>
          </cell>
          <cell r="W21">
            <v>32737.248097145097</v>
          </cell>
          <cell r="X21">
            <v>34211.870544399484</v>
          </cell>
          <cell r="Y21">
            <v>34237.186466018989</v>
          </cell>
          <cell r="Z21">
            <v>33387.979593247961</v>
          </cell>
          <cell r="AA21">
            <v>31390.29424183325</v>
          </cell>
          <cell r="AB21">
            <v>29002.790994390267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27047.979488599445</v>
          </cell>
          <cell r="F23">
            <v>25618.558045709884</v>
          </cell>
          <cell r="G23">
            <v>24541.348441616676</v>
          </cell>
          <cell r="H23">
            <v>23746.343415666302</v>
          </cell>
          <cell r="I23">
            <v>23626.846243797489</v>
          </cell>
          <cell r="J23">
            <v>24491.971236481582</v>
          </cell>
          <cell r="K23">
            <v>24323.772270474976</v>
          </cell>
          <cell r="L23">
            <v>27111.948939250746</v>
          </cell>
          <cell r="M23">
            <v>29924.004053094122</v>
          </cell>
          <cell r="N23">
            <v>31395.728138262497</v>
          </cell>
          <cell r="O23">
            <v>33065.098404506469</v>
          </cell>
          <cell r="P23">
            <v>34151.928254004066</v>
          </cell>
          <cell r="Q23">
            <v>32922.783424427464</v>
          </cell>
          <cell r="R23">
            <v>34234.812734644613</v>
          </cell>
          <cell r="S23">
            <v>35825.086941420857</v>
          </cell>
          <cell r="T23">
            <v>35995.964602961823</v>
          </cell>
          <cell r="U23">
            <v>35370.397209255083</v>
          </cell>
          <cell r="V23">
            <v>33859.509137019253</v>
          </cell>
          <cell r="W23">
            <v>35378.403633466965</v>
          </cell>
          <cell r="X23">
            <v>35820.597409182672</v>
          </cell>
          <cell r="Y23">
            <v>35176.600920393088</v>
          </cell>
          <cell r="Z23">
            <v>33811.643503126928</v>
          </cell>
          <cell r="AA23">
            <v>31676.184561452174</v>
          </cell>
          <cell r="AB23">
            <v>29274.040250634735</v>
          </cell>
        </row>
        <row r="24">
          <cell r="D24">
            <v>5</v>
          </cell>
          <cell r="E24">
            <v>27126.55093648444</v>
          </cell>
          <cell r="F24">
            <v>25651.751086978024</v>
          </cell>
          <cell r="G24">
            <v>24612.901679685503</v>
          </cell>
          <cell r="H24">
            <v>23790.785998604446</v>
          </cell>
          <cell r="I24">
            <v>23300.020183827077</v>
          </cell>
          <cell r="J24">
            <v>23224.995972707089</v>
          </cell>
          <cell r="K24">
            <v>22884.812701327963</v>
          </cell>
          <cell r="L24">
            <v>25074.10539403592</v>
          </cell>
          <cell r="M24">
            <v>27713.149498544419</v>
          </cell>
          <cell r="N24">
            <v>29365.777221540462</v>
          </cell>
          <cell r="O24">
            <v>30682.231544167458</v>
          </cell>
          <cell r="P24">
            <v>31523.831354904112</v>
          </cell>
          <cell r="Q24">
            <v>31076.783832409168</v>
          </cell>
          <cell r="R24">
            <v>30753.010918515607</v>
          </cell>
          <cell r="S24">
            <v>30568.070873119312</v>
          </cell>
          <cell r="T24">
            <v>31323.016658109769</v>
          </cell>
          <cell r="U24">
            <v>30261.24382468265</v>
          </cell>
          <cell r="V24">
            <v>30015.558393922798</v>
          </cell>
          <cell r="W24">
            <v>33158.103021640374</v>
          </cell>
          <cell r="X24">
            <v>33652.716450295549</v>
          </cell>
          <cell r="Y24">
            <v>32835.484728707612</v>
          </cell>
          <cell r="Z24">
            <v>31783.802149253552</v>
          </cell>
          <cell r="AA24">
            <v>30388.923347910411</v>
          </cell>
          <cell r="AB24">
            <v>28616.067448453443</v>
          </cell>
        </row>
        <row r="25">
          <cell r="D25">
            <v>5</v>
          </cell>
          <cell r="E25">
            <v>26909.28011737236</v>
          </cell>
          <cell r="F25">
            <v>25531.704583032697</v>
          </cell>
          <cell r="G25">
            <v>24302.068326329576</v>
          </cell>
          <cell r="H25">
            <v>23439.3822205787</v>
          </cell>
          <cell r="I25">
            <v>23039.340727985382</v>
          </cell>
          <cell r="J25">
            <v>22778.731405263137</v>
          </cell>
          <cell r="K25">
            <v>21665.919095101668</v>
          </cell>
          <cell r="L25">
            <v>22707.840293402656</v>
          </cell>
          <cell r="M25">
            <v>24217.480057748515</v>
          </cell>
          <cell r="N25">
            <v>25597.8294163971</v>
          </cell>
          <cell r="O25">
            <v>26644.261719584436</v>
          </cell>
          <cell r="P25">
            <v>27633.56821958975</v>
          </cell>
          <cell r="Q25">
            <v>28130.519815125412</v>
          </cell>
          <cell r="R25">
            <v>28257.497016577949</v>
          </cell>
          <cell r="S25">
            <v>28402.817991088541</v>
          </cell>
          <cell r="T25">
            <v>28605.312316658739</v>
          </cell>
          <cell r="U25">
            <v>28251.831290730785</v>
          </cell>
          <cell r="V25">
            <v>28319.796226957915</v>
          </cell>
          <cell r="W25">
            <v>31369.059051025564</v>
          </cell>
          <cell r="X25">
            <v>32496.710261318236</v>
          </cell>
          <cell r="Y25">
            <v>32438.318099663073</v>
          </cell>
          <cell r="Z25">
            <v>31809.875622278494</v>
          </cell>
          <cell r="AA25">
            <v>30119.050311820542</v>
          </cell>
          <cell r="AB25">
            <v>27900.459409406263</v>
          </cell>
        </row>
        <row r="26">
          <cell r="D26">
            <v>1</v>
          </cell>
          <cell r="E26">
            <v>26909.28011737236</v>
          </cell>
          <cell r="F26">
            <v>25531.704583032697</v>
          </cell>
          <cell r="G26">
            <v>24302.068326329576</v>
          </cell>
          <cell r="H26">
            <v>23439.3822205787</v>
          </cell>
          <cell r="I26">
            <v>23039.340727985382</v>
          </cell>
          <cell r="J26">
            <v>22778.731405263137</v>
          </cell>
          <cell r="K26">
            <v>21665.919095101668</v>
          </cell>
          <cell r="L26">
            <v>22707.840293402656</v>
          </cell>
          <cell r="M26">
            <v>24217.480057748515</v>
          </cell>
          <cell r="N26">
            <v>25597.8294163971</v>
          </cell>
          <cell r="O26">
            <v>26644.261719584436</v>
          </cell>
          <cell r="P26">
            <v>27633.56821958975</v>
          </cell>
          <cell r="Q26">
            <v>28130.519815125412</v>
          </cell>
          <cell r="R26">
            <v>28257.497016577949</v>
          </cell>
          <cell r="S26">
            <v>28402.817991088541</v>
          </cell>
          <cell r="T26">
            <v>28605.312316658739</v>
          </cell>
          <cell r="U26">
            <v>28251.831290730785</v>
          </cell>
          <cell r="V26">
            <v>28319.796226957915</v>
          </cell>
          <cell r="W26">
            <v>31369.059051025564</v>
          </cell>
          <cell r="X26">
            <v>32496.710261318236</v>
          </cell>
          <cell r="Y26">
            <v>32438.318099663073</v>
          </cell>
          <cell r="Z26">
            <v>31809.875622278494</v>
          </cell>
          <cell r="AA26">
            <v>30119.050311820542</v>
          </cell>
          <cell r="AB26">
            <v>27900.459409406263</v>
          </cell>
        </row>
        <row r="27">
          <cell r="D27">
            <v>20</v>
          </cell>
          <cell r="E27">
            <v>26440.916822600957</v>
          </cell>
          <cell r="F27">
            <v>25300.93622215189</v>
          </cell>
          <cell r="G27">
            <v>24183.567794013277</v>
          </cell>
          <cell r="H27">
            <v>23559.039105616404</v>
          </cell>
          <cell r="I27">
            <v>23409.81245653101</v>
          </cell>
          <cell r="J27">
            <v>23166.794924912683</v>
          </cell>
          <cell r="K27">
            <v>23247.221441455247</v>
          </cell>
          <cell r="L27">
            <v>25860.348656897164</v>
          </cell>
          <cell r="M27">
            <v>28826.391988612068</v>
          </cell>
          <cell r="N27">
            <v>30578.97494638741</v>
          </cell>
          <cell r="O27">
            <v>32035.942307493962</v>
          </cell>
          <cell r="P27">
            <v>32953.896227130193</v>
          </cell>
          <cell r="Q27">
            <v>32341.469638268969</v>
          </cell>
          <cell r="R27">
            <v>31953.620706173431</v>
          </cell>
          <cell r="S27">
            <v>32175.301294212182</v>
          </cell>
          <cell r="T27">
            <v>32170.529102612596</v>
          </cell>
          <cell r="U27">
            <v>31664.587353350442</v>
          </cell>
          <cell r="V27">
            <v>31481.723079078711</v>
          </cell>
          <cell r="W27">
            <v>34675.474716503057</v>
          </cell>
          <cell r="X27">
            <v>34951.3793575167</v>
          </cell>
          <cell r="Y27">
            <v>34095.431004493628</v>
          </cell>
          <cell r="Z27">
            <v>32910.960242746645</v>
          </cell>
          <cell r="AA27">
            <v>31292.195935603308</v>
          </cell>
          <cell r="AB27">
            <v>29331.321902595362</v>
          </cell>
        </row>
        <row r="28">
          <cell r="D28">
            <v>4</v>
          </cell>
          <cell r="E28">
            <v>25528.337932397189</v>
          </cell>
          <cell r="F28">
            <v>24270.166754130802</v>
          </cell>
          <cell r="G28">
            <v>23314.449668035017</v>
          </cell>
          <cell r="H28">
            <v>22609.736907836766</v>
          </cell>
          <cell r="I28">
            <v>22630.852071052217</v>
          </cell>
          <cell r="J28">
            <v>22909.958812421042</v>
          </cell>
          <cell r="K28">
            <v>23424.707123759268</v>
          </cell>
          <cell r="L28">
            <v>25973.620151256084</v>
          </cell>
          <cell r="M28">
            <v>28592.855450481005</v>
          </cell>
          <cell r="N28">
            <v>30118.603500716134</v>
          </cell>
          <cell r="O28">
            <v>31486.934089722272</v>
          </cell>
          <cell r="P28">
            <v>32431.53088089433</v>
          </cell>
          <cell r="Q28">
            <v>31544.285086938744</v>
          </cell>
          <cell r="R28">
            <v>32166.77841364107</v>
          </cell>
          <cell r="S28">
            <v>33238.688273009502</v>
          </cell>
          <cell r="T28">
            <v>33310.129013554302</v>
          </cell>
          <cell r="U28">
            <v>32785.54191645512</v>
          </cell>
          <cell r="V28">
            <v>32069.468114232001</v>
          </cell>
          <cell r="W28">
            <v>34279.481812076134</v>
          </cell>
          <cell r="X28">
            <v>34575.835539290099</v>
          </cell>
          <cell r="Y28">
            <v>33675.260879255395</v>
          </cell>
          <cell r="Z28">
            <v>32198.386531064018</v>
          </cell>
          <cell r="AA28">
            <v>29879.458068601998</v>
          </cell>
          <cell r="AB28">
            <v>27318.66621050474</v>
          </cell>
        </row>
        <row r="29">
          <cell r="D29">
            <v>4</v>
          </cell>
          <cell r="E29">
            <v>27511.929558653377</v>
          </cell>
          <cell r="F29">
            <v>26118.807111150367</v>
          </cell>
          <cell r="G29">
            <v>24964.757515377631</v>
          </cell>
          <cell r="H29">
            <v>24177.523484629073</v>
          </cell>
          <cell r="I29">
            <v>23716.283181766623</v>
          </cell>
          <cell r="J29">
            <v>23012.956297961322</v>
          </cell>
          <cell r="K29">
            <v>22308.271745348593</v>
          </cell>
          <cell r="L29">
            <v>23557.952607626736</v>
          </cell>
          <cell r="M29">
            <v>25209.529879945625</v>
          </cell>
          <cell r="N29">
            <v>26698.766827610136</v>
          </cell>
          <cell r="O29">
            <v>27876.14540956627</v>
          </cell>
          <cell r="P29">
            <v>28836.867063241192</v>
          </cell>
          <cell r="Q29">
            <v>29279.161703234349</v>
          </cell>
          <cell r="R29">
            <v>29360.903372318458</v>
          </cell>
          <cell r="S29">
            <v>29199.828165819556</v>
          </cell>
          <cell r="T29">
            <v>29069.975453208546</v>
          </cell>
          <cell r="U29">
            <v>28773.340243895182</v>
          </cell>
          <cell r="V29">
            <v>29048.214902443313</v>
          </cell>
          <cell r="W29">
            <v>32455.852133500914</v>
          </cell>
          <cell r="X29">
            <v>33431.632322663325</v>
          </cell>
          <cell r="Y29">
            <v>33205.813398330334</v>
          </cell>
          <cell r="Z29">
            <v>32186.618139056642</v>
          </cell>
          <cell r="AA29">
            <v>30223.677400734057</v>
          </cell>
          <cell r="AB29">
            <v>27880.962709886979</v>
          </cell>
        </row>
        <row r="30">
          <cell r="D30">
            <v>2</v>
          </cell>
          <cell r="E30">
            <v>27511.929558653377</v>
          </cell>
          <cell r="F30">
            <v>26118.807111150367</v>
          </cell>
          <cell r="G30">
            <v>24964.757515377631</v>
          </cell>
          <cell r="H30">
            <v>24177.523484629073</v>
          </cell>
          <cell r="I30">
            <v>23716.283181766623</v>
          </cell>
          <cell r="J30">
            <v>23012.956297961322</v>
          </cell>
          <cell r="K30">
            <v>22308.271745348593</v>
          </cell>
          <cell r="L30">
            <v>23557.952607626736</v>
          </cell>
          <cell r="M30">
            <v>25209.529879945625</v>
          </cell>
          <cell r="N30">
            <v>26698.766827610136</v>
          </cell>
          <cell r="O30">
            <v>27876.14540956627</v>
          </cell>
          <cell r="P30">
            <v>28836.867063241192</v>
          </cell>
          <cell r="Q30">
            <v>29279.161703234349</v>
          </cell>
          <cell r="R30">
            <v>29360.903372318458</v>
          </cell>
          <cell r="S30">
            <v>29199.828165819556</v>
          </cell>
          <cell r="T30">
            <v>29069.975453208546</v>
          </cell>
          <cell r="U30">
            <v>28773.340243895182</v>
          </cell>
          <cell r="V30">
            <v>29048.214902443313</v>
          </cell>
          <cell r="W30">
            <v>32455.852133500914</v>
          </cell>
          <cell r="X30">
            <v>33431.632322663325</v>
          </cell>
          <cell r="Y30">
            <v>33205.813398330334</v>
          </cell>
          <cell r="Z30">
            <v>32186.618139056642</v>
          </cell>
          <cell r="AA30">
            <v>30223.677400734057</v>
          </cell>
          <cell r="AB30">
            <v>27880.962709886979</v>
          </cell>
        </row>
        <row r="31">
          <cell r="D31">
            <v>20</v>
          </cell>
          <cell r="E31">
            <v>26897.040766153626</v>
          </cell>
          <cell r="F31">
            <v>25497.466612082335</v>
          </cell>
          <cell r="G31">
            <v>24368.102733789252</v>
          </cell>
          <cell r="H31">
            <v>23402.241599385899</v>
          </cell>
          <cell r="I31">
            <v>23141.890686627903</v>
          </cell>
          <cell r="J31">
            <v>22775.360079987804</v>
          </cell>
          <cell r="K31">
            <v>23111.974529266801</v>
          </cell>
          <cell r="L31">
            <v>25597.897307528961</v>
          </cell>
          <cell r="M31">
            <v>28495.186213353049</v>
          </cell>
          <cell r="N31">
            <v>30093.643481314073</v>
          </cell>
          <cell r="O31">
            <v>31108.224509914453</v>
          </cell>
          <cell r="P31">
            <v>31853.786376049873</v>
          </cell>
          <cell r="Q31">
            <v>31306.54907617734</v>
          </cell>
          <cell r="R31">
            <v>30743.432540248126</v>
          </cell>
          <cell r="S31">
            <v>30722.735305959177</v>
          </cell>
          <cell r="T31">
            <v>30549.587378966287</v>
          </cell>
          <cell r="U31">
            <v>30134.519823474977</v>
          </cell>
          <cell r="V31">
            <v>30319.321657719614</v>
          </cell>
          <cell r="W31">
            <v>33609.993452334325</v>
          </cell>
          <cell r="X31">
            <v>33922.801908822359</v>
          </cell>
          <cell r="Y31">
            <v>32830.47015814943</v>
          </cell>
          <cell r="Z31">
            <v>31475.529681426175</v>
          </cell>
          <cell r="AA31">
            <v>29693.711831579061</v>
          </cell>
          <cell r="AB31">
            <v>27697.892285461563</v>
          </cell>
        </row>
        <row r="32">
          <cell r="D32">
            <v>5</v>
          </cell>
          <cell r="E32">
            <v>24796.229034805281</v>
          </cell>
          <cell r="F32">
            <v>23569.631183819482</v>
          </cell>
          <cell r="G32">
            <v>22671.873803552873</v>
          </cell>
          <cell r="H32">
            <v>22053.505060939919</v>
          </cell>
          <cell r="I32">
            <v>21974.15868098693</v>
          </cell>
          <cell r="J32">
            <v>21946.535001167806</v>
          </cell>
          <cell r="K32">
            <v>22280.808012495687</v>
          </cell>
          <cell r="L32">
            <v>24891.945024834215</v>
          </cell>
          <cell r="M32">
            <v>27445.114802568147</v>
          </cell>
          <cell r="N32">
            <v>28919.428841028261</v>
          </cell>
          <cell r="O32">
            <v>30359.680258427412</v>
          </cell>
          <cell r="P32">
            <v>31397.076295240109</v>
          </cell>
          <cell r="Q32">
            <v>30712.132630136934</v>
          </cell>
          <cell r="R32">
            <v>31039.527701386447</v>
          </cell>
          <cell r="S32">
            <v>31856.535718253162</v>
          </cell>
          <cell r="T32">
            <v>31816.639144222656</v>
          </cell>
          <cell r="U32">
            <v>31358.342522177605</v>
          </cell>
          <cell r="V32">
            <v>30749.208188684726</v>
          </cell>
          <cell r="W32">
            <v>32988.957819786796</v>
          </cell>
          <cell r="X32">
            <v>33610.570688208834</v>
          </cell>
          <cell r="Y32">
            <v>32695.190535371188</v>
          </cell>
          <cell r="Z32">
            <v>31192.183107395096</v>
          </cell>
          <cell r="AA32">
            <v>28932.797657478655</v>
          </cell>
          <cell r="AB32">
            <v>26576.486066005196</v>
          </cell>
        </row>
        <row r="33">
          <cell r="D33">
            <v>4</v>
          </cell>
          <cell r="E33">
            <v>24777.964352424002</v>
          </cell>
          <cell r="F33">
            <v>23807.663709298668</v>
          </cell>
          <cell r="G33">
            <v>22812.568066118289</v>
          </cell>
          <cell r="H33">
            <v>22283.465978267042</v>
          </cell>
          <cell r="I33">
            <v>22113.750441930268</v>
          </cell>
          <cell r="J33">
            <v>21564.933302694029</v>
          </cell>
          <cell r="K33">
            <v>21475.2612109488</v>
          </cell>
          <cell r="L33">
            <v>23139.339425851165</v>
          </cell>
          <cell r="M33">
            <v>25068.831178805936</v>
          </cell>
          <cell r="N33">
            <v>26569.11057758029</v>
          </cell>
          <cell r="O33">
            <v>27709.683204866134</v>
          </cell>
          <cell r="P33">
            <v>29126.784677958833</v>
          </cell>
          <cell r="Q33">
            <v>29920.658289062088</v>
          </cell>
          <cell r="R33">
            <v>30071.092908306542</v>
          </cell>
          <cell r="S33">
            <v>30105.74018454631</v>
          </cell>
          <cell r="T33">
            <v>30164.745176843786</v>
          </cell>
          <cell r="U33">
            <v>29856.985434454586</v>
          </cell>
          <cell r="V33">
            <v>29864.768354675954</v>
          </cell>
          <cell r="W33">
            <v>33379.273386190078</v>
          </cell>
          <cell r="X33">
            <v>34646.191166509765</v>
          </cell>
          <cell r="Y33">
            <v>34435.245471188311</v>
          </cell>
          <cell r="Z33">
            <v>33274.96671668069</v>
          </cell>
          <cell r="AA33">
            <v>31146.971126772642</v>
          </cell>
          <cell r="AB33">
            <v>28660.258822541717</v>
          </cell>
        </row>
        <row r="34">
          <cell r="D34">
            <v>2</v>
          </cell>
          <cell r="E34">
            <v>24777.964352424002</v>
          </cell>
          <cell r="F34">
            <v>23807.663709298668</v>
          </cell>
          <cell r="G34">
            <v>22812.568066118289</v>
          </cell>
          <cell r="H34">
            <v>22283.465978267042</v>
          </cell>
          <cell r="I34">
            <v>22113.750441930268</v>
          </cell>
          <cell r="J34">
            <v>21564.933302694029</v>
          </cell>
          <cell r="K34">
            <v>21475.2612109488</v>
          </cell>
          <cell r="L34">
            <v>23139.339425851165</v>
          </cell>
          <cell r="M34">
            <v>25068.831178805936</v>
          </cell>
          <cell r="N34">
            <v>26569.11057758029</v>
          </cell>
          <cell r="O34">
            <v>27709.683204866134</v>
          </cell>
          <cell r="P34">
            <v>29126.784677958833</v>
          </cell>
          <cell r="Q34">
            <v>29920.658289062088</v>
          </cell>
          <cell r="R34">
            <v>30071.092908306542</v>
          </cell>
          <cell r="S34">
            <v>30105.74018454631</v>
          </cell>
          <cell r="T34">
            <v>30164.745176843786</v>
          </cell>
          <cell r="U34">
            <v>29856.985434454586</v>
          </cell>
          <cell r="V34">
            <v>29864.768354675954</v>
          </cell>
          <cell r="W34">
            <v>33379.273386190078</v>
          </cell>
          <cell r="X34">
            <v>34646.191166509765</v>
          </cell>
          <cell r="Y34">
            <v>34435.245471188311</v>
          </cell>
          <cell r="Z34">
            <v>33274.96671668069</v>
          </cell>
          <cell r="AA34">
            <v>31146.971126772642</v>
          </cell>
          <cell r="AB34">
            <v>28660.258822541717</v>
          </cell>
        </row>
        <row r="35">
          <cell r="D35">
            <v>18</v>
          </cell>
          <cell r="E35">
            <v>24433.080907745614</v>
          </cell>
          <cell r="F35">
            <v>23220.099616277093</v>
          </cell>
          <cell r="G35">
            <v>22323.899475356382</v>
          </cell>
          <cell r="H35">
            <v>21725.8571679202</v>
          </cell>
          <cell r="I35">
            <v>21566.106883991499</v>
          </cell>
          <cell r="J35">
            <v>21336.977592819054</v>
          </cell>
          <cell r="K35">
            <v>21693.00439466567</v>
          </cell>
          <cell r="L35">
            <v>24306.02224948466</v>
          </cell>
          <cell r="M35">
            <v>27179.208533422308</v>
          </cell>
          <cell r="N35">
            <v>28945.838664865827</v>
          </cell>
          <cell r="O35">
            <v>30481.018814182771</v>
          </cell>
          <cell r="P35">
            <v>31325.90442663362</v>
          </cell>
          <cell r="Q35">
            <v>30863.438608064134</v>
          </cell>
          <cell r="R35">
            <v>30333.512225629798</v>
          </cell>
          <cell r="S35">
            <v>30359.09989399177</v>
          </cell>
          <cell r="T35">
            <v>30271.805956248762</v>
          </cell>
          <cell r="U35">
            <v>29965.117242932305</v>
          </cell>
          <cell r="V35">
            <v>29997.122852138065</v>
          </cell>
          <cell r="W35">
            <v>32581.333815209753</v>
          </cell>
          <cell r="X35">
            <v>33046.43309190053</v>
          </cell>
          <cell r="Y35">
            <v>31895.016806761389</v>
          </cell>
          <cell r="Z35">
            <v>30580.886199175744</v>
          </cell>
          <cell r="AA35">
            <v>28959.023975832188</v>
          </cell>
          <cell r="AB35">
            <v>27126.485517047397</v>
          </cell>
        </row>
        <row r="36">
          <cell r="D36">
            <v>4</v>
          </cell>
          <cell r="E36">
            <v>25161.426513754031</v>
          </cell>
          <cell r="F36">
            <v>23923.204985394532</v>
          </cell>
          <cell r="G36">
            <v>22982.309006463991</v>
          </cell>
          <cell r="H36">
            <v>22329.450140440804</v>
          </cell>
          <cell r="I36">
            <v>22252.62260415854</v>
          </cell>
          <cell r="J36">
            <v>22502.364648107079</v>
          </cell>
          <cell r="K36">
            <v>22655.088768964728</v>
          </cell>
          <cell r="L36">
            <v>25203.732966956999</v>
          </cell>
          <cell r="M36">
            <v>27896.227812005181</v>
          </cell>
          <cell r="N36">
            <v>29454.226774983559</v>
          </cell>
          <cell r="O36">
            <v>30924.383599086774</v>
          </cell>
          <cell r="P36">
            <v>31883.830058616379</v>
          </cell>
          <cell r="Q36">
            <v>31071.94054709583</v>
          </cell>
          <cell r="R36">
            <v>31819.365812230775</v>
          </cell>
          <cell r="S36">
            <v>32899.80091508929</v>
          </cell>
          <cell r="T36">
            <v>32943.011459840789</v>
          </cell>
          <cell r="U36">
            <v>32329.860761007163</v>
          </cell>
          <cell r="V36">
            <v>31267.241493372192</v>
          </cell>
          <cell r="W36">
            <v>33105.293019701341</v>
          </cell>
          <cell r="X36">
            <v>34073.964406845836</v>
          </cell>
          <cell r="Y36">
            <v>33296.926351670525</v>
          </cell>
          <cell r="Z36">
            <v>31885.703788517771</v>
          </cell>
          <cell r="AA36">
            <v>29585.082751380982</v>
          </cell>
          <cell r="AB36">
            <v>27177.58237132859</v>
          </cell>
        </row>
        <row r="37">
          <cell r="D37">
            <v>5</v>
          </cell>
          <cell r="E37">
            <v>23950.15669879011</v>
          </cell>
          <cell r="F37">
            <v>22982.148530381171</v>
          </cell>
          <cell r="G37">
            <v>22191.161400314213</v>
          </cell>
          <cell r="H37">
            <v>21678.674273015316</v>
          </cell>
          <cell r="I37">
            <v>21474.250377523738</v>
          </cell>
          <cell r="J37">
            <v>20872.917179523542</v>
          </cell>
          <cell r="K37">
            <v>20598.279644139191</v>
          </cell>
          <cell r="L37">
            <v>22276.296208951022</v>
          </cell>
          <cell r="M37">
            <v>24216.728569612351</v>
          </cell>
          <cell r="N37">
            <v>25425.836726472575</v>
          </cell>
          <cell r="O37">
            <v>26859.697091209757</v>
          </cell>
          <cell r="P37">
            <v>27920.808381447703</v>
          </cell>
          <cell r="Q37">
            <v>28461.998110249744</v>
          </cell>
          <cell r="R37">
            <v>28349.181853840939</v>
          </cell>
          <cell r="S37">
            <v>28113.371462430096</v>
          </cell>
          <cell r="T37">
            <v>27896.580318175242</v>
          </cell>
          <cell r="U37">
            <v>27683.24100494061</v>
          </cell>
          <cell r="V37">
            <v>28100.845240951061</v>
          </cell>
          <cell r="W37">
            <v>31493.178521542133</v>
          </cell>
          <cell r="X37">
            <v>32744.692520872839</v>
          </cell>
          <cell r="Y37">
            <v>32329.179785836077</v>
          </cell>
          <cell r="Z37">
            <v>31134.694011866508</v>
          </cell>
          <cell r="AA37">
            <v>29030.621247961095</v>
          </cell>
          <cell r="AB37">
            <v>26617.845736600302</v>
          </cell>
        </row>
        <row r="38">
          <cell r="D38">
            <v>3</v>
          </cell>
          <cell r="E38">
            <v>23950.15669879011</v>
          </cell>
          <cell r="F38">
            <v>22982.148530381171</v>
          </cell>
          <cell r="G38">
            <v>22191.161400314213</v>
          </cell>
          <cell r="H38">
            <v>21678.674273015316</v>
          </cell>
          <cell r="I38">
            <v>21474.250377523738</v>
          </cell>
          <cell r="J38">
            <v>20872.917179523542</v>
          </cell>
          <cell r="K38">
            <v>20598.279644139191</v>
          </cell>
          <cell r="L38">
            <v>22276.296208951022</v>
          </cell>
          <cell r="M38">
            <v>24216.728569612351</v>
          </cell>
          <cell r="N38">
            <v>25425.836726472575</v>
          </cell>
          <cell r="O38">
            <v>26859.697091209757</v>
          </cell>
          <cell r="P38">
            <v>27920.808381447703</v>
          </cell>
          <cell r="Q38">
            <v>28461.998110249744</v>
          </cell>
          <cell r="R38">
            <v>28349.181853840939</v>
          </cell>
          <cell r="S38">
            <v>28113.371462430096</v>
          </cell>
          <cell r="T38">
            <v>27896.580318175242</v>
          </cell>
          <cell r="U38">
            <v>27683.24100494061</v>
          </cell>
          <cell r="V38">
            <v>28100.845240951061</v>
          </cell>
          <cell r="W38">
            <v>31493.178521542133</v>
          </cell>
          <cell r="X38">
            <v>32744.692520872839</v>
          </cell>
          <cell r="Y38">
            <v>32329.179785836077</v>
          </cell>
          <cell r="Z38">
            <v>31134.694011866508</v>
          </cell>
          <cell r="AA38">
            <v>29030.621247961095</v>
          </cell>
          <cell r="AB38">
            <v>26617.845736600302</v>
          </cell>
        </row>
        <row r="39">
          <cell r="D39">
            <v>23</v>
          </cell>
          <cell r="E39">
            <v>24937.909957718697</v>
          </cell>
          <cell r="F39">
            <v>23737.767051873263</v>
          </cell>
          <cell r="G39">
            <v>22946.618770480742</v>
          </cell>
          <cell r="H39">
            <v>22360.943407054114</v>
          </cell>
          <cell r="I39">
            <v>22270.103712717926</v>
          </cell>
          <cell r="J39">
            <v>22166.301497770164</v>
          </cell>
          <cell r="K39">
            <v>22370.35545118805</v>
          </cell>
          <cell r="L39">
            <v>24979.932944393258</v>
          </cell>
          <cell r="M39">
            <v>28015.908382766782</v>
          </cell>
          <cell r="N39">
            <v>29735.9321327258</v>
          </cell>
          <cell r="O39">
            <v>31283.053159357667</v>
          </cell>
          <cell r="P39">
            <v>31986.993718695398</v>
          </cell>
          <cell r="Q39">
            <v>31569.715370329799</v>
          </cell>
          <cell r="R39">
            <v>31131.913061045943</v>
          </cell>
          <cell r="S39">
            <v>31182.93772802837</v>
          </cell>
          <cell r="T39">
            <v>31268.316121709082</v>
          </cell>
          <cell r="U39">
            <v>30831.114573527379</v>
          </cell>
          <cell r="V39">
            <v>30761.850712939548</v>
          </cell>
          <cell r="W39">
            <v>33367.368561193995</v>
          </cell>
          <cell r="X39">
            <v>34254.046512249544</v>
          </cell>
          <cell r="Y39">
            <v>33163.272778071529</v>
          </cell>
          <cell r="Z39">
            <v>31692.868872063653</v>
          </cell>
          <cell r="AA39">
            <v>29822.047234048572</v>
          </cell>
          <cell r="AB39">
            <v>27828.959533118606</v>
          </cell>
        </row>
        <row r="40">
          <cell r="D40">
            <v>4</v>
          </cell>
          <cell r="E40">
            <v>26525.073818415876</v>
          </cell>
          <cell r="F40">
            <v>25135.847561494829</v>
          </cell>
          <cell r="G40">
            <v>24117.627705840699</v>
          </cell>
          <cell r="H40">
            <v>23399.224025952182</v>
          </cell>
          <cell r="I40">
            <v>23349.689326998527</v>
          </cell>
          <cell r="J40">
            <v>23777.407176157431</v>
          </cell>
          <cell r="K40">
            <v>23916.861525327462</v>
          </cell>
          <cell r="L40">
            <v>26524.692221235928</v>
          </cell>
          <cell r="M40">
            <v>29331.693438667851</v>
          </cell>
          <cell r="N40">
            <v>30927.00468124004</v>
          </cell>
          <cell r="O40">
            <v>32539.307031167864</v>
          </cell>
          <cell r="P40">
            <v>33702.799415217247</v>
          </cell>
          <cell r="Q40">
            <v>32822.367653392612</v>
          </cell>
          <cell r="R40">
            <v>33480.27605359898</v>
          </cell>
          <cell r="S40">
            <v>34585.84749943536</v>
          </cell>
          <cell r="T40">
            <v>34586.167782829754</v>
          </cell>
          <cell r="U40">
            <v>33926.257175197708</v>
          </cell>
          <cell r="V40">
            <v>32952.75091239735</v>
          </cell>
          <cell r="W40">
            <v>35217.40007992855</v>
          </cell>
          <cell r="X40">
            <v>35943.082372693963</v>
          </cell>
          <cell r="Y40">
            <v>35183.31446581678</v>
          </cell>
          <cell r="Z40">
            <v>33687.133481278295</v>
          </cell>
          <cell r="AA40">
            <v>31227.705632030844</v>
          </cell>
          <cell r="AB40">
            <v>28580.167332940444</v>
          </cell>
        </row>
        <row r="41">
          <cell r="D41">
            <v>3</v>
          </cell>
          <cell r="E41">
            <v>25018.856566318151</v>
          </cell>
          <cell r="F41">
            <v>24013.876457759085</v>
          </cell>
          <cell r="G41">
            <v>23163.181969176832</v>
          </cell>
          <cell r="H41">
            <v>22384.434392191124</v>
          </cell>
          <cell r="I41">
            <v>22122.978364544706</v>
          </cell>
          <cell r="J41">
            <v>21778.231101236321</v>
          </cell>
          <cell r="K41">
            <v>21363.167743909096</v>
          </cell>
          <cell r="L41">
            <v>22956.12979956219</v>
          </cell>
          <cell r="M41">
            <v>25037.841121987261</v>
          </cell>
          <cell r="N41">
            <v>26717.678425663809</v>
          </cell>
          <cell r="O41">
            <v>27922.464789319783</v>
          </cell>
          <cell r="P41">
            <v>28533.078589902667</v>
          </cell>
          <cell r="Q41">
            <v>29580.754205817859</v>
          </cell>
          <cell r="R41">
            <v>29649.57254399169</v>
          </cell>
          <cell r="S41">
            <v>29596.932024368984</v>
          </cell>
          <cell r="T41">
            <v>29681.805396486932</v>
          </cell>
          <cell r="U41">
            <v>29449.992926561466</v>
          </cell>
          <cell r="V41">
            <v>29183.232279351345</v>
          </cell>
          <cell r="W41">
            <v>32251.636376509694</v>
          </cell>
          <cell r="X41">
            <v>34020.811111166164</v>
          </cell>
          <cell r="Y41">
            <v>33560.762611057784</v>
          </cell>
          <cell r="Z41">
            <v>32411.206061798814</v>
          </cell>
          <cell r="AA41">
            <v>30466.962654499453</v>
          </cell>
          <cell r="AB41">
            <v>28302.191061289923</v>
          </cell>
        </row>
        <row r="42">
          <cell r="D42">
            <v>1</v>
          </cell>
          <cell r="E42">
            <v>25018.856566318151</v>
          </cell>
          <cell r="F42">
            <v>24013.876457759085</v>
          </cell>
          <cell r="G42">
            <v>23163.181969176832</v>
          </cell>
          <cell r="H42">
            <v>22384.434392191124</v>
          </cell>
          <cell r="I42">
            <v>22122.978364544706</v>
          </cell>
          <cell r="J42">
            <v>21778.231101236321</v>
          </cell>
          <cell r="K42">
            <v>21363.167743909096</v>
          </cell>
          <cell r="L42">
            <v>22956.12979956219</v>
          </cell>
          <cell r="M42">
            <v>25037.841121987261</v>
          </cell>
          <cell r="N42">
            <v>26717.678425663809</v>
          </cell>
          <cell r="O42">
            <v>27922.464789319783</v>
          </cell>
          <cell r="P42">
            <v>28533.078589902667</v>
          </cell>
          <cell r="Q42">
            <v>29580.754205817859</v>
          </cell>
          <cell r="R42">
            <v>29649.57254399169</v>
          </cell>
          <cell r="S42">
            <v>29596.932024368984</v>
          </cell>
          <cell r="T42">
            <v>29681.805396486932</v>
          </cell>
          <cell r="U42">
            <v>29449.992926561466</v>
          </cell>
          <cell r="V42">
            <v>29183.232279351345</v>
          </cell>
          <cell r="W42">
            <v>32251.636376509694</v>
          </cell>
          <cell r="X42">
            <v>34020.811111166164</v>
          </cell>
          <cell r="Y42">
            <v>33560.762611057784</v>
          </cell>
          <cell r="Z42">
            <v>32411.206061798814</v>
          </cell>
          <cell r="AA42">
            <v>30466.962654499453</v>
          </cell>
          <cell r="AB42">
            <v>28302.191061289923</v>
          </cell>
        </row>
        <row r="43">
          <cell r="D43">
            <v>19</v>
          </cell>
          <cell r="E43">
            <v>25866.869684314323</v>
          </cell>
          <cell r="F43">
            <v>24473.000884440455</v>
          </cell>
          <cell r="G43">
            <v>23433.01635997968</v>
          </cell>
          <cell r="H43">
            <v>22736.552910441002</v>
          </cell>
          <cell r="I43">
            <v>22480.72569558621</v>
          </cell>
          <cell r="J43">
            <v>22416.279138875969</v>
          </cell>
          <cell r="K43">
            <v>22489.89886348493</v>
          </cell>
          <cell r="L43">
            <v>25084.972853284333</v>
          </cell>
          <cell r="M43">
            <v>28006.88433608074</v>
          </cell>
          <cell r="N43">
            <v>29802.670393547731</v>
          </cell>
          <cell r="O43">
            <v>31294.049155662786</v>
          </cell>
          <cell r="P43">
            <v>32245.442295475113</v>
          </cell>
          <cell r="Q43">
            <v>31710.397850166577</v>
          </cell>
          <cell r="R43">
            <v>31258.506098886541</v>
          </cell>
          <cell r="S43">
            <v>31211.437934797323</v>
          </cell>
          <cell r="T43">
            <v>30956.750334487304</v>
          </cell>
          <cell r="U43">
            <v>30336.201464075075</v>
          </cell>
          <cell r="V43">
            <v>30295.971612271576</v>
          </cell>
          <cell r="W43">
            <v>33042.65975443535</v>
          </cell>
          <cell r="X43">
            <v>33466.752411028523</v>
          </cell>
          <cell r="Y43">
            <v>32485.994091971199</v>
          </cell>
          <cell r="Z43">
            <v>31133.812892158541</v>
          </cell>
          <cell r="AA43">
            <v>29226.286066034503</v>
          </cell>
          <cell r="AB43">
            <v>27194.913764733217</v>
          </cell>
        </row>
        <row r="44">
          <cell r="D44">
            <v>5</v>
          </cell>
          <cell r="E44">
            <v>25525.126296967901</v>
          </cell>
          <cell r="F44">
            <v>24258.1448611372</v>
          </cell>
          <cell r="G44">
            <v>23289.119780093053</v>
          </cell>
          <cell r="H44">
            <v>22605.767279911026</v>
          </cell>
          <cell r="I44">
            <v>22540.530145993125</v>
          </cell>
          <cell r="J44">
            <v>22909.283960593286</v>
          </cell>
          <cell r="K44">
            <v>23153.744301635437</v>
          </cell>
          <cell r="L44">
            <v>25795.180950090766</v>
          </cell>
          <cell r="M44">
            <v>28501.97140232598</v>
          </cell>
          <cell r="N44">
            <v>30035.307112156832</v>
          </cell>
          <cell r="O44">
            <v>31626.909417776311</v>
          </cell>
          <cell r="P44">
            <v>32703.834085887465</v>
          </cell>
          <cell r="Q44">
            <v>31864.688186936619</v>
          </cell>
          <cell r="R44">
            <v>32618.285840139164</v>
          </cell>
          <cell r="S44">
            <v>33751.068357513315</v>
          </cell>
          <cell r="T44">
            <v>33775.071480181643</v>
          </cell>
          <cell r="U44">
            <v>33152.494325052663</v>
          </cell>
          <cell r="V44">
            <v>32595.276668303981</v>
          </cell>
          <cell r="W44">
            <v>34989.513213181315</v>
          </cell>
          <cell r="X44">
            <v>34847.394355593555</v>
          </cell>
          <cell r="Y44">
            <v>33948.097677306214</v>
          </cell>
          <cell r="Z44">
            <v>32392.169473718688</v>
          </cell>
          <cell r="AA44">
            <v>29912.298743239342</v>
          </cell>
          <cell r="AB44">
            <v>27368.093681345592</v>
          </cell>
        </row>
        <row r="45">
          <cell r="D45">
            <v>5</v>
          </cell>
          <cell r="E45">
            <v>25512.406538880645</v>
          </cell>
          <cell r="F45">
            <v>24182.806061668936</v>
          </cell>
          <cell r="G45">
            <v>23150.148092032381</v>
          </cell>
          <cell r="H45">
            <v>22403.257844752545</v>
          </cell>
          <cell r="I45">
            <v>22089.820614591383</v>
          </cell>
          <cell r="J45">
            <v>21667.48769369334</v>
          </cell>
          <cell r="K45">
            <v>21205.424518007949</v>
          </cell>
          <cell r="L45">
            <v>22748.081351178589</v>
          </cell>
          <cell r="M45">
            <v>24446.523180110111</v>
          </cell>
          <cell r="N45">
            <v>25977.230727683869</v>
          </cell>
          <cell r="O45">
            <v>27428.481932463706</v>
          </cell>
          <cell r="P45">
            <v>28670.227399361243</v>
          </cell>
          <cell r="Q45">
            <v>29127.164392985578</v>
          </cell>
          <cell r="R45">
            <v>28987.35795984092</v>
          </cell>
          <cell r="S45">
            <v>28857.08043350454</v>
          </cell>
          <cell r="T45">
            <v>28949.042327130162</v>
          </cell>
          <cell r="U45">
            <v>28684.960615370277</v>
          </cell>
          <cell r="V45">
            <v>28652.507643224377</v>
          </cell>
          <cell r="W45">
            <v>31975.530424040509</v>
          </cell>
          <cell r="X45">
            <v>33776.999032972912</v>
          </cell>
          <cell r="Y45">
            <v>33596.854515893843</v>
          </cell>
          <cell r="Z45">
            <v>32332.720414989573</v>
          </cell>
          <cell r="AA45">
            <v>30140.732256454517</v>
          </cell>
          <cell r="AB45">
            <v>27739.530034692121</v>
          </cell>
        </row>
        <row r="46">
          <cell r="D46">
            <v>2</v>
          </cell>
          <cell r="E46">
            <v>25512.406538880645</v>
          </cell>
          <cell r="F46">
            <v>24182.806061668936</v>
          </cell>
          <cell r="G46">
            <v>23150.148092032381</v>
          </cell>
          <cell r="H46">
            <v>22403.257844752545</v>
          </cell>
          <cell r="I46">
            <v>22089.820614591383</v>
          </cell>
          <cell r="J46">
            <v>21667.48769369334</v>
          </cell>
          <cell r="K46">
            <v>21205.424518007949</v>
          </cell>
          <cell r="L46">
            <v>22748.081351178589</v>
          </cell>
          <cell r="M46">
            <v>24446.523180110111</v>
          </cell>
          <cell r="N46">
            <v>25977.230727683869</v>
          </cell>
          <cell r="O46">
            <v>27428.481932463706</v>
          </cell>
          <cell r="P46">
            <v>28670.227399361243</v>
          </cell>
          <cell r="Q46">
            <v>29127.164392985578</v>
          </cell>
          <cell r="R46">
            <v>28987.35795984092</v>
          </cell>
          <cell r="S46">
            <v>28857.08043350454</v>
          </cell>
          <cell r="T46">
            <v>28949.042327130162</v>
          </cell>
          <cell r="U46">
            <v>28684.960615370277</v>
          </cell>
          <cell r="V46">
            <v>28652.507643224377</v>
          </cell>
          <cell r="W46">
            <v>31975.530424040509</v>
          </cell>
          <cell r="X46">
            <v>33776.999032972912</v>
          </cell>
          <cell r="Y46">
            <v>33596.854515893843</v>
          </cell>
          <cell r="Z46">
            <v>32332.720414989573</v>
          </cell>
          <cell r="AA46">
            <v>30140.732256454517</v>
          </cell>
          <cell r="AB46">
            <v>27739.530034692121</v>
          </cell>
        </row>
        <row r="47">
          <cell r="D47">
            <v>22</v>
          </cell>
          <cell r="E47">
            <v>26206.874888845639</v>
          </cell>
          <cell r="F47">
            <v>24869.300776248994</v>
          </cell>
          <cell r="G47">
            <v>23834.397790444589</v>
          </cell>
          <cell r="H47">
            <v>23101.244747847581</v>
          </cell>
          <cell r="I47">
            <v>22886.124930121263</v>
          </cell>
          <cell r="J47">
            <v>22590.66520675131</v>
          </cell>
          <cell r="K47">
            <v>22736.803014443241</v>
          </cell>
          <cell r="L47">
            <v>25440.780269429921</v>
          </cell>
          <cell r="M47">
            <v>28328.670855418175</v>
          </cell>
          <cell r="N47">
            <v>29994.137868149086</v>
          </cell>
          <cell r="O47">
            <v>31413.052102602458</v>
          </cell>
          <cell r="P47">
            <v>32117.457739268033</v>
          </cell>
          <cell r="Q47">
            <v>31508.406652870632</v>
          </cell>
          <cell r="R47">
            <v>31053.651096139311</v>
          </cell>
          <cell r="S47">
            <v>31016.530895835593</v>
          </cell>
          <cell r="T47">
            <v>30963.217039568077</v>
          </cell>
          <cell r="U47">
            <v>30500.165648105729</v>
          </cell>
          <cell r="V47">
            <v>30857.409970749835</v>
          </cell>
          <cell r="W47">
            <v>34064.390258580381</v>
          </cell>
          <cell r="X47">
            <v>33739.322580563035</v>
          </cell>
          <cell r="Y47">
            <v>32568.392521890048</v>
          </cell>
          <cell r="Z47">
            <v>31113.123019324928</v>
          </cell>
          <cell r="AA47">
            <v>29362.330826410634</v>
          </cell>
          <cell r="AB47">
            <v>27432.197793504078</v>
          </cell>
        </row>
        <row r="48">
          <cell r="D48">
            <v>4</v>
          </cell>
          <cell r="E48">
            <v>24499.364900156637</v>
          </cell>
          <cell r="F48">
            <v>23266.356429741783</v>
          </cell>
          <cell r="G48">
            <v>22405.970677297089</v>
          </cell>
          <cell r="H48">
            <v>21771.763517870531</v>
          </cell>
          <cell r="I48">
            <v>21782.167371379706</v>
          </cell>
          <cell r="J48">
            <v>22143.159997177332</v>
          </cell>
          <cell r="K48">
            <v>22593.883268257858</v>
          </cell>
          <cell r="L48">
            <v>25350.344340483342</v>
          </cell>
          <cell r="M48">
            <v>28035.160642552521</v>
          </cell>
          <cell r="N48">
            <v>29500.315066461175</v>
          </cell>
          <cell r="O48">
            <v>31050.61669459127</v>
          </cell>
          <cell r="P48">
            <v>32119.112551269831</v>
          </cell>
          <cell r="Q48">
            <v>31199.332244862886</v>
          </cell>
          <cell r="R48">
            <v>31900.993397238763</v>
          </cell>
          <cell r="S48">
            <v>33084.634017313096</v>
          </cell>
          <cell r="T48">
            <v>33144.299965392056</v>
          </cell>
          <cell r="U48">
            <v>32458.370209603279</v>
          </cell>
          <cell r="V48">
            <v>32547.935316846022</v>
          </cell>
          <cell r="W48">
            <v>34510.723703910691</v>
          </cell>
          <cell r="X48">
            <v>33924.560057068244</v>
          </cell>
          <cell r="Y48">
            <v>32839.660554189315</v>
          </cell>
          <cell r="Z48">
            <v>31242.203521215466</v>
          </cell>
          <cell r="AA48">
            <v>28940.38593904263</v>
          </cell>
          <cell r="AB48">
            <v>26548.861149713764</v>
          </cell>
        </row>
        <row r="49">
          <cell r="D49">
            <v>4</v>
          </cell>
          <cell r="E49">
            <v>25246.205319656878</v>
          </cell>
          <cell r="F49">
            <v>24017.953827334819</v>
          </cell>
          <cell r="G49">
            <v>23108.72397378289</v>
          </cell>
          <cell r="H49">
            <v>22421.935542847579</v>
          </cell>
          <cell r="I49">
            <v>22457.856063638388</v>
          </cell>
          <cell r="J49">
            <v>23165.635215135248</v>
          </cell>
          <cell r="K49">
            <v>23611.598777575608</v>
          </cell>
          <cell r="L49">
            <v>26535.95379665017</v>
          </cell>
          <cell r="M49">
            <v>29431.480526283845</v>
          </cell>
          <cell r="N49">
            <v>30964.306270828794</v>
          </cell>
          <cell r="O49">
            <v>32709.166697902561</v>
          </cell>
          <cell r="P49">
            <v>33883.861634071887</v>
          </cell>
          <cell r="Q49">
            <v>32691.233090196776</v>
          </cell>
          <cell r="R49">
            <v>33847.270551353067</v>
          </cell>
          <cell r="S49">
            <v>35486.628231499344</v>
          </cell>
          <cell r="T49">
            <v>35531.08817532938</v>
          </cell>
          <cell r="U49">
            <v>34724.57295058696</v>
          </cell>
          <cell r="V49">
            <v>33721.908194397205</v>
          </cell>
          <cell r="W49">
            <v>35693.215597839051</v>
          </cell>
          <cell r="X49">
            <v>35429.597694682525</v>
          </cell>
          <cell r="Y49">
            <v>34515.60702912639</v>
          </cell>
          <cell r="Z49">
            <v>32885.030571142357</v>
          </cell>
          <cell r="AA49">
            <v>30189.989321345016</v>
          </cell>
          <cell r="AB49">
            <v>27481.808641064934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25231.589754715489</v>
          </cell>
          <cell r="F51">
            <v>23955.68453758983</v>
          </cell>
          <cell r="G51">
            <v>22940.124768286947</v>
          </cell>
          <cell r="H51">
            <v>22100.663081793071</v>
          </cell>
          <cell r="I51">
            <v>21782.139422458637</v>
          </cell>
          <cell r="J51">
            <v>21605.25922896697</v>
          </cell>
          <cell r="K51">
            <v>22061.322270212713</v>
          </cell>
          <cell r="L51">
            <v>24829.331547585905</v>
          </cell>
          <cell r="M51">
            <v>27658.562954554291</v>
          </cell>
          <cell r="N51">
            <v>29300.940498651649</v>
          </cell>
          <cell r="O51">
            <v>30814.614321126439</v>
          </cell>
          <cell r="P51">
            <v>31608.588862632358</v>
          </cell>
          <cell r="Q51">
            <v>31046.827750203396</v>
          </cell>
          <cell r="R51">
            <v>30679.036271803492</v>
          </cell>
          <cell r="S51">
            <v>30805.358099179048</v>
          </cell>
          <cell r="T51">
            <v>30744.568385308881</v>
          </cell>
          <cell r="U51">
            <v>30349.204348555937</v>
          </cell>
          <cell r="V51">
            <v>31138.233940510134</v>
          </cell>
          <cell r="W51">
            <v>33977.004005441784</v>
          </cell>
          <cell r="X51">
            <v>33409.27772066286</v>
          </cell>
          <cell r="Y51">
            <v>32227.249493588693</v>
          </cell>
          <cell r="Z51">
            <v>30725.038810981005</v>
          </cell>
          <cell r="AA51">
            <v>28933.360589566575</v>
          </cell>
          <cell r="AB51">
            <v>27017.564624028251</v>
          </cell>
        </row>
        <row r="52">
          <cell r="D52">
            <v>4</v>
          </cell>
          <cell r="E52">
            <v>23451.83598532742</v>
          </cell>
          <cell r="F52">
            <v>22293.480088256612</v>
          </cell>
          <cell r="G52">
            <v>21436.424527752206</v>
          </cell>
          <cell r="H52">
            <v>20922.740965867517</v>
          </cell>
          <cell r="I52">
            <v>20994.587431286298</v>
          </cell>
          <cell r="J52">
            <v>21403.650817395785</v>
          </cell>
          <cell r="K52">
            <v>21791.547032859307</v>
          </cell>
          <cell r="L52">
            <v>24341.604199156583</v>
          </cell>
          <cell r="M52">
            <v>26887.28590930178</v>
          </cell>
          <cell r="N52">
            <v>28379.042095651159</v>
          </cell>
          <cell r="O52">
            <v>29747.806296225095</v>
          </cell>
          <cell r="P52">
            <v>30768.783768989982</v>
          </cell>
          <cell r="Q52">
            <v>29902.944998145562</v>
          </cell>
          <cell r="R52">
            <v>30295.208560892563</v>
          </cell>
          <cell r="S52">
            <v>31188.629579500805</v>
          </cell>
          <cell r="T52">
            <v>31273.542077896007</v>
          </cell>
          <cell r="U52">
            <v>30868.129022673482</v>
          </cell>
          <cell r="V52">
            <v>31428.945623710664</v>
          </cell>
          <cell r="W52">
            <v>33597.872635105348</v>
          </cell>
          <cell r="X52">
            <v>32944.79387709139</v>
          </cell>
          <cell r="Y52">
            <v>31664.571615155139</v>
          </cell>
          <cell r="Z52">
            <v>29901.932626518799</v>
          </cell>
          <cell r="AA52">
            <v>27603.483894203469</v>
          </cell>
          <cell r="AB52">
            <v>25299.831501633063</v>
          </cell>
        </row>
        <row r="53">
          <cell r="D53">
            <v>4</v>
          </cell>
          <cell r="E53">
            <v>23702.572647217519</v>
          </cell>
          <cell r="F53">
            <v>22699.073359647424</v>
          </cell>
          <cell r="G53">
            <v>21900.931856118907</v>
          </cell>
          <cell r="H53">
            <v>21409.756039526867</v>
          </cell>
          <cell r="I53">
            <v>21239.226533238951</v>
          </cell>
          <cell r="J53">
            <v>20904.496561310913</v>
          </cell>
          <cell r="K53">
            <v>20407.214354360971</v>
          </cell>
          <cell r="L53">
            <v>22011.466386376967</v>
          </cell>
          <cell r="M53">
            <v>23342.353340250633</v>
          </cell>
          <cell r="N53">
            <v>25197.246720591287</v>
          </cell>
          <cell r="O53">
            <v>26644.901382051543</v>
          </cell>
          <cell r="P53">
            <v>27789.867097560298</v>
          </cell>
          <cell r="Q53">
            <v>28370.839013010907</v>
          </cell>
          <cell r="R53">
            <v>28382.873467337118</v>
          </cell>
          <cell r="S53">
            <v>28429.778461740549</v>
          </cell>
          <cell r="T53">
            <v>28501.372899400623</v>
          </cell>
          <cell r="U53">
            <v>28243.928347773784</v>
          </cell>
          <cell r="V53">
            <v>29443.622741483479</v>
          </cell>
          <cell r="W53">
            <v>32806.288423131366</v>
          </cell>
          <cell r="X53">
            <v>33207.925837959636</v>
          </cell>
          <cell r="Y53">
            <v>32686.203638540774</v>
          </cell>
          <cell r="Z53">
            <v>31452.834419273644</v>
          </cell>
          <cell r="AA53">
            <v>29108.582502253335</v>
          </cell>
          <cell r="AB53">
            <v>26601.503129713885</v>
          </cell>
        </row>
        <row r="54">
          <cell r="D54">
            <v>1</v>
          </cell>
          <cell r="E54">
            <v>23702.572647217519</v>
          </cell>
          <cell r="F54">
            <v>22699.073359647424</v>
          </cell>
          <cell r="G54">
            <v>21900.931856118907</v>
          </cell>
          <cell r="H54">
            <v>21409.756039526867</v>
          </cell>
          <cell r="I54">
            <v>21239.226533238951</v>
          </cell>
          <cell r="J54">
            <v>20904.496561310913</v>
          </cell>
          <cell r="K54">
            <v>20407.214354360971</v>
          </cell>
          <cell r="L54">
            <v>22011.466386376967</v>
          </cell>
          <cell r="M54">
            <v>23342.353340250633</v>
          </cell>
          <cell r="N54">
            <v>25197.246720591287</v>
          </cell>
          <cell r="O54">
            <v>26644.901382051543</v>
          </cell>
          <cell r="P54">
            <v>27789.867097560298</v>
          </cell>
          <cell r="Q54">
            <v>28370.839013010907</v>
          </cell>
          <cell r="R54">
            <v>28382.873467337118</v>
          </cell>
          <cell r="S54">
            <v>28429.778461740549</v>
          </cell>
          <cell r="T54">
            <v>28501.372899400623</v>
          </cell>
          <cell r="U54">
            <v>28243.928347773784</v>
          </cell>
          <cell r="V54">
            <v>29443.622741483479</v>
          </cell>
          <cell r="W54">
            <v>32806.288423131366</v>
          </cell>
          <cell r="X54">
            <v>33207.925837959636</v>
          </cell>
          <cell r="Y54">
            <v>32686.203638540774</v>
          </cell>
          <cell r="Z54">
            <v>31452.834419273644</v>
          </cell>
          <cell r="AA54">
            <v>29108.582502253335</v>
          </cell>
          <cell r="AB54">
            <v>26601.503129713885</v>
          </cell>
        </row>
        <row r="55">
          <cell r="D55">
            <v>18</v>
          </cell>
          <cell r="E55">
            <v>24966.083445486543</v>
          </cell>
          <cell r="F55">
            <v>23744.730072208371</v>
          </cell>
          <cell r="G55">
            <v>22862.577252039431</v>
          </cell>
          <cell r="H55">
            <v>22285.009633893391</v>
          </cell>
          <cell r="I55">
            <v>22290.165234004195</v>
          </cell>
          <cell r="J55">
            <v>22475.589757073976</v>
          </cell>
          <cell r="K55">
            <v>22631.099100034899</v>
          </cell>
          <cell r="L55">
            <v>25469.111491929241</v>
          </cell>
          <cell r="M55">
            <v>28498.15642548817</v>
          </cell>
          <cell r="N55">
            <v>30426.649742296191</v>
          </cell>
          <cell r="O55">
            <v>31882.753295997689</v>
          </cell>
          <cell r="P55">
            <v>32646.508499968135</v>
          </cell>
          <cell r="Q55">
            <v>31991.26065548843</v>
          </cell>
          <cell r="R55">
            <v>31433.706465537005</v>
          </cell>
          <cell r="S55">
            <v>31355.673993233038</v>
          </cell>
          <cell r="T55">
            <v>31281.024669677248</v>
          </cell>
          <cell r="U55">
            <v>30960.787101845755</v>
          </cell>
          <cell r="V55">
            <v>31993.045970534491</v>
          </cell>
          <cell r="W55">
            <v>34817.982838741766</v>
          </cell>
          <cell r="X55">
            <v>34084.782441012736</v>
          </cell>
          <cell r="Y55">
            <v>32701.965207811776</v>
          </cell>
          <cell r="Z55">
            <v>31137.552723779187</v>
          </cell>
          <cell r="AA55">
            <v>29200.387094760576</v>
          </cell>
          <cell r="AB55">
            <v>27099.383571983592</v>
          </cell>
        </row>
        <row r="56">
          <cell r="D56">
            <v>5</v>
          </cell>
          <cell r="E56">
            <v>27208.187175835752</v>
          </cell>
          <cell r="F56">
            <v>25830.981519269702</v>
          </cell>
          <cell r="G56">
            <v>24813.328828994581</v>
          </cell>
          <cell r="H56">
            <v>24113.340219405236</v>
          </cell>
          <cell r="I56">
            <v>23965.096341363522</v>
          </cell>
          <cell r="J56">
            <v>24131.611029035033</v>
          </cell>
          <cell r="K56">
            <v>24002.080888057211</v>
          </cell>
          <cell r="L56">
            <v>26736.60249214105</v>
          </cell>
          <cell r="M56">
            <v>29579.901557752612</v>
          </cell>
          <cell r="N56">
            <v>31227.555484801531</v>
          </cell>
          <cell r="O56">
            <v>32681.692784315772</v>
          </cell>
          <cell r="P56">
            <v>33815.74533514533</v>
          </cell>
          <cell r="Q56">
            <v>33086.570661144186</v>
          </cell>
          <cell r="R56">
            <v>33431.266311426538</v>
          </cell>
          <cell r="S56">
            <v>34386.523444659913</v>
          </cell>
          <cell r="T56">
            <v>34440.45909477352</v>
          </cell>
          <cell r="U56">
            <v>33894.621804580187</v>
          </cell>
          <cell r="V56">
            <v>33982.692037750778</v>
          </cell>
          <cell r="W56">
            <v>36840.058093023603</v>
          </cell>
          <cell r="X56">
            <v>36249.551878346771</v>
          </cell>
          <cell r="Y56">
            <v>35080.32540827895</v>
          </cell>
          <cell r="Z56">
            <v>33530.871975481037</v>
          </cell>
          <cell r="AA56">
            <v>31453.29683128569</v>
          </cell>
          <cell r="AB56">
            <v>29119.624307850885</v>
          </cell>
        </row>
        <row r="57">
          <cell r="D57">
            <v>5</v>
          </cell>
          <cell r="E57">
            <v>25088.72607722459</v>
          </cell>
          <cell r="F57">
            <v>23755.719489612886</v>
          </cell>
          <cell r="G57">
            <v>22743.815073577975</v>
          </cell>
          <cell r="H57">
            <v>21966.590224555075</v>
          </cell>
          <cell r="I57">
            <v>21703.249276027793</v>
          </cell>
          <cell r="J57">
            <v>21372.274364248387</v>
          </cell>
          <cell r="K57">
            <v>20772.409056160915</v>
          </cell>
          <cell r="L57">
            <v>22140.651188618627</v>
          </cell>
          <cell r="M57">
            <v>23783.454685919518</v>
          </cell>
          <cell r="N57">
            <v>25065.942577961247</v>
          </cell>
          <cell r="O57">
            <v>26116.446802608276</v>
          </cell>
          <cell r="P57">
            <v>27047.606151302953</v>
          </cell>
          <cell r="Q57">
            <v>27338.17431748817</v>
          </cell>
          <cell r="R57">
            <v>27476.748484335283</v>
          </cell>
          <cell r="S57">
            <v>27081.883762274796</v>
          </cell>
          <cell r="T57">
            <v>27109.566409066039</v>
          </cell>
          <cell r="U57">
            <v>27175.352928417986</v>
          </cell>
          <cell r="V57">
            <v>28886.183415554799</v>
          </cell>
          <cell r="W57">
            <v>32232.202646779002</v>
          </cell>
          <cell r="X57">
            <v>32351.684917818453</v>
          </cell>
          <cell r="Y57">
            <v>31345.468439432985</v>
          </cell>
          <cell r="Z57">
            <v>29465.142774772317</v>
          </cell>
          <cell r="AA57">
            <v>27086.080060034459</v>
          </cell>
          <cell r="AB57">
            <v>24845.534583502056</v>
          </cell>
        </row>
        <row r="58">
          <cell r="D58">
            <v>2</v>
          </cell>
          <cell r="E58">
            <v>25088.72607722459</v>
          </cell>
          <cell r="F58">
            <v>23755.719489612886</v>
          </cell>
          <cell r="G58">
            <v>22743.815073577975</v>
          </cell>
          <cell r="H58">
            <v>21966.590224555075</v>
          </cell>
          <cell r="I58">
            <v>21703.249276027793</v>
          </cell>
          <cell r="J58">
            <v>21372.274364248387</v>
          </cell>
          <cell r="K58">
            <v>20772.409056160915</v>
          </cell>
          <cell r="L58">
            <v>22140.651188618627</v>
          </cell>
          <cell r="M58">
            <v>23783.454685919518</v>
          </cell>
          <cell r="N58">
            <v>25065.942577961247</v>
          </cell>
          <cell r="O58">
            <v>26116.446802608276</v>
          </cell>
          <cell r="P58">
            <v>27047.606151302953</v>
          </cell>
          <cell r="Q58">
            <v>27338.17431748817</v>
          </cell>
          <cell r="R58">
            <v>27476.748484335283</v>
          </cell>
          <cell r="S58">
            <v>27081.883762274796</v>
          </cell>
          <cell r="T58">
            <v>27109.566409066039</v>
          </cell>
          <cell r="U58">
            <v>27175.352928417986</v>
          </cell>
          <cell r="V58">
            <v>28886.183415554799</v>
          </cell>
          <cell r="W58">
            <v>32232.202646779002</v>
          </cell>
          <cell r="X58">
            <v>32351.684917818453</v>
          </cell>
          <cell r="Y58">
            <v>31345.468439432985</v>
          </cell>
          <cell r="Z58">
            <v>29465.142774772317</v>
          </cell>
          <cell r="AA58">
            <v>27086.080060034459</v>
          </cell>
          <cell r="AB58">
            <v>24845.534583502056</v>
          </cell>
        </row>
        <row r="59">
          <cell r="D59">
            <v>21</v>
          </cell>
          <cell r="E59">
            <v>26384.326298446245</v>
          </cell>
          <cell r="F59">
            <v>24991.921712600968</v>
          </cell>
          <cell r="G59">
            <v>23939.430843437694</v>
          </cell>
          <cell r="H59">
            <v>23207.86395733969</v>
          </cell>
          <cell r="I59">
            <v>23047.115877993067</v>
          </cell>
          <cell r="J59">
            <v>23164.189194329279</v>
          </cell>
          <cell r="K59">
            <v>22895.687659356143</v>
          </cell>
          <cell r="L59">
            <v>25351.713816622309</v>
          </cell>
          <cell r="M59">
            <v>28032.194988884123</v>
          </cell>
          <cell r="N59">
            <v>29728.131671776395</v>
          </cell>
          <cell r="O59">
            <v>30976.360836642809</v>
          </cell>
          <cell r="P59">
            <v>31725.381699246173</v>
          </cell>
          <cell r="Q59">
            <v>31038.955383227523</v>
          </cell>
          <cell r="R59">
            <v>30546.597469389671</v>
          </cell>
          <cell r="S59">
            <v>30620.84957042426</v>
          </cell>
          <cell r="T59">
            <v>30599.503018149378</v>
          </cell>
          <cell r="U59">
            <v>30220.166295905034</v>
          </cell>
          <cell r="V59">
            <v>31030.646785303546</v>
          </cell>
          <cell r="W59">
            <v>34173.260379472616</v>
          </cell>
          <cell r="X59">
            <v>33428.613097424932</v>
          </cell>
          <cell r="Y59">
            <v>31991.065321648508</v>
          </cell>
          <cell r="Z59">
            <v>30416.525234494024</v>
          </cell>
          <cell r="AA59">
            <v>28889.223694721502</v>
          </cell>
          <cell r="AB59">
            <v>27177.74840895765</v>
          </cell>
        </row>
        <row r="60">
          <cell r="D60">
            <v>4</v>
          </cell>
          <cell r="E60">
            <v>25895.994736022389</v>
          </cell>
          <cell r="F60">
            <v>24588.593053487537</v>
          </cell>
          <cell r="G60">
            <v>23606.732340277846</v>
          </cell>
          <cell r="H60">
            <v>22924.913782341751</v>
          </cell>
          <cell r="I60">
            <v>22850.112722147085</v>
          </cell>
          <cell r="J60">
            <v>23218.585881118233</v>
          </cell>
          <cell r="K60">
            <v>23317.288811113787</v>
          </cell>
          <cell r="L60">
            <v>25875.367978717615</v>
          </cell>
          <cell r="M60">
            <v>28527.582105622721</v>
          </cell>
          <cell r="N60">
            <v>30060.413357950227</v>
          </cell>
          <cell r="O60">
            <v>31558.381847562723</v>
          </cell>
          <cell r="P60">
            <v>32611.018964582869</v>
          </cell>
          <cell r="Q60">
            <v>31790.131567823559</v>
          </cell>
          <cell r="R60">
            <v>32421.176287399489</v>
          </cell>
          <cell r="S60">
            <v>33489.203616309693</v>
          </cell>
          <cell r="T60">
            <v>33564.010589066012</v>
          </cell>
          <cell r="U60">
            <v>32986.840667489007</v>
          </cell>
          <cell r="V60">
            <v>32393.220098193182</v>
          </cell>
          <cell r="W60">
            <v>34640.863439856308</v>
          </cell>
          <cell r="X60">
            <v>34849.219123529881</v>
          </cell>
          <cell r="Y60">
            <v>33971.919517860901</v>
          </cell>
          <cell r="Z60">
            <v>32499.256540187318</v>
          </cell>
          <cell r="AA60">
            <v>30242.854384083024</v>
          </cell>
          <cell r="AB60">
            <v>27829.76707918974</v>
          </cell>
        </row>
        <row r="61">
          <cell r="D61">
            <v>4</v>
          </cell>
          <cell r="E61">
            <v>25740.912446908904</v>
          </cell>
          <cell r="F61">
            <v>24942.603788863988</v>
          </cell>
          <cell r="G61">
            <v>24187.591849218137</v>
          </cell>
          <cell r="H61">
            <v>23463.850460376514</v>
          </cell>
          <cell r="I61">
            <v>23046.667883339287</v>
          </cell>
          <cell r="J61">
            <v>22443.260478354907</v>
          </cell>
          <cell r="K61">
            <v>21049.238396022818</v>
          </cell>
          <cell r="L61">
            <v>21748.539711611877</v>
          </cell>
          <cell r="M61">
            <v>22885.482026760805</v>
          </cell>
          <cell r="N61">
            <v>23952.923866042176</v>
          </cell>
          <cell r="O61">
            <v>24948.05150864803</v>
          </cell>
          <cell r="P61">
            <v>25793.865414985779</v>
          </cell>
          <cell r="Q61">
            <v>26256.171271080635</v>
          </cell>
          <cell r="R61">
            <v>26276.608210818715</v>
          </cell>
          <cell r="S61">
            <v>26157.710953675702</v>
          </cell>
          <cell r="T61">
            <v>26302.32362791607</v>
          </cell>
          <cell r="U61">
            <v>26290.052242194979</v>
          </cell>
          <cell r="V61">
            <v>27139.840987648011</v>
          </cell>
          <cell r="W61">
            <v>30920.100043712941</v>
          </cell>
          <cell r="X61">
            <v>31206.020187192455</v>
          </cell>
          <cell r="Y61">
            <v>30810.719660133222</v>
          </cell>
          <cell r="Z61">
            <v>29873.915157775689</v>
          </cell>
          <cell r="AA61">
            <v>28329.925948142427</v>
          </cell>
          <cell r="AB61">
            <v>26538.561426276501</v>
          </cell>
        </row>
        <row r="62">
          <cell r="D62">
            <v>2</v>
          </cell>
          <cell r="E62">
            <v>25740.912446908904</v>
          </cell>
          <cell r="F62">
            <v>24942.603788863988</v>
          </cell>
          <cell r="G62">
            <v>24187.591849218137</v>
          </cell>
          <cell r="H62">
            <v>23463.850460376514</v>
          </cell>
          <cell r="I62">
            <v>23046.667883339287</v>
          </cell>
          <cell r="J62">
            <v>22443.260478354907</v>
          </cell>
          <cell r="K62">
            <v>21049.238396022818</v>
          </cell>
          <cell r="L62">
            <v>21748.539711611877</v>
          </cell>
          <cell r="M62">
            <v>22885.482026760805</v>
          </cell>
          <cell r="N62">
            <v>23952.923866042176</v>
          </cell>
          <cell r="O62">
            <v>24948.05150864803</v>
          </cell>
          <cell r="P62">
            <v>25793.865414985779</v>
          </cell>
          <cell r="Q62">
            <v>26256.171271080635</v>
          </cell>
          <cell r="R62">
            <v>26276.608210818715</v>
          </cell>
          <cell r="S62">
            <v>26157.710953675702</v>
          </cell>
          <cell r="T62">
            <v>26302.32362791607</v>
          </cell>
          <cell r="U62">
            <v>26290.052242194979</v>
          </cell>
          <cell r="V62">
            <v>27139.840987648011</v>
          </cell>
          <cell r="W62">
            <v>30920.100043712941</v>
          </cell>
          <cell r="X62">
            <v>31206.020187192455</v>
          </cell>
          <cell r="Y62">
            <v>30810.719660133222</v>
          </cell>
          <cell r="Z62">
            <v>29873.915157775689</v>
          </cell>
          <cell r="AA62">
            <v>28329.925948142427</v>
          </cell>
          <cell r="AB62">
            <v>26538.561426276501</v>
          </cell>
        </row>
      </sheetData>
      <sheetData sheetId="24">
        <row r="15">
          <cell r="D15">
            <v>20</v>
          </cell>
          <cell r="E15">
            <v>26966.392818483277</v>
          </cell>
          <cell r="F15">
            <v>25504.881652320109</v>
          </cell>
          <cell r="G15">
            <v>24448.467379969883</v>
          </cell>
          <cell r="H15">
            <v>23709.866616735671</v>
          </cell>
          <cell r="I15">
            <v>23534.792987867797</v>
          </cell>
          <cell r="J15">
            <v>24109.310139584632</v>
          </cell>
          <cell r="K15">
            <v>23929.795556427824</v>
          </cell>
          <cell r="L15">
            <v>26759.47822938571</v>
          </cell>
          <cell r="M15">
            <v>29804.341677425426</v>
          </cell>
          <cell r="N15">
            <v>31567.603334011135</v>
          </cell>
          <cell r="O15">
            <v>33386.610569307879</v>
          </cell>
          <cell r="P15">
            <v>34680.214995409689</v>
          </cell>
          <cell r="Q15">
            <v>33716.575686291959</v>
          </cell>
          <cell r="R15">
            <v>34662.476115619909</v>
          </cell>
          <cell r="S15">
            <v>36240.002818497378</v>
          </cell>
          <cell r="T15">
            <v>36389.627264521565</v>
          </cell>
          <cell r="U15">
            <v>35636.372994594916</v>
          </cell>
          <cell r="V15">
            <v>34204.31065430725</v>
          </cell>
          <cell r="W15">
            <v>36234.749196513934</v>
          </cell>
          <cell r="X15">
            <v>36345.859633467597</v>
          </cell>
          <cell r="Y15">
            <v>35486.867927447049</v>
          </cell>
          <cell r="Z15">
            <v>34115.966279832071</v>
          </cell>
          <cell r="AA15">
            <v>31855.545183681352</v>
          </cell>
          <cell r="AB15">
            <v>29317.523833621395</v>
          </cell>
        </row>
        <row r="16">
          <cell r="D16">
            <v>5</v>
          </cell>
          <cell r="E16">
            <v>27169.598763078819</v>
          </cell>
          <cell r="F16">
            <v>25727.001512369094</v>
          </cell>
          <cell r="G16">
            <v>24658.222325033192</v>
          </cell>
          <cell r="H16">
            <v>23814.977989741845</v>
          </cell>
          <cell r="I16">
            <v>23593.892091472593</v>
          </cell>
          <cell r="J16">
            <v>23697.366086044556</v>
          </cell>
          <cell r="K16">
            <v>23084.996241167446</v>
          </cell>
          <cell r="L16">
            <v>25282.298047399679</v>
          </cell>
          <cell r="M16">
            <v>28184.357193662563</v>
          </cell>
          <cell r="N16">
            <v>30104.903211325414</v>
          </cell>
          <cell r="O16">
            <v>31686.189885612734</v>
          </cell>
          <cell r="P16">
            <v>32677.363051231823</v>
          </cell>
          <cell r="Q16">
            <v>32214.197335078956</v>
          </cell>
          <cell r="R16">
            <v>31889.446055465371</v>
          </cell>
          <cell r="S16">
            <v>32071.098391813772</v>
          </cell>
          <cell r="T16">
            <v>32060.88259705195</v>
          </cell>
          <cell r="U16">
            <v>31587.764505843159</v>
          </cell>
          <cell r="V16">
            <v>31346.187341130862</v>
          </cell>
          <cell r="W16">
            <v>34567.921811237458</v>
          </cell>
          <cell r="X16">
            <v>34914.027438027042</v>
          </cell>
          <cell r="Y16">
            <v>33949.01484619391</v>
          </cell>
          <cell r="Z16">
            <v>32747.232367834109</v>
          </cell>
          <cell r="AA16">
            <v>31115.014203225724</v>
          </cell>
          <cell r="AB16">
            <v>29209.005693443651</v>
          </cell>
        </row>
        <row r="17">
          <cell r="D17">
            <v>4</v>
          </cell>
          <cell r="E17">
            <v>27472.365275900873</v>
          </cell>
          <cell r="F17">
            <v>26081.221622833455</v>
          </cell>
          <cell r="G17">
            <v>24953.030776061707</v>
          </cell>
          <cell r="H17">
            <v>24051.328823363143</v>
          </cell>
          <cell r="I17">
            <v>23592.964338835762</v>
          </cell>
          <cell r="J17">
            <v>23366.910271303048</v>
          </cell>
          <cell r="K17">
            <v>22161.943358913803</v>
          </cell>
          <cell r="L17">
            <v>23152.385416546764</v>
          </cell>
          <cell r="M17">
            <v>24806.760806356906</v>
          </cell>
          <cell r="N17">
            <v>26492.62405230854</v>
          </cell>
          <cell r="O17">
            <v>27529.444540495711</v>
          </cell>
          <cell r="P17">
            <v>28452.701691323688</v>
          </cell>
          <cell r="Q17">
            <v>29002.401043756709</v>
          </cell>
          <cell r="R17">
            <v>29126.325293320486</v>
          </cell>
          <cell r="S17">
            <v>29207.087356523589</v>
          </cell>
          <cell r="T17">
            <v>29255.634661901771</v>
          </cell>
          <cell r="U17">
            <v>29084.347969848492</v>
          </cell>
          <cell r="V17">
            <v>29114.040523423551</v>
          </cell>
          <cell r="W17">
            <v>32640.153046069892</v>
          </cell>
          <cell r="X17">
            <v>33706.102443271811</v>
          </cell>
          <cell r="Y17">
            <v>33583.748459080583</v>
          </cell>
          <cell r="Z17">
            <v>32655.791027891653</v>
          </cell>
          <cell r="AA17">
            <v>30900.282450955925</v>
          </cell>
          <cell r="AB17">
            <v>28752.576633941011</v>
          </cell>
        </row>
        <row r="18">
          <cell r="D18">
            <v>2</v>
          </cell>
          <cell r="E18">
            <v>27472.365275900873</v>
          </cell>
          <cell r="F18">
            <v>26081.221622833455</v>
          </cell>
          <cell r="G18">
            <v>24953.030776061707</v>
          </cell>
          <cell r="H18">
            <v>24051.328823363143</v>
          </cell>
          <cell r="I18">
            <v>23592.964338835762</v>
          </cell>
          <cell r="J18">
            <v>23366.910271303048</v>
          </cell>
          <cell r="K18">
            <v>22161.943358913803</v>
          </cell>
          <cell r="L18">
            <v>23152.385416546764</v>
          </cell>
          <cell r="M18">
            <v>24806.760806356906</v>
          </cell>
          <cell r="N18">
            <v>26492.62405230854</v>
          </cell>
          <cell r="O18">
            <v>27529.444540495711</v>
          </cell>
          <cell r="P18">
            <v>28452.701691323688</v>
          </cell>
          <cell r="Q18">
            <v>29002.401043756709</v>
          </cell>
          <cell r="R18">
            <v>29126.325293320486</v>
          </cell>
          <cell r="S18">
            <v>29207.087356523589</v>
          </cell>
          <cell r="T18">
            <v>29255.634661901771</v>
          </cell>
          <cell r="U18">
            <v>29084.347969848492</v>
          </cell>
          <cell r="V18">
            <v>29114.040523423551</v>
          </cell>
          <cell r="W18">
            <v>32640.153046069892</v>
          </cell>
          <cell r="X18">
            <v>33706.102443271811</v>
          </cell>
          <cell r="Y18">
            <v>33583.748459080583</v>
          </cell>
          <cell r="Z18">
            <v>32655.791027891653</v>
          </cell>
          <cell r="AA18">
            <v>30900.282450955925</v>
          </cell>
          <cell r="AB18">
            <v>28752.576633941011</v>
          </cell>
        </row>
        <row r="19">
          <cell r="D19">
            <v>20</v>
          </cell>
          <cell r="E19">
            <v>26923.13048494836</v>
          </cell>
          <cell r="F19">
            <v>25502.422338701137</v>
          </cell>
          <cell r="G19">
            <v>24487.626329789538</v>
          </cell>
          <cell r="H19">
            <v>23823.339357391436</v>
          </cell>
          <cell r="I19">
            <v>23872.113272278886</v>
          </cell>
          <cell r="J19">
            <v>25198.041223678523</v>
          </cell>
          <cell r="K19">
            <v>25130.71932140689</v>
          </cell>
          <cell r="L19">
            <v>27725.110473500099</v>
          </cell>
          <cell r="M19">
            <v>30341.164211325256</v>
          </cell>
          <cell r="N19">
            <v>31625.808308694926</v>
          </cell>
          <cell r="O19">
            <v>33160.570096970863</v>
          </cell>
          <cell r="P19">
            <v>34190.25939845002</v>
          </cell>
          <cell r="Q19">
            <v>32903.475096296621</v>
          </cell>
          <cell r="R19">
            <v>34076.958057070296</v>
          </cell>
          <cell r="S19">
            <v>35801.662717183455</v>
          </cell>
          <cell r="T19">
            <v>36023.323504639528</v>
          </cell>
          <cell r="U19">
            <v>35392.422970076266</v>
          </cell>
          <cell r="V19">
            <v>33885.165184549209</v>
          </cell>
          <cell r="W19">
            <v>35686.238224042609</v>
          </cell>
          <cell r="X19">
            <v>36263.821676335989</v>
          </cell>
          <cell r="Y19">
            <v>35545.781558727314</v>
          </cell>
          <cell r="Z19">
            <v>33997.846966411162</v>
          </cell>
          <cell r="AA19">
            <v>31474.903538993913</v>
          </cell>
          <cell r="AB19">
            <v>28937.824921721996</v>
          </cell>
        </row>
        <row r="20">
          <cell r="D20">
            <v>4</v>
          </cell>
          <cell r="E20">
            <v>27008.988379467755</v>
          </cell>
          <cell r="F20">
            <v>25693.876509436166</v>
          </cell>
          <cell r="G20">
            <v>24550.860942928946</v>
          </cell>
          <cell r="H20">
            <v>23775.528320232577</v>
          </cell>
          <cell r="I20">
            <v>23479.499591506192</v>
          </cell>
          <cell r="J20">
            <v>23714.446398927408</v>
          </cell>
          <cell r="K20">
            <v>23475.368042717058</v>
          </cell>
          <cell r="L20">
            <v>25808.334555317859</v>
          </cell>
          <cell r="M20">
            <v>28613.356077691154</v>
          </cell>
          <cell r="N20">
            <v>30375.146432829082</v>
          </cell>
          <cell r="O20">
            <v>31815.640398951455</v>
          </cell>
          <cell r="P20">
            <v>32769.738658866358</v>
          </cell>
          <cell r="Q20">
            <v>32198.132341432112</v>
          </cell>
          <cell r="R20">
            <v>31822.481372831244</v>
          </cell>
          <cell r="S20">
            <v>31989.56912038345</v>
          </cell>
          <cell r="T20">
            <v>31985.557295921324</v>
          </cell>
          <cell r="U20">
            <v>31499.957279710172</v>
          </cell>
          <cell r="V20">
            <v>31280.545233472054</v>
          </cell>
          <cell r="W20">
            <v>34263.234213728094</v>
          </cell>
          <cell r="X20">
            <v>34959.543747938682</v>
          </cell>
          <cell r="Y20">
            <v>34051.140449416816</v>
          </cell>
          <cell r="Z20">
            <v>32824.260110854346</v>
          </cell>
          <cell r="AA20">
            <v>31156.777296781256</v>
          </cell>
          <cell r="AB20">
            <v>29195.532040136404</v>
          </cell>
        </row>
        <row r="21">
          <cell r="D21">
            <v>5</v>
          </cell>
          <cell r="E21">
            <v>27428.839079758181</v>
          </cell>
          <cell r="F21">
            <v>26024.458155715674</v>
          </cell>
          <cell r="G21">
            <v>24938.056833027644</v>
          </cell>
          <cell r="H21">
            <v>24141.092514282926</v>
          </cell>
          <cell r="I21">
            <v>23636.341108656423</v>
          </cell>
          <cell r="J21">
            <v>23530.320449306924</v>
          </cell>
          <cell r="K21">
            <v>22493.359711260229</v>
          </cell>
          <cell r="L21">
            <v>23498.378422663824</v>
          </cell>
          <cell r="M21">
            <v>25144.019758239469</v>
          </cell>
          <cell r="N21">
            <v>26638.394174422046</v>
          </cell>
          <cell r="O21">
            <v>27728.232538851822</v>
          </cell>
          <cell r="P21">
            <v>28836.664197216847</v>
          </cell>
          <cell r="Q21">
            <v>29472.382626887644</v>
          </cell>
          <cell r="R21">
            <v>29667.186026388801</v>
          </cell>
          <cell r="S21">
            <v>29843.501817809749</v>
          </cell>
          <cell r="T21">
            <v>29979.836305930399</v>
          </cell>
          <cell r="U21">
            <v>29783.179563252063</v>
          </cell>
          <cell r="V21">
            <v>29713.404649274078</v>
          </cell>
          <cell r="W21">
            <v>33037.573103212584</v>
          </cell>
          <cell r="X21">
            <v>34525.723443651666</v>
          </cell>
          <cell r="Y21">
            <v>34551.271608503441</v>
          </cell>
          <cell r="Z21">
            <v>33694.274280699035</v>
          </cell>
          <cell r="AA21">
            <v>31678.262560998752</v>
          </cell>
          <cell r="AB21">
            <v>29268.856833385573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28219.356965226063</v>
          </cell>
          <cell r="F23">
            <v>26728.031006196448</v>
          </cell>
          <cell r="G23">
            <v>25604.170262472915</v>
          </cell>
          <cell r="H23">
            <v>24774.735641454423</v>
          </cell>
          <cell r="I23">
            <v>24650.063358605261</v>
          </cell>
          <cell r="J23">
            <v>25552.65465931152</v>
          </cell>
          <cell r="K23">
            <v>25377.17143458773</v>
          </cell>
          <cell r="L23">
            <v>28286.096766014482</v>
          </cell>
          <cell r="M23">
            <v>31219.934655712794</v>
          </cell>
          <cell r="N23">
            <v>32755.39527417385</v>
          </cell>
          <cell r="O23">
            <v>34497.061614542428</v>
          </cell>
          <cell r="P23">
            <v>35630.959231418492</v>
          </cell>
          <cell r="Q23">
            <v>34348.583343696308</v>
          </cell>
          <cell r="R23">
            <v>35717.433222832849</v>
          </cell>
          <cell r="S23">
            <v>37376.578059604319</v>
          </cell>
          <cell r="T23">
            <v>37554.855987182622</v>
          </cell>
          <cell r="U23">
            <v>36902.196900530427</v>
          </cell>
          <cell r="V23">
            <v>35325.876204823886</v>
          </cell>
          <cell r="W23">
            <v>36910.550062101895</v>
          </cell>
          <cell r="X23">
            <v>37371.894097429278</v>
          </cell>
          <cell r="Y23">
            <v>36700.007799631487</v>
          </cell>
          <cell r="Z23">
            <v>35275.937635115071</v>
          </cell>
          <cell r="AA23">
            <v>33047.997533892223</v>
          </cell>
          <cell r="AB23">
            <v>30541.822615447159</v>
          </cell>
        </row>
        <row r="24">
          <cell r="D24">
            <v>4</v>
          </cell>
          <cell r="E24">
            <v>28301.33113768046</v>
          </cell>
          <cell r="F24">
            <v>26762.661551546487</v>
          </cell>
          <cell r="G24">
            <v>25678.822284740723</v>
          </cell>
          <cell r="H24">
            <v>24821.102916796255</v>
          </cell>
          <cell r="I24">
            <v>24309.08331402445</v>
          </cell>
          <cell r="J24">
            <v>24230.809999911595</v>
          </cell>
          <cell r="K24">
            <v>23875.894277918669</v>
          </cell>
          <cell r="L24">
            <v>26159.999529585504</v>
          </cell>
          <cell r="M24">
            <v>28913.333754180374</v>
          </cell>
          <cell r="N24">
            <v>30637.532475401331</v>
          </cell>
          <cell r="O24">
            <v>32010.999002699031</v>
          </cell>
          <cell r="P24">
            <v>32889.046307158664</v>
          </cell>
          <cell r="Q24">
            <v>32422.638321932944</v>
          </cell>
          <cell r="R24">
            <v>32084.843647225902</v>
          </cell>
          <cell r="S24">
            <v>31891.894330608633</v>
          </cell>
          <cell r="T24">
            <v>32679.534849377083</v>
          </cell>
          <cell r="U24">
            <v>31571.779402612989</v>
          </cell>
          <cell r="V24">
            <v>31315.453976357407</v>
          </cell>
          <cell r="W24">
            <v>34594.094019178126</v>
          </cell>
          <cell r="X24">
            <v>35110.127865953924</v>
          </cell>
          <cell r="Y24">
            <v>34257.503969055579</v>
          </cell>
          <cell r="Z24">
            <v>33160.275758858465</v>
          </cell>
          <cell r="AA24">
            <v>31704.988393126783</v>
          </cell>
          <cell r="AB24">
            <v>29855.354726561403</v>
          </cell>
        </row>
        <row r="25">
          <cell r="D25">
            <v>4</v>
          </cell>
          <cell r="E25">
            <v>28074.650885825231</v>
          </cell>
          <cell r="F25">
            <v>26637.416146480708</v>
          </cell>
          <cell r="G25">
            <v>25354.527549204326</v>
          </cell>
          <cell r="H25">
            <v>24454.480757266112</v>
          </cell>
          <cell r="I25">
            <v>24037.114510550673</v>
          </cell>
          <cell r="J25">
            <v>23765.218877478917</v>
          </cell>
          <cell r="K25">
            <v>22604.213567304803</v>
          </cell>
          <cell r="L25">
            <v>23691.257656379352</v>
          </cell>
          <cell r="M25">
            <v>25266.275983235584</v>
          </cell>
          <cell r="N25">
            <v>26706.404673988385</v>
          </cell>
          <cell r="O25">
            <v>27798.155232141296</v>
          </cell>
          <cell r="P25">
            <v>28830.306017505343</v>
          </cell>
          <cell r="Q25">
            <v>29348.779291073533</v>
          </cell>
          <cell r="R25">
            <v>29481.255544086987</v>
          </cell>
          <cell r="S25">
            <v>29632.869991146792</v>
          </cell>
          <cell r="T25">
            <v>29844.133818047681</v>
          </cell>
          <cell r="U25">
            <v>29475.344450424134</v>
          </cell>
          <cell r="V25">
            <v>29546.252770852294</v>
          </cell>
          <cell r="W25">
            <v>32727.571218295929</v>
          </cell>
          <cell r="X25">
            <v>33904.0580626804</v>
          </cell>
          <cell r="Y25">
            <v>33843.137088734344</v>
          </cell>
          <cell r="Z25">
            <v>33187.478406025672</v>
          </cell>
          <cell r="AA25">
            <v>31423.427859412262</v>
          </cell>
          <cell r="AB25">
            <v>29108.755568958179</v>
          </cell>
        </row>
        <row r="26">
          <cell r="D26">
            <v>3</v>
          </cell>
          <cell r="E26">
            <v>28074.650885825231</v>
          </cell>
          <cell r="F26">
            <v>26637.416146480708</v>
          </cell>
          <cell r="G26">
            <v>25354.527549204326</v>
          </cell>
          <cell r="H26">
            <v>24454.480757266112</v>
          </cell>
          <cell r="I26">
            <v>24037.114510550673</v>
          </cell>
          <cell r="J26">
            <v>23765.218877478917</v>
          </cell>
          <cell r="K26">
            <v>22604.213567304803</v>
          </cell>
          <cell r="L26">
            <v>23691.257656379352</v>
          </cell>
          <cell r="M26">
            <v>25266.275983235584</v>
          </cell>
          <cell r="N26">
            <v>26706.404673988385</v>
          </cell>
          <cell r="O26">
            <v>27798.155232141296</v>
          </cell>
          <cell r="P26">
            <v>28830.306017505343</v>
          </cell>
          <cell r="Q26">
            <v>29348.779291073533</v>
          </cell>
          <cell r="R26">
            <v>29481.255544086987</v>
          </cell>
          <cell r="S26">
            <v>29632.869991146792</v>
          </cell>
          <cell r="T26">
            <v>29844.133818047681</v>
          </cell>
          <cell r="U26">
            <v>29475.344450424134</v>
          </cell>
          <cell r="V26">
            <v>29546.252770852294</v>
          </cell>
          <cell r="W26">
            <v>32727.571218295929</v>
          </cell>
          <cell r="X26">
            <v>33904.0580626804</v>
          </cell>
          <cell r="Y26">
            <v>33843.137088734344</v>
          </cell>
          <cell r="Z26">
            <v>33187.478406025672</v>
          </cell>
          <cell r="AA26">
            <v>31423.427859412262</v>
          </cell>
          <cell r="AB26">
            <v>29108.755568958179</v>
          </cell>
        </row>
        <row r="27">
          <cell r="D27">
            <v>22</v>
          </cell>
          <cell r="E27">
            <v>27459.256941391894</v>
          </cell>
          <cell r="F27">
            <v>26275.371358832355</v>
          </cell>
          <cell r="G27">
            <v>25114.968829210877</v>
          </cell>
          <cell r="H27">
            <v>24466.387169315425</v>
          </cell>
          <cell r="I27">
            <v>24311.413235271037</v>
          </cell>
          <cell r="J27">
            <v>24059.036175627389</v>
          </cell>
          <cell r="K27">
            <v>24142.560222749522</v>
          </cell>
          <cell r="L27">
            <v>26856.32889086278</v>
          </cell>
          <cell r="M27">
            <v>29936.605815119983</v>
          </cell>
          <cell r="N27">
            <v>31756.687398203441</v>
          </cell>
          <cell r="O27">
            <v>33269.768105361429</v>
          </cell>
          <cell r="P27">
            <v>34223.075916462112</v>
          </cell>
          <cell r="Q27">
            <v>33587.062453914325</v>
          </cell>
          <cell r="R27">
            <v>33184.275986549757</v>
          </cell>
          <cell r="S27">
            <v>33414.494335887466</v>
          </cell>
          <cell r="T27">
            <v>33409.538349066519</v>
          </cell>
          <cell r="U27">
            <v>32884.110861677298</v>
          </cell>
          <cell r="V27">
            <v>32694.203789758496</v>
          </cell>
          <cell r="W27">
            <v>36010.958931322428</v>
          </cell>
          <cell r="X27">
            <v>36297.489707836212</v>
          </cell>
          <cell r="Y27">
            <v>35408.575533191128</v>
          </cell>
          <cell r="Z27">
            <v>34178.486304266378</v>
          </cell>
          <cell r="AA27">
            <v>32497.377236240103</v>
          </cell>
          <cell r="AB27">
            <v>30460.982497611214</v>
          </cell>
        </row>
        <row r="28">
          <cell r="D28">
            <v>4</v>
          </cell>
          <cell r="E28">
            <v>26511.53117251931</v>
          </cell>
          <cell r="F28">
            <v>25204.903044150498</v>
          </cell>
          <cell r="G28">
            <v>24212.377663640596</v>
          </cell>
          <cell r="H28">
            <v>23480.523738831889</v>
          </cell>
          <cell r="I28">
            <v>23502.452127169654</v>
          </cell>
          <cell r="J28">
            <v>23792.308329083575</v>
          </cell>
          <cell r="K28">
            <v>24326.8815526982</v>
          </cell>
          <cell r="L28">
            <v>26973.962900628976</v>
          </cell>
          <cell r="M28">
            <v>29694.074898027786</v>
          </cell>
          <cell r="N28">
            <v>31278.585299854047</v>
          </cell>
          <cell r="O28">
            <v>32699.61549621126</v>
          </cell>
          <cell r="P28">
            <v>33680.59229700952</v>
          </cell>
          <cell r="Q28">
            <v>32759.175298126534</v>
          </cell>
          <cell r="R28">
            <v>33405.643206819092</v>
          </cell>
          <cell r="S28">
            <v>34518.836385553717</v>
          </cell>
          <cell r="T28">
            <v>34593.028580320068</v>
          </cell>
          <cell r="U28">
            <v>34048.237641941087</v>
          </cell>
          <cell r="V28">
            <v>33304.585118234456</v>
          </cell>
          <cell r="W28">
            <v>35599.714836324478</v>
          </cell>
          <cell r="X28">
            <v>35907.482271005545</v>
          </cell>
          <cell r="Y28">
            <v>34972.223060793076</v>
          </cell>
          <cell r="Z28">
            <v>33438.468672878902</v>
          </cell>
          <cell r="AA28">
            <v>31030.229468971153</v>
          </cell>
          <cell r="AB28">
            <v>28370.811791562497</v>
          </cell>
        </row>
        <row r="29">
          <cell r="D29">
            <v>4</v>
          </cell>
          <cell r="E29">
            <v>28571.518445184694</v>
          </cell>
          <cell r="F29">
            <v>27124.741561710391</v>
          </cell>
          <cell r="G29">
            <v>25926.245133388897</v>
          </cell>
          <cell r="H29">
            <v>25108.691730518432</v>
          </cell>
          <cell r="I29">
            <v>24629.687311987844</v>
          </cell>
          <cell r="J29">
            <v>23899.272638934977</v>
          </cell>
          <cell r="K29">
            <v>23167.448008093033</v>
          </cell>
          <cell r="L29">
            <v>24465.258826162088</v>
          </cell>
          <cell r="M29">
            <v>26180.444611263258</v>
          </cell>
          <cell r="N29">
            <v>27727.037729304444</v>
          </cell>
          <cell r="O29">
            <v>28949.761631661353</v>
          </cell>
          <cell r="P29">
            <v>29947.484324653193</v>
          </cell>
          <cell r="Q29">
            <v>30406.813410889383</v>
          </cell>
          <cell r="R29">
            <v>30491.703262071856</v>
          </cell>
          <cell r="S29">
            <v>30324.424437671914</v>
          </cell>
          <cell r="T29">
            <v>30189.570603969962</v>
          </cell>
          <cell r="U29">
            <v>29881.510846244884</v>
          </cell>
          <cell r="V29">
            <v>30166.97197175695</v>
          </cell>
          <cell r="W29">
            <v>33705.850253416291</v>
          </cell>
          <cell r="X29">
            <v>34719.211443283515</v>
          </cell>
          <cell r="Y29">
            <v>34484.695374605129</v>
          </cell>
          <cell r="Z29">
            <v>33426.247035403721</v>
          </cell>
          <cell r="AA29">
            <v>31387.705994790005</v>
          </cell>
          <cell r="AB29">
            <v>28954.764464511576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19</v>
          </cell>
          <cell r="E31">
            <v>28066.798564433451</v>
          </cell>
          <cell r="F31">
            <v>26606.356644453273</v>
          </cell>
          <cell r="G31">
            <v>25427.876500351824</v>
          </cell>
          <cell r="H31">
            <v>24420.00986787727</v>
          </cell>
          <cell r="I31">
            <v>24148.336240730885</v>
          </cell>
          <cell r="J31">
            <v>23765.865143121802</v>
          </cell>
          <cell r="K31">
            <v>24117.11902357396</v>
          </cell>
          <cell r="L31">
            <v>26711.155091363958</v>
          </cell>
          <cell r="M31">
            <v>29734.447683650174</v>
          </cell>
          <cell r="N31">
            <v>31402.422184777133</v>
          </cell>
          <cell r="O31">
            <v>32461.127549601359</v>
          </cell>
          <cell r="P31">
            <v>33239.114053621452</v>
          </cell>
          <cell r="Q31">
            <v>32668.077291770893</v>
          </cell>
          <cell r="R31">
            <v>32080.470702643248</v>
          </cell>
          <cell r="S31">
            <v>32058.873341406397</v>
          </cell>
          <cell r="T31">
            <v>31878.19517569257</v>
          </cell>
          <cell r="U31">
            <v>31445.07624741011</v>
          </cell>
          <cell r="V31">
            <v>31637.915151183082</v>
          </cell>
          <cell r="W31">
            <v>35071.698934465843</v>
          </cell>
          <cell r="X31">
            <v>35398.111494636731</v>
          </cell>
          <cell r="Y31">
            <v>34258.274012951697</v>
          </cell>
          <cell r="Z31">
            <v>32844.406898066591</v>
          </cell>
          <cell r="AA31">
            <v>30985.097425884735</v>
          </cell>
          <cell r="AB31">
            <v>28902.479279938812</v>
          </cell>
        </row>
        <row r="32">
          <cell r="D32">
            <v>4</v>
          </cell>
          <cell r="E32">
            <v>25874.622101669942</v>
          </cell>
          <cell r="F32">
            <v>24594.679259537392</v>
          </cell>
          <cell r="G32">
            <v>23657.878227381327</v>
          </cell>
          <cell r="H32">
            <v>23012.616501812641</v>
          </cell>
          <cell r="I32">
            <v>22929.819331584156</v>
          </cell>
          <cell r="J32">
            <v>22900.994292285883</v>
          </cell>
          <cell r="K32">
            <v>23249.804905172048</v>
          </cell>
          <cell r="L32">
            <v>25974.500799661044</v>
          </cell>
          <cell r="M32">
            <v>28638.708452669158</v>
          </cell>
          <cell r="N32">
            <v>30177.140709880394</v>
          </cell>
          <cell r="O32">
            <v>31680.028955681362</v>
          </cell>
          <cell r="P32">
            <v>32762.541558086396</v>
          </cell>
          <cell r="Q32">
            <v>32047.809553046412</v>
          </cell>
          <cell r="R32">
            <v>32389.443102834954</v>
          </cell>
          <cell r="S32">
            <v>33241.982965278883</v>
          </cell>
          <cell r="T32">
            <v>33200.351281092488</v>
          </cell>
          <cell r="U32">
            <v>32722.123245319686</v>
          </cell>
          <cell r="V32">
            <v>32086.497535210383</v>
          </cell>
          <cell r="W32">
            <v>34423.654335374449</v>
          </cell>
          <cell r="X32">
            <v>35072.301274446465</v>
          </cell>
          <cell r="Y32">
            <v>34117.111051739725</v>
          </cell>
          <cell r="Z32">
            <v>32548.737523640091</v>
          </cell>
          <cell r="AA32">
            <v>30191.090938889618</v>
          </cell>
          <cell r="AB32">
            <v>27732.302874882724</v>
          </cell>
        </row>
        <row r="33">
          <cell r="D33">
            <v>5</v>
          </cell>
          <cell r="E33">
            <v>25855.563084520218</v>
          </cell>
          <cell r="F33">
            <v>24843.063868182318</v>
          </cell>
          <cell r="G33">
            <v>23804.691312171093</v>
          </cell>
          <cell r="H33">
            <v>23252.57846641785</v>
          </cell>
          <cell r="I33">
            <v>23075.481966731048</v>
          </cell>
          <cell r="J33">
            <v>22502.796657980081</v>
          </cell>
          <cell r="K33">
            <v>22409.224708643862</v>
          </cell>
          <cell r="L33">
            <v>24145.674025101718</v>
          </cell>
          <cell r="M33">
            <v>26159.079768608783</v>
          </cell>
          <cell r="N33">
            <v>27724.606624959324</v>
          </cell>
          <cell r="O33">
            <v>28914.782988837305</v>
          </cell>
          <cell r="P33">
            <v>30393.514494524148</v>
          </cell>
          <cell r="Q33">
            <v>31221.913831171343</v>
          </cell>
          <cell r="R33">
            <v>31378.89088274218</v>
          </cell>
          <cell r="S33">
            <v>31415.044976104433</v>
          </cell>
          <cell r="T33">
            <v>31476.616107572299</v>
          </cell>
          <cell r="U33">
            <v>31155.471831107898</v>
          </cell>
          <cell r="V33">
            <v>31163.593232119834</v>
          </cell>
          <cell r="W33">
            <v>34830.94480550634</v>
          </cell>
          <cell r="X33">
            <v>36152.96109893731</v>
          </cell>
          <cell r="Y33">
            <v>35932.841332227799</v>
          </cell>
          <cell r="Z33">
            <v>34722.101817629002</v>
          </cell>
          <cell r="AA33">
            <v>32501.559264743064</v>
          </cell>
          <cell r="AB33">
            <v>29906.699334338598</v>
          </cell>
        </row>
        <row r="34">
          <cell r="D34">
            <v>3</v>
          </cell>
          <cell r="E34">
            <v>25855.563084520218</v>
          </cell>
          <cell r="F34">
            <v>24843.063868182318</v>
          </cell>
          <cell r="G34">
            <v>23804.691312171093</v>
          </cell>
          <cell r="H34">
            <v>23252.57846641785</v>
          </cell>
          <cell r="I34">
            <v>23075.481966731048</v>
          </cell>
          <cell r="J34">
            <v>22502.796657980081</v>
          </cell>
          <cell r="K34">
            <v>22409.224708643862</v>
          </cell>
          <cell r="L34">
            <v>24145.674025101718</v>
          </cell>
          <cell r="M34">
            <v>26159.079768608783</v>
          </cell>
          <cell r="N34">
            <v>27724.606624959324</v>
          </cell>
          <cell r="O34">
            <v>28914.782988837305</v>
          </cell>
          <cell r="P34">
            <v>30393.514494524148</v>
          </cell>
          <cell r="Q34">
            <v>31221.913831171343</v>
          </cell>
          <cell r="R34">
            <v>31378.89088274218</v>
          </cell>
          <cell r="S34">
            <v>31415.044976104433</v>
          </cell>
          <cell r="T34">
            <v>31476.616107572299</v>
          </cell>
          <cell r="U34">
            <v>31155.471831107898</v>
          </cell>
          <cell r="V34">
            <v>31163.593232119834</v>
          </cell>
          <cell r="W34">
            <v>34830.94480550634</v>
          </cell>
          <cell r="X34">
            <v>36152.96109893731</v>
          </cell>
          <cell r="Y34">
            <v>35932.841332227799</v>
          </cell>
          <cell r="Z34">
            <v>34722.101817629002</v>
          </cell>
          <cell r="AA34">
            <v>32501.559264743064</v>
          </cell>
          <cell r="AB34">
            <v>29906.699334338598</v>
          </cell>
        </row>
        <row r="35">
          <cell r="D35">
            <v>21</v>
          </cell>
          <cell r="E35">
            <v>25352.066183788964</v>
          </cell>
          <cell r="F35">
            <v>24093.461831062446</v>
          </cell>
          <cell r="G35">
            <v>23163.553508312198</v>
          </cell>
          <cell r="H35">
            <v>22543.017431995206</v>
          </cell>
          <cell r="I35">
            <v>22377.258566531964</v>
          </cell>
          <cell r="J35">
            <v>22139.511187215303</v>
          </cell>
          <cell r="K35">
            <v>22508.928989157619</v>
          </cell>
          <cell r="L35">
            <v>25220.228552439163</v>
          </cell>
          <cell r="M35">
            <v>28201.482087504006</v>
          </cell>
          <cell r="N35">
            <v>30034.55930702214</v>
          </cell>
          <cell r="O35">
            <v>31627.481169658953</v>
          </cell>
          <cell r="P35">
            <v>32504.14490459525</v>
          </cell>
          <cell r="Q35">
            <v>32024.284665750096</v>
          </cell>
          <cell r="R35">
            <v>31474.426513569531</v>
          </cell>
          <cell r="S35">
            <v>31500.976593940115</v>
          </cell>
          <cell r="T35">
            <v>31410.399327181964</v>
          </cell>
          <cell r="U35">
            <v>31092.175334588585</v>
          </cell>
          <cell r="V35">
            <v>31125.384749557608</v>
          </cell>
          <cell r="W35">
            <v>33806.793926568003</v>
          </cell>
          <cell r="X35">
            <v>34289.386674049092</v>
          </cell>
          <cell r="Y35">
            <v>33094.662931424973</v>
          </cell>
          <cell r="Z35">
            <v>31731.104800403824</v>
          </cell>
          <cell r="AA35">
            <v>30048.240548349626</v>
          </cell>
          <cell r="AB35">
            <v>28146.776035263087</v>
          </cell>
        </row>
        <row r="36">
          <cell r="D36">
            <v>4</v>
          </cell>
          <cell r="E36">
            <v>26107.806570272252</v>
          </cell>
          <cell r="F36">
            <v>24823.012636355761</v>
          </cell>
          <cell r="G36">
            <v>23846.72736066849</v>
          </cell>
          <cell r="H36">
            <v>23169.31294688303</v>
          </cell>
          <cell r="I36">
            <v>23089.59574740582</v>
          </cell>
          <cell r="J36">
            <v>23348.731173305016</v>
          </cell>
          <cell r="K36">
            <v>23507.199605283102</v>
          </cell>
          <cell r="L36">
            <v>26151.704268055553</v>
          </cell>
          <cell r="M36">
            <v>28945.470136916269</v>
          </cell>
          <cell r="N36">
            <v>30562.069082126687</v>
          </cell>
          <cell r="O36">
            <v>32087.52194032101</v>
          </cell>
          <cell r="P36">
            <v>33083.055423537429</v>
          </cell>
          <cell r="Q36">
            <v>32240.628850003355</v>
          </cell>
          <cell r="R36">
            <v>33016.166526184417</v>
          </cell>
          <cell r="S36">
            <v>34137.239318370623</v>
          </cell>
          <cell r="T36">
            <v>34182.075112698571</v>
          </cell>
          <cell r="U36">
            <v>33545.862383073516</v>
          </cell>
          <cell r="V36">
            <v>32443.2755213114</v>
          </cell>
          <cell r="W36">
            <v>34350.460461297356</v>
          </cell>
          <cell r="X36">
            <v>35355.565843216056</v>
          </cell>
          <cell r="Y36">
            <v>34549.301570752476</v>
          </cell>
          <cell r="Z36">
            <v>33084.999628799538</v>
          </cell>
          <cell r="AA36">
            <v>30697.846857622862</v>
          </cell>
          <cell r="AB36">
            <v>28199.794761653407</v>
          </cell>
        </row>
        <row r="37">
          <cell r="D37">
            <v>4</v>
          </cell>
          <cell r="E37">
            <v>24850.978066681604</v>
          </cell>
          <cell r="F37">
            <v>23846.560848705143</v>
          </cell>
          <cell r="G37">
            <v>23025.822844042548</v>
          </cell>
          <cell r="H37">
            <v>22494.05987814075</v>
          </cell>
          <cell r="I37">
            <v>22281.947122176054</v>
          </cell>
          <cell r="J37">
            <v>21657.996377209718</v>
          </cell>
          <cell r="K37">
            <v>21373.029082257995</v>
          </cell>
          <cell r="L37">
            <v>23114.159771802661</v>
          </cell>
          <cell r="M37">
            <v>25127.576328576586</v>
          </cell>
          <cell r="N37">
            <v>26382.161869050196</v>
          </cell>
          <cell r="O37">
            <v>27869.953073212462</v>
          </cell>
          <cell r="P37">
            <v>28970.975239023323</v>
          </cell>
          <cell r="Q37">
            <v>29532.520378352303</v>
          </cell>
          <cell r="R37">
            <v>29415.460838874547</v>
          </cell>
          <cell r="S37">
            <v>29170.781067524975</v>
          </cell>
          <cell r="T37">
            <v>28945.835901667229</v>
          </cell>
          <cell r="U37">
            <v>28724.47239826174</v>
          </cell>
          <cell r="V37">
            <v>29157.783705580801</v>
          </cell>
          <cell r="W37">
            <v>32677.710569153318</v>
          </cell>
          <cell r="X37">
            <v>33976.296934940372</v>
          </cell>
          <cell r="Y37">
            <v>33545.155794834718</v>
          </cell>
          <cell r="Z37">
            <v>32305.742619246579</v>
          </cell>
          <cell r="AA37">
            <v>30122.530761214897</v>
          </cell>
          <cell r="AB37">
            <v>27619.005123919909</v>
          </cell>
        </row>
        <row r="38">
          <cell r="D38">
            <v>1</v>
          </cell>
          <cell r="E38">
            <v>24850.978066681604</v>
          </cell>
          <cell r="F38">
            <v>23846.560848705143</v>
          </cell>
          <cell r="G38">
            <v>23025.822844042548</v>
          </cell>
          <cell r="H38">
            <v>22494.05987814075</v>
          </cell>
          <cell r="I38">
            <v>22281.947122176054</v>
          </cell>
          <cell r="J38">
            <v>21657.996377209718</v>
          </cell>
          <cell r="K38">
            <v>21373.029082257995</v>
          </cell>
          <cell r="L38">
            <v>23114.159771802661</v>
          </cell>
          <cell r="M38">
            <v>25127.576328576586</v>
          </cell>
          <cell r="N38">
            <v>26382.161869050196</v>
          </cell>
          <cell r="O38">
            <v>27869.953073212462</v>
          </cell>
          <cell r="P38">
            <v>28970.975239023323</v>
          </cell>
          <cell r="Q38">
            <v>29532.520378352303</v>
          </cell>
          <cell r="R38">
            <v>29415.460838874547</v>
          </cell>
          <cell r="S38">
            <v>29170.781067524975</v>
          </cell>
          <cell r="T38">
            <v>28945.835901667229</v>
          </cell>
          <cell r="U38">
            <v>28724.47239826174</v>
          </cell>
          <cell r="V38">
            <v>29157.783705580801</v>
          </cell>
          <cell r="W38">
            <v>32677.710569153318</v>
          </cell>
          <cell r="X38">
            <v>33976.296934940372</v>
          </cell>
          <cell r="Y38">
            <v>33545.155794834718</v>
          </cell>
          <cell r="Z38">
            <v>32305.742619246579</v>
          </cell>
          <cell r="AA38">
            <v>30122.530761214897</v>
          </cell>
          <cell r="AB38">
            <v>27619.005123919909</v>
          </cell>
        </row>
        <row r="39">
          <cell r="D39">
            <v>20</v>
          </cell>
          <cell r="E39">
            <v>25973.488170566226</v>
          </cell>
          <cell r="F39">
            <v>24723.507814521301</v>
          </cell>
          <cell r="G39">
            <v>23899.506101356401</v>
          </cell>
          <cell r="H39">
            <v>23289.509828631646</v>
          </cell>
          <cell r="I39">
            <v>23194.897901238415</v>
          </cell>
          <cell r="J39">
            <v>23086.785168190807</v>
          </cell>
          <cell r="K39">
            <v>23299.312719787657</v>
          </cell>
          <cell r="L39">
            <v>26017.256214846366</v>
          </cell>
          <cell r="M39">
            <v>29179.304368377259</v>
          </cell>
          <cell r="N39">
            <v>30970.75427730702</v>
          </cell>
          <cell r="O39">
            <v>32582.121458910755</v>
          </cell>
          <cell r="P39">
            <v>33315.294039200766</v>
          </cell>
          <cell r="Q39">
            <v>32880.687680308503</v>
          </cell>
          <cell r="R39">
            <v>32424.705077094743</v>
          </cell>
          <cell r="S39">
            <v>32477.848607828557</v>
          </cell>
          <cell r="T39">
            <v>32566.772447157822</v>
          </cell>
          <cell r="U39">
            <v>32111.415552409875</v>
          </cell>
          <cell r="V39">
            <v>32039.275422516235</v>
          </cell>
          <cell r="W39">
            <v>34752.990690739411</v>
          </cell>
          <cell r="X39">
            <v>35676.489063774279</v>
          </cell>
          <cell r="Y39">
            <v>34540.419572406652</v>
          </cell>
          <cell r="Z39">
            <v>33008.955286770753</v>
          </cell>
          <cell r="AA39">
            <v>31060.4454169938</v>
          </cell>
          <cell r="AB39">
            <v>28984.592231591527</v>
          </cell>
        </row>
        <row r="40">
          <cell r="D40">
            <v>5</v>
          </cell>
          <cell r="E40">
            <v>27626.561015502408</v>
          </cell>
          <cell r="F40">
            <v>26179.645383376203</v>
          </cell>
          <cell r="G40">
            <v>25119.142661989063</v>
          </cell>
          <cell r="H40">
            <v>24370.906361797428</v>
          </cell>
          <cell r="I40">
            <v>24319.314671896918</v>
          </cell>
          <cell r="J40">
            <v>24764.794045040235</v>
          </cell>
          <cell r="K40">
            <v>24910.039412219878</v>
          </cell>
          <cell r="L40">
            <v>27626.163572017522</v>
          </cell>
          <cell r="M40">
            <v>30549.729060839374</v>
          </cell>
          <cell r="N40">
            <v>32211.287617974784</v>
          </cell>
          <cell r="O40">
            <v>33890.54285966215</v>
          </cell>
          <cell r="P40">
            <v>35102.350734696069</v>
          </cell>
          <cell r="Q40">
            <v>34185.357931790197</v>
          </cell>
          <cell r="R40">
            <v>34870.586809392546</v>
          </cell>
          <cell r="S40">
            <v>36022.068506087788</v>
          </cell>
          <cell r="T40">
            <v>36022.402089654708</v>
          </cell>
          <cell r="U40">
            <v>35335.087860434127</v>
          </cell>
          <cell r="V40">
            <v>34321.15552032672</v>
          </cell>
          <cell r="W40">
            <v>36679.847105270397</v>
          </cell>
          <cell r="X40">
            <v>37435.664271933092</v>
          </cell>
          <cell r="Y40">
            <v>36644.34604297531</v>
          </cell>
          <cell r="Z40">
            <v>35086.03425306092</v>
          </cell>
          <cell r="AA40">
            <v>32524.475555596069</v>
          </cell>
          <cell r="AB40">
            <v>29766.994884235253</v>
          </cell>
        </row>
        <row r="41">
          <cell r="D41">
            <v>4</v>
          </cell>
          <cell r="E41">
            <v>26057.796189340446</v>
          </cell>
          <cell r="F41">
            <v>25011.083012271101</v>
          </cell>
          <cell r="G41">
            <v>24125.062360443455</v>
          </cell>
          <cell r="H41">
            <v>23313.976306600569</v>
          </cell>
          <cell r="I41">
            <v>23041.66298713188</v>
          </cell>
          <cell r="J41">
            <v>22682.599658225929</v>
          </cell>
          <cell r="K41">
            <v>22250.300270672898</v>
          </cell>
          <cell r="L41">
            <v>23909.412087934888</v>
          </cell>
          <cell r="M41">
            <v>26077.569102665231</v>
          </cell>
          <cell r="N41">
            <v>27827.163772366654</v>
          </cell>
          <cell r="O41">
            <v>29081.980411673372</v>
          </cell>
          <cell r="P41">
            <v>29717.950721659792</v>
          </cell>
          <cell r="Q41">
            <v>30809.132390961688</v>
          </cell>
          <cell r="R41">
            <v>30880.808497560305</v>
          </cell>
          <cell r="S41">
            <v>30825.982013864152</v>
          </cell>
          <cell r="T41">
            <v>30914.379859972323</v>
          </cell>
          <cell r="U41">
            <v>30672.941084405033</v>
          </cell>
          <cell r="V41">
            <v>30395.102864344404</v>
          </cell>
          <cell r="W41">
            <v>33590.926317680438</v>
          </cell>
          <cell r="X41">
            <v>35433.568268035284</v>
          </cell>
          <cell r="Y41">
            <v>34954.415672821371</v>
          </cell>
          <cell r="Z41">
            <v>33757.122335721433</v>
          </cell>
          <cell r="AA41">
            <v>31732.141764943448</v>
          </cell>
          <cell r="AB41">
            <v>29477.475296761637</v>
          </cell>
        </row>
        <row r="42">
          <cell r="D42">
            <v>2</v>
          </cell>
          <cell r="E42">
            <v>26057.796189340446</v>
          </cell>
          <cell r="F42">
            <v>25011.083012271101</v>
          </cell>
          <cell r="G42">
            <v>24125.062360443455</v>
          </cell>
          <cell r="H42">
            <v>23313.976306600569</v>
          </cell>
          <cell r="I42">
            <v>23041.66298713188</v>
          </cell>
          <cell r="J42">
            <v>22682.599658225929</v>
          </cell>
          <cell r="K42">
            <v>22250.300270672898</v>
          </cell>
          <cell r="L42">
            <v>23909.412087934888</v>
          </cell>
          <cell r="M42">
            <v>26077.569102665231</v>
          </cell>
          <cell r="N42">
            <v>27827.163772366654</v>
          </cell>
          <cell r="O42">
            <v>29081.980411673372</v>
          </cell>
          <cell r="P42">
            <v>29717.950721659792</v>
          </cell>
          <cell r="Q42">
            <v>30809.132390961688</v>
          </cell>
          <cell r="R42">
            <v>30880.808497560305</v>
          </cell>
          <cell r="S42">
            <v>30825.982013864152</v>
          </cell>
          <cell r="T42">
            <v>30914.379859972323</v>
          </cell>
          <cell r="U42">
            <v>30672.941084405033</v>
          </cell>
          <cell r="V42">
            <v>30395.102864344404</v>
          </cell>
          <cell r="W42">
            <v>33590.926317680438</v>
          </cell>
          <cell r="X42">
            <v>35433.568268035284</v>
          </cell>
          <cell r="Y42">
            <v>34954.415672821371</v>
          </cell>
          <cell r="Z42">
            <v>33757.122335721433</v>
          </cell>
          <cell r="AA42">
            <v>31732.141764943448</v>
          </cell>
          <cell r="AB42">
            <v>29477.475296761637</v>
          </cell>
        </row>
        <row r="43">
          <cell r="D43">
            <v>21</v>
          </cell>
          <cell r="E43">
            <v>26989.406414126766</v>
          </cell>
          <cell r="F43">
            <v>25535.048311005401</v>
          </cell>
          <cell r="G43">
            <v>24449.931892295681</v>
          </cell>
          <cell r="H43">
            <v>23723.244228825421</v>
          </cell>
          <cell r="I43">
            <v>23456.314957608</v>
          </cell>
          <cell r="J43">
            <v>23389.071633144253</v>
          </cell>
          <cell r="K43">
            <v>23465.886210702985</v>
          </cell>
          <cell r="L43">
            <v>26173.577842516384</v>
          </cell>
          <cell r="M43">
            <v>29222.290635279125</v>
          </cell>
          <cell r="N43">
            <v>31096.007877810011</v>
          </cell>
          <cell r="O43">
            <v>32652.107553548078</v>
          </cell>
          <cell r="P43">
            <v>33644.788014051497</v>
          </cell>
          <cell r="Q43">
            <v>33086.52440657642</v>
          </cell>
          <cell r="R43">
            <v>32615.022045473786</v>
          </cell>
          <cell r="S43">
            <v>32565.911278485964</v>
          </cell>
          <cell r="T43">
            <v>32300.171077321451</v>
          </cell>
          <cell r="U43">
            <v>31652.692435035671</v>
          </cell>
          <cell r="V43">
            <v>31610.716740506115</v>
          </cell>
          <cell r="W43">
            <v>34476.602078254356</v>
          </cell>
          <cell r="X43">
            <v>34919.098955755573</v>
          </cell>
          <cell r="Y43">
            <v>33895.778964194098</v>
          </cell>
          <cell r="Z43">
            <v>32484.9175653208</v>
          </cell>
          <cell r="AA43">
            <v>30494.610373750169</v>
          </cell>
          <cell r="AB43">
            <v>28375.083222327346</v>
          </cell>
        </row>
        <row r="44">
          <cell r="D44">
            <v>3</v>
          </cell>
          <cell r="E44">
            <v>26632.832492233698</v>
          </cell>
          <cell r="F44">
            <v>25310.868245762678</v>
          </cell>
          <cell r="G44">
            <v>24299.79067600007</v>
          </cell>
          <cell r="H44">
            <v>23586.782933795123</v>
          </cell>
          <cell r="I44">
            <v>23518.714723683461</v>
          </cell>
          <cell r="J44">
            <v>23903.471236182471</v>
          </cell>
          <cell r="K44">
            <v>24158.540348798124</v>
          </cell>
          <cell r="L44">
            <v>26914.606625559882</v>
          </cell>
          <cell r="M44">
            <v>29738.862845382053</v>
          </cell>
          <cell r="N44">
            <v>31338.740261821567</v>
          </cell>
          <cell r="O44">
            <v>32999.412851905945</v>
          </cell>
          <cell r="P44">
            <v>34123.072494521133</v>
          </cell>
          <cell r="Q44">
            <v>33247.510434483163</v>
          </cell>
          <cell r="R44">
            <v>34033.811737394557</v>
          </cell>
          <cell r="S44">
            <v>35215.75327548365</v>
          </cell>
          <cell r="T44">
            <v>35240.798054415551</v>
          </cell>
          <cell r="U44">
            <v>34591.203106553869</v>
          </cell>
          <cell r="V44">
            <v>34009.804043479882</v>
          </cell>
          <cell r="W44">
            <v>36507.942548442996</v>
          </cell>
          <cell r="X44">
            <v>36359.656201723847</v>
          </cell>
          <cell r="Y44">
            <v>35421.333017148885</v>
          </cell>
          <cell r="Z44">
            <v>33797.882667325881</v>
          </cell>
          <cell r="AA44">
            <v>31210.393735876598</v>
          </cell>
          <cell r="AB44">
            <v>28555.778575466658</v>
          </cell>
        </row>
        <row r="45">
          <cell r="D45">
            <v>5</v>
          </cell>
          <cell r="E45">
            <v>26619.560738647117</v>
          </cell>
          <cell r="F45">
            <v>25232.259991172275</v>
          </cell>
          <cell r="G45">
            <v>24154.788075573273</v>
          </cell>
          <cell r="H45">
            <v>23375.48525785323</v>
          </cell>
          <cell r="I45">
            <v>23048.445886898051</v>
          </cell>
          <cell r="J45">
            <v>22607.785111810346</v>
          </cell>
          <cell r="K45">
            <v>22125.669920070028</v>
          </cell>
          <cell r="L45">
            <v>23735.27296582318</v>
          </cell>
          <cell r="M45">
            <v>25507.421561738636</v>
          </cell>
          <cell r="N45">
            <v>27104.556762357493</v>
          </cell>
          <cell r="O45">
            <v>28618.78747727643</v>
          </cell>
          <cell r="P45">
            <v>29914.420597093787</v>
          </cell>
          <cell r="Q45">
            <v>30391.187147398661</v>
          </cell>
          <cell r="R45">
            <v>30245.313576707638</v>
          </cell>
          <cell r="S45">
            <v>30109.38243591514</v>
          </cell>
          <cell r="T45">
            <v>30205.335172058542</v>
          </cell>
          <cell r="U45">
            <v>29929.793186027346</v>
          </cell>
          <cell r="V45">
            <v>29895.931862052639</v>
          </cell>
          <cell r="W45">
            <v>33363.162858667369</v>
          </cell>
          <cell r="X45">
            <v>35242.809256633001</v>
          </cell>
          <cell r="Y45">
            <v>35054.847062364417</v>
          </cell>
          <cell r="Z45">
            <v>33735.85371575351</v>
          </cell>
          <cell r="AA45">
            <v>31448.740509259442</v>
          </cell>
          <cell r="AB45">
            <v>28943.334040035676</v>
          </cell>
        </row>
        <row r="46">
          <cell r="D46">
            <v>2</v>
          </cell>
          <cell r="E46">
            <v>26619.560738647117</v>
          </cell>
          <cell r="F46">
            <v>25232.259991172275</v>
          </cell>
          <cell r="G46">
            <v>24154.788075573273</v>
          </cell>
          <cell r="H46">
            <v>23375.48525785323</v>
          </cell>
          <cell r="I46">
            <v>23048.445886898051</v>
          </cell>
          <cell r="J46">
            <v>22607.785111810346</v>
          </cell>
          <cell r="K46">
            <v>22125.669920070028</v>
          </cell>
          <cell r="L46">
            <v>23735.27296582318</v>
          </cell>
          <cell r="M46">
            <v>25507.421561738636</v>
          </cell>
          <cell r="N46">
            <v>27104.556762357493</v>
          </cell>
          <cell r="O46">
            <v>28618.78747727643</v>
          </cell>
          <cell r="P46">
            <v>29914.420597093787</v>
          </cell>
          <cell r="Q46">
            <v>30391.187147398661</v>
          </cell>
          <cell r="R46">
            <v>30245.313576707638</v>
          </cell>
          <cell r="S46">
            <v>30109.38243591514</v>
          </cell>
          <cell r="T46">
            <v>30205.335172058542</v>
          </cell>
          <cell r="U46">
            <v>29929.793186027346</v>
          </cell>
          <cell r="V46">
            <v>29895.931862052639</v>
          </cell>
          <cell r="W46">
            <v>33363.162858667369</v>
          </cell>
          <cell r="X46">
            <v>35242.809256633001</v>
          </cell>
          <cell r="Y46">
            <v>35054.847062364417</v>
          </cell>
          <cell r="Z46">
            <v>33735.85371575351</v>
          </cell>
          <cell r="AA46">
            <v>31448.740509259442</v>
          </cell>
          <cell r="AB46">
            <v>28943.334040035676</v>
          </cell>
        </row>
        <row r="47">
          <cell r="D47">
            <v>22</v>
          </cell>
          <cell r="E47">
            <v>27283.649151194968</v>
          </cell>
          <cell r="F47">
            <v>25891.117498466672</v>
          </cell>
          <cell r="G47">
            <v>24813.692964256774</v>
          </cell>
          <cell r="H47">
            <v>24050.416515874836</v>
          </cell>
          <cell r="I47">
            <v>23826.457968462841</v>
          </cell>
          <cell r="J47">
            <v>23518.858551709567</v>
          </cell>
          <cell r="K47">
            <v>23671.000792617826</v>
          </cell>
          <cell r="L47">
            <v>26486.077639848791</v>
          </cell>
          <cell r="M47">
            <v>29492.624352088733</v>
          </cell>
          <cell r="N47">
            <v>31226.521195606667</v>
          </cell>
          <cell r="O47">
            <v>32703.735030245894</v>
          </cell>
          <cell r="P47">
            <v>33437.082914433631</v>
          </cell>
          <cell r="Q47">
            <v>32803.007458016145</v>
          </cell>
          <cell r="R47">
            <v>32329.567144661782</v>
          </cell>
          <cell r="S47">
            <v>32290.921769133249</v>
          </cell>
          <cell r="T47">
            <v>32235.417381240004</v>
          </cell>
          <cell r="U47">
            <v>31753.340378269742</v>
          </cell>
          <cell r="V47">
            <v>32125.262967346807</v>
          </cell>
          <cell r="W47">
            <v>35464.009970912979</v>
          </cell>
          <cell r="X47">
            <v>35125.586083477472</v>
          </cell>
          <cell r="Y47">
            <v>33906.54546772594</v>
          </cell>
          <cell r="Z47">
            <v>32391.482618880873</v>
          </cell>
          <cell r="AA47">
            <v>30568.75479914925</v>
          </cell>
          <cell r="AB47">
            <v>28559.317477518496</v>
          </cell>
        </row>
        <row r="48">
          <cell r="D48">
            <v>4</v>
          </cell>
          <cell r="E48">
            <v>25505.981892082724</v>
          </cell>
          <cell r="F48">
            <v>24222.312219527874</v>
          </cell>
          <cell r="G48">
            <v>23326.575390777667</v>
          </cell>
          <cell r="H48">
            <v>22666.310261861632</v>
          </cell>
          <cell r="I48">
            <v>22677.14158342014</v>
          </cell>
          <cell r="J48">
            <v>23052.966483955046</v>
          </cell>
          <cell r="K48">
            <v>23522.208835231126</v>
          </cell>
          <cell r="L48">
            <v>26391.925927120494</v>
          </cell>
          <cell r="M48">
            <v>29187.054546299816</v>
          </cell>
          <cell r="N48">
            <v>30712.40846292644</v>
          </cell>
          <cell r="O48">
            <v>32326.408067222303</v>
          </cell>
          <cell r="P48">
            <v>33438.805718478747</v>
          </cell>
          <cell r="Q48">
            <v>32481.233963638686</v>
          </cell>
          <cell r="R48">
            <v>33211.724599612797</v>
          </cell>
          <cell r="S48">
            <v>34443.998021613072</v>
          </cell>
          <cell r="T48">
            <v>34506.115492718054</v>
          </cell>
          <cell r="U48">
            <v>33792.002616662336</v>
          </cell>
          <cell r="V48">
            <v>33885.247727823626</v>
          </cell>
          <cell r="W48">
            <v>35928.682129592205</v>
          </cell>
          <cell r="X48">
            <v>35318.434499782619</v>
          </cell>
          <cell r="Y48">
            <v>34188.959217956741</v>
          </cell>
          <cell r="Z48">
            <v>32525.866712397517</v>
          </cell>
          <cell r="AA48">
            <v>30129.473262647207</v>
          </cell>
          <cell r="AB48">
            <v>27639.686763295995</v>
          </cell>
        </row>
        <row r="49">
          <cell r="D49">
            <v>4</v>
          </cell>
          <cell r="E49">
            <v>26283.508097095761</v>
          </cell>
          <cell r="F49">
            <v>25004.790854842286</v>
          </cell>
          <cell r="G49">
            <v>24058.203044303238</v>
          </cell>
          <cell r="H49">
            <v>23343.196212309158</v>
          </cell>
          <cell r="I49">
            <v>23380.592616525282</v>
          </cell>
          <cell r="J49">
            <v>24117.452624743586</v>
          </cell>
          <cell r="K49">
            <v>24581.739702979634</v>
          </cell>
          <cell r="L49">
            <v>27626.24907971291</v>
          </cell>
          <cell r="M49">
            <v>30640.745685443526</v>
          </cell>
          <cell r="N49">
            <v>32236.551366260657</v>
          </cell>
          <cell r="O49">
            <v>34053.103698883388</v>
          </cell>
          <cell r="P49">
            <v>35276.063881433452</v>
          </cell>
          <cell r="Q49">
            <v>34034.433244556611</v>
          </cell>
          <cell r="R49">
            <v>35237.96936359426</v>
          </cell>
          <cell r="S49">
            <v>36944.684108032001</v>
          </cell>
          <cell r="T49">
            <v>36990.97079860024</v>
          </cell>
          <cell r="U49">
            <v>36151.317901400529</v>
          </cell>
          <cell r="V49">
            <v>35107.456184191622</v>
          </cell>
          <cell r="W49">
            <v>37159.759627192077</v>
          </cell>
          <cell r="X49">
            <v>36885.310330578031</v>
          </cell>
          <cell r="Y49">
            <v>35933.766098300468</v>
          </cell>
          <cell r="Z49">
            <v>34236.193374252776</v>
          </cell>
          <cell r="AA49">
            <v>31430.419690082403</v>
          </cell>
          <cell r="AB49">
            <v>28610.96670943511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26340.65463748476</v>
          </cell>
          <cell r="F51">
            <v>25008.666482905996</v>
          </cell>
          <cell r="G51">
            <v>23948.467367155412</v>
          </cell>
          <cell r="H51">
            <v>23072.106797714747</v>
          </cell>
          <cell r="I51">
            <v>22739.582300211441</v>
          </cell>
          <cell r="J51">
            <v>22554.927265222821</v>
          </cell>
          <cell r="K51">
            <v>23031.036744615812</v>
          </cell>
          <cell r="L51">
            <v>25920.715005773127</v>
          </cell>
          <cell r="M51">
            <v>28874.30644035769</v>
          </cell>
          <cell r="N51">
            <v>30588.875363441268</v>
          </cell>
          <cell r="O51">
            <v>32169.083339998047</v>
          </cell>
          <cell r="P51">
            <v>32997.957358324791</v>
          </cell>
          <cell r="Q51">
            <v>32411.503805650987</v>
          </cell>
          <cell r="R51">
            <v>32027.545901875576</v>
          </cell>
          <cell r="S51">
            <v>32159.420257016187</v>
          </cell>
          <cell r="T51">
            <v>32095.95850632462</v>
          </cell>
          <cell r="U51">
            <v>31683.216081077917</v>
          </cell>
          <cell r="V51">
            <v>32506.927792565966</v>
          </cell>
          <cell r="W51">
            <v>35470.477160739261</v>
          </cell>
          <cell r="X51">
            <v>34877.796234116737</v>
          </cell>
          <cell r="Y51">
            <v>33643.811471214511</v>
          </cell>
          <cell r="Z51">
            <v>32075.570501542181</v>
          </cell>
          <cell r="AA51">
            <v>30205.138328596739</v>
          </cell>
          <cell r="AB51">
            <v>28205.132765146238</v>
          </cell>
        </row>
        <row r="52">
          <cell r="D52">
            <v>5</v>
          </cell>
          <cell r="E52">
            <v>24482.671060748322</v>
          </cell>
          <cell r="F52">
            <v>23273.39915482992</v>
          </cell>
          <cell r="G52">
            <v>22378.671365426027</v>
          </cell>
          <cell r="H52">
            <v>21842.408631761809</v>
          </cell>
          <cell r="I52">
            <v>21917.413138054028</v>
          </cell>
          <cell r="J52">
            <v>22344.457073180489</v>
          </cell>
          <cell r="K52">
            <v>22749.403425988181</v>
          </cell>
          <cell r="L52">
            <v>25411.549401579203</v>
          </cell>
          <cell r="M52">
            <v>28069.127596047292</v>
          </cell>
          <cell r="N52">
            <v>29626.454537787733</v>
          </cell>
          <cell r="O52">
            <v>31055.383330541772</v>
          </cell>
          <cell r="P52">
            <v>32121.238287133474</v>
          </cell>
          <cell r="Q52">
            <v>31217.34121777441</v>
          </cell>
          <cell r="R52">
            <v>31626.846886407799</v>
          </cell>
          <cell r="S52">
            <v>32559.538592550958</v>
          </cell>
          <cell r="T52">
            <v>32648.183454661401</v>
          </cell>
          <cell r="U52">
            <v>32224.950302214147</v>
          </cell>
          <cell r="V52">
            <v>32810.417827110301</v>
          </cell>
          <cell r="W52">
            <v>35074.68091542332</v>
          </cell>
          <cell r="X52">
            <v>34392.89581257588</v>
          </cell>
          <cell r="Y52">
            <v>33056.400855710155</v>
          </cell>
          <cell r="Z52">
            <v>31216.284346937322</v>
          </cell>
          <cell r="AA52">
            <v>28816.806357304587</v>
          </cell>
          <cell r="AB52">
            <v>26411.895978394663</v>
          </cell>
        </row>
        <row r="53">
          <cell r="D53">
            <v>5</v>
          </cell>
          <cell r="E53">
            <v>24744.428955514686</v>
          </cell>
          <cell r="F53">
            <v>23696.820444921097</v>
          </cell>
          <cell r="G53">
            <v>22863.596304045932</v>
          </cell>
          <cell r="H53">
            <v>22350.83065285593</v>
          </cell>
          <cell r="I53">
            <v>22172.805452133442</v>
          </cell>
          <cell r="J53">
            <v>21823.362286915381</v>
          </cell>
          <cell r="K53">
            <v>21304.221836473225</v>
          </cell>
          <cell r="L53">
            <v>22978.989424945099</v>
          </cell>
          <cell r="M53">
            <v>24368.376061075269</v>
          </cell>
          <cell r="N53">
            <v>26304.802041201172</v>
          </cell>
          <cell r="O53">
            <v>27816.088957426618</v>
          </cell>
          <cell r="P53">
            <v>29011.382110857048</v>
          </cell>
          <cell r="Q53">
            <v>29617.890885283457</v>
          </cell>
          <cell r="R53">
            <v>29630.454318988548</v>
          </cell>
          <cell r="S53">
            <v>29679.421041670885</v>
          </cell>
          <cell r="T53">
            <v>29754.162442220833</v>
          </cell>
          <cell r="U53">
            <v>29485.401809671421</v>
          </cell>
          <cell r="V53">
            <v>30737.829262813881</v>
          </cell>
          <cell r="W53">
            <v>34248.302294544097</v>
          </cell>
          <cell r="X53">
            <v>34667.593846774027</v>
          </cell>
          <cell r="Y53">
            <v>34122.939133963759</v>
          </cell>
          <cell r="Z53">
            <v>32835.356664486273</v>
          </cell>
          <cell r="AA53">
            <v>30388.06219236711</v>
          </cell>
          <cell r="AB53">
            <v>27770.783117096715</v>
          </cell>
        </row>
        <row r="54">
          <cell r="D54">
            <v>1</v>
          </cell>
          <cell r="E54">
            <v>24744.428955514686</v>
          </cell>
          <cell r="F54">
            <v>23696.820444921097</v>
          </cell>
          <cell r="G54">
            <v>22863.596304045932</v>
          </cell>
          <cell r="H54">
            <v>22350.83065285593</v>
          </cell>
          <cell r="I54">
            <v>22172.805452133442</v>
          </cell>
          <cell r="J54">
            <v>21823.362286915381</v>
          </cell>
          <cell r="K54">
            <v>21304.221836473225</v>
          </cell>
          <cell r="L54">
            <v>22978.989424945099</v>
          </cell>
          <cell r="M54">
            <v>24368.376061075269</v>
          </cell>
          <cell r="N54">
            <v>26304.802041201172</v>
          </cell>
          <cell r="O54">
            <v>27816.088957426618</v>
          </cell>
          <cell r="P54">
            <v>29011.382110857048</v>
          </cell>
          <cell r="Q54">
            <v>29617.890885283457</v>
          </cell>
          <cell r="R54">
            <v>29630.454318988548</v>
          </cell>
          <cell r="S54">
            <v>29679.421041670885</v>
          </cell>
          <cell r="T54">
            <v>29754.162442220833</v>
          </cell>
          <cell r="U54">
            <v>29485.401809671421</v>
          </cell>
          <cell r="V54">
            <v>30737.829262813881</v>
          </cell>
          <cell r="W54">
            <v>34248.302294544097</v>
          </cell>
          <cell r="X54">
            <v>34667.593846774027</v>
          </cell>
          <cell r="Y54">
            <v>34122.939133963759</v>
          </cell>
          <cell r="Z54">
            <v>32835.356664486273</v>
          </cell>
          <cell r="AA54">
            <v>30388.06219236711</v>
          </cell>
          <cell r="AB54">
            <v>27770.783117096715</v>
          </cell>
        </row>
        <row r="55">
          <cell r="D55">
            <v>20</v>
          </cell>
          <cell r="E55">
            <v>25960.81079802497</v>
          </cell>
          <cell r="F55">
            <v>24690.794861787432</v>
          </cell>
          <cell r="G55">
            <v>23773.49429642822</v>
          </cell>
          <cell r="H55">
            <v>23172.914566311756</v>
          </cell>
          <cell r="I55">
            <v>23178.275581759739</v>
          </cell>
          <cell r="J55">
            <v>23371.088001506687</v>
          </cell>
          <cell r="K55">
            <v>23532.793326202445</v>
          </cell>
          <cell r="L55">
            <v>26483.881065266258</v>
          </cell>
          <cell r="M55">
            <v>29633.612683785519</v>
          </cell>
          <cell r="N55">
            <v>31638.943244833521</v>
          </cell>
          <cell r="O55">
            <v>33153.062547627509</v>
          </cell>
          <cell r="P55">
            <v>33947.248163067648</v>
          </cell>
          <cell r="Q55">
            <v>33265.893181879088</v>
          </cell>
          <cell r="R55">
            <v>32686.124277934654</v>
          </cell>
          <cell r="S55">
            <v>32604.982746304002</v>
          </cell>
          <cell r="T55">
            <v>32527.359158717118</v>
          </cell>
          <cell r="U55">
            <v>32194.362318141542</v>
          </cell>
          <cell r="V55">
            <v>33267.749629496393</v>
          </cell>
          <cell r="W55">
            <v>36205.240874850402</v>
          </cell>
          <cell r="X55">
            <v>35442.827465312548</v>
          </cell>
          <cell r="Y55">
            <v>34004.914440718036</v>
          </cell>
          <cell r="Z55">
            <v>32378.170838874452</v>
          </cell>
          <cell r="AA55">
            <v>30363.822433398735</v>
          </cell>
          <cell r="AB55">
            <v>28179.108316749502</v>
          </cell>
        </row>
        <row r="56">
          <cell r="D56">
            <v>4</v>
          </cell>
          <cell r="E56">
            <v>28292.246998670391</v>
          </cell>
          <cell r="F56">
            <v>26860.169133588013</v>
          </cell>
          <cell r="G56">
            <v>25801.969956772013</v>
          </cell>
          <cell r="H56">
            <v>25074.091597557166</v>
          </cell>
          <cell r="I56">
            <v>24919.941216773183</v>
          </cell>
          <cell r="J56">
            <v>25093.090373755345</v>
          </cell>
          <cell r="K56">
            <v>24958.399344226858</v>
          </cell>
          <cell r="L56">
            <v>27801.872896726181</v>
          </cell>
          <cell r="M56">
            <v>30758.457947229468</v>
          </cell>
          <cell r="N56">
            <v>32471.75959320601</v>
          </cell>
          <cell r="O56">
            <v>33983.834300056551</v>
          </cell>
          <cell r="P56">
            <v>35163.071074274187</v>
          </cell>
          <cell r="Q56">
            <v>34404.843785969664</v>
          </cell>
          <cell r="R56">
            <v>34763.273195989947</v>
          </cell>
          <cell r="S56">
            <v>35756.590780363338</v>
          </cell>
          <cell r="T56">
            <v>35812.675396555744</v>
          </cell>
          <cell r="U56">
            <v>35245.090230538139</v>
          </cell>
          <cell r="V56">
            <v>35336.669459025143</v>
          </cell>
          <cell r="W56">
            <v>38307.881972337767</v>
          </cell>
          <cell r="X56">
            <v>37693.848131276696</v>
          </cell>
          <cell r="Y56">
            <v>36478.035998158128</v>
          </cell>
          <cell r="Z56">
            <v>34866.847463238402</v>
          </cell>
          <cell r="AA56">
            <v>32706.495185521198</v>
          </cell>
          <cell r="AB56">
            <v>30279.841802834006</v>
          </cell>
        </row>
        <row r="57">
          <cell r="D57">
            <v>4</v>
          </cell>
          <cell r="E57">
            <v>26088.339898265109</v>
          </cell>
          <cell r="F57">
            <v>24702.222132173752</v>
          </cell>
          <cell r="G57">
            <v>23650.00025893806</v>
          </cell>
          <cell r="H57">
            <v>22841.808325386923</v>
          </cell>
          <cell r="I57">
            <v>22567.975044527437</v>
          </cell>
          <cell r="J57">
            <v>22223.81305042213</v>
          </cell>
          <cell r="K57">
            <v>21600.047220208449</v>
          </cell>
          <cell r="L57">
            <v>23022.804426166709</v>
          </cell>
          <cell r="M57">
            <v>24731.062386005902</v>
          </cell>
          <cell r="N57">
            <v>26064.648632673372</v>
          </cell>
          <cell r="O57">
            <v>27157.008252400505</v>
          </cell>
          <cell r="P57">
            <v>28125.267920644335</v>
          </cell>
          <cell r="Q57">
            <v>28427.413237218894</v>
          </cell>
          <cell r="R57">
            <v>28571.508635076025</v>
          </cell>
          <cell r="S57">
            <v>28160.911259536133</v>
          </cell>
          <cell r="T57">
            <v>28189.696870114796</v>
          </cell>
          <cell r="U57">
            <v>28258.104531480076</v>
          </cell>
          <cell r="V57">
            <v>30037.099890565172</v>
          </cell>
          <cell r="W57">
            <v>33516.435060538272</v>
          </cell>
          <cell r="X57">
            <v>33640.677881361422</v>
          </cell>
          <cell r="Y57">
            <v>32594.370571115582</v>
          </cell>
          <cell r="Z57">
            <v>30639.126813098308</v>
          </cell>
          <cell r="AA57">
            <v>28165.274751007619</v>
          </cell>
          <cell r="AB57">
            <v>25835.458889916117</v>
          </cell>
        </row>
        <row r="58">
          <cell r="D58">
            <v>2</v>
          </cell>
          <cell r="E58">
            <v>26088.339898265109</v>
          </cell>
          <cell r="F58">
            <v>24702.222132173752</v>
          </cell>
          <cell r="G58">
            <v>23650.00025893806</v>
          </cell>
          <cell r="H58">
            <v>22841.808325386923</v>
          </cell>
          <cell r="I58">
            <v>22567.975044527437</v>
          </cell>
          <cell r="J58">
            <v>22223.81305042213</v>
          </cell>
          <cell r="K58">
            <v>21600.047220208449</v>
          </cell>
          <cell r="L58">
            <v>23022.804426166709</v>
          </cell>
          <cell r="M58">
            <v>24731.062386005902</v>
          </cell>
          <cell r="N58">
            <v>26064.648632673372</v>
          </cell>
          <cell r="O58">
            <v>27157.008252400505</v>
          </cell>
          <cell r="P58">
            <v>28125.267920644335</v>
          </cell>
          <cell r="Q58">
            <v>28427.413237218894</v>
          </cell>
          <cell r="R58">
            <v>28571.508635076025</v>
          </cell>
          <cell r="S58">
            <v>28160.911259536133</v>
          </cell>
          <cell r="T58">
            <v>28189.696870114796</v>
          </cell>
          <cell r="U58">
            <v>28258.104531480076</v>
          </cell>
          <cell r="V58">
            <v>30037.099890565172</v>
          </cell>
          <cell r="W58">
            <v>33516.435060538272</v>
          </cell>
          <cell r="X58">
            <v>33640.677881361422</v>
          </cell>
          <cell r="Y58">
            <v>32594.370571115582</v>
          </cell>
          <cell r="Z58">
            <v>30639.126813098308</v>
          </cell>
          <cell r="AA58">
            <v>28165.274751007619</v>
          </cell>
          <cell r="AB58">
            <v>25835.458889916117</v>
          </cell>
        </row>
        <row r="59">
          <cell r="D59">
            <v>22</v>
          </cell>
          <cell r="E59">
            <v>27479.001869850254</v>
          </cell>
          <cell r="F59">
            <v>26028.826952164989</v>
          </cell>
          <cell r="G59">
            <v>24932.668640802647</v>
          </cell>
          <cell r="H59">
            <v>24170.749325387285</v>
          </cell>
          <cell r="I59">
            <v>24003.331869926198</v>
          </cell>
          <cell r="J59">
            <v>24125.262513222635</v>
          </cell>
          <cell r="K59">
            <v>23845.620952618563</v>
          </cell>
          <cell r="L59">
            <v>26403.546692488319</v>
          </cell>
          <cell r="M59">
            <v>29195.239999776528</v>
          </cell>
          <cell r="N59">
            <v>30961.540444714887</v>
          </cell>
          <cell r="O59">
            <v>32261.558158541655</v>
          </cell>
          <cell r="P59">
            <v>33041.655609248483</v>
          </cell>
          <cell r="Q59">
            <v>32326.749728839408</v>
          </cell>
          <cell r="R59">
            <v>31813.964074131112</v>
          </cell>
          <cell r="S59">
            <v>31891.296866338515</v>
          </cell>
          <cell r="T59">
            <v>31869.064653802889</v>
          </cell>
          <cell r="U59">
            <v>31473.989396548019</v>
          </cell>
          <cell r="V59">
            <v>32318.096410376533</v>
          </cell>
          <cell r="W59">
            <v>35591.095836383261</v>
          </cell>
          <cell r="X59">
            <v>34815.553424410726</v>
          </cell>
          <cell r="Y59">
            <v>33318.362343170746</v>
          </cell>
          <cell r="Z59">
            <v>31678.495192133421</v>
          </cell>
          <cell r="AA59">
            <v>30087.82649767803</v>
          </cell>
          <cell r="AB59">
            <v>28305.342759198917</v>
          </cell>
        </row>
        <row r="60">
          <cell r="D60">
            <v>3</v>
          </cell>
          <cell r="E60">
            <v>26970.409618330748</v>
          </cell>
          <cell r="F60">
            <v>25608.764341788807</v>
          </cell>
          <cell r="G60">
            <v>24586.166604441602</v>
          </cell>
          <cell r="H60">
            <v>23876.059656229398</v>
          </cell>
          <cell r="I60">
            <v>23798.155128757069</v>
          </cell>
          <cell r="J60">
            <v>24181.916097668152</v>
          </cell>
          <cell r="K60">
            <v>24284.714174345496</v>
          </cell>
          <cell r="L60">
            <v>26948.927064782267</v>
          </cell>
          <cell r="M60">
            <v>29711.180537851258</v>
          </cell>
          <cell r="N60">
            <v>31307.608370513142</v>
          </cell>
          <cell r="O60">
            <v>32867.726997815851</v>
          </cell>
          <cell r="P60">
            <v>33964.037624802506</v>
          </cell>
          <cell r="Q60">
            <v>33109.091925021115</v>
          </cell>
          <cell r="R60">
            <v>33766.318447807404</v>
          </cell>
          <cell r="S60">
            <v>34878.657820668428</v>
          </cell>
          <cell r="T60">
            <v>34956.568506012314</v>
          </cell>
          <cell r="U60">
            <v>34355.452025915962</v>
          </cell>
          <cell r="V60">
            <v>33737.20236704094</v>
          </cell>
          <cell r="W60">
            <v>36078.099568268881</v>
          </cell>
          <cell r="X60">
            <v>36295.099849287886</v>
          </cell>
          <cell r="Y60">
            <v>35381.401419701055</v>
          </cell>
          <cell r="Z60">
            <v>33847.638220314962</v>
          </cell>
          <cell r="AA60">
            <v>31497.618804796464</v>
          </cell>
          <cell r="AB60">
            <v>28984.41343380394</v>
          </cell>
        </row>
        <row r="61">
          <cell r="D61">
            <v>4</v>
          </cell>
          <cell r="E61">
            <v>26808.893024564957</v>
          </cell>
          <cell r="F61">
            <v>25977.462846701153</v>
          </cell>
          <cell r="G61">
            <v>25191.12575146482</v>
          </cell>
          <cell r="H61">
            <v>24437.356610183469</v>
          </cell>
          <cell r="I61">
            <v>24002.865288146189</v>
          </cell>
          <cell r="J61">
            <v>23374.422741526239</v>
          </cell>
          <cell r="K61">
            <v>21922.563218045751</v>
          </cell>
          <cell r="L61">
            <v>22650.878276815776</v>
          </cell>
          <cell r="M61">
            <v>23834.991892243928</v>
          </cell>
          <cell r="N61">
            <v>24946.721483736153</v>
          </cell>
          <cell r="O61">
            <v>25983.136590288119</v>
          </cell>
          <cell r="P61">
            <v>26864.04299096316</v>
          </cell>
          <cell r="Q61">
            <v>27345.529739587149</v>
          </cell>
          <cell r="R61">
            <v>27366.814600110953</v>
          </cell>
          <cell r="S61">
            <v>27242.984341403706</v>
          </cell>
          <cell r="T61">
            <v>27393.596939993698</v>
          </cell>
          <cell r="U61">
            <v>27380.816419188977</v>
          </cell>
          <cell r="V61">
            <v>28265.862573528604</v>
          </cell>
          <cell r="W61">
            <v>32202.963126906907</v>
          </cell>
          <cell r="X61">
            <v>32500.745987398743</v>
          </cell>
          <cell r="Y61">
            <v>32089.04459319438</v>
          </cell>
          <cell r="Z61">
            <v>31113.372431594304</v>
          </cell>
          <cell r="AA61">
            <v>29505.323702260648</v>
          </cell>
          <cell r="AB61">
            <v>27639.636153936328</v>
          </cell>
        </row>
        <row r="62">
          <cell r="D62">
            <v>2</v>
          </cell>
          <cell r="E62">
            <v>26808.893024564957</v>
          </cell>
          <cell r="F62">
            <v>25977.462846701153</v>
          </cell>
          <cell r="G62">
            <v>25191.12575146482</v>
          </cell>
          <cell r="H62">
            <v>24437.356610183469</v>
          </cell>
          <cell r="I62">
            <v>24002.865288146189</v>
          </cell>
          <cell r="J62">
            <v>23374.422741526239</v>
          </cell>
          <cell r="K62">
            <v>21922.563218045751</v>
          </cell>
          <cell r="L62">
            <v>22650.878276815776</v>
          </cell>
          <cell r="M62">
            <v>23834.991892243928</v>
          </cell>
          <cell r="N62">
            <v>24946.721483736153</v>
          </cell>
          <cell r="O62">
            <v>25983.136590288119</v>
          </cell>
          <cell r="P62">
            <v>26864.04299096316</v>
          </cell>
          <cell r="Q62">
            <v>27345.529739587149</v>
          </cell>
          <cell r="R62">
            <v>27366.814600110953</v>
          </cell>
          <cell r="S62">
            <v>27242.984341403706</v>
          </cell>
          <cell r="T62">
            <v>27393.596939993698</v>
          </cell>
          <cell r="U62">
            <v>27380.816419188977</v>
          </cell>
          <cell r="V62">
            <v>28265.862573528604</v>
          </cell>
          <cell r="W62">
            <v>32202.963126906907</v>
          </cell>
          <cell r="X62">
            <v>32500.745987398743</v>
          </cell>
          <cell r="Y62">
            <v>32089.04459319438</v>
          </cell>
          <cell r="Z62">
            <v>31113.372431594304</v>
          </cell>
          <cell r="AA62">
            <v>29505.323702260648</v>
          </cell>
          <cell r="AB62">
            <v>27639.636153936328</v>
          </cell>
        </row>
      </sheetData>
      <sheetData sheetId="25">
        <row r="15">
          <cell r="D15">
            <v>20</v>
          </cell>
          <cell r="E15">
            <v>27163.233798361453</v>
          </cell>
          <cell r="F15">
            <v>25691.054342524287</v>
          </cell>
          <cell r="G15">
            <v>24626.928782204381</v>
          </cell>
          <cell r="H15">
            <v>23882.936608300133</v>
          </cell>
          <cell r="I15">
            <v>23706.585030806018</v>
          </cell>
          <cell r="J15">
            <v>24285.29586611495</v>
          </cell>
          <cell r="K15">
            <v>24104.470917619736</v>
          </cell>
          <cell r="L15">
            <v>26954.808837789908</v>
          </cell>
          <cell r="M15">
            <v>30021.898243477794</v>
          </cell>
          <cell r="N15">
            <v>31798.030815154012</v>
          </cell>
          <cell r="O15">
            <v>33630.315879970301</v>
          </cell>
          <cell r="P15">
            <v>34933.36296177037</v>
          </cell>
          <cell r="Q15">
            <v>33962.689574823504</v>
          </cell>
          <cell r="R15">
            <v>34915.494597162084</v>
          </cell>
          <cell r="S15">
            <v>36504.536444243997</v>
          </cell>
          <cell r="T15">
            <v>36655.253072777246</v>
          </cell>
          <cell r="U15">
            <v>35896.500429019601</v>
          </cell>
          <cell r="V15">
            <v>34453.98476053909</v>
          </cell>
          <cell r="W15">
            <v>36499.244473486717</v>
          </cell>
          <cell r="X15">
            <v>36611.165960232313</v>
          </cell>
          <cell r="Y15">
            <v>35745.904050767858</v>
          </cell>
          <cell r="Z15">
            <v>34364.995516972391</v>
          </cell>
          <cell r="AA15">
            <v>32088.074494172277</v>
          </cell>
          <cell r="AB15">
            <v>29531.526876514705</v>
          </cell>
        </row>
        <row r="16">
          <cell r="D16">
            <v>4</v>
          </cell>
          <cell r="E16">
            <v>27367.923043208557</v>
          </cell>
          <cell r="F16">
            <v>25914.795564807238</v>
          </cell>
          <cell r="G16">
            <v>24838.214831898495</v>
          </cell>
          <cell r="H16">
            <v>23988.815240976463</v>
          </cell>
          <cell r="I16">
            <v>23766.115527869399</v>
          </cell>
          <cell r="J16">
            <v>23870.344830080045</v>
          </cell>
          <cell r="K16">
            <v>23253.504996164174</v>
          </cell>
          <cell r="L16">
            <v>25466.845990267702</v>
          </cell>
          <cell r="M16">
            <v>28390.088695260896</v>
          </cell>
          <cell r="N16">
            <v>30324.653724015159</v>
          </cell>
          <cell r="O16">
            <v>31917.482988389715</v>
          </cell>
          <cell r="P16">
            <v>32915.89121501465</v>
          </cell>
          <cell r="Q16">
            <v>32449.344624229154</v>
          </cell>
          <cell r="R16">
            <v>32122.222825112793</v>
          </cell>
          <cell r="S16">
            <v>32305.201131312799</v>
          </cell>
          <cell r="T16">
            <v>32294.91076643459</v>
          </cell>
          <cell r="U16">
            <v>31818.339153306919</v>
          </cell>
          <cell r="V16">
            <v>31574.998597912814</v>
          </cell>
          <cell r="W16">
            <v>34820.250094351853</v>
          </cell>
          <cell r="X16">
            <v>35168.882116539484</v>
          </cell>
          <cell r="Y16">
            <v>34196.825422610469</v>
          </cell>
          <cell r="Z16">
            <v>32986.270542163613</v>
          </cell>
          <cell r="AA16">
            <v>31342.138013440646</v>
          </cell>
          <cell r="AB16">
            <v>29422.216608995685</v>
          </cell>
        </row>
        <row r="17">
          <cell r="D17">
            <v>5</v>
          </cell>
          <cell r="E17">
            <v>27672.89959789491</v>
          </cell>
          <cell r="F17">
            <v>26271.601302281699</v>
          </cell>
          <cell r="G17">
            <v>25135.175234979601</v>
          </cell>
          <cell r="H17">
            <v>24226.891315715402</v>
          </cell>
          <cell r="I17">
            <v>23765.181003109235</v>
          </cell>
          <cell r="J17">
            <v>23537.476855624849</v>
          </cell>
          <cell r="K17">
            <v>22323.714296396513</v>
          </cell>
          <cell r="L17">
            <v>23321.38607831813</v>
          </cell>
          <cell r="M17">
            <v>24987.837568740193</v>
          </cell>
          <cell r="N17">
            <v>26686.006760670858</v>
          </cell>
          <cell r="O17">
            <v>27730.395512148796</v>
          </cell>
          <cell r="P17">
            <v>28660.391971547699</v>
          </cell>
          <cell r="Q17">
            <v>29214.103850235144</v>
          </cell>
          <cell r="R17">
            <v>29338.932683918832</v>
          </cell>
          <cell r="S17">
            <v>29420.284269189819</v>
          </cell>
          <cell r="T17">
            <v>29469.185945255453</v>
          </cell>
          <cell r="U17">
            <v>29296.64894729248</v>
          </cell>
          <cell r="V17">
            <v>29326.558241437193</v>
          </cell>
          <cell r="W17">
            <v>32878.409595702222</v>
          </cell>
          <cell r="X17">
            <v>33952.139882445364</v>
          </cell>
          <cell r="Y17">
            <v>33828.892776274406</v>
          </cell>
          <cell r="Z17">
            <v>32894.161726853694</v>
          </cell>
          <cell r="AA17">
            <v>31125.838828373588</v>
          </cell>
          <cell r="AB17">
            <v>28962.455849034541</v>
          </cell>
        </row>
        <row r="18">
          <cell r="D18">
            <v>2</v>
          </cell>
          <cell r="E18">
            <v>27672.89959789491</v>
          </cell>
          <cell r="F18">
            <v>26271.601302281699</v>
          </cell>
          <cell r="G18">
            <v>25135.175234979601</v>
          </cell>
          <cell r="H18">
            <v>24226.891315715402</v>
          </cell>
          <cell r="I18">
            <v>23765.181003109235</v>
          </cell>
          <cell r="J18">
            <v>23537.476855624849</v>
          </cell>
          <cell r="K18">
            <v>22323.714296396513</v>
          </cell>
          <cell r="L18">
            <v>23321.38607831813</v>
          </cell>
          <cell r="M18">
            <v>24987.837568740193</v>
          </cell>
          <cell r="N18">
            <v>26686.006760670858</v>
          </cell>
          <cell r="O18">
            <v>27730.395512148796</v>
          </cell>
          <cell r="P18">
            <v>28660.391971547699</v>
          </cell>
          <cell r="Q18">
            <v>29214.103850235144</v>
          </cell>
          <cell r="R18">
            <v>29338.932683918832</v>
          </cell>
          <cell r="S18">
            <v>29420.284269189819</v>
          </cell>
          <cell r="T18">
            <v>29469.185945255453</v>
          </cell>
          <cell r="U18">
            <v>29296.64894729248</v>
          </cell>
          <cell r="V18">
            <v>29326.558241437193</v>
          </cell>
          <cell r="W18">
            <v>32878.409595702222</v>
          </cell>
          <cell r="X18">
            <v>33952.139882445364</v>
          </cell>
          <cell r="Y18">
            <v>33828.892776274406</v>
          </cell>
          <cell r="Z18">
            <v>32894.161726853694</v>
          </cell>
          <cell r="AA18">
            <v>31125.838828373588</v>
          </cell>
          <cell r="AB18">
            <v>28962.455849034541</v>
          </cell>
        </row>
        <row r="19">
          <cell r="D19">
            <v>20</v>
          </cell>
          <cell r="E19">
            <v>28004.250183386866</v>
          </cell>
          <cell r="F19">
            <v>26526.492372595661</v>
          </cell>
          <cell r="G19">
            <v>25470.946423563088</v>
          </cell>
          <cell r="H19">
            <v>24779.984479928742</v>
          </cell>
          <cell r="I19">
            <v>24830.716950125501</v>
          </cell>
          <cell r="J19">
            <v>26209.888592030216</v>
          </cell>
          <cell r="K19">
            <v>26139.863325277143</v>
          </cell>
          <cell r="L19">
            <v>28838.434315652932</v>
          </cell>
          <cell r="M19">
            <v>31559.537770104376</v>
          </cell>
          <cell r="N19">
            <v>32895.76777201533</v>
          </cell>
          <cell r="O19">
            <v>34492.159139460891</v>
          </cell>
          <cell r="P19">
            <v>35563.196433058663</v>
          </cell>
          <cell r="Q19">
            <v>34224.740284740234</v>
          </cell>
          <cell r="R19">
            <v>35445.345386283661</v>
          </cell>
          <cell r="S19">
            <v>37239.306932518572</v>
          </cell>
          <cell r="T19">
            <v>37469.868685032343</v>
          </cell>
          <cell r="U19">
            <v>36813.633838173817</v>
          </cell>
          <cell r="V19">
            <v>35245.850918562915</v>
          </cell>
          <cell r="W19">
            <v>37119.24747713637</v>
          </cell>
          <cell r="X19">
            <v>37720.024251919327</v>
          </cell>
          <cell r="Y19">
            <v>36973.150662814835</v>
          </cell>
          <cell r="Z19">
            <v>35363.0575269154</v>
          </cell>
          <cell r="AA19">
            <v>32738.803301374155</v>
          </cell>
          <cell r="AB19">
            <v>30099.846276197422</v>
          </cell>
        </row>
        <row r="20">
          <cell r="D20">
            <v>4</v>
          </cell>
          <cell r="E20">
            <v>28093.555769885592</v>
          </cell>
          <cell r="F20">
            <v>26725.634537691003</v>
          </cell>
          <cell r="G20">
            <v>25536.720272840968</v>
          </cell>
          <cell r="H20">
            <v>24730.253552580885</v>
          </cell>
          <cell r="I20">
            <v>24422.337555020415</v>
          </cell>
          <cell r="J20">
            <v>24666.718838188433</v>
          </cell>
          <cell r="K20">
            <v>24418.040100606606</v>
          </cell>
          <cell r="L20">
            <v>26844.688737356388</v>
          </cell>
          <cell r="M20">
            <v>29762.348127903198</v>
          </cell>
          <cell r="N20">
            <v>31594.884574715848</v>
          </cell>
          <cell r="O20">
            <v>33093.222720701597</v>
          </cell>
          <cell r="P20">
            <v>34085.633554394524</v>
          </cell>
          <cell r="Q20">
            <v>33491.073931070554</v>
          </cell>
          <cell r="R20">
            <v>33100.338399323547</v>
          </cell>
          <cell r="S20">
            <v>33274.135688150956</v>
          </cell>
          <cell r="T20">
            <v>33269.962765689655</v>
          </cell>
          <cell r="U20">
            <v>32764.863094957214</v>
          </cell>
          <cell r="V20">
            <v>32536.640383651928</v>
          </cell>
          <cell r="W20">
            <v>35639.10161003191</v>
          </cell>
          <cell r="X20">
            <v>36363.372006894278</v>
          </cell>
          <cell r="Y20">
            <v>35418.491052079517</v>
          </cell>
          <cell r="Z20">
            <v>34142.344358611255</v>
          </cell>
          <cell r="AA20">
            <v>32407.902447114106</v>
          </cell>
          <cell r="AB20">
            <v>30367.901828732498</v>
          </cell>
        </row>
        <row r="21">
          <cell r="D21">
            <v>4</v>
          </cell>
          <cell r="E21">
            <v>28530.265908670397</v>
          </cell>
          <cell r="F21">
            <v>27069.490952665576</v>
          </cell>
          <cell r="G21">
            <v>25939.46432158244</v>
          </cell>
          <cell r="H21">
            <v>25110.497267330084</v>
          </cell>
          <cell r="I21">
            <v>24585.477167922134</v>
          </cell>
          <cell r="J21">
            <v>24475.199164749691</v>
          </cell>
          <cell r="K21">
            <v>23396.59844427093</v>
          </cell>
          <cell r="L21">
            <v>24441.974480644782</v>
          </cell>
          <cell r="M21">
            <v>26153.697851719615</v>
          </cell>
          <cell r="N21">
            <v>27708.080060052533</v>
          </cell>
          <cell r="O21">
            <v>28841.681750019725</v>
          </cell>
          <cell r="P21">
            <v>29994.623362414841</v>
          </cell>
          <cell r="Q21">
            <v>30655.869570787367</v>
          </cell>
          <cell r="R21">
            <v>30858.49545559131</v>
          </cell>
          <cell r="S21">
            <v>31041.891347721859</v>
          </cell>
          <cell r="T21">
            <v>31183.700455547896</v>
          </cell>
          <cell r="U21">
            <v>30979.146805098779</v>
          </cell>
          <cell r="V21">
            <v>30906.570024005061</v>
          </cell>
          <cell r="W21">
            <v>34364.223103681652</v>
          </cell>
          <cell r="X21">
            <v>35912.131303563772</v>
          </cell>
          <cell r="Y21">
            <v>35938.705375276426</v>
          </cell>
          <cell r="Z21">
            <v>35047.294638781801</v>
          </cell>
          <cell r="AA21">
            <v>32950.328366501926</v>
          </cell>
          <cell r="AB21">
            <v>30444.171037320368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28151.285035342873</v>
          </cell>
          <cell r="F23">
            <v>26663.556516050845</v>
          </cell>
          <cell r="G23">
            <v>25542.406796885367</v>
          </cell>
          <cell r="H23">
            <v>24714.972973242755</v>
          </cell>
          <cell r="I23">
            <v>24590.601430162642</v>
          </cell>
          <cell r="J23">
            <v>25491.015461847117</v>
          </cell>
          <cell r="K23">
            <v>25315.955545201668</v>
          </cell>
          <cell r="L23">
            <v>28217.863843552852</v>
          </cell>
          <cell r="M23">
            <v>31144.624605045788</v>
          </cell>
          <cell r="N23">
            <v>32676.381320271666</v>
          </cell>
          <cell r="O23">
            <v>34413.846339215823</v>
          </cell>
          <cell r="P23">
            <v>35545.008720162667</v>
          </cell>
          <cell r="Q23">
            <v>34265.726233952795</v>
          </cell>
          <cell r="R23">
            <v>35631.274115346867</v>
          </cell>
          <cell r="S23">
            <v>37286.416692565297</v>
          </cell>
          <cell r="T23">
            <v>37464.26457056449</v>
          </cell>
          <cell r="U23">
            <v>36813.179855845672</v>
          </cell>
          <cell r="V23">
            <v>35240.661627785856</v>
          </cell>
          <cell r="W23">
            <v>36821.512867566475</v>
          </cell>
          <cell r="X23">
            <v>37281.744029242494</v>
          </cell>
          <cell r="Y23">
            <v>36611.478484072402</v>
          </cell>
          <cell r="Z23">
            <v>35190.843522013187</v>
          </cell>
          <cell r="AA23">
            <v>32968.277752407506</v>
          </cell>
          <cell r="AB23">
            <v>30468.148335407906</v>
          </cell>
        </row>
        <row r="24">
          <cell r="D24">
            <v>4</v>
          </cell>
          <cell r="E24">
            <v>28233.061466221279</v>
          </cell>
          <cell r="F24">
            <v>26698.103524130438</v>
          </cell>
          <cell r="G24">
            <v>25616.878740378463</v>
          </cell>
          <cell r="H24">
            <v>24761.228399476197</v>
          </cell>
          <cell r="I24">
            <v>24250.443912109098</v>
          </cell>
          <cell r="J24">
            <v>24172.359412204743</v>
          </cell>
          <cell r="K24">
            <v>23818.299832971265</v>
          </cell>
          <cell r="L24">
            <v>26096.895269062614</v>
          </cell>
          <cell r="M24">
            <v>28843.587784049687</v>
          </cell>
          <cell r="N24">
            <v>30563.62731997807</v>
          </cell>
          <cell r="O24">
            <v>31933.780713058775</v>
          </cell>
          <cell r="P24">
            <v>32809.709954565493</v>
          </cell>
          <cell r="Q24">
            <v>32344.427058465863</v>
          </cell>
          <cell r="R24">
            <v>32007.447226401764</v>
          </cell>
          <cell r="S24">
            <v>31814.963350310587</v>
          </cell>
          <cell r="T24">
            <v>32600.703889209442</v>
          </cell>
          <cell r="U24">
            <v>31495.620617122924</v>
          </cell>
          <cell r="V24">
            <v>31239.913509933394</v>
          </cell>
          <cell r="W24">
            <v>34510.644678169119</v>
          </cell>
          <cell r="X24">
            <v>35025.433726210547</v>
          </cell>
          <cell r="Y24">
            <v>34174.866564842981</v>
          </cell>
          <cell r="Z24">
            <v>33080.285135076861</v>
          </cell>
          <cell r="AA24">
            <v>31628.50827525933</v>
          </cell>
          <cell r="AB24">
            <v>29783.336373482398</v>
          </cell>
        </row>
        <row r="25">
          <cell r="D25">
            <v>4</v>
          </cell>
          <cell r="E25">
            <v>28006.928022084932</v>
          </cell>
          <cell r="F25">
            <v>26573.160241343427</v>
          </cell>
          <cell r="G25">
            <v>25293.366282359104</v>
          </cell>
          <cell r="H25">
            <v>24395.490621470679</v>
          </cell>
          <cell r="I25">
            <v>23979.13116331946</v>
          </cell>
          <cell r="J25">
            <v>23707.891408427091</v>
          </cell>
          <cell r="K25">
            <v>22549.686724509826</v>
          </cell>
          <cell r="L25">
            <v>23634.108599722356</v>
          </cell>
          <cell r="M25">
            <v>25205.32760056125</v>
          </cell>
          <cell r="N25">
            <v>26641.982351798684</v>
          </cell>
          <cell r="O25">
            <v>27731.099342945236</v>
          </cell>
          <cell r="P25">
            <v>28760.760330402944</v>
          </cell>
          <cell r="Q25">
            <v>29277.982920747978</v>
          </cell>
          <cell r="R25">
            <v>29410.139608924521</v>
          </cell>
          <cell r="S25">
            <v>29561.388325183929</v>
          </cell>
          <cell r="T25">
            <v>29772.142532520153</v>
          </cell>
          <cell r="U25">
            <v>29404.242774252536</v>
          </cell>
          <cell r="V25">
            <v>29474.980046622371</v>
          </cell>
          <cell r="W25">
            <v>32648.624382761576</v>
          </cell>
          <cell r="X25">
            <v>33822.273255675682</v>
          </cell>
          <cell r="Y25">
            <v>33761.499237887132</v>
          </cell>
          <cell r="Z25">
            <v>33107.422162864677</v>
          </cell>
          <cell r="AA25">
            <v>31347.626933807496</v>
          </cell>
          <cell r="AB25">
            <v>29038.53819403646</v>
          </cell>
        </row>
        <row r="26">
          <cell r="D26">
            <v>1</v>
          </cell>
          <cell r="E26">
            <v>28006.928022084932</v>
          </cell>
          <cell r="F26">
            <v>26573.160241343427</v>
          </cell>
          <cell r="G26">
            <v>25293.366282359104</v>
          </cell>
          <cell r="H26">
            <v>24395.490621470679</v>
          </cell>
          <cell r="I26">
            <v>23979.13116331946</v>
          </cell>
          <cell r="J26">
            <v>23707.891408427091</v>
          </cell>
          <cell r="K26">
            <v>22549.686724509826</v>
          </cell>
          <cell r="L26">
            <v>23634.108599722356</v>
          </cell>
          <cell r="M26">
            <v>25205.32760056125</v>
          </cell>
          <cell r="N26">
            <v>26641.982351798684</v>
          </cell>
          <cell r="O26">
            <v>27731.099342945236</v>
          </cell>
          <cell r="P26">
            <v>28760.760330402944</v>
          </cell>
          <cell r="Q26">
            <v>29277.982920747978</v>
          </cell>
          <cell r="R26">
            <v>29410.139608924521</v>
          </cell>
          <cell r="S26">
            <v>29561.388325183929</v>
          </cell>
          <cell r="T26">
            <v>29772.142532520153</v>
          </cell>
          <cell r="U26">
            <v>29404.242774252536</v>
          </cell>
          <cell r="V26">
            <v>29474.980046622371</v>
          </cell>
          <cell r="W26">
            <v>32648.624382761576</v>
          </cell>
          <cell r="X26">
            <v>33822.273255675682</v>
          </cell>
          <cell r="Y26">
            <v>33761.499237887132</v>
          </cell>
          <cell r="Z26">
            <v>33107.422162864677</v>
          </cell>
          <cell r="AA26">
            <v>31347.626933807496</v>
          </cell>
          <cell r="AB26">
            <v>29038.53819403646</v>
          </cell>
        </row>
        <row r="27">
          <cell r="D27">
            <v>19</v>
          </cell>
          <cell r="E27">
            <v>27760.685060993615</v>
          </cell>
          <cell r="F27">
            <v>26563.803627681955</v>
          </cell>
          <cell r="G27">
            <v>25390.663027499013</v>
          </cell>
          <cell r="H27">
            <v>24734.961701162192</v>
          </cell>
          <cell r="I27">
            <v>24578.286573905403</v>
          </cell>
          <cell r="J27">
            <v>24323.139099072388</v>
          </cell>
          <cell r="K27">
            <v>24407.580013556202</v>
          </cell>
          <cell r="L27">
            <v>27151.138496754756</v>
          </cell>
          <cell r="M27">
            <v>30265.228502083777</v>
          </cell>
          <cell r="N27">
            <v>32105.289641434247</v>
          </cell>
          <cell r="O27">
            <v>33634.979868410548</v>
          </cell>
          <cell r="P27">
            <v>34598.75241209723</v>
          </cell>
          <cell r="Q27">
            <v>33955.757247806141</v>
          </cell>
          <cell r="R27">
            <v>33548.549278151186</v>
          </cell>
          <cell r="S27">
            <v>33781.294800175572</v>
          </cell>
          <cell r="T27">
            <v>33776.284410069369</v>
          </cell>
          <cell r="U27">
            <v>33245.089154825073</v>
          </cell>
          <cell r="V27">
            <v>33053.097418644975</v>
          </cell>
          <cell r="W27">
            <v>36406.261530329073</v>
          </cell>
          <cell r="X27">
            <v>36695.937637153758</v>
          </cell>
          <cell r="Y27">
            <v>35797.265597293212</v>
          </cell>
          <cell r="Z27">
            <v>34553.673326971228</v>
          </cell>
          <cell r="AA27">
            <v>32854.110243736082</v>
          </cell>
          <cell r="AB27">
            <v>30795.361417444088</v>
          </cell>
        </row>
        <row r="28">
          <cell r="D28">
            <v>5</v>
          </cell>
          <cell r="E28">
            <v>26802.555835209612</v>
          </cell>
          <cell r="F28">
            <v>25481.584476046406</v>
          </cell>
          <cell r="G28">
            <v>24478.163860470879</v>
          </cell>
          <cell r="H28">
            <v>23738.276165744461</v>
          </cell>
          <cell r="I28">
            <v>23760.445268274769</v>
          </cell>
          <cell r="J28">
            <v>24053.483304645626</v>
          </cell>
          <cell r="K28">
            <v>24593.924691478496</v>
          </cell>
          <cell r="L28">
            <v>27270.063808701518</v>
          </cell>
          <cell r="M28">
            <v>30020.035253726011</v>
          </cell>
          <cell r="N28">
            <v>31621.939279565158</v>
          </cell>
          <cell r="O28">
            <v>33058.56853094777</v>
          </cell>
          <cell r="P28">
            <v>34050.313794748094</v>
          </cell>
          <cell r="Q28">
            <v>33118.782137848866</v>
          </cell>
          <cell r="R28">
            <v>33772.346509731076</v>
          </cell>
          <cell r="S28">
            <v>34897.759528475792</v>
          </cell>
          <cell r="T28">
            <v>34972.766152190641</v>
          </cell>
          <cell r="U28">
            <v>34421.994887815148</v>
          </cell>
          <cell r="V28">
            <v>33670.179077595109</v>
          </cell>
          <cell r="W28">
            <v>35990.503091242448</v>
          </cell>
          <cell r="X28">
            <v>36301.648977106968</v>
          </cell>
          <cell r="Y28">
            <v>35356.123158964212</v>
          </cell>
          <cell r="Z28">
            <v>33805.53231032328</v>
          </cell>
          <cell r="AA28">
            <v>31370.857175671499</v>
          </cell>
          <cell r="AB28">
            <v>28682.246309552476</v>
          </cell>
        </row>
        <row r="29">
          <cell r="D29">
            <v>4</v>
          </cell>
          <cell r="E29">
            <v>28885.156177534111</v>
          </cell>
          <cell r="F29">
            <v>27422.497610283743</v>
          </cell>
          <cell r="G29">
            <v>26210.844943775992</v>
          </cell>
          <cell r="H29">
            <v>25384.317023298325</v>
          </cell>
          <cell r="I29">
            <v>24900.054436221275</v>
          </cell>
          <cell r="J29">
            <v>24161.621792329006</v>
          </cell>
          <cell r="K29">
            <v>23421.7637131376</v>
          </cell>
          <cell r="L29">
            <v>24733.820971863242</v>
          </cell>
          <cell r="M29">
            <v>26467.834842046032</v>
          </cell>
          <cell r="N29">
            <v>28031.405355227773</v>
          </cell>
          <cell r="O29">
            <v>29267.551447684953</v>
          </cell>
          <cell r="P29">
            <v>30276.22642812851</v>
          </cell>
          <cell r="Q29">
            <v>30740.597701159411</v>
          </cell>
          <cell r="R29">
            <v>30826.419412525491</v>
          </cell>
          <cell r="S29">
            <v>30657.304320611267</v>
          </cell>
          <cell r="T29">
            <v>30520.970157794767</v>
          </cell>
          <cell r="U29">
            <v>30209.528739972553</v>
          </cell>
          <cell r="V29">
            <v>30498.123453930431</v>
          </cell>
          <cell r="W29">
            <v>34075.849014968706</v>
          </cell>
          <cell r="X29">
            <v>35100.334160542043</v>
          </cell>
          <cell r="Y29">
            <v>34863.243741882208</v>
          </cell>
          <cell r="Z29">
            <v>33793.176512436883</v>
          </cell>
          <cell r="AA29">
            <v>31732.257823589112</v>
          </cell>
          <cell r="AB29">
            <v>29272.609198062702</v>
          </cell>
        </row>
        <row r="30">
          <cell r="D30">
            <v>2</v>
          </cell>
          <cell r="E30">
            <v>28885.156177534111</v>
          </cell>
          <cell r="F30">
            <v>27422.497610283743</v>
          </cell>
          <cell r="G30">
            <v>26210.844943775992</v>
          </cell>
          <cell r="H30">
            <v>25384.317023298325</v>
          </cell>
          <cell r="I30">
            <v>24900.054436221275</v>
          </cell>
          <cell r="J30">
            <v>24161.621792329006</v>
          </cell>
          <cell r="K30">
            <v>23421.7637131376</v>
          </cell>
          <cell r="L30">
            <v>24733.820971863242</v>
          </cell>
          <cell r="M30">
            <v>26467.834842046032</v>
          </cell>
          <cell r="N30">
            <v>28031.405355227773</v>
          </cell>
          <cell r="O30">
            <v>29267.551447684953</v>
          </cell>
          <cell r="P30">
            <v>30276.22642812851</v>
          </cell>
          <cell r="Q30">
            <v>30740.597701159411</v>
          </cell>
          <cell r="R30">
            <v>30826.419412525491</v>
          </cell>
          <cell r="S30">
            <v>30657.304320611267</v>
          </cell>
          <cell r="T30">
            <v>30520.970157794767</v>
          </cell>
          <cell r="U30">
            <v>30209.528739972553</v>
          </cell>
          <cell r="V30">
            <v>30498.123453930431</v>
          </cell>
          <cell r="W30">
            <v>34075.849014968706</v>
          </cell>
          <cell r="X30">
            <v>35100.334160542043</v>
          </cell>
          <cell r="Y30">
            <v>34863.243741882208</v>
          </cell>
          <cell r="Z30">
            <v>33793.176512436883</v>
          </cell>
          <cell r="AA30">
            <v>31732.257823589112</v>
          </cell>
          <cell r="AB30">
            <v>29272.609198062702</v>
          </cell>
        </row>
        <row r="31">
          <cell r="D31">
            <v>21</v>
          </cell>
          <cell r="E31">
            <v>28179.23968765833</v>
          </cell>
          <cell r="F31">
            <v>26712.946949690839</v>
          </cell>
          <cell r="G31">
            <v>25529.745582012831</v>
          </cell>
          <cell r="H31">
            <v>24517.841237294178</v>
          </cell>
          <cell r="I31">
            <v>24245.079232087261</v>
          </cell>
          <cell r="J31">
            <v>23861.075879927746</v>
          </cell>
          <cell r="K31">
            <v>24213.736952609706</v>
          </cell>
          <cell r="L31">
            <v>26818.165239821479</v>
          </cell>
          <cell r="M31">
            <v>29853.569737715075</v>
          </cell>
          <cell r="N31">
            <v>31528.226473226081</v>
          </cell>
          <cell r="O31">
            <v>32591.173220269644</v>
          </cell>
          <cell r="P31">
            <v>33372.276491460922</v>
          </cell>
          <cell r="Q31">
            <v>32798.952043868165</v>
          </cell>
          <cell r="R31">
            <v>32208.991387006565</v>
          </cell>
          <cell r="S31">
            <v>32187.307502486681</v>
          </cell>
          <cell r="T31">
            <v>32005.905504453727</v>
          </cell>
          <cell r="U31">
            <v>31571.051416435315</v>
          </cell>
          <cell r="V31">
            <v>31764.662870839315</v>
          </cell>
          <cell r="W31">
            <v>35212.203068292976</v>
          </cell>
          <cell r="X31">
            <v>35539.923301471739</v>
          </cell>
          <cell r="Y31">
            <v>34395.519406327046</v>
          </cell>
          <cell r="Z31">
            <v>32975.988061297423</v>
          </cell>
          <cell r="AA31">
            <v>31109.229829151205</v>
          </cell>
          <cell r="AB31">
            <v>29018.268304709825</v>
          </cell>
        </row>
        <row r="32">
          <cell r="D32">
            <v>4</v>
          </cell>
          <cell r="E32">
            <v>25978.280934203052</v>
          </cell>
          <cell r="F32">
            <v>24693.210388941032</v>
          </cell>
          <cell r="G32">
            <v>23752.656347333184</v>
          </cell>
          <cell r="H32">
            <v>23104.80957619792</v>
          </cell>
          <cell r="I32">
            <v>23021.680704197355</v>
          </cell>
          <cell r="J32">
            <v>22992.740186114133</v>
          </cell>
          <cell r="K32">
            <v>23342.948203018979</v>
          </cell>
          <cell r="L32">
            <v>26078.559765930913</v>
          </cell>
          <cell r="M32">
            <v>28753.440759552519</v>
          </cell>
          <cell r="N32">
            <v>30298.03627940339</v>
          </cell>
          <cell r="O32">
            <v>31806.945391533354</v>
          </cell>
          <cell r="P32">
            <v>32893.794752640679</v>
          </cell>
          <cell r="Q32">
            <v>32176.199390411341</v>
          </cell>
          <cell r="R32">
            <v>32519.201591490171</v>
          </cell>
          <cell r="S32">
            <v>33375.156896543536</v>
          </cell>
          <cell r="T32">
            <v>33333.358427630294</v>
          </cell>
          <cell r="U32">
            <v>32853.214516152031</v>
          </cell>
          <cell r="V32">
            <v>32215.042364252036</v>
          </cell>
          <cell r="W32">
            <v>34561.56227489555</v>
          </cell>
          <cell r="X32">
            <v>35212.807821366201</v>
          </cell>
          <cell r="Y32">
            <v>34253.790918488303</v>
          </cell>
          <cell r="Z32">
            <v>32679.134177120482</v>
          </cell>
          <cell r="AA32">
            <v>30312.042395777731</v>
          </cell>
          <cell r="AB32">
            <v>27843.403942491343</v>
          </cell>
        </row>
        <row r="33">
          <cell r="D33">
            <v>4</v>
          </cell>
          <cell r="E33">
            <v>25959.145562876667</v>
          </cell>
          <cell r="F33">
            <v>24942.590075251253</v>
          </cell>
          <cell r="G33">
            <v>23900.057594257654</v>
          </cell>
          <cell r="H33">
            <v>23345.732875697431</v>
          </cell>
          <cell r="I33">
            <v>23167.926892551081</v>
          </cell>
          <cell r="J33">
            <v>22592.947293654317</v>
          </cell>
          <cell r="K33">
            <v>22499.000476658664</v>
          </cell>
          <cell r="L33">
            <v>24242.406351097921</v>
          </cell>
          <cell r="M33">
            <v>26263.878194583838</v>
          </cell>
          <cell r="N33">
            <v>27835.676859874857</v>
          </cell>
          <cell r="O33">
            <v>29030.621304689568</v>
          </cell>
          <cell r="P33">
            <v>30515.276900046472</v>
          </cell>
          <cell r="Q33">
            <v>31346.994967601931</v>
          </cell>
          <cell r="R33">
            <v>31504.600900160334</v>
          </cell>
          <cell r="S33">
            <v>31540.899833941679</v>
          </cell>
          <cell r="T33">
            <v>31602.717631489562</v>
          </cell>
          <cell r="U33">
            <v>31280.286787799479</v>
          </cell>
          <cell r="V33">
            <v>31288.440724743505</v>
          </cell>
          <cell r="W33">
            <v>34970.484430872741</v>
          </cell>
          <cell r="X33">
            <v>36297.796981966065</v>
          </cell>
          <cell r="Y33">
            <v>36076.795372115252</v>
          </cell>
          <cell r="Z33">
            <v>34861.205396547703</v>
          </cell>
          <cell r="AA33">
            <v>32631.766912825839</v>
          </cell>
          <cell r="AB33">
            <v>30026.511462443705</v>
          </cell>
        </row>
        <row r="34">
          <cell r="D34">
            <v>2</v>
          </cell>
          <cell r="E34">
            <v>25959.145562876667</v>
          </cell>
          <cell r="F34">
            <v>24942.590075251253</v>
          </cell>
          <cell r="G34">
            <v>23900.057594257654</v>
          </cell>
          <cell r="H34">
            <v>23345.732875697431</v>
          </cell>
          <cell r="I34">
            <v>23167.926892551081</v>
          </cell>
          <cell r="J34">
            <v>22592.947293654317</v>
          </cell>
          <cell r="K34">
            <v>22499.000476658664</v>
          </cell>
          <cell r="L34">
            <v>24242.406351097921</v>
          </cell>
          <cell r="M34">
            <v>26263.878194583838</v>
          </cell>
          <cell r="N34">
            <v>27835.676859874857</v>
          </cell>
          <cell r="O34">
            <v>29030.621304689568</v>
          </cell>
          <cell r="P34">
            <v>30515.276900046472</v>
          </cell>
          <cell r="Q34">
            <v>31346.994967601931</v>
          </cell>
          <cell r="R34">
            <v>31504.600900160334</v>
          </cell>
          <cell r="S34">
            <v>31540.899833941679</v>
          </cell>
          <cell r="T34">
            <v>31602.717631489562</v>
          </cell>
          <cell r="U34">
            <v>31280.286787799479</v>
          </cell>
          <cell r="V34">
            <v>31288.440724743505</v>
          </cell>
          <cell r="W34">
            <v>34970.484430872741</v>
          </cell>
          <cell r="X34">
            <v>36297.796981966065</v>
          </cell>
          <cell r="Y34">
            <v>36076.795372115252</v>
          </cell>
          <cell r="Z34">
            <v>34861.205396547703</v>
          </cell>
          <cell r="AA34">
            <v>32631.766912825839</v>
          </cell>
          <cell r="AB34">
            <v>30026.511462443705</v>
          </cell>
        </row>
        <row r="35">
          <cell r="D35">
            <v>20</v>
          </cell>
          <cell r="E35">
            <v>25576.526889138218</v>
          </cell>
          <cell r="F35">
            <v>24306.779175601558</v>
          </cell>
          <cell r="G35">
            <v>23368.637682563673</v>
          </cell>
          <cell r="H35">
            <v>22742.607538647811</v>
          </cell>
          <cell r="I35">
            <v>22575.381086614307</v>
          </cell>
          <cell r="J35">
            <v>22335.528752850554</v>
          </cell>
          <cell r="K35">
            <v>22708.217285461982</v>
          </cell>
          <cell r="L35">
            <v>25443.522001143156</v>
          </cell>
          <cell r="M35">
            <v>28451.170791981407</v>
          </cell>
          <cell r="N35">
            <v>30300.477608040899</v>
          </cell>
          <cell r="O35">
            <v>31907.502793154927</v>
          </cell>
          <cell r="P35">
            <v>32791.928284425856</v>
          </cell>
          <cell r="Q35">
            <v>32307.819485842039</v>
          </cell>
          <cell r="R35">
            <v>31753.093030313503</v>
          </cell>
          <cell r="S35">
            <v>31779.878178300427</v>
          </cell>
          <cell r="T35">
            <v>31688.49896360487</v>
          </cell>
          <cell r="U35">
            <v>31367.457497227751</v>
          </cell>
          <cell r="V35">
            <v>31400.960939857243</v>
          </cell>
          <cell r="W35">
            <v>34106.110627437403</v>
          </cell>
          <cell r="X35">
            <v>34592.976127589252</v>
          </cell>
          <cell r="Y35">
            <v>33387.674606727145</v>
          </cell>
          <cell r="Z35">
            <v>32012.043881004844</v>
          </cell>
          <cell r="AA35">
            <v>30314.27997957751</v>
          </cell>
          <cell r="AB35">
            <v>28395.980386355492</v>
          </cell>
        </row>
        <row r="36">
          <cell r="D36">
            <v>4</v>
          </cell>
          <cell r="E36">
            <v>26338.958407578219</v>
          </cell>
          <cell r="F36">
            <v>25042.789237002729</v>
          </cell>
          <cell r="G36">
            <v>24057.860181356293</v>
          </cell>
          <cell r="H36">
            <v>23374.44811372953</v>
          </cell>
          <cell r="I36">
            <v>23294.025118571077</v>
          </cell>
          <cell r="J36">
            <v>23555.454863207713</v>
          </cell>
          <cell r="K36">
            <v>23715.326334123907</v>
          </cell>
          <cell r="L36">
            <v>26383.244764342457</v>
          </cell>
          <cell r="M36">
            <v>29201.745921165861</v>
          </cell>
          <cell r="N36">
            <v>30832.657819682663</v>
          </cell>
          <cell r="O36">
            <v>32371.616647056966</v>
          </cell>
          <cell r="P36">
            <v>33375.96432893561</v>
          </cell>
          <cell r="Q36">
            <v>32526.079126131252</v>
          </cell>
          <cell r="R36">
            <v>33308.483214405074</v>
          </cell>
          <cell r="S36">
            <v>34439.481698164411</v>
          </cell>
          <cell r="T36">
            <v>34484.714457139999</v>
          </cell>
          <cell r="U36">
            <v>33842.868862839983</v>
          </cell>
          <cell r="V36">
            <v>32730.519979201395</v>
          </cell>
          <cell r="W36">
            <v>34654.590646518503</v>
          </cell>
          <cell r="X36">
            <v>35668.594974240674</v>
          </cell>
          <cell r="Y36">
            <v>34855.192244265076</v>
          </cell>
          <cell r="Z36">
            <v>33377.925747693509</v>
          </cell>
          <cell r="AA36">
            <v>30969.637736851935</v>
          </cell>
          <cell r="AB36">
            <v>28449.468526979585</v>
          </cell>
        </row>
        <row r="37">
          <cell r="D37">
            <v>4</v>
          </cell>
          <cell r="E37">
            <v>25071.002266091164</v>
          </cell>
          <cell r="F37">
            <v>24057.692195138636</v>
          </cell>
          <cell r="G37">
            <v>23229.687586243548</v>
          </cell>
          <cell r="H37">
            <v>22693.216527141787</v>
          </cell>
          <cell r="I37">
            <v>22479.225779124197</v>
          </cell>
          <cell r="J37">
            <v>21849.750733956731</v>
          </cell>
          <cell r="K37">
            <v>21562.260411510422</v>
          </cell>
          <cell r="L37">
            <v>23318.806626552985</v>
          </cell>
          <cell r="M37">
            <v>25350.049458204037</v>
          </cell>
          <cell r="N37">
            <v>26615.742777952688</v>
          </cell>
          <cell r="O37">
            <v>28116.706504649308</v>
          </cell>
          <cell r="P37">
            <v>29227.476838919159</v>
          </cell>
          <cell r="Q37">
            <v>29793.993755189138</v>
          </cell>
          <cell r="R37">
            <v>29675.897800509221</v>
          </cell>
          <cell r="S37">
            <v>29429.051697087794</v>
          </cell>
          <cell r="T37">
            <v>29202.114924304322</v>
          </cell>
          <cell r="U37">
            <v>28978.791525095745</v>
          </cell>
          <cell r="V37">
            <v>29415.93925982753</v>
          </cell>
          <cell r="W37">
            <v>32967.030654955292</v>
          </cell>
          <cell r="X37">
            <v>34277.114372063072</v>
          </cell>
          <cell r="Y37">
            <v>33842.156018649774</v>
          </cell>
          <cell r="Z37">
            <v>32591.76939602206</v>
          </cell>
          <cell r="AA37">
            <v>30389.227938973549</v>
          </cell>
          <cell r="AB37">
            <v>27863.536726441671</v>
          </cell>
        </row>
        <row r="38">
          <cell r="D38">
            <v>2</v>
          </cell>
          <cell r="E38">
            <v>25071.002266091164</v>
          </cell>
          <cell r="F38">
            <v>24057.692195138636</v>
          </cell>
          <cell r="G38">
            <v>23229.687586243548</v>
          </cell>
          <cell r="H38">
            <v>22693.216527141787</v>
          </cell>
          <cell r="I38">
            <v>22479.225779124197</v>
          </cell>
          <cell r="J38">
            <v>21849.750733956731</v>
          </cell>
          <cell r="K38">
            <v>21562.260411510422</v>
          </cell>
          <cell r="L38">
            <v>23318.806626552985</v>
          </cell>
          <cell r="M38">
            <v>25350.049458204037</v>
          </cell>
          <cell r="N38">
            <v>26615.742777952688</v>
          </cell>
          <cell r="O38">
            <v>28116.706504649308</v>
          </cell>
          <cell r="P38">
            <v>29227.476838919159</v>
          </cell>
          <cell r="Q38">
            <v>29793.993755189138</v>
          </cell>
          <cell r="R38">
            <v>29675.897800509221</v>
          </cell>
          <cell r="S38">
            <v>29429.051697087794</v>
          </cell>
          <cell r="T38">
            <v>29202.114924304322</v>
          </cell>
          <cell r="U38">
            <v>28978.791525095745</v>
          </cell>
          <cell r="V38">
            <v>29415.93925982753</v>
          </cell>
          <cell r="W38">
            <v>32967.030654955292</v>
          </cell>
          <cell r="X38">
            <v>34277.114372063072</v>
          </cell>
          <cell r="Y38">
            <v>33842.156018649774</v>
          </cell>
          <cell r="Z38">
            <v>32591.76939602206</v>
          </cell>
          <cell r="AA38">
            <v>30389.227938973549</v>
          </cell>
          <cell r="AB38">
            <v>27863.536726441671</v>
          </cell>
        </row>
        <row r="39">
          <cell r="D39">
            <v>19</v>
          </cell>
          <cell r="E39">
            <v>26157.465826009986</v>
          </cell>
          <cell r="F39">
            <v>24898.63150111245</v>
          </cell>
          <cell r="G39">
            <v>24068.793147821507</v>
          </cell>
          <cell r="H39">
            <v>23454.476096795883</v>
          </cell>
          <cell r="I39">
            <v>23359.19400602434</v>
          </cell>
          <cell r="J39">
            <v>23250.315479525376</v>
          </cell>
          <cell r="K39">
            <v>23464.348424637461</v>
          </cell>
          <cell r="L39">
            <v>26201.543891882804</v>
          </cell>
          <cell r="M39">
            <v>29385.989738086573</v>
          </cell>
          <cell r="N39">
            <v>31190.128999787332</v>
          </cell>
          <cell r="O39">
            <v>32812.909956629264</v>
          </cell>
          <cell r="P39">
            <v>33551.275808283965</v>
          </cell>
          <cell r="Q39">
            <v>33113.591008081661</v>
          </cell>
          <cell r="R39">
            <v>32654.378549497251</v>
          </cell>
          <cell r="S39">
            <v>32707.898511079398</v>
          </cell>
          <cell r="T39">
            <v>32797.452223430169</v>
          </cell>
          <cell r="U39">
            <v>32338.869905383825</v>
          </cell>
          <cell r="V39">
            <v>32266.218786289428</v>
          </cell>
          <cell r="W39">
            <v>34999.15607695761</v>
          </cell>
          <cell r="X39">
            <v>35929.195853455931</v>
          </cell>
          <cell r="Y39">
            <v>34785.079256513949</v>
          </cell>
          <cell r="Z39">
            <v>33242.767170735962</v>
          </cell>
          <cell r="AA39">
            <v>31280.455447503802</v>
          </cell>
          <cell r="AB39">
            <v>29189.898399470992</v>
          </cell>
        </row>
        <row r="40">
          <cell r="D40">
            <v>5</v>
          </cell>
          <cell r="E40">
            <v>27822.247859342118</v>
          </cell>
          <cell r="F40">
            <v>26365.083309401125</v>
          </cell>
          <cell r="G40">
            <v>25297.068743513497</v>
          </cell>
          <cell r="H40">
            <v>24543.532471314902</v>
          </cell>
          <cell r="I40">
            <v>24491.575342699118</v>
          </cell>
          <cell r="J40">
            <v>24940.210173826406</v>
          </cell>
          <cell r="K40">
            <v>25086.48435553964</v>
          </cell>
          <cell r="L40">
            <v>27821.847600651203</v>
          </cell>
          <cell r="M40">
            <v>30766.121541131048</v>
          </cell>
          <cell r="N40">
            <v>32439.449393392202</v>
          </cell>
          <cell r="O40">
            <v>34130.599280890267</v>
          </cell>
          <cell r="P40">
            <v>35350.990738161323</v>
          </cell>
          <cell r="Q40">
            <v>34427.502612608376</v>
          </cell>
          <cell r="R40">
            <v>35117.585162598356</v>
          </cell>
          <cell r="S40">
            <v>36277.223133932304</v>
          </cell>
          <cell r="T40">
            <v>36277.559080367166</v>
          </cell>
          <cell r="U40">
            <v>35585.376407616212</v>
          </cell>
          <cell r="V40">
            <v>34564.262094356542</v>
          </cell>
          <cell r="W40">
            <v>36939.660967318807</v>
          </cell>
          <cell r="X40">
            <v>37700.831803436806</v>
          </cell>
          <cell r="Y40">
            <v>36903.908440832063</v>
          </cell>
          <cell r="Z40">
            <v>35334.558682213748</v>
          </cell>
          <cell r="AA40">
            <v>32754.855730871775</v>
          </cell>
          <cell r="AB40">
            <v>29977.843034181253</v>
          </cell>
        </row>
        <row r="41">
          <cell r="D41">
            <v>5</v>
          </cell>
          <cell r="E41">
            <v>26242.371022626761</v>
          </cell>
          <cell r="F41">
            <v>25188.243676348611</v>
          </cell>
          <cell r="G41">
            <v>24295.947086490331</v>
          </cell>
          <cell r="H41">
            <v>23479.115877835375</v>
          </cell>
          <cell r="I41">
            <v>23204.873685135153</v>
          </cell>
          <cell r="J41">
            <v>22843.267007835861</v>
          </cell>
          <cell r="K41">
            <v>22407.90551991151</v>
          </cell>
          <cell r="L41">
            <v>24078.769301339977</v>
          </cell>
          <cell r="M41">
            <v>26262.283993159526</v>
          </cell>
          <cell r="N41">
            <v>28024.27154298528</v>
          </cell>
          <cell r="O41">
            <v>29287.976407924049</v>
          </cell>
          <cell r="P41">
            <v>29928.451477756156</v>
          </cell>
          <cell r="Q41">
            <v>31027.362299332985</v>
          </cell>
          <cell r="R41">
            <v>31099.546108322469</v>
          </cell>
          <cell r="S41">
            <v>31044.331272940151</v>
          </cell>
          <cell r="T41">
            <v>31133.355266309194</v>
          </cell>
          <cell r="U41">
            <v>30890.206310747188</v>
          </cell>
          <cell r="V41">
            <v>30610.400083001819</v>
          </cell>
          <cell r="W41">
            <v>33828.860469132385</v>
          </cell>
          <cell r="X41">
            <v>35684.554380148904</v>
          </cell>
          <cell r="Y41">
            <v>35202.007809875176</v>
          </cell>
          <cell r="Z41">
            <v>33996.233701167228</v>
          </cell>
          <cell r="AA41">
            <v>31956.909613057862</v>
          </cell>
          <cell r="AB41">
            <v>29686.272696551983</v>
          </cell>
        </row>
        <row r="42">
          <cell r="D42">
            <v>2</v>
          </cell>
          <cell r="E42">
            <v>26242.371022626761</v>
          </cell>
          <cell r="F42">
            <v>25188.243676348611</v>
          </cell>
          <cell r="G42">
            <v>24295.947086490331</v>
          </cell>
          <cell r="H42">
            <v>23479.115877835375</v>
          </cell>
          <cell r="I42">
            <v>23204.873685135153</v>
          </cell>
          <cell r="J42">
            <v>22843.267007835861</v>
          </cell>
          <cell r="K42">
            <v>22407.90551991151</v>
          </cell>
          <cell r="L42">
            <v>24078.769301339977</v>
          </cell>
          <cell r="M42">
            <v>26262.283993159526</v>
          </cell>
          <cell r="N42">
            <v>28024.27154298528</v>
          </cell>
          <cell r="O42">
            <v>29287.976407924049</v>
          </cell>
          <cell r="P42">
            <v>29928.451477756156</v>
          </cell>
          <cell r="Q42">
            <v>31027.362299332985</v>
          </cell>
          <cell r="R42">
            <v>31099.546108322469</v>
          </cell>
          <cell r="S42">
            <v>31044.331272940151</v>
          </cell>
          <cell r="T42">
            <v>31133.355266309194</v>
          </cell>
          <cell r="U42">
            <v>30890.206310747188</v>
          </cell>
          <cell r="V42">
            <v>30610.400083001819</v>
          </cell>
          <cell r="W42">
            <v>33828.860469132385</v>
          </cell>
          <cell r="X42">
            <v>35684.554380148904</v>
          </cell>
          <cell r="Y42">
            <v>35202.007809875176</v>
          </cell>
          <cell r="Z42">
            <v>33996.233701167228</v>
          </cell>
          <cell r="AA42">
            <v>31956.909613057862</v>
          </cell>
          <cell r="AB42">
            <v>29686.272696551983</v>
          </cell>
        </row>
        <row r="43">
          <cell r="D43">
            <v>22</v>
          </cell>
          <cell r="E43">
            <v>27050.60915158092</v>
          </cell>
          <cell r="F43">
            <v>25592.953061990956</v>
          </cell>
          <cell r="G43">
            <v>24505.375970591267</v>
          </cell>
          <cell r="H43">
            <v>23777.040428186727</v>
          </cell>
          <cell r="I43">
            <v>23509.505852730505</v>
          </cell>
          <cell r="J43">
            <v>23442.11004341883</v>
          </cell>
          <cell r="K43">
            <v>23519.098810152045</v>
          </cell>
          <cell r="L43">
            <v>26232.930559962329</v>
          </cell>
          <cell r="M43">
            <v>29288.556790011004</v>
          </cell>
          <cell r="N43">
            <v>31166.522982025926</v>
          </cell>
          <cell r="O43">
            <v>32726.151359301384</v>
          </cell>
          <cell r="P43">
            <v>33721.082879374917</v>
          </cell>
          <cell r="Q43">
            <v>33161.553321086612</v>
          </cell>
          <cell r="R43">
            <v>32688.981753986147</v>
          </cell>
          <cell r="S43">
            <v>32639.759620585442</v>
          </cell>
          <cell r="T43">
            <v>32373.416811586096</v>
          </cell>
          <cell r="U43">
            <v>31724.469909319239</v>
          </cell>
          <cell r="V43">
            <v>31682.399028279378</v>
          </cell>
          <cell r="W43">
            <v>34554.783213212635</v>
          </cell>
          <cell r="X43">
            <v>34998.283522201105</v>
          </cell>
          <cell r="Y43">
            <v>33972.642991098517</v>
          </cell>
          <cell r="Z43">
            <v>32558.582241396431</v>
          </cell>
          <cell r="AA43">
            <v>30563.761714236658</v>
          </cell>
          <cell r="AB43">
            <v>28439.428200577291</v>
          </cell>
        </row>
        <row r="44">
          <cell r="D44">
            <v>4</v>
          </cell>
          <cell r="E44">
            <v>26693.226642059442</v>
          </cell>
          <cell r="F44">
            <v>25368.264633078968</v>
          </cell>
          <cell r="G44">
            <v>24354.894285398303</v>
          </cell>
          <cell r="H44">
            <v>23640.269685638974</v>
          </cell>
          <cell r="I44">
            <v>23572.047120121028</v>
          </cell>
          <cell r="J44">
            <v>23957.676128719322</v>
          </cell>
          <cell r="K44">
            <v>24213.32365079283</v>
          </cell>
          <cell r="L44">
            <v>26975.639742691492</v>
          </cell>
          <cell r="M44">
            <v>29806.300409105515</v>
          </cell>
          <cell r="N44">
            <v>31409.805800016744</v>
          </cell>
          <cell r="O44">
            <v>33074.244227221381</v>
          </cell>
          <cell r="P44">
            <v>34200.451945368121</v>
          </cell>
          <cell r="Q44">
            <v>33322.904410212133</v>
          </cell>
          <cell r="R44">
            <v>34110.988775391132</v>
          </cell>
          <cell r="S44">
            <v>35295.610552405524</v>
          </cell>
          <cell r="T44">
            <v>35320.712124325219</v>
          </cell>
          <cell r="U44">
            <v>34669.644117425662</v>
          </cell>
          <cell r="V44">
            <v>34086.926640242535</v>
          </cell>
          <cell r="W44">
            <v>36590.73006842396</v>
          </cell>
          <cell r="X44">
            <v>36442.107459016879</v>
          </cell>
          <cell r="Y44">
            <v>35501.656478571509</v>
          </cell>
          <cell r="Z44">
            <v>33874.524698930989</v>
          </cell>
          <cell r="AA44">
            <v>31281.16822807358</v>
          </cell>
          <cell r="AB44">
            <v>28620.533308940103</v>
          </cell>
        </row>
        <row r="45">
          <cell r="D45">
            <v>4</v>
          </cell>
          <cell r="E45">
            <v>26679.924792677582</v>
          </cell>
          <cell r="F45">
            <v>25289.478121868418</v>
          </cell>
          <cell r="G45">
            <v>24209.562868696401</v>
          </cell>
          <cell r="H45">
            <v>23428.492858878166</v>
          </cell>
          <cell r="I45">
            <v>23100.711874548815</v>
          </cell>
          <cell r="J45">
            <v>22659.051831625788</v>
          </cell>
          <cell r="K45">
            <v>22175.843367619676</v>
          </cell>
          <cell r="L45">
            <v>23789.096442243532</v>
          </cell>
          <cell r="M45">
            <v>25565.263664711252</v>
          </cell>
          <cell r="N45">
            <v>27166.020621394775</v>
          </cell>
          <cell r="O45">
            <v>28683.685093376323</v>
          </cell>
          <cell r="P45">
            <v>29982.256265718894</v>
          </cell>
          <cell r="Q45">
            <v>30460.103959401204</v>
          </cell>
          <cell r="R45">
            <v>30313.89959737258</v>
          </cell>
          <cell r="S45">
            <v>30177.660211271006</v>
          </cell>
          <cell r="T45">
            <v>30273.83053538312</v>
          </cell>
          <cell r="U45">
            <v>29997.663714423365</v>
          </cell>
          <cell r="V45">
            <v>29963.725604553878</v>
          </cell>
          <cell r="W45">
            <v>33438.819094515915</v>
          </cell>
          <cell r="X45">
            <v>35322.727887261048</v>
          </cell>
          <cell r="Y45">
            <v>35134.339459060138</v>
          </cell>
          <cell r="Z45">
            <v>33812.355086923948</v>
          </cell>
          <cell r="AA45">
            <v>31520.055490371615</v>
          </cell>
          <cell r="AB45">
            <v>29008.967616673843</v>
          </cell>
        </row>
        <row r="46">
          <cell r="D46">
            <v>1</v>
          </cell>
          <cell r="E46">
            <v>26679.924792677582</v>
          </cell>
          <cell r="F46">
            <v>25289.478121868418</v>
          </cell>
          <cell r="G46">
            <v>24209.562868696401</v>
          </cell>
          <cell r="H46">
            <v>23428.492858878166</v>
          </cell>
          <cell r="I46">
            <v>23100.711874548815</v>
          </cell>
          <cell r="J46">
            <v>22659.051831625788</v>
          </cell>
          <cell r="K46">
            <v>22175.843367619676</v>
          </cell>
          <cell r="L46">
            <v>23789.096442243532</v>
          </cell>
          <cell r="M46">
            <v>25565.263664711252</v>
          </cell>
          <cell r="N46">
            <v>27166.020621394775</v>
          </cell>
          <cell r="O46">
            <v>28683.685093376323</v>
          </cell>
          <cell r="P46">
            <v>29982.256265718894</v>
          </cell>
          <cell r="Q46">
            <v>30460.103959401204</v>
          </cell>
          <cell r="R46">
            <v>30313.89959737258</v>
          </cell>
          <cell r="S46">
            <v>30177.660211271006</v>
          </cell>
          <cell r="T46">
            <v>30273.83053538312</v>
          </cell>
          <cell r="U46">
            <v>29997.663714423365</v>
          </cell>
          <cell r="V46">
            <v>29963.725604553878</v>
          </cell>
          <cell r="W46">
            <v>33438.819094515915</v>
          </cell>
          <cell r="X46">
            <v>35322.727887261048</v>
          </cell>
          <cell r="Y46">
            <v>35134.339459060138</v>
          </cell>
          <cell r="Z46">
            <v>33812.355086923948</v>
          </cell>
          <cell r="AA46">
            <v>31520.055490371615</v>
          </cell>
          <cell r="AB46">
            <v>29008.967616673843</v>
          </cell>
        </row>
        <row r="47">
          <cell r="D47">
            <v>22</v>
          </cell>
          <cell r="E47">
            <v>27453.159603758322</v>
          </cell>
          <cell r="F47">
            <v>26051.976297823567</v>
          </cell>
          <cell r="G47">
            <v>24967.857837908035</v>
          </cell>
          <cell r="H47">
            <v>24199.839232951697</v>
          </cell>
          <cell r="I47">
            <v>23974.48925455783</v>
          </cell>
          <cell r="J47">
            <v>23664.978754867916</v>
          </cell>
          <cell r="K47">
            <v>23818.066239572836</v>
          </cell>
          <cell r="L47">
            <v>26650.632864206022</v>
          </cell>
          <cell r="M47">
            <v>29675.858936051438</v>
          </cell>
          <cell r="N47">
            <v>31420.528298927547</v>
          </cell>
          <cell r="O47">
            <v>32906.91990829385</v>
          </cell>
          <cell r="P47">
            <v>33644.824006023489</v>
          </cell>
          <cell r="Q47">
            <v>33006.809105253058</v>
          </cell>
          <cell r="R47">
            <v>32530.427356853346</v>
          </cell>
          <cell r="S47">
            <v>32491.541881657085</v>
          </cell>
          <cell r="T47">
            <v>32435.692650819314</v>
          </cell>
          <cell r="U47">
            <v>31950.620553956327</v>
          </cell>
          <cell r="V47">
            <v>32324.85385909793</v>
          </cell>
          <cell r="W47">
            <v>35684.344147861499</v>
          </cell>
          <cell r="X47">
            <v>35343.817668283737</v>
          </cell>
          <cell r="Y47">
            <v>34117.203280954804</v>
          </cell>
          <cell r="Z47">
            <v>32592.727505424358</v>
          </cell>
          <cell r="AA47">
            <v>30758.675268789764</v>
          </cell>
          <cell r="AB47">
            <v>28736.753523689858</v>
          </cell>
        </row>
        <row r="48">
          <cell r="D48">
            <v>4</v>
          </cell>
          <cell r="E48">
            <v>25664.447884283425</v>
          </cell>
          <cell r="F48">
            <v>24372.802906595047</v>
          </cell>
          <cell r="G48">
            <v>23471.500958810444</v>
          </cell>
          <cell r="H48">
            <v>22807.133671851174</v>
          </cell>
          <cell r="I48">
            <v>22818.032287275295</v>
          </cell>
          <cell r="J48">
            <v>23196.192148526821</v>
          </cell>
          <cell r="K48">
            <v>23668.349853349853</v>
          </cell>
          <cell r="L48">
            <v>26555.896196754635</v>
          </cell>
          <cell r="M48">
            <v>29368.390657086082</v>
          </cell>
          <cell r="N48">
            <v>30903.22143772359</v>
          </cell>
          <cell r="O48">
            <v>32527.248652396829</v>
          </cell>
          <cell r="P48">
            <v>33646.55751366957</v>
          </cell>
          <cell r="Q48">
            <v>32683.036465880279</v>
          </cell>
          <cell r="R48">
            <v>33418.065563612596</v>
          </cell>
          <cell r="S48">
            <v>34657.994971228552</v>
          </cell>
          <cell r="T48">
            <v>34720.498371670954</v>
          </cell>
          <cell r="U48">
            <v>34001.94878716283</v>
          </cell>
          <cell r="V48">
            <v>34095.773220426701</v>
          </cell>
          <cell r="W48">
            <v>36151.903265960071</v>
          </cell>
          <cell r="X48">
            <v>35537.864231586842</v>
          </cell>
          <cell r="Y48">
            <v>34401.371638215853</v>
          </cell>
          <cell r="Z48">
            <v>32727.946513229155</v>
          </cell>
          <cell r="AA48">
            <v>30316.664522142753</v>
          </cell>
          <cell r="AB48">
            <v>27811.409240226847</v>
          </cell>
        </row>
        <row r="49">
          <cell r="D49">
            <v>4</v>
          </cell>
          <cell r="E49">
            <v>26446.804778115293</v>
          </cell>
          <cell r="F49">
            <v>25160.142999658696</v>
          </cell>
          <cell r="G49">
            <v>24207.674138265105</v>
          </cell>
          <cell r="H49">
            <v>23488.22504376408</v>
          </cell>
          <cell r="I49">
            <v>23525.853787920056</v>
          </cell>
          <cell r="J49">
            <v>24267.291830138751</v>
          </cell>
          <cell r="K49">
            <v>24734.463475329714</v>
          </cell>
          <cell r="L49">
            <v>27797.888069724075</v>
          </cell>
          <cell r="M49">
            <v>30831.113426915195</v>
          </cell>
          <cell r="N49">
            <v>32436.833681170036</v>
          </cell>
          <cell r="O49">
            <v>34264.672063041588</v>
          </cell>
          <cell r="P49">
            <v>35495.230369026758</v>
          </cell>
          <cell r="Q49">
            <v>34245.88561113894</v>
          </cell>
          <cell r="R49">
            <v>35456.899173940947</v>
          </cell>
          <cell r="S49">
            <v>37174.21755820424</v>
          </cell>
          <cell r="T49">
            <v>37220.791823129643</v>
          </cell>
          <cell r="U49">
            <v>36375.922250484087</v>
          </cell>
          <cell r="V49">
            <v>35325.575129833829</v>
          </cell>
          <cell r="W49">
            <v>37390.629319022686</v>
          </cell>
          <cell r="X49">
            <v>37114.474897693937</v>
          </cell>
          <cell r="Y49">
            <v>36157.018820833073</v>
          </cell>
          <cell r="Z49">
            <v>34448.899255374323</v>
          </cell>
          <cell r="AA49">
            <v>31625.69359337875</v>
          </cell>
          <cell r="AB49">
            <v>28788.723646870993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26508.700911896674</v>
          </cell>
          <cell r="F51">
            <v>25168.215032032858</v>
          </cell>
          <cell r="G51">
            <v>24101.252131783032</v>
          </cell>
          <cell r="H51">
            <v>23219.300618200596</v>
          </cell>
          <cell r="I51">
            <v>22884.6547040611</v>
          </cell>
          <cell r="J51">
            <v>22698.821619737406</v>
          </cell>
          <cell r="K51">
            <v>23177.968549236521</v>
          </cell>
          <cell r="L51">
            <v>26086.082178562152</v>
          </cell>
          <cell r="M51">
            <v>29058.516730128726</v>
          </cell>
          <cell r="N51">
            <v>30784.024140645968</v>
          </cell>
          <cell r="O51">
            <v>32374.313418025031</v>
          </cell>
          <cell r="P51">
            <v>33208.475429101141</v>
          </cell>
          <cell r="Q51">
            <v>32618.280460885522</v>
          </cell>
          <cell r="R51">
            <v>32231.873009209787</v>
          </cell>
          <cell r="S51">
            <v>32364.588687179177</v>
          </cell>
          <cell r="T51">
            <v>32300.722067629275</v>
          </cell>
          <cell r="U51">
            <v>31885.346456996362</v>
          </cell>
          <cell r="V51">
            <v>32714.31322710805</v>
          </cell>
          <cell r="W51">
            <v>35696.769241194721</v>
          </cell>
          <cell r="X51">
            <v>35100.30717006365</v>
          </cell>
          <cell r="Y51">
            <v>33858.449917090824</v>
          </cell>
          <cell r="Z51">
            <v>32280.203992873488</v>
          </cell>
          <cell r="AA51">
            <v>30397.83896698535</v>
          </cell>
          <cell r="AB51">
            <v>28385.073907297319</v>
          </cell>
        </row>
        <row r="52">
          <cell r="D52">
            <v>5</v>
          </cell>
          <cell r="E52">
            <v>24638.863900904853</v>
          </cell>
          <cell r="F52">
            <v>23421.87716628013</v>
          </cell>
          <cell r="G52">
            <v>22521.441254823407</v>
          </cell>
          <cell r="H52">
            <v>21981.757309509805</v>
          </cell>
          <cell r="I52">
            <v>22057.240324328861</v>
          </cell>
          <cell r="J52">
            <v>22487.008684618475</v>
          </cell>
          <cell r="K52">
            <v>22894.538485972244</v>
          </cell>
          <cell r="L52">
            <v>25573.668235098725</v>
          </cell>
          <cell r="M52">
            <v>28248.201061890315</v>
          </cell>
          <cell r="N52">
            <v>29815.463329620266</v>
          </cell>
          <cell r="O52">
            <v>31253.508302793016</v>
          </cell>
          <cell r="P52">
            <v>32326.163126623549</v>
          </cell>
          <cell r="Q52">
            <v>31416.499437677834</v>
          </cell>
          <cell r="R52">
            <v>31828.617642062956</v>
          </cell>
          <cell r="S52">
            <v>32767.259669811599</v>
          </cell>
          <cell r="T52">
            <v>32856.470062241184</v>
          </cell>
          <cell r="U52">
            <v>32430.53679639678</v>
          </cell>
          <cell r="V52">
            <v>33019.739446243395</v>
          </cell>
          <cell r="W52">
            <v>35298.447922551371</v>
          </cell>
          <cell r="X52">
            <v>34612.313214576039</v>
          </cell>
          <cell r="Y52">
            <v>33267.291780241823</v>
          </cell>
          <cell r="Z52">
            <v>31415.435824289769</v>
          </cell>
          <cell r="AA52">
            <v>29000.649812049374</v>
          </cell>
          <cell r="AB52">
            <v>26580.396753352925</v>
          </cell>
        </row>
        <row r="53">
          <cell r="D53">
            <v>5</v>
          </cell>
          <cell r="E53">
            <v>24902.291740462599</v>
          </cell>
          <cell r="F53">
            <v>23847.999770035905</v>
          </cell>
          <cell r="G53">
            <v>23009.459883802421</v>
          </cell>
          <cell r="H53">
            <v>22493.422926013751</v>
          </cell>
          <cell r="I53">
            <v>22314.261972511209</v>
          </cell>
          <cell r="J53">
            <v>21962.589454118683</v>
          </cell>
          <cell r="K53">
            <v>21440.137027577453</v>
          </cell>
          <cell r="L53">
            <v>23125.589181699721</v>
          </cell>
          <cell r="M53">
            <v>24523.839729951003</v>
          </cell>
          <cell r="N53">
            <v>26472.619585715653</v>
          </cell>
          <cell r="O53">
            <v>27993.548104981513</v>
          </cell>
          <cell r="P53">
            <v>29196.466906446451</v>
          </cell>
          <cell r="Q53">
            <v>29806.845043322013</v>
          </cell>
          <cell r="R53">
            <v>29819.488628346691</v>
          </cell>
          <cell r="S53">
            <v>29868.767745516947</v>
          </cell>
          <cell r="T53">
            <v>29943.98597605004</v>
          </cell>
          <cell r="U53">
            <v>29673.510723130323</v>
          </cell>
          <cell r="V53">
            <v>30933.928325734458</v>
          </cell>
          <cell r="W53">
            <v>34466.797228885662</v>
          </cell>
          <cell r="X53">
            <v>34888.763748166122</v>
          </cell>
          <cell r="Y53">
            <v>34340.634285142231</v>
          </cell>
          <cell r="Z53">
            <v>33044.837386677624</v>
          </cell>
          <cell r="AA53">
            <v>30581.929835685187</v>
          </cell>
          <cell r="AB53">
            <v>27947.953225606019</v>
          </cell>
        </row>
        <row r="54">
          <cell r="D54">
            <v>1</v>
          </cell>
          <cell r="E54">
            <v>24902.291740462599</v>
          </cell>
          <cell r="F54">
            <v>23847.999770035905</v>
          </cell>
          <cell r="G54">
            <v>23009.459883802421</v>
          </cell>
          <cell r="H54">
            <v>22493.422926013751</v>
          </cell>
          <cell r="I54">
            <v>22314.261972511209</v>
          </cell>
          <cell r="J54">
            <v>21962.589454118683</v>
          </cell>
          <cell r="K54">
            <v>21440.137027577453</v>
          </cell>
          <cell r="L54">
            <v>23125.589181699721</v>
          </cell>
          <cell r="M54">
            <v>24523.839729951003</v>
          </cell>
          <cell r="N54">
            <v>26472.619585715653</v>
          </cell>
          <cell r="O54">
            <v>27993.548104981513</v>
          </cell>
          <cell r="P54">
            <v>29196.466906446451</v>
          </cell>
          <cell r="Q54">
            <v>29806.845043322013</v>
          </cell>
          <cell r="R54">
            <v>29819.488628346691</v>
          </cell>
          <cell r="S54">
            <v>29868.767745516947</v>
          </cell>
          <cell r="T54">
            <v>29943.98597605004</v>
          </cell>
          <cell r="U54">
            <v>29673.510723130323</v>
          </cell>
          <cell r="V54">
            <v>30933.928325734458</v>
          </cell>
          <cell r="W54">
            <v>34466.797228885662</v>
          </cell>
          <cell r="X54">
            <v>34888.763748166122</v>
          </cell>
          <cell r="Y54">
            <v>34340.634285142231</v>
          </cell>
          <cell r="Z54">
            <v>33044.837386677624</v>
          </cell>
          <cell r="AA54">
            <v>30581.929835685187</v>
          </cell>
          <cell r="AB54">
            <v>27947.953225606019</v>
          </cell>
        </row>
        <row r="55">
          <cell r="D55">
            <v>20</v>
          </cell>
          <cell r="E55">
            <v>26124.973720197697</v>
          </cell>
          <cell r="F55">
            <v>24846.926851146825</v>
          </cell>
          <cell r="G55">
            <v>23923.825745022859</v>
          </cell>
          <cell r="H55">
            <v>23319.448255111423</v>
          </cell>
          <cell r="I55">
            <v>23324.843170885888</v>
          </cell>
          <cell r="J55">
            <v>23518.874838001615</v>
          </cell>
          <cell r="K55">
            <v>23681.602704668017</v>
          </cell>
          <cell r="L55">
            <v>26651.351616936397</v>
          </cell>
          <cell r="M55">
            <v>29821.000531204958</v>
          </cell>
          <cell r="N55">
            <v>31839.011779593009</v>
          </cell>
          <cell r="O55">
            <v>33362.705600347872</v>
          </cell>
          <cell r="P55">
            <v>34161.913240423251</v>
          </cell>
          <cell r="Q55">
            <v>33476.249717963809</v>
          </cell>
          <cell r="R55">
            <v>32892.81465127135</v>
          </cell>
          <cell r="S55">
            <v>32811.160021993412</v>
          </cell>
          <cell r="T55">
            <v>32733.045582442493</v>
          </cell>
          <cell r="U55">
            <v>32397.94303974351</v>
          </cell>
          <cell r="V55">
            <v>33478.117904808678</v>
          </cell>
          <cell r="W55">
            <v>36434.184346078015</v>
          </cell>
          <cell r="X55">
            <v>35666.949823124742</v>
          </cell>
          <cell r="Y55">
            <v>34219.944170191913</v>
          </cell>
          <cell r="Z55">
            <v>32582.91387178165</v>
          </cell>
          <cell r="AA55">
            <v>30555.827754718674</v>
          </cell>
          <cell r="AB55">
            <v>28357.298620646001</v>
          </cell>
        </row>
        <row r="56">
          <cell r="D56">
            <v>4</v>
          </cell>
          <cell r="E56">
            <v>28471.152733867533</v>
          </cell>
          <cell r="F56">
            <v>27030.019139018466</v>
          </cell>
          <cell r="G56">
            <v>25965.128450505919</v>
          </cell>
          <cell r="H56">
            <v>25232.647359913975</v>
          </cell>
          <cell r="I56">
            <v>25077.522210770083</v>
          </cell>
          <cell r="J56">
            <v>25251.76627467958</v>
          </cell>
          <cell r="K56">
            <v>25116.223527800277</v>
          </cell>
          <cell r="L56">
            <v>27977.677756293542</v>
          </cell>
          <cell r="M56">
            <v>30952.95874219418</v>
          </cell>
          <cell r="N56">
            <v>32677.094433646231</v>
          </cell>
          <cell r="O56">
            <v>34198.730729476076</v>
          </cell>
          <cell r="P56">
            <v>35385.42439540234</v>
          </cell>
          <cell r="Q56">
            <v>34622.402464577302</v>
          </cell>
          <cell r="R56">
            <v>34983.098399314375</v>
          </cell>
          <cell r="S56">
            <v>35982.697217296569</v>
          </cell>
          <cell r="T56">
            <v>36039.136483987175</v>
          </cell>
          <cell r="U56">
            <v>35467.962198963985</v>
          </cell>
          <cell r="V56">
            <v>35560.120527767838</v>
          </cell>
          <cell r="W56">
            <v>38550.121473089632</v>
          </cell>
          <cell r="X56">
            <v>37932.20479530032</v>
          </cell>
          <cell r="Y56">
            <v>36708.704486564326</v>
          </cell>
          <cell r="Z56">
            <v>35087.327617384886</v>
          </cell>
          <cell r="AA56">
            <v>32913.314374084148</v>
          </cell>
          <cell r="AB56">
            <v>30471.316073493519</v>
          </cell>
        </row>
        <row r="57">
          <cell r="D57">
            <v>4</v>
          </cell>
          <cell r="E57">
            <v>26253.309249401886</v>
          </cell>
          <cell r="F57">
            <v>24858.42638176083</v>
          </cell>
          <cell r="G57">
            <v>23799.550794246792</v>
          </cell>
          <cell r="H57">
            <v>22986.248267250765</v>
          </cell>
          <cell r="I57">
            <v>22710.683404434007</v>
          </cell>
          <cell r="J57">
            <v>22364.345105470864</v>
          </cell>
          <cell r="K57">
            <v>21736.634898394841</v>
          </cell>
          <cell r="L57">
            <v>23168.388895026914</v>
          </cell>
          <cell r="M57">
            <v>24887.449006643797</v>
          </cell>
          <cell r="N57">
            <v>26229.468172333931</v>
          </cell>
          <cell r="O57">
            <v>27328.735316969774</v>
          </cell>
          <cell r="P57">
            <v>28303.117765345465</v>
          </cell>
          <cell r="Q57">
            <v>28607.173694746238</v>
          </cell>
          <cell r="R57">
            <v>28752.180278381347</v>
          </cell>
          <cell r="S57">
            <v>28338.986494527027</v>
          </cell>
          <cell r="T57">
            <v>28367.954130620456</v>
          </cell>
          <cell r="U57">
            <v>28436.794367134331</v>
          </cell>
          <cell r="V57">
            <v>30227.039185219426</v>
          </cell>
          <cell r="W57">
            <v>33728.37589563612</v>
          </cell>
          <cell r="X57">
            <v>33853.404364668953</v>
          </cell>
          <cell r="Y57">
            <v>32800.480740823477</v>
          </cell>
          <cell r="Z57">
            <v>30832.873018854018</v>
          </cell>
          <cell r="AA57">
            <v>28343.377578492309</v>
          </cell>
          <cell r="AB57">
            <v>25998.829150577039</v>
          </cell>
        </row>
        <row r="58">
          <cell r="D58">
            <v>2</v>
          </cell>
          <cell r="E58">
            <v>26253.309249401886</v>
          </cell>
          <cell r="F58">
            <v>24858.42638176083</v>
          </cell>
          <cell r="G58">
            <v>23799.550794246792</v>
          </cell>
          <cell r="H58">
            <v>22986.248267250765</v>
          </cell>
          <cell r="I58">
            <v>22710.683404434007</v>
          </cell>
          <cell r="J58">
            <v>22364.345105470864</v>
          </cell>
          <cell r="K58">
            <v>21736.634898394841</v>
          </cell>
          <cell r="L58">
            <v>23168.388895026914</v>
          </cell>
          <cell r="M58">
            <v>24887.449006643797</v>
          </cell>
          <cell r="N58">
            <v>26229.468172333931</v>
          </cell>
          <cell r="O58">
            <v>27328.735316969774</v>
          </cell>
          <cell r="P58">
            <v>28303.117765345465</v>
          </cell>
          <cell r="Q58">
            <v>28607.173694746238</v>
          </cell>
          <cell r="R58">
            <v>28752.180278381347</v>
          </cell>
          <cell r="S58">
            <v>28338.986494527027</v>
          </cell>
          <cell r="T58">
            <v>28367.954130620456</v>
          </cell>
          <cell r="U58">
            <v>28436.794367134331</v>
          </cell>
          <cell r="V58">
            <v>30227.039185219426</v>
          </cell>
          <cell r="W58">
            <v>33728.37589563612</v>
          </cell>
          <cell r="X58">
            <v>33853.404364668953</v>
          </cell>
          <cell r="Y58">
            <v>32800.480740823477</v>
          </cell>
          <cell r="Z58">
            <v>30832.873018854018</v>
          </cell>
          <cell r="AA58">
            <v>28343.377578492309</v>
          </cell>
          <cell r="AB58">
            <v>25998.829150577039</v>
          </cell>
        </row>
        <row r="59">
          <cell r="D59">
            <v>21</v>
          </cell>
          <cell r="E59">
            <v>27503.823588952248</v>
          </cell>
          <cell r="F59">
            <v>26052.338731603748</v>
          </cell>
          <cell r="G59">
            <v>24955.190262963319</v>
          </cell>
          <cell r="H59">
            <v>24192.582707585119</v>
          </cell>
          <cell r="I59">
            <v>24025.014024322107</v>
          </cell>
          <cell r="J59">
            <v>24147.054807287805</v>
          </cell>
          <cell r="K59">
            <v>23867.160647106091</v>
          </cell>
          <cell r="L59">
            <v>26427.396955405489</v>
          </cell>
          <cell r="M59">
            <v>29221.61199282861</v>
          </cell>
          <cell r="N59">
            <v>30989.507932890912</v>
          </cell>
          <cell r="O59">
            <v>32290.699949724505</v>
          </cell>
          <cell r="P59">
            <v>33071.502060661907</v>
          </cell>
          <cell r="Q59">
            <v>32355.950407417567</v>
          </cell>
          <cell r="R59">
            <v>31842.701554608375</v>
          </cell>
          <cell r="S59">
            <v>31920.104201348859</v>
          </cell>
          <cell r="T59">
            <v>31897.851906506858</v>
          </cell>
          <cell r="U59">
            <v>31502.419778682008</v>
          </cell>
          <cell r="V59">
            <v>32347.289272432052</v>
          </cell>
          <cell r="W59">
            <v>35623.245191282229</v>
          </cell>
          <cell r="X59">
            <v>34847.00223363511</v>
          </cell>
          <cell r="Y59">
            <v>33348.458743139636</v>
          </cell>
          <cell r="Z59">
            <v>31707.11030388156</v>
          </cell>
          <cell r="AA59">
            <v>30115.00476205795</v>
          </cell>
          <cell r="AB59">
            <v>28330.910910123108</v>
          </cell>
        </row>
        <row r="60">
          <cell r="D60">
            <v>5</v>
          </cell>
          <cell r="E60">
            <v>26994.771927223293</v>
          </cell>
          <cell r="F60">
            <v>25631.896679639063</v>
          </cell>
          <cell r="G60">
            <v>24608.375232110862</v>
          </cell>
          <cell r="H60">
            <v>23897.626845927793</v>
          </cell>
          <cell r="I60">
            <v>23819.65194747522</v>
          </cell>
          <cell r="J60">
            <v>24203.759566785684</v>
          </cell>
          <cell r="K60">
            <v>24306.650500728927</v>
          </cell>
          <cell r="L60">
            <v>26973.26996853367</v>
          </cell>
          <cell r="M60">
            <v>29738.018578803123</v>
          </cell>
          <cell r="N60">
            <v>31335.888461049515</v>
          </cell>
          <cell r="O60">
            <v>32897.416339915137</v>
          </cell>
          <cell r="P60">
            <v>33994.717261766244</v>
          </cell>
          <cell r="Q60">
            <v>33138.999291503271</v>
          </cell>
          <cell r="R60">
            <v>33796.819485493907</v>
          </cell>
          <cell r="S60">
            <v>34910.163631948613</v>
          </cell>
          <cell r="T60">
            <v>34988.144693835144</v>
          </cell>
          <cell r="U60">
            <v>34386.485226606746</v>
          </cell>
          <cell r="V60">
            <v>33767.677104238763</v>
          </cell>
          <cell r="W60">
            <v>36110.688832517233</v>
          </cell>
          <cell r="X60">
            <v>36327.885129390328</v>
          </cell>
          <cell r="Y60">
            <v>35413.361358116381</v>
          </cell>
          <cell r="Z60">
            <v>33878.212713964698</v>
          </cell>
          <cell r="AA60">
            <v>31526.070531320504</v>
          </cell>
          <cell r="AB60">
            <v>29010.594987704539</v>
          </cell>
        </row>
        <row r="61">
          <cell r="D61">
            <v>3</v>
          </cell>
          <cell r="E61">
            <v>26833.109435890347</v>
          </cell>
          <cell r="F61">
            <v>26000.928229061745</v>
          </cell>
          <cell r="G61">
            <v>25213.880837338307</v>
          </cell>
          <cell r="H61">
            <v>24459.430818127643</v>
          </cell>
          <cell r="I61">
            <v>24024.547021079845</v>
          </cell>
          <cell r="J61">
            <v>23395.536803754901</v>
          </cell>
          <cell r="K61">
            <v>21942.365818910643</v>
          </cell>
          <cell r="L61">
            <v>22671.338762995863</v>
          </cell>
          <cell r="M61">
            <v>23856.521985525695</v>
          </cell>
          <cell r="N61">
            <v>24969.25579979748</v>
          </cell>
          <cell r="O61">
            <v>26006.607097728229</v>
          </cell>
          <cell r="P61">
            <v>26888.309219126175</v>
          </cell>
          <cell r="Q61">
            <v>27370.23089362129</v>
          </cell>
          <cell r="R61">
            <v>27391.53498071057</v>
          </cell>
          <cell r="S61">
            <v>27267.592866415835</v>
          </cell>
          <cell r="T61">
            <v>27418.341513019259</v>
          </cell>
          <cell r="U61">
            <v>27405.549447599529</v>
          </cell>
          <cell r="V61">
            <v>28291.395062092011</v>
          </cell>
          <cell r="W61">
            <v>32232.051989332631</v>
          </cell>
          <cell r="X61">
            <v>32530.103836396527</v>
          </cell>
          <cell r="Y61">
            <v>32118.030553270961</v>
          </cell>
          <cell r="Z61">
            <v>31141.477069254383</v>
          </cell>
          <cell r="AA61">
            <v>29531.975793207039</v>
          </cell>
          <cell r="AB61">
            <v>27664.602973617184</v>
          </cell>
        </row>
        <row r="62">
          <cell r="D62">
            <v>2</v>
          </cell>
          <cell r="E62">
            <v>26833.109435890347</v>
          </cell>
          <cell r="F62">
            <v>26000.928229061745</v>
          </cell>
          <cell r="G62">
            <v>25213.880837338307</v>
          </cell>
          <cell r="H62">
            <v>24459.430818127643</v>
          </cell>
          <cell r="I62">
            <v>24024.547021079845</v>
          </cell>
          <cell r="J62">
            <v>23395.536803754901</v>
          </cell>
          <cell r="K62">
            <v>21942.365818910643</v>
          </cell>
          <cell r="L62">
            <v>22671.338762995863</v>
          </cell>
          <cell r="M62">
            <v>23856.521985525695</v>
          </cell>
          <cell r="N62">
            <v>24969.25579979748</v>
          </cell>
          <cell r="O62">
            <v>26006.607097728229</v>
          </cell>
          <cell r="P62">
            <v>26888.309219126175</v>
          </cell>
          <cell r="Q62">
            <v>27370.23089362129</v>
          </cell>
          <cell r="R62">
            <v>27391.53498071057</v>
          </cell>
          <cell r="S62">
            <v>27267.592866415835</v>
          </cell>
          <cell r="T62">
            <v>27418.341513019259</v>
          </cell>
          <cell r="U62">
            <v>27405.549447599529</v>
          </cell>
          <cell r="V62">
            <v>28291.395062092011</v>
          </cell>
          <cell r="W62">
            <v>32232.051989332631</v>
          </cell>
          <cell r="X62">
            <v>32530.103836396527</v>
          </cell>
          <cell r="Y62">
            <v>32118.030553270961</v>
          </cell>
          <cell r="Z62">
            <v>31141.477069254383</v>
          </cell>
          <cell r="AA62">
            <v>29531.975793207039</v>
          </cell>
          <cell r="AB62">
            <v>27664.602973617184</v>
          </cell>
        </row>
      </sheetData>
      <sheetData sheetId="26">
        <row r="15">
          <cell r="D15">
            <v>21</v>
          </cell>
          <cell r="E15">
            <v>29203.074602163255</v>
          </cell>
          <cell r="F15">
            <v>27620.340867449446</v>
          </cell>
          <cell r="G15">
            <v>26476.304102358332</v>
          </cell>
          <cell r="H15">
            <v>25676.441349667162</v>
          </cell>
          <cell r="I15">
            <v>25486.846535146939</v>
          </cell>
          <cell r="J15">
            <v>26109.016039045488</v>
          </cell>
          <cell r="K15">
            <v>25914.611922803757</v>
          </cell>
          <cell r="L15">
            <v>28978.997832890997</v>
          </cell>
          <cell r="M15">
            <v>32276.412323032106</v>
          </cell>
          <cell r="N15">
            <v>34185.924731570201</v>
          </cell>
          <cell r="O15">
            <v>36155.806441438173</v>
          </cell>
          <cell r="P15">
            <v>37556.706695892928</v>
          </cell>
          <cell r="Q15">
            <v>36513.139956241568</v>
          </cell>
          <cell r="R15">
            <v>37537.496494760475</v>
          </cell>
          <cell r="S15">
            <v>39245.868478404467</v>
          </cell>
          <cell r="T15">
            <v>39407.903270709226</v>
          </cell>
          <cell r="U15">
            <v>38592.171601029317</v>
          </cell>
          <cell r="V15">
            <v>37041.329275180506</v>
          </cell>
          <cell r="W15">
            <v>39240.179103642826</v>
          </cell>
          <cell r="X15">
            <v>39360.50540761969</v>
          </cell>
          <cell r="Y15">
            <v>38430.266089279583</v>
          </cell>
          <cell r="Z15">
            <v>36945.657326179164</v>
          </cell>
          <cell r="AA15">
            <v>34497.749430320437</v>
          </cell>
          <cell r="AB15">
            <v>31749.216197618945</v>
          </cell>
        </row>
        <row r="16">
          <cell r="D16">
            <v>4</v>
          </cell>
          <cell r="E16">
            <v>29423.135119695988</v>
          </cell>
          <cell r="F16">
            <v>27860.88408312144</v>
          </cell>
          <cell r="G16">
            <v>26703.456816111651</v>
          </cell>
          <cell r="H16">
            <v>25790.271007497089</v>
          </cell>
          <cell r="I16">
            <v>25550.847513813573</v>
          </cell>
          <cell r="J16">
            <v>25662.903983628021</v>
          </cell>
          <cell r="K16">
            <v>24999.742159040048</v>
          </cell>
          <cell r="L16">
            <v>27379.295442372993</v>
          </cell>
          <cell r="M16">
            <v>30522.060969771101</v>
          </cell>
          <cell r="N16">
            <v>32601.90342434862</v>
          </cell>
          <cell r="O16">
            <v>34314.347243863398</v>
          </cell>
          <cell r="P16">
            <v>35387.73158911393</v>
          </cell>
          <cell r="Q16">
            <v>34886.149377024158</v>
          </cell>
          <cell r="R16">
            <v>34534.462152502128</v>
          </cell>
          <cell r="S16">
            <v>34731.181334253546</v>
          </cell>
          <cell r="T16">
            <v>34720.118207696061</v>
          </cell>
          <cell r="U16">
            <v>34207.758137656085</v>
          </cell>
          <cell r="V16">
            <v>33946.143764137181</v>
          </cell>
          <cell r="W16">
            <v>37435.09954373246</v>
          </cell>
          <cell r="X16">
            <v>37809.912315592592</v>
          </cell>
          <cell r="Y16">
            <v>36764.858388616718</v>
          </cell>
          <cell r="Z16">
            <v>35463.396097855344</v>
          </cell>
          <cell r="AA16">
            <v>33695.796361809313</v>
          </cell>
          <cell r="AB16">
            <v>31631.69720408391</v>
          </cell>
        </row>
        <row r="17">
          <cell r="D17">
            <v>4</v>
          </cell>
          <cell r="E17">
            <v>29751.014088177042</v>
          </cell>
          <cell r="F17">
            <v>28244.484380762558</v>
          </cell>
          <cell r="G17">
            <v>27022.717654840995</v>
          </cell>
          <cell r="H17">
            <v>26046.225560743645</v>
          </cell>
          <cell r="I17">
            <v>25549.842810305465</v>
          </cell>
          <cell r="J17">
            <v>25305.039070972714</v>
          </cell>
          <cell r="K17">
            <v>24000.128218694303</v>
          </cell>
          <cell r="L17">
            <v>25072.720815444976</v>
          </cell>
          <cell r="M17">
            <v>26864.315570212988</v>
          </cell>
          <cell r="N17">
            <v>28690.009888024229</v>
          </cell>
          <cell r="O17">
            <v>29812.827695707721</v>
          </cell>
          <cell r="P17">
            <v>30812.662847338743</v>
          </cell>
          <cell r="Q17">
            <v>31407.9560816218</v>
          </cell>
          <cell r="R17">
            <v>31542.159018195041</v>
          </cell>
          <cell r="S17">
            <v>31629.619753956791</v>
          </cell>
          <cell r="T17">
            <v>31682.19373336279</v>
          </cell>
          <cell r="U17">
            <v>31496.699956717915</v>
          </cell>
          <cell r="V17">
            <v>31528.855308863753</v>
          </cell>
          <cell r="W17">
            <v>35347.435263090454</v>
          </cell>
          <cell r="X17">
            <v>36501.798027815974</v>
          </cell>
          <cell r="Y17">
            <v>36369.295599617297</v>
          </cell>
          <cell r="Z17">
            <v>35364.370310830876</v>
          </cell>
          <cell r="AA17">
            <v>33463.254048004201</v>
          </cell>
          <cell r="AB17">
            <v>31137.410409221426</v>
          </cell>
        </row>
        <row r="18">
          <cell r="D18">
            <v>2</v>
          </cell>
          <cell r="E18">
            <v>29751.014088177042</v>
          </cell>
          <cell r="F18">
            <v>28244.484380762558</v>
          </cell>
          <cell r="G18">
            <v>27022.717654840995</v>
          </cell>
          <cell r="H18">
            <v>26046.225560743645</v>
          </cell>
          <cell r="I18">
            <v>25549.842810305465</v>
          </cell>
          <cell r="J18">
            <v>25305.039070972714</v>
          </cell>
          <cell r="K18">
            <v>24000.128218694303</v>
          </cell>
          <cell r="L18">
            <v>25072.720815444976</v>
          </cell>
          <cell r="M18">
            <v>26864.315570212988</v>
          </cell>
          <cell r="N18">
            <v>28690.009888024229</v>
          </cell>
          <cell r="O18">
            <v>29812.827695707721</v>
          </cell>
          <cell r="P18">
            <v>30812.662847338743</v>
          </cell>
          <cell r="Q18">
            <v>31407.9560816218</v>
          </cell>
          <cell r="R18">
            <v>31542.159018195041</v>
          </cell>
          <cell r="S18">
            <v>31629.619753956791</v>
          </cell>
          <cell r="T18">
            <v>31682.19373336279</v>
          </cell>
          <cell r="U18">
            <v>31496.699956717915</v>
          </cell>
          <cell r="V18">
            <v>31528.855308863753</v>
          </cell>
          <cell r="W18">
            <v>35347.435263090454</v>
          </cell>
          <cell r="X18">
            <v>36501.798027815974</v>
          </cell>
          <cell r="Y18">
            <v>36369.295599617297</v>
          </cell>
          <cell r="Z18">
            <v>35364.370310830876</v>
          </cell>
          <cell r="AA18">
            <v>33463.254048004201</v>
          </cell>
          <cell r="AB18">
            <v>31137.410409221426</v>
          </cell>
        </row>
        <row r="19">
          <cell r="D19">
            <v>20</v>
          </cell>
          <cell r="E19">
            <v>30230.905394411813</v>
          </cell>
          <cell r="F19">
            <v>28635.649092909964</v>
          </cell>
          <cell r="G19">
            <v>27496.175280338881</v>
          </cell>
          <cell r="H19">
            <v>26750.274032765377</v>
          </cell>
          <cell r="I19">
            <v>26805.040309201977</v>
          </cell>
          <cell r="J19">
            <v>28293.871724292367</v>
          </cell>
          <cell r="K19">
            <v>28218.278655362901</v>
          </cell>
          <cell r="L19">
            <v>31131.416617490911</v>
          </cell>
          <cell r="M19">
            <v>34068.878629908206</v>
          </cell>
          <cell r="N19">
            <v>35511.354058045501</v>
          </cell>
          <cell r="O19">
            <v>37234.676628214926</v>
          </cell>
          <cell r="P19">
            <v>38390.873522779504</v>
          </cell>
          <cell r="Q19">
            <v>36945.994944370468</v>
          </cell>
          <cell r="R19">
            <v>38263.651982393436</v>
          </cell>
          <cell r="S19">
            <v>40200.253799270977</v>
          </cell>
          <cell r="T19">
            <v>40449.147823648338</v>
          </cell>
          <cell r="U19">
            <v>39740.734870543616</v>
          </cell>
          <cell r="V19">
            <v>38048.295443979412</v>
          </cell>
          <cell r="W19">
            <v>40070.648256769528</v>
          </cell>
          <cell r="X19">
            <v>40719.193592662792</v>
          </cell>
          <cell r="Y19">
            <v>39912.935090258856</v>
          </cell>
          <cell r="Z19">
            <v>38174.821305786121</v>
          </cell>
          <cell r="AA19">
            <v>35341.909133394285</v>
          </cell>
          <cell r="AB19">
            <v>32493.125122195757</v>
          </cell>
        </row>
        <row r="20">
          <cell r="D20">
            <v>4</v>
          </cell>
          <cell r="E20">
            <v>30327.311786975642</v>
          </cell>
          <cell r="F20">
            <v>28850.625316647856</v>
          </cell>
          <cell r="G20">
            <v>27567.178895930258</v>
          </cell>
          <cell r="H20">
            <v>26696.58893318284</v>
          </cell>
          <cell r="I20">
            <v>26364.190124762008</v>
          </cell>
          <cell r="J20">
            <v>26628.00248907234</v>
          </cell>
          <cell r="K20">
            <v>26359.550974027039</v>
          </cell>
          <cell r="L20">
            <v>28979.145674212254</v>
          </cell>
          <cell r="M20">
            <v>32128.79204685691</v>
          </cell>
          <cell r="N20">
            <v>34107.035906007601</v>
          </cell>
          <cell r="O20">
            <v>35724.508912551617</v>
          </cell>
          <cell r="P20">
            <v>36795.827652717649</v>
          </cell>
          <cell r="Q20">
            <v>36153.993802272074</v>
          </cell>
          <cell r="R20">
            <v>35732.190368253105</v>
          </cell>
          <cell r="S20">
            <v>35919.806510872186</v>
          </cell>
          <cell r="T20">
            <v>35915.301793791048</v>
          </cell>
          <cell r="U20">
            <v>35370.040975855649</v>
          </cell>
          <cell r="V20">
            <v>35123.671972966957</v>
          </cell>
          <cell r="W20">
            <v>38472.814021418017</v>
          </cell>
          <cell r="X20">
            <v>39254.672121675547</v>
          </cell>
          <cell r="Y20">
            <v>38234.662424328533</v>
          </cell>
          <cell r="Z20">
            <v>36857.047608470428</v>
          </cell>
          <cell r="AA20">
            <v>34984.697911720526</v>
          </cell>
          <cell r="AB20">
            <v>32782.494128545448</v>
          </cell>
        </row>
        <row r="21">
          <cell r="D21">
            <v>4</v>
          </cell>
          <cell r="E21">
            <v>30798.745330238871</v>
          </cell>
          <cell r="F21">
            <v>29221.822212914867</v>
          </cell>
          <cell r="G21">
            <v>28001.945660115529</v>
          </cell>
          <cell r="H21">
            <v>27107.066331867911</v>
          </cell>
          <cell r="I21">
            <v>26540.301185455166</v>
          </cell>
          <cell r="J21">
            <v>26421.254831449645</v>
          </cell>
          <cell r="K21">
            <v>25256.893131864435</v>
          </cell>
          <cell r="L21">
            <v>26385.388408483228</v>
          </cell>
          <cell r="M21">
            <v>28233.213183419175</v>
          </cell>
          <cell r="N21">
            <v>29911.186390312825</v>
          </cell>
          <cell r="O21">
            <v>31134.922259687159</v>
          </cell>
          <cell r="P21">
            <v>32379.535794466763</v>
          </cell>
          <cell r="Q21">
            <v>33093.358569110518</v>
          </cell>
          <cell r="R21">
            <v>33312.095507748534</v>
          </cell>
          <cell r="S21">
            <v>33510.073451396936</v>
          </cell>
          <cell r="T21">
            <v>33663.157990160922</v>
          </cell>
          <cell r="U21">
            <v>33442.340006665072</v>
          </cell>
          <cell r="V21">
            <v>33363.992549093186</v>
          </cell>
          <cell r="W21">
            <v>37096.568227923875</v>
          </cell>
          <cell r="X21">
            <v>38767.55266933667</v>
          </cell>
          <cell r="Y21">
            <v>38796.239680866296</v>
          </cell>
          <cell r="Z21">
            <v>37833.95169007701</v>
          </cell>
          <cell r="AA21">
            <v>35570.252838030166</v>
          </cell>
          <cell r="AB21">
            <v>32864.827603436846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30353.708239487129</v>
          </cell>
          <cell r="F23">
            <v>28749.586887390411</v>
          </cell>
          <cell r="G23">
            <v>27540.723724461714</v>
          </cell>
          <cell r="H23">
            <v>26648.555397552325</v>
          </cell>
          <cell r="I23">
            <v>26514.453614020636</v>
          </cell>
          <cell r="J23">
            <v>27485.311774782316</v>
          </cell>
          <cell r="K23">
            <v>27296.555999420241</v>
          </cell>
          <cell r="L23">
            <v>30425.495858304581</v>
          </cell>
          <cell r="M23">
            <v>33581.232519334546</v>
          </cell>
          <cell r="N23">
            <v>35232.826624877838</v>
          </cell>
          <cell r="O23">
            <v>37106.222677496204</v>
          </cell>
          <cell r="P23">
            <v>38325.881845439617</v>
          </cell>
          <cell r="Q23">
            <v>36946.514356760177</v>
          </cell>
          <cell r="R23">
            <v>38418.896236551707</v>
          </cell>
          <cell r="S23">
            <v>40203.529329519472</v>
          </cell>
          <cell r="T23">
            <v>40395.291183126574</v>
          </cell>
          <cell r="U23">
            <v>39693.268684155279</v>
          </cell>
          <cell r="V23">
            <v>37997.724078078594</v>
          </cell>
          <cell r="W23">
            <v>39702.253631244268</v>
          </cell>
          <cell r="X23">
            <v>40198.491099150102</v>
          </cell>
          <cell r="Y23">
            <v>39475.787152401972</v>
          </cell>
          <cell r="Z23">
            <v>37944.008439671008</v>
          </cell>
          <cell r="AA23">
            <v>35547.55965131252</v>
          </cell>
          <cell r="AB23">
            <v>32851.831950453023</v>
          </cell>
        </row>
        <row r="24">
          <cell r="D24">
            <v>4</v>
          </cell>
          <cell r="E24">
            <v>30441.882470987879</v>
          </cell>
          <cell r="F24">
            <v>28786.836689752134</v>
          </cell>
          <cell r="G24">
            <v>27621.022000081426</v>
          </cell>
          <cell r="H24">
            <v>26698.429629247967</v>
          </cell>
          <cell r="I24">
            <v>26147.683782892047</v>
          </cell>
          <cell r="J24">
            <v>26063.49032155814</v>
          </cell>
          <cell r="K24">
            <v>25681.730797829248</v>
          </cell>
          <cell r="L24">
            <v>28138.592748397794</v>
          </cell>
          <cell r="M24">
            <v>31100.173476198685</v>
          </cell>
          <cell r="N24">
            <v>32954.780758544977</v>
          </cell>
          <cell r="O24">
            <v>34432.128463443747</v>
          </cell>
          <cell r="P24">
            <v>35376.586260015036</v>
          </cell>
          <cell r="Q24">
            <v>34874.901833911543</v>
          </cell>
          <cell r="R24">
            <v>34511.558295873285</v>
          </cell>
          <cell r="S24">
            <v>34304.015393006077</v>
          </cell>
          <cell r="T24">
            <v>35151.228550051317</v>
          </cell>
          <cell r="U24">
            <v>33959.68879692319</v>
          </cell>
          <cell r="V24">
            <v>33683.976376809871</v>
          </cell>
          <cell r="W24">
            <v>37210.594060009171</v>
          </cell>
          <cell r="X24">
            <v>37765.65776489921</v>
          </cell>
          <cell r="Y24">
            <v>36848.546257491056</v>
          </cell>
          <cell r="Z24">
            <v>35668.329961085088</v>
          </cell>
          <cell r="AA24">
            <v>34102.97295601706</v>
          </cell>
          <cell r="AB24">
            <v>32113.44354420084</v>
          </cell>
        </row>
        <row r="25">
          <cell r="D25">
            <v>4</v>
          </cell>
          <cell r="E25">
            <v>30198.057417250977</v>
          </cell>
          <cell r="F25">
            <v>28652.118436306893</v>
          </cell>
          <cell r="G25">
            <v>27272.199459645679</v>
          </cell>
          <cell r="H25">
            <v>26304.078259788275</v>
          </cell>
          <cell r="I25">
            <v>25855.144809695095</v>
          </cell>
          <cell r="J25">
            <v>25562.684541092203</v>
          </cell>
          <cell r="K25">
            <v>24313.867408478356</v>
          </cell>
          <cell r="L25">
            <v>25483.12931490265</v>
          </cell>
          <cell r="M25">
            <v>27177.273048374369</v>
          </cell>
          <cell r="N25">
            <v>28726.324862712001</v>
          </cell>
          <cell r="O25">
            <v>29900.649208702838</v>
          </cell>
          <cell r="P25">
            <v>31010.865994886317</v>
          </cell>
          <cell r="Q25">
            <v>31568.553630903458</v>
          </cell>
          <cell r="R25">
            <v>31711.049632410013</v>
          </cell>
          <cell r="S25">
            <v>31874.131331848286</v>
          </cell>
          <cell r="T25">
            <v>32101.373950140733</v>
          </cell>
          <cell r="U25">
            <v>31704.691457323326</v>
          </cell>
          <cell r="V25">
            <v>31780.962878840157</v>
          </cell>
          <cell r="W25">
            <v>35202.89811604617</v>
          </cell>
          <cell r="X25">
            <v>36468.36771785342</v>
          </cell>
          <cell r="Y25">
            <v>36402.839028765906</v>
          </cell>
          <cell r="Z25">
            <v>35697.590061393967</v>
          </cell>
          <cell r="AA25">
            <v>33800.11678878915</v>
          </cell>
          <cell r="AB25">
            <v>31310.375882890872</v>
          </cell>
        </row>
        <row r="26">
          <cell r="D26">
            <v>1</v>
          </cell>
          <cell r="E26">
            <v>30198.057417250977</v>
          </cell>
          <cell r="F26">
            <v>28652.118436306893</v>
          </cell>
          <cell r="G26">
            <v>27272.199459645679</v>
          </cell>
          <cell r="H26">
            <v>26304.078259788275</v>
          </cell>
          <cell r="I26">
            <v>25855.144809695095</v>
          </cell>
          <cell r="J26">
            <v>25562.684541092203</v>
          </cell>
          <cell r="K26">
            <v>24313.867408478356</v>
          </cell>
          <cell r="L26">
            <v>25483.12931490265</v>
          </cell>
          <cell r="M26">
            <v>27177.273048374369</v>
          </cell>
          <cell r="N26">
            <v>28726.324862712001</v>
          </cell>
          <cell r="O26">
            <v>29900.649208702838</v>
          </cell>
          <cell r="P26">
            <v>31010.865994886317</v>
          </cell>
          <cell r="Q26">
            <v>31568.553630903458</v>
          </cell>
          <cell r="R26">
            <v>31711.049632410013</v>
          </cell>
          <cell r="S26">
            <v>31874.131331848286</v>
          </cell>
          <cell r="T26">
            <v>32101.373950140733</v>
          </cell>
          <cell r="U26">
            <v>31704.691457323326</v>
          </cell>
          <cell r="V26">
            <v>31780.962878840157</v>
          </cell>
          <cell r="W26">
            <v>35202.89811604617</v>
          </cell>
          <cell r="X26">
            <v>36468.36771785342</v>
          </cell>
          <cell r="Y26">
            <v>36402.839028765906</v>
          </cell>
          <cell r="Z26">
            <v>35697.590061393967</v>
          </cell>
          <cell r="AA26">
            <v>33800.11678878915</v>
          </cell>
          <cell r="AB26">
            <v>31310.375882890872</v>
          </cell>
        </row>
        <row r="27">
          <cell r="D27">
            <v>18</v>
          </cell>
          <cell r="E27">
            <v>30018.504602735349</v>
          </cell>
          <cell r="F27">
            <v>28724.27894742983</v>
          </cell>
          <cell r="G27">
            <v>27455.725004006828</v>
          </cell>
          <cell r="H27">
            <v>26746.69447254065</v>
          </cell>
          <cell r="I27">
            <v>26577.27671435642</v>
          </cell>
          <cell r="J27">
            <v>26301.377699947265</v>
          </cell>
          <cell r="K27">
            <v>26392.686324879334</v>
          </cell>
          <cell r="L27">
            <v>29359.382671702893</v>
          </cell>
          <cell r="M27">
            <v>32726.746443631208</v>
          </cell>
          <cell r="N27">
            <v>34716.462607319052</v>
          </cell>
          <cell r="O27">
            <v>36370.564911291651</v>
          </cell>
          <cell r="P27">
            <v>37412.722569688172</v>
          </cell>
          <cell r="Q27">
            <v>36717.431612119937</v>
          </cell>
          <cell r="R27">
            <v>36277.104787169446</v>
          </cell>
          <cell r="S27">
            <v>36528.779863227719</v>
          </cell>
          <cell r="T27">
            <v>36523.361970328675</v>
          </cell>
          <cell r="U27">
            <v>35948.963781686442</v>
          </cell>
          <cell r="V27">
            <v>35741.357060038667</v>
          </cell>
          <cell r="W27">
            <v>39367.23920592809</v>
          </cell>
          <cell r="X27">
            <v>39680.475119484036</v>
          </cell>
          <cell r="Y27">
            <v>38708.71268978779</v>
          </cell>
          <cell r="Z27">
            <v>37363.977132701701</v>
          </cell>
          <cell r="AA27">
            <v>35526.185949788181</v>
          </cell>
          <cell r="AB27">
            <v>33299.995890640181</v>
          </cell>
        </row>
        <row r="28">
          <cell r="D28">
            <v>5</v>
          </cell>
          <cell r="E28">
            <v>28982.449242032981</v>
          </cell>
          <cell r="F28">
            <v>27554.041234881915</v>
          </cell>
          <cell r="G28">
            <v>26469.01086546007</v>
          </cell>
          <cell r="H28">
            <v>25668.946957784399</v>
          </cell>
          <cell r="I28">
            <v>25692.919107782942</v>
          </cell>
          <cell r="J28">
            <v>26009.790381825642</v>
          </cell>
          <cell r="K28">
            <v>26594.18670426893</v>
          </cell>
          <cell r="L28">
            <v>29487.980363590246</v>
          </cell>
          <cell r="M28">
            <v>32461.611248364385</v>
          </cell>
          <cell r="N28">
            <v>34193.800611384075</v>
          </cell>
          <cell r="O28">
            <v>35747.273146384614</v>
          </cell>
          <cell r="P28">
            <v>36819.678589575989</v>
          </cell>
          <cell r="Q28">
            <v>35812.38401925884</v>
          </cell>
          <cell r="R28">
            <v>36519.103794452596</v>
          </cell>
          <cell r="S28">
            <v>37736.048398266968</v>
          </cell>
          <cell r="T28">
            <v>37817.155426939811</v>
          </cell>
          <cell r="U28">
            <v>37221.589082003287</v>
          </cell>
          <cell r="V28">
            <v>36408.626926713747</v>
          </cell>
          <cell r="W28">
            <v>38917.666488614857</v>
          </cell>
          <cell r="X28">
            <v>39254.118351615529</v>
          </cell>
          <cell r="Y28">
            <v>38231.691453231637</v>
          </cell>
          <cell r="Z28">
            <v>36554.988647640959</v>
          </cell>
          <cell r="AA28">
            <v>33922.297610833608</v>
          </cell>
          <cell r="AB28">
            <v>31015.017855948856</v>
          </cell>
        </row>
        <row r="29">
          <cell r="D29">
            <v>5</v>
          </cell>
          <cell r="E29">
            <v>31234.430697979387</v>
          </cell>
          <cell r="F29">
            <v>29652.811842509262</v>
          </cell>
          <cell r="G29">
            <v>28342.61358671818</v>
          </cell>
          <cell r="H29">
            <v>27448.86286944896</v>
          </cell>
          <cell r="I29">
            <v>26925.214455616013</v>
          </cell>
          <cell r="J29">
            <v>26126.723940313983</v>
          </cell>
          <cell r="K29">
            <v>25326.692056850694</v>
          </cell>
          <cell r="L29">
            <v>26745.460965959821</v>
          </cell>
          <cell r="M29">
            <v>28620.504871718029</v>
          </cell>
          <cell r="N29">
            <v>30311.242998083544</v>
          </cell>
          <cell r="O29">
            <v>31647.926768118396</v>
          </cell>
          <cell r="P29">
            <v>32738.638848046619</v>
          </cell>
          <cell r="Q29">
            <v>33240.778156432891</v>
          </cell>
          <cell r="R29">
            <v>33333.579880597725</v>
          </cell>
          <cell r="S29">
            <v>33150.710396150011</v>
          </cell>
          <cell r="T29">
            <v>33003.28796457006</v>
          </cell>
          <cell r="U29">
            <v>32666.516533539521</v>
          </cell>
          <cell r="V29">
            <v>32978.583102870783</v>
          </cell>
          <cell r="W29">
            <v>36847.290628833667</v>
          </cell>
          <cell r="X29">
            <v>37955.09873912554</v>
          </cell>
          <cell r="Y29">
            <v>37698.725389254381</v>
          </cell>
          <cell r="Z29">
            <v>36541.627933562464</v>
          </cell>
          <cell r="AA29">
            <v>34313.091533574006</v>
          </cell>
          <cell r="AB29">
            <v>31653.395873173271</v>
          </cell>
        </row>
        <row r="30">
          <cell r="D30">
            <v>2</v>
          </cell>
          <cell r="E30">
            <v>31234.430697979387</v>
          </cell>
          <cell r="F30">
            <v>29652.811842509262</v>
          </cell>
          <cell r="G30">
            <v>28342.61358671818</v>
          </cell>
          <cell r="H30">
            <v>27448.86286944896</v>
          </cell>
          <cell r="I30">
            <v>26925.214455616013</v>
          </cell>
          <cell r="J30">
            <v>26126.723940313983</v>
          </cell>
          <cell r="K30">
            <v>25326.692056850694</v>
          </cell>
          <cell r="L30">
            <v>26745.460965959821</v>
          </cell>
          <cell r="M30">
            <v>28620.504871718029</v>
          </cell>
          <cell r="N30">
            <v>30311.242998083544</v>
          </cell>
          <cell r="O30">
            <v>31647.926768118396</v>
          </cell>
          <cell r="P30">
            <v>32738.638848046619</v>
          </cell>
          <cell r="Q30">
            <v>33240.778156432891</v>
          </cell>
          <cell r="R30">
            <v>33333.579880597725</v>
          </cell>
          <cell r="S30">
            <v>33150.710396150011</v>
          </cell>
          <cell r="T30">
            <v>33003.28796457006</v>
          </cell>
          <cell r="U30">
            <v>32666.516533539521</v>
          </cell>
          <cell r="V30">
            <v>32978.583102870783</v>
          </cell>
          <cell r="W30">
            <v>36847.290628833667</v>
          </cell>
          <cell r="X30">
            <v>37955.09873912554</v>
          </cell>
          <cell r="Y30">
            <v>37698.725389254381</v>
          </cell>
          <cell r="Z30">
            <v>36541.627933562464</v>
          </cell>
          <cell r="AA30">
            <v>34313.091533574006</v>
          </cell>
          <cell r="AB30">
            <v>31653.395873173271</v>
          </cell>
        </row>
        <row r="31">
          <cell r="D31">
            <v>21</v>
          </cell>
          <cell r="E31">
            <v>30393.867763803111</v>
          </cell>
          <cell r="F31">
            <v>28812.337954099712</v>
          </cell>
          <cell r="G31">
            <v>27536.147882764792</v>
          </cell>
          <cell r="H31">
            <v>26444.717198903349</v>
          </cell>
          <cell r="I31">
            <v>26150.518618347614</v>
          </cell>
          <cell r="J31">
            <v>25736.336147998532</v>
          </cell>
          <cell r="K31">
            <v>26116.713125069025</v>
          </cell>
          <cell r="L31">
            <v>28925.825430412449</v>
          </cell>
          <cell r="M31">
            <v>32199.784697632756</v>
          </cell>
          <cell r="N31">
            <v>34006.053991377259</v>
          </cell>
          <cell r="O31">
            <v>35152.538539140136</v>
          </cell>
          <cell r="P31">
            <v>35995.029315953376</v>
          </cell>
          <cell r="Q31">
            <v>35376.646859966757</v>
          </cell>
          <cell r="R31">
            <v>34740.320742255666</v>
          </cell>
          <cell r="S31">
            <v>34716.932704607803</v>
          </cell>
          <cell r="T31">
            <v>34521.274184313603</v>
          </cell>
          <cell r="U31">
            <v>34052.244579743761</v>
          </cell>
          <cell r="V31">
            <v>34261.072106956643</v>
          </cell>
          <cell r="W31">
            <v>37979.557134701899</v>
          </cell>
          <cell r="X31">
            <v>38333.033152549207</v>
          </cell>
          <cell r="Y31">
            <v>37098.689676893147</v>
          </cell>
          <cell r="Z31">
            <v>35567.596273890515</v>
          </cell>
          <cell r="AA31">
            <v>33554.128079441936</v>
          </cell>
          <cell r="AB31">
            <v>31298.836283868564</v>
          </cell>
        </row>
        <row r="32">
          <cell r="D32">
            <v>4</v>
          </cell>
          <cell r="E32">
            <v>28019.933972558807</v>
          </cell>
          <cell r="F32">
            <v>26633.868746783453</v>
          </cell>
          <cell r="G32">
            <v>25619.395841119498</v>
          </cell>
          <cell r="H32">
            <v>24920.634294983251</v>
          </cell>
          <cell r="I32">
            <v>24830.972261126251</v>
          </cell>
          <cell r="J32">
            <v>24799.757285513453</v>
          </cell>
          <cell r="K32">
            <v>25177.48841927047</v>
          </cell>
          <cell r="L32">
            <v>28128.093794641591</v>
          </cell>
          <cell r="M32">
            <v>31013.19573866787</v>
          </cell>
          <cell r="N32">
            <v>32679.182205984482</v>
          </cell>
          <cell r="O32">
            <v>34306.677643406154</v>
          </cell>
          <cell r="P32">
            <v>35478.943330018614</v>
          </cell>
          <cell r="Q32">
            <v>34704.951597478386</v>
          </cell>
          <cell r="R32">
            <v>35074.910604812772</v>
          </cell>
          <cell r="S32">
            <v>35998.136094282294</v>
          </cell>
          <cell r="T32">
            <v>35953.052651614576</v>
          </cell>
          <cell r="U32">
            <v>35435.173861596792</v>
          </cell>
          <cell r="V32">
            <v>34746.84727044731</v>
          </cell>
          <cell r="W32">
            <v>37277.781981949338</v>
          </cell>
          <cell r="X32">
            <v>37980.209415783327</v>
          </cell>
          <cell r="Y32">
            <v>36945.822638410871</v>
          </cell>
          <cell r="Z32">
            <v>35247.412415104678</v>
          </cell>
          <cell r="AA32">
            <v>32694.289073795127</v>
          </cell>
          <cell r="AB32">
            <v>30031.638429651335</v>
          </cell>
        </row>
        <row r="33">
          <cell r="D33">
            <v>4</v>
          </cell>
          <cell r="E33">
            <v>27999.294737712444</v>
          </cell>
          <cell r="F33">
            <v>26902.847374053192</v>
          </cell>
          <cell r="G33">
            <v>25778.381465178198</v>
          </cell>
          <cell r="H33">
            <v>25180.491941512108</v>
          </cell>
          <cell r="I33">
            <v>24988.712049674563</v>
          </cell>
          <cell r="J33">
            <v>24368.54436277254</v>
          </cell>
          <cell r="K33">
            <v>24267.214193319931</v>
          </cell>
          <cell r="L33">
            <v>26147.635673589743</v>
          </cell>
          <cell r="M33">
            <v>28327.976540844276</v>
          </cell>
          <cell r="N33">
            <v>30023.304069681068</v>
          </cell>
          <cell r="O33">
            <v>31312.160115598304</v>
          </cell>
          <cell r="P33">
            <v>32913.495933747843</v>
          </cell>
          <cell r="Q33">
            <v>33810.579362621109</v>
          </cell>
          <cell r="R33">
            <v>33980.571666390359</v>
          </cell>
          <cell r="S33">
            <v>34019.72336123899</v>
          </cell>
          <cell r="T33">
            <v>34086.399466944655</v>
          </cell>
          <cell r="U33">
            <v>33738.628535765856</v>
          </cell>
          <cell r="V33">
            <v>33747.423296872897</v>
          </cell>
          <cell r="W33">
            <v>37718.841644034663</v>
          </cell>
          <cell r="X33">
            <v>39150.468707302651</v>
          </cell>
          <cell r="Y33">
            <v>38912.098411302948</v>
          </cell>
          <cell r="Z33">
            <v>37600.974286524448</v>
          </cell>
          <cell r="AA33">
            <v>35196.322521152179</v>
          </cell>
          <cell r="AB33">
            <v>32386.318045249936</v>
          </cell>
        </row>
        <row r="34">
          <cell r="D34">
            <v>2</v>
          </cell>
          <cell r="E34">
            <v>27999.294737712444</v>
          </cell>
          <cell r="F34">
            <v>26902.847374053192</v>
          </cell>
          <cell r="G34">
            <v>25778.381465178198</v>
          </cell>
          <cell r="H34">
            <v>25180.491941512108</v>
          </cell>
          <cell r="I34">
            <v>24988.712049674563</v>
          </cell>
          <cell r="J34">
            <v>24368.54436277254</v>
          </cell>
          <cell r="K34">
            <v>24267.214193319931</v>
          </cell>
          <cell r="L34">
            <v>26147.635673589743</v>
          </cell>
          <cell r="M34">
            <v>28327.976540844276</v>
          </cell>
          <cell r="N34">
            <v>30023.304069681068</v>
          </cell>
          <cell r="O34">
            <v>31312.160115598304</v>
          </cell>
          <cell r="P34">
            <v>32913.495933747843</v>
          </cell>
          <cell r="Q34">
            <v>33810.579362621109</v>
          </cell>
          <cell r="R34">
            <v>33980.571666390359</v>
          </cell>
          <cell r="S34">
            <v>34019.72336123899</v>
          </cell>
          <cell r="T34">
            <v>34086.399466944655</v>
          </cell>
          <cell r="U34">
            <v>33738.628535765856</v>
          </cell>
          <cell r="V34">
            <v>33747.423296872897</v>
          </cell>
          <cell r="W34">
            <v>37718.841644034663</v>
          </cell>
          <cell r="X34">
            <v>39150.468707302651</v>
          </cell>
          <cell r="Y34">
            <v>38912.098411302948</v>
          </cell>
          <cell r="Z34">
            <v>37600.974286524448</v>
          </cell>
          <cell r="AA34">
            <v>35196.322521152179</v>
          </cell>
          <cell r="AB34">
            <v>32386.318045249936</v>
          </cell>
        </row>
        <row r="35">
          <cell r="D35">
            <v>20</v>
          </cell>
          <cell r="E35">
            <v>27606.630223111664</v>
          </cell>
          <cell r="F35">
            <v>26236.097947318813</v>
          </cell>
          <cell r="G35">
            <v>25223.492701598218</v>
          </cell>
          <cell r="H35">
            <v>24547.77223468267</v>
          </cell>
          <cell r="I35">
            <v>24367.272401971906</v>
          </cell>
          <cell r="J35">
            <v>24108.382103259053</v>
          </cell>
          <cell r="K35">
            <v>24510.652300178055</v>
          </cell>
          <cell r="L35">
            <v>27463.068246277922</v>
          </cell>
          <cell r="M35">
            <v>30709.445221914983</v>
          </cell>
          <cell r="N35">
            <v>32705.538345165252</v>
          </cell>
          <cell r="O35">
            <v>34440.119050237889</v>
          </cell>
          <cell r="P35">
            <v>35394.744656882685</v>
          </cell>
          <cell r="Q35">
            <v>34872.210356264492</v>
          </cell>
          <cell r="R35">
            <v>34273.453214642686</v>
          </cell>
          <cell r="S35">
            <v>34302.364398680744</v>
          </cell>
          <cell r="T35">
            <v>34203.732078463341</v>
          </cell>
          <cell r="U35">
            <v>33857.208366038474</v>
          </cell>
          <cell r="V35">
            <v>33893.371100559962</v>
          </cell>
          <cell r="W35">
            <v>36813.238502685876</v>
          </cell>
          <cell r="X35">
            <v>37338.748314449658</v>
          </cell>
          <cell r="Y35">
            <v>36037.777563494201</v>
          </cell>
          <cell r="Z35">
            <v>34552.957950058189</v>
          </cell>
          <cell r="AA35">
            <v>32720.436261870866</v>
          </cell>
          <cell r="AB35">
            <v>30649.874150104402</v>
          </cell>
        </row>
        <row r="36">
          <cell r="D36">
            <v>4</v>
          </cell>
          <cell r="E36">
            <v>28429.578745061197</v>
          </cell>
          <cell r="F36">
            <v>27030.527843671178</v>
          </cell>
          <cell r="G36">
            <v>25967.421333819875</v>
          </cell>
          <cell r="H36">
            <v>25229.764328130153</v>
          </cell>
          <cell r="I36">
            <v>25142.957863030417</v>
          </cell>
          <cell r="J36">
            <v>25425.138251352459</v>
          </cell>
          <cell r="K36">
            <v>25597.699310949745</v>
          </cell>
          <cell r="L36">
            <v>28477.380273408598</v>
          </cell>
          <cell r="M36">
            <v>31519.596269235612</v>
          </cell>
          <cell r="N36">
            <v>33279.959664312024</v>
          </cell>
          <cell r="O36">
            <v>34941.071333619977</v>
          </cell>
          <cell r="P36">
            <v>36025.137797735471</v>
          </cell>
          <cell r="Q36">
            <v>35107.794069730007</v>
          </cell>
          <cell r="R36">
            <v>35952.300458093428</v>
          </cell>
          <cell r="S36">
            <v>37173.070465662495</v>
          </cell>
          <cell r="T36">
            <v>37221.893515657634</v>
          </cell>
          <cell r="U36">
            <v>36529.102267691174</v>
          </cell>
          <cell r="V36">
            <v>35328.462147834136</v>
          </cell>
          <cell r="W36">
            <v>37405.253405145813</v>
          </cell>
          <cell r="X36">
            <v>38499.742998725036</v>
          </cell>
          <cell r="Y36">
            <v>37621.777492061883</v>
          </cell>
          <cell r="Z36">
            <v>36027.254901539149</v>
          </cell>
          <cell r="AA36">
            <v>33427.812183056085</v>
          </cell>
          <cell r="AB36">
            <v>30707.607841857454</v>
          </cell>
        </row>
        <row r="37">
          <cell r="D37">
            <v>4</v>
          </cell>
          <cell r="E37">
            <v>27060.980245003626</v>
          </cell>
          <cell r="F37">
            <v>25967.240013916136</v>
          </cell>
          <cell r="G37">
            <v>25073.513623312792</v>
          </cell>
          <cell r="H37">
            <v>24494.460876306985</v>
          </cell>
          <cell r="I37">
            <v>24263.484892847813</v>
          </cell>
          <cell r="J37">
            <v>23584.04609015429</v>
          </cell>
          <cell r="K37">
            <v>23273.736599780561</v>
          </cell>
          <cell r="L37">
            <v>25169.706370761469</v>
          </cell>
          <cell r="M37">
            <v>27362.176442628457</v>
          </cell>
          <cell r="N37">
            <v>28728.332512434888</v>
          </cell>
          <cell r="O37">
            <v>30348.433269696601</v>
          </cell>
          <cell r="P37">
            <v>31547.36954489558</v>
          </cell>
          <cell r="Q37">
            <v>32158.852999642702</v>
          </cell>
          <cell r="R37">
            <v>32031.383333185437</v>
          </cell>
          <cell r="S37">
            <v>31764.944143505403</v>
          </cell>
          <cell r="T37">
            <v>31519.994561515046</v>
          </cell>
          <cell r="U37">
            <v>31278.945159896026</v>
          </cell>
          <cell r="V37">
            <v>31750.790923705987</v>
          </cell>
          <cell r="W37">
            <v>35583.745548807899</v>
          </cell>
          <cell r="X37">
            <v>36997.81544564262</v>
          </cell>
          <cell r="Y37">
            <v>36528.332842426709</v>
          </cell>
          <cell r="Z37">
            <v>35178.698418783817</v>
          </cell>
          <cell r="AA37">
            <v>32801.333117413124</v>
          </cell>
          <cell r="AB37">
            <v>30075.168471823923</v>
          </cell>
        </row>
        <row r="38">
          <cell r="D38">
            <v>2</v>
          </cell>
          <cell r="E38">
            <v>27060.980245003626</v>
          </cell>
          <cell r="F38">
            <v>25967.240013916136</v>
          </cell>
          <cell r="G38">
            <v>25073.513623312792</v>
          </cell>
          <cell r="H38">
            <v>24494.460876306985</v>
          </cell>
          <cell r="I38">
            <v>24263.484892847813</v>
          </cell>
          <cell r="J38">
            <v>23584.04609015429</v>
          </cell>
          <cell r="K38">
            <v>23273.736599780561</v>
          </cell>
          <cell r="L38">
            <v>25169.706370761469</v>
          </cell>
          <cell r="M38">
            <v>27362.176442628457</v>
          </cell>
          <cell r="N38">
            <v>28728.332512434888</v>
          </cell>
          <cell r="O38">
            <v>30348.433269696601</v>
          </cell>
          <cell r="P38">
            <v>31547.36954489558</v>
          </cell>
          <cell r="Q38">
            <v>32158.852999642702</v>
          </cell>
          <cell r="R38">
            <v>32031.383333185437</v>
          </cell>
          <cell r="S38">
            <v>31764.944143505403</v>
          </cell>
          <cell r="T38">
            <v>31519.994561515046</v>
          </cell>
          <cell r="U38">
            <v>31278.945159896026</v>
          </cell>
          <cell r="V38">
            <v>31750.790923705987</v>
          </cell>
          <cell r="W38">
            <v>35583.745548807899</v>
          </cell>
          <cell r="X38">
            <v>36997.81544564262</v>
          </cell>
          <cell r="Y38">
            <v>36528.332842426709</v>
          </cell>
          <cell r="Z38">
            <v>35178.698418783817</v>
          </cell>
          <cell r="AA38">
            <v>32801.333117413124</v>
          </cell>
          <cell r="AB38">
            <v>30075.168471823923</v>
          </cell>
        </row>
        <row r="39">
          <cell r="D39">
            <v>19</v>
          </cell>
          <cell r="E39">
            <v>28195.805789840833</v>
          </cell>
          <cell r="F39">
            <v>26838.875864652804</v>
          </cell>
          <cell r="G39">
            <v>25944.371740974009</v>
          </cell>
          <cell r="H39">
            <v>25282.183577207674</v>
          </cell>
          <cell r="I39">
            <v>25179.476558702347</v>
          </cell>
          <cell r="J39">
            <v>25062.113592111142</v>
          </cell>
          <cell r="K39">
            <v>25292.825213533091</v>
          </cell>
          <cell r="L39">
            <v>28243.31867175411</v>
          </cell>
          <cell r="M39">
            <v>31675.914827095159</v>
          </cell>
          <cell r="N39">
            <v>33620.642981538891</v>
          </cell>
          <cell r="O39">
            <v>35369.880350438347</v>
          </cell>
          <cell r="P39">
            <v>36165.783909811638</v>
          </cell>
          <cell r="Q39">
            <v>35693.992196281106</v>
          </cell>
          <cell r="R39">
            <v>35198.995265590427</v>
          </cell>
          <cell r="S39">
            <v>35256.685809953073</v>
          </cell>
          <cell r="T39">
            <v>35353.218061892054</v>
          </cell>
          <cell r="U39">
            <v>34858.900375909165</v>
          </cell>
          <cell r="V39">
            <v>34780.587864367495</v>
          </cell>
          <cell r="W39">
            <v>37726.49132443704</v>
          </cell>
          <cell r="X39">
            <v>38729.005141692935</v>
          </cell>
          <cell r="Y39">
            <v>37495.732408665703</v>
          </cell>
          <cell r="Z39">
            <v>35833.234507409579</v>
          </cell>
          <cell r="AA39">
            <v>33718.008184821207</v>
          </cell>
          <cell r="AB39">
            <v>31464.542925189548</v>
          </cell>
        </row>
        <row r="40">
          <cell r="D40">
            <v>5</v>
          </cell>
          <cell r="E40">
            <v>29990.317200329759</v>
          </cell>
          <cell r="F40">
            <v>28419.602019919475</v>
          </cell>
          <cell r="G40">
            <v>27268.361625272955</v>
          </cell>
          <cell r="H40">
            <v>26456.105479060745</v>
          </cell>
          <cell r="I40">
            <v>26400.099552584808</v>
          </cell>
          <cell r="J40">
            <v>26883.694586337842</v>
          </cell>
          <cell r="K40">
            <v>27041.367292367075</v>
          </cell>
          <cell r="L40">
            <v>29989.885751182894</v>
          </cell>
          <cell r="M40">
            <v>33163.594426558891</v>
          </cell>
          <cell r="N40">
            <v>34967.317595267858</v>
          </cell>
          <cell r="O40">
            <v>36790.251594554276</v>
          </cell>
          <cell r="P40">
            <v>38105.74296308661</v>
          </cell>
          <cell r="Q40">
            <v>37110.29133904499</v>
          </cell>
          <cell r="R40">
            <v>37854.149084588811</v>
          </cell>
          <cell r="S40">
            <v>39104.152706642468</v>
          </cell>
          <cell r="T40">
            <v>39104.514831952933</v>
          </cell>
          <cell r="U40">
            <v>38358.393310021238</v>
          </cell>
          <cell r="V40">
            <v>37257.707905043375</v>
          </cell>
          <cell r="W40">
            <v>39818.21150049688</v>
          </cell>
          <cell r="X40">
            <v>40638.697139695651</v>
          </cell>
          <cell r="Y40">
            <v>39779.672931813599</v>
          </cell>
          <cell r="Z40">
            <v>38088.030426967576</v>
          </cell>
          <cell r="AA40">
            <v>35307.302205994783</v>
          </cell>
          <cell r="AB40">
            <v>32313.888731133262</v>
          </cell>
        </row>
        <row r="41">
          <cell r="D41">
            <v>5</v>
          </cell>
          <cell r="E41">
            <v>28287.327287002619</v>
          </cell>
          <cell r="F41">
            <v>27151.056283874157</v>
          </cell>
          <cell r="G41">
            <v>26189.226819126688</v>
          </cell>
          <cell r="H41">
            <v>25308.743431496125</v>
          </cell>
          <cell r="I41">
            <v>25013.130712122264</v>
          </cell>
          <cell r="J41">
            <v>24623.345565760632</v>
          </cell>
          <cell r="K41">
            <v>24154.058210343926</v>
          </cell>
          <cell r="L41">
            <v>25955.125293669349</v>
          </cell>
          <cell r="M41">
            <v>28308.791990562793</v>
          </cell>
          <cell r="N41">
            <v>30208.083729657948</v>
          </cell>
          <cell r="O41">
            <v>31570.263735339551</v>
          </cell>
          <cell r="P41">
            <v>32260.648300967616</v>
          </cell>
          <cell r="Q41">
            <v>33445.192564988974</v>
          </cell>
          <cell r="R41">
            <v>33523.00135093851</v>
          </cell>
          <cell r="S41">
            <v>33463.483858475236</v>
          </cell>
          <cell r="T41">
            <v>33559.445112687165</v>
          </cell>
          <cell r="U41">
            <v>33297.348594062954</v>
          </cell>
          <cell r="V41">
            <v>32995.738258078054</v>
          </cell>
          <cell r="W41">
            <v>36464.999561648146</v>
          </cell>
          <cell r="X41">
            <v>38465.299799769236</v>
          </cell>
          <cell r="Y41">
            <v>37945.150429394729</v>
          </cell>
          <cell r="Z41">
            <v>36645.415477175397</v>
          </cell>
          <cell r="AA41">
            <v>34447.175543943806</v>
          </cell>
          <cell r="AB41">
            <v>31999.597558259073</v>
          </cell>
        </row>
        <row r="42">
          <cell r="D42">
            <v>2</v>
          </cell>
          <cell r="E42">
            <v>28287.327287002619</v>
          </cell>
          <cell r="F42">
            <v>27151.056283874157</v>
          </cell>
          <cell r="G42">
            <v>26189.226819126688</v>
          </cell>
          <cell r="H42">
            <v>25308.743431496125</v>
          </cell>
          <cell r="I42">
            <v>25013.130712122264</v>
          </cell>
          <cell r="J42">
            <v>24623.345565760632</v>
          </cell>
          <cell r="K42">
            <v>24154.058210343926</v>
          </cell>
          <cell r="L42">
            <v>25955.125293669349</v>
          </cell>
          <cell r="M42">
            <v>28308.791990562793</v>
          </cell>
          <cell r="N42">
            <v>30208.083729657948</v>
          </cell>
          <cell r="O42">
            <v>31570.263735339551</v>
          </cell>
          <cell r="P42">
            <v>32260.648300967616</v>
          </cell>
          <cell r="Q42">
            <v>33445.192564988974</v>
          </cell>
          <cell r="R42">
            <v>33523.00135093851</v>
          </cell>
          <cell r="S42">
            <v>33463.483858475236</v>
          </cell>
          <cell r="T42">
            <v>33559.445112687165</v>
          </cell>
          <cell r="U42">
            <v>33297.348594062954</v>
          </cell>
          <cell r="V42">
            <v>32995.738258078054</v>
          </cell>
          <cell r="W42">
            <v>36464.999561648146</v>
          </cell>
          <cell r="X42">
            <v>38465.299799769236</v>
          </cell>
          <cell r="Y42">
            <v>37945.150429394729</v>
          </cell>
          <cell r="Z42">
            <v>36645.415477175397</v>
          </cell>
          <cell r="AA42">
            <v>34447.175543943806</v>
          </cell>
          <cell r="AB42">
            <v>31999.597558259073</v>
          </cell>
        </row>
        <row r="43">
          <cell r="D43">
            <v>21</v>
          </cell>
          <cell r="E43">
            <v>29202.884620185403</v>
          </cell>
          <cell r="F43">
            <v>27629.250460537696</v>
          </cell>
          <cell r="G43">
            <v>26455.140549085085</v>
          </cell>
          <cell r="H43">
            <v>25668.855157490616</v>
          </cell>
          <cell r="I43">
            <v>25380.034255337217</v>
          </cell>
          <cell r="J43">
            <v>25307.276114025721</v>
          </cell>
          <cell r="K43">
            <v>25390.390474200089</v>
          </cell>
          <cell r="L43">
            <v>28320.147620303909</v>
          </cell>
          <cell r="M43">
            <v>31618.894045513647</v>
          </cell>
          <cell r="N43">
            <v>33646.280183796436</v>
          </cell>
          <cell r="O43">
            <v>35330.00003264429</v>
          </cell>
          <cell r="P43">
            <v>36404.0930492888</v>
          </cell>
          <cell r="Q43">
            <v>35800.044650943513</v>
          </cell>
          <cell r="R43">
            <v>35289.873036268124</v>
          </cell>
          <cell r="S43">
            <v>35236.734555193434</v>
          </cell>
          <cell r="T43">
            <v>34949.200242119769</v>
          </cell>
          <cell r="U43">
            <v>34248.620029477184</v>
          </cell>
          <cell r="V43">
            <v>34203.201788505532</v>
          </cell>
          <cell r="W43">
            <v>37304.126557608157</v>
          </cell>
          <cell r="X43">
            <v>37782.913866235162</v>
          </cell>
          <cell r="Y43">
            <v>36675.668483192705</v>
          </cell>
          <cell r="Z43">
            <v>35149.098316580777</v>
          </cell>
          <cell r="AA43">
            <v>32995.560354970039</v>
          </cell>
          <cell r="AB43">
            <v>30702.204736005646</v>
          </cell>
        </row>
        <row r="44">
          <cell r="D44">
            <v>4</v>
          </cell>
          <cell r="E44">
            <v>28817.067053847226</v>
          </cell>
          <cell r="F44">
            <v>27386.684748681124</v>
          </cell>
          <cell r="G44">
            <v>26292.685823370186</v>
          </cell>
          <cell r="H44">
            <v>25521.202282405331</v>
          </cell>
          <cell r="I44">
            <v>25447.551604220986</v>
          </cell>
          <cell r="J44">
            <v>25863.863095810233</v>
          </cell>
          <cell r="K44">
            <v>26139.851153924366</v>
          </cell>
          <cell r="L44">
            <v>29121.950287595202</v>
          </cell>
          <cell r="M44">
            <v>32177.8318160655</v>
          </cell>
          <cell r="N44">
            <v>33908.919743003709</v>
          </cell>
          <cell r="O44">
            <v>35705.788829192818</v>
          </cell>
          <cell r="P44">
            <v>36921.603004286146</v>
          </cell>
          <cell r="Q44">
            <v>35974.233602204098</v>
          </cell>
          <cell r="R44">
            <v>36825.021717855445</v>
          </cell>
          <cell r="S44">
            <v>38103.897652916901</v>
          </cell>
          <cell r="T44">
            <v>38130.996425608071</v>
          </cell>
          <cell r="U44">
            <v>37428.126343132652</v>
          </cell>
          <cell r="V44">
            <v>36799.045084481964</v>
          </cell>
          <cell r="W44">
            <v>39502.063054061902</v>
          </cell>
          <cell r="X44">
            <v>39341.615321068362</v>
          </cell>
          <cell r="Y44">
            <v>38326.337575602818</v>
          </cell>
          <cell r="Z44">
            <v>36569.743431773648</v>
          </cell>
          <cell r="AA44">
            <v>33770.047152363455</v>
          </cell>
          <cell r="AB44">
            <v>30897.719430481073</v>
          </cell>
        </row>
        <row r="45">
          <cell r="D45">
            <v>4</v>
          </cell>
          <cell r="E45">
            <v>28802.706845891949</v>
          </cell>
          <cell r="F45">
            <v>27301.629606905342</v>
          </cell>
          <cell r="G45">
            <v>26135.791146069158</v>
          </cell>
          <cell r="H45">
            <v>25292.575481342581</v>
          </cell>
          <cell r="I45">
            <v>24938.714678710654</v>
          </cell>
          <cell r="J45">
            <v>24461.914056493479</v>
          </cell>
          <cell r="K45">
            <v>23940.259222667206</v>
          </cell>
          <cell r="L45">
            <v>25681.870405520978</v>
          </cell>
          <cell r="M45">
            <v>27599.357962759535</v>
          </cell>
          <cell r="N45">
            <v>29327.47877693559</v>
          </cell>
          <cell r="O45">
            <v>30965.895872058249</v>
          </cell>
          <cell r="P45">
            <v>32367.787559765504</v>
          </cell>
          <cell r="Q45">
            <v>32883.655094815469</v>
          </cell>
          <cell r="R45">
            <v>32725.818016494435</v>
          </cell>
          <cell r="S45">
            <v>32578.738775108235</v>
          </cell>
          <cell r="T45">
            <v>32682.56086884351</v>
          </cell>
          <cell r="U45">
            <v>32384.420898567107</v>
          </cell>
          <cell r="V45">
            <v>32347.782510825367</v>
          </cell>
          <cell r="W45">
            <v>36099.371011588861</v>
          </cell>
          <cell r="X45">
            <v>38133.172572256248</v>
          </cell>
          <cell r="Y45">
            <v>37929.795062282217</v>
          </cell>
          <cell r="Z45">
            <v>36502.627308948089</v>
          </cell>
          <cell r="AA45">
            <v>34027.941424504599</v>
          </cell>
          <cell r="AB45">
            <v>31317.05942418347</v>
          </cell>
        </row>
        <row r="46">
          <cell r="D46">
            <v>2</v>
          </cell>
          <cell r="E46">
            <v>28802.706845891949</v>
          </cell>
          <cell r="F46">
            <v>27301.629606905342</v>
          </cell>
          <cell r="G46">
            <v>26135.791146069158</v>
          </cell>
          <cell r="H46">
            <v>25292.575481342581</v>
          </cell>
          <cell r="I46">
            <v>24938.714678710654</v>
          </cell>
          <cell r="J46">
            <v>24461.914056493479</v>
          </cell>
          <cell r="K46">
            <v>23940.259222667206</v>
          </cell>
          <cell r="L46">
            <v>25681.870405520978</v>
          </cell>
          <cell r="M46">
            <v>27599.357962759535</v>
          </cell>
          <cell r="N46">
            <v>29327.47877693559</v>
          </cell>
          <cell r="O46">
            <v>30965.895872058249</v>
          </cell>
          <cell r="P46">
            <v>32367.787559765504</v>
          </cell>
          <cell r="Q46">
            <v>32883.655094815469</v>
          </cell>
          <cell r="R46">
            <v>32725.818016494435</v>
          </cell>
          <cell r="S46">
            <v>32578.738775108235</v>
          </cell>
          <cell r="T46">
            <v>32682.56086884351</v>
          </cell>
          <cell r="U46">
            <v>32384.420898567107</v>
          </cell>
          <cell r="V46">
            <v>32347.782510825367</v>
          </cell>
          <cell r="W46">
            <v>36099.371011588861</v>
          </cell>
          <cell r="X46">
            <v>38133.172572256248</v>
          </cell>
          <cell r="Y46">
            <v>37929.795062282217</v>
          </cell>
          <cell r="Z46">
            <v>36502.627308948089</v>
          </cell>
          <cell r="AA46">
            <v>34027.941424504599</v>
          </cell>
          <cell r="AB46">
            <v>31317.05942418347</v>
          </cell>
        </row>
        <row r="47">
          <cell r="D47">
            <v>21</v>
          </cell>
          <cell r="E47">
            <v>29591.186633396272</v>
          </cell>
          <cell r="F47">
            <v>28080.880449628698</v>
          </cell>
          <cell r="G47">
            <v>26912.331832890286</v>
          </cell>
          <cell r="H47">
            <v>26084.500639497426</v>
          </cell>
          <cell r="I47">
            <v>25841.600610330239</v>
          </cell>
          <cell r="J47">
            <v>25507.985715232109</v>
          </cell>
          <cell r="K47">
            <v>25672.995513613208</v>
          </cell>
          <cell r="L47">
            <v>28726.159843360347</v>
          </cell>
          <cell r="M47">
            <v>31986.987762341982</v>
          </cell>
          <cell r="N47">
            <v>33867.530383868427</v>
          </cell>
          <cell r="O47">
            <v>35469.680816019471</v>
          </cell>
          <cell r="P47">
            <v>36265.052211830545</v>
          </cell>
          <cell r="Q47">
            <v>35577.349292527899</v>
          </cell>
          <cell r="R47">
            <v>35063.867368075393</v>
          </cell>
          <cell r="S47">
            <v>35021.953527538695</v>
          </cell>
          <cell r="T47">
            <v>34961.754809543905</v>
          </cell>
          <cell r="U47">
            <v>34438.905740216367</v>
          </cell>
          <cell r="V47">
            <v>34842.283993820442</v>
          </cell>
          <cell r="W47">
            <v>38463.408322048082</v>
          </cell>
          <cell r="X47">
            <v>38096.361950838414</v>
          </cell>
          <cell r="Y47">
            <v>36774.21995383162</v>
          </cell>
          <cell r="Z47">
            <v>35131.019395392534</v>
          </cell>
          <cell r="AA47">
            <v>33154.13284342632</v>
          </cell>
          <cell r="AB47">
            <v>30974.74567703317</v>
          </cell>
        </row>
        <row r="48">
          <cell r="D48">
            <v>5</v>
          </cell>
          <cell r="E48">
            <v>27663.171676710605</v>
          </cell>
          <cell r="F48">
            <v>26270.934566282223</v>
          </cell>
          <cell r="G48">
            <v>25299.440044890718</v>
          </cell>
          <cell r="H48">
            <v>24583.33243959914</v>
          </cell>
          <cell r="I48">
            <v>24595.07982925175</v>
          </cell>
          <cell r="J48">
            <v>25002.690435574143</v>
          </cell>
          <cell r="K48">
            <v>25511.619351789002</v>
          </cell>
          <cell r="L48">
            <v>28624.045170658115</v>
          </cell>
          <cell r="M48">
            <v>31655.574134255708</v>
          </cell>
          <cell r="N48">
            <v>33309.936136154698</v>
          </cell>
          <cell r="O48">
            <v>35060.441109015148</v>
          </cell>
          <cell r="P48">
            <v>36266.920723470947</v>
          </cell>
          <cell r="Q48">
            <v>35228.361535317046</v>
          </cell>
          <cell r="R48">
            <v>36020.634028753338</v>
          </cell>
          <cell r="S48">
            <v>37357.128007682353</v>
          </cell>
          <cell r="T48">
            <v>37424.499115941231</v>
          </cell>
          <cell r="U48">
            <v>36649.989545187906</v>
          </cell>
          <cell r="V48">
            <v>36751.120939736145</v>
          </cell>
          <cell r="W48">
            <v>38967.380517798789</v>
          </cell>
          <cell r="X48">
            <v>38305.520683499752</v>
          </cell>
          <cell r="Y48">
            <v>37080.519083563348</v>
          </cell>
          <cell r="Z48">
            <v>35276.769136190553</v>
          </cell>
          <cell r="AA48">
            <v>32677.698702992886</v>
          </cell>
          <cell r="AB48">
            <v>29977.336424789879</v>
          </cell>
        </row>
        <row r="49">
          <cell r="D49">
            <v>4</v>
          </cell>
          <cell r="E49">
            <v>28506.457811838514</v>
          </cell>
          <cell r="F49">
            <v>27119.591987652857</v>
          </cell>
          <cell r="G49">
            <v>26092.945720090353</v>
          </cell>
          <cell r="H49">
            <v>25317.466586326329</v>
          </cell>
          <cell r="I49">
            <v>25358.025822755626</v>
          </cell>
          <cell r="J49">
            <v>26157.206383429224</v>
          </cell>
          <cell r="K49">
            <v>26660.760930235705</v>
          </cell>
          <cell r="L49">
            <v>29962.762237861145</v>
          </cell>
          <cell r="M49">
            <v>33232.212419234973</v>
          </cell>
          <cell r="N49">
            <v>34962.984702297603</v>
          </cell>
          <cell r="O49">
            <v>36933.173470159563</v>
          </cell>
          <cell r="P49">
            <v>38259.566534610261</v>
          </cell>
          <cell r="Q49">
            <v>36912.923946518044</v>
          </cell>
          <cell r="R49">
            <v>38218.250141013435</v>
          </cell>
          <cell r="S49">
            <v>40069.311714659794</v>
          </cell>
          <cell r="T49">
            <v>40119.513140856739</v>
          </cell>
          <cell r="U49">
            <v>39208.84589650757</v>
          </cell>
          <cell r="V49">
            <v>38076.698700133238</v>
          </cell>
          <cell r="W49">
            <v>40302.577426019438</v>
          </cell>
          <cell r="X49">
            <v>40004.916350240841</v>
          </cell>
          <cell r="Y49">
            <v>38972.894467419341</v>
          </cell>
          <cell r="Z49">
            <v>37131.748108195694</v>
          </cell>
          <cell r="AA49">
            <v>34088.673764318162</v>
          </cell>
          <cell r="AB49">
            <v>31030.763186005173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28548.63091764407</v>
          </cell>
          <cell r="F51">
            <v>27104.99032726829</v>
          </cell>
          <cell r="G51">
            <v>25955.921191693222</v>
          </cell>
          <cell r="H51">
            <v>25006.100665511836</v>
          </cell>
          <cell r="I51">
            <v>24645.702669298505</v>
          </cell>
          <cell r="J51">
            <v>24445.569129964497</v>
          </cell>
          <cell r="K51">
            <v>24961.587960576213</v>
          </cell>
          <cell r="L51">
            <v>28093.490310152636</v>
          </cell>
          <cell r="M51">
            <v>31294.663284322927</v>
          </cell>
          <cell r="N51">
            <v>33152.954053540103</v>
          </cell>
          <cell r="O51">
            <v>34865.621218297572</v>
          </cell>
          <cell r="P51">
            <v>35763.974685669644</v>
          </cell>
          <cell r="Q51">
            <v>35128.362311715973</v>
          </cell>
          <cell r="R51">
            <v>34712.219560761048</v>
          </cell>
          <cell r="S51">
            <v>34855.148138058204</v>
          </cell>
          <cell r="T51">
            <v>34786.366776212228</v>
          </cell>
          <cell r="U51">
            <v>34339.0266730679</v>
          </cell>
          <cell r="V51">
            <v>35231.785108932607</v>
          </cell>
          <cell r="W51">
            <v>38443.750729475571</v>
          </cell>
          <cell r="X51">
            <v>37801.38897883043</v>
          </cell>
          <cell r="Y51">
            <v>36463.966806187869</v>
          </cell>
          <cell r="Z51">
            <v>34764.269769448671</v>
          </cell>
          <cell r="AA51">
            <v>32737.050685610229</v>
          </cell>
          <cell r="AB51">
            <v>30569.396864929204</v>
          </cell>
        </row>
        <row r="52">
          <cell r="D52">
            <v>4</v>
          </cell>
          <cell r="E52">
            <v>26534.903919841639</v>
          </cell>
          <cell r="F52">
            <v>25224.26613212275</v>
          </cell>
          <cell r="G52">
            <v>24254.538774052402</v>
          </cell>
          <cell r="H52">
            <v>23673.32440907304</v>
          </cell>
          <cell r="I52">
            <v>23754.61608525824</v>
          </cell>
          <cell r="J52">
            <v>24217.456506551116</v>
          </cell>
          <cell r="K52">
            <v>24656.347040095457</v>
          </cell>
          <cell r="L52">
            <v>27541.644461591015</v>
          </cell>
          <cell r="M52">
            <v>30421.99121275638</v>
          </cell>
          <cell r="N52">
            <v>32109.859365227494</v>
          </cell>
          <cell r="O52">
            <v>33658.566535696868</v>
          </cell>
          <cell r="P52">
            <v>34813.765606724344</v>
          </cell>
          <cell r="Q52">
            <v>33834.100363934616</v>
          </cell>
          <cell r="R52">
            <v>34277.932392917704</v>
          </cell>
          <cell r="S52">
            <v>35288.805951114555</v>
          </cell>
          <cell r="T52">
            <v>35384.881370877854</v>
          </cell>
          <cell r="U52">
            <v>34926.171166913038</v>
          </cell>
          <cell r="V52">
            <v>35560.714860399719</v>
          </cell>
          <cell r="W52">
            <v>38014.777301076632</v>
          </cell>
          <cell r="X52">
            <v>37275.842315055408</v>
          </cell>
          <cell r="Y52">
            <v>35827.317144668996</v>
          </cell>
          <cell r="Z52">
            <v>33832.95490206698</v>
          </cell>
          <cell r="AA52">
            <v>31232.343320320178</v>
          </cell>
          <cell r="AB52">
            <v>28625.843985265426</v>
          </cell>
        </row>
        <row r="53">
          <cell r="D53">
            <v>5</v>
          </cell>
          <cell r="E53">
            <v>26818.603381009551</v>
          </cell>
          <cell r="F53">
            <v>25683.180244161686</v>
          </cell>
          <cell r="G53">
            <v>24780.112010023538</v>
          </cell>
          <cell r="H53">
            <v>24224.364344502857</v>
          </cell>
          <cell r="I53">
            <v>24031.416377969283</v>
          </cell>
          <cell r="J53">
            <v>23652.681525407683</v>
          </cell>
          <cell r="K53">
            <v>23090.024700128877</v>
          </cell>
          <cell r="L53">
            <v>24905.177831823476</v>
          </cell>
          <cell r="M53">
            <v>26411.02826806665</v>
          </cell>
          <cell r="N53">
            <v>28509.773017078343</v>
          </cell>
          <cell r="O53">
            <v>30147.741889749639</v>
          </cell>
          <cell r="P53">
            <v>31443.229171493615</v>
          </cell>
          <cell r="Q53">
            <v>32100.577874011124</v>
          </cell>
          <cell r="R53">
            <v>32114.19442366948</v>
          </cell>
          <cell r="S53">
            <v>32167.265727793998</v>
          </cell>
          <cell r="T53">
            <v>32248.272243688694</v>
          </cell>
          <cell r="U53">
            <v>31956.98304797801</v>
          </cell>
          <cell r="V53">
            <v>33314.393848999141</v>
          </cell>
          <cell r="W53">
            <v>37119.128405086798</v>
          </cell>
          <cell r="X53">
            <v>37573.566608549816</v>
          </cell>
          <cell r="Y53">
            <v>36983.256816041925</v>
          </cell>
          <cell r="Z53">
            <v>35587.744168272293</v>
          </cell>
          <cell r="AA53">
            <v>32935.307940210812</v>
          </cell>
          <cell r="AB53">
            <v>30098.638337397089</v>
          </cell>
        </row>
        <row r="54">
          <cell r="D54">
            <v>1</v>
          </cell>
          <cell r="E54">
            <v>26818.603381009551</v>
          </cell>
          <cell r="F54">
            <v>25683.180244161686</v>
          </cell>
          <cell r="G54">
            <v>24780.112010023538</v>
          </cell>
          <cell r="H54">
            <v>24224.364344502857</v>
          </cell>
          <cell r="I54">
            <v>24031.416377969283</v>
          </cell>
          <cell r="J54">
            <v>23652.681525407683</v>
          </cell>
          <cell r="K54">
            <v>23090.024700128877</v>
          </cell>
          <cell r="L54">
            <v>24905.177831823476</v>
          </cell>
          <cell r="M54">
            <v>26411.02826806665</v>
          </cell>
          <cell r="N54">
            <v>28509.773017078343</v>
          </cell>
          <cell r="O54">
            <v>30147.741889749639</v>
          </cell>
          <cell r="P54">
            <v>31443.229171493615</v>
          </cell>
          <cell r="Q54">
            <v>32100.577874011124</v>
          </cell>
          <cell r="R54">
            <v>32114.19442366948</v>
          </cell>
          <cell r="S54">
            <v>32167.265727793998</v>
          </cell>
          <cell r="T54">
            <v>32248.272243688694</v>
          </cell>
          <cell r="U54">
            <v>31956.98304797801</v>
          </cell>
          <cell r="V54">
            <v>33314.393848999141</v>
          </cell>
          <cell r="W54">
            <v>37119.128405086798</v>
          </cell>
          <cell r="X54">
            <v>37573.566608549816</v>
          </cell>
          <cell r="Y54">
            <v>36983.256816041925</v>
          </cell>
          <cell r="Z54">
            <v>35587.744168272293</v>
          </cell>
          <cell r="AA54">
            <v>32935.307940210812</v>
          </cell>
          <cell r="AB54">
            <v>30098.638337397089</v>
          </cell>
        </row>
        <row r="55">
          <cell r="D55">
            <v>20</v>
          </cell>
          <cell r="E55">
            <v>28151.098472773334</v>
          </cell>
          <cell r="F55">
            <v>26773.932560615674</v>
          </cell>
          <cell r="G55">
            <v>25779.240262849602</v>
          </cell>
          <cell r="H55">
            <v>25127.990220822932</v>
          </cell>
          <cell r="I55">
            <v>25133.803539789136</v>
          </cell>
          <cell r="J55">
            <v>25342.883350789609</v>
          </cell>
          <cell r="K55">
            <v>25518.23159220233</v>
          </cell>
          <cell r="L55">
            <v>28718.299655966333</v>
          </cell>
          <cell r="M55">
            <v>32133.770984869869</v>
          </cell>
          <cell r="N55">
            <v>34308.289282226688</v>
          </cell>
          <cell r="O55">
            <v>35950.153318142053</v>
          </cell>
          <cell r="P55">
            <v>36811.343580644039</v>
          </cell>
          <cell r="Q55">
            <v>36072.503360298804</v>
          </cell>
          <cell r="R55">
            <v>35443.819933060353</v>
          </cell>
          <cell r="S55">
            <v>35355.832571458377</v>
          </cell>
          <cell r="T55">
            <v>35271.659959325065</v>
          </cell>
          <cell r="U55">
            <v>34910.568507941032</v>
          </cell>
          <cell r="V55">
            <v>36074.516434547179</v>
          </cell>
          <cell r="W55">
            <v>39259.840882008633</v>
          </cell>
          <cell r="X55">
            <v>38433.10341468361</v>
          </cell>
          <cell r="Y55">
            <v>36873.875104536877</v>
          </cell>
          <cell r="Z55">
            <v>35109.884769961645</v>
          </cell>
          <cell r="AA55">
            <v>32925.587801650669</v>
          </cell>
          <cell r="AB55">
            <v>30556.551537292951</v>
          </cell>
        </row>
        <row r="56">
          <cell r="D56">
            <v>4</v>
          </cell>
          <cell r="E56">
            <v>30679.235616793158</v>
          </cell>
          <cell r="F56">
            <v>29126.334772737853</v>
          </cell>
          <cell r="G56">
            <v>27978.856388410146</v>
          </cell>
          <cell r="H56">
            <v>27189.567659106804</v>
          </cell>
          <cell r="I56">
            <v>27022.411764677046</v>
          </cell>
          <cell r="J56">
            <v>27210.169343074918</v>
          </cell>
          <cell r="K56">
            <v>27064.114565928128</v>
          </cell>
          <cell r="L56">
            <v>30147.489141703114</v>
          </cell>
          <cell r="M56">
            <v>33353.518319581468</v>
          </cell>
          <cell r="N56">
            <v>35211.36951401025</v>
          </cell>
          <cell r="O56">
            <v>36851.01645346477</v>
          </cell>
          <cell r="P56">
            <v>38129.744256382306</v>
          </cell>
          <cell r="Q56">
            <v>37307.546089157571</v>
          </cell>
          <cell r="R56">
            <v>37696.215830465742</v>
          </cell>
          <cell r="S56">
            <v>38773.338627206744</v>
          </cell>
          <cell r="T56">
            <v>38834.155046444321</v>
          </cell>
          <cell r="U56">
            <v>38218.683286931235</v>
          </cell>
          <cell r="V56">
            <v>38317.988963447082</v>
          </cell>
          <cell r="W56">
            <v>41539.87970856062</v>
          </cell>
          <cell r="X56">
            <v>40874.040445688275</v>
          </cell>
          <cell r="Y56">
            <v>39555.651457374493</v>
          </cell>
          <cell r="Z56">
            <v>37808.528555181503</v>
          </cell>
          <cell r="AA56">
            <v>35465.909513771447</v>
          </cell>
          <cell r="AB56">
            <v>32834.521809173537</v>
          </cell>
        </row>
        <row r="57">
          <cell r="D57">
            <v>4</v>
          </cell>
          <cell r="E57">
            <v>28289.387075811785</v>
          </cell>
          <cell r="F57">
            <v>26786.323938389774</v>
          </cell>
          <cell r="G57">
            <v>25645.327156774725</v>
          </cell>
          <cell r="H57">
            <v>24768.948877093637</v>
          </cell>
          <cell r="I57">
            <v>24472.01255586039</v>
          </cell>
          <cell r="J57">
            <v>24098.813958096194</v>
          </cell>
          <cell r="K57">
            <v>23422.421627867723</v>
          </cell>
          <cell r="L57">
            <v>24965.215438099025</v>
          </cell>
          <cell r="M57">
            <v>26817.597415629196</v>
          </cell>
          <cell r="N57">
            <v>28263.697001807301</v>
          </cell>
          <cell r="O57">
            <v>29448.217911491647</v>
          </cell>
          <cell r="P57">
            <v>30498.168680749623</v>
          </cell>
          <cell r="Q57">
            <v>30825.805695870298</v>
          </cell>
          <cell r="R57">
            <v>30982.058278507593</v>
          </cell>
          <cell r="S57">
            <v>30536.819212539547</v>
          </cell>
          <cell r="T57">
            <v>30568.033436328751</v>
          </cell>
          <cell r="U57">
            <v>30642.212583750941</v>
          </cell>
          <cell r="V57">
            <v>32571.300004241719</v>
          </cell>
          <cell r="W57">
            <v>36344.183206993919</v>
          </cell>
          <cell r="X57">
            <v>36478.908270503634</v>
          </cell>
          <cell r="Y57">
            <v>35344.325057649825</v>
          </cell>
          <cell r="Z57">
            <v>33224.11933686366</v>
          </cell>
          <cell r="AA57">
            <v>30541.550847427785</v>
          </cell>
          <cell r="AB57">
            <v>28015.170749391491</v>
          </cell>
        </row>
        <row r="58">
          <cell r="D58">
            <v>2</v>
          </cell>
          <cell r="E58">
            <v>28289.387075811785</v>
          </cell>
          <cell r="F58">
            <v>26786.323938389774</v>
          </cell>
          <cell r="G58">
            <v>25645.327156774725</v>
          </cell>
          <cell r="H58">
            <v>24768.948877093637</v>
          </cell>
          <cell r="I58">
            <v>24472.01255586039</v>
          </cell>
          <cell r="J58">
            <v>24098.813958096194</v>
          </cell>
          <cell r="K58">
            <v>23422.421627867723</v>
          </cell>
          <cell r="L58">
            <v>24965.215438099025</v>
          </cell>
          <cell r="M58">
            <v>26817.597415629196</v>
          </cell>
          <cell r="N58">
            <v>28263.697001807301</v>
          </cell>
          <cell r="O58">
            <v>29448.217911491647</v>
          </cell>
          <cell r="P58">
            <v>30498.168680749623</v>
          </cell>
          <cell r="Q58">
            <v>30825.805695870298</v>
          </cell>
          <cell r="R58">
            <v>30982.058278507593</v>
          </cell>
          <cell r="S58">
            <v>30536.819212539547</v>
          </cell>
          <cell r="T58">
            <v>30568.033436328751</v>
          </cell>
          <cell r="U58">
            <v>30642.212583750941</v>
          </cell>
          <cell r="V58">
            <v>32571.300004241719</v>
          </cell>
          <cell r="W58">
            <v>36344.183206993919</v>
          </cell>
          <cell r="X58">
            <v>36478.908270503634</v>
          </cell>
          <cell r="Y58">
            <v>35344.325057649825</v>
          </cell>
          <cell r="Z58">
            <v>33224.11933686366</v>
          </cell>
          <cell r="AA58">
            <v>30541.550847427785</v>
          </cell>
          <cell r="AB58">
            <v>28015.170749391491</v>
          </cell>
        </row>
        <row r="59">
          <cell r="D59">
            <v>19</v>
          </cell>
          <cell r="E59">
            <v>29805.331937542447</v>
          </cell>
          <cell r="F59">
            <v>28232.387440001166</v>
          </cell>
          <cell r="G59">
            <v>27043.430050610055</v>
          </cell>
          <cell r="H59">
            <v>26217.007816893609</v>
          </cell>
          <cell r="I59">
            <v>26035.417056945706</v>
          </cell>
          <cell r="J59">
            <v>26167.67016111669</v>
          </cell>
          <cell r="K59">
            <v>25864.354575753976</v>
          </cell>
          <cell r="L59">
            <v>28638.830377658978</v>
          </cell>
          <cell r="M59">
            <v>31666.86414997861</v>
          </cell>
          <cell r="N59">
            <v>33582.696876078415</v>
          </cell>
          <cell r="O59">
            <v>34992.772091648942</v>
          </cell>
          <cell r="P59">
            <v>35838.911393653863</v>
          </cell>
          <cell r="Q59">
            <v>35063.482680099594</v>
          </cell>
          <cell r="R59">
            <v>34507.285379929112</v>
          </cell>
          <cell r="S59">
            <v>34591.165047477276</v>
          </cell>
          <cell r="T59">
            <v>34567.050689995558</v>
          </cell>
          <cell r="U59">
            <v>34138.528968625782</v>
          </cell>
          <cell r="V59">
            <v>35054.096784994355</v>
          </cell>
          <cell r="W59">
            <v>38604.183312356567</v>
          </cell>
          <cell r="X59">
            <v>37762.984671664839</v>
          </cell>
          <cell r="Y59">
            <v>36139.043694418244</v>
          </cell>
          <cell r="Z59">
            <v>34360.347910574397</v>
          </cell>
          <cell r="AA59">
            <v>32635.015649036966</v>
          </cell>
          <cell r="AB59">
            <v>30701.629576636245</v>
          </cell>
        </row>
        <row r="60">
          <cell r="D60">
            <v>5</v>
          </cell>
          <cell r="E60">
            <v>29253.683047630151</v>
          </cell>
          <cell r="F60">
            <v>27776.762974596204</v>
          </cell>
          <cell r="G60">
            <v>26667.593684366097</v>
          </cell>
          <cell r="H60">
            <v>25897.370173233332</v>
          </cell>
          <cell r="I60">
            <v>25812.870368191372</v>
          </cell>
          <cell r="J60">
            <v>26229.119950954329</v>
          </cell>
          <cell r="K60">
            <v>26340.620754819796</v>
          </cell>
          <cell r="L60">
            <v>29230.381814113334</v>
          </cell>
          <cell r="M60">
            <v>32226.483421092824</v>
          </cell>
          <cell r="N60">
            <v>33958.062380626492</v>
          </cell>
          <cell r="O60">
            <v>35650.258253276414</v>
          </cell>
          <cell r="P60">
            <v>36839.380853098512</v>
          </cell>
          <cell r="Q60">
            <v>35912.056764281529</v>
          </cell>
          <cell r="R60">
            <v>36624.923074440158</v>
          </cell>
          <cell r="S60">
            <v>37831.431389128869</v>
          </cell>
          <cell r="T60">
            <v>37915.937873358329</v>
          </cell>
          <cell r="U60">
            <v>37263.931795872049</v>
          </cell>
          <cell r="V60">
            <v>36593.342071022533</v>
          </cell>
          <cell r="W60">
            <v>39132.416031740708</v>
          </cell>
          <cell r="X60">
            <v>39367.787223057814</v>
          </cell>
          <cell r="Y60">
            <v>38376.736488623152</v>
          </cell>
          <cell r="Z60">
            <v>36713.127253913379</v>
          </cell>
          <cell r="AA60">
            <v>34164.158806262123</v>
          </cell>
          <cell r="AB60">
            <v>31438.189330935795</v>
          </cell>
        </row>
        <row r="61">
          <cell r="D61">
            <v>5</v>
          </cell>
          <cell r="E61">
            <v>29078.492707260026</v>
          </cell>
          <cell r="F61">
            <v>28176.674928306762</v>
          </cell>
          <cell r="G61">
            <v>27323.767743055734</v>
          </cell>
          <cell r="H61">
            <v>26506.185664690038</v>
          </cell>
          <cell r="I61">
            <v>26034.910975069244</v>
          </cell>
          <cell r="J61">
            <v>25353.265448263068</v>
          </cell>
          <cell r="K61">
            <v>23778.49372878889</v>
          </cell>
          <cell r="L61">
            <v>24568.466821136499</v>
          </cell>
          <cell r="M61">
            <v>25852.825675463107</v>
          </cell>
          <cell r="N61">
            <v>27058.672585629451</v>
          </cell>
          <cell r="O61">
            <v>28182.829002306218</v>
          </cell>
          <cell r="P61">
            <v>29138.311585057258</v>
          </cell>
          <cell r="Q61">
            <v>29660.560261855524</v>
          </cell>
          <cell r="R61">
            <v>29683.647065960002</v>
          </cell>
          <cell r="S61">
            <v>29549.333527856907</v>
          </cell>
          <cell r="T61">
            <v>29712.696757577272</v>
          </cell>
          <cell r="U61">
            <v>29698.834257522736</v>
          </cell>
          <cell r="V61">
            <v>30658.807059121504</v>
          </cell>
          <cell r="W61">
            <v>34929.216494686705</v>
          </cell>
          <cell r="X61">
            <v>35252.209194505558</v>
          </cell>
          <cell r="Y61">
            <v>34805.653792983729</v>
          </cell>
          <cell r="Z61">
            <v>33747.382725626776</v>
          </cell>
          <cell r="AA61">
            <v>32003.199062168485</v>
          </cell>
          <cell r="AB61">
            <v>29979.565273251337</v>
          </cell>
        </row>
        <row r="62">
          <cell r="D62">
            <v>2</v>
          </cell>
          <cell r="E62">
            <v>29078.492707260026</v>
          </cell>
          <cell r="F62">
            <v>28176.674928306762</v>
          </cell>
          <cell r="G62">
            <v>27323.767743055734</v>
          </cell>
          <cell r="H62">
            <v>26506.185664690038</v>
          </cell>
          <cell r="I62">
            <v>26034.910975069244</v>
          </cell>
          <cell r="J62">
            <v>25353.265448263068</v>
          </cell>
          <cell r="K62">
            <v>23778.49372878889</v>
          </cell>
          <cell r="L62">
            <v>24568.466821136499</v>
          </cell>
          <cell r="M62">
            <v>25852.825675463107</v>
          </cell>
          <cell r="N62">
            <v>27058.672585629451</v>
          </cell>
          <cell r="O62">
            <v>28182.829002306218</v>
          </cell>
          <cell r="P62">
            <v>29138.311585057258</v>
          </cell>
          <cell r="Q62">
            <v>29660.560261855524</v>
          </cell>
          <cell r="R62">
            <v>29683.647065960002</v>
          </cell>
          <cell r="S62">
            <v>29549.333527856907</v>
          </cell>
          <cell r="T62">
            <v>29712.696757577272</v>
          </cell>
          <cell r="U62">
            <v>29698.834257522736</v>
          </cell>
          <cell r="V62">
            <v>30658.807059121504</v>
          </cell>
          <cell r="W62">
            <v>34929.216494686705</v>
          </cell>
          <cell r="X62">
            <v>35252.209194505558</v>
          </cell>
          <cell r="Y62">
            <v>34805.653792983729</v>
          </cell>
          <cell r="Z62">
            <v>33747.382725626776</v>
          </cell>
          <cell r="AA62">
            <v>32003.199062168485</v>
          </cell>
          <cell r="AB62">
            <v>29979.565273251337</v>
          </cell>
        </row>
      </sheetData>
      <sheetData sheetId="27">
        <row r="15">
          <cell r="D15">
            <v>21</v>
          </cell>
          <cell r="E15">
            <v>29687.162590959742</v>
          </cell>
          <cell r="F15">
            <v>28078.192495832671</v>
          </cell>
          <cell r="G15">
            <v>26915.191479056866</v>
          </cell>
          <cell r="H15">
            <v>26102.069713178273</v>
          </cell>
          <cell r="I15">
            <v>25909.332059292752</v>
          </cell>
          <cell r="J15">
            <v>26541.815024631083</v>
          </cell>
          <cell r="K15">
            <v>26344.188347103354</v>
          </cell>
          <cell r="L15">
            <v>29459.371388394044</v>
          </cell>
          <cell r="M15">
            <v>32811.445833711339</v>
          </cell>
          <cell r="N15">
            <v>34752.611485410431</v>
          </cell>
          <cell r="O15">
            <v>36755.147156824853</v>
          </cell>
          <cell r="P15">
            <v>38179.269588941446</v>
          </cell>
          <cell r="Q15">
            <v>37118.404050069294</v>
          </cell>
          <cell r="R15">
            <v>38159.740947790015</v>
          </cell>
          <cell r="S15">
            <v>39896.431948145255</v>
          </cell>
          <cell r="T15">
            <v>40061.152728065717</v>
          </cell>
          <cell r="U15">
            <v>39231.89899234473</v>
          </cell>
          <cell r="V15">
            <v>37655.34895754102</v>
          </cell>
          <cell r="W15">
            <v>39890.648262835035</v>
          </cell>
          <cell r="X15">
            <v>40012.969169068172</v>
          </cell>
          <cell r="Y15">
            <v>39067.309636012687</v>
          </cell>
          <cell r="Z15">
            <v>37558.091091919348</v>
          </cell>
          <cell r="AA15">
            <v>35069.605180690371</v>
          </cell>
          <cell r="AB15">
            <v>32275.510583547471</v>
          </cell>
        </row>
        <row r="16">
          <cell r="D16">
            <v>4</v>
          </cell>
          <cell r="E16">
            <v>29910.870965945753</v>
          </cell>
          <cell r="F16">
            <v>28322.723102663971</v>
          </cell>
          <cell r="G16">
            <v>27146.109614836754</v>
          </cell>
          <cell r="H16">
            <v>26217.786280892684</v>
          </cell>
          <cell r="I16">
            <v>25974.39395724496</v>
          </cell>
          <cell r="J16">
            <v>26088.307943497086</v>
          </cell>
          <cell r="K16">
            <v>25414.153143741776</v>
          </cell>
          <cell r="L16">
            <v>27833.15135466729</v>
          </cell>
          <cell r="M16">
            <v>31028.013281644664</v>
          </cell>
          <cell r="N16">
            <v>33142.332474187817</v>
          </cell>
          <cell r="O16">
            <v>34883.1628076505</v>
          </cell>
          <cell r="P16">
            <v>35974.340226951514</v>
          </cell>
          <cell r="Q16">
            <v>35464.443481971815</v>
          </cell>
          <cell r="R16">
            <v>35106.92647536267</v>
          </cell>
          <cell r="S16">
            <v>35306.906594338987</v>
          </cell>
          <cell r="T16">
            <v>35295.660078643275</v>
          </cell>
          <cell r="U16">
            <v>34774.806815361691</v>
          </cell>
          <cell r="V16">
            <v>34508.855762310159</v>
          </cell>
          <cell r="W16">
            <v>38055.64660240346</v>
          </cell>
          <cell r="X16">
            <v>38436.672499538123</v>
          </cell>
          <cell r="Y16">
            <v>37374.295120816656</v>
          </cell>
          <cell r="Z16">
            <v>36051.258996771903</v>
          </cell>
          <cell r="AA16">
            <v>34254.358448640975</v>
          </cell>
          <cell r="AB16">
            <v>32156.043523447501</v>
          </cell>
        </row>
        <row r="17">
          <cell r="D17">
            <v>4</v>
          </cell>
          <cell r="E17">
            <v>30244.185056330334</v>
          </cell>
          <cell r="F17">
            <v>28712.682192970467</v>
          </cell>
          <cell r="G17">
            <v>27470.662716090759</v>
          </cell>
          <cell r="H17">
            <v>26477.983693036549</v>
          </cell>
          <cell r="I17">
            <v>25973.37259915828</v>
          </cell>
          <cell r="J17">
            <v>25724.510843625601</v>
          </cell>
          <cell r="K17">
            <v>24397.968992603262</v>
          </cell>
          <cell r="L17">
            <v>25488.341538898036</v>
          </cell>
          <cell r="M17">
            <v>27309.63486182674</v>
          </cell>
          <cell r="N17">
            <v>29165.593002968442</v>
          </cell>
          <cell r="O17">
            <v>30307.023323947578</v>
          </cell>
          <cell r="P17">
            <v>31323.432353304659</v>
          </cell>
          <cell r="Q17">
            <v>31928.593531578339</v>
          </cell>
          <cell r="R17">
            <v>32065.021097939414</v>
          </cell>
          <cell r="S17">
            <v>32153.9316362391</v>
          </cell>
          <cell r="T17">
            <v>32207.377114016432</v>
          </cell>
          <cell r="U17">
            <v>32018.808479313157</v>
          </cell>
          <cell r="V17">
            <v>32051.496858202292</v>
          </cell>
          <cell r="W17">
            <v>35933.375924432876</v>
          </cell>
          <cell r="X17">
            <v>37106.874110915523</v>
          </cell>
          <cell r="Y17">
            <v>36972.175241593752</v>
          </cell>
          <cell r="Z17">
            <v>35950.591697861004</v>
          </cell>
          <cell r="AA17">
            <v>34017.961371509249</v>
          </cell>
          <cell r="AB17">
            <v>31653.563128983835</v>
          </cell>
        </row>
        <row r="18">
          <cell r="D18">
            <v>2</v>
          </cell>
          <cell r="E18">
            <v>30244.185056330334</v>
          </cell>
          <cell r="F18">
            <v>28712.682192970467</v>
          </cell>
          <cell r="G18">
            <v>27470.662716090759</v>
          </cell>
          <cell r="H18">
            <v>26477.983693036549</v>
          </cell>
          <cell r="I18">
            <v>25973.37259915828</v>
          </cell>
          <cell r="J18">
            <v>25724.510843625601</v>
          </cell>
          <cell r="K18">
            <v>24397.968992603262</v>
          </cell>
          <cell r="L18">
            <v>25488.341538898036</v>
          </cell>
          <cell r="M18">
            <v>27309.63486182674</v>
          </cell>
          <cell r="N18">
            <v>29165.593002968442</v>
          </cell>
          <cell r="O18">
            <v>30307.023323947578</v>
          </cell>
          <cell r="P18">
            <v>31323.432353304659</v>
          </cell>
          <cell r="Q18">
            <v>31928.593531578339</v>
          </cell>
          <cell r="R18">
            <v>32065.021097939414</v>
          </cell>
          <cell r="S18">
            <v>32153.9316362391</v>
          </cell>
          <cell r="T18">
            <v>32207.377114016432</v>
          </cell>
          <cell r="U18">
            <v>32018.808479313157</v>
          </cell>
          <cell r="V18">
            <v>32051.496858202292</v>
          </cell>
          <cell r="W18">
            <v>35933.375924432876</v>
          </cell>
          <cell r="X18">
            <v>37106.874110915523</v>
          </cell>
          <cell r="Y18">
            <v>36972.175241593752</v>
          </cell>
          <cell r="Z18">
            <v>35950.591697861004</v>
          </cell>
          <cell r="AA18">
            <v>34017.961371509249</v>
          </cell>
          <cell r="AB18">
            <v>31653.563128983835</v>
          </cell>
        </row>
        <row r="19">
          <cell r="D19">
            <v>20</v>
          </cell>
          <cell r="E19">
            <v>30753.654502549147</v>
          </cell>
          <cell r="F19">
            <v>29130.813224746373</v>
          </cell>
          <cell r="G19">
            <v>27971.635770769382</v>
          </cell>
          <cell r="H19">
            <v>27212.836490310641</v>
          </cell>
          <cell r="I19">
            <v>27268.549778482084</v>
          </cell>
          <cell r="J19">
            <v>28783.125883791014</v>
          </cell>
          <cell r="K19">
            <v>28706.22566878541</v>
          </cell>
          <cell r="L19">
            <v>31669.737255246393</v>
          </cell>
          <cell r="M19">
            <v>34657.993500490804</v>
          </cell>
          <cell r="N19">
            <v>36125.412036805988</v>
          </cell>
          <cell r="O19">
            <v>37878.534089486326</v>
          </cell>
          <cell r="P19">
            <v>39054.723798939478</v>
          </cell>
          <cell r="Q19">
            <v>37584.860557372791</v>
          </cell>
          <cell r="R19">
            <v>38925.302359281282</v>
          </cell>
          <cell r="S19">
            <v>40895.391657244232</v>
          </cell>
          <cell r="T19">
            <v>41148.589526563264</v>
          </cell>
          <cell r="U19">
            <v>40427.926783563169</v>
          </cell>
          <cell r="V19">
            <v>38706.221902019359</v>
          </cell>
          <cell r="W19">
            <v>40763.544991598494</v>
          </cell>
          <cell r="X19">
            <v>41423.304893893306</v>
          </cell>
          <cell r="Y19">
            <v>40603.104668356682</v>
          </cell>
          <cell r="Z19">
            <v>38834.935633509514</v>
          </cell>
          <cell r="AA19">
            <v>35953.03709130083</v>
          </cell>
          <cell r="AB19">
            <v>33054.992256395533</v>
          </cell>
        </row>
        <row r="20">
          <cell r="D20">
            <v>4</v>
          </cell>
          <cell r="E20">
            <v>30851.727942628557</v>
          </cell>
          <cell r="F20">
            <v>29349.50679097743</v>
          </cell>
          <cell r="G20">
            <v>28043.867172172686</v>
          </cell>
          <cell r="H20">
            <v>27158.223074570815</v>
          </cell>
          <cell r="I20">
            <v>26820.076466724833</v>
          </cell>
          <cell r="J20">
            <v>27088.450642081163</v>
          </cell>
          <cell r="K20">
            <v>26815.357096364365</v>
          </cell>
          <cell r="L20">
            <v>29480.249506801294</v>
          </cell>
          <cell r="M20">
            <v>32684.35917820485</v>
          </cell>
          <cell r="N20">
            <v>34696.810587528358</v>
          </cell>
          <cell r="O20">
            <v>36342.252738911928</v>
          </cell>
          <cell r="P20">
            <v>37432.096591331334</v>
          </cell>
          <cell r="Q20">
            <v>36779.164228667374</v>
          </cell>
          <cell r="R20">
            <v>36350.067021403258</v>
          </cell>
          <cell r="S20">
            <v>36540.92739934862</v>
          </cell>
          <cell r="T20">
            <v>36536.344787252223</v>
          </cell>
          <cell r="U20">
            <v>35981.655386131541</v>
          </cell>
          <cell r="V20">
            <v>35731.026200663058</v>
          </cell>
          <cell r="W20">
            <v>39138.081202630114</v>
          </cell>
          <cell r="X20">
            <v>39933.459097259234</v>
          </cell>
          <cell r="Y20">
            <v>38895.811517334012</v>
          </cell>
          <cell r="Z20">
            <v>37494.375155050118</v>
          </cell>
          <cell r="AA20">
            <v>35589.649016995281</v>
          </cell>
          <cell r="AB20">
            <v>33349.364996110737</v>
          </cell>
        </row>
        <row r="21">
          <cell r="D21">
            <v>4</v>
          </cell>
          <cell r="E21">
            <v>31331.313456898661</v>
          </cell>
          <cell r="F21">
            <v>29727.122378445889</v>
          </cell>
          <cell r="G21">
            <v>28486.15186991834</v>
          </cell>
          <cell r="H21">
            <v>27575.798398087241</v>
          </cell>
          <cell r="I21">
            <v>26999.232818278757</v>
          </cell>
          <cell r="J21">
            <v>26878.127929321294</v>
          </cell>
          <cell r="K21">
            <v>25693.632230040523</v>
          </cell>
          <cell r="L21">
            <v>26841.641308568098</v>
          </cell>
          <cell r="M21">
            <v>28721.418442869057</v>
          </cell>
          <cell r="N21">
            <v>30428.406956646104</v>
          </cell>
          <cell r="O21">
            <v>31673.303516577511</v>
          </cell>
          <cell r="P21">
            <v>32939.438755943636</v>
          </cell>
          <cell r="Q21">
            <v>33665.604866453286</v>
          </cell>
          <cell r="R21">
            <v>33888.124177405261</v>
          </cell>
          <cell r="S21">
            <v>34089.525531372434</v>
          </cell>
          <cell r="T21">
            <v>34245.257189204283</v>
          </cell>
          <cell r="U21">
            <v>34020.620848222039</v>
          </cell>
          <cell r="V21">
            <v>33940.91861602346</v>
          </cell>
          <cell r="W21">
            <v>37738.03753567698</v>
          </cell>
          <cell r="X21">
            <v>39437.916435097693</v>
          </cell>
          <cell r="Y21">
            <v>39467.099498912103</v>
          </cell>
          <cell r="Z21">
            <v>38488.171742214596</v>
          </cell>
          <cell r="AA21">
            <v>36185.329287269989</v>
          </cell>
          <cell r="AB21">
            <v>33433.122171351431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31155.816659549244</v>
          </cell>
          <cell r="F23">
            <v>29509.305783471911</v>
          </cell>
          <cell r="G23">
            <v>28268.49794630317</v>
          </cell>
          <cell r="H23">
            <v>27352.753728056858</v>
          </cell>
          <cell r="I23">
            <v>27215.108253294176</v>
          </cell>
          <cell r="J23">
            <v>28211.621714531473</v>
          </cell>
          <cell r="K23">
            <v>28017.877995173942</v>
          </cell>
          <cell r="L23">
            <v>31229.501293817171</v>
          </cell>
          <cell r="M23">
            <v>34468.629510413914</v>
          </cell>
          <cell r="N23">
            <v>36163.867625714738</v>
          </cell>
          <cell r="O23">
            <v>38086.76888988947</v>
          </cell>
          <cell r="P23">
            <v>39338.658020659655</v>
          </cell>
          <cell r="Q23">
            <v>37922.840215323668</v>
          </cell>
          <cell r="R23">
            <v>39434.130352847984</v>
          </cell>
          <cell r="S23">
            <v>41265.923062008173</v>
          </cell>
          <cell r="T23">
            <v>41462.752296385079</v>
          </cell>
          <cell r="U23">
            <v>40742.178582746528</v>
          </cell>
          <cell r="V23">
            <v>39001.828558023961</v>
          </cell>
          <cell r="W23">
            <v>40751.400960519677</v>
          </cell>
          <cell r="X23">
            <v>41260.751694462633</v>
          </cell>
          <cell r="Y23">
            <v>40518.950017831703</v>
          </cell>
          <cell r="Z23">
            <v>38946.693463202158</v>
          </cell>
          <cell r="AA23">
            <v>36486.917593479367</v>
          </cell>
          <cell r="AB23">
            <v>33719.954250832925</v>
          </cell>
        </row>
        <row r="24">
          <cell r="D24">
            <v>5</v>
          </cell>
          <cell r="E24">
            <v>31246.320929046051</v>
          </cell>
          <cell r="F24">
            <v>29547.53992619444</v>
          </cell>
          <cell r="G24">
            <v>28350.918134754185</v>
          </cell>
          <cell r="H24">
            <v>27403.945905516215</v>
          </cell>
          <cell r="I24">
            <v>26838.646388248293</v>
          </cell>
          <cell r="J24">
            <v>26752.22808230175</v>
          </cell>
          <cell r="K24">
            <v>26360.380416260705</v>
          </cell>
          <cell r="L24">
            <v>28882.165889251381</v>
          </cell>
          <cell r="M24">
            <v>31922.007527374</v>
          </cell>
          <cell r="N24">
            <v>33825.623520792484</v>
          </cell>
          <cell r="O24">
            <v>35342.010707263304</v>
          </cell>
          <cell r="P24">
            <v>36311.426164527846</v>
          </cell>
          <cell r="Q24">
            <v>35796.484534420917</v>
          </cell>
          <cell r="R24">
            <v>35423.539503578671</v>
          </cell>
          <cell r="S24">
            <v>35210.512199642559</v>
          </cell>
          <cell r="T24">
            <v>36080.113290362715</v>
          </cell>
          <cell r="U24">
            <v>34857.086640764406</v>
          </cell>
          <cell r="V24">
            <v>34574.088413857935</v>
          </cell>
          <cell r="W24">
            <v>38193.898326346512</v>
          </cell>
          <cell r="X24">
            <v>38763.629803221789</v>
          </cell>
          <cell r="Y24">
            <v>37822.283271334127</v>
          </cell>
          <cell r="Z24">
            <v>36610.879305159018</v>
          </cell>
          <cell r="AA24">
            <v>35004.157138896786</v>
          </cell>
          <cell r="AB24">
            <v>32962.053646820314</v>
          </cell>
        </row>
        <row r="25">
          <cell r="D25">
            <v>4</v>
          </cell>
          <cell r="E25">
            <v>30996.052704442474</v>
          </cell>
          <cell r="F25">
            <v>29409.261691063537</v>
          </cell>
          <cell r="G25">
            <v>27992.877824463649</v>
          </cell>
          <cell r="H25">
            <v>26999.173649375687</v>
          </cell>
          <cell r="I25">
            <v>26538.376960118247</v>
          </cell>
          <cell r="J25">
            <v>26238.188316381445</v>
          </cell>
          <cell r="K25">
            <v>24956.370710504681</v>
          </cell>
          <cell r="L25">
            <v>26156.530812727702</v>
          </cell>
          <cell r="M25">
            <v>27895.442946247662</v>
          </cell>
          <cell r="N25">
            <v>29485.429050840365</v>
          </cell>
          <cell r="O25">
            <v>30690.785369543446</v>
          </cell>
          <cell r="P25">
            <v>31830.340061503244</v>
          </cell>
          <cell r="Q25">
            <v>32402.764807895317</v>
          </cell>
          <cell r="R25">
            <v>32549.026321072866</v>
          </cell>
          <cell r="S25">
            <v>32716.417517171165</v>
          </cell>
          <cell r="T25">
            <v>32949.665109092901</v>
          </cell>
          <cell r="U25">
            <v>32542.500128762946</v>
          </cell>
          <cell r="V25">
            <v>32620.787051941912</v>
          </cell>
          <cell r="W25">
            <v>36133.148244520977</v>
          </cell>
          <cell r="X25">
            <v>37432.058367497273</v>
          </cell>
          <cell r="Y25">
            <v>37364.79805758578</v>
          </cell>
          <cell r="Z25">
            <v>36640.91261487759</v>
          </cell>
          <cell r="AA25">
            <v>34693.297880913546</v>
          </cell>
          <cell r="AB25">
            <v>32137.764613547028</v>
          </cell>
        </row>
        <row r="26">
          <cell r="D26">
            <v>3</v>
          </cell>
          <cell r="E26">
            <v>30996.052704442474</v>
          </cell>
          <cell r="F26">
            <v>29409.261691063537</v>
          </cell>
          <cell r="G26">
            <v>27992.877824463649</v>
          </cell>
          <cell r="H26">
            <v>26999.173649375687</v>
          </cell>
          <cell r="I26">
            <v>26538.376960118247</v>
          </cell>
          <cell r="J26">
            <v>26238.188316381445</v>
          </cell>
          <cell r="K26">
            <v>24956.370710504681</v>
          </cell>
          <cell r="L26">
            <v>26156.530812727702</v>
          </cell>
          <cell r="M26">
            <v>27895.442946247662</v>
          </cell>
          <cell r="N26">
            <v>29485.429050840365</v>
          </cell>
          <cell r="O26">
            <v>30690.785369543446</v>
          </cell>
          <cell r="P26">
            <v>31830.340061503244</v>
          </cell>
          <cell r="Q26">
            <v>32402.764807895317</v>
          </cell>
          <cell r="R26">
            <v>32549.026321072866</v>
          </cell>
          <cell r="S26">
            <v>32716.417517171165</v>
          </cell>
          <cell r="T26">
            <v>32949.665109092901</v>
          </cell>
          <cell r="U26">
            <v>32542.500128762946</v>
          </cell>
          <cell r="V26">
            <v>32620.787051941912</v>
          </cell>
          <cell r="W26">
            <v>36133.148244520977</v>
          </cell>
          <cell r="X26">
            <v>37432.058367497273</v>
          </cell>
          <cell r="Y26">
            <v>37364.79805758578</v>
          </cell>
          <cell r="Z26">
            <v>36640.91261487759</v>
          </cell>
          <cell r="AA26">
            <v>34693.297880913546</v>
          </cell>
          <cell r="AB26">
            <v>32137.764613547028</v>
          </cell>
        </row>
        <row r="27">
          <cell r="D27">
            <v>21</v>
          </cell>
          <cell r="E27">
            <v>30395.844276137803</v>
          </cell>
          <cell r="F27">
            <v>29085.349899503719</v>
          </cell>
          <cell r="G27">
            <v>27800.849934217225</v>
          </cell>
          <cell r="H27">
            <v>27082.906721965759</v>
          </cell>
          <cell r="I27">
            <v>26911.35934265656</v>
          </cell>
          <cell r="J27">
            <v>26631.992212651156</v>
          </cell>
          <cell r="K27">
            <v>26724.448608505405</v>
          </cell>
          <cell r="L27">
            <v>29728.437027182965</v>
          </cell>
          <cell r="M27">
            <v>33138.129354871882</v>
          </cell>
          <cell r="N27">
            <v>35152.856719394193</v>
          </cell>
          <cell r="O27">
            <v>36827.751478934297</v>
          </cell>
          <cell r="P27">
            <v>37883.009304566243</v>
          </cell>
          <cell r="Q27">
            <v>37178.978375892839</v>
          </cell>
          <cell r="R27">
            <v>36733.116539038318</v>
          </cell>
          <cell r="S27">
            <v>36987.955230082094</v>
          </cell>
          <cell r="T27">
            <v>36982.469232993171</v>
          </cell>
          <cell r="U27">
            <v>36400.850723826203</v>
          </cell>
          <cell r="V27">
            <v>36190.634336787705</v>
          </cell>
          <cell r="W27">
            <v>39862.094675289736</v>
          </cell>
          <cell r="X27">
            <v>40179.26803805853</v>
          </cell>
          <cell r="Y27">
            <v>39195.290325732487</v>
          </cell>
          <cell r="Z27">
            <v>37833.651125955381</v>
          </cell>
          <cell r="AA27">
            <v>35972.758475000061</v>
          </cell>
          <cell r="AB27">
            <v>33718.584682452696</v>
          </cell>
        </row>
        <row r="28">
          <cell r="D28">
            <v>4</v>
          </cell>
          <cell r="E28">
            <v>29346.765455519366</v>
          </cell>
          <cell r="F28">
            <v>27900.402023271781</v>
          </cell>
          <cell r="G28">
            <v>26801.732566538692</v>
          </cell>
          <cell r="H28">
            <v>25991.611667096819</v>
          </cell>
          <cell r="I28">
            <v>26015.885152667237</v>
          </cell>
          <cell r="J28">
            <v>26336.739573260376</v>
          </cell>
          <cell r="K28">
            <v>26928.481895125253</v>
          </cell>
          <cell r="L28">
            <v>29858.651222347191</v>
          </cell>
          <cell r="M28">
            <v>32869.661347750727</v>
          </cell>
          <cell r="N28">
            <v>34623.624739062732</v>
          </cell>
          <cell r="O28">
            <v>36196.624789732501</v>
          </cell>
          <cell r="P28">
            <v>37282.510621938709</v>
          </cell>
          <cell r="Q28">
            <v>36262.554121614943</v>
          </cell>
          <cell r="R28">
            <v>36978.157530843368</v>
          </cell>
          <cell r="S28">
            <v>38210.399414966305</v>
          </cell>
          <cell r="T28">
            <v>38292.525978093479</v>
          </cell>
          <cell r="U28">
            <v>37689.473223921646</v>
          </cell>
          <cell r="V28">
            <v>36866.291942855358</v>
          </cell>
          <cell r="W28">
            <v>39406.8707230277</v>
          </cell>
          <cell r="X28">
            <v>39747.551865194029</v>
          </cell>
          <cell r="Y28">
            <v>38712.272819875441</v>
          </cell>
          <cell r="Z28">
            <v>37014.493465088613</v>
          </cell>
          <cell r="AA28">
            <v>34348.708881845647</v>
          </cell>
          <cell r="AB28">
            <v>31404.883935662521</v>
          </cell>
        </row>
        <row r="29">
          <cell r="D29">
            <v>5</v>
          </cell>
          <cell r="E29">
            <v>31627.05484879779</v>
          </cell>
          <cell r="F29">
            <v>30025.554671780559</v>
          </cell>
          <cell r="G29">
            <v>28698.886915310624</v>
          </cell>
          <cell r="H29">
            <v>27793.901541011655</v>
          </cell>
          <cell r="I29">
            <v>27263.670743276904</v>
          </cell>
          <cell r="J29">
            <v>26455.143014121415</v>
          </cell>
          <cell r="K29">
            <v>25645.054541443813</v>
          </cell>
          <cell r="L29">
            <v>27081.657709916675</v>
          </cell>
          <cell r="M29">
            <v>28980.271359217324</v>
          </cell>
          <cell r="N29">
            <v>30692.262462067003</v>
          </cell>
          <cell r="O29">
            <v>32045.748661933132</v>
          </cell>
          <cell r="P29">
            <v>33150.171249611922</v>
          </cell>
          <cell r="Q29">
            <v>33658.62256737829</v>
          </cell>
          <cell r="R29">
            <v>33752.590831074362</v>
          </cell>
          <cell r="S29">
            <v>33567.422634134135</v>
          </cell>
          <cell r="T29">
            <v>33418.147067865408</v>
          </cell>
          <cell r="U29">
            <v>33077.142340623817</v>
          </cell>
          <cell r="V29">
            <v>33393.131660235602</v>
          </cell>
          <cell r="W29">
            <v>37310.469751033597</v>
          </cell>
          <cell r="X29">
            <v>38432.203270204496</v>
          </cell>
          <cell r="Y29">
            <v>38172.607246939391</v>
          </cell>
          <cell r="Z29">
            <v>37000.964803687173</v>
          </cell>
          <cell r="AA29">
            <v>34744.415176242321</v>
          </cell>
          <cell r="AB29">
            <v>32051.286514926731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20</v>
          </cell>
          <cell r="E31">
            <v>30920.795048426993</v>
          </cell>
          <cell r="F31">
            <v>29311.846839240683</v>
          </cell>
          <cell r="G31">
            <v>28013.531930942667</v>
          </cell>
          <cell r="H31">
            <v>26903.179515530905</v>
          </cell>
          <cell r="I31">
            <v>26603.880522602612</v>
          </cell>
          <cell r="J31">
            <v>26182.517523400267</v>
          </cell>
          <cell r="K31">
            <v>26569.488955945097</v>
          </cell>
          <cell r="L31">
            <v>29427.301806107669</v>
          </cell>
          <cell r="M31">
            <v>32758.020498619033</v>
          </cell>
          <cell r="N31">
            <v>34595.604417459908</v>
          </cell>
          <cell r="O31">
            <v>35761.965145323018</v>
          </cell>
          <cell r="P31">
            <v>36619.061874257808</v>
          </cell>
          <cell r="Q31">
            <v>35989.958749519043</v>
          </cell>
          <cell r="R31">
            <v>35342.600880405131</v>
          </cell>
          <cell r="S31">
            <v>35318.80737296756</v>
          </cell>
          <cell r="T31">
            <v>35119.756793011409</v>
          </cell>
          <cell r="U31">
            <v>34642.595795034693</v>
          </cell>
          <cell r="V31">
            <v>34855.043688129401</v>
          </cell>
          <cell r="W31">
            <v>38637.994720458577</v>
          </cell>
          <cell r="X31">
            <v>38997.598821763742</v>
          </cell>
          <cell r="Y31">
            <v>37741.855988152493</v>
          </cell>
          <cell r="Z31">
            <v>36184.218583063004</v>
          </cell>
          <cell r="AA31">
            <v>34135.843632533819</v>
          </cell>
          <cell r="AB31">
            <v>31841.452674224372</v>
          </cell>
        </row>
        <row r="32">
          <cell r="D32">
            <v>4</v>
          </cell>
          <cell r="E32">
            <v>28505.705241889798</v>
          </cell>
          <cell r="F32">
            <v>27095.610314090165</v>
          </cell>
          <cell r="G32">
            <v>26063.54986551591</v>
          </cell>
          <cell r="H32">
            <v>25352.674147963033</v>
          </cell>
          <cell r="I32">
            <v>25261.457676467457</v>
          </cell>
          <cell r="J32">
            <v>25229.701538325855</v>
          </cell>
          <cell r="K32">
            <v>25613.981257546726</v>
          </cell>
          <cell r="L32">
            <v>28615.740190948811</v>
          </cell>
          <cell r="M32">
            <v>31550.86008415624</v>
          </cell>
          <cell r="N32">
            <v>33245.729144904704</v>
          </cell>
          <cell r="O32">
            <v>34901.439870957707</v>
          </cell>
          <cell r="P32">
            <v>36094.028695773733</v>
          </cell>
          <cell r="Q32">
            <v>35306.618553799148</v>
          </cell>
          <cell r="R32">
            <v>35682.991404105778</v>
          </cell>
          <cell r="S32">
            <v>36622.222513657696</v>
          </cell>
          <cell r="T32">
            <v>36576.35747595867</v>
          </cell>
          <cell r="U32">
            <v>36049.500412207868</v>
          </cell>
          <cell r="V32">
            <v>35349.240556610865</v>
          </cell>
          <cell r="W32">
            <v>37924.053150502063</v>
          </cell>
          <cell r="X32">
            <v>38638.658309896731</v>
          </cell>
          <cell r="Y32">
            <v>37586.338750158866</v>
          </cell>
          <cell r="Z32">
            <v>35858.483814712068</v>
          </cell>
          <cell r="AA32">
            <v>33261.097914915379</v>
          </cell>
          <cell r="AB32">
            <v>30552.285877798371</v>
          </cell>
        </row>
        <row r="33">
          <cell r="D33">
            <v>4</v>
          </cell>
          <cell r="E33">
            <v>28484.708192234921</v>
          </cell>
          <cell r="F33">
            <v>27369.252124696461</v>
          </cell>
          <cell r="G33">
            <v>26225.29176474928</v>
          </cell>
          <cell r="H33">
            <v>25617.036850746608</v>
          </cell>
          <cell r="I33">
            <v>25421.932141599304</v>
          </cell>
          <cell r="J33">
            <v>24791.012836054662</v>
          </cell>
          <cell r="K33">
            <v>24687.925942796603</v>
          </cell>
          <cell r="L33">
            <v>26600.9475972939</v>
          </cell>
          <cell r="M33">
            <v>28819.088230661298</v>
          </cell>
          <cell r="N33">
            <v>30543.807028100695</v>
          </cell>
          <cell r="O33">
            <v>31855.007496314691</v>
          </cell>
          <cell r="P33">
            <v>33484.105083416631</v>
          </cell>
          <cell r="Q33">
            <v>34396.740917101641</v>
          </cell>
          <cell r="R33">
            <v>34569.6803147955</v>
          </cell>
          <cell r="S33">
            <v>34609.51076814947</v>
          </cell>
          <cell r="T33">
            <v>34677.342812928175</v>
          </cell>
          <cell r="U33">
            <v>34323.542705276624</v>
          </cell>
          <cell r="V33">
            <v>34332.489937915918</v>
          </cell>
          <cell r="W33">
            <v>38372.759301408943</v>
          </cell>
          <cell r="X33">
            <v>39829.205955487283</v>
          </cell>
          <cell r="Y33">
            <v>39586.703121510443</v>
          </cell>
          <cell r="Z33">
            <v>38252.848520958243</v>
          </cell>
          <cell r="AA33">
            <v>35806.508194095855</v>
          </cell>
          <cell r="AB33">
            <v>32947.787706142277</v>
          </cell>
        </row>
        <row r="34">
          <cell r="D34">
            <v>3</v>
          </cell>
          <cell r="E34">
            <v>28484.708192234921</v>
          </cell>
          <cell r="F34">
            <v>27369.252124696461</v>
          </cell>
          <cell r="G34">
            <v>26225.29176474928</v>
          </cell>
          <cell r="H34">
            <v>25617.036850746608</v>
          </cell>
          <cell r="I34">
            <v>25421.932141599304</v>
          </cell>
          <cell r="J34">
            <v>24791.012836054662</v>
          </cell>
          <cell r="K34">
            <v>24687.925942796603</v>
          </cell>
          <cell r="L34">
            <v>26600.9475972939</v>
          </cell>
          <cell r="M34">
            <v>28819.088230661298</v>
          </cell>
          <cell r="N34">
            <v>30543.807028100695</v>
          </cell>
          <cell r="O34">
            <v>31855.007496314691</v>
          </cell>
          <cell r="P34">
            <v>33484.105083416631</v>
          </cell>
          <cell r="Q34">
            <v>34396.740917101641</v>
          </cell>
          <cell r="R34">
            <v>34569.6803147955</v>
          </cell>
          <cell r="S34">
            <v>34609.51076814947</v>
          </cell>
          <cell r="T34">
            <v>34677.342812928175</v>
          </cell>
          <cell r="U34">
            <v>34323.542705276624</v>
          </cell>
          <cell r="V34">
            <v>34332.489937915918</v>
          </cell>
          <cell r="W34">
            <v>38372.759301408943</v>
          </cell>
          <cell r="X34">
            <v>39829.205955487283</v>
          </cell>
          <cell r="Y34">
            <v>39586.703121510443</v>
          </cell>
          <cell r="Z34">
            <v>38252.848520958243</v>
          </cell>
          <cell r="AA34">
            <v>35806.508194095855</v>
          </cell>
          <cell r="AB34">
            <v>32947.787706142277</v>
          </cell>
        </row>
        <row r="35">
          <cell r="D35">
            <v>20</v>
          </cell>
          <cell r="E35">
            <v>27991.420731367383</v>
          </cell>
          <cell r="F35">
            <v>26601.785515203992</v>
          </cell>
          <cell r="G35">
            <v>25575.066236585724</v>
          </cell>
          <cell r="H35">
            <v>24889.927350261441</v>
          </cell>
          <cell r="I35">
            <v>24706.911650101167</v>
          </cell>
          <cell r="J35">
            <v>24444.412851226618</v>
          </cell>
          <cell r="K35">
            <v>24852.29002561</v>
          </cell>
          <cell r="L35">
            <v>27845.857739357732</v>
          </cell>
          <cell r="M35">
            <v>31137.483810460246</v>
          </cell>
          <cell r="N35">
            <v>33161.399151823112</v>
          </cell>
          <cell r="O35">
            <v>34920.15702686258</v>
          </cell>
          <cell r="P35">
            <v>35888.08852667165</v>
          </cell>
          <cell r="Q35">
            <v>35358.270967014207</v>
          </cell>
          <cell r="R35">
            <v>34751.168146728101</v>
          </cell>
          <cell r="S35">
            <v>34780.482304584781</v>
          </cell>
          <cell r="T35">
            <v>34680.475213874917</v>
          </cell>
          <cell r="U35">
            <v>34329.121537258507</v>
          </cell>
          <cell r="V35">
            <v>34365.788320151129</v>
          </cell>
          <cell r="W35">
            <v>37326.353817358664</v>
          </cell>
          <cell r="X35">
            <v>37859.188361838031</v>
          </cell>
          <cell r="Y35">
            <v>36540.084242469253</v>
          </cell>
          <cell r="Z35">
            <v>35034.568713265726</v>
          </cell>
          <cell r="AA35">
            <v>33176.504720708464</v>
          </cell>
          <cell r="AB35">
            <v>31077.082416990914</v>
          </cell>
        </row>
        <row r="36">
          <cell r="D36">
            <v>5</v>
          </cell>
          <cell r="E36">
            <v>28825.839786934015</v>
          </cell>
          <cell r="F36">
            <v>27407.288442966597</v>
          </cell>
          <cell r="G36">
            <v>26329.363996592441</v>
          </cell>
          <cell r="H36">
            <v>25581.425279160158</v>
          </cell>
          <cell r="I36">
            <v>25493.408876318812</v>
          </cell>
          <cell r="J36">
            <v>25779.522389914193</v>
          </cell>
          <cell r="K36">
            <v>25954.488663668042</v>
          </cell>
          <cell r="L36">
            <v>28874.307589080123</v>
          </cell>
          <cell r="M36">
            <v>31958.927015887206</v>
          </cell>
          <cell r="N36">
            <v>33743.826948745729</v>
          </cell>
          <cell r="O36">
            <v>35428.091751860193</v>
          </cell>
          <cell r="P36">
            <v>36527.268299399075</v>
          </cell>
          <cell r="Q36">
            <v>35597.13832560803</v>
          </cell>
          <cell r="R36">
            <v>36453.415728389991</v>
          </cell>
          <cell r="S36">
            <v>37691.201239404421</v>
          </cell>
          <cell r="T36">
            <v>37740.704801510976</v>
          </cell>
          <cell r="U36">
            <v>37038.257195841099</v>
          </cell>
          <cell r="V36">
            <v>35820.882149692145</v>
          </cell>
          <cell r="W36">
            <v>37926.620422883112</v>
          </cell>
          <cell r="X36">
            <v>39036.365380974057</v>
          </cell>
          <cell r="Y36">
            <v>38146.162495434532</v>
          </cell>
          <cell r="Z36">
            <v>36529.414912108485</v>
          </cell>
          <cell r="AA36">
            <v>33893.740285683634</v>
          </cell>
          <cell r="AB36">
            <v>31135.620820380758</v>
          </cell>
        </row>
        <row r="37">
          <cell r="D37">
            <v>4</v>
          </cell>
          <cell r="E37">
            <v>27438.165300123306</v>
          </cell>
          <cell r="F37">
            <v>26329.180149390832</v>
          </cell>
          <cell r="G37">
            <v>25422.996699403477</v>
          </cell>
          <cell r="H37">
            <v>24835.872920220743</v>
          </cell>
          <cell r="I37">
            <v>24601.677515725689</v>
          </cell>
          <cell r="J37">
            <v>23912.768466207246</v>
          </cell>
          <cell r="K37">
            <v>23598.133777663639</v>
          </cell>
          <cell r="L37">
            <v>25520.530213757858</v>
          </cell>
          <cell r="M37">
            <v>27743.559671774878</v>
          </cell>
          <cell r="N37">
            <v>29128.757684919157</v>
          </cell>
          <cell r="O37">
            <v>30771.43995208534</v>
          </cell>
          <cell r="P37">
            <v>31987.087404815647</v>
          </cell>
          <cell r="Q37">
            <v>32607.093921864845</v>
          </cell>
          <cell r="R37">
            <v>32477.8475402726</v>
          </cell>
          <cell r="S37">
            <v>32207.694631446564</v>
          </cell>
          <cell r="T37">
            <v>31959.330859698548</v>
          </cell>
          <cell r="U37">
            <v>31714.921630349232</v>
          </cell>
          <cell r="V37">
            <v>32193.344139303648</v>
          </cell>
          <cell r="W37">
            <v>36079.723776672341</v>
          </cell>
          <cell r="X37">
            <v>37513.503455900449</v>
          </cell>
          <cell r="Y37">
            <v>37037.477046068198</v>
          </cell>
          <cell r="Z37">
            <v>35669.030963355159</v>
          </cell>
          <cell r="AA37">
            <v>33258.529143864325</v>
          </cell>
          <cell r="AB37">
            <v>30494.366297441236</v>
          </cell>
        </row>
        <row r="38">
          <cell r="D38">
            <v>1</v>
          </cell>
          <cell r="E38">
            <v>27438.165300123306</v>
          </cell>
          <cell r="F38">
            <v>26329.180149390832</v>
          </cell>
          <cell r="G38">
            <v>25422.996699403477</v>
          </cell>
          <cell r="H38">
            <v>24835.872920220743</v>
          </cell>
          <cell r="I38">
            <v>24601.677515725689</v>
          </cell>
          <cell r="J38">
            <v>23912.768466207246</v>
          </cell>
          <cell r="K38">
            <v>23598.133777663639</v>
          </cell>
          <cell r="L38">
            <v>25520.530213757858</v>
          </cell>
          <cell r="M38">
            <v>27743.559671774878</v>
          </cell>
          <cell r="N38">
            <v>29128.757684919157</v>
          </cell>
          <cell r="O38">
            <v>30771.43995208534</v>
          </cell>
          <cell r="P38">
            <v>31987.087404815647</v>
          </cell>
          <cell r="Q38">
            <v>32607.093921864845</v>
          </cell>
          <cell r="R38">
            <v>32477.8475402726</v>
          </cell>
          <cell r="S38">
            <v>32207.694631446564</v>
          </cell>
          <cell r="T38">
            <v>31959.330859698548</v>
          </cell>
          <cell r="U38">
            <v>31714.921630349232</v>
          </cell>
          <cell r="V38">
            <v>32193.344139303648</v>
          </cell>
          <cell r="W38">
            <v>36079.723776672341</v>
          </cell>
          <cell r="X38">
            <v>37513.503455900449</v>
          </cell>
          <cell r="Y38">
            <v>37037.477046068198</v>
          </cell>
          <cell r="Z38">
            <v>35669.030963355159</v>
          </cell>
          <cell r="AA38">
            <v>33258.529143864325</v>
          </cell>
          <cell r="AB38">
            <v>30494.366297441236</v>
          </cell>
        </row>
        <row r="39">
          <cell r="D39">
            <v>20</v>
          </cell>
          <cell r="E39">
            <v>28687.69695306924</v>
          </cell>
          <cell r="F39">
            <v>27307.094647517428</v>
          </cell>
          <cell r="G39">
            <v>26396.985413022216</v>
          </cell>
          <cell r="H39">
            <v>25723.245016679906</v>
          </cell>
          <cell r="I39">
            <v>25618.746218390705</v>
          </cell>
          <cell r="J39">
            <v>25499.335791032227</v>
          </cell>
          <cell r="K39">
            <v>25734.07230213732</v>
          </cell>
          <cell r="L39">
            <v>28736.038723042206</v>
          </cell>
          <cell r="M39">
            <v>32228.518384757543</v>
          </cell>
          <cell r="N39">
            <v>34207.173379284599</v>
          </cell>
          <cell r="O39">
            <v>35986.927145217138</v>
          </cell>
          <cell r="P39">
            <v>36796.715674949344</v>
          </cell>
          <cell r="Q39">
            <v>36316.693298443628</v>
          </cell>
          <cell r="R39">
            <v>35813.06087714676</v>
          </cell>
          <cell r="S39">
            <v>35871.757864424559</v>
          </cell>
          <cell r="T39">
            <v>35969.974173987182</v>
          </cell>
          <cell r="U39">
            <v>35467.032847191374</v>
          </cell>
          <cell r="V39">
            <v>35387.354131304106</v>
          </cell>
          <cell r="W39">
            <v>38384.650479044001</v>
          </cell>
          <cell r="X39">
            <v>39404.65369495011</v>
          </cell>
          <cell r="Y39">
            <v>38149.865848513866</v>
          </cell>
          <cell r="Z39">
            <v>36458.36476740153</v>
          </cell>
          <cell r="AA39">
            <v>34306.237171479668</v>
          </cell>
          <cell r="AB39">
            <v>32013.458985091554</v>
          </cell>
        </row>
        <row r="40">
          <cell r="D40">
            <v>4</v>
          </cell>
          <cell r="E40">
            <v>30513.514590864143</v>
          </cell>
          <cell r="F40">
            <v>28915.397430068857</v>
          </cell>
          <cell r="G40">
            <v>27744.073020760759</v>
          </cell>
          <cell r="H40">
            <v>26917.646624420657</v>
          </cell>
          <cell r="I40">
            <v>26860.663644104603</v>
          </cell>
          <cell r="J40">
            <v>27352.69525617205</v>
          </cell>
          <cell r="K40">
            <v>27513.118648291136</v>
          </cell>
          <cell r="L40">
            <v>30513.075614852318</v>
          </cell>
          <cell r="M40">
            <v>33742.151363746802</v>
          </cell>
          <cell r="N40">
            <v>35577.341463892692</v>
          </cell>
          <cell r="O40">
            <v>37432.077538001206</v>
          </cell>
          <cell r="P40">
            <v>38770.51836874459</v>
          </cell>
          <cell r="Q40">
            <v>37757.700549853384</v>
          </cell>
          <cell r="R40">
            <v>38514.535298234419</v>
          </cell>
          <cell r="S40">
            <v>39786.345913153418</v>
          </cell>
          <cell r="T40">
            <v>39786.71435593682</v>
          </cell>
          <cell r="U40">
            <v>39027.576338357925</v>
          </cell>
          <cell r="V40">
            <v>37907.688878002104</v>
          </cell>
          <cell r="W40">
            <v>40512.86185092989</v>
          </cell>
          <cell r="X40">
            <v>41347.661308236435</v>
          </cell>
          <cell r="Y40">
            <v>40473.650955960919</v>
          </cell>
          <cell r="Z40">
            <v>38752.496827801937</v>
          </cell>
          <cell r="AA40">
            <v>35923.257291017435</v>
          </cell>
          <cell r="AB40">
            <v>32877.622090444354</v>
          </cell>
        </row>
        <row r="41">
          <cell r="D41">
            <v>5</v>
          </cell>
          <cell r="E41">
            <v>28780.815092513025</v>
          </cell>
          <cell r="F41">
            <v>27624.721223897497</v>
          </cell>
          <cell r="G41">
            <v>26646.112121151087</v>
          </cell>
          <cell r="H41">
            <v>25750.268222068113</v>
          </cell>
          <cell r="I41">
            <v>25449.498378067918</v>
          </cell>
          <cell r="J41">
            <v>25052.913217885729</v>
          </cell>
          <cell r="K41">
            <v>24575.438889382847</v>
          </cell>
          <cell r="L41">
            <v>26407.926567291466</v>
          </cell>
          <cell r="M41">
            <v>28802.654259498056</v>
          </cell>
          <cell r="N41">
            <v>30735.08017570513</v>
          </cell>
          <cell r="O41">
            <v>32121.024152259393</v>
          </cell>
          <cell r="P41">
            <v>32823.452852025453</v>
          </cell>
          <cell r="Q41">
            <v>34028.662134818318</v>
          </cell>
          <cell r="R41">
            <v>34107.828337346597</v>
          </cell>
          <cell r="S41">
            <v>34047.272529865193</v>
          </cell>
          <cell r="T41">
            <v>34144.907880334933</v>
          </cell>
          <cell r="U41">
            <v>33878.238945430632</v>
          </cell>
          <cell r="V41">
            <v>33571.366853136467</v>
          </cell>
          <cell r="W41">
            <v>37101.151306528067</v>
          </cell>
          <cell r="X41">
            <v>39136.347869949059</v>
          </cell>
          <cell r="Y41">
            <v>38607.124210981667</v>
          </cell>
          <cell r="Z41">
            <v>37284.714675801268</v>
          </cell>
          <cell r="AA41">
            <v>35048.125251660567</v>
          </cell>
          <cell r="AB41">
            <v>32557.847937166287</v>
          </cell>
        </row>
        <row r="42">
          <cell r="D42">
            <v>2</v>
          </cell>
          <cell r="E42">
            <v>28780.815092513025</v>
          </cell>
          <cell r="F42">
            <v>27624.721223897497</v>
          </cell>
          <cell r="G42">
            <v>26646.112121151087</v>
          </cell>
          <cell r="H42">
            <v>25750.268222068113</v>
          </cell>
          <cell r="I42">
            <v>25449.498378067918</v>
          </cell>
          <cell r="J42">
            <v>25052.913217885729</v>
          </cell>
          <cell r="K42">
            <v>24575.438889382847</v>
          </cell>
          <cell r="L42">
            <v>26407.926567291466</v>
          </cell>
          <cell r="M42">
            <v>28802.654259498056</v>
          </cell>
          <cell r="N42">
            <v>30735.08017570513</v>
          </cell>
          <cell r="O42">
            <v>32121.024152259393</v>
          </cell>
          <cell r="P42">
            <v>32823.452852025453</v>
          </cell>
          <cell r="Q42">
            <v>34028.662134818318</v>
          </cell>
          <cell r="R42">
            <v>34107.828337346597</v>
          </cell>
          <cell r="S42">
            <v>34047.272529865193</v>
          </cell>
          <cell r="T42">
            <v>34144.907880334933</v>
          </cell>
          <cell r="U42">
            <v>33878.238945430632</v>
          </cell>
          <cell r="V42">
            <v>33571.366853136467</v>
          </cell>
          <cell r="W42">
            <v>37101.151306528067</v>
          </cell>
          <cell r="X42">
            <v>39136.347869949059</v>
          </cell>
          <cell r="Y42">
            <v>38607.124210981667</v>
          </cell>
          <cell r="Z42">
            <v>37284.714675801268</v>
          </cell>
          <cell r="AA42">
            <v>35048.125251660567</v>
          </cell>
          <cell r="AB42">
            <v>32557.847937166287</v>
          </cell>
        </row>
        <row r="43">
          <cell r="D43">
            <v>21</v>
          </cell>
          <cell r="E43">
            <v>29653.594443565275</v>
          </cell>
          <cell r="F43">
            <v>28055.673218328531</v>
          </cell>
          <cell r="G43">
            <v>26863.442395955579</v>
          </cell>
          <cell r="H43">
            <v>26065.021677506214</v>
          </cell>
          <cell r="I43">
            <v>25771.743187703825</v>
          </cell>
          <cell r="J43">
            <v>25697.862115919997</v>
          </cell>
          <cell r="K43">
            <v>25782.259241789659</v>
          </cell>
          <cell r="L43">
            <v>28757.233507470555</v>
          </cell>
          <cell r="M43">
            <v>32106.891938052995</v>
          </cell>
          <cell r="N43">
            <v>34165.568233462131</v>
          </cell>
          <cell r="O43">
            <v>35875.274182161607</v>
          </cell>
          <cell r="P43">
            <v>36965.944474651355</v>
          </cell>
          <cell r="Q43">
            <v>36352.573348415579</v>
          </cell>
          <cell r="R43">
            <v>35834.52787602599</v>
          </cell>
          <cell r="S43">
            <v>35780.569269277708</v>
          </cell>
          <cell r="T43">
            <v>35488.597225440564</v>
          </cell>
          <cell r="U43">
            <v>34777.204437670211</v>
          </cell>
          <cell r="V43">
            <v>34731.085223228547</v>
          </cell>
          <cell r="W43">
            <v>37879.868869054277</v>
          </cell>
          <cell r="X43">
            <v>38366.045658073876</v>
          </cell>
          <cell r="Y43">
            <v>37241.711334075058</v>
          </cell>
          <cell r="Z43">
            <v>35691.580475458919</v>
          </cell>
          <cell r="AA43">
            <v>33504.805361870101</v>
          </cell>
          <cell r="AB43">
            <v>31176.054681102265</v>
          </cell>
        </row>
        <row r="44">
          <cell r="D44">
            <v>4</v>
          </cell>
          <cell r="E44">
            <v>29261.822267966989</v>
          </cell>
          <cell r="F44">
            <v>27809.363809553975</v>
          </cell>
          <cell r="G44">
            <v>26698.480385714291</v>
          </cell>
          <cell r="H44">
            <v>25915.089965856776</v>
          </cell>
          <cell r="I44">
            <v>25840.302582015171</v>
          </cell>
          <cell r="J44">
            <v>26263.039318277522</v>
          </cell>
          <cell r="K44">
            <v>26543.286905220579</v>
          </cell>
          <cell r="L44">
            <v>29571.410991265788</v>
          </cell>
          <cell r="M44">
            <v>32674.456210648132</v>
          </cell>
          <cell r="N44">
            <v>34432.261304193431</v>
          </cell>
          <cell r="O44">
            <v>36256.862806512196</v>
          </cell>
          <cell r="P44">
            <v>37491.441545423317</v>
          </cell>
          <cell r="Q44">
            <v>36529.450687226861</v>
          </cell>
          <cell r="R44">
            <v>37393.369648215099</v>
          </cell>
          <cell r="S44">
            <v>38691.983426106577</v>
          </cell>
          <cell r="T44">
            <v>38719.50043429785</v>
          </cell>
          <cell r="U44">
            <v>38005.782435431574</v>
          </cell>
          <cell r="V44">
            <v>37366.992098151648</v>
          </cell>
          <cell r="W44">
            <v>40111.72775307353</v>
          </cell>
          <cell r="X44">
            <v>39948.803710963955</v>
          </cell>
          <cell r="Y44">
            <v>38917.856429447726</v>
          </cell>
          <cell r="Z44">
            <v>37134.151462608686</v>
          </cell>
          <cell r="AA44">
            <v>34291.245389644806</v>
          </cell>
          <cell r="AB44">
            <v>31374.58689917377</v>
          </cell>
        </row>
        <row r="45">
          <cell r="D45">
            <v>4</v>
          </cell>
          <cell r="E45">
            <v>29247.240428249122</v>
          </cell>
          <cell r="F45">
            <v>27722.995948557957</v>
          </cell>
          <cell r="G45">
            <v>26539.164236246543</v>
          </cell>
          <cell r="H45">
            <v>25682.934597446412</v>
          </cell>
          <cell r="I45">
            <v>25323.612398040517</v>
          </cell>
          <cell r="J45">
            <v>24839.452957438731</v>
          </cell>
          <cell r="K45">
            <v>24309.747036842189</v>
          </cell>
          <cell r="L45">
            <v>26078.237799533013</v>
          </cell>
          <cell r="M45">
            <v>28025.319367414566</v>
          </cell>
          <cell r="N45">
            <v>29780.111554541159</v>
          </cell>
          <cell r="O45">
            <v>31443.815558445931</v>
          </cell>
          <cell r="P45">
            <v>32867.343682525207</v>
          </cell>
          <cell r="Q45">
            <v>33391.172984662015</v>
          </cell>
          <cell r="R45">
            <v>33230.89988939889</v>
          </cell>
          <cell r="S45">
            <v>33081.550664763767</v>
          </cell>
          <cell r="T45">
            <v>33186.975122037402</v>
          </cell>
          <cell r="U45">
            <v>32884.233736007271</v>
          </cell>
          <cell r="V45">
            <v>32847.029880796035</v>
          </cell>
          <cell r="W45">
            <v>36656.519435259004</v>
          </cell>
          <cell r="X45">
            <v>38721.710167034675</v>
          </cell>
          <cell r="Y45">
            <v>38515.193780788926</v>
          </cell>
          <cell r="Z45">
            <v>37065.99948677553</v>
          </cell>
          <cell r="AA45">
            <v>34553.119935767761</v>
          </cell>
          <cell r="AB45">
            <v>31800.398878673317</v>
          </cell>
        </row>
        <row r="46">
          <cell r="D46">
            <v>2</v>
          </cell>
          <cell r="E46">
            <v>29247.240428249122</v>
          </cell>
          <cell r="F46">
            <v>27722.995948557957</v>
          </cell>
          <cell r="G46">
            <v>26539.164236246543</v>
          </cell>
          <cell r="H46">
            <v>25682.934597446412</v>
          </cell>
          <cell r="I46">
            <v>25323.612398040517</v>
          </cell>
          <cell r="J46">
            <v>24839.452957438731</v>
          </cell>
          <cell r="K46">
            <v>24309.747036842189</v>
          </cell>
          <cell r="L46">
            <v>26078.237799533013</v>
          </cell>
          <cell r="M46">
            <v>28025.319367414566</v>
          </cell>
          <cell r="N46">
            <v>29780.111554541159</v>
          </cell>
          <cell r="O46">
            <v>31443.815558445931</v>
          </cell>
          <cell r="P46">
            <v>32867.343682525207</v>
          </cell>
          <cell r="Q46">
            <v>33391.172984662015</v>
          </cell>
          <cell r="R46">
            <v>33230.89988939889</v>
          </cell>
          <cell r="S46">
            <v>33081.550664763767</v>
          </cell>
          <cell r="T46">
            <v>33186.975122037402</v>
          </cell>
          <cell r="U46">
            <v>32884.233736007271</v>
          </cell>
          <cell r="V46">
            <v>32847.029880796035</v>
          </cell>
          <cell r="W46">
            <v>36656.519435259004</v>
          </cell>
          <cell r="X46">
            <v>38721.710167034675</v>
          </cell>
          <cell r="Y46">
            <v>38515.193780788926</v>
          </cell>
          <cell r="Z46">
            <v>37065.99948677553</v>
          </cell>
          <cell r="AA46">
            <v>34553.119935767761</v>
          </cell>
          <cell r="AB46">
            <v>31800.398878673317</v>
          </cell>
        </row>
        <row r="47">
          <cell r="D47">
            <v>20</v>
          </cell>
          <cell r="E47">
            <v>29994.014265294594</v>
          </cell>
          <cell r="F47">
            <v>28463.148140116562</v>
          </cell>
          <cell r="G47">
            <v>27278.691960161083</v>
          </cell>
          <cell r="H47">
            <v>26439.591422169873</v>
          </cell>
          <cell r="I47">
            <v>26193.384771853966</v>
          </cell>
          <cell r="J47">
            <v>25855.228345528205</v>
          </cell>
          <cell r="K47">
            <v>26022.484437954405</v>
          </cell>
          <cell r="L47">
            <v>29117.211783473282</v>
          </cell>
          <cell r="M47">
            <v>32422.429662374569</v>
          </cell>
          <cell r="N47">
            <v>34328.572289074793</v>
          </cell>
          <cell r="O47">
            <v>35952.532947105719</v>
          </cell>
          <cell r="P47">
            <v>36758.731809210178</v>
          </cell>
          <cell r="Q47">
            <v>36061.6671248028</v>
          </cell>
          <cell r="R47">
            <v>35541.195122182347</v>
          </cell>
          <cell r="S47">
            <v>35498.710704556717</v>
          </cell>
          <cell r="T47">
            <v>35437.692495700903</v>
          </cell>
          <cell r="U47">
            <v>34907.725832373275</v>
          </cell>
          <cell r="V47">
            <v>35316.595312424994</v>
          </cell>
          <cell r="W47">
            <v>38987.014349784135</v>
          </cell>
          <cell r="X47">
            <v>38614.971341489821</v>
          </cell>
          <cell r="Y47">
            <v>37274.830900004061</v>
          </cell>
          <cell r="Z47">
            <v>35609.261296420205</v>
          </cell>
          <cell r="AA47">
            <v>33605.463200211918</v>
          </cell>
          <cell r="AB47">
            <v>31396.407829494812</v>
          </cell>
        </row>
        <row r="48">
          <cell r="D48">
            <v>5</v>
          </cell>
          <cell r="E48">
            <v>28039.753058031405</v>
          </cell>
          <cell r="F48">
            <v>26628.56329169291</v>
          </cell>
          <cell r="G48">
            <v>25643.843723185091</v>
          </cell>
          <cell r="H48">
            <v>24917.987677102756</v>
          </cell>
          <cell r="I48">
            <v>24929.894985085553</v>
          </cell>
          <cell r="J48">
            <v>25343.054433274803</v>
          </cell>
          <cell r="K48">
            <v>25858.911447124385</v>
          </cell>
          <cell r="L48">
            <v>29013.707014040683</v>
          </cell>
          <cell r="M48">
            <v>32086.504469117393</v>
          </cell>
          <cell r="N48">
            <v>33763.387457950215</v>
          </cell>
          <cell r="O48">
            <v>35537.722221132346</v>
          </cell>
          <cell r="P48">
            <v>36760.625757076872</v>
          </cell>
          <cell r="Q48">
            <v>35707.928564133457</v>
          </cell>
          <cell r="R48">
            <v>36510.986338211005</v>
          </cell>
          <cell r="S48">
            <v>37865.674136510912</v>
          </cell>
          <cell r="T48">
            <v>37933.96237406016</v>
          </cell>
          <cell r="U48">
            <v>37148.9093310178</v>
          </cell>
          <cell r="V48">
            <v>37251.417436837575</v>
          </cell>
          <cell r="W48">
            <v>39497.847166863488</v>
          </cell>
          <cell r="X48">
            <v>38826.977371828412</v>
          </cell>
          <cell r="Y48">
            <v>37585.299708857186</v>
          </cell>
          <cell r="Z48">
            <v>35756.995142271619</v>
          </cell>
          <cell r="AA48">
            <v>33122.543316610274</v>
          </cell>
          <cell r="AB48">
            <v>30385.420750444773</v>
          </cell>
        </row>
        <row r="49">
          <cell r="D49">
            <v>5</v>
          </cell>
          <cell r="E49">
            <v>28894.518927346217</v>
          </cell>
          <cell r="F49">
            <v>27488.773567079803</v>
          </cell>
          <cell r="G49">
            <v>26448.151466446365</v>
          </cell>
          <cell r="H49">
            <v>25662.115661640019</v>
          </cell>
          <cell r="I49">
            <v>25703.227034803975</v>
          </cell>
          <cell r="J49">
            <v>26513.286916293717</v>
          </cell>
          <cell r="K49">
            <v>27023.696398934124</v>
          </cell>
          <cell r="L49">
            <v>30370.648163726251</v>
          </cell>
          <cell r="M49">
            <v>33684.605680695946</v>
          </cell>
          <cell r="N49">
            <v>35438.939131101368</v>
          </cell>
          <cell r="O49">
            <v>37435.948265634761</v>
          </cell>
          <cell r="P49">
            <v>38780.397644748969</v>
          </cell>
          <cell r="Q49">
            <v>37415.423083306203</v>
          </cell>
          <cell r="R49">
            <v>38738.518807165106</v>
          </cell>
          <cell r="S49">
            <v>40614.779057682652</v>
          </cell>
          <cell r="T49">
            <v>40665.663880658612</v>
          </cell>
          <cell r="U49">
            <v>39742.59963668813</v>
          </cell>
          <cell r="V49">
            <v>38595.04041308671</v>
          </cell>
          <cell r="W49">
            <v>40851.220237308386</v>
          </cell>
          <cell r="X49">
            <v>40549.507073056622</v>
          </cell>
          <cell r="Y49">
            <v>39503.436178403514</v>
          </cell>
          <cell r="Z49">
            <v>37637.226119063584</v>
          </cell>
          <cell r="AA49">
            <v>34552.726115349506</v>
          </cell>
          <cell r="AB49">
            <v>31453.187910132619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28922.225921324112</v>
          </cell>
          <cell r="F51">
            <v>27459.69346488197</v>
          </cell>
          <cell r="G51">
            <v>26295.58730391776</v>
          </cell>
          <cell r="H51">
            <v>25333.337172828258</v>
          </cell>
          <cell r="I51">
            <v>24968.222912247991</v>
          </cell>
          <cell r="J51">
            <v>24765.47037200358</v>
          </cell>
          <cell r="K51">
            <v>25288.241962755619</v>
          </cell>
          <cell r="L51">
            <v>28461.129222368214</v>
          </cell>
          <cell r="M51">
            <v>31704.193600456114</v>
          </cell>
          <cell r="N51">
            <v>33586.80245864809</v>
          </cell>
          <cell r="O51">
            <v>35321.882043026177</v>
          </cell>
          <cell r="P51">
            <v>36231.991603638482</v>
          </cell>
          <cell r="Q51">
            <v>35588.061436517382</v>
          </cell>
          <cell r="R51">
            <v>35166.472930456977</v>
          </cell>
          <cell r="S51">
            <v>35311.271909263589</v>
          </cell>
          <cell r="T51">
            <v>35241.590456159065</v>
          </cell>
          <cell r="U51">
            <v>34788.396341032087</v>
          </cell>
          <cell r="V51">
            <v>35692.83765206144</v>
          </cell>
          <cell r="W51">
            <v>38946.835911972943</v>
          </cell>
          <cell r="X51">
            <v>38296.068044015614</v>
          </cell>
          <cell r="Y51">
            <v>36941.144007870324</v>
          </cell>
          <cell r="Z51">
            <v>35219.204282067425</v>
          </cell>
          <cell r="AA51">
            <v>33165.456468242897</v>
          </cell>
          <cell r="AB51">
            <v>30969.436151128099</v>
          </cell>
        </row>
        <row r="52">
          <cell r="D52">
            <v>4</v>
          </cell>
          <cell r="E52">
            <v>26882.14675457442</v>
          </cell>
          <cell r="F52">
            <v>25554.357610962546</v>
          </cell>
          <cell r="G52">
            <v>24571.940141868949</v>
          </cell>
          <cell r="H52">
            <v>23983.119850586161</v>
          </cell>
          <cell r="I52">
            <v>24065.47533134227</v>
          </cell>
          <cell r="J52">
            <v>24534.372605918059</v>
          </cell>
          <cell r="K52">
            <v>24979.006578122124</v>
          </cell>
          <cell r="L52">
            <v>27902.061771747329</v>
          </cell>
          <cell r="M52">
            <v>30820.101509249085</v>
          </cell>
          <cell r="N52">
            <v>32530.057554847295</v>
          </cell>
          <cell r="O52">
            <v>34099.031520691904</v>
          </cell>
          <cell r="P52">
            <v>35269.347835079898</v>
          </cell>
          <cell r="Q52">
            <v>34276.862431455098</v>
          </cell>
          <cell r="R52">
            <v>34726.502564826078</v>
          </cell>
          <cell r="S52">
            <v>35750.604684202772</v>
          </cell>
          <cell r="T52">
            <v>35847.937372551161</v>
          </cell>
          <cell r="U52">
            <v>35383.224364429705</v>
          </cell>
          <cell r="V52">
            <v>36026.071866046019</v>
          </cell>
          <cell r="W52">
            <v>38512.24882279904</v>
          </cell>
          <cell r="X52">
            <v>37763.643936332563</v>
          </cell>
          <cell r="Y52">
            <v>36296.1629789621</v>
          </cell>
          <cell r="Z52">
            <v>34275.701979767749</v>
          </cell>
          <cell r="AA52">
            <v>31641.05810077153</v>
          </cell>
          <cell r="AB52">
            <v>29000.449419756158</v>
          </cell>
        </row>
        <row r="53">
          <cell r="D53">
            <v>4</v>
          </cell>
          <cell r="E53">
            <v>27169.558782609201</v>
          </cell>
          <cell r="F53">
            <v>26019.27719555359</v>
          </cell>
          <cell r="G53">
            <v>25104.391169478957</v>
          </cell>
          <cell r="H53">
            <v>24541.370841680906</v>
          </cell>
          <cell r="I53">
            <v>24345.897906560393</v>
          </cell>
          <cell r="J53">
            <v>23962.20682863567</v>
          </cell>
          <cell r="K53">
            <v>23392.186925970876</v>
          </cell>
          <cell r="L53">
            <v>25231.093636002435</v>
          </cell>
          <cell r="M53">
            <v>26756.650032958489</v>
          </cell>
          <cell r="N53">
            <v>28882.859515900604</v>
          </cell>
          <cell r="O53">
            <v>30542.26328640565</v>
          </cell>
          <cell r="P53">
            <v>31854.70366047783</v>
          </cell>
          <cell r="Q53">
            <v>32520.654603559677</v>
          </cell>
          <cell r="R53">
            <v>32534.449343021053</v>
          </cell>
          <cell r="S53">
            <v>32588.215152395813</v>
          </cell>
          <cell r="T53">
            <v>32670.281741177761</v>
          </cell>
          <cell r="U53">
            <v>32375.180657308334</v>
          </cell>
          <cell r="V53">
            <v>33750.354898358019</v>
          </cell>
          <cell r="W53">
            <v>37604.879226311925</v>
          </cell>
          <cell r="X53">
            <v>38065.264329392819</v>
          </cell>
          <cell r="Y53">
            <v>37467.22958538933</v>
          </cell>
          <cell r="Z53">
            <v>36053.454886655403</v>
          </cell>
          <cell r="AA53">
            <v>33366.308170191078</v>
          </cell>
          <cell r="AB53">
            <v>30492.517151861513</v>
          </cell>
        </row>
        <row r="54">
          <cell r="D54">
            <v>1</v>
          </cell>
          <cell r="E54">
            <v>27169.558782609201</v>
          </cell>
          <cell r="F54">
            <v>26019.27719555359</v>
          </cell>
          <cell r="G54">
            <v>25104.391169478957</v>
          </cell>
          <cell r="H54">
            <v>24541.370841680906</v>
          </cell>
          <cell r="I54">
            <v>24345.897906560393</v>
          </cell>
          <cell r="J54">
            <v>23962.20682863567</v>
          </cell>
          <cell r="K54">
            <v>23392.186925970876</v>
          </cell>
          <cell r="L54">
            <v>25231.093636002435</v>
          </cell>
          <cell r="M54">
            <v>26756.650032958489</v>
          </cell>
          <cell r="N54">
            <v>28882.859515900604</v>
          </cell>
          <cell r="O54">
            <v>30542.26328640565</v>
          </cell>
          <cell r="P54">
            <v>31854.70366047783</v>
          </cell>
          <cell r="Q54">
            <v>32520.654603559677</v>
          </cell>
          <cell r="R54">
            <v>32534.449343021053</v>
          </cell>
          <cell r="S54">
            <v>32588.215152395813</v>
          </cell>
          <cell r="T54">
            <v>32670.281741177761</v>
          </cell>
          <cell r="U54">
            <v>32375.180657308334</v>
          </cell>
          <cell r="V54">
            <v>33750.354898358019</v>
          </cell>
          <cell r="W54">
            <v>37604.879226311925</v>
          </cell>
          <cell r="X54">
            <v>38065.264329392819</v>
          </cell>
          <cell r="Y54">
            <v>37467.22958538933</v>
          </cell>
          <cell r="Z54">
            <v>36053.454886655403</v>
          </cell>
          <cell r="AA54">
            <v>33366.308170191078</v>
          </cell>
          <cell r="AB54">
            <v>30492.517151861513</v>
          </cell>
        </row>
        <row r="55">
          <cell r="D55">
            <v>20</v>
          </cell>
          <cell r="E55">
            <v>28565.977868905793</v>
          </cell>
          <cell r="F55">
            <v>27168.515847785889</v>
          </cell>
          <cell r="G55">
            <v>26159.164181035198</v>
          </cell>
          <cell r="H55">
            <v>25498.316281772921</v>
          </cell>
          <cell r="I55">
            <v>25504.215275060658</v>
          </cell>
          <cell r="J55">
            <v>25716.376418955319</v>
          </cell>
          <cell r="K55">
            <v>25894.308871161105</v>
          </cell>
          <cell r="L55">
            <v>29141.538231567276</v>
          </cell>
          <cell r="M55">
            <v>32607.345382492589</v>
          </cell>
          <cell r="N55">
            <v>34813.910842732206</v>
          </cell>
          <cell r="O55">
            <v>36479.972000490285</v>
          </cell>
          <cell r="P55">
            <v>37353.854133485627</v>
          </cell>
          <cell r="Q55">
            <v>36604.125187616883</v>
          </cell>
          <cell r="R55">
            <v>35966.176480698356</v>
          </cell>
          <cell r="S55">
            <v>35876.892397283424</v>
          </cell>
          <cell r="T55">
            <v>35791.479283557375</v>
          </cell>
          <cell r="U55">
            <v>35425.066213784492</v>
          </cell>
          <cell r="V55">
            <v>36606.167929731651</v>
          </cell>
          <cell r="W55">
            <v>39838.436388437534</v>
          </cell>
          <cell r="X55">
            <v>38999.514801848549</v>
          </cell>
          <cell r="Y55">
            <v>37417.307221448049</v>
          </cell>
          <cell r="Z55">
            <v>35627.31991750055</v>
          </cell>
          <cell r="AA55">
            <v>33410.831672246582</v>
          </cell>
          <cell r="AB55">
            <v>31006.881518623642</v>
          </cell>
        </row>
        <row r="56">
          <cell r="D56">
            <v>4</v>
          </cell>
          <cell r="E56">
            <v>31131.373665999679</v>
          </cell>
          <cell r="F56">
            <v>29555.586803302573</v>
          </cell>
          <cell r="G56">
            <v>28391.197351023984</v>
          </cell>
          <cell r="H56">
            <v>27590.27640666856</v>
          </cell>
          <cell r="I56">
            <v>27420.657036910907</v>
          </cell>
          <cell r="J56">
            <v>27611.181709844022</v>
          </cell>
          <cell r="K56">
            <v>27462.974437020956</v>
          </cell>
          <cell r="L56">
            <v>30591.790528454203</v>
          </cell>
          <cell r="M56">
            <v>33845.068855440804</v>
          </cell>
          <cell r="N56">
            <v>35730.300302274096</v>
          </cell>
          <cell r="O56">
            <v>37394.111688908866</v>
          </cell>
          <cell r="P56">
            <v>38691.684860123671</v>
          </cell>
          <cell r="Q56">
            <v>37857.369471986603</v>
          </cell>
          <cell r="R56">
            <v>38251.767269261218</v>
          </cell>
          <cell r="S56">
            <v>39344.764262027093</v>
          </cell>
          <cell r="T56">
            <v>39406.476968822077</v>
          </cell>
          <cell r="U56">
            <v>38781.934637793966</v>
          </cell>
          <cell r="V56">
            <v>38882.703840827104</v>
          </cell>
          <cell r="W56">
            <v>42152.077496351056</v>
          </cell>
          <cell r="X56">
            <v>41476.425366262571</v>
          </cell>
          <cell r="Y56">
            <v>40138.606499293492</v>
          </cell>
          <cell r="Z56">
            <v>38365.735213060281</v>
          </cell>
          <cell r="AA56">
            <v>35988.591608631541</v>
          </cell>
          <cell r="AB56">
            <v>33318.423586351535</v>
          </cell>
        </row>
        <row r="57">
          <cell r="D57">
            <v>4</v>
          </cell>
          <cell r="E57">
            <v>28706.304512917173</v>
          </cell>
          <cell r="F57">
            <v>27181.08984462664</v>
          </cell>
          <cell r="G57">
            <v>26023.27751827527</v>
          </cell>
          <cell r="H57">
            <v>25133.983533304407</v>
          </cell>
          <cell r="I57">
            <v>24832.671085798069</v>
          </cell>
          <cell r="J57">
            <v>24453.972439464625</v>
          </cell>
          <cell r="K57">
            <v>23767.611715221788</v>
          </cell>
          <cell r="L57">
            <v>25333.142590756761</v>
          </cell>
          <cell r="M57">
            <v>27212.824217605685</v>
          </cell>
          <cell r="N57">
            <v>28680.235829090423</v>
          </cell>
          <cell r="O57">
            <v>29882.213724341109</v>
          </cell>
          <cell r="P57">
            <v>30947.638239376356</v>
          </cell>
          <cell r="Q57">
            <v>31280.103835062564</v>
          </cell>
          <cell r="R57">
            <v>31438.659204470023</v>
          </cell>
          <cell r="S57">
            <v>30986.858386924072</v>
          </cell>
          <cell r="T57">
            <v>31018.532633199753</v>
          </cell>
          <cell r="U57">
            <v>31093.805002611763</v>
          </cell>
          <cell r="V57">
            <v>33051.322525923366</v>
          </cell>
          <cell r="W57">
            <v>36879.808940974719</v>
          </cell>
          <cell r="X57">
            <v>37016.519527466677</v>
          </cell>
          <cell r="Y57">
            <v>35865.215290434491</v>
          </cell>
          <cell r="Z57">
            <v>33713.762843345023</v>
          </cell>
          <cell r="AA57">
            <v>30991.659754715525</v>
          </cell>
          <cell r="AB57">
            <v>28428.046898231525</v>
          </cell>
        </row>
        <row r="58">
          <cell r="D58">
            <v>2</v>
          </cell>
          <cell r="E58">
            <v>28706.304512917173</v>
          </cell>
          <cell r="F58">
            <v>27181.08984462664</v>
          </cell>
          <cell r="G58">
            <v>26023.27751827527</v>
          </cell>
          <cell r="H58">
            <v>25133.983533304407</v>
          </cell>
          <cell r="I58">
            <v>24832.671085798069</v>
          </cell>
          <cell r="J58">
            <v>24453.972439464625</v>
          </cell>
          <cell r="K58">
            <v>23767.611715221788</v>
          </cell>
          <cell r="L58">
            <v>25333.142590756761</v>
          </cell>
          <cell r="M58">
            <v>27212.824217605685</v>
          </cell>
          <cell r="N58">
            <v>28680.235829090423</v>
          </cell>
          <cell r="O58">
            <v>29882.213724341109</v>
          </cell>
          <cell r="P58">
            <v>30947.638239376356</v>
          </cell>
          <cell r="Q58">
            <v>31280.103835062564</v>
          </cell>
          <cell r="R58">
            <v>31438.659204470023</v>
          </cell>
          <cell r="S58">
            <v>30986.858386924072</v>
          </cell>
          <cell r="T58">
            <v>31018.532633199753</v>
          </cell>
          <cell r="U58">
            <v>31093.805002611763</v>
          </cell>
          <cell r="V58">
            <v>33051.322525923366</v>
          </cell>
          <cell r="W58">
            <v>36879.808940974719</v>
          </cell>
          <cell r="X58">
            <v>37016.519527466677</v>
          </cell>
          <cell r="Y58">
            <v>35865.215290434491</v>
          </cell>
          <cell r="Z58">
            <v>33713.762843345023</v>
          </cell>
          <cell r="AA58">
            <v>30991.659754715525</v>
          </cell>
          <cell r="AB58">
            <v>28428.046898231525</v>
          </cell>
        </row>
        <row r="59">
          <cell r="D59">
            <v>20</v>
          </cell>
          <cell r="E59">
            <v>30263.620369783679</v>
          </cell>
          <cell r="F59">
            <v>28666.49019065726</v>
          </cell>
          <cell r="G59">
            <v>27459.25132669216</v>
          </cell>
          <cell r="H59">
            <v>26620.121979005206</v>
          </cell>
          <cell r="I59">
            <v>26435.739069489548</v>
          </cell>
          <cell r="J59">
            <v>26570.025704704458</v>
          </cell>
          <cell r="K59">
            <v>26262.046322126494</v>
          </cell>
          <cell r="L59">
            <v>29079.182617402636</v>
          </cell>
          <cell r="M59">
            <v>32153.775604469403</v>
          </cell>
          <cell r="N59">
            <v>34099.066280519932</v>
          </cell>
          <cell r="O59">
            <v>35530.822890588599</v>
          </cell>
          <cell r="P59">
            <v>36389.972477296498</v>
          </cell>
          <cell r="Q59">
            <v>35602.620728957896</v>
          </cell>
          <cell r="R59">
            <v>35037.87130833976</v>
          </cell>
          <cell r="S59">
            <v>35123.040714295064</v>
          </cell>
          <cell r="T59">
            <v>35098.555573119083</v>
          </cell>
          <cell r="U59">
            <v>34663.444878062335</v>
          </cell>
          <cell r="V59">
            <v>35593.090515810436</v>
          </cell>
          <cell r="W59">
            <v>39197.763369953202</v>
          </cell>
          <cell r="X59">
            <v>38343.630412440099</v>
          </cell>
          <cell r="Y59">
            <v>36694.719628916093</v>
          </cell>
          <cell r="Z59">
            <v>34888.674520329943</v>
          </cell>
          <cell r="AA59">
            <v>33136.813454520445</v>
          </cell>
          <cell r="AB59">
            <v>31173.699530945494</v>
          </cell>
        </row>
        <row r="60">
          <cell r="D60">
            <v>4</v>
          </cell>
          <cell r="E60">
            <v>29703.489296031414</v>
          </cell>
          <cell r="F60">
            <v>28203.860018274136</v>
          </cell>
          <cell r="G60">
            <v>27077.636079695385</v>
          </cell>
          <cell r="H60">
            <v>26295.569569258598</v>
          </cell>
          <cell r="I60">
            <v>26209.770490541094</v>
          </cell>
          <cell r="J60">
            <v>26632.420349909102</v>
          </cell>
          <cell r="K60">
            <v>26745.635596301297</v>
          </cell>
          <cell r="L60">
            <v>29679.829781459386</v>
          </cell>
          <cell r="M60">
            <v>32721.999612445743</v>
          </cell>
          <cell r="N60">
            <v>34480.203425825341</v>
          </cell>
          <cell r="O60">
            <v>36198.418595799216</v>
          </cell>
          <cell r="P60">
            <v>37405.825210480041</v>
          </cell>
          <cell r="Q60">
            <v>36464.242535188198</v>
          </cell>
          <cell r="R60">
            <v>37188.069917156543</v>
          </cell>
          <cell r="S60">
            <v>38413.129570417266</v>
          </cell>
          <cell r="T60">
            <v>38498.935431021833</v>
          </cell>
          <cell r="U60">
            <v>37836.904072029247</v>
          </cell>
          <cell r="V60">
            <v>37156.003322483804</v>
          </cell>
          <cell r="W60">
            <v>39734.118224844242</v>
          </cell>
          <cell r="X60">
            <v>39973.108496616136</v>
          </cell>
          <cell r="Y60">
            <v>38966.819311279214</v>
          </cell>
          <cell r="Z60">
            <v>37277.630328971441</v>
          </cell>
          <cell r="AA60">
            <v>34689.468801499614</v>
          </cell>
          <cell r="AB60">
            <v>31921.58466876224</v>
          </cell>
        </row>
        <row r="61">
          <cell r="D61">
            <v>5</v>
          </cell>
          <cell r="E61">
            <v>29525.605219298937</v>
          </cell>
          <cell r="F61">
            <v>28609.921040301895</v>
          </cell>
          <cell r="G61">
            <v>27743.89950700082</v>
          </cell>
          <cell r="H61">
            <v>26913.746241382192</v>
          </cell>
          <cell r="I61">
            <v>26435.225206070168</v>
          </cell>
          <cell r="J61">
            <v>25743.098659945728</v>
          </cell>
          <cell r="K61">
            <v>24144.113163420934</v>
          </cell>
          <cell r="L61">
            <v>24946.232925725555</v>
          </cell>
          <cell r="M61">
            <v>26250.34015282715</v>
          </cell>
          <cell r="N61">
            <v>27474.728231772991</v>
          </cell>
          <cell r="O61">
            <v>28616.169739683512</v>
          </cell>
          <cell r="P61">
            <v>29586.34387546944</v>
          </cell>
          <cell r="Q61">
            <v>30116.622676804865</v>
          </cell>
          <cell r="R61">
            <v>30140.064464886058</v>
          </cell>
          <cell r="S61">
            <v>30003.685714392945</v>
          </cell>
          <cell r="T61">
            <v>30169.560826168214</v>
          </cell>
          <cell r="U61">
            <v>30155.485175546182</v>
          </cell>
          <cell r="V61">
            <v>31130.218572033173</v>
          </cell>
          <cell r="W61">
            <v>35466.290059252569</v>
          </cell>
          <cell r="X61">
            <v>35794.249112686783</v>
          </cell>
          <cell r="Y61">
            <v>35340.827450614626</v>
          </cell>
          <cell r="Z61">
            <v>34266.284348798828</v>
          </cell>
          <cell r="AA61">
            <v>32495.282020869952</v>
          </cell>
          <cell r="AB61">
            <v>30440.532726898331</v>
          </cell>
        </row>
        <row r="62">
          <cell r="D62">
            <v>2</v>
          </cell>
          <cell r="E62">
            <v>29525.605219298937</v>
          </cell>
          <cell r="F62">
            <v>28609.921040301895</v>
          </cell>
          <cell r="G62">
            <v>27743.89950700082</v>
          </cell>
          <cell r="H62">
            <v>26913.746241382192</v>
          </cell>
          <cell r="I62">
            <v>26435.225206070168</v>
          </cell>
          <cell r="J62">
            <v>25743.098659945728</v>
          </cell>
          <cell r="K62">
            <v>24144.113163420934</v>
          </cell>
          <cell r="L62">
            <v>24946.232925725555</v>
          </cell>
          <cell r="M62">
            <v>26250.34015282715</v>
          </cell>
          <cell r="N62">
            <v>27474.728231772991</v>
          </cell>
          <cell r="O62">
            <v>28616.169739683512</v>
          </cell>
          <cell r="P62">
            <v>29586.34387546944</v>
          </cell>
          <cell r="Q62">
            <v>30116.622676804865</v>
          </cell>
          <cell r="R62">
            <v>30140.064464886058</v>
          </cell>
          <cell r="S62">
            <v>30003.685714392945</v>
          </cell>
          <cell r="T62">
            <v>30169.560826168214</v>
          </cell>
          <cell r="U62">
            <v>30155.485175546182</v>
          </cell>
          <cell r="V62">
            <v>31130.218572033173</v>
          </cell>
          <cell r="W62">
            <v>35466.290059252569</v>
          </cell>
          <cell r="X62">
            <v>35794.249112686783</v>
          </cell>
          <cell r="Y62">
            <v>35340.827450614626</v>
          </cell>
          <cell r="Z62">
            <v>34266.284348798828</v>
          </cell>
          <cell r="AA62">
            <v>32495.282020869952</v>
          </cell>
          <cell r="AB62">
            <v>30440.532726898331</v>
          </cell>
        </row>
      </sheetData>
      <sheetData sheetId="28">
        <row r="15">
          <cell r="D15">
            <v>21</v>
          </cell>
          <cell r="E15">
            <v>34940.412428613919</v>
          </cell>
          <cell r="F15">
            <v>33046.729307608417</v>
          </cell>
          <cell r="G15">
            <v>31677.931091997947</v>
          </cell>
          <cell r="H15">
            <v>30720.924514914936</v>
          </cell>
          <cell r="I15">
            <v>30494.081242283217</v>
          </cell>
          <cell r="J15">
            <v>31238.484335548983</v>
          </cell>
          <cell r="K15">
            <v>31005.886909016255</v>
          </cell>
          <cell r="L15">
            <v>34672.312756209416</v>
          </cell>
          <cell r="M15">
            <v>38617.548790537236</v>
          </cell>
          <cell r="N15">
            <v>40902.210662644866</v>
          </cell>
          <cell r="O15">
            <v>43259.102199444613</v>
          </cell>
          <cell r="P15">
            <v>44935.228200861377</v>
          </cell>
          <cell r="Q15">
            <v>43686.638702086435</v>
          </cell>
          <cell r="R15">
            <v>44912.243896655447</v>
          </cell>
          <cell r="S15">
            <v>46956.248594900091</v>
          </cell>
          <cell r="T15">
            <v>47150.117307288812</v>
          </cell>
          <cell r="U15">
            <v>46174.124150472831</v>
          </cell>
          <cell r="V15">
            <v>44318.597935678503</v>
          </cell>
          <cell r="W15">
            <v>46949.441465741911</v>
          </cell>
          <cell r="X15">
            <v>47093.40749480691</v>
          </cell>
          <cell r="Y15">
            <v>45980.410117547603</v>
          </cell>
          <cell r="Z15">
            <v>44204.129942102634</v>
          </cell>
          <cell r="AA15">
            <v>41275.297528606396</v>
          </cell>
          <cell r="AB15">
            <v>37986.7778767329</v>
          </cell>
        </row>
        <row r="16">
          <cell r="D16">
            <v>4</v>
          </cell>
          <cell r="E16">
            <v>35203.706802463115</v>
          </cell>
          <cell r="F16">
            <v>33334.530481867732</v>
          </cell>
          <cell r="G16">
            <v>31949.711019657756</v>
          </cell>
          <cell r="H16">
            <v>30857.11754408629</v>
          </cell>
          <cell r="I16">
            <v>30570.656076300216</v>
          </cell>
          <cell r="J16">
            <v>30704.727550757958</v>
          </cell>
          <cell r="K16">
            <v>29911.278642597463</v>
          </cell>
          <cell r="L16">
            <v>32758.32725813457</v>
          </cell>
          <cell r="M16">
            <v>36518.531455455144</v>
          </cell>
          <cell r="N16">
            <v>39006.987008148761</v>
          </cell>
          <cell r="O16">
            <v>41055.863509332143</v>
          </cell>
          <cell r="P16">
            <v>42340.128684434392</v>
          </cell>
          <cell r="Q16">
            <v>41740.003882644683</v>
          </cell>
          <cell r="R16">
            <v>41319.222960153602</v>
          </cell>
          <cell r="S16">
            <v>41554.59027803543</v>
          </cell>
          <cell r="T16">
            <v>41541.353651072874</v>
          </cell>
          <cell r="U16">
            <v>40928.333535792823</v>
          </cell>
          <cell r="V16">
            <v>40615.321490570474</v>
          </cell>
          <cell r="W16">
            <v>44789.729683714097</v>
          </cell>
          <cell r="X16">
            <v>45238.179479179642</v>
          </cell>
          <cell r="Y16">
            <v>43987.810615074675</v>
          </cell>
          <cell r="Z16">
            <v>42430.658506299034</v>
          </cell>
          <cell r="AA16">
            <v>40315.789964971467</v>
          </cell>
          <cell r="AB16">
            <v>37846.170692104271</v>
          </cell>
        </row>
        <row r="17">
          <cell r="D17">
            <v>4</v>
          </cell>
          <cell r="E17">
            <v>35596.002015945465</v>
          </cell>
          <cell r="F17">
            <v>33793.494231058947</v>
          </cell>
          <cell r="G17">
            <v>32331.694955578052</v>
          </cell>
          <cell r="H17">
            <v>31163.357821017751</v>
          </cell>
          <cell r="I17">
            <v>30569.453985238928</v>
          </cell>
          <cell r="J17">
            <v>30276.555249990022</v>
          </cell>
          <cell r="K17">
            <v>28715.277063281406</v>
          </cell>
          <cell r="L17">
            <v>29998.594940213799</v>
          </cell>
          <cell r="M17">
            <v>32142.172645278413</v>
          </cell>
          <cell r="N17">
            <v>34326.549232399004</v>
          </cell>
          <cell r="O17">
            <v>35669.95974026886</v>
          </cell>
          <cell r="P17">
            <v>36866.225990810373</v>
          </cell>
          <cell r="Q17">
            <v>37578.472608852178</v>
          </cell>
          <cell r="R17">
            <v>37739.04152212177</v>
          </cell>
          <cell r="S17">
            <v>37843.685098884038</v>
          </cell>
          <cell r="T17">
            <v>37906.587945535772</v>
          </cell>
          <cell r="U17">
            <v>37684.651414974942</v>
          </cell>
          <cell r="V17">
            <v>37723.124119683904</v>
          </cell>
          <cell r="W17">
            <v>42291.915601743647</v>
          </cell>
          <cell r="X17">
            <v>43673.068498868961</v>
          </cell>
          <cell r="Y17">
            <v>43514.5341817765</v>
          </cell>
          <cell r="Z17">
            <v>42312.177767991881</v>
          </cell>
          <cell r="AA17">
            <v>40037.561577647692</v>
          </cell>
          <cell r="AB17">
            <v>37254.774590639201</v>
          </cell>
        </row>
        <row r="18">
          <cell r="D18">
            <v>2</v>
          </cell>
          <cell r="E18">
            <v>35596.002015945465</v>
          </cell>
          <cell r="F18">
            <v>33793.494231058947</v>
          </cell>
          <cell r="G18">
            <v>32331.694955578052</v>
          </cell>
          <cell r="H18">
            <v>31163.357821017751</v>
          </cell>
          <cell r="I18">
            <v>30569.453985238928</v>
          </cell>
          <cell r="J18">
            <v>30276.555249990022</v>
          </cell>
          <cell r="K18">
            <v>28715.277063281406</v>
          </cell>
          <cell r="L18">
            <v>29998.594940213799</v>
          </cell>
          <cell r="M18">
            <v>32142.172645278413</v>
          </cell>
          <cell r="N18">
            <v>34326.549232399004</v>
          </cell>
          <cell r="O18">
            <v>35669.95974026886</v>
          </cell>
          <cell r="P18">
            <v>36866.225990810373</v>
          </cell>
          <cell r="Q18">
            <v>37578.472608852178</v>
          </cell>
          <cell r="R18">
            <v>37739.04152212177</v>
          </cell>
          <cell r="S18">
            <v>37843.685098884038</v>
          </cell>
          <cell r="T18">
            <v>37906.587945535772</v>
          </cell>
          <cell r="U18">
            <v>37684.651414974942</v>
          </cell>
          <cell r="V18">
            <v>37723.124119683904</v>
          </cell>
          <cell r="W18">
            <v>42291.915601743647</v>
          </cell>
          <cell r="X18">
            <v>43673.068498868961</v>
          </cell>
          <cell r="Y18">
            <v>43514.5341817765</v>
          </cell>
          <cell r="Z18">
            <v>42312.177767991881</v>
          </cell>
          <cell r="AA18">
            <v>40037.561577647692</v>
          </cell>
          <cell r="AB18">
            <v>37254.774590639201</v>
          </cell>
        </row>
        <row r="19">
          <cell r="D19">
            <v>21</v>
          </cell>
          <cell r="E19">
            <v>34960.634614585644</v>
          </cell>
          <cell r="F19">
            <v>33115.794972974036</v>
          </cell>
          <cell r="G19">
            <v>31798.046559737606</v>
          </cell>
          <cell r="H19">
            <v>30935.446494183463</v>
          </cell>
          <cell r="I19">
            <v>30998.781143103879</v>
          </cell>
          <cell r="J19">
            <v>32720.545358452626</v>
          </cell>
          <cell r="K19">
            <v>32633.125493656677</v>
          </cell>
          <cell r="L19">
            <v>36002.033918564863</v>
          </cell>
          <cell r="M19">
            <v>39399.071975166684</v>
          </cell>
          <cell r="N19">
            <v>41067.22764982099</v>
          </cell>
          <cell r="O19">
            <v>43060.169968706992</v>
          </cell>
          <cell r="P19">
            <v>44397.257847684727</v>
          </cell>
          <cell r="Q19">
            <v>42726.323041625707</v>
          </cell>
          <cell r="R19">
            <v>44250.132059339528</v>
          </cell>
          <cell r="S19">
            <v>46489.721897304276</v>
          </cell>
          <cell r="T19">
            <v>46777.556248624074</v>
          </cell>
          <cell r="U19">
            <v>45958.309650263458</v>
          </cell>
          <cell r="V19">
            <v>44001.082249116298</v>
          </cell>
          <cell r="W19">
            <v>46339.83912150572</v>
          </cell>
          <cell r="X19">
            <v>47089.851607845245</v>
          </cell>
          <cell r="Y19">
            <v>46157.451187159953</v>
          </cell>
          <cell r="Z19">
            <v>44147.403517573497</v>
          </cell>
          <cell r="AA19">
            <v>40871.272483386529</v>
          </cell>
          <cell r="AB19">
            <v>37576.78640657205</v>
          </cell>
        </row>
        <row r="20">
          <cell r="D20">
            <v>4</v>
          </cell>
          <cell r="E20">
            <v>35072.12411914931</v>
          </cell>
          <cell r="F20">
            <v>33364.404966980794</v>
          </cell>
          <cell r="G20">
            <v>31880.158935421314</v>
          </cell>
          <cell r="H20">
            <v>30873.362175957922</v>
          </cell>
          <cell r="I20">
            <v>30488.958429662169</v>
          </cell>
          <cell r="J20">
            <v>30794.04514655449</v>
          </cell>
          <cell r="K20">
            <v>30483.593467824237</v>
          </cell>
          <cell r="L20">
            <v>33513.032776923108</v>
          </cell>
          <cell r="M20">
            <v>37155.45216736383</v>
          </cell>
          <cell r="N20">
            <v>39443.199088469933</v>
          </cell>
          <cell r="O20">
            <v>41313.731315109544</v>
          </cell>
          <cell r="P20">
            <v>42552.661560236309</v>
          </cell>
          <cell r="Q20">
            <v>41810.410594347348</v>
          </cell>
          <cell r="R20">
            <v>41322.614560999275</v>
          </cell>
          <cell r="S20">
            <v>41539.583895007912</v>
          </cell>
          <cell r="T20">
            <v>41534.374399431741</v>
          </cell>
          <cell r="U20">
            <v>40903.805649446069</v>
          </cell>
          <cell r="V20">
            <v>40618.891367919336</v>
          </cell>
          <cell r="W20">
            <v>44492.018219418998</v>
          </cell>
          <cell r="X20">
            <v>45396.200711042635</v>
          </cell>
          <cell r="Y20">
            <v>44216.606985117542</v>
          </cell>
          <cell r="Z20">
            <v>42623.459588819002</v>
          </cell>
          <cell r="AA20">
            <v>40458.174336366588</v>
          </cell>
          <cell r="AB20">
            <v>37911.428190130646</v>
          </cell>
        </row>
        <row r="21">
          <cell r="D21">
            <v>4</v>
          </cell>
          <cell r="E21">
            <v>35617.315063186739</v>
          </cell>
          <cell r="F21">
            <v>33793.676895530378</v>
          </cell>
          <cell r="G21">
            <v>32382.946456567028</v>
          </cell>
          <cell r="H21">
            <v>31348.060176753726</v>
          </cell>
          <cell r="I21">
            <v>30692.622672070829</v>
          </cell>
          <cell r="J21">
            <v>30554.951106158846</v>
          </cell>
          <cell r="K21">
            <v>29208.421010307298</v>
          </cell>
          <cell r="L21">
            <v>30513.4732578476</v>
          </cell>
          <cell r="M21">
            <v>32650.396580040124</v>
          </cell>
          <cell r="N21">
            <v>34590.894471648666</v>
          </cell>
          <cell r="O21">
            <v>36006.088030551036</v>
          </cell>
          <cell r="P21">
            <v>37445.425637483604</v>
          </cell>
          <cell r="Q21">
            <v>38270.928442586599</v>
          </cell>
          <cell r="R21">
            <v>38523.887528286039</v>
          </cell>
          <cell r="S21">
            <v>38752.839802765993</v>
          </cell>
          <cell r="T21">
            <v>38929.874944619842</v>
          </cell>
          <cell r="U21">
            <v>38674.509227430455</v>
          </cell>
          <cell r="V21">
            <v>38583.904040406902</v>
          </cell>
          <cell r="W21">
            <v>42900.454033746173</v>
          </cell>
          <cell r="X21">
            <v>44832.869743455252</v>
          </cell>
          <cell r="Y21">
            <v>44866.044936694983</v>
          </cell>
          <cell r="Z21">
            <v>43753.203677028076</v>
          </cell>
          <cell r="AA21">
            <v>41135.341346695917</v>
          </cell>
          <cell r="AB21">
            <v>38006.643020605399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36527.29003457167</v>
          </cell>
          <cell r="F23">
            <v>34596.909554651895</v>
          </cell>
          <cell r="G23">
            <v>33142.178059705169</v>
          </cell>
          <cell r="H23">
            <v>32068.553348695928</v>
          </cell>
          <cell r="I23">
            <v>31907.176863735083</v>
          </cell>
          <cell r="J23">
            <v>33075.495981148204</v>
          </cell>
          <cell r="K23">
            <v>32848.349535054949</v>
          </cell>
          <cell r="L23">
            <v>36613.678397823613</v>
          </cell>
          <cell r="M23">
            <v>40411.254212307365</v>
          </cell>
          <cell r="N23">
            <v>42398.76283684135</v>
          </cell>
          <cell r="O23">
            <v>44653.185275895827</v>
          </cell>
          <cell r="P23">
            <v>46120.908554359616</v>
          </cell>
          <cell r="Q23">
            <v>44460.994189837016</v>
          </cell>
          <cell r="R23">
            <v>46232.840961917005</v>
          </cell>
          <cell r="S23">
            <v>48380.447115267518</v>
          </cell>
          <cell r="T23">
            <v>48611.211040024529</v>
          </cell>
          <cell r="U23">
            <v>47766.405547779585</v>
          </cell>
          <cell r="V23">
            <v>45726.007415727057</v>
          </cell>
          <cell r="W23">
            <v>47777.217925815094</v>
          </cell>
          <cell r="X23">
            <v>48374.384169003715</v>
          </cell>
          <cell r="Y23">
            <v>47504.690869466205</v>
          </cell>
          <cell r="Z23">
            <v>45661.366657898558</v>
          </cell>
          <cell r="AA23">
            <v>42777.508802551136</v>
          </cell>
          <cell r="AB23">
            <v>39533.502277660489</v>
          </cell>
        </row>
        <row r="24">
          <cell r="D24">
            <v>5</v>
          </cell>
          <cell r="E24">
            <v>36633.39785185027</v>
          </cell>
          <cell r="F24">
            <v>34641.735522005278</v>
          </cell>
          <cell r="G24">
            <v>33238.808045725171</v>
          </cell>
          <cell r="H24">
            <v>32128.571403558446</v>
          </cell>
          <cell r="I24">
            <v>31465.81042864046</v>
          </cell>
          <cell r="J24">
            <v>31364.493022645322</v>
          </cell>
          <cell r="K24">
            <v>30905.088170470968</v>
          </cell>
          <cell r="L24">
            <v>33861.646503814067</v>
          </cell>
          <cell r="M24">
            <v>37425.577386711971</v>
          </cell>
          <cell r="N24">
            <v>39657.389643982213</v>
          </cell>
          <cell r="O24">
            <v>41435.212230698162</v>
          </cell>
          <cell r="P24">
            <v>42571.761465097552</v>
          </cell>
          <cell r="Q24">
            <v>41968.040417457312</v>
          </cell>
          <cell r="R24">
            <v>41530.797142553412</v>
          </cell>
          <cell r="S24">
            <v>41281.042491562017</v>
          </cell>
          <cell r="T24">
            <v>42300.568687977073</v>
          </cell>
          <cell r="U24">
            <v>40866.683977521388</v>
          </cell>
          <cell r="V24">
            <v>40534.894943504398</v>
          </cell>
          <cell r="W24">
            <v>44778.784551288518</v>
          </cell>
          <cell r="X24">
            <v>45446.741585605872</v>
          </cell>
          <cell r="Y24">
            <v>44343.10054903687</v>
          </cell>
          <cell r="Z24">
            <v>42922.842351184539</v>
          </cell>
          <cell r="AA24">
            <v>41039.110423584847</v>
          </cell>
          <cell r="AB24">
            <v>38644.93448684764</v>
          </cell>
        </row>
        <row r="25">
          <cell r="D25">
            <v>5</v>
          </cell>
          <cell r="E25">
            <v>36339.981693756068</v>
          </cell>
          <cell r="F25">
            <v>34479.617184511881</v>
          </cell>
          <cell r="G25">
            <v>32819.039165937458</v>
          </cell>
          <cell r="H25">
            <v>31654.013674593851</v>
          </cell>
          <cell r="I25">
            <v>31113.772521572489</v>
          </cell>
          <cell r="J25">
            <v>30761.829326673185</v>
          </cell>
          <cell r="K25">
            <v>29259.017701707158</v>
          </cell>
          <cell r="L25">
            <v>30666.093517464495</v>
          </cell>
          <cell r="M25">
            <v>32704.805856152347</v>
          </cell>
          <cell r="N25">
            <v>34568.916311931251</v>
          </cell>
          <cell r="O25">
            <v>35982.084207011168</v>
          </cell>
          <cell r="P25">
            <v>37318.105830142486</v>
          </cell>
          <cell r="Q25">
            <v>37989.220471845212</v>
          </cell>
          <cell r="R25">
            <v>38160.698458479666</v>
          </cell>
          <cell r="S25">
            <v>38356.949028186449</v>
          </cell>
          <cell r="T25">
            <v>38630.41008148159</v>
          </cell>
          <cell r="U25">
            <v>38153.047106504819</v>
          </cell>
          <cell r="V25">
            <v>38244.831224383051</v>
          </cell>
          <cell r="W25">
            <v>42362.747226696738</v>
          </cell>
          <cell r="X25">
            <v>43885.598234239013</v>
          </cell>
          <cell r="Y25">
            <v>43806.741792284716</v>
          </cell>
          <cell r="Z25">
            <v>42958.053606494461</v>
          </cell>
          <cell r="AA25">
            <v>40674.656928420067</v>
          </cell>
          <cell r="AB25">
            <v>37678.53245284858</v>
          </cell>
        </row>
        <row r="26">
          <cell r="D26">
            <v>1</v>
          </cell>
          <cell r="E26">
            <v>36339.981693756068</v>
          </cell>
          <cell r="F26">
            <v>34479.617184511881</v>
          </cell>
          <cell r="G26">
            <v>32819.039165937458</v>
          </cell>
          <cell r="H26">
            <v>31654.013674593851</v>
          </cell>
          <cell r="I26">
            <v>31113.772521572489</v>
          </cell>
          <cell r="J26">
            <v>30761.829326673185</v>
          </cell>
          <cell r="K26">
            <v>29259.017701707158</v>
          </cell>
          <cell r="L26">
            <v>30666.093517464495</v>
          </cell>
          <cell r="M26">
            <v>32704.805856152347</v>
          </cell>
          <cell r="N26">
            <v>34568.916311931251</v>
          </cell>
          <cell r="O26">
            <v>35982.084207011168</v>
          </cell>
          <cell r="P26">
            <v>37318.105830142486</v>
          </cell>
          <cell r="Q26">
            <v>37989.220471845212</v>
          </cell>
          <cell r="R26">
            <v>38160.698458479666</v>
          </cell>
          <cell r="S26">
            <v>38356.949028186449</v>
          </cell>
          <cell r="T26">
            <v>38630.41008148159</v>
          </cell>
          <cell r="U26">
            <v>38153.047106504819</v>
          </cell>
          <cell r="V26">
            <v>38244.831224383051</v>
          </cell>
          <cell r="W26">
            <v>42362.747226696738</v>
          </cell>
          <cell r="X26">
            <v>43885.598234239013</v>
          </cell>
          <cell r="Y26">
            <v>43806.741792284716</v>
          </cell>
          <cell r="Z26">
            <v>42958.053606494461</v>
          </cell>
          <cell r="AA26">
            <v>40674.656928420067</v>
          </cell>
          <cell r="AB26">
            <v>37678.53245284858</v>
          </cell>
        </row>
        <row r="27">
          <cell r="D27">
            <v>20</v>
          </cell>
          <cell r="E27">
            <v>35888.58065335748</v>
          </cell>
          <cell r="F27">
            <v>34341.271004566908</v>
          </cell>
          <cell r="G27">
            <v>32824.653134550739</v>
          </cell>
          <cell r="H27">
            <v>31976.972687074413</v>
          </cell>
          <cell r="I27">
            <v>31774.425526275736</v>
          </cell>
          <cell r="J27">
            <v>31444.574850439527</v>
          </cell>
          <cell r="K27">
            <v>31553.738747628566</v>
          </cell>
          <cell r="L27">
            <v>35100.568362428785</v>
          </cell>
          <cell r="M27">
            <v>39126.41534972447</v>
          </cell>
          <cell r="N27">
            <v>41505.217690574347</v>
          </cell>
          <cell r="O27">
            <v>43482.777356874838</v>
          </cell>
          <cell r="P27">
            <v>44728.727469042315</v>
          </cell>
          <cell r="Q27">
            <v>43897.473349676082</v>
          </cell>
          <cell r="R27">
            <v>43371.041237876867</v>
          </cell>
          <cell r="S27">
            <v>43671.931018533491</v>
          </cell>
          <cell r="T27">
            <v>43665.453664353074</v>
          </cell>
          <cell r="U27">
            <v>42978.732723618705</v>
          </cell>
          <cell r="V27">
            <v>42730.528801649976</v>
          </cell>
          <cell r="W27">
            <v>47065.44706471575</v>
          </cell>
          <cell r="X27">
            <v>47439.935817435173</v>
          </cell>
          <cell r="Y27">
            <v>46278.146621217915</v>
          </cell>
          <cell r="Z27">
            <v>44670.449930906296</v>
          </cell>
          <cell r="AA27">
            <v>42473.281285603043</v>
          </cell>
          <cell r="AB27">
            <v>39811.762914026498</v>
          </cell>
        </row>
        <row r="28">
          <cell r="D28">
            <v>4</v>
          </cell>
          <cell r="E28">
            <v>34649.926134553694</v>
          </cell>
          <cell r="F28">
            <v>32942.19496509793</v>
          </cell>
          <cell r="G28">
            <v>31644.988443997947</v>
          </cell>
          <cell r="H28">
            <v>30688.473172552931</v>
          </cell>
          <cell r="I28">
            <v>30717.133042524561</v>
          </cell>
          <cell r="J28">
            <v>31095.968045324047</v>
          </cell>
          <cell r="K28">
            <v>31794.642240760819</v>
          </cell>
          <cell r="L28">
            <v>35254.313150792237</v>
          </cell>
          <cell r="M28">
            <v>38809.433342615754</v>
          </cell>
          <cell r="N28">
            <v>40880.349881741269</v>
          </cell>
          <cell r="O28">
            <v>42737.601770300113</v>
          </cell>
          <cell r="P28">
            <v>44019.714578729807</v>
          </cell>
          <cell r="Q28">
            <v>42815.44498212832</v>
          </cell>
          <cell r="R28">
            <v>43660.362808216589</v>
          </cell>
          <cell r="S28">
            <v>45115.279205373845</v>
          </cell>
          <cell r="T28">
            <v>45212.246598606835</v>
          </cell>
          <cell r="U28">
            <v>44500.218098601792</v>
          </cell>
          <cell r="V28">
            <v>43528.282345493782</v>
          </cell>
          <cell r="W28">
            <v>46527.961039400063</v>
          </cell>
          <cell r="X28">
            <v>46930.205587590244</v>
          </cell>
          <cell r="Y28">
            <v>45707.844557605124</v>
          </cell>
          <cell r="Z28">
            <v>43703.264893611195</v>
          </cell>
          <cell r="AA28">
            <v>40555.754854046383</v>
          </cell>
          <cell r="AB28">
            <v>37079.960661568599</v>
          </cell>
        </row>
        <row r="29">
          <cell r="D29">
            <v>4</v>
          </cell>
          <cell r="E29">
            <v>37342.279374036298</v>
          </cell>
          <cell r="F29">
            <v>35451.377191912339</v>
          </cell>
          <cell r="G29">
            <v>33884.971523238164</v>
          </cell>
          <cell r="H29">
            <v>32816.449119301033</v>
          </cell>
          <cell r="I29">
            <v>32190.401999947404</v>
          </cell>
          <cell r="J29">
            <v>31235.767795525808</v>
          </cell>
          <cell r="K29">
            <v>30279.290810582545</v>
          </cell>
          <cell r="L29">
            <v>31975.497970029097</v>
          </cell>
          <cell r="M29">
            <v>34217.204055356808</v>
          </cell>
          <cell r="N29">
            <v>36238.563627220559</v>
          </cell>
          <cell r="O29">
            <v>37836.634014929303</v>
          </cell>
          <cell r="P29">
            <v>39140.633296976433</v>
          </cell>
          <cell r="Q29">
            <v>39740.96523578326</v>
          </cell>
          <cell r="R29">
            <v>39851.914205644898</v>
          </cell>
          <cell r="S29">
            <v>39633.28485256774</v>
          </cell>
          <cell r="T29">
            <v>39457.034173332067</v>
          </cell>
          <cell r="U29">
            <v>39054.407566036491</v>
          </cell>
          <cell r="V29">
            <v>39427.498310924602</v>
          </cell>
          <cell r="W29">
            <v>44052.726113148914</v>
          </cell>
          <cell r="X29">
            <v>45377.164530078939</v>
          </cell>
          <cell r="Y29">
            <v>45070.657734820918</v>
          </cell>
          <cell r="Z29">
            <v>43687.291510821531</v>
          </cell>
          <cell r="AA29">
            <v>41022.967974777006</v>
          </cell>
          <cell r="AB29">
            <v>37843.172595730081</v>
          </cell>
        </row>
        <row r="30">
          <cell r="D30">
            <v>2</v>
          </cell>
          <cell r="E30">
            <v>37342.279374036298</v>
          </cell>
          <cell r="F30">
            <v>35451.377191912339</v>
          </cell>
          <cell r="G30">
            <v>33884.971523238164</v>
          </cell>
          <cell r="H30">
            <v>32816.449119301033</v>
          </cell>
          <cell r="I30">
            <v>32190.401999947404</v>
          </cell>
          <cell r="J30">
            <v>31235.767795525808</v>
          </cell>
          <cell r="K30">
            <v>30279.290810582545</v>
          </cell>
          <cell r="L30">
            <v>31975.497970029097</v>
          </cell>
          <cell r="M30">
            <v>34217.204055356808</v>
          </cell>
          <cell r="N30">
            <v>36238.563627220559</v>
          </cell>
          <cell r="O30">
            <v>37836.634014929303</v>
          </cell>
          <cell r="P30">
            <v>39140.633296976433</v>
          </cell>
          <cell r="Q30">
            <v>39740.96523578326</v>
          </cell>
          <cell r="R30">
            <v>39851.914205644898</v>
          </cell>
          <cell r="S30">
            <v>39633.28485256774</v>
          </cell>
          <cell r="T30">
            <v>39457.034173332067</v>
          </cell>
          <cell r="U30">
            <v>39054.407566036491</v>
          </cell>
          <cell r="V30">
            <v>39427.498310924602</v>
          </cell>
          <cell r="W30">
            <v>44052.726113148914</v>
          </cell>
          <cell r="X30">
            <v>45377.164530078939</v>
          </cell>
          <cell r="Y30">
            <v>45070.657734820918</v>
          </cell>
          <cell r="Z30">
            <v>43687.291510821531</v>
          </cell>
          <cell r="AA30">
            <v>41022.967974777006</v>
          </cell>
          <cell r="AB30">
            <v>37843.172595730081</v>
          </cell>
        </row>
        <row r="31">
          <cell r="D31">
            <v>20</v>
          </cell>
          <cell r="E31">
            <v>36408.929525735861</v>
          </cell>
          <cell r="F31">
            <v>34514.40896547609</v>
          </cell>
          <cell r="G31">
            <v>32985.656036439112</v>
          </cell>
          <cell r="H31">
            <v>31678.227078737917</v>
          </cell>
          <cell r="I31">
            <v>31325.805482734864</v>
          </cell>
          <cell r="J31">
            <v>30829.654729861806</v>
          </cell>
          <cell r="K31">
            <v>31285.30975405933</v>
          </cell>
          <cell r="L31">
            <v>34650.356043986612</v>
          </cell>
          <cell r="M31">
            <v>38572.244273437762</v>
          </cell>
          <cell r="N31">
            <v>40735.981114418719</v>
          </cell>
          <cell r="O31">
            <v>42109.35930459285</v>
          </cell>
          <cell r="P31">
            <v>43118.58220302259</v>
          </cell>
          <cell r="Q31">
            <v>42377.819512504415</v>
          </cell>
          <cell r="R31">
            <v>41615.562041518133</v>
          </cell>
          <cell r="S31">
            <v>41587.545422472365</v>
          </cell>
          <cell r="T31">
            <v>41353.165338573155</v>
          </cell>
          <cell r="U31">
            <v>40791.312995496104</v>
          </cell>
          <cell r="V31">
            <v>41041.46828275382</v>
          </cell>
          <cell r="W31">
            <v>45495.855607519246</v>
          </cell>
          <cell r="X31">
            <v>45919.285870585903</v>
          </cell>
          <cell r="Y31">
            <v>44440.661137302217</v>
          </cell>
          <cell r="Z31">
            <v>42606.558540013459</v>
          </cell>
          <cell r="AA31">
            <v>40194.617349649598</v>
          </cell>
          <cell r="AB31">
            <v>37492.994749883226</v>
          </cell>
        </row>
        <row r="32">
          <cell r="D32">
            <v>5</v>
          </cell>
          <cell r="E32">
            <v>33565.185229160634</v>
          </cell>
          <cell r="F32">
            <v>31904.812435691147</v>
          </cell>
          <cell r="G32">
            <v>30689.57149251394</v>
          </cell>
          <cell r="H32">
            <v>29852.522384901928</v>
          </cell>
          <cell r="I32">
            <v>29745.115894316306</v>
          </cell>
          <cell r="J32">
            <v>29707.723356582515</v>
          </cell>
          <cell r="K32">
            <v>30160.208915035004</v>
          </cell>
          <cell r="L32">
            <v>33694.750290452976</v>
          </cell>
          <cell r="M32">
            <v>37150.824856905987</v>
          </cell>
          <cell r="N32">
            <v>39146.516367796816</v>
          </cell>
          <cell r="O32">
            <v>41096.099327919823</v>
          </cell>
          <cell r="P32">
            <v>42500.360842150054</v>
          </cell>
          <cell r="Q32">
            <v>41573.193208778954</v>
          </cell>
          <cell r="R32">
            <v>42016.368507497937</v>
          </cell>
          <cell r="S32">
            <v>43122.303824571682</v>
          </cell>
          <cell r="T32">
            <v>43068.298197528013</v>
          </cell>
          <cell r="U32">
            <v>42447.929229841502</v>
          </cell>
          <cell r="V32">
            <v>41623.380194404243</v>
          </cell>
          <cell r="W32">
            <v>44655.196489106231</v>
          </cell>
          <cell r="X32">
            <v>45496.63697750181</v>
          </cell>
          <cell r="Y32">
            <v>44257.541131840539</v>
          </cell>
          <cell r="Z32">
            <v>42223.00908061576</v>
          </cell>
          <cell r="AA32">
            <v>39164.612942071166</v>
          </cell>
          <cell r="AB32">
            <v>35975.013631853064</v>
          </cell>
        </row>
        <row r="33">
          <cell r="D33">
            <v>4</v>
          </cell>
          <cell r="E33">
            <v>33540.461411421275</v>
          </cell>
          <cell r="F33">
            <v>32227.022953954183</v>
          </cell>
          <cell r="G33">
            <v>30880.020974854975</v>
          </cell>
          <cell r="H33">
            <v>30163.806845725314</v>
          </cell>
          <cell r="I33">
            <v>29934.072985572053</v>
          </cell>
          <cell r="J33">
            <v>29191.17176016614</v>
          </cell>
          <cell r="K33">
            <v>29069.787965675056</v>
          </cell>
          <cell r="L33">
            <v>31322.351992269891</v>
          </cell>
          <cell r="M33">
            <v>33934.190590597034</v>
          </cell>
          <cell r="N33">
            <v>35965.029870419421</v>
          </cell>
          <cell r="O33">
            <v>37508.955418470425</v>
          </cell>
          <cell r="P33">
            <v>39427.201671402981</v>
          </cell>
          <cell r="Q33">
            <v>40501.821314890738</v>
          </cell>
          <cell r="R33">
            <v>40705.455740622609</v>
          </cell>
          <cell r="S33">
            <v>40752.355704445377</v>
          </cell>
          <cell r="T33">
            <v>40832.227264476955</v>
          </cell>
          <cell r="U33">
            <v>40415.631146378808</v>
          </cell>
          <cell r="V33">
            <v>40426.166424081224</v>
          </cell>
          <cell r="W33">
            <v>45183.543531947362</v>
          </cell>
          <cell r="X33">
            <v>46898.495023436575</v>
          </cell>
          <cell r="Y33">
            <v>46612.950341347183</v>
          </cell>
          <cell r="Z33">
            <v>45042.349777130643</v>
          </cell>
          <cell r="AA33">
            <v>42161.808302786201</v>
          </cell>
          <cell r="AB33">
            <v>38795.693278361097</v>
          </cell>
        </row>
        <row r="34">
          <cell r="D34">
            <v>2</v>
          </cell>
          <cell r="E34">
            <v>33540.461411421275</v>
          </cell>
          <cell r="F34">
            <v>32227.022953954183</v>
          </cell>
          <cell r="G34">
            <v>30880.020974854975</v>
          </cell>
          <cell r="H34">
            <v>30163.806845725314</v>
          </cell>
          <cell r="I34">
            <v>29934.072985572053</v>
          </cell>
          <cell r="J34">
            <v>29191.17176016614</v>
          </cell>
          <cell r="K34">
            <v>29069.787965675056</v>
          </cell>
          <cell r="L34">
            <v>31322.351992269891</v>
          </cell>
          <cell r="M34">
            <v>33934.190590597034</v>
          </cell>
          <cell r="N34">
            <v>35965.029870419421</v>
          </cell>
          <cell r="O34">
            <v>37508.955418470425</v>
          </cell>
          <cell r="P34">
            <v>39427.201671402981</v>
          </cell>
          <cell r="Q34">
            <v>40501.821314890738</v>
          </cell>
          <cell r="R34">
            <v>40705.455740622609</v>
          </cell>
          <cell r="S34">
            <v>40752.355704445377</v>
          </cell>
          <cell r="T34">
            <v>40832.227264476955</v>
          </cell>
          <cell r="U34">
            <v>40415.631146378808</v>
          </cell>
          <cell r="V34">
            <v>40426.166424081224</v>
          </cell>
          <cell r="W34">
            <v>45183.543531947362</v>
          </cell>
          <cell r="X34">
            <v>46898.495023436575</v>
          </cell>
          <cell r="Y34">
            <v>46612.950341347183</v>
          </cell>
          <cell r="Z34">
            <v>45042.349777130643</v>
          </cell>
          <cell r="AA34">
            <v>42161.808302786201</v>
          </cell>
          <cell r="AB34">
            <v>38795.693278361097</v>
          </cell>
        </row>
        <row r="35">
          <cell r="D35">
            <v>18</v>
          </cell>
          <cell r="E35">
            <v>33209.399572378832</v>
          </cell>
          <cell r="F35">
            <v>31560.717585268976</v>
          </cell>
          <cell r="G35">
            <v>30342.603967545754</v>
          </cell>
          <cell r="H35">
            <v>29529.745940192373</v>
          </cell>
          <cell r="I35">
            <v>29312.613641943917</v>
          </cell>
          <cell r="J35">
            <v>29001.181521982762</v>
          </cell>
          <cell r="K35">
            <v>29485.09250994385</v>
          </cell>
          <cell r="L35">
            <v>33036.701672869131</v>
          </cell>
          <cell r="M35">
            <v>36941.931296158888</v>
          </cell>
          <cell r="N35">
            <v>39343.131789589635</v>
          </cell>
          <cell r="O35">
            <v>41429.745884093303</v>
          </cell>
          <cell r="P35">
            <v>42578.112887124</v>
          </cell>
          <cell r="Q35">
            <v>41949.530179301313</v>
          </cell>
          <cell r="R35">
            <v>41229.255194551915</v>
          </cell>
          <cell r="S35">
            <v>41264.033907312987</v>
          </cell>
          <cell r="T35">
            <v>41145.384144325668</v>
          </cell>
          <cell r="U35">
            <v>40728.533397450112</v>
          </cell>
          <cell r="V35">
            <v>40772.035363849049</v>
          </cell>
          <cell r="W35">
            <v>44284.490251384894</v>
          </cell>
          <cell r="X35">
            <v>44916.652350743869</v>
          </cell>
          <cell r="Y35">
            <v>43351.649409374819</v>
          </cell>
          <cell r="Z35">
            <v>41565.485453941372</v>
          </cell>
          <cell r="AA35">
            <v>39361.053240511901</v>
          </cell>
          <cell r="AB35">
            <v>36870.270267242129</v>
          </cell>
        </row>
        <row r="36">
          <cell r="D36">
            <v>4</v>
          </cell>
          <cell r="E36">
            <v>34199.365608510285</v>
          </cell>
          <cell r="F36">
            <v>32516.377136869101</v>
          </cell>
          <cell r="G36">
            <v>31237.513016608147</v>
          </cell>
          <cell r="H36">
            <v>30350.148421533238</v>
          </cell>
          <cell r="I36">
            <v>30245.724572564177</v>
          </cell>
          <cell r="J36">
            <v>30585.173508980555</v>
          </cell>
          <cell r="K36">
            <v>30792.755859035075</v>
          </cell>
          <cell r="L36">
            <v>34256.868463521183</v>
          </cell>
          <cell r="M36">
            <v>37916.50260844922</v>
          </cell>
          <cell r="N36">
            <v>40034.131993390954</v>
          </cell>
          <cell r="O36">
            <v>42032.366501353703</v>
          </cell>
          <cell r="P36">
            <v>43336.444401440458</v>
          </cell>
          <cell r="Q36">
            <v>42232.925639377107</v>
          </cell>
          <cell r="R36">
            <v>43248.82471383598</v>
          </cell>
          <cell r="S36">
            <v>44717.350160067275</v>
          </cell>
          <cell r="T36">
            <v>44776.08185468291</v>
          </cell>
          <cell r="U36">
            <v>43942.688528948282</v>
          </cell>
          <cell r="V36">
            <v>42498.378333871282</v>
          </cell>
          <cell r="W36">
            <v>44996.654658619773</v>
          </cell>
          <cell r="X36">
            <v>46313.271063709079</v>
          </cell>
          <cell r="Y36">
            <v>45257.122338352034</v>
          </cell>
          <cell r="Z36">
            <v>43338.991171748341</v>
          </cell>
          <cell r="AA36">
            <v>40211.991200873796</v>
          </cell>
          <cell r="AB36">
            <v>36939.721019569399</v>
          </cell>
        </row>
        <row r="37">
          <cell r="D37">
            <v>5</v>
          </cell>
          <cell r="E37">
            <v>32553.009857183562</v>
          </cell>
          <cell r="F37">
            <v>31237.29489780535</v>
          </cell>
          <cell r="G37">
            <v>30162.186614974122</v>
          </cell>
          <cell r="H37">
            <v>29465.615034401402</v>
          </cell>
          <cell r="I37">
            <v>29187.76244376188</v>
          </cell>
          <cell r="J37">
            <v>28370.431443879901</v>
          </cell>
          <cell r="K37">
            <v>27997.144600334072</v>
          </cell>
          <cell r="L37">
            <v>30277.901693568303</v>
          </cell>
          <cell r="M37">
            <v>32915.333863980661</v>
          </cell>
          <cell r="N37">
            <v>34558.751493505421</v>
          </cell>
          <cell r="O37">
            <v>36507.651919258045</v>
          </cell>
          <cell r="P37">
            <v>37949.912474172481</v>
          </cell>
          <cell r="Q37">
            <v>38685.496579022591</v>
          </cell>
          <cell r="R37">
            <v>38532.156926463576</v>
          </cell>
          <cell r="S37">
            <v>38211.643867089268</v>
          </cell>
          <cell r="T37">
            <v>37916.981734200795</v>
          </cell>
          <cell r="U37">
            <v>37627.011323819206</v>
          </cell>
          <cell r="V37">
            <v>38194.618249411331</v>
          </cell>
          <cell r="W37">
            <v>42805.471535707846</v>
          </cell>
          <cell r="X37">
            <v>44506.527109956922</v>
          </cell>
          <cell r="Y37">
            <v>43941.762948721997</v>
          </cell>
          <cell r="Z37">
            <v>42318.220035691244</v>
          </cell>
          <cell r="AA37">
            <v>39458.368123862012</v>
          </cell>
          <cell r="AB37">
            <v>36178.927993582329</v>
          </cell>
        </row>
        <row r="38">
          <cell r="D38">
            <v>3</v>
          </cell>
          <cell r="E38">
            <v>32553.009857183562</v>
          </cell>
          <cell r="F38">
            <v>31237.29489780535</v>
          </cell>
          <cell r="G38">
            <v>30162.186614974122</v>
          </cell>
          <cell r="H38">
            <v>29465.615034401402</v>
          </cell>
          <cell r="I38">
            <v>29187.76244376188</v>
          </cell>
          <cell r="J38">
            <v>28370.431443879901</v>
          </cell>
          <cell r="K38">
            <v>27997.144600334072</v>
          </cell>
          <cell r="L38">
            <v>30277.901693568303</v>
          </cell>
          <cell r="M38">
            <v>32915.333863980661</v>
          </cell>
          <cell r="N38">
            <v>34558.751493505421</v>
          </cell>
          <cell r="O38">
            <v>36507.651919258045</v>
          </cell>
          <cell r="P38">
            <v>37949.912474172481</v>
          </cell>
          <cell r="Q38">
            <v>38685.496579022591</v>
          </cell>
          <cell r="R38">
            <v>38532.156926463576</v>
          </cell>
          <cell r="S38">
            <v>38211.643867089268</v>
          </cell>
          <cell r="T38">
            <v>37916.981734200795</v>
          </cell>
          <cell r="U38">
            <v>37627.011323819206</v>
          </cell>
          <cell r="V38">
            <v>38194.618249411331</v>
          </cell>
          <cell r="W38">
            <v>42805.471535707846</v>
          </cell>
          <cell r="X38">
            <v>44506.527109956922</v>
          </cell>
          <cell r="Y38">
            <v>43941.762948721997</v>
          </cell>
          <cell r="Z38">
            <v>42318.220035691244</v>
          </cell>
          <cell r="AA38">
            <v>39458.368123862012</v>
          </cell>
          <cell r="AB38">
            <v>36178.927993582329</v>
          </cell>
        </row>
        <row r="39">
          <cell r="D39">
            <v>23</v>
          </cell>
          <cell r="E39">
            <v>33674.857252078014</v>
          </cell>
          <cell r="F39">
            <v>32054.24665941163</v>
          </cell>
          <cell r="G39">
            <v>30985.921146716697</v>
          </cell>
          <cell r="H39">
            <v>30195.055581282806</v>
          </cell>
          <cell r="I39">
            <v>30072.390380198194</v>
          </cell>
          <cell r="J39">
            <v>29932.221265114298</v>
          </cell>
          <cell r="K39">
            <v>30207.765116412174</v>
          </cell>
          <cell r="L39">
            <v>33731.602908789857</v>
          </cell>
          <cell r="M39">
            <v>37831.226320751026</v>
          </cell>
          <cell r="N39">
            <v>40153.856980187113</v>
          </cell>
          <cell r="O39">
            <v>42243.008790096152</v>
          </cell>
          <cell r="P39">
            <v>43193.57352827338</v>
          </cell>
          <cell r="Q39">
            <v>42630.10253814554</v>
          </cell>
          <cell r="R39">
            <v>42038.917058096893</v>
          </cell>
          <cell r="S39">
            <v>42107.818115959453</v>
          </cell>
          <cell r="T39">
            <v>42223.108660535341</v>
          </cell>
          <cell r="U39">
            <v>41632.734417049483</v>
          </cell>
          <cell r="V39">
            <v>41539.204100275638</v>
          </cell>
          <cell r="W39">
            <v>45057.559959145547</v>
          </cell>
          <cell r="X39">
            <v>46254.883771806082</v>
          </cell>
          <cell r="Y39">
            <v>44781.959623189054</v>
          </cell>
          <cell r="Z39">
            <v>42796.402624961658</v>
          </cell>
          <cell r="AA39">
            <v>40270.14233646635</v>
          </cell>
          <cell r="AB39">
            <v>37578.780312404066</v>
          </cell>
        </row>
        <row r="40">
          <cell r="D40">
            <v>4</v>
          </cell>
          <cell r="E40">
            <v>35818.080823550226</v>
          </cell>
          <cell r="F40">
            <v>33942.141902767689</v>
          </cell>
          <cell r="G40">
            <v>32567.190740119371</v>
          </cell>
          <cell r="H40">
            <v>31597.095755791088</v>
          </cell>
          <cell r="I40">
            <v>31530.206673301127</v>
          </cell>
          <cell r="J40">
            <v>32107.774622620553</v>
          </cell>
          <cell r="K40">
            <v>32296.08652644265</v>
          </cell>
          <cell r="L40">
            <v>35817.565534555106</v>
          </cell>
          <cell r="M40">
            <v>39607.994061392099</v>
          </cell>
          <cell r="N40">
            <v>41762.219433820537</v>
          </cell>
          <cell r="O40">
            <v>43939.38871436823</v>
          </cell>
          <cell r="P40">
            <v>45510.50834761624</v>
          </cell>
          <cell r="Q40">
            <v>44321.61906419562</v>
          </cell>
          <cell r="R40">
            <v>45210.024367585327</v>
          </cell>
          <cell r="S40">
            <v>46702.930576791943</v>
          </cell>
          <cell r="T40">
            <v>46703.363070838343</v>
          </cell>
          <cell r="U40">
            <v>45812.254090622351</v>
          </cell>
          <cell r="V40">
            <v>44497.681839403696</v>
          </cell>
          <cell r="W40">
            <v>47555.746351303431</v>
          </cell>
          <cell r="X40">
            <v>48535.669996094381</v>
          </cell>
          <cell r="Y40">
            <v>47509.718909889554</v>
          </cell>
          <cell r="Z40">
            <v>45489.353884792006</v>
          </cell>
          <cell r="AA40">
            <v>42168.270366341065</v>
          </cell>
          <cell r="AB40">
            <v>38593.172275023928</v>
          </cell>
        </row>
        <row r="41">
          <cell r="D41">
            <v>3</v>
          </cell>
          <cell r="E41">
            <v>33784.163344458961</v>
          </cell>
          <cell r="F41">
            <v>32427.090448042101</v>
          </cell>
          <cell r="G41">
            <v>31278.356832566431</v>
          </cell>
          <cell r="H41">
            <v>30226.77658647293</v>
          </cell>
          <cell r="I41">
            <v>29873.719958086014</v>
          </cell>
          <cell r="J41">
            <v>29408.191174814383</v>
          </cell>
          <cell r="K41">
            <v>28847.711193442225</v>
          </cell>
          <cell r="L41">
            <v>30998.764345973617</v>
          </cell>
          <cell r="M41">
            <v>33809.799101554701</v>
          </cell>
          <cell r="N41">
            <v>36078.164072954984</v>
          </cell>
          <cell r="O41">
            <v>37705.044949666444</v>
          </cell>
          <cell r="P41">
            <v>38529.586084253911</v>
          </cell>
          <cell r="Q41">
            <v>39944.312774351172</v>
          </cell>
          <cell r="R41">
            <v>40037.241480816883</v>
          </cell>
          <cell r="S41">
            <v>39966.158459546241</v>
          </cell>
          <cell r="T41">
            <v>40080.767049256465</v>
          </cell>
          <cell r="U41">
            <v>39767.739540246002</v>
          </cell>
          <cell r="V41">
            <v>39407.519829351899</v>
          </cell>
          <cell r="W41">
            <v>43550.933216387435</v>
          </cell>
          <cell r="X41">
            <v>45939.934810528634</v>
          </cell>
          <cell r="Y41">
            <v>45318.709230820932</v>
          </cell>
          <cell r="Z41">
            <v>43766.407824443231</v>
          </cell>
          <cell r="AA41">
            <v>41141.00259541221</v>
          </cell>
          <cell r="AB41">
            <v>38217.807567910662</v>
          </cell>
        </row>
        <row r="42">
          <cell r="D42">
            <v>1</v>
          </cell>
          <cell r="E42">
            <v>33784.163344458961</v>
          </cell>
          <cell r="F42">
            <v>32427.090448042101</v>
          </cell>
          <cell r="G42">
            <v>31278.356832566431</v>
          </cell>
          <cell r="H42">
            <v>30226.77658647293</v>
          </cell>
          <cell r="I42">
            <v>29873.719958086014</v>
          </cell>
          <cell r="J42">
            <v>29408.191174814383</v>
          </cell>
          <cell r="K42">
            <v>28847.711193442225</v>
          </cell>
          <cell r="L42">
            <v>30998.764345973617</v>
          </cell>
          <cell r="M42">
            <v>33809.799101554701</v>
          </cell>
          <cell r="N42">
            <v>36078.164072954984</v>
          </cell>
          <cell r="O42">
            <v>37705.044949666444</v>
          </cell>
          <cell r="P42">
            <v>38529.586084253911</v>
          </cell>
          <cell r="Q42">
            <v>39944.312774351172</v>
          </cell>
          <cell r="R42">
            <v>40037.241480816883</v>
          </cell>
          <cell r="S42">
            <v>39966.158459546241</v>
          </cell>
          <cell r="T42">
            <v>40080.767049256465</v>
          </cell>
          <cell r="U42">
            <v>39767.739540246002</v>
          </cell>
          <cell r="V42">
            <v>39407.519829351899</v>
          </cell>
          <cell r="W42">
            <v>43550.933216387435</v>
          </cell>
          <cell r="X42">
            <v>45939.934810528634</v>
          </cell>
          <cell r="Y42">
            <v>45318.709230820932</v>
          </cell>
          <cell r="Z42">
            <v>43766.407824443231</v>
          </cell>
          <cell r="AA42">
            <v>41141.00259541221</v>
          </cell>
          <cell r="AB42">
            <v>38217.807567910662</v>
          </cell>
        </row>
        <row r="43">
          <cell r="D43">
            <v>19</v>
          </cell>
          <cell r="E43">
            <v>34955.625053835436</v>
          </cell>
          <cell r="F43">
            <v>33071.997241994861</v>
          </cell>
          <cell r="G43">
            <v>31666.596838215541</v>
          </cell>
          <cell r="H43">
            <v>30725.419358957664</v>
          </cell>
          <cell r="I43">
            <v>30379.702992417424</v>
          </cell>
          <cell r="J43">
            <v>30292.612064915669</v>
          </cell>
          <cell r="K43">
            <v>30392.099305598607</v>
          </cell>
          <cell r="L43">
            <v>33898.995751958988</v>
          </cell>
          <cell r="M43">
            <v>37847.569486610118</v>
          </cell>
          <cell r="N43">
            <v>40274.334876772002</v>
          </cell>
          <cell r="O43">
            <v>42289.73439971311</v>
          </cell>
          <cell r="P43">
            <v>43575.415360723935</v>
          </cell>
          <cell r="Q43">
            <v>42852.374140599648</v>
          </cell>
          <cell r="R43">
            <v>42241.702698115645</v>
          </cell>
          <cell r="S43">
            <v>42178.0963508477</v>
          </cell>
          <cell r="T43">
            <v>41833.920021398109</v>
          </cell>
          <cell r="U43">
            <v>40995.330972686708</v>
          </cell>
          <cell r="V43">
            <v>40940.96569258994</v>
          </cell>
          <cell r="W43">
            <v>44652.748448255748</v>
          </cell>
          <cell r="X43">
            <v>45225.853121255495</v>
          </cell>
          <cell r="Y43">
            <v>43900.489036316096</v>
          </cell>
          <cell r="Z43">
            <v>42073.196456953134</v>
          </cell>
          <cell r="AA43">
            <v>39495.428318485312</v>
          </cell>
          <cell r="AB43">
            <v>36750.299535001563</v>
          </cell>
        </row>
        <row r="44">
          <cell r="D44">
            <v>5</v>
          </cell>
          <cell r="E44">
            <v>34493.804437019433</v>
          </cell>
          <cell r="F44">
            <v>32781.647977363857</v>
          </cell>
          <cell r="G44">
            <v>31472.139798982204</v>
          </cell>
          <cell r="H44">
            <v>30548.680019446179</v>
          </cell>
          <cell r="I44">
            <v>30460.520732271056</v>
          </cell>
          <cell r="J44">
            <v>30958.842339703569</v>
          </cell>
          <cell r="K44">
            <v>31289.197892048742</v>
          </cell>
          <cell r="L44">
            <v>34858.747289162486</v>
          </cell>
          <cell r="M44">
            <v>38516.613637212016</v>
          </cell>
          <cell r="N44">
            <v>40588.712380068646</v>
          </cell>
          <cell r="O44">
            <v>42739.55065733385</v>
          </cell>
          <cell r="P44">
            <v>44194.870739320708</v>
          </cell>
          <cell r="Q44">
            <v>43060.876956262495</v>
          </cell>
          <cell r="R44">
            <v>44079.263692975852</v>
          </cell>
          <cell r="S44">
            <v>45610.068209646168</v>
          </cell>
          <cell r="T44">
            <v>45642.505229136928</v>
          </cell>
          <cell r="U44">
            <v>44801.175224100836</v>
          </cell>
          <cell r="V44">
            <v>44048.169865493612</v>
          </cell>
          <cell r="W44">
            <v>47283.661286539944</v>
          </cell>
          <cell r="X44">
            <v>47091.606601935811</v>
          </cell>
          <cell r="Y44">
            <v>45876.327061658296</v>
          </cell>
          <cell r="Z44">
            <v>43773.697576178856</v>
          </cell>
          <cell r="AA44">
            <v>40422.482972535392</v>
          </cell>
          <cell r="AB44">
            <v>36984.329098912327</v>
          </cell>
        </row>
        <row r="45">
          <cell r="D45">
            <v>5</v>
          </cell>
          <cell r="E45">
            <v>34476.615380133153</v>
          </cell>
          <cell r="F45">
            <v>32679.837636245702</v>
          </cell>
          <cell r="G45">
            <v>31284.338094321618</v>
          </cell>
          <cell r="H45">
            <v>30275.015522286074</v>
          </cell>
          <cell r="I45">
            <v>29851.446902304582</v>
          </cell>
          <cell r="J45">
            <v>29280.72027743758</v>
          </cell>
          <cell r="K45">
            <v>28656.303511220314</v>
          </cell>
          <cell r="L45">
            <v>30740.998509306995</v>
          </cell>
          <cell r="M45">
            <v>33036.216155371178</v>
          </cell>
          <cell r="N45">
            <v>35104.76328740047</v>
          </cell>
          <cell r="O45">
            <v>37065.93576757783</v>
          </cell>
          <cell r="P45">
            <v>38743.989180414697</v>
          </cell>
          <cell r="Q45">
            <v>39361.47859514835</v>
          </cell>
          <cell r="R45">
            <v>39172.548843819292</v>
          </cell>
          <cell r="S45">
            <v>38996.496139370203</v>
          </cell>
          <cell r="T45">
            <v>39120.770375566906</v>
          </cell>
          <cell r="U45">
            <v>38763.899157189393</v>
          </cell>
          <cell r="V45">
            <v>38720.043292909744</v>
          </cell>
          <cell r="W45">
            <v>43210.665458992749</v>
          </cell>
          <cell r="X45">
            <v>45645.110059696832</v>
          </cell>
          <cell r="Y45">
            <v>45401.668766978742</v>
          </cell>
          <cell r="Z45">
            <v>43693.360100786595</v>
          </cell>
          <cell r="AA45">
            <v>40731.1804042359</v>
          </cell>
          <cell r="AB45">
            <v>37486.275799746341</v>
          </cell>
        </row>
        <row r="46">
          <cell r="D46">
            <v>2</v>
          </cell>
          <cell r="E46">
            <v>34476.615380133153</v>
          </cell>
          <cell r="F46">
            <v>32679.837636245702</v>
          </cell>
          <cell r="G46">
            <v>31284.338094321618</v>
          </cell>
          <cell r="H46">
            <v>30275.015522286074</v>
          </cell>
          <cell r="I46">
            <v>29851.446902304582</v>
          </cell>
          <cell r="J46">
            <v>29280.72027743758</v>
          </cell>
          <cell r="K46">
            <v>28656.303511220314</v>
          </cell>
          <cell r="L46">
            <v>30740.998509306995</v>
          </cell>
          <cell r="M46">
            <v>33036.216155371178</v>
          </cell>
          <cell r="N46">
            <v>35104.76328740047</v>
          </cell>
          <cell r="O46">
            <v>37065.93576757783</v>
          </cell>
          <cell r="P46">
            <v>38743.989180414697</v>
          </cell>
          <cell r="Q46">
            <v>39361.47859514835</v>
          </cell>
          <cell r="R46">
            <v>39172.548843819292</v>
          </cell>
          <cell r="S46">
            <v>38996.496139370203</v>
          </cell>
          <cell r="T46">
            <v>39120.770375566906</v>
          </cell>
          <cell r="U46">
            <v>38763.899157189393</v>
          </cell>
          <cell r="V46">
            <v>38720.043292909744</v>
          </cell>
          <cell r="W46">
            <v>43210.665458992749</v>
          </cell>
          <cell r="X46">
            <v>45645.110059696832</v>
          </cell>
          <cell r="Y46">
            <v>45401.668766978742</v>
          </cell>
          <cell r="Z46">
            <v>43693.360100786595</v>
          </cell>
          <cell r="AA46">
            <v>40731.1804042359</v>
          </cell>
          <cell r="AB46">
            <v>37486.275799746341</v>
          </cell>
        </row>
        <row r="47">
          <cell r="D47">
            <v>22</v>
          </cell>
          <cell r="E47">
            <v>35399.467733618236</v>
          </cell>
          <cell r="F47">
            <v>33592.712374918781</v>
          </cell>
          <cell r="G47">
            <v>32194.796178928507</v>
          </cell>
          <cell r="H47">
            <v>31204.474838238493</v>
          </cell>
          <cell r="I47">
            <v>30913.89738179764</v>
          </cell>
          <cell r="J47">
            <v>30514.799168508955</v>
          </cell>
          <cell r="K47">
            <v>30712.197775935205</v>
          </cell>
          <cell r="L47">
            <v>34364.64988998256</v>
          </cell>
          <cell r="M47">
            <v>38265.526665657278</v>
          </cell>
          <cell r="N47">
            <v>40515.190008907215</v>
          </cell>
          <cell r="O47">
            <v>42431.817186788794</v>
          </cell>
          <cell r="P47">
            <v>43383.307385917236</v>
          </cell>
          <cell r="Q47">
            <v>42560.619279361403</v>
          </cell>
          <cell r="R47">
            <v>41946.348988627666</v>
          </cell>
          <cell r="S47">
            <v>41896.208125266799</v>
          </cell>
          <cell r="T47">
            <v>41824.193352704198</v>
          </cell>
          <cell r="U47">
            <v>41198.71729496734</v>
          </cell>
          <cell r="V47">
            <v>41681.272308722175</v>
          </cell>
          <cell r="W47">
            <v>46013.165970324953</v>
          </cell>
          <cell r="X47">
            <v>45574.074211844614</v>
          </cell>
          <cell r="Y47">
            <v>43992.416688537232</v>
          </cell>
          <cell r="Z47">
            <v>42026.681894965972</v>
          </cell>
          <cell r="AA47">
            <v>39661.763834181875</v>
          </cell>
          <cell r="AB47">
            <v>37054.597496731716</v>
          </cell>
        </row>
        <row r="48">
          <cell r="D48">
            <v>4</v>
          </cell>
          <cell r="E48">
            <v>33093.013987958009</v>
          </cell>
          <cell r="F48">
            <v>31427.50279103516</v>
          </cell>
          <cell r="G48">
            <v>30265.3192872289</v>
          </cell>
          <cell r="H48">
            <v>29408.651104861772</v>
          </cell>
          <cell r="I48">
            <v>29422.704320980265</v>
          </cell>
          <cell r="J48">
            <v>29910.322431235614</v>
          </cell>
          <cell r="K48">
            <v>30519.146030351469</v>
          </cell>
          <cell r="L48">
            <v>34242.49172491012</v>
          </cell>
          <cell r="M48">
            <v>37869.061793218498</v>
          </cell>
          <cell r="N48">
            <v>39848.148844761519</v>
          </cell>
          <cell r="O48">
            <v>41942.250209198741</v>
          </cell>
          <cell r="P48">
            <v>43385.542656788384</v>
          </cell>
          <cell r="Q48">
            <v>42143.130754691338</v>
          </cell>
          <cell r="R48">
            <v>43090.913786007106</v>
          </cell>
          <cell r="S48">
            <v>44689.740357898547</v>
          </cell>
          <cell r="T48">
            <v>44770.335347296394</v>
          </cell>
          <cell r="U48">
            <v>43843.80181895462</v>
          </cell>
          <cell r="V48">
            <v>43964.783703950277</v>
          </cell>
          <cell r="W48">
            <v>46616.059923282686</v>
          </cell>
          <cell r="X48">
            <v>45824.287489864801</v>
          </cell>
          <cell r="Y48">
            <v>44358.837484502765</v>
          </cell>
          <cell r="Z48">
            <v>42201.040000657478</v>
          </cell>
          <cell r="AA48">
            <v>39091.813220493634</v>
          </cell>
          <cell r="AB48">
            <v>35861.41261099447</v>
          </cell>
        </row>
        <row r="49">
          <cell r="D49">
            <v>4</v>
          </cell>
          <cell r="E49">
            <v>34101.823830581132</v>
          </cell>
          <cell r="F49">
            <v>32442.738218289029</v>
          </cell>
          <cell r="G49">
            <v>31214.577554349908</v>
          </cell>
          <cell r="H49">
            <v>30286.884153139967</v>
          </cell>
          <cell r="I49">
            <v>30335.404525069171</v>
          </cell>
          <cell r="J49">
            <v>31291.451567771128</v>
          </cell>
          <cell r="K49">
            <v>31893.845893914</v>
          </cell>
          <cell r="L49">
            <v>35843.977742081661</v>
          </cell>
          <cell r="M49">
            <v>39755.169193647052</v>
          </cell>
          <cell r="N49">
            <v>41825.664653919317</v>
          </cell>
          <cell r="O49">
            <v>44182.570261697627</v>
          </cell>
          <cell r="P49">
            <v>45769.313269635204</v>
          </cell>
          <cell r="Q49">
            <v>44158.346077394053</v>
          </cell>
          <cell r="R49">
            <v>45719.887122582702</v>
          </cell>
          <cell r="S49">
            <v>47934.282755344604</v>
          </cell>
          <cell r="T49">
            <v>47994.337926124215</v>
          </cell>
          <cell r="U49">
            <v>46904.921130110408</v>
          </cell>
          <cell r="V49">
            <v>45550.551376565993</v>
          </cell>
          <cell r="W49">
            <v>48213.334830036198</v>
          </cell>
          <cell r="X49">
            <v>47857.247601155454</v>
          </cell>
          <cell r="Y49">
            <v>46622.656173852018</v>
          </cell>
          <cell r="Z49">
            <v>44420.121955009643</v>
          </cell>
          <cell r="AA49">
            <v>40779.740331194698</v>
          </cell>
          <cell r="AB49">
            <v>37121.61035518648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34091.50844567579</v>
          </cell>
          <cell r="F51">
            <v>32367.576901592565</v>
          </cell>
          <cell r="G51">
            <v>30995.409519796602</v>
          </cell>
          <cell r="H51">
            <v>29861.175987421637</v>
          </cell>
          <cell r="I51">
            <v>29430.804689857316</v>
          </cell>
          <cell r="J51">
            <v>29191.814096362621</v>
          </cell>
          <cell r="K51">
            <v>29808.020890050047</v>
          </cell>
          <cell r="L51">
            <v>33547.999725099129</v>
          </cell>
          <cell r="M51">
            <v>37370.698466759197</v>
          </cell>
          <cell r="N51">
            <v>39589.786857934363</v>
          </cell>
          <cell r="O51">
            <v>41634.978001439442</v>
          </cell>
          <cell r="P51">
            <v>42707.7518555856</v>
          </cell>
          <cell r="Q51">
            <v>41948.731758358263</v>
          </cell>
          <cell r="R51">
            <v>41451.792547868186</v>
          </cell>
          <cell r="S51">
            <v>41622.471513669065</v>
          </cell>
          <cell r="T51">
            <v>41540.335862924832</v>
          </cell>
          <cell r="U51">
            <v>41006.142158560229</v>
          </cell>
          <cell r="V51">
            <v>42072.234674310952</v>
          </cell>
          <cell r="W51">
            <v>45907.821515439835</v>
          </cell>
          <cell r="X51">
            <v>45140.741612012185</v>
          </cell>
          <cell r="Y51">
            <v>43543.651389871316</v>
          </cell>
          <cell r="Z51">
            <v>41513.948597809489</v>
          </cell>
          <cell r="AA51">
            <v>39093.133508032282</v>
          </cell>
          <cell r="AB51">
            <v>36504.617486082636</v>
          </cell>
        </row>
        <row r="52">
          <cell r="D52">
            <v>4</v>
          </cell>
          <cell r="E52">
            <v>31686.805006449278</v>
          </cell>
          <cell r="F52">
            <v>30121.699508461086</v>
          </cell>
          <cell r="G52">
            <v>28963.694120636137</v>
          </cell>
          <cell r="H52">
            <v>28269.633712289338</v>
          </cell>
          <cell r="I52">
            <v>28366.708625381514</v>
          </cell>
          <cell r="J52">
            <v>28919.412121987869</v>
          </cell>
          <cell r="K52">
            <v>29443.515725212033</v>
          </cell>
          <cell r="L52">
            <v>32889.009896086958</v>
          </cell>
          <cell r="M52">
            <v>36328.592196096339</v>
          </cell>
          <cell r="N52">
            <v>38344.169459368641</v>
          </cell>
          <cell r="O52">
            <v>40193.566851987722</v>
          </cell>
          <cell r="P52">
            <v>41573.054330738596</v>
          </cell>
          <cell r="Q52">
            <v>40403.181561888588</v>
          </cell>
          <cell r="R52">
            <v>40933.186079730003</v>
          </cell>
          <cell r="S52">
            <v>42140.326434242743</v>
          </cell>
          <cell r="T52">
            <v>42255.055438016374</v>
          </cell>
          <cell r="U52">
            <v>41707.284063700863</v>
          </cell>
          <cell r="V52">
            <v>42465.027990127885</v>
          </cell>
          <cell r="W52">
            <v>45395.560479195381</v>
          </cell>
          <cell r="X52">
            <v>44513.157102675541</v>
          </cell>
          <cell r="Y52">
            <v>42783.392609854192</v>
          </cell>
          <cell r="Z52">
            <v>40401.81370214613</v>
          </cell>
          <cell r="AA52">
            <v>37296.278730651255</v>
          </cell>
          <cell r="AB52">
            <v>34183.712865373658</v>
          </cell>
        </row>
        <row r="53">
          <cell r="D53">
            <v>4</v>
          </cell>
          <cell r="E53">
            <v>32025.586316290031</v>
          </cell>
          <cell r="F53">
            <v>30669.714380752084</v>
          </cell>
          <cell r="G53">
            <v>29591.310361310472</v>
          </cell>
          <cell r="H53">
            <v>28927.661155594858</v>
          </cell>
          <cell r="I53">
            <v>28697.251254341416</v>
          </cell>
          <cell r="J53">
            <v>28244.982896463851</v>
          </cell>
          <cell r="K53">
            <v>27573.083078698706</v>
          </cell>
          <cell r="L53">
            <v>29740.658417000348</v>
          </cell>
          <cell r="M53">
            <v>31538.878198999799</v>
          </cell>
          <cell r="N53">
            <v>34045.10606480018</v>
          </cell>
          <cell r="O53">
            <v>36001.095821980307</v>
          </cell>
          <cell r="P53">
            <v>37548.109257904645</v>
          </cell>
          <cell r="Q53">
            <v>38333.085914343166</v>
          </cell>
          <cell r="R53">
            <v>38349.346193829697</v>
          </cell>
          <cell r="S53">
            <v>38412.721590639565</v>
          </cell>
          <cell r="T53">
            <v>38509.455977964324</v>
          </cell>
          <cell r="U53">
            <v>38161.611343860772</v>
          </cell>
          <cell r="V53">
            <v>39782.571099190522</v>
          </cell>
          <cell r="W53">
            <v>44326.01630420216</v>
          </cell>
          <cell r="X53">
            <v>44868.68624505114</v>
          </cell>
          <cell r="Y53">
            <v>44163.764480679929</v>
          </cell>
          <cell r="Z53">
            <v>42497.305190399828</v>
          </cell>
          <cell r="AA53">
            <v>39329.883525542042</v>
          </cell>
          <cell r="AB53">
            <v>35942.458538302191</v>
          </cell>
        </row>
        <row r="54">
          <cell r="D54">
            <v>1</v>
          </cell>
          <cell r="E54">
            <v>32025.586316290031</v>
          </cell>
          <cell r="F54">
            <v>30669.714380752084</v>
          </cell>
          <cell r="G54">
            <v>29591.310361310472</v>
          </cell>
          <cell r="H54">
            <v>28927.661155594858</v>
          </cell>
          <cell r="I54">
            <v>28697.251254341416</v>
          </cell>
          <cell r="J54">
            <v>28244.982896463851</v>
          </cell>
          <cell r="K54">
            <v>27573.083078698706</v>
          </cell>
          <cell r="L54">
            <v>29740.658417000348</v>
          </cell>
          <cell r="M54">
            <v>31538.878198999799</v>
          </cell>
          <cell r="N54">
            <v>34045.10606480018</v>
          </cell>
          <cell r="O54">
            <v>36001.095821980307</v>
          </cell>
          <cell r="P54">
            <v>37548.109257904645</v>
          </cell>
          <cell r="Q54">
            <v>38333.085914343166</v>
          </cell>
          <cell r="R54">
            <v>38349.346193829697</v>
          </cell>
          <cell r="S54">
            <v>38412.721590639565</v>
          </cell>
          <cell r="T54">
            <v>38509.455977964324</v>
          </cell>
          <cell r="U54">
            <v>38161.611343860772</v>
          </cell>
          <cell r="V54">
            <v>39782.571099190522</v>
          </cell>
          <cell r="W54">
            <v>44326.01630420216</v>
          </cell>
          <cell r="X54">
            <v>44868.68624505114</v>
          </cell>
          <cell r="Y54">
            <v>44163.764480679929</v>
          </cell>
          <cell r="Z54">
            <v>42497.305190399828</v>
          </cell>
          <cell r="AA54">
            <v>39329.883525542042</v>
          </cell>
          <cell r="AB54">
            <v>35942.458538302191</v>
          </cell>
        </row>
        <row r="55">
          <cell r="D55">
            <v>18</v>
          </cell>
          <cell r="E55">
            <v>33704.436080133855</v>
          </cell>
          <cell r="F55">
            <v>32055.598095962487</v>
          </cell>
          <cell r="G55">
            <v>30864.683894092792</v>
          </cell>
          <cell r="H55">
            <v>30084.962440775387</v>
          </cell>
          <cell r="I55">
            <v>30091.922547063936</v>
          </cell>
          <cell r="J55">
            <v>30342.247312626012</v>
          </cell>
          <cell r="K55">
            <v>30552.186317321499</v>
          </cell>
          <cell r="L55">
            <v>34383.528444575473</v>
          </cell>
          <cell r="M55">
            <v>38472.766212682298</v>
          </cell>
          <cell r="N55">
            <v>41076.249449019546</v>
          </cell>
          <cell r="O55">
            <v>43042.002277609907</v>
          </cell>
          <cell r="P55">
            <v>44073.078638036997</v>
          </cell>
          <cell r="Q55">
            <v>43188.48818398625</v>
          </cell>
          <cell r="R55">
            <v>42435.785037837551</v>
          </cell>
          <cell r="S55">
            <v>42330.440501891964</v>
          </cell>
          <cell r="T55">
            <v>42229.663247033182</v>
          </cell>
          <cell r="U55">
            <v>41797.339664561725</v>
          </cell>
          <cell r="V55">
            <v>43190.898375275741</v>
          </cell>
          <cell r="W55">
            <v>47004.588428535521</v>
          </cell>
          <cell r="X55">
            <v>46014.761329978166</v>
          </cell>
          <cell r="Y55">
            <v>44147.945689924083</v>
          </cell>
          <cell r="Z55">
            <v>42035.974836098721</v>
          </cell>
          <cell r="AA55">
            <v>39420.783900666123</v>
          </cell>
          <cell r="AB55">
            <v>36584.410342426861</v>
          </cell>
        </row>
        <row r="56">
          <cell r="D56">
            <v>5</v>
          </cell>
          <cell r="E56">
            <v>36731.296181342324</v>
          </cell>
          <cell r="F56">
            <v>34872.056219965008</v>
          </cell>
          <cell r="G56">
            <v>33498.215980824301</v>
          </cell>
          <cell r="H56">
            <v>32553.225093477446</v>
          </cell>
          <cell r="I56">
            <v>32353.094531443632</v>
          </cell>
          <cell r="J56">
            <v>32577.890849988449</v>
          </cell>
          <cell r="K56">
            <v>32403.024000465572</v>
          </cell>
          <cell r="L56">
            <v>36094.65263800625</v>
          </cell>
          <cell r="M56">
            <v>39933.131822090465</v>
          </cell>
          <cell r="N56">
            <v>42157.479368939719</v>
          </cell>
          <cell r="O56">
            <v>44120.577736780688</v>
          </cell>
          <cell r="P56">
            <v>45651.558829366033</v>
          </cell>
          <cell r="Q56">
            <v>44667.166493868681</v>
          </cell>
          <cell r="R56">
            <v>45132.508706531291</v>
          </cell>
          <cell r="S56">
            <v>46422.114385269677</v>
          </cell>
          <cell r="T56">
            <v>46494.927995608836</v>
          </cell>
          <cell r="U56">
            <v>45758.042768991501</v>
          </cell>
          <cell r="V56">
            <v>45876.938371937875</v>
          </cell>
          <cell r="W56">
            <v>49734.408117954343</v>
          </cell>
          <cell r="X56">
            <v>48937.219443529117</v>
          </cell>
          <cell r="Y56">
            <v>47358.753245190521</v>
          </cell>
          <cell r="Z56">
            <v>45266.977244404843</v>
          </cell>
          <cell r="AA56">
            <v>42462.232206918168</v>
          </cell>
          <cell r="AB56">
            <v>39311.753415568419</v>
          </cell>
        </row>
        <row r="57">
          <cell r="D57">
            <v>5</v>
          </cell>
          <cell r="E57">
            <v>33870.004730544715</v>
          </cell>
          <cell r="F57">
            <v>32070.433907806062</v>
          </cell>
          <cell r="G57">
            <v>30704.353890332612</v>
          </cell>
          <cell r="H57">
            <v>29655.093388540947</v>
          </cell>
          <cell r="I57">
            <v>29299.580751314534</v>
          </cell>
          <cell r="J57">
            <v>28852.761658421783</v>
          </cell>
          <cell r="K57">
            <v>28042.938124134944</v>
          </cell>
          <cell r="L57">
            <v>29890.077247748828</v>
          </cell>
          <cell r="M57">
            <v>32107.876671030346</v>
          </cell>
          <cell r="N57">
            <v>33839.246802643058</v>
          </cell>
          <cell r="O57">
            <v>35257.436907183757</v>
          </cell>
          <cell r="P57">
            <v>36514.510361136839</v>
          </cell>
          <cell r="Q57">
            <v>36906.779985865738</v>
          </cell>
          <cell r="R57">
            <v>37093.856351249771</v>
          </cell>
          <cell r="S57">
            <v>36560.785442709122</v>
          </cell>
          <cell r="T57">
            <v>36598.157263617344</v>
          </cell>
          <cell r="U57">
            <v>36686.969653485117</v>
          </cell>
          <cell r="V57">
            <v>38996.606121838413</v>
          </cell>
          <cell r="W57">
            <v>43513.762028488352</v>
          </cell>
          <cell r="X57">
            <v>43675.064163673123</v>
          </cell>
          <cell r="Y57">
            <v>42316.662912929423</v>
          </cell>
          <cell r="Z57">
            <v>39778.206438057401</v>
          </cell>
          <cell r="AA57">
            <v>36566.450482238557</v>
          </cell>
          <cell r="AB57">
            <v>33541.694037628033</v>
          </cell>
        </row>
        <row r="58">
          <cell r="D58">
            <v>2</v>
          </cell>
          <cell r="E58">
            <v>33870.004730544715</v>
          </cell>
          <cell r="F58">
            <v>32070.433907806062</v>
          </cell>
          <cell r="G58">
            <v>30704.353890332612</v>
          </cell>
          <cell r="H58">
            <v>29655.093388540947</v>
          </cell>
          <cell r="I58">
            <v>29299.580751314534</v>
          </cell>
          <cell r="J58">
            <v>28852.761658421783</v>
          </cell>
          <cell r="K58">
            <v>28042.938124134944</v>
          </cell>
          <cell r="L58">
            <v>29890.077247748828</v>
          </cell>
          <cell r="M58">
            <v>32107.876671030346</v>
          </cell>
          <cell r="N58">
            <v>33839.246802643058</v>
          </cell>
          <cell r="O58">
            <v>35257.436907183757</v>
          </cell>
          <cell r="P58">
            <v>36514.510361136839</v>
          </cell>
          <cell r="Q58">
            <v>36906.779985865738</v>
          </cell>
          <cell r="R58">
            <v>37093.856351249771</v>
          </cell>
          <cell r="S58">
            <v>36560.785442709122</v>
          </cell>
          <cell r="T58">
            <v>36598.157263617344</v>
          </cell>
          <cell r="U58">
            <v>36686.969653485117</v>
          </cell>
          <cell r="V58">
            <v>38996.606121838413</v>
          </cell>
          <cell r="W58">
            <v>43513.762028488352</v>
          </cell>
          <cell r="X58">
            <v>43675.064163673123</v>
          </cell>
          <cell r="Y58">
            <v>42316.662912929423</v>
          </cell>
          <cell r="Z58">
            <v>39778.206438057401</v>
          </cell>
          <cell r="AA58">
            <v>36566.450482238557</v>
          </cell>
          <cell r="AB58">
            <v>33541.694037628033</v>
          </cell>
        </row>
        <row r="59">
          <cell r="D59">
            <v>21</v>
          </cell>
          <cell r="E59">
            <v>35560.307224477518</v>
          </cell>
          <cell r="F59">
            <v>33683.65006471728</v>
          </cell>
          <cell r="G59">
            <v>32265.12232839955</v>
          </cell>
          <cell r="H59">
            <v>31279.130003614227</v>
          </cell>
          <cell r="I59">
            <v>31062.476713981167</v>
          </cell>
          <cell r="J59">
            <v>31220.265965433427</v>
          </cell>
          <cell r="K59">
            <v>30858.384560318653</v>
          </cell>
          <cell r="L59">
            <v>34168.571211128867</v>
          </cell>
          <cell r="M59">
            <v>37781.274181705419</v>
          </cell>
          <cell r="N59">
            <v>40067.026290542184</v>
          </cell>
          <cell r="O59">
            <v>41749.366483242731</v>
          </cell>
          <cell r="P59">
            <v>42758.882954894594</v>
          </cell>
          <cell r="Q59">
            <v>41833.730255959585</v>
          </cell>
          <cell r="R59">
            <v>41170.139361788912</v>
          </cell>
          <cell r="S59">
            <v>41270.214970882953</v>
          </cell>
          <cell r="T59">
            <v>41241.444482355349</v>
          </cell>
          <cell r="U59">
            <v>40730.181460819353</v>
          </cell>
          <cell r="V59">
            <v>41822.532081276673</v>
          </cell>
          <cell r="W59">
            <v>46058.088586771089</v>
          </cell>
          <cell r="X59">
            <v>45054.466746138867</v>
          </cell>
          <cell r="Y59">
            <v>43116.966429540516</v>
          </cell>
          <cell r="Z59">
            <v>40994.830408210066</v>
          </cell>
          <cell r="AA59">
            <v>38936.361627753577</v>
          </cell>
          <cell r="AB59">
            <v>36629.666877224852</v>
          </cell>
        </row>
        <row r="60">
          <cell r="D60">
            <v>4</v>
          </cell>
          <cell r="E60">
            <v>34902.142972308451</v>
          </cell>
          <cell r="F60">
            <v>33140.051154202192</v>
          </cell>
          <cell r="G60">
            <v>31816.717436356321</v>
          </cell>
          <cell r="H60">
            <v>30897.774988582489</v>
          </cell>
          <cell r="I60">
            <v>30796.959502480964</v>
          </cell>
          <cell r="J60">
            <v>31293.580814269382</v>
          </cell>
          <cell r="K60">
            <v>31426.610798620532</v>
          </cell>
          <cell r="L60">
            <v>34874.342610134874</v>
          </cell>
          <cell r="M60">
            <v>38448.94777954559</v>
          </cell>
          <cell r="N60">
            <v>40514.869404357247</v>
          </cell>
          <cell r="O60">
            <v>42533.803642080937</v>
          </cell>
          <cell r="P60">
            <v>43952.52848855652</v>
          </cell>
          <cell r="Q60">
            <v>42846.15163074826</v>
          </cell>
          <cell r="R60">
            <v>43696.662037823757</v>
          </cell>
          <cell r="S60">
            <v>45136.129527369689</v>
          </cell>
          <cell r="T60">
            <v>45236.952982312505</v>
          </cell>
          <cell r="U60">
            <v>44459.054032009772</v>
          </cell>
          <cell r="V60">
            <v>43658.983202830721</v>
          </cell>
          <cell r="W60">
            <v>46688.315347093157</v>
          </cell>
          <cell r="X60">
            <v>46969.133285727992</v>
          </cell>
          <cell r="Y60">
            <v>45786.725095629947</v>
          </cell>
          <cell r="Z60">
            <v>43801.89715908072</v>
          </cell>
          <cell r="AA60">
            <v>40760.760046636526</v>
          </cell>
          <cell r="AB60">
            <v>37508.445587254442</v>
          </cell>
        </row>
        <row r="61">
          <cell r="D61">
            <v>4</v>
          </cell>
          <cell r="E61">
            <v>34693.125930009533</v>
          </cell>
          <cell r="F61">
            <v>33617.180278832937</v>
          </cell>
          <cell r="G61">
            <v>32599.589144298781</v>
          </cell>
          <cell r="H61">
            <v>31624.143880047566</v>
          </cell>
          <cell r="I61">
            <v>31061.872915068765</v>
          </cell>
          <cell r="J61">
            <v>30248.611569675508</v>
          </cell>
          <cell r="K61">
            <v>28369.774378052607</v>
          </cell>
          <cell r="L61">
            <v>29312.279763391642</v>
          </cell>
          <cell r="M61">
            <v>30844.629597375675</v>
          </cell>
          <cell r="N61">
            <v>32283.307974823671</v>
          </cell>
          <cell r="O61">
            <v>33624.522614847221</v>
          </cell>
          <cell r="P61">
            <v>34764.494961455013</v>
          </cell>
          <cell r="Q61">
            <v>35387.582247764709</v>
          </cell>
          <cell r="R61">
            <v>35415.126777330996</v>
          </cell>
          <cell r="S61">
            <v>35254.879252178071</v>
          </cell>
          <cell r="T61">
            <v>35449.785541100202</v>
          </cell>
          <cell r="U61">
            <v>35433.246394283415</v>
          </cell>
          <cell r="V61">
            <v>36578.575955568922</v>
          </cell>
          <cell r="W61">
            <v>41673.539226611341</v>
          </cell>
          <cell r="X61">
            <v>42058.897110257472</v>
          </cell>
          <cell r="Y61">
            <v>41526.118367710922</v>
          </cell>
          <cell r="Z61">
            <v>40263.510577908484</v>
          </cell>
          <cell r="AA61">
            <v>38182.550464514556</v>
          </cell>
          <cell r="AB61">
            <v>35768.182478460163</v>
          </cell>
        </row>
        <row r="62">
          <cell r="D62">
            <v>2</v>
          </cell>
          <cell r="E62">
            <v>34693.125930009533</v>
          </cell>
          <cell r="F62">
            <v>33617.180278832937</v>
          </cell>
          <cell r="G62">
            <v>32599.589144298781</v>
          </cell>
          <cell r="H62">
            <v>31624.143880047566</v>
          </cell>
          <cell r="I62">
            <v>31061.872915068765</v>
          </cell>
          <cell r="J62">
            <v>30248.611569675508</v>
          </cell>
          <cell r="K62">
            <v>28369.774378052607</v>
          </cell>
          <cell r="L62">
            <v>29312.279763391642</v>
          </cell>
          <cell r="M62">
            <v>30844.629597375675</v>
          </cell>
          <cell r="N62">
            <v>32283.307974823671</v>
          </cell>
          <cell r="O62">
            <v>33624.522614847221</v>
          </cell>
          <cell r="P62">
            <v>34764.494961455013</v>
          </cell>
          <cell r="Q62">
            <v>35387.582247764709</v>
          </cell>
          <cell r="R62">
            <v>35415.126777330996</v>
          </cell>
          <cell r="S62">
            <v>35254.879252178071</v>
          </cell>
          <cell r="T62">
            <v>35449.785541100202</v>
          </cell>
          <cell r="U62">
            <v>35433.246394283415</v>
          </cell>
          <cell r="V62">
            <v>36578.575955568922</v>
          </cell>
          <cell r="W62">
            <v>41673.539226611341</v>
          </cell>
          <cell r="X62">
            <v>42058.897110257472</v>
          </cell>
          <cell r="Y62">
            <v>41526.118367710922</v>
          </cell>
          <cell r="Z62">
            <v>40263.510577908484</v>
          </cell>
          <cell r="AA62">
            <v>38182.550464514556</v>
          </cell>
          <cell r="AB62">
            <v>35768.182478460163</v>
          </cell>
        </row>
      </sheetData>
      <sheetData sheetId="29">
        <row r="15">
          <cell r="D15">
            <v>20</v>
          </cell>
          <cell r="E15">
            <v>35844.257233560456</v>
          </cell>
          <cell r="F15">
            <v>33901.587980675926</v>
          </cell>
          <cell r="G15">
            <v>32497.381449301371</v>
          </cell>
          <cell r="H15">
            <v>31515.618855821496</v>
          </cell>
          <cell r="I15">
            <v>31282.907561055676</v>
          </cell>
          <cell r="J15">
            <v>32046.567005974681</v>
          </cell>
          <cell r="K15">
            <v>31807.952707831035</v>
          </cell>
          <cell r="L15">
            <v>35569.222311132624</v>
          </cell>
          <cell r="M15">
            <v>39616.514413092751</v>
          </cell>
          <cell r="N15">
            <v>41960.276324971877</v>
          </cell>
          <cell r="O15">
            <v>44378.136351359761</v>
          </cell>
          <cell r="P15">
            <v>46097.620678380474</v>
          </cell>
          <cell r="Q15">
            <v>44816.732444314868</v>
          </cell>
          <cell r="R15">
            <v>46074.041812104217</v>
          </cell>
          <cell r="S15">
            <v>48170.921187531596</v>
          </cell>
          <cell r="T15">
            <v>48369.804930263534</v>
          </cell>
          <cell r="U15">
            <v>47368.564608828245</v>
          </cell>
          <cell r="V15">
            <v>45465.039311793262</v>
          </cell>
          <cell r="W15">
            <v>48163.937970345294</v>
          </cell>
          <cell r="X15">
            <v>48311.628138263135</v>
          </cell>
          <cell r="Y15">
            <v>47169.839546835676</v>
          </cell>
          <cell r="Z15">
            <v>45347.61023979458</v>
          </cell>
          <cell r="AA15">
            <v>42343.014268357925</v>
          </cell>
          <cell r="AB15">
            <v>38969.426605069762</v>
          </cell>
        </row>
        <row r="16">
          <cell r="D16">
            <v>5</v>
          </cell>
          <cell r="E16">
            <v>36114.362553115046</v>
          </cell>
          <cell r="F16">
            <v>34196.834046913631</v>
          </cell>
          <cell r="G16">
            <v>32776.191828482202</v>
          </cell>
          <cell r="H16">
            <v>31655.334950501525</v>
          </cell>
          <cell r="I16">
            <v>31361.463246502455</v>
          </cell>
          <cell r="J16">
            <v>31499.002905714104</v>
          </cell>
          <cell r="K16">
            <v>30685.028920034943</v>
          </cell>
          <cell r="L16">
            <v>33605.725495676714</v>
          </cell>
          <cell r="M16">
            <v>37463.199324150919</v>
          </cell>
          <cell r="N16">
            <v>40016.026687802332</v>
          </cell>
          <cell r="O16">
            <v>42117.903890833608</v>
          </cell>
          <cell r="P16">
            <v>43435.390665968815</v>
          </cell>
          <cell r="Q16">
            <v>42819.741729038316</v>
          </cell>
          <cell r="R16">
            <v>42388.075970783153</v>
          </cell>
          <cell r="S16">
            <v>42629.531812318113</v>
          </cell>
          <cell r="T16">
            <v>42615.95277793437</v>
          </cell>
          <cell r="U16">
            <v>41987.074949249938</v>
          </cell>
          <cell r="V16">
            <v>41665.965852753849</v>
          </cell>
          <cell r="W16">
            <v>45948.35837970602</v>
          </cell>
          <cell r="X16">
            <v>46408.408754264288</v>
          </cell>
          <cell r="Y16">
            <v>45125.695125929728</v>
          </cell>
          <cell r="Z16">
            <v>43528.26232937161</v>
          </cell>
          <cell r="AA16">
            <v>41358.685992361039</v>
          </cell>
          <cell r="AB16">
            <v>38825.182168773768</v>
          </cell>
        </row>
        <row r="17">
          <cell r="D17">
            <v>4</v>
          </cell>
          <cell r="E17">
            <v>36516.805728972926</v>
          </cell>
          <cell r="F17">
            <v>34667.670352023095</v>
          </cell>
          <cell r="G17">
            <v>33168.056992815596</v>
          </cell>
          <cell r="H17">
            <v>31969.497105399809</v>
          </cell>
          <cell r="I17">
            <v>31360.230059535723</v>
          </cell>
          <cell r="J17">
            <v>31059.754567693832</v>
          </cell>
          <cell r="K17">
            <v>29458.088959084689</v>
          </cell>
          <cell r="L17">
            <v>30774.603931172442</v>
          </cell>
          <cell r="M17">
            <v>32973.632085675235</v>
          </cell>
          <cell r="N17">
            <v>35214.514514973554</v>
          </cell>
          <cell r="O17">
            <v>36592.676604866931</v>
          </cell>
          <cell r="P17">
            <v>37819.888083604987</v>
          </cell>
          <cell r="Q17">
            <v>38550.559223877979</v>
          </cell>
          <cell r="R17">
            <v>38715.281762362822</v>
          </cell>
          <cell r="S17">
            <v>38822.632277785902</v>
          </cell>
          <cell r="T17">
            <v>38887.162306465849</v>
          </cell>
          <cell r="U17">
            <v>38659.484682247778</v>
          </cell>
          <cell r="V17">
            <v>38698.952605726823</v>
          </cell>
          <cell r="W17">
            <v>43385.930398677447</v>
          </cell>
          <cell r="X17">
            <v>44802.811204666286</v>
          </cell>
          <cell r="Y17">
            <v>44640.17589365445</v>
          </cell>
          <cell r="Z17">
            <v>43406.716710247034</v>
          </cell>
          <cell r="AA17">
            <v>41073.26034361442</v>
          </cell>
          <cell r="AB17">
            <v>38218.487727740823</v>
          </cell>
        </row>
        <row r="18">
          <cell r="D18">
            <v>2</v>
          </cell>
          <cell r="E18">
            <v>36516.805728972926</v>
          </cell>
          <cell r="F18">
            <v>34667.670352023095</v>
          </cell>
          <cell r="G18">
            <v>33168.056992815596</v>
          </cell>
          <cell r="H18">
            <v>31969.497105399809</v>
          </cell>
          <cell r="I18">
            <v>31360.230059535723</v>
          </cell>
          <cell r="J18">
            <v>31059.754567693832</v>
          </cell>
          <cell r="K18">
            <v>29458.088959084689</v>
          </cell>
          <cell r="L18">
            <v>30774.603931172442</v>
          </cell>
          <cell r="M18">
            <v>32973.632085675235</v>
          </cell>
          <cell r="N18">
            <v>35214.514514973554</v>
          </cell>
          <cell r="O18">
            <v>36592.676604866931</v>
          </cell>
          <cell r="P18">
            <v>37819.888083604987</v>
          </cell>
          <cell r="Q18">
            <v>38550.559223877979</v>
          </cell>
          <cell r="R18">
            <v>38715.281762362822</v>
          </cell>
          <cell r="S18">
            <v>38822.632277785902</v>
          </cell>
          <cell r="T18">
            <v>38887.162306465849</v>
          </cell>
          <cell r="U18">
            <v>38659.484682247778</v>
          </cell>
          <cell r="V18">
            <v>38698.952605726823</v>
          </cell>
          <cell r="W18">
            <v>43385.930398677447</v>
          </cell>
          <cell r="X18">
            <v>44802.811204666286</v>
          </cell>
          <cell r="Y18">
            <v>44640.17589365445</v>
          </cell>
          <cell r="Z18">
            <v>43406.716710247034</v>
          </cell>
          <cell r="AA18">
            <v>41073.26034361442</v>
          </cell>
          <cell r="AB18">
            <v>38218.487727740823</v>
          </cell>
        </row>
        <row r="19">
          <cell r="D19">
            <v>20</v>
          </cell>
          <cell r="E19">
            <v>37148.68761521233</v>
          </cell>
          <cell r="F19">
            <v>35188.386485043549</v>
          </cell>
          <cell r="G19">
            <v>33788.165216224283</v>
          </cell>
          <cell r="H19">
            <v>32871.578297096574</v>
          </cell>
          <cell r="I19">
            <v>32938.876820533056</v>
          </cell>
          <cell r="J19">
            <v>34768.399702144496</v>
          </cell>
          <cell r="K19">
            <v>34675.508560880342</v>
          </cell>
          <cell r="L19">
            <v>38255.264136282793</v>
          </cell>
          <cell r="M19">
            <v>41864.909869917159</v>
          </cell>
          <cell r="N19">
            <v>43637.469056397807</v>
          </cell>
          <cell r="O19">
            <v>45755.142046479777</v>
          </cell>
          <cell r="P19">
            <v>47175.913164562036</v>
          </cell>
          <cell r="Q19">
            <v>45400.400911424193</v>
          </cell>
          <cell r="R19">
            <v>47019.579333336405</v>
          </cell>
          <cell r="S19">
            <v>49399.336571554457</v>
          </cell>
          <cell r="T19">
            <v>49705.185378934089</v>
          </cell>
          <cell r="U19">
            <v>48834.665255434185</v>
          </cell>
          <cell r="V19">
            <v>46754.942443800348</v>
          </cell>
          <cell r="W19">
            <v>49240.073203528555</v>
          </cell>
          <cell r="X19">
            <v>50037.026115559282</v>
          </cell>
          <cell r="Y19">
            <v>49046.270302852143</v>
          </cell>
          <cell r="Z19">
            <v>46910.421403301567</v>
          </cell>
          <cell r="AA19">
            <v>43429.249802236322</v>
          </cell>
          <cell r="AB19">
            <v>39928.574386316148</v>
          </cell>
        </row>
        <row r="20">
          <cell r="D20">
            <v>4</v>
          </cell>
          <cell r="E20">
            <v>37267.154823347133</v>
          </cell>
          <cell r="F20">
            <v>35452.556031940847</v>
          </cell>
          <cell r="G20">
            <v>33875.416692842067</v>
          </cell>
          <cell r="H20">
            <v>32805.608357792276</v>
          </cell>
          <cell r="I20">
            <v>32397.146244713233</v>
          </cell>
          <cell r="J20">
            <v>32721.327177534611</v>
          </cell>
          <cell r="K20">
            <v>32391.445510342081</v>
          </cell>
          <cell r="L20">
            <v>35610.485890576092</v>
          </cell>
          <cell r="M20">
            <v>39480.870441393788</v>
          </cell>
          <cell r="N20">
            <v>41911.798731218871</v>
          </cell>
          <cell r="O20">
            <v>43899.400447482694</v>
          </cell>
          <cell r="P20">
            <v>45215.870619166912</v>
          </cell>
          <cell r="Q20">
            <v>44427.164991598147</v>
          </cell>
          <cell r="R20">
            <v>43908.839661907863</v>
          </cell>
          <cell r="S20">
            <v>44139.388280376152</v>
          </cell>
          <cell r="T20">
            <v>44133.852742308103</v>
          </cell>
          <cell r="U20">
            <v>43463.819095282721</v>
          </cell>
          <cell r="V20">
            <v>43161.073113745719</v>
          </cell>
          <cell r="W20">
            <v>47276.604227143311</v>
          </cell>
          <cell r="X20">
            <v>48237.37605805444</v>
          </cell>
          <cell r="Y20">
            <v>46983.956052372574</v>
          </cell>
          <cell r="Z20">
            <v>45291.099626780342</v>
          </cell>
          <cell r="AA20">
            <v>42990.297415151676</v>
          </cell>
          <cell r="AB20">
            <v>40284.160124889371</v>
          </cell>
        </row>
        <row r="21">
          <cell r="D21">
            <v>4</v>
          </cell>
          <cell r="E21">
            <v>37846.467192643744</v>
          </cell>
          <cell r="F21">
            <v>35908.694455956043</v>
          </cell>
          <cell r="G21">
            <v>34409.671770468049</v>
          </cell>
          <cell r="H21">
            <v>33310.015898946353</v>
          </cell>
          <cell r="I21">
            <v>32613.55705656021</v>
          </cell>
          <cell r="J21">
            <v>32467.269151550972</v>
          </cell>
          <cell r="K21">
            <v>31036.464864193957</v>
          </cell>
          <cell r="L21">
            <v>32423.195362649465</v>
          </cell>
          <cell r="M21">
            <v>34693.860578797256</v>
          </cell>
          <cell r="N21">
            <v>36755.806844591563</v>
          </cell>
          <cell r="O21">
            <v>38259.571979701301</v>
          </cell>
          <cell r="P21">
            <v>39788.992246873961</v>
          </cell>
          <cell r="Q21">
            <v>40666.160129274431</v>
          </cell>
          <cell r="R21">
            <v>40934.950960953371</v>
          </cell>
          <cell r="S21">
            <v>41178.232486509536</v>
          </cell>
          <cell r="T21">
            <v>41366.347583793824</v>
          </cell>
          <cell r="U21">
            <v>41094.999498723744</v>
          </cell>
          <cell r="V21">
            <v>40998.723678042508</v>
          </cell>
          <cell r="W21">
            <v>45585.430099301455</v>
          </cell>
          <cell r="X21">
            <v>47638.788350205796</v>
          </cell>
          <cell r="Y21">
            <v>47674.039852468937</v>
          </cell>
          <cell r="Z21">
            <v>46491.550095734448</v>
          </cell>
          <cell r="AA21">
            <v>43709.845730203022</v>
          </cell>
          <cell r="AB21">
            <v>40385.334089053227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21</v>
          </cell>
          <cell r="E23">
            <v>37334.500785332275</v>
          </cell>
          <cell r="F23">
            <v>35361.461135378944</v>
          </cell>
          <cell r="G23">
            <v>33874.581761378518</v>
          </cell>
          <cell r="H23">
            <v>32777.23118928873</v>
          </cell>
          <cell r="I23">
            <v>32612.288471151074</v>
          </cell>
          <cell r="J23">
            <v>33806.426086213549</v>
          </cell>
          <cell r="K23">
            <v>33574.25996707283</v>
          </cell>
          <cell r="L23">
            <v>37422.798231231507</v>
          </cell>
          <cell r="M23">
            <v>41304.296067342875</v>
          </cell>
          <cell r="N23">
            <v>43335.726327657532</v>
          </cell>
          <cell r="O23">
            <v>45639.968888266019</v>
          </cell>
          <cell r="P23">
            <v>47140.127149133266</v>
          </cell>
          <cell r="Q23">
            <v>45443.530602080391</v>
          </cell>
          <cell r="R23">
            <v>47254.533133094854</v>
          </cell>
          <cell r="S23">
            <v>49449.598891955189</v>
          </cell>
          <cell r="T23">
            <v>49685.462431843131</v>
          </cell>
          <cell r="U23">
            <v>48821.987717901306</v>
          </cell>
          <cell r="V23">
            <v>46736.499153285469</v>
          </cell>
          <cell r="W23">
            <v>48833.039036952789</v>
          </cell>
          <cell r="X23">
            <v>49443.401961609889</v>
          </cell>
          <cell r="Y23">
            <v>48554.489448695553</v>
          </cell>
          <cell r="Z23">
            <v>46670.429909669831</v>
          </cell>
          <cell r="AA23">
            <v>43722.84213999538</v>
          </cell>
          <cell r="AB23">
            <v>40407.146832828497</v>
          </cell>
        </row>
        <row r="24">
          <cell r="D24">
            <v>4</v>
          </cell>
          <cell r="E24">
            <v>37442.953462324411</v>
          </cell>
          <cell r="F24">
            <v>35407.277704628235</v>
          </cell>
          <cell r="G24">
            <v>33973.347158032237</v>
          </cell>
          <cell r="H24">
            <v>32838.575573563561</v>
          </cell>
          <cell r="I24">
            <v>32161.168349673033</v>
          </cell>
          <cell r="J24">
            <v>32057.611946498499</v>
          </cell>
          <cell r="K24">
            <v>31588.054779841586</v>
          </cell>
          <cell r="L24">
            <v>34609.949623768043</v>
          </cell>
          <cell r="M24">
            <v>38252.639246252722</v>
          </cell>
          <cell r="N24">
            <v>40533.771966279499</v>
          </cell>
          <cell r="O24">
            <v>42350.882370503503</v>
          </cell>
          <cell r="P24">
            <v>43512.548024979726</v>
          </cell>
          <cell r="Q24">
            <v>42895.48544229391</v>
          </cell>
          <cell r="R24">
            <v>42448.579598065364</v>
          </cell>
          <cell r="S24">
            <v>42193.305658915953</v>
          </cell>
          <cell r="T24">
            <v>43235.362201974553</v>
          </cell>
          <cell r="U24">
            <v>41769.790302227375</v>
          </cell>
          <cell r="V24">
            <v>41430.669115318953</v>
          </cell>
          <cell r="W24">
            <v>45768.343761993223</v>
          </cell>
          <cell r="X24">
            <v>46451.061872170219</v>
          </cell>
          <cell r="Y24">
            <v>45323.03164853435</v>
          </cell>
          <cell r="Z24">
            <v>43871.387391517004</v>
          </cell>
          <cell r="AA24">
            <v>41946.027172793874</v>
          </cell>
          <cell r="AB24">
            <v>39498.942724269524</v>
          </cell>
        </row>
        <row r="25">
          <cell r="D25">
            <v>5</v>
          </cell>
          <cell r="E25">
            <v>37143.053147397433</v>
          </cell>
          <cell r="F25">
            <v>35241.576739877353</v>
          </cell>
          <cell r="G25">
            <v>33544.301872787713</v>
          </cell>
          <cell r="H25">
            <v>32353.530669111427</v>
          </cell>
          <cell r="I25">
            <v>31801.350813100893</v>
          </cell>
          <cell r="J25">
            <v>31441.630081726504</v>
          </cell>
          <cell r="K25">
            <v>29905.608062589639</v>
          </cell>
          <cell r="L25">
            <v>31343.778622154674</v>
          </cell>
          <cell r="M25">
            <v>33427.544139327423</v>
          </cell>
          <cell r="N25">
            <v>35332.849274456647</v>
          </cell>
          <cell r="O25">
            <v>36777.246541232584</v>
          </cell>
          <cell r="P25">
            <v>38142.792692912815</v>
          </cell>
          <cell r="Q25">
            <v>38828.738189936674</v>
          </cell>
          <cell r="R25">
            <v>39004.005641220676</v>
          </cell>
          <cell r="S25">
            <v>39204.593120935293</v>
          </cell>
          <cell r="T25">
            <v>39484.097346388167</v>
          </cell>
          <cell r="U25">
            <v>38996.1852032401</v>
          </cell>
          <cell r="V25">
            <v>39089.997643685652</v>
          </cell>
          <cell r="W25">
            <v>43298.914814294367</v>
          </cell>
          <cell r="X25">
            <v>44855.419063123663</v>
          </cell>
          <cell r="Y25">
            <v>44774.81998524833</v>
          </cell>
          <cell r="Z25">
            <v>43907.376774736433</v>
          </cell>
          <cell r="AA25">
            <v>41573.519678025776</v>
          </cell>
          <cell r="AB25">
            <v>38511.184326010683</v>
          </cell>
        </row>
        <row r="26">
          <cell r="D26">
            <v>1</v>
          </cell>
          <cell r="E26">
            <v>37143.053147397433</v>
          </cell>
          <cell r="F26">
            <v>35241.576739877353</v>
          </cell>
          <cell r="G26">
            <v>33544.301872787713</v>
          </cell>
          <cell r="H26">
            <v>32353.530669111427</v>
          </cell>
          <cell r="I26">
            <v>31801.350813100893</v>
          </cell>
          <cell r="J26">
            <v>31441.630081726504</v>
          </cell>
          <cell r="K26">
            <v>29905.608062589639</v>
          </cell>
          <cell r="L26">
            <v>31343.778622154674</v>
          </cell>
          <cell r="M26">
            <v>33427.544139327423</v>
          </cell>
          <cell r="N26">
            <v>35332.849274456647</v>
          </cell>
          <cell r="O26">
            <v>36777.246541232584</v>
          </cell>
          <cell r="P26">
            <v>38142.792692912815</v>
          </cell>
          <cell r="Q26">
            <v>38828.738189936674</v>
          </cell>
          <cell r="R26">
            <v>39004.005641220676</v>
          </cell>
          <cell r="S26">
            <v>39204.593120935293</v>
          </cell>
          <cell r="T26">
            <v>39484.097346388167</v>
          </cell>
          <cell r="U26">
            <v>38996.1852032401</v>
          </cell>
          <cell r="V26">
            <v>39089.997643685652</v>
          </cell>
          <cell r="W26">
            <v>43298.914814294367</v>
          </cell>
          <cell r="X26">
            <v>44855.419063123663</v>
          </cell>
          <cell r="Y26">
            <v>44774.81998524833</v>
          </cell>
          <cell r="Z26">
            <v>43907.376774736433</v>
          </cell>
          <cell r="AA26">
            <v>41573.519678025776</v>
          </cell>
          <cell r="AB26">
            <v>38511.184326010683</v>
          </cell>
        </row>
        <row r="27">
          <cell r="D27">
            <v>20</v>
          </cell>
          <cell r="E27">
            <v>36803.845782094984</v>
          </cell>
          <cell r="F27">
            <v>35217.075153262434</v>
          </cell>
          <cell r="G27">
            <v>33661.779034489264</v>
          </cell>
          <cell r="H27">
            <v>32792.480224298029</v>
          </cell>
          <cell r="I27">
            <v>32584.767510840855</v>
          </cell>
          <cell r="J27">
            <v>32246.504665568365</v>
          </cell>
          <cell r="K27">
            <v>32358.452565540341</v>
          </cell>
          <cell r="L27">
            <v>35995.736843213839</v>
          </cell>
          <cell r="M27">
            <v>40124.254855499181</v>
          </cell>
          <cell r="N27">
            <v>42563.723703385629</v>
          </cell>
          <cell r="O27">
            <v>44591.716999816133</v>
          </cell>
          <cell r="P27">
            <v>45869.442531045963</v>
          </cell>
          <cell r="Q27">
            <v>45016.988968995611</v>
          </cell>
          <cell r="R27">
            <v>44477.131278758745</v>
          </cell>
          <cell r="S27">
            <v>44785.694640226182</v>
          </cell>
          <cell r="T27">
            <v>44779.052094324608</v>
          </cell>
          <cell r="U27">
            <v>44074.81773514946</v>
          </cell>
          <cell r="V27">
            <v>43820.283877851485</v>
          </cell>
          <cell r="W27">
            <v>48265.75539908131</v>
          </cell>
          <cell r="X27">
            <v>48649.7947244405</v>
          </cell>
          <cell r="Y27">
            <v>47458.376461849388</v>
          </cell>
          <cell r="Z27">
            <v>45809.678743036762</v>
          </cell>
          <cell r="AA27">
            <v>43556.475788034142</v>
          </cell>
          <cell r="AB27">
            <v>40827.080813074266</v>
          </cell>
        </row>
        <row r="28">
          <cell r="D28">
            <v>4</v>
          </cell>
          <cell r="E28">
            <v>35533.601903473253</v>
          </cell>
          <cell r="F28">
            <v>33782.318529940152</v>
          </cell>
          <cell r="G28">
            <v>32452.029399499843</v>
          </cell>
          <cell r="H28">
            <v>31471.120154899003</v>
          </cell>
          <cell r="I28">
            <v>31500.510936461498</v>
          </cell>
          <cell r="J28">
            <v>31889.007354153833</v>
          </cell>
          <cell r="K28">
            <v>32605.499811438534</v>
          </cell>
          <cell r="L28">
            <v>36153.402579158734</v>
          </cell>
          <cell r="M28">
            <v>39799.188868130965</v>
          </cell>
          <cell r="N28">
            <v>41922.919914218874</v>
          </cell>
          <cell r="O28">
            <v>43827.537228156296</v>
          </cell>
          <cell r="P28">
            <v>45142.347711537193</v>
          </cell>
          <cell r="Q28">
            <v>43907.365672501321</v>
          </cell>
          <cell r="R28">
            <v>44773.831406274672</v>
          </cell>
          <cell r="S28">
            <v>46265.8524818367</v>
          </cell>
          <cell r="T28">
            <v>46365.29283086885</v>
          </cell>
          <cell r="U28">
            <v>45635.105494686461</v>
          </cell>
          <cell r="V28">
            <v>44638.382500456129</v>
          </cell>
          <cell r="W28">
            <v>47714.561887785399</v>
          </cell>
          <cell r="X28">
            <v>48127.064863628082</v>
          </cell>
          <cell r="Y28">
            <v>46873.530006060333</v>
          </cell>
          <cell r="Z28">
            <v>44817.827621946839</v>
          </cell>
          <cell r="AA28">
            <v>41590.046751685499</v>
          </cell>
          <cell r="AB28">
            <v>38025.609510050359</v>
          </cell>
        </row>
        <row r="29">
          <cell r="D29">
            <v>4</v>
          </cell>
          <cell r="E29">
            <v>38294.618126820926</v>
          </cell>
          <cell r="F29">
            <v>36355.492337141448</v>
          </cell>
          <cell r="G29">
            <v>34749.138683345162</v>
          </cell>
          <cell r="H29">
            <v>33653.365792545796</v>
          </cell>
          <cell r="I29">
            <v>33011.352616946439</v>
          </cell>
          <cell r="J29">
            <v>32032.372412150908</v>
          </cell>
          <cell r="K29">
            <v>31051.502430471042</v>
          </cell>
          <cell r="L29">
            <v>32790.967897599126</v>
          </cell>
          <cell r="M29">
            <v>35089.84412929169</v>
          </cell>
          <cell r="N29">
            <v>37162.754358637168</v>
          </cell>
          <cell r="O29">
            <v>38801.580275612039</v>
          </cell>
          <cell r="P29">
            <v>40138.835402527606</v>
          </cell>
          <cell r="Q29">
            <v>40754.477584293454</v>
          </cell>
          <cell r="R29">
            <v>40868.256081579551</v>
          </cell>
          <cell r="S29">
            <v>40644.051032296331</v>
          </cell>
          <cell r="T29">
            <v>40463.305438586918</v>
          </cell>
          <cell r="U29">
            <v>40050.410659999783</v>
          </cell>
          <cell r="V29">
            <v>40433.016324186297</v>
          </cell>
          <cell r="W29">
            <v>45176.201137882636</v>
          </cell>
          <cell r="X29">
            <v>46534.416658172784</v>
          </cell>
          <cell r="Y29">
            <v>46220.093031590892</v>
          </cell>
          <cell r="Z29">
            <v>44801.446870573942</v>
          </cell>
          <cell r="AA29">
            <v>42069.175191141687</v>
          </cell>
          <cell r="AB29">
            <v>38808.285609594175</v>
          </cell>
        </row>
        <row r="30">
          <cell r="D30">
            <v>2</v>
          </cell>
          <cell r="E30">
            <v>38294.618126820926</v>
          </cell>
          <cell r="F30">
            <v>36355.492337141448</v>
          </cell>
          <cell r="G30">
            <v>34749.138683345162</v>
          </cell>
          <cell r="H30">
            <v>33653.365792545796</v>
          </cell>
          <cell r="I30">
            <v>33011.352616946439</v>
          </cell>
          <cell r="J30">
            <v>32032.372412150908</v>
          </cell>
          <cell r="K30">
            <v>31051.502430471042</v>
          </cell>
          <cell r="L30">
            <v>32790.967897599126</v>
          </cell>
          <cell r="M30">
            <v>35089.84412929169</v>
          </cell>
          <cell r="N30">
            <v>37162.754358637168</v>
          </cell>
          <cell r="O30">
            <v>38801.580275612039</v>
          </cell>
          <cell r="P30">
            <v>40138.835402527606</v>
          </cell>
          <cell r="Q30">
            <v>40754.477584293454</v>
          </cell>
          <cell r="R30">
            <v>40868.256081579551</v>
          </cell>
          <cell r="S30">
            <v>40644.051032296331</v>
          </cell>
          <cell r="T30">
            <v>40463.305438586918</v>
          </cell>
          <cell r="U30">
            <v>40050.410659999783</v>
          </cell>
          <cell r="V30">
            <v>40433.016324186297</v>
          </cell>
          <cell r="W30">
            <v>45176.201137882636</v>
          </cell>
          <cell r="X30">
            <v>46534.416658172784</v>
          </cell>
          <cell r="Y30">
            <v>46220.093031590892</v>
          </cell>
          <cell r="Z30">
            <v>44801.446870573942</v>
          </cell>
          <cell r="AA30">
            <v>42069.175191141687</v>
          </cell>
          <cell r="AB30">
            <v>38808.285609594175</v>
          </cell>
        </row>
        <row r="31">
          <cell r="D31">
            <v>19</v>
          </cell>
          <cell r="E31">
            <v>37366.676679518074</v>
          </cell>
          <cell r="F31">
            <v>35422.320221910966</v>
          </cell>
          <cell r="G31">
            <v>33853.353016165114</v>
          </cell>
          <cell r="H31">
            <v>32511.531771205773</v>
          </cell>
          <cell r="I31">
            <v>32149.83962578257</v>
          </cell>
          <cell r="J31">
            <v>31640.63748750486</v>
          </cell>
          <cell r="K31">
            <v>32108.278645549668</v>
          </cell>
          <cell r="L31">
            <v>35561.843426641193</v>
          </cell>
          <cell r="M31">
            <v>39586.898031433135</v>
          </cell>
          <cell r="N31">
            <v>41807.552579909956</v>
          </cell>
          <cell r="O31">
            <v>43217.05787049159</v>
          </cell>
          <cell r="P31">
            <v>44252.82866173482</v>
          </cell>
          <cell r="Q31">
            <v>43492.579999843307</v>
          </cell>
          <cell r="R31">
            <v>42710.271131224748</v>
          </cell>
          <cell r="S31">
            <v>42681.517527117911</v>
          </cell>
          <cell r="T31">
            <v>42440.972009046876</v>
          </cell>
          <cell r="U31">
            <v>41864.339981715508</v>
          </cell>
          <cell r="V31">
            <v>42121.075674315965</v>
          </cell>
          <cell r="W31">
            <v>46692.636913220289</v>
          </cell>
          <cell r="X31">
            <v>47127.20562870946</v>
          </cell>
          <cell r="Y31">
            <v>45609.685255035867</v>
          </cell>
          <cell r="Z31">
            <v>43727.336071945785</v>
          </cell>
          <cell r="AA31">
            <v>41251.948088714045</v>
          </cell>
          <cell r="AB31">
            <v>38479.258544952754</v>
          </cell>
        </row>
        <row r="32">
          <cell r="D32">
            <v>5</v>
          </cell>
          <cell r="E32">
            <v>34448.126887653445</v>
          </cell>
          <cell r="F32">
            <v>32744.077519841412</v>
          </cell>
          <cell r="G32">
            <v>31496.869321113205</v>
          </cell>
          <cell r="H32">
            <v>30637.801400785909</v>
          </cell>
          <cell r="I32">
            <v>30527.5695521907</v>
          </cell>
          <cell r="J32">
            <v>30489.193393211968</v>
          </cell>
          <cell r="K32">
            <v>30953.581711821927</v>
          </cell>
          <cell r="L32">
            <v>34581.100194403654</v>
          </cell>
          <cell r="M32">
            <v>38128.087776493128</v>
          </cell>
          <cell r="N32">
            <v>40176.276515104742</v>
          </cell>
          <cell r="O32">
            <v>42177.143804523941</v>
          </cell>
          <cell r="P32">
            <v>43618.344813706077</v>
          </cell>
          <cell r="Q32">
            <v>42666.787774397832</v>
          </cell>
          <cell r="R32">
            <v>43121.620924267707</v>
          </cell>
          <cell r="S32">
            <v>44256.648181587749</v>
          </cell>
          <cell r="T32">
            <v>44201.221921302109</v>
          </cell>
          <cell r="U32">
            <v>43564.533973056808</v>
          </cell>
          <cell r="V32">
            <v>42718.294942826229</v>
          </cell>
          <cell r="W32">
            <v>45829.864019740307</v>
          </cell>
          <cell r="X32">
            <v>46693.438837360496</v>
          </cell>
          <cell r="Y32">
            <v>45421.748226214368</v>
          </cell>
          <cell r="Z32">
            <v>43333.697235907319</v>
          </cell>
          <cell r="AA32">
            <v>40194.849124866276</v>
          </cell>
          <cell r="AB32">
            <v>36921.346505738533</v>
          </cell>
        </row>
        <row r="33">
          <cell r="D33">
            <v>5</v>
          </cell>
          <cell r="E33">
            <v>34422.752702919548</v>
          </cell>
          <cell r="F33">
            <v>33074.763876609046</v>
          </cell>
          <cell r="G33">
            <v>31692.328630769342</v>
          </cell>
          <cell r="H33">
            <v>30957.274287093205</v>
          </cell>
          <cell r="I33">
            <v>30721.497212993378</v>
          </cell>
          <cell r="J33">
            <v>29959.053761451134</v>
          </cell>
          <cell r="K33">
            <v>29834.476932031426</v>
          </cell>
          <cell r="L33">
            <v>32146.295290277485</v>
          </cell>
          <cell r="M33">
            <v>34826.839039134196</v>
          </cell>
          <cell r="N33">
            <v>36911.100118646245</v>
          </cell>
          <cell r="O33">
            <v>38495.639063425981</v>
          </cell>
          <cell r="P33">
            <v>40464.345324739203</v>
          </cell>
          <cell r="Q33">
            <v>41567.233140852622</v>
          </cell>
          <cell r="R33">
            <v>41776.224227551931</v>
          </cell>
          <cell r="S33">
            <v>41824.357908142789</v>
          </cell>
          <cell r="T33">
            <v>41906.330512074433</v>
          </cell>
          <cell r="U33">
            <v>41478.77571566352</v>
          </cell>
          <cell r="V33">
            <v>41489.58812681547</v>
          </cell>
          <cell r="W33">
            <v>46372.109380468879</v>
          </cell>
          <cell r="X33">
            <v>48132.173154336167</v>
          </cell>
          <cell r="Y33">
            <v>47839.117138897767</v>
          </cell>
          <cell r="Z33">
            <v>46227.201484133337</v>
          </cell>
          <cell r="AA33">
            <v>43270.886554366232</v>
          </cell>
          <cell r="AB33">
            <v>39816.224925414703</v>
          </cell>
        </row>
        <row r="34">
          <cell r="D34">
            <v>2</v>
          </cell>
          <cell r="E34">
            <v>34422.752702919548</v>
          </cell>
          <cell r="F34">
            <v>33074.763876609046</v>
          </cell>
          <cell r="G34">
            <v>31692.328630769342</v>
          </cell>
          <cell r="H34">
            <v>30957.274287093205</v>
          </cell>
          <cell r="I34">
            <v>30721.497212993378</v>
          </cell>
          <cell r="J34">
            <v>29959.053761451134</v>
          </cell>
          <cell r="K34">
            <v>29834.476932031426</v>
          </cell>
          <cell r="L34">
            <v>32146.295290277485</v>
          </cell>
          <cell r="M34">
            <v>34826.839039134196</v>
          </cell>
          <cell r="N34">
            <v>36911.100118646245</v>
          </cell>
          <cell r="O34">
            <v>38495.639063425981</v>
          </cell>
          <cell r="P34">
            <v>40464.345324739203</v>
          </cell>
          <cell r="Q34">
            <v>41567.233140852622</v>
          </cell>
          <cell r="R34">
            <v>41776.224227551931</v>
          </cell>
          <cell r="S34">
            <v>41824.357908142789</v>
          </cell>
          <cell r="T34">
            <v>41906.330512074433</v>
          </cell>
          <cell r="U34">
            <v>41478.77571566352</v>
          </cell>
          <cell r="V34">
            <v>41489.58812681547</v>
          </cell>
          <cell r="W34">
            <v>46372.109380468879</v>
          </cell>
          <cell r="X34">
            <v>48132.173154336167</v>
          </cell>
          <cell r="Y34">
            <v>47839.117138897767</v>
          </cell>
          <cell r="Z34">
            <v>46227.201484133337</v>
          </cell>
          <cell r="AA34">
            <v>43270.886554366232</v>
          </cell>
          <cell r="AB34">
            <v>39816.224925414703</v>
          </cell>
        </row>
        <row r="35">
          <cell r="D35">
            <v>19</v>
          </cell>
          <cell r="E35">
            <v>34023.405173353123</v>
          </cell>
          <cell r="F35">
            <v>32334.311845206885</v>
          </cell>
          <cell r="G35">
            <v>31086.340677506323</v>
          </cell>
          <cell r="H35">
            <v>30253.558442079855</v>
          </cell>
          <cell r="I35">
            <v>30031.103948633576</v>
          </cell>
          <cell r="J35">
            <v>29712.038222126193</v>
          </cell>
          <cell r="K35">
            <v>30207.810498145656</v>
          </cell>
          <cell r="L35">
            <v>33846.474223583929</v>
          </cell>
          <cell r="M35">
            <v>37847.426107058498</v>
          </cell>
          <cell r="N35">
            <v>40307.483149414635</v>
          </cell>
          <cell r="O35">
            <v>42445.242870815186</v>
          </cell>
          <cell r="P35">
            <v>43621.757843531515</v>
          </cell>
          <cell r="Q35">
            <v>42977.767755526344</v>
          </cell>
          <cell r="R35">
            <v>42239.837893562144</v>
          </cell>
          <cell r="S35">
            <v>42275.469077832684</v>
          </cell>
          <cell r="T35">
            <v>42153.911054748241</v>
          </cell>
          <cell r="U35">
            <v>41726.842753592973</v>
          </cell>
          <cell r="V35">
            <v>41771.411009800177</v>
          </cell>
          <cell r="W35">
            <v>45369.960737605332</v>
          </cell>
          <cell r="X35">
            <v>46017.61795269142</v>
          </cell>
          <cell r="Y35">
            <v>44414.254752593843</v>
          </cell>
          <cell r="Z35">
            <v>42584.30959416656</v>
          </cell>
          <cell r="AA35">
            <v>40325.843878421314</v>
          </cell>
          <cell r="AB35">
            <v>37774.008573066058</v>
          </cell>
        </row>
        <row r="36">
          <cell r="D36">
            <v>4</v>
          </cell>
          <cell r="E36">
            <v>35037.636565334476</v>
          </cell>
          <cell r="F36">
            <v>33313.395856075891</v>
          </cell>
          <cell r="G36">
            <v>32003.185111961997</v>
          </cell>
          <cell r="H36">
            <v>31094.0700558791</v>
          </cell>
          <cell r="I36">
            <v>30987.086642478571</v>
          </cell>
          <cell r="J36">
            <v>31334.855914072512</v>
          </cell>
          <cell r="K36">
            <v>31547.52637766668</v>
          </cell>
          <cell r="L36">
            <v>35096.548890153725</v>
          </cell>
          <cell r="M36">
            <v>38845.885430483278</v>
          </cell>
          <cell r="N36">
            <v>41015.420667452636</v>
          </cell>
          <cell r="O36">
            <v>43062.634503632289</v>
          </cell>
          <cell r="P36">
            <v>44398.677050127786</v>
          </cell>
          <cell r="Q36">
            <v>43268.109607128725</v>
          </cell>
          <cell r="R36">
            <v>44308.909689955166</v>
          </cell>
          <cell r="S36">
            <v>45813.430605957015</v>
          </cell>
          <cell r="T36">
            <v>45873.601890838887</v>
          </cell>
          <cell r="U36">
            <v>45019.781010143975</v>
          </cell>
          <cell r="V36">
            <v>43540.068892615032</v>
          </cell>
          <cell r="W36">
            <v>46099.581221245338</v>
          </cell>
          <cell r="X36">
            <v>47448.469607818122</v>
          </cell>
          <cell r="Y36">
            <v>46366.433302770609</v>
          </cell>
          <cell r="Z36">
            <v>44401.286245090174</v>
          </cell>
          <cell r="AA36">
            <v>41197.63943557012</v>
          </cell>
          <cell r="AB36">
            <v>37845.161653713432</v>
          </cell>
        </row>
        <row r="37">
          <cell r="D37">
            <v>4</v>
          </cell>
          <cell r="E37">
            <v>33350.926492037688</v>
          </cell>
          <cell r="F37">
            <v>32002.961646783489</v>
          </cell>
          <cell r="G37">
            <v>30901.501060834849</v>
          </cell>
          <cell r="H37">
            <v>30187.855604330409</v>
          </cell>
          <cell r="I37">
            <v>29903.192485107476</v>
          </cell>
          <cell r="J37">
            <v>29065.827638774768</v>
          </cell>
          <cell r="K37">
            <v>28683.391048912268</v>
          </cell>
          <cell r="L37">
            <v>31020.052466592591</v>
          </cell>
          <cell r="M37">
            <v>33722.131531756146</v>
          </cell>
          <cell r="N37">
            <v>35405.831466062024</v>
          </cell>
          <cell r="O37">
            <v>37402.501977475084</v>
          </cell>
          <cell r="P37">
            <v>38880.114215493741</v>
          </cell>
          <cell r="Q37">
            <v>39633.728444015032</v>
          </cell>
          <cell r="R37">
            <v>39476.630237021389</v>
          </cell>
          <cell r="S37">
            <v>39148.260985458233</v>
          </cell>
          <cell r="T37">
            <v>38846.376300230542</v>
          </cell>
          <cell r="U37">
            <v>38549.298337733977</v>
          </cell>
          <cell r="V37">
            <v>39130.81804773453</v>
          </cell>
          <cell r="W37">
            <v>43854.68934846807</v>
          </cell>
          <cell r="X37">
            <v>45597.44000853131</v>
          </cell>
          <cell r="Y37">
            <v>45018.832742741819</v>
          </cell>
          <cell r="Z37">
            <v>43355.494680095399</v>
          </cell>
          <cell r="AA37">
            <v>40425.544076204242</v>
          </cell>
          <cell r="AB37">
            <v>37065.720600592191</v>
          </cell>
        </row>
        <row r="38">
          <cell r="D38">
            <v>3</v>
          </cell>
          <cell r="E38">
            <v>33350.926492037688</v>
          </cell>
          <cell r="F38">
            <v>32002.961646783489</v>
          </cell>
          <cell r="G38">
            <v>30901.501060834849</v>
          </cell>
          <cell r="H38">
            <v>30187.855604330409</v>
          </cell>
          <cell r="I38">
            <v>29903.192485107476</v>
          </cell>
          <cell r="J38">
            <v>29065.827638774768</v>
          </cell>
          <cell r="K38">
            <v>28683.391048912268</v>
          </cell>
          <cell r="L38">
            <v>31020.052466592591</v>
          </cell>
          <cell r="M38">
            <v>33722.131531756146</v>
          </cell>
          <cell r="N38">
            <v>35405.831466062024</v>
          </cell>
          <cell r="O38">
            <v>37402.501977475084</v>
          </cell>
          <cell r="P38">
            <v>38880.114215493741</v>
          </cell>
          <cell r="Q38">
            <v>39633.728444015032</v>
          </cell>
          <cell r="R38">
            <v>39476.630237021389</v>
          </cell>
          <cell r="S38">
            <v>39148.260985458233</v>
          </cell>
          <cell r="T38">
            <v>38846.376300230542</v>
          </cell>
          <cell r="U38">
            <v>38549.298337733977</v>
          </cell>
          <cell r="V38">
            <v>39130.81804773453</v>
          </cell>
          <cell r="W38">
            <v>43854.68934846807</v>
          </cell>
          <cell r="X38">
            <v>45597.44000853131</v>
          </cell>
          <cell r="Y38">
            <v>45018.832742741819</v>
          </cell>
          <cell r="Z38">
            <v>43355.494680095399</v>
          </cell>
          <cell r="AA38">
            <v>40425.544076204242</v>
          </cell>
          <cell r="AB38">
            <v>37065.720600592191</v>
          </cell>
        </row>
        <row r="39">
          <cell r="D39">
            <v>22</v>
          </cell>
          <cell r="E39">
            <v>34558.805425591243</v>
          </cell>
          <cell r="F39">
            <v>32895.654614784078</v>
          </cell>
          <cell r="G39">
            <v>31799.286091287493</v>
          </cell>
          <cell r="H39">
            <v>30987.660700004093</v>
          </cell>
          <cell r="I39">
            <v>30861.775598694199</v>
          </cell>
          <cell r="J39">
            <v>30717.927114390299</v>
          </cell>
          <cell r="K39">
            <v>31000.703854078885</v>
          </cell>
          <cell r="L39">
            <v>34617.040627432565</v>
          </cell>
          <cell r="M39">
            <v>38824.27710512904</v>
          </cell>
          <cell r="N39">
            <v>41207.87565861694</v>
          </cell>
          <cell r="O39">
            <v>43351.866659461128</v>
          </cell>
          <cell r="P39">
            <v>44327.383246961086</v>
          </cell>
          <cell r="Q39">
            <v>43749.121424942787</v>
          </cell>
          <cell r="R39">
            <v>43142.417621493834</v>
          </cell>
          <cell r="S39">
            <v>43213.127297691266</v>
          </cell>
          <cell r="T39">
            <v>43331.444161444626</v>
          </cell>
          <cell r="U39">
            <v>42725.572889112838</v>
          </cell>
          <cell r="V39">
            <v>42629.587448266422</v>
          </cell>
          <cell r="W39">
            <v>46240.298390097392</v>
          </cell>
          <cell r="X39">
            <v>47469.05135446546</v>
          </cell>
          <cell r="Y39">
            <v>45957.463683056129</v>
          </cell>
          <cell r="Z39">
            <v>43919.786805927637</v>
          </cell>
          <cell r="AA39">
            <v>41327.2134473837</v>
          </cell>
          <cell r="AB39">
            <v>38565.204515225443</v>
          </cell>
        </row>
        <row r="40">
          <cell r="D40">
            <v>4</v>
          </cell>
          <cell r="E40">
            <v>36758.287544716746</v>
          </cell>
          <cell r="F40">
            <v>34833.106164783298</v>
          </cell>
          <cell r="G40">
            <v>33422.063221261356</v>
          </cell>
          <cell r="H40">
            <v>32426.503728409323</v>
          </cell>
          <cell r="I40">
            <v>32357.858840932495</v>
          </cell>
          <cell r="J40">
            <v>32950.587660276076</v>
          </cell>
          <cell r="K40">
            <v>33143.842657462716</v>
          </cell>
          <cell r="L40">
            <v>36757.758729643028</v>
          </cell>
          <cell r="M40">
            <v>40647.68411100412</v>
          </cell>
          <cell r="N40">
            <v>42858.456822862681</v>
          </cell>
          <cell r="O40">
            <v>45092.775708962166</v>
          </cell>
          <cell r="P40">
            <v>46705.136447399855</v>
          </cell>
          <cell r="Q40">
            <v>45485.039414449006</v>
          </cell>
          <cell r="R40">
            <v>46396.764913063074</v>
          </cell>
          <cell r="S40">
            <v>47928.859164166235</v>
          </cell>
          <cell r="T40">
            <v>47929.303010965203</v>
          </cell>
          <cell r="U40">
            <v>47014.802865359357</v>
          </cell>
          <cell r="V40">
            <v>45665.723749517128</v>
          </cell>
          <cell r="W40">
            <v>48804.060926555248</v>
          </cell>
          <cell r="X40">
            <v>49809.707077295119</v>
          </cell>
          <cell r="Y40">
            <v>48756.825287806954</v>
          </cell>
          <cell r="Z40">
            <v>46683.426690498643</v>
          </cell>
          <cell r="AA40">
            <v>43275.166389433776</v>
          </cell>
          <cell r="AB40">
            <v>39606.223759911343</v>
          </cell>
        </row>
        <row r="41">
          <cell r="D41">
            <v>4</v>
          </cell>
          <cell r="E41">
            <v>34670.980748270362</v>
          </cell>
          <cell r="F41">
            <v>33278.285366533601</v>
          </cell>
          <cell r="G41">
            <v>32099.398067743052</v>
          </cell>
          <cell r="H41">
            <v>31020.214365727563</v>
          </cell>
          <cell r="I41">
            <v>30657.890177289144</v>
          </cell>
          <cell r="J41">
            <v>30180.141496109398</v>
          </cell>
          <cell r="K41">
            <v>29604.949195331814</v>
          </cell>
          <cell r="L41">
            <v>31812.466418106374</v>
          </cell>
          <cell r="M41">
            <v>34697.289431178135</v>
          </cell>
          <cell r="N41">
            <v>37025.197849439122</v>
          </cell>
          <cell r="O41">
            <v>38694.783536113922</v>
          </cell>
          <cell r="P41">
            <v>39540.96846341146</v>
          </cell>
          <cell r="Q41">
            <v>40992.831022099665</v>
          </cell>
          <cell r="R41">
            <v>41088.199060668019</v>
          </cell>
          <cell r="S41">
            <v>41015.250145613492</v>
          </cell>
          <cell r="T41">
            <v>41132.867153526793</v>
          </cell>
          <cell r="U41">
            <v>40811.622828843501</v>
          </cell>
          <cell r="V41">
            <v>40441.947530561905</v>
          </cell>
          <cell r="W41">
            <v>44694.123448293976</v>
          </cell>
          <cell r="X41">
            <v>47145.835140353433</v>
          </cell>
          <cell r="Y41">
            <v>46508.302699642234</v>
          </cell>
          <cell r="Z41">
            <v>44915.254157125608</v>
          </cell>
          <cell r="AA41">
            <v>42220.933352905588</v>
          </cell>
          <cell r="AB41">
            <v>39221.005916828697</v>
          </cell>
        </row>
        <row r="42">
          <cell r="D42">
            <v>1</v>
          </cell>
          <cell r="E42">
            <v>34670.980748270362</v>
          </cell>
          <cell r="F42">
            <v>33278.285366533601</v>
          </cell>
          <cell r="G42">
            <v>32099.398067743052</v>
          </cell>
          <cell r="H42">
            <v>31020.214365727563</v>
          </cell>
          <cell r="I42">
            <v>30657.890177289144</v>
          </cell>
          <cell r="J42">
            <v>30180.141496109398</v>
          </cell>
          <cell r="K42">
            <v>29604.949195331814</v>
          </cell>
          <cell r="L42">
            <v>31812.466418106374</v>
          </cell>
          <cell r="M42">
            <v>34697.289431178135</v>
          </cell>
          <cell r="N42">
            <v>37025.197849439122</v>
          </cell>
          <cell r="O42">
            <v>38694.783536113922</v>
          </cell>
          <cell r="P42">
            <v>39540.96846341146</v>
          </cell>
          <cell r="Q42">
            <v>40992.831022099665</v>
          </cell>
          <cell r="R42">
            <v>41088.199060668019</v>
          </cell>
          <cell r="S42">
            <v>41015.250145613492</v>
          </cell>
          <cell r="T42">
            <v>41132.867153526793</v>
          </cell>
          <cell r="U42">
            <v>40811.622828843501</v>
          </cell>
          <cell r="V42">
            <v>40441.947530561905</v>
          </cell>
          <cell r="W42">
            <v>44694.123448293976</v>
          </cell>
          <cell r="X42">
            <v>47145.835140353433</v>
          </cell>
          <cell r="Y42">
            <v>46508.302699642234</v>
          </cell>
          <cell r="Z42">
            <v>44915.254157125608</v>
          </cell>
          <cell r="AA42">
            <v>42220.933352905588</v>
          </cell>
          <cell r="AB42">
            <v>39221.005916828697</v>
          </cell>
        </row>
        <row r="43">
          <cell r="D43">
            <v>19</v>
          </cell>
          <cell r="E43">
            <v>35843.336948186494</v>
          </cell>
          <cell r="F43">
            <v>33911.873664643557</v>
          </cell>
          <cell r="G43">
            <v>32470.78256293395</v>
          </cell>
          <cell r="H43">
            <v>31505.703510131174</v>
          </cell>
          <cell r="I43">
            <v>31151.207540017047</v>
          </cell>
          <cell r="J43">
            <v>31061.904904038787</v>
          </cell>
          <cell r="K43">
            <v>31163.918662463984</v>
          </cell>
          <cell r="L43">
            <v>34759.874128163792</v>
          </cell>
          <cell r="M43">
            <v>38808.723451209466</v>
          </cell>
          <cell r="N43">
            <v>41297.11750623797</v>
          </cell>
          <cell r="O43">
            <v>43363.698895491842</v>
          </cell>
          <cell r="P43">
            <v>44682.03023193359</v>
          </cell>
          <cell r="Q43">
            <v>43940.62709465799</v>
          </cell>
          <cell r="R43">
            <v>43314.447409875393</v>
          </cell>
          <cell r="S43">
            <v>43249.225754314757</v>
          </cell>
          <cell r="T43">
            <v>42896.308931141022</v>
          </cell>
          <cell r="U43">
            <v>42036.423582567513</v>
          </cell>
          <cell r="V43">
            <v>41980.677674726074</v>
          </cell>
          <cell r="W43">
            <v>45786.722618419626</v>
          </cell>
          <cell r="X43">
            <v>46374.381510780251</v>
          </cell>
          <cell r="Y43">
            <v>45015.359281815836</v>
          </cell>
          <cell r="Z43">
            <v>43141.661886213369</v>
          </cell>
          <cell r="AA43">
            <v>40498.4303084887</v>
          </cell>
          <cell r="AB43">
            <v>37683.58789611487</v>
          </cell>
        </row>
        <row r="44">
          <cell r="D44">
            <v>5</v>
          </cell>
          <cell r="E44">
            <v>35369.788214537439</v>
          </cell>
          <cell r="F44">
            <v>33614.150865843665</v>
          </cell>
          <cell r="G44">
            <v>32271.387210441972</v>
          </cell>
          <cell r="H44">
            <v>31324.475805338196</v>
          </cell>
          <cell r="I44">
            <v>31234.077678271002</v>
          </cell>
          <cell r="J44">
            <v>31745.054359599308</v>
          </cell>
          <cell r="K44">
            <v>32083.799421579344</v>
          </cell>
          <cell r="L44">
            <v>35743.998934444462</v>
          </cell>
          <cell r="M44">
            <v>39494.758242070857</v>
          </cell>
          <cell r="N44">
            <v>41619.478750307746</v>
          </cell>
          <cell r="O44">
            <v>43824.938414506061</v>
          </cell>
          <cell r="P44">
            <v>45317.216924353328</v>
          </cell>
          <cell r="Q44">
            <v>44154.424921615435</v>
          </cell>
          <cell r="R44">
            <v>45198.673991439347</v>
          </cell>
          <cell r="S44">
            <v>46768.35389298066</v>
          </cell>
          <cell r="T44">
            <v>46801.61466338348</v>
          </cell>
          <cell r="U44">
            <v>45938.918750817626</v>
          </cell>
          <cell r="V44">
            <v>45166.79052393623</v>
          </cell>
          <cell r="W44">
            <v>48484.448526587395</v>
          </cell>
          <cell r="X44">
            <v>48287.516537468568</v>
          </cell>
          <cell r="Y44">
            <v>47041.374493625335</v>
          </cell>
          <cell r="Z44">
            <v>44885.347902506997</v>
          </cell>
          <cell r="AA44">
            <v>41449.027881363603</v>
          </cell>
          <cell r="AB44">
            <v>37923.560733166749</v>
          </cell>
        </row>
        <row r="45">
          <cell r="D45">
            <v>5</v>
          </cell>
          <cell r="E45">
            <v>35352.162634767439</v>
          </cell>
          <cell r="F45">
            <v>33509.755010930829</v>
          </cell>
          <cell r="G45">
            <v>32078.816207370906</v>
          </cell>
          <cell r="H45">
            <v>31043.861490264204</v>
          </cell>
          <cell r="I45">
            <v>30609.53617800635</v>
          </cell>
          <cell r="J45">
            <v>30024.315725249369</v>
          </cell>
          <cell r="K45">
            <v>29384.041648812366</v>
          </cell>
          <cell r="L45">
            <v>31521.678299152318</v>
          </cell>
          <cell r="M45">
            <v>33875.183903203178</v>
          </cell>
          <cell r="N45">
            <v>35996.262606054042</v>
          </cell>
          <cell r="O45">
            <v>38007.239835391119</v>
          </cell>
          <cell r="P45">
            <v>39727.908076932596</v>
          </cell>
          <cell r="Q45">
            <v>40361.078879060995</v>
          </cell>
          <cell r="R45">
            <v>40167.351182131104</v>
          </cell>
          <cell r="S45">
            <v>39986.827549768939</v>
          </cell>
          <cell r="T45">
            <v>40114.257779241787</v>
          </cell>
          <cell r="U45">
            <v>39748.323675425454</v>
          </cell>
          <cell r="V45">
            <v>39703.35407416361</v>
          </cell>
          <cell r="W45">
            <v>44308.017362490282</v>
          </cell>
          <cell r="X45">
            <v>46804.285644643511</v>
          </cell>
          <cell r="Y45">
            <v>46554.662064216674</v>
          </cell>
          <cell r="Z45">
            <v>44802.970225219971</v>
          </cell>
          <cell r="AA45">
            <v>41765.564806177288</v>
          </cell>
          <cell r="AB45">
            <v>38438.25456857423</v>
          </cell>
        </row>
        <row r="46">
          <cell r="D46">
            <v>2</v>
          </cell>
          <cell r="E46">
            <v>35352.162634767439</v>
          </cell>
          <cell r="F46">
            <v>33509.755010930829</v>
          </cell>
          <cell r="G46">
            <v>32078.816207370906</v>
          </cell>
          <cell r="H46">
            <v>31043.861490264204</v>
          </cell>
          <cell r="I46">
            <v>30609.53617800635</v>
          </cell>
          <cell r="J46">
            <v>30024.315725249369</v>
          </cell>
          <cell r="K46">
            <v>29384.041648812366</v>
          </cell>
          <cell r="L46">
            <v>31521.678299152318</v>
          </cell>
          <cell r="M46">
            <v>33875.183903203178</v>
          </cell>
          <cell r="N46">
            <v>35996.262606054042</v>
          </cell>
          <cell r="O46">
            <v>38007.239835391119</v>
          </cell>
          <cell r="P46">
            <v>39727.908076932596</v>
          </cell>
          <cell r="Q46">
            <v>40361.078879060995</v>
          </cell>
          <cell r="R46">
            <v>40167.351182131104</v>
          </cell>
          <cell r="S46">
            <v>39986.827549768939</v>
          </cell>
          <cell r="T46">
            <v>40114.257779241787</v>
          </cell>
          <cell r="U46">
            <v>39748.323675425454</v>
          </cell>
          <cell r="V46">
            <v>39703.35407416361</v>
          </cell>
          <cell r="W46">
            <v>44308.017362490282</v>
          </cell>
          <cell r="X46">
            <v>46804.285644643511</v>
          </cell>
          <cell r="Y46">
            <v>46554.662064216674</v>
          </cell>
          <cell r="Z46">
            <v>44802.970225219971</v>
          </cell>
          <cell r="AA46">
            <v>41765.564806177288</v>
          </cell>
          <cell r="AB46">
            <v>38438.25456857423</v>
          </cell>
        </row>
        <row r="47">
          <cell r="D47">
            <v>22</v>
          </cell>
          <cell r="E47">
            <v>36302.657009578768</v>
          </cell>
          <cell r="F47">
            <v>34449.803724307611</v>
          </cell>
          <cell r="G47">
            <v>33016.220807947109</v>
          </cell>
          <cell r="H47">
            <v>32000.632205574049</v>
          </cell>
          <cell r="I47">
            <v>31702.640896346809</v>
          </cell>
          <cell r="J47">
            <v>31293.360009436878</v>
          </cell>
          <cell r="K47">
            <v>31495.79508539589</v>
          </cell>
          <cell r="L47">
            <v>35241.436611362959</v>
          </cell>
          <cell r="M47">
            <v>39241.841156696406</v>
          </cell>
          <cell r="N47">
            <v>41548.902871623417</v>
          </cell>
          <cell r="O47">
            <v>43514.431268192893</v>
          </cell>
          <cell r="P47">
            <v>44490.197983298945</v>
          </cell>
          <cell r="Q47">
            <v>43646.51964375734</v>
          </cell>
          <cell r="R47">
            <v>43016.576734912313</v>
          </cell>
          <cell r="S47">
            <v>42965.156567285754</v>
          </cell>
          <cell r="T47">
            <v>42891.304395054358</v>
          </cell>
          <cell r="U47">
            <v>42249.869812969919</v>
          </cell>
          <cell r="V47">
            <v>42744.73683426014</v>
          </cell>
          <cell r="W47">
            <v>47187.155318699304</v>
          </cell>
          <cell r="X47">
            <v>46736.860483087796</v>
          </cell>
          <cell r="Y47">
            <v>45114.848225521608</v>
          </cell>
          <cell r="Z47">
            <v>43098.959271489628</v>
          </cell>
          <cell r="AA47">
            <v>40673.702206540307</v>
          </cell>
          <cell r="AB47">
            <v>38000.016092737853</v>
          </cell>
        </row>
        <row r="48">
          <cell r="D48">
            <v>4</v>
          </cell>
          <cell r="E48">
            <v>33937.355930273428</v>
          </cell>
          <cell r="F48">
            <v>32229.350539274768</v>
          </cell>
          <cell r="G48">
            <v>31037.514847327297</v>
          </cell>
          <cell r="H48">
            <v>30158.989457354877</v>
          </cell>
          <cell r="I48">
            <v>30173.401230110059</v>
          </cell>
          <cell r="J48">
            <v>30673.460528782722</v>
          </cell>
          <cell r="K48">
            <v>31297.817778003464</v>
          </cell>
          <cell r="L48">
            <v>35116.161677826807</v>
          </cell>
          <cell r="M48">
            <v>38835.260798234609</v>
          </cell>
          <cell r="N48">
            <v>40864.842682485192</v>
          </cell>
          <cell r="O48">
            <v>43012.373378384873</v>
          </cell>
          <cell r="P48">
            <v>44492.490285329302</v>
          </cell>
          <cell r="Q48">
            <v>43218.379231291779</v>
          </cell>
          <cell r="R48">
            <v>44190.344193145698</v>
          </cell>
          <cell r="S48">
            <v>45829.963553920847</v>
          </cell>
          <cell r="T48">
            <v>45912.6148603986</v>
          </cell>
          <cell r="U48">
            <v>44962.441565693291</v>
          </cell>
          <cell r="V48">
            <v>45086.510207301668</v>
          </cell>
          <cell r="W48">
            <v>47805.431631554384</v>
          </cell>
          <cell r="X48">
            <v>46993.457753972267</v>
          </cell>
          <cell r="Y48">
            <v>45490.617956784568</v>
          </cell>
          <cell r="Z48">
            <v>43277.765985629776</v>
          </cell>
          <cell r="AA48">
            <v>40089.209756065582</v>
          </cell>
          <cell r="AB48">
            <v>36776.388043246123</v>
          </cell>
        </row>
        <row r="49">
          <cell r="D49">
            <v>4</v>
          </cell>
          <cell r="E49">
            <v>34971.904754007715</v>
          </cell>
          <cell r="F49">
            <v>33270.488891323192</v>
          </cell>
          <cell r="G49">
            <v>32010.992684455188</v>
          </cell>
          <cell r="H49">
            <v>31059.629923647597</v>
          </cell>
          <cell r="I49">
            <v>31109.388254291942</v>
          </cell>
          <cell r="J49">
            <v>32089.828077212511</v>
          </cell>
          <cell r="K49">
            <v>32707.592015671758</v>
          </cell>
          <cell r="L49">
            <v>36758.508337514075</v>
          </cell>
          <cell r="M49">
            <v>40769.490729493155</v>
          </cell>
          <cell r="N49">
            <v>42892.813235350259</v>
          </cell>
          <cell r="O49">
            <v>45309.853415925412</v>
          </cell>
          <cell r="P49">
            <v>46937.080910219091</v>
          </cell>
          <cell r="Q49">
            <v>45285.011170818027</v>
          </cell>
          <cell r="R49">
            <v>46886.393694319282</v>
          </cell>
          <cell r="S49">
            <v>49157.287871163666</v>
          </cell>
          <cell r="T49">
            <v>49218.875301880696</v>
          </cell>
          <cell r="U49">
            <v>48101.662902424061</v>
          </cell>
          <cell r="V49">
            <v>46712.73748136816</v>
          </cell>
          <cell r="W49">
            <v>49443.459737689212</v>
          </cell>
          <cell r="X49">
            <v>49078.287226259818</v>
          </cell>
          <cell r="Y49">
            <v>47812.196180212843</v>
          </cell>
          <cell r="Z49">
            <v>45553.46605183409</v>
          </cell>
          <cell r="AA49">
            <v>41820.202985061427</v>
          </cell>
          <cell r="AB49">
            <v>38068.738730999568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34997.553683239814</v>
          </cell>
          <cell r="F51">
            <v>33227.805452344626</v>
          </cell>
          <cell r="G51">
            <v>31819.170170531917</v>
          </cell>
          <cell r="H51">
            <v>30654.79227267862</v>
          </cell>
          <cell r="I51">
            <v>30212.983057511923</v>
          </cell>
          <cell r="J51">
            <v>29967.640844539808</v>
          </cell>
          <cell r="K51">
            <v>30600.22447974086</v>
          </cell>
          <cell r="L51">
            <v>34439.600207640426</v>
          </cell>
          <cell r="M51">
            <v>38363.894277504944</v>
          </cell>
          <cell r="N51">
            <v>40641.959069556055</v>
          </cell>
          <cell r="O51">
            <v>42741.504971180257</v>
          </cell>
          <cell r="P51">
            <v>43842.789785558089</v>
          </cell>
          <cell r="Q51">
            <v>43063.597317682965</v>
          </cell>
          <cell r="R51">
            <v>42553.45102350691</v>
          </cell>
          <cell r="S51">
            <v>42728.666100238828</v>
          </cell>
          <cell r="T51">
            <v>42644.34754182685</v>
          </cell>
          <cell r="U51">
            <v>42095.956646318686</v>
          </cell>
          <cell r="V51">
            <v>43190.382553307798</v>
          </cell>
          <cell r="W51">
            <v>47127.907247852745</v>
          </cell>
          <cell r="X51">
            <v>46340.440769438581</v>
          </cell>
          <cell r="Y51">
            <v>44700.904904505551</v>
          </cell>
          <cell r="Z51">
            <v>42617.258986068184</v>
          </cell>
          <cell r="AA51">
            <v>40132.10623324474</v>
          </cell>
          <cell r="AB51">
            <v>37474.795584099804</v>
          </cell>
        </row>
        <row r="52">
          <cell r="D52">
            <v>5</v>
          </cell>
          <cell r="E52">
            <v>32528.940778043605</v>
          </cell>
          <cell r="F52">
            <v>30922.239690790208</v>
          </cell>
          <cell r="G52">
            <v>29733.458156219378</v>
          </cell>
          <cell r="H52">
            <v>29020.951801763553</v>
          </cell>
          <cell r="I52">
            <v>29120.606661203197</v>
          </cell>
          <cell r="J52">
            <v>29687.999281104967</v>
          </cell>
          <cell r="K52">
            <v>30226.031912270155</v>
          </cell>
          <cell r="L52">
            <v>33763.096498386469</v>
          </cell>
          <cell r="M52">
            <v>37294.092094674561</v>
          </cell>
          <cell r="N52">
            <v>39363.237072125325</v>
          </cell>
          <cell r="O52">
            <v>41261.785639812399</v>
          </cell>
          <cell r="P52">
            <v>42677.935563769926</v>
          </cell>
          <cell r="Q52">
            <v>41476.971250453302</v>
          </cell>
          <cell r="R52">
            <v>42021.061624015747</v>
          </cell>
          <cell r="S52">
            <v>43260.283978391308</v>
          </cell>
          <cell r="T52">
            <v>43378.0621188039</v>
          </cell>
          <cell r="U52">
            <v>42815.732701515211</v>
          </cell>
          <cell r="V52">
            <v>43593.615081977696</v>
          </cell>
          <cell r="W52">
            <v>46602.031921908601</v>
          </cell>
          <cell r="X52">
            <v>45696.177034635577</v>
          </cell>
          <cell r="Y52">
            <v>43920.440833541914</v>
          </cell>
          <cell r="Z52">
            <v>41475.567037294364</v>
          </cell>
          <cell r="AA52">
            <v>38287.496698510149</v>
          </cell>
          <cell r="AB52">
            <v>35092.208606865446</v>
          </cell>
        </row>
        <row r="53">
          <cell r="D53">
            <v>4</v>
          </cell>
          <cell r="E53">
            <v>32876.72583123135</v>
          </cell>
          <cell r="F53">
            <v>31484.819077465905</v>
          </cell>
          <cell r="G53">
            <v>30377.75446567938</v>
          </cell>
          <cell r="H53">
            <v>29696.467548120938</v>
          </cell>
          <cell r="I53">
            <v>29459.934075244055</v>
          </cell>
          <cell r="J53">
            <v>28995.645844663919</v>
          </cell>
          <cell r="K53">
            <v>28305.889039696918</v>
          </cell>
          <cell r="L53">
            <v>30531.071723694604</v>
          </cell>
          <cell r="M53">
            <v>32377.082540583877</v>
          </cell>
          <cell r="N53">
            <v>34949.91807279706</v>
          </cell>
          <cell r="O53">
            <v>36957.891895365232</v>
          </cell>
          <cell r="P53">
            <v>38546.020090359263</v>
          </cell>
          <cell r="Q53">
            <v>39351.858961278514</v>
          </cell>
          <cell r="R53">
            <v>39368.551387931948</v>
          </cell>
          <cell r="S53">
            <v>39433.611103772448</v>
          </cell>
          <cell r="T53">
            <v>39532.91638733913</v>
          </cell>
          <cell r="U53">
            <v>39175.827135191073</v>
          </cell>
          <cell r="V53">
            <v>40839.866910548073</v>
          </cell>
          <cell r="W53">
            <v>45504.062621413497</v>
          </cell>
          <cell r="X53">
            <v>46061.155025154047</v>
          </cell>
          <cell r="Y53">
            <v>45337.498653938397</v>
          </cell>
          <cell r="Z53">
            <v>43626.750108873392</v>
          </cell>
          <cell r="AA53">
            <v>40375.148322758294</v>
          </cell>
          <cell r="AB53">
            <v>36897.696216824508</v>
          </cell>
        </row>
        <row r="54">
          <cell r="D54">
            <v>1</v>
          </cell>
          <cell r="E54">
            <v>32876.72583123135</v>
          </cell>
          <cell r="F54">
            <v>31484.819077465905</v>
          </cell>
          <cell r="G54">
            <v>30377.75446567938</v>
          </cell>
          <cell r="H54">
            <v>29696.467548120938</v>
          </cell>
          <cell r="I54">
            <v>29459.934075244055</v>
          </cell>
          <cell r="J54">
            <v>28995.645844663919</v>
          </cell>
          <cell r="K54">
            <v>28305.889039696918</v>
          </cell>
          <cell r="L54">
            <v>30531.071723694604</v>
          </cell>
          <cell r="M54">
            <v>32377.082540583877</v>
          </cell>
          <cell r="N54">
            <v>34949.91807279706</v>
          </cell>
          <cell r="O54">
            <v>36957.891895365232</v>
          </cell>
          <cell r="P54">
            <v>38546.020090359263</v>
          </cell>
          <cell r="Q54">
            <v>39351.858961278514</v>
          </cell>
          <cell r="R54">
            <v>39368.551387931948</v>
          </cell>
          <cell r="S54">
            <v>39433.611103772448</v>
          </cell>
          <cell r="T54">
            <v>39532.91638733913</v>
          </cell>
          <cell r="U54">
            <v>39175.827135191073</v>
          </cell>
          <cell r="V54">
            <v>40839.866910548073</v>
          </cell>
          <cell r="W54">
            <v>45504.062621413497</v>
          </cell>
          <cell r="X54">
            <v>46061.155025154047</v>
          </cell>
          <cell r="Y54">
            <v>45337.498653938397</v>
          </cell>
          <cell r="Z54">
            <v>43626.750108873392</v>
          </cell>
          <cell r="AA54">
            <v>40375.148322758294</v>
          </cell>
          <cell r="AB54">
            <v>36897.696216824508</v>
          </cell>
        </row>
        <row r="55">
          <cell r="D55">
            <v>19</v>
          </cell>
          <cell r="E55">
            <v>34651.077129097903</v>
          </cell>
          <cell r="F55">
            <v>32955.92898815083</v>
          </cell>
          <cell r="G55">
            <v>31731.566124906003</v>
          </cell>
          <cell r="H55">
            <v>30929.944992486617</v>
          </cell>
          <cell r="I55">
            <v>30937.100584090578</v>
          </cell>
          <cell r="J55">
            <v>31194.45610661562</v>
          </cell>
          <cell r="K55">
            <v>31410.291571917995</v>
          </cell>
          <cell r="L55">
            <v>35349.242849541988</v>
          </cell>
          <cell r="M55">
            <v>39553.33316468625</v>
          </cell>
          <cell r="N55">
            <v>42229.939241469401</v>
          </cell>
          <cell r="O55">
            <v>44250.90326882412</v>
          </cell>
          <cell r="P55">
            <v>45310.938998429679</v>
          </cell>
          <cell r="Q55">
            <v>44401.503457716295</v>
          </cell>
          <cell r="R55">
            <v>43627.659483276198</v>
          </cell>
          <cell r="S55">
            <v>43519.356183630385</v>
          </cell>
          <cell r="T55">
            <v>43415.748444202029</v>
          </cell>
          <cell r="U55">
            <v>42971.282387409687</v>
          </cell>
          <cell r="V55">
            <v>44403.981342943916</v>
          </cell>
          <cell r="W55">
            <v>48324.784760861636</v>
          </cell>
          <cell r="X55">
            <v>47307.156842238815</v>
          </cell>
          <cell r="Y55">
            <v>45387.908806890497</v>
          </cell>
          <cell r="Z55">
            <v>43216.619995639776</v>
          </cell>
          <cell r="AA55">
            <v>40527.977390982596</v>
          </cell>
          <cell r="AB55">
            <v>37611.939908563101</v>
          </cell>
        </row>
        <row r="56">
          <cell r="D56">
            <v>4</v>
          </cell>
          <cell r="E56">
            <v>37762.951262716313</v>
          </cell>
          <cell r="F56">
            <v>35851.49168065971</v>
          </cell>
          <cell r="G56">
            <v>34439.065020372633</v>
          </cell>
          <cell r="H56">
            <v>33467.532607075518</v>
          </cell>
          <cell r="I56">
            <v>33261.781069668526</v>
          </cell>
          <cell r="J56">
            <v>33492.891139384978</v>
          </cell>
          <cell r="K56">
            <v>33313.1128848035</v>
          </cell>
          <cell r="L56">
            <v>37108.426603961292</v>
          </cell>
          <cell r="M56">
            <v>41054.715393659695</v>
          </cell>
          <cell r="N56">
            <v>43341.537170607437</v>
          </cell>
          <cell r="O56">
            <v>45359.772182590277</v>
          </cell>
          <cell r="P56">
            <v>46933.753239452817</v>
          </cell>
          <cell r="Q56">
            <v>45921.712727589249</v>
          </cell>
          <cell r="R56">
            <v>46400.124793706011</v>
          </cell>
          <cell r="S56">
            <v>47725.951036098646</v>
          </cell>
          <cell r="T56">
            <v>47800.809728939887</v>
          </cell>
          <cell r="U56">
            <v>47043.22794468746</v>
          </cell>
          <cell r="V56">
            <v>47165.462913942247</v>
          </cell>
          <cell r="W56">
            <v>51131.275644782276</v>
          </cell>
          <cell r="X56">
            <v>50311.696697421277</v>
          </cell>
          <cell r="Y56">
            <v>48688.896842403286</v>
          </cell>
          <cell r="Z56">
            <v>46538.370087773998</v>
          </cell>
          <cell r="AA56">
            <v>43654.849461873666</v>
          </cell>
          <cell r="AB56">
            <v>40415.884616620169</v>
          </cell>
        </row>
        <row r="57">
          <cell r="D57">
            <v>5</v>
          </cell>
          <cell r="E57">
            <v>34821.296030310405</v>
          </cell>
          <cell r="F57">
            <v>32971.181486642199</v>
          </cell>
          <cell r="G57">
            <v>31566.733005811719</v>
          </cell>
          <cell r="H57">
            <v>30488.002405197127</v>
          </cell>
          <cell r="I57">
            <v>30122.50464746539</v>
          </cell>
          <cell r="J57">
            <v>29663.135951494063</v>
          </cell>
          <cell r="K57">
            <v>28830.567274753259</v>
          </cell>
          <cell r="L57">
            <v>30729.586148362167</v>
          </cell>
          <cell r="M57">
            <v>33009.675887596612</v>
          </cell>
          <cell r="N57">
            <v>34789.674218584572</v>
          </cell>
          <cell r="O57">
            <v>36247.696378614972</v>
          </cell>
          <cell r="P57">
            <v>37540.07667853473</v>
          </cell>
          <cell r="Q57">
            <v>37943.363800430685</v>
          </cell>
          <cell r="R57">
            <v>38135.694493949522</v>
          </cell>
          <cell r="S57">
            <v>37587.651467114614</v>
          </cell>
          <cell r="T57">
            <v>37626.07293322865</v>
          </cell>
          <cell r="U57">
            <v>37717.379755986665</v>
          </cell>
          <cell r="V57">
            <v>40091.885925287614</v>
          </cell>
          <cell r="W57">
            <v>44735.91311961133</v>
          </cell>
          <cell r="X57">
            <v>44901.745673940008</v>
          </cell>
          <cell r="Y57">
            <v>43505.191629841123</v>
          </cell>
          <cell r="Z57">
            <v>40895.438691369796</v>
          </cell>
          <cell r="AA57">
            <v>37593.475618012941</v>
          </cell>
          <cell r="AB57">
            <v>34483.764225431201</v>
          </cell>
        </row>
        <row r="58">
          <cell r="D58">
            <v>2</v>
          </cell>
          <cell r="E58">
            <v>34821.296030310405</v>
          </cell>
          <cell r="F58">
            <v>32971.181486642199</v>
          </cell>
          <cell r="G58">
            <v>31566.733005811719</v>
          </cell>
          <cell r="H58">
            <v>30488.002405197127</v>
          </cell>
          <cell r="I58">
            <v>30122.50464746539</v>
          </cell>
          <cell r="J58">
            <v>29663.135951494063</v>
          </cell>
          <cell r="K58">
            <v>28830.567274753259</v>
          </cell>
          <cell r="L58">
            <v>30729.586148362167</v>
          </cell>
          <cell r="M58">
            <v>33009.675887596612</v>
          </cell>
          <cell r="N58">
            <v>34789.674218584572</v>
          </cell>
          <cell r="O58">
            <v>36247.696378614972</v>
          </cell>
          <cell r="P58">
            <v>37540.07667853473</v>
          </cell>
          <cell r="Q58">
            <v>37943.363800430685</v>
          </cell>
          <cell r="R58">
            <v>38135.694493949522</v>
          </cell>
          <cell r="S58">
            <v>37587.651467114614</v>
          </cell>
          <cell r="T58">
            <v>37626.07293322865</v>
          </cell>
          <cell r="U58">
            <v>37717.379755986665</v>
          </cell>
          <cell r="V58">
            <v>40091.885925287614</v>
          </cell>
          <cell r="W58">
            <v>44735.91311961133</v>
          </cell>
          <cell r="X58">
            <v>44901.745673940008</v>
          </cell>
          <cell r="Y58">
            <v>43505.191629841123</v>
          </cell>
          <cell r="Z58">
            <v>40895.438691369796</v>
          </cell>
          <cell r="AA58">
            <v>37593.475618012941</v>
          </cell>
          <cell r="AB58">
            <v>34483.764225431201</v>
          </cell>
        </row>
        <row r="59">
          <cell r="D59">
            <v>21</v>
          </cell>
          <cell r="E59">
            <v>36471.819666048163</v>
          </cell>
          <cell r="F59">
            <v>34547.058412617262</v>
          </cell>
          <cell r="G59">
            <v>33092.169750838322</v>
          </cell>
          <cell r="H59">
            <v>32080.903621030408</v>
          </cell>
          <cell r="I59">
            <v>31858.696887560065</v>
          </cell>
          <cell r="J59">
            <v>32020.530729092414</v>
          </cell>
          <cell r="K59">
            <v>31649.373267922976</v>
          </cell>
          <cell r="L59">
            <v>35044.409475771259</v>
          </cell>
          <cell r="M59">
            <v>38749.716362410523</v>
          </cell>
          <cell r="N59">
            <v>41094.058839221296</v>
          </cell>
          <cell r="O59">
            <v>42819.522225625456</v>
          </cell>
          <cell r="P59">
            <v>43854.915493506116</v>
          </cell>
          <cell r="Q59">
            <v>42906.048483271472</v>
          </cell>
          <cell r="R59">
            <v>42225.447855401602</v>
          </cell>
          <cell r="S59">
            <v>42328.088688755699</v>
          </cell>
          <cell r="T59">
            <v>42298.580730271002</v>
          </cell>
          <cell r="U59">
            <v>41774.212574347293</v>
          </cell>
          <cell r="V59">
            <v>42894.5632673242</v>
          </cell>
          <cell r="W59">
            <v>47238.689207479641</v>
          </cell>
          <cell r="X59">
            <v>46209.341666881061</v>
          </cell>
          <cell r="Y59">
            <v>44222.177672379759</v>
          </cell>
          <cell r="Z59">
            <v>42045.645231638839</v>
          </cell>
          <cell r="AA59">
            <v>39934.412005360027</v>
          </cell>
          <cell r="AB59">
            <v>37568.590067016536</v>
          </cell>
        </row>
        <row r="60">
          <cell r="D60">
            <v>4</v>
          </cell>
          <cell r="E60">
            <v>35796.784780544527</v>
          </cell>
          <cell r="F60">
            <v>33989.525506340229</v>
          </cell>
          <cell r="G60">
            <v>32632.270958155303</v>
          </cell>
          <cell r="H60">
            <v>31689.773385591754</v>
          </cell>
          <cell r="I60">
            <v>31586.373710065091</v>
          </cell>
          <cell r="J60">
            <v>32095.724847318357</v>
          </cell>
          <cell r="K60">
            <v>32232.164770877083</v>
          </cell>
          <cell r="L60">
            <v>35768.271815528642</v>
          </cell>
          <cell r="M60">
            <v>39434.504345328918</v>
          </cell>
          <cell r="N60">
            <v>41553.381453692455</v>
          </cell>
          <cell r="O60">
            <v>43624.066753767242</v>
          </cell>
          <cell r="P60">
            <v>45079.157578201462</v>
          </cell>
          <cell r="Q60">
            <v>43944.421115269659</v>
          </cell>
          <cell r="R60">
            <v>44816.732538091193</v>
          </cell>
          <cell r="S60">
            <v>46293.097698899495</v>
          </cell>
          <cell r="T60">
            <v>46396.505547531662</v>
          </cell>
          <cell r="U60">
            <v>45598.666820921331</v>
          </cell>
          <cell r="V60">
            <v>44778.087886727022</v>
          </cell>
          <cell r="W60">
            <v>47885.070483268013</v>
          </cell>
          <cell r="X60">
            <v>48173.086589322098</v>
          </cell>
          <cell r="Y60">
            <v>46960.369893465489</v>
          </cell>
          <cell r="Z60">
            <v>44924.66513667057</v>
          </cell>
          <cell r="AA60">
            <v>41805.574976829557</v>
          </cell>
          <cell r="AB60">
            <v>38469.894390295842</v>
          </cell>
        </row>
        <row r="61">
          <cell r="D61">
            <v>4</v>
          </cell>
          <cell r="E61">
            <v>35582.410033281107</v>
          </cell>
          <cell r="F61">
            <v>34478.884815895748</v>
          </cell>
          <cell r="G61">
            <v>33435.20990841485</v>
          </cell>
          <cell r="H61">
            <v>32434.761190486384</v>
          </cell>
          <cell r="I61">
            <v>31858.077611553574</v>
          </cell>
          <cell r="J61">
            <v>31023.970050465523</v>
          </cell>
          <cell r="K61">
            <v>29096.972884716441</v>
          </cell>
          <cell r="L61">
            <v>30063.637380368022</v>
          </cell>
          <cell r="M61">
            <v>31635.265725915458</v>
          </cell>
          <cell r="N61">
            <v>33110.82154742445</v>
          </cell>
          <cell r="O61">
            <v>34486.415356994563</v>
          </cell>
          <cell r="P61">
            <v>35655.60845724828</v>
          </cell>
          <cell r="Q61">
            <v>36294.667253873398</v>
          </cell>
          <cell r="R61">
            <v>36322.917828560116</v>
          </cell>
          <cell r="S61">
            <v>36158.562700737013</v>
          </cell>
          <cell r="T61">
            <v>36358.464995632086</v>
          </cell>
          <cell r="U61">
            <v>36341.501903150209</v>
          </cell>
          <cell r="V61">
            <v>37516.189538825245</v>
          </cell>
          <cell r="W61">
            <v>42741.751299402189</v>
          </cell>
          <cell r="X61">
            <v>43136.987008433338</v>
          </cell>
          <cell r="Y61">
            <v>42590.551621995328</v>
          </cell>
          <cell r="Z61">
            <v>41295.579581176607</v>
          </cell>
          <cell r="AA61">
            <v>39161.278504730901</v>
          </cell>
          <cell r="AB61">
            <v>36685.023357693171</v>
          </cell>
        </row>
        <row r="62">
          <cell r="D62">
            <v>2</v>
          </cell>
          <cell r="E62">
            <v>35582.410033281107</v>
          </cell>
          <cell r="F62">
            <v>34478.884815895748</v>
          </cell>
          <cell r="G62">
            <v>33435.20990841485</v>
          </cell>
          <cell r="H62">
            <v>32434.761190486384</v>
          </cell>
          <cell r="I62">
            <v>31858.077611553574</v>
          </cell>
          <cell r="J62">
            <v>31023.970050465523</v>
          </cell>
          <cell r="K62">
            <v>29096.972884716441</v>
          </cell>
          <cell r="L62">
            <v>30063.637380368022</v>
          </cell>
          <cell r="M62">
            <v>31635.265725915458</v>
          </cell>
          <cell r="N62">
            <v>33110.82154742445</v>
          </cell>
          <cell r="O62">
            <v>34486.415356994563</v>
          </cell>
          <cell r="P62">
            <v>35655.60845724828</v>
          </cell>
          <cell r="Q62">
            <v>36294.667253873398</v>
          </cell>
          <cell r="R62">
            <v>36322.917828560116</v>
          </cell>
          <cell r="S62">
            <v>36158.562700737013</v>
          </cell>
          <cell r="T62">
            <v>36358.464995632086</v>
          </cell>
          <cell r="U62">
            <v>36341.501903150209</v>
          </cell>
          <cell r="V62">
            <v>37516.189538825245</v>
          </cell>
          <cell r="W62">
            <v>42741.751299402189</v>
          </cell>
          <cell r="X62">
            <v>43136.987008433338</v>
          </cell>
          <cell r="Y62">
            <v>42590.551621995328</v>
          </cell>
          <cell r="Z62">
            <v>41295.579581176607</v>
          </cell>
          <cell r="AA62">
            <v>39161.278504730901</v>
          </cell>
          <cell r="AB62">
            <v>36685.023357693171</v>
          </cell>
        </row>
      </sheetData>
      <sheetData sheetId="30">
        <row r="15">
          <cell r="D15">
            <v>19</v>
          </cell>
          <cell r="E15">
            <v>36757.393576088136</v>
          </cell>
          <cell r="F15">
            <v>34765.234613185035</v>
          </cell>
          <cell r="G15">
            <v>33325.255768051597</v>
          </cell>
          <cell r="H15">
            <v>32318.482665970605</v>
          </cell>
          <cell r="I15">
            <v>32079.843025718859</v>
          </cell>
          <cell r="J15">
            <v>32862.956777862753</v>
          </cell>
          <cell r="K15">
            <v>32618.263754581578</v>
          </cell>
          <cell r="L15">
            <v>36475.352109167099</v>
          </cell>
          <cell r="M15">
            <v>40625.749416601102</v>
          </cell>
          <cell r="N15">
            <v>43029.21891750973</v>
          </cell>
          <cell r="O15">
            <v>45508.6741904347</v>
          </cell>
          <cell r="P15">
            <v>47271.96256726954</v>
          </cell>
          <cell r="Q15">
            <v>45958.443566450405</v>
          </cell>
          <cell r="R15">
            <v>47247.783026816323</v>
          </cell>
          <cell r="S15">
            <v>49398.080631867575</v>
          </cell>
          <cell r="T15">
            <v>49602.03095952671</v>
          </cell>
          <cell r="U15">
            <v>48575.283932257094</v>
          </cell>
          <cell r="V15">
            <v>46623.266121726359</v>
          </cell>
          <cell r="W15">
            <v>49390.919516465685</v>
          </cell>
          <cell r="X15">
            <v>49542.372107437273</v>
          </cell>
          <cell r="Y15">
            <v>48371.496327746368</v>
          </cell>
          <cell r="Z15">
            <v>46502.845531376151</v>
          </cell>
          <cell r="AA15">
            <v>43421.70715153488</v>
          </cell>
          <cell r="AB15">
            <v>39962.176976452472</v>
          </cell>
        </row>
        <row r="16">
          <cell r="D16">
            <v>5</v>
          </cell>
          <cell r="E16">
            <v>37034.379857967826</v>
          </cell>
          <cell r="F16">
            <v>35068.002104997649</v>
          </cell>
          <cell r="G16">
            <v>33611.168871896116</v>
          </cell>
          <cell r="H16">
            <v>32461.758043323371</v>
          </cell>
          <cell r="I16">
            <v>32160.399925776554</v>
          </cell>
          <cell r="J16">
            <v>32301.443422731212</v>
          </cell>
          <cell r="K16">
            <v>31466.733361441602</v>
          </cell>
          <cell r="L16">
            <v>34461.834999276085</v>
          </cell>
          <cell r="M16">
            <v>38417.57839210971</v>
          </cell>
          <cell r="N16">
            <v>41035.439309860463</v>
          </cell>
          <cell r="O16">
            <v>43190.862062716136</v>
          </cell>
          <cell r="P16">
            <v>44541.91195640996</v>
          </cell>
          <cell r="Q16">
            <v>43910.57929600637</v>
          </cell>
          <cell r="R16">
            <v>43467.916805719098</v>
          </cell>
          <cell r="S16">
            <v>43715.523761017816</v>
          </cell>
          <cell r="T16">
            <v>43701.598799259664</v>
          </cell>
          <cell r="U16">
            <v>43056.700239649217</v>
          </cell>
          <cell r="V16">
            <v>42727.41085407597</v>
          </cell>
          <cell r="W16">
            <v>47118.897795339719</v>
          </cell>
          <cell r="X16">
            <v>47590.66800311047</v>
          </cell>
          <cell r="Y16">
            <v>46275.277105905327</v>
          </cell>
          <cell r="Z16">
            <v>44637.149535515549</v>
          </cell>
          <cell r="AA16">
            <v>42412.303005896349</v>
          </cell>
          <cell r="AB16">
            <v>39814.257897489697</v>
          </cell>
        </row>
        <row r="17">
          <cell r="D17">
            <v>5</v>
          </cell>
          <cell r="E17">
            <v>37447.075317400282</v>
          </cell>
          <cell r="F17">
            <v>35550.833016070777</v>
          </cell>
          <cell r="G17">
            <v>34013.016843812649</v>
          </cell>
          <cell r="H17">
            <v>32783.923513207788</v>
          </cell>
          <cell r="I17">
            <v>32159.135323238039</v>
          </cell>
          <cell r="J17">
            <v>31851.005185636524</v>
          </cell>
          <cell r="K17">
            <v>30208.536971849433</v>
          </cell>
          <cell r="L17">
            <v>31558.590305707719</v>
          </cell>
          <cell r="M17">
            <v>33813.638941065612</v>
          </cell>
          <cell r="N17">
            <v>36111.608093411101</v>
          </cell>
          <cell r="O17">
            <v>37524.879012090518</v>
          </cell>
          <cell r="P17">
            <v>38783.35383641559</v>
          </cell>
          <cell r="Q17">
            <v>39532.638903273022</v>
          </cell>
          <cell r="R17">
            <v>39701.557766300008</v>
          </cell>
          <cell r="S17">
            <v>39811.643047752215</v>
          </cell>
          <cell r="T17">
            <v>39877.816985915029</v>
          </cell>
          <cell r="U17">
            <v>39644.339249514429</v>
          </cell>
          <cell r="V17">
            <v>39684.812622626814</v>
          </cell>
          <cell r="W17">
            <v>44491.191683442354</v>
          </cell>
          <cell r="X17">
            <v>45944.167681711173</v>
          </cell>
          <cell r="Y17">
            <v>45777.389218503558</v>
          </cell>
          <cell r="Z17">
            <v>44512.507528554721</v>
          </cell>
          <cell r="AA17">
            <v>42119.606107776046</v>
          </cell>
          <cell r="AB17">
            <v>39192.107849738299</v>
          </cell>
        </row>
        <row r="18">
          <cell r="D18">
            <v>2</v>
          </cell>
          <cell r="E18">
            <v>37447.075317400282</v>
          </cell>
          <cell r="F18">
            <v>35550.833016070777</v>
          </cell>
          <cell r="G18">
            <v>34013.016843812649</v>
          </cell>
          <cell r="H18">
            <v>32783.923513207788</v>
          </cell>
          <cell r="I18">
            <v>32159.135323238039</v>
          </cell>
          <cell r="J18">
            <v>31851.005185636524</v>
          </cell>
          <cell r="K18">
            <v>30208.536971849433</v>
          </cell>
          <cell r="L18">
            <v>31558.590305707719</v>
          </cell>
          <cell r="M18">
            <v>33813.638941065612</v>
          </cell>
          <cell r="N18">
            <v>36111.608093411101</v>
          </cell>
          <cell r="O18">
            <v>37524.879012090518</v>
          </cell>
          <cell r="P18">
            <v>38783.35383641559</v>
          </cell>
          <cell r="Q18">
            <v>39532.638903273022</v>
          </cell>
          <cell r="R18">
            <v>39701.557766300008</v>
          </cell>
          <cell r="S18">
            <v>39811.643047752215</v>
          </cell>
          <cell r="T18">
            <v>39877.816985915029</v>
          </cell>
          <cell r="U18">
            <v>39644.339249514429</v>
          </cell>
          <cell r="V18">
            <v>39684.812622626814</v>
          </cell>
          <cell r="W18">
            <v>44491.191683442354</v>
          </cell>
          <cell r="X18">
            <v>45944.167681711173</v>
          </cell>
          <cell r="Y18">
            <v>45777.389218503558</v>
          </cell>
          <cell r="Z18">
            <v>44512.507528554721</v>
          </cell>
          <cell r="AA18">
            <v>42119.606107776046</v>
          </cell>
          <cell r="AB18">
            <v>39192.107849738299</v>
          </cell>
        </row>
        <row r="19">
          <cell r="D19">
            <v>20</v>
          </cell>
          <cell r="E19">
            <v>38006.812446296033</v>
          </cell>
          <cell r="F19">
            <v>36001.228879944756</v>
          </cell>
          <cell r="G19">
            <v>34568.662871191977</v>
          </cell>
          <cell r="H19">
            <v>33630.90303733584</v>
          </cell>
          <cell r="I19">
            <v>33699.756138814322</v>
          </cell>
          <cell r="J19">
            <v>35571.540513752479</v>
          </cell>
          <cell r="K19">
            <v>35476.503611762339</v>
          </cell>
          <cell r="L19">
            <v>39138.950591509456</v>
          </cell>
          <cell r="M19">
            <v>42831.978184215979</v>
          </cell>
          <cell r="N19">
            <v>44645.48301777411</v>
          </cell>
          <cell r="O19">
            <v>46812.07369226333</v>
          </cell>
          <cell r="P19">
            <v>48265.664246346729</v>
          </cell>
          <cell r="Q19">
            <v>46449.138131074833</v>
          </cell>
          <cell r="R19">
            <v>48105.719145083705</v>
          </cell>
          <cell r="S19">
            <v>50540.448144329173</v>
          </cell>
          <cell r="T19">
            <v>50853.361978039982</v>
          </cell>
          <cell r="U19">
            <v>49962.733070572496</v>
          </cell>
          <cell r="V19">
            <v>47834.969213588156</v>
          </cell>
          <cell r="W19">
            <v>50377.505834742798</v>
          </cell>
          <cell r="X19">
            <v>51192.868147668152</v>
          </cell>
          <cell r="Y19">
            <v>50179.22613846248</v>
          </cell>
          <cell r="Z19">
            <v>47994.03969581666</v>
          </cell>
          <cell r="AA19">
            <v>44432.453954066819</v>
          </cell>
          <cell r="AB19">
            <v>40850.913864511858</v>
          </cell>
        </row>
        <row r="20">
          <cell r="D20">
            <v>4</v>
          </cell>
          <cell r="E20">
            <v>38128.016215518066</v>
          </cell>
          <cell r="F20">
            <v>36271.500673310533</v>
          </cell>
          <cell r="G20">
            <v>34657.929833778195</v>
          </cell>
          <cell r="H20">
            <v>33563.409209930607</v>
          </cell>
          <cell r="I20">
            <v>33145.511730374528</v>
          </cell>
          <cell r="J20">
            <v>33477.181156762606</v>
          </cell>
          <cell r="K20">
            <v>33139.679310551386</v>
          </cell>
          <cell r="L20">
            <v>36433.078669793023</v>
          </cell>
          <cell r="M20">
            <v>40392.868077204883</v>
          </cell>
          <cell r="N20">
            <v>42879.950165777584</v>
          </cell>
          <cell r="O20">
            <v>44913.464954521834</v>
          </cell>
          <cell r="P20">
            <v>46260.345238008784</v>
          </cell>
          <cell r="Q20">
            <v>45453.420719629066</v>
          </cell>
          <cell r="R20">
            <v>44923.122212296694</v>
          </cell>
          <cell r="S20">
            <v>45158.99644270393</v>
          </cell>
          <cell r="T20">
            <v>45153.333035174677</v>
          </cell>
          <cell r="U20">
            <v>44467.821788613895</v>
          </cell>
          <cell r="V20">
            <v>44158.08245519975</v>
          </cell>
          <cell r="W20">
            <v>48368.68124576765</v>
          </cell>
          <cell r="X20">
            <v>49351.646651150382</v>
          </cell>
          <cell r="Y20">
            <v>48069.272975777851</v>
          </cell>
          <cell r="Z20">
            <v>46337.312015745338</v>
          </cell>
          <cell r="AA20">
            <v>43983.361883262463</v>
          </cell>
          <cell r="AB20">
            <v>41214.713539335244</v>
          </cell>
        </row>
        <row r="21">
          <cell r="D21">
            <v>4</v>
          </cell>
          <cell r="E21">
            <v>38720.710546896255</v>
          </cell>
          <cell r="F21">
            <v>36738.175773940333</v>
          </cell>
          <cell r="G21">
            <v>35204.526061998564</v>
          </cell>
          <cell r="H21">
            <v>34079.468431502937</v>
          </cell>
          <cell r="I21">
            <v>33366.921574577224</v>
          </cell>
          <cell r="J21">
            <v>33217.254457761745</v>
          </cell>
          <cell r="K21">
            <v>31753.398970854436</v>
          </cell>
          <cell r="L21">
            <v>33172.162576026167</v>
          </cell>
          <cell r="M21">
            <v>35495.279556425703</v>
          </cell>
          <cell r="N21">
            <v>37604.856234076426</v>
          </cell>
          <cell r="O21">
            <v>39143.357944968382</v>
          </cell>
          <cell r="P21">
            <v>40708.107414669481</v>
          </cell>
          <cell r="Q21">
            <v>41605.537642504962</v>
          </cell>
          <cell r="R21">
            <v>41880.537471105163</v>
          </cell>
          <cell r="S21">
            <v>42129.438735376883</v>
          </cell>
          <cell r="T21">
            <v>42321.899241515275</v>
          </cell>
          <cell r="U21">
            <v>42044.283087648859</v>
          </cell>
          <cell r="V21">
            <v>41945.783321044823</v>
          </cell>
          <cell r="W21">
            <v>46638.441444117358</v>
          </cell>
          <cell r="X21">
            <v>48739.231726011938</v>
          </cell>
          <cell r="Y21">
            <v>48775.297528627721</v>
          </cell>
          <cell r="Z21">
            <v>47565.492572140633</v>
          </cell>
          <cell r="AA21">
            <v>44719.531573547996</v>
          </cell>
          <cell r="AB21">
            <v>41318.224595237247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38248.491074471516</v>
          </cell>
          <cell r="F23">
            <v>36227.14920961747</v>
          </cell>
          <cell r="G23">
            <v>34703.869367407438</v>
          </cell>
          <cell r="H23">
            <v>33579.654427358422</v>
          </cell>
          <cell r="I23">
            <v>33410.673727207584</v>
          </cell>
          <cell r="J23">
            <v>34634.04516517125</v>
          </cell>
          <cell r="K23">
            <v>34396.195360059181</v>
          </cell>
          <cell r="L23">
            <v>38338.950140491819</v>
          </cell>
          <cell r="M23">
            <v>42315.471380020826</v>
          </cell>
          <cell r="N23">
            <v>44396.633322611538</v>
          </cell>
          <cell r="O23">
            <v>46757.286315391771</v>
          </cell>
          <cell r="P23">
            <v>48294.170126454235</v>
          </cell>
          <cell r="Q23">
            <v>46556.039000500474</v>
          </cell>
          <cell r="R23">
            <v>48411.376896716982</v>
          </cell>
          <cell r="S23">
            <v>50660.180317670522</v>
          </cell>
          <cell r="T23">
            <v>50901.818060520462</v>
          </cell>
          <cell r="U23">
            <v>50017.204520911786</v>
          </cell>
          <cell r="V23">
            <v>47880.660866336933</v>
          </cell>
          <cell r="W23">
            <v>50028.526388600112</v>
          </cell>
          <cell r="X23">
            <v>50653.831679547184</v>
          </cell>
          <cell r="Y23">
            <v>49743.157595228171</v>
          </cell>
          <cell r="Z23">
            <v>47812.974173825365</v>
          </cell>
          <cell r="AA23">
            <v>44793.226162519233</v>
          </cell>
          <cell r="AB23">
            <v>41396.358929954971</v>
          </cell>
        </row>
        <row r="24">
          <cell r="D24">
            <v>5</v>
          </cell>
          <cell r="E24">
            <v>38359.598794159203</v>
          </cell>
          <cell r="F24">
            <v>36274.087419668023</v>
          </cell>
          <cell r="G24">
            <v>34805.052651311446</v>
          </cell>
          <cell r="H24">
            <v>33642.500590693926</v>
          </cell>
          <cell r="I24">
            <v>32948.509681166659</v>
          </cell>
          <cell r="J24">
            <v>32842.418101549716</v>
          </cell>
          <cell r="K24">
            <v>32361.365650866177</v>
          </cell>
          <cell r="L24">
            <v>35457.239856617496</v>
          </cell>
          <cell r="M24">
            <v>39189.106590654905</v>
          </cell>
          <cell r="N24">
            <v>41526.083988137805</v>
          </cell>
          <cell r="O24">
            <v>43387.679285123719</v>
          </cell>
          <cell r="P24">
            <v>44577.783812628477</v>
          </cell>
          <cell r="Q24">
            <v>43945.614848539328</v>
          </cell>
          <cell r="R24">
            <v>43487.768249963141</v>
          </cell>
          <cell r="S24">
            <v>43226.244919592602</v>
          </cell>
          <cell r="T24">
            <v>44293.812171005542</v>
          </cell>
          <cell r="U24">
            <v>42792.361433823084</v>
          </cell>
          <cell r="V24">
            <v>42444.938181394682</v>
          </cell>
          <cell r="W24">
            <v>46888.803949447582</v>
          </cell>
          <cell r="X24">
            <v>47588.235761690907</v>
          </cell>
          <cell r="Y24">
            <v>46432.590097950808</v>
          </cell>
          <cell r="Z24">
            <v>44945.407967752108</v>
          </cell>
          <cell r="AA24">
            <v>42972.912779871993</v>
          </cell>
          <cell r="AB24">
            <v>40465.920970177467</v>
          </cell>
        </row>
        <row r="25">
          <cell r="D25">
            <v>5</v>
          </cell>
          <cell r="E25">
            <v>38052.356584475703</v>
          </cell>
          <cell r="F25">
            <v>36104.329910179767</v>
          </cell>
          <cell r="G25">
            <v>34365.503858156924</v>
          </cell>
          <cell r="H25">
            <v>33145.581245091111</v>
          </cell>
          <cell r="I25">
            <v>32579.883409312912</v>
          </cell>
          <cell r="J25">
            <v>32211.356312556305</v>
          </cell>
          <cell r="K25">
            <v>30637.730758354992</v>
          </cell>
          <cell r="L25">
            <v>32111.109339935014</v>
          </cell>
          <cell r="M25">
            <v>34245.88776494038</v>
          </cell>
          <cell r="N25">
            <v>36197.836898374771</v>
          </cell>
          <cell r="O25">
            <v>37677.594623914658</v>
          </cell>
          <cell r="P25">
            <v>39076.570870969234</v>
          </cell>
          <cell r="Q25">
            <v>39779.309080095052</v>
          </cell>
          <cell r="R25">
            <v>39958.867274394383</v>
          </cell>
          <cell r="S25">
            <v>40164.365359707743</v>
          </cell>
          <cell r="T25">
            <v>40450.712160860392</v>
          </cell>
          <cell r="U25">
            <v>39950.855383355105</v>
          </cell>
          <cell r="V25">
            <v>40046.964457149537</v>
          </cell>
          <cell r="W25">
            <v>44358.920622275597</v>
          </cell>
          <cell r="X25">
            <v>45953.529834034867</v>
          </cell>
          <cell r="Y25">
            <v>45870.957600688271</v>
          </cell>
          <cell r="Z25">
            <v>44982.278411279884</v>
          </cell>
          <cell r="AA25">
            <v>42591.285885468482</v>
          </cell>
          <cell r="AB25">
            <v>39453.981142810597</v>
          </cell>
        </row>
        <row r="26">
          <cell r="D26">
            <v>1</v>
          </cell>
          <cell r="E26">
            <v>38052.356584475703</v>
          </cell>
          <cell r="F26">
            <v>36104.329910179767</v>
          </cell>
          <cell r="G26">
            <v>34365.503858156924</v>
          </cell>
          <cell r="H26">
            <v>33145.581245091111</v>
          </cell>
          <cell r="I26">
            <v>32579.883409312912</v>
          </cell>
          <cell r="J26">
            <v>32211.356312556305</v>
          </cell>
          <cell r="K26">
            <v>30637.730758354992</v>
          </cell>
          <cell r="L26">
            <v>32111.109339935014</v>
          </cell>
          <cell r="M26">
            <v>34245.88776494038</v>
          </cell>
          <cell r="N26">
            <v>36197.836898374771</v>
          </cell>
          <cell r="O26">
            <v>37677.594623914658</v>
          </cell>
          <cell r="P26">
            <v>39076.570870969234</v>
          </cell>
          <cell r="Q26">
            <v>39779.309080095052</v>
          </cell>
          <cell r="R26">
            <v>39958.867274394383</v>
          </cell>
          <cell r="S26">
            <v>40164.365359707743</v>
          </cell>
          <cell r="T26">
            <v>40450.712160860392</v>
          </cell>
          <cell r="U26">
            <v>39950.855383355105</v>
          </cell>
          <cell r="V26">
            <v>40046.964457149537</v>
          </cell>
          <cell r="W26">
            <v>44358.920622275597</v>
          </cell>
          <cell r="X26">
            <v>45953.529834034867</v>
          </cell>
          <cell r="Y26">
            <v>45870.957600688271</v>
          </cell>
          <cell r="Z26">
            <v>44982.278411279884</v>
          </cell>
          <cell r="AA26">
            <v>42591.285885468482</v>
          </cell>
          <cell r="AB26">
            <v>39453.981142810597</v>
          </cell>
        </row>
        <row r="27">
          <cell r="D27">
            <v>20</v>
          </cell>
          <cell r="E27">
            <v>37662.047473558821</v>
          </cell>
          <cell r="F27">
            <v>36038.27611263725</v>
          </cell>
          <cell r="G27">
            <v>34446.713192623771</v>
          </cell>
          <cell r="H27">
            <v>33557.143845660081</v>
          </cell>
          <cell r="I27">
            <v>33344.587632882671</v>
          </cell>
          <cell r="J27">
            <v>32998.437086208251</v>
          </cell>
          <cell r="K27">
            <v>33112.995416559708</v>
          </cell>
          <cell r="L27">
            <v>36835.094839311139</v>
          </cell>
          <cell r="M27">
            <v>41059.882713239742</v>
          </cell>
          <cell r="N27">
            <v>43556.235733066402</v>
          </cell>
          <cell r="O27">
            <v>45631.518307024548</v>
          </cell>
          <cell r="P27">
            <v>46939.038176015165</v>
          </cell>
          <cell r="Q27">
            <v>46066.706879089572</v>
          </cell>
          <cell r="R27">
            <v>45514.260646186427</v>
          </cell>
          <cell r="S27">
            <v>45830.01916873303</v>
          </cell>
          <cell r="T27">
            <v>45823.221730210658</v>
          </cell>
          <cell r="U27">
            <v>45102.565850257248</v>
          </cell>
          <cell r="V27">
            <v>44842.096705974283</v>
          </cell>
          <cell r="W27">
            <v>49391.228893577449</v>
          </cell>
          <cell r="X27">
            <v>49784.223348260995</v>
          </cell>
          <cell r="Y27">
            <v>48565.023283348179</v>
          </cell>
          <cell r="Z27">
            <v>46877.880800383056</v>
          </cell>
          <cell r="AA27">
            <v>44572.137070195044</v>
          </cell>
          <cell r="AB27">
            <v>41779.097350116637</v>
          </cell>
        </row>
        <row r="28">
          <cell r="D28">
            <v>4</v>
          </cell>
          <cell r="E28">
            <v>36362.183716306507</v>
          </cell>
          <cell r="F28">
            <v>34570.063459522193</v>
          </cell>
          <cell r="G28">
            <v>33208.754299581728</v>
          </cell>
          <cell r="H28">
            <v>32204.971956939098</v>
          </cell>
          <cell r="I28">
            <v>32235.048080424818</v>
          </cell>
          <cell r="J28">
            <v>32632.603559084997</v>
          </cell>
          <cell r="K28">
            <v>33365.803374682298</v>
          </cell>
          <cell r="L28">
            <v>36996.437066079168</v>
          </cell>
          <cell r="M28">
            <v>40727.236752250064</v>
          </cell>
          <cell r="N28">
            <v>42900.48951372494</v>
          </cell>
          <cell r="O28">
            <v>44849.519191796542</v>
          </cell>
          <cell r="P28">
            <v>46194.988769541451</v>
          </cell>
          <cell r="Q28">
            <v>44931.209096663093</v>
          </cell>
          <cell r="R28">
            <v>45817.879304792819</v>
          </cell>
          <cell r="S28">
            <v>47344.69171760606</v>
          </cell>
          <cell r="T28">
            <v>47446.450842677121</v>
          </cell>
          <cell r="U28">
            <v>46699.236807418034</v>
          </cell>
          <cell r="V28">
            <v>45679.27196600048</v>
          </cell>
          <cell r="W28">
            <v>48827.182507978177</v>
          </cell>
          <cell r="X28">
            <v>49249.304335983703</v>
          </cell>
          <cell r="Y28">
            <v>47966.539225103763</v>
          </cell>
          <cell r="Z28">
            <v>45862.901435716645</v>
          </cell>
          <cell r="AA28">
            <v>42559.854327819863</v>
          </cell>
          <cell r="AB28">
            <v>38912.300607325451</v>
          </cell>
        </row>
        <row r="29">
          <cell r="D29">
            <v>4</v>
          </cell>
          <cell r="E29">
            <v>39187.582037304121</v>
          </cell>
          <cell r="F29">
            <v>37203.239205837301</v>
          </cell>
          <cell r="G29">
            <v>35559.42817785954</v>
          </cell>
          <cell r="H29">
            <v>34438.103768506597</v>
          </cell>
          <cell r="I29">
            <v>33781.119961943725</v>
          </cell>
          <cell r="J29">
            <v>32779.311640960557</v>
          </cell>
          <cell r="K29">
            <v>31775.569476781955</v>
          </cell>
          <cell r="L29">
            <v>33555.596254132084</v>
          </cell>
          <cell r="M29">
            <v>35908.078282408671</v>
          </cell>
          <cell r="N29">
            <v>38029.325174058686</v>
          </cell>
          <cell r="O29">
            <v>39706.365661931646</v>
          </cell>
          <cell r="P29">
            <v>41074.803253273152</v>
          </cell>
          <cell r="Q29">
            <v>41704.801140278505</v>
          </cell>
          <cell r="R29">
            <v>41821.23275429054</v>
          </cell>
          <cell r="S29">
            <v>41591.799633091432</v>
          </cell>
          <cell r="T29">
            <v>41406.839366405613</v>
          </cell>
          <cell r="U29">
            <v>40984.316599496873</v>
          </cell>
          <cell r="V29">
            <v>41375.843962521933</v>
          </cell>
          <cell r="W29">
            <v>46229.63159892711</v>
          </cell>
          <cell r="X29">
            <v>47619.518343572068</v>
          </cell>
          <cell r="Y29">
            <v>47297.865236544116</v>
          </cell>
          <cell r="Z29">
            <v>45846.138713703527</v>
          </cell>
          <cell r="AA29">
            <v>43050.155209406279</v>
          </cell>
          <cell r="AB29">
            <v>39713.227352643444</v>
          </cell>
        </row>
        <row r="30">
          <cell r="D30">
            <v>2</v>
          </cell>
          <cell r="E30">
            <v>39187.582037304121</v>
          </cell>
          <cell r="F30">
            <v>37203.239205837301</v>
          </cell>
          <cell r="G30">
            <v>35559.42817785954</v>
          </cell>
          <cell r="H30">
            <v>34438.103768506597</v>
          </cell>
          <cell r="I30">
            <v>33781.119961943725</v>
          </cell>
          <cell r="J30">
            <v>32779.311640960557</v>
          </cell>
          <cell r="K30">
            <v>31775.569476781955</v>
          </cell>
          <cell r="L30">
            <v>33555.596254132084</v>
          </cell>
          <cell r="M30">
            <v>35908.078282408671</v>
          </cell>
          <cell r="N30">
            <v>38029.325174058686</v>
          </cell>
          <cell r="O30">
            <v>39706.365661931646</v>
          </cell>
          <cell r="P30">
            <v>41074.803253273152</v>
          </cell>
          <cell r="Q30">
            <v>41704.801140278505</v>
          </cell>
          <cell r="R30">
            <v>41821.23275429054</v>
          </cell>
          <cell r="S30">
            <v>41591.799633091432</v>
          </cell>
          <cell r="T30">
            <v>41406.839366405613</v>
          </cell>
          <cell r="U30">
            <v>40984.316599496873</v>
          </cell>
          <cell r="V30">
            <v>41375.843962521933</v>
          </cell>
          <cell r="W30">
            <v>46229.63159892711</v>
          </cell>
          <cell r="X30">
            <v>47619.518343572068</v>
          </cell>
          <cell r="Y30">
            <v>47297.865236544116</v>
          </cell>
          <cell r="Z30">
            <v>45846.138713703527</v>
          </cell>
          <cell r="AA30">
            <v>43050.155209406279</v>
          </cell>
          <cell r="AB30">
            <v>39713.227352643444</v>
          </cell>
        </row>
        <row r="31">
          <cell r="D31">
            <v>21</v>
          </cell>
          <cell r="E31">
            <v>38159.450994886123</v>
          </cell>
          <cell r="F31">
            <v>36173.842919621631</v>
          </cell>
          <cell r="G31">
            <v>34571.588383749062</v>
          </cell>
          <cell r="H31">
            <v>33201.298955013495</v>
          </cell>
          <cell r="I31">
            <v>32831.933120933914</v>
          </cell>
          <cell r="J31">
            <v>32311.927710531705</v>
          </cell>
          <cell r="K31">
            <v>32789.490379715608</v>
          </cell>
          <cell r="L31">
            <v>36316.326259502675</v>
          </cell>
          <cell r="M31">
            <v>40426.776735487576</v>
          </cell>
          <cell r="N31">
            <v>42694.544863382667</v>
          </cell>
          <cell r="O31">
            <v>44133.954327710664</v>
          </cell>
          <cell r="P31">
            <v>45191.700112527673</v>
          </cell>
          <cell r="Q31">
            <v>44415.321955963438</v>
          </cell>
          <cell r="R31">
            <v>43616.415561612383</v>
          </cell>
          <cell r="S31">
            <v>43587.05191880701</v>
          </cell>
          <cell r="T31">
            <v>43341.402968337126</v>
          </cell>
          <cell r="U31">
            <v>42752.537071116611</v>
          </cell>
          <cell r="V31">
            <v>43014.719688116529</v>
          </cell>
          <cell r="W31">
            <v>47683.271525420038</v>
          </cell>
          <cell r="X31">
            <v>48127.060084537727</v>
          </cell>
          <cell r="Y31">
            <v>46577.343880723434</v>
          </cell>
          <cell r="Z31">
            <v>44655.058631129323</v>
          </cell>
          <cell r="AA31">
            <v>42127.152624137852</v>
          </cell>
          <cell r="AB31">
            <v>39295.637483611943</v>
          </cell>
        </row>
        <row r="32">
          <cell r="D32">
            <v>4</v>
          </cell>
          <cell r="E32">
            <v>35178.98102390155</v>
          </cell>
          <cell r="F32">
            <v>33438.778412318148</v>
          </cell>
          <cell r="G32">
            <v>32165.109347552858</v>
          </cell>
          <cell r="H32">
            <v>31287.815375488783</v>
          </cell>
          <cell r="I32">
            <v>31175.244839430106</v>
          </cell>
          <cell r="J32">
            <v>31136.05448888112</v>
          </cell>
          <cell r="K32">
            <v>31610.29530613602</v>
          </cell>
          <cell r="L32">
            <v>35314.77550265818</v>
          </cell>
          <cell r="M32">
            <v>38937.016248846965</v>
          </cell>
          <cell r="N32">
            <v>41028.659518856279</v>
          </cell>
          <cell r="O32">
            <v>43071.977364130813</v>
          </cell>
          <cell r="P32">
            <v>44543.755005887491</v>
          </cell>
          <cell r="Q32">
            <v>43572.009658508905</v>
          </cell>
          <cell r="R32">
            <v>44036.492583821419</v>
          </cell>
          <cell r="S32">
            <v>45195.600667610554</v>
          </cell>
          <cell r="T32">
            <v>45138.998479480739</v>
          </cell>
          <cell r="U32">
            <v>44488.802510262576</v>
          </cell>
          <cell r="V32">
            <v>43624.609607024155</v>
          </cell>
          <cell r="W32">
            <v>46802.193975205053</v>
          </cell>
          <cell r="X32">
            <v>47684.090463245091</v>
          </cell>
          <cell r="Y32">
            <v>46385.419565298042</v>
          </cell>
          <cell r="Z32">
            <v>44253.068322964507</v>
          </cell>
          <cell r="AA32">
            <v>41047.62616654938</v>
          </cell>
          <cell r="AB32">
            <v>37704.672661542958</v>
          </cell>
        </row>
        <row r="33">
          <cell r="D33">
            <v>5</v>
          </cell>
          <cell r="E33">
            <v>35153.068498493063</v>
          </cell>
          <cell r="F33">
            <v>33776.480636521264</v>
          </cell>
          <cell r="G33">
            <v>32364.715537107459</v>
          </cell>
          <cell r="H33">
            <v>31614.066223371126</v>
          </cell>
          <cell r="I33">
            <v>31373.286884550187</v>
          </cell>
          <cell r="J33">
            <v>30594.667373507469</v>
          </cell>
          <cell r="K33">
            <v>30467.447512396688</v>
          </cell>
          <cell r="L33">
            <v>32828.313588531404</v>
          </cell>
          <cell r="M33">
            <v>35565.727961809447</v>
          </cell>
          <cell r="N33">
            <v>37694.208886306107</v>
          </cell>
          <cell r="O33">
            <v>39312.365532437667</v>
          </cell>
          <cell r="P33">
            <v>41322.840018735391</v>
          </cell>
          <cell r="Q33">
            <v>42449.126788436399</v>
          </cell>
          <cell r="R33">
            <v>42662.551846267183</v>
          </cell>
          <cell r="S33">
            <v>42711.70673476487</v>
          </cell>
          <cell r="T33">
            <v>42795.4184758298</v>
          </cell>
          <cell r="U33">
            <v>42358.792643642424</v>
          </cell>
          <cell r="V33">
            <v>42369.834451749368</v>
          </cell>
          <cell r="W33">
            <v>47355.943655632691</v>
          </cell>
          <cell r="X33">
            <v>49153.349079261854</v>
          </cell>
          <cell r="Y33">
            <v>48854.075564633036</v>
          </cell>
          <cell r="Z33">
            <v>47207.961382110916</v>
          </cell>
          <cell r="AA33">
            <v>44188.925045124233</v>
          </cell>
          <cell r="AB33">
            <v>40660.969046667749</v>
          </cell>
        </row>
        <row r="34">
          <cell r="D34">
            <v>1</v>
          </cell>
          <cell r="E34">
            <v>35153.068498493063</v>
          </cell>
          <cell r="F34">
            <v>33776.480636521264</v>
          </cell>
          <cell r="G34">
            <v>32364.715537107459</v>
          </cell>
          <cell r="H34">
            <v>31614.066223371126</v>
          </cell>
          <cell r="I34">
            <v>31373.286884550187</v>
          </cell>
          <cell r="J34">
            <v>30594.667373507469</v>
          </cell>
          <cell r="K34">
            <v>30467.447512396688</v>
          </cell>
          <cell r="L34">
            <v>32828.313588531404</v>
          </cell>
          <cell r="M34">
            <v>35565.727961809447</v>
          </cell>
          <cell r="N34">
            <v>37694.208886306107</v>
          </cell>
          <cell r="O34">
            <v>39312.365532437667</v>
          </cell>
          <cell r="P34">
            <v>41322.840018735391</v>
          </cell>
          <cell r="Q34">
            <v>42449.126788436399</v>
          </cell>
          <cell r="R34">
            <v>42662.551846267183</v>
          </cell>
          <cell r="S34">
            <v>42711.70673476487</v>
          </cell>
          <cell r="T34">
            <v>42795.4184758298</v>
          </cell>
          <cell r="U34">
            <v>42358.792643642424</v>
          </cell>
          <cell r="V34">
            <v>42369.834451749368</v>
          </cell>
          <cell r="W34">
            <v>47355.943655632691</v>
          </cell>
          <cell r="X34">
            <v>49153.349079261854</v>
          </cell>
          <cell r="Y34">
            <v>48854.075564633036</v>
          </cell>
          <cell r="Z34">
            <v>47207.961382110916</v>
          </cell>
          <cell r="AA34">
            <v>44188.925045124233</v>
          </cell>
          <cell r="AB34">
            <v>40660.969046667749</v>
          </cell>
        </row>
        <row r="35">
          <cell r="D35">
            <v>20</v>
          </cell>
          <cell r="E35">
            <v>34782.457136153833</v>
          </cell>
          <cell r="F35">
            <v>33055.680642564555</v>
          </cell>
          <cell r="G35">
            <v>31779.867612489095</v>
          </cell>
          <cell r="H35">
            <v>30928.506255215012</v>
          </cell>
          <cell r="I35">
            <v>30701.088868753661</v>
          </cell>
          <cell r="J35">
            <v>30374.904881603823</v>
          </cell>
          <cell r="K35">
            <v>30881.737688375488</v>
          </cell>
          <cell r="L35">
            <v>34601.578909972464</v>
          </cell>
          <cell r="M35">
            <v>38691.790829729383</v>
          </cell>
          <cell r="N35">
            <v>41206.731006712645</v>
          </cell>
          <cell r="O35">
            <v>43392.183506195135</v>
          </cell>
          <cell r="P35">
            <v>44594.946175012265</v>
          </cell>
          <cell r="Q35">
            <v>43936.588861333075</v>
          </cell>
          <cell r="R35">
            <v>43182.196005518636</v>
          </cell>
          <cell r="S35">
            <v>43218.622110821321</v>
          </cell>
          <cell r="T35">
            <v>43094.352164707823</v>
          </cell>
          <cell r="U35">
            <v>42657.756097869198</v>
          </cell>
          <cell r="V35">
            <v>42703.31865850243</v>
          </cell>
          <cell r="W35">
            <v>46382.150951212818</v>
          </cell>
          <cell r="X35">
            <v>47044.257204478003</v>
          </cell>
          <cell r="Y35">
            <v>45405.123452376138</v>
          </cell>
          <cell r="Z35">
            <v>43534.352766426127</v>
          </cell>
          <cell r="AA35">
            <v>41225.501358075446</v>
          </cell>
          <cell r="AB35">
            <v>38616.735372577939</v>
          </cell>
        </row>
        <row r="36">
          <cell r="D36">
            <v>4</v>
          </cell>
          <cell r="E36">
            <v>35819.315726232926</v>
          </cell>
          <cell r="F36">
            <v>34056.607724002482</v>
          </cell>
          <cell r="G36">
            <v>32717.16657123504</v>
          </cell>
          <cell r="H36">
            <v>31787.769430974651</v>
          </cell>
          <cell r="I36">
            <v>31678.399249714897</v>
          </cell>
          <cell r="J36">
            <v>32033.927149431463</v>
          </cell>
          <cell r="K36">
            <v>32251.342227269794</v>
          </cell>
          <cell r="L36">
            <v>35879.542367345915</v>
          </cell>
          <cell r="M36">
            <v>39712.525481133838</v>
          </cell>
          <cell r="N36">
            <v>41930.46239840523</v>
          </cell>
          <cell r="O36">
            <v>44023.34896113025</v>
          </cell>
          <cell r="P36">
            <v>45389.198216041194</v>
          </cell>
          <cell r="Q36">
            <v>44233.408152545599</v>
          </cell>
          <cell r="R36">
            <v>45297.428172992266</v>
          </cell>
          <cell r="S36">
            <v>46835.514499291734</v>
          </cell>
          <cell r="T36">
            <v>46897.02818748865</v>
          </cell>
          <cell r="U36">
            <v>46024.158819081546</v>
          </cell>
          <cell r="V36">
            <v>44511.434768106556</v>
          </cell>
          <cell r="W36">
            <v>47128.049048965368</v>
          </cell>
          <cell r="X36">
            <v>48507.030730792118</v>
          </cell>
          <cell r="Y36">
            <v>47400.854520377019</v>
          </cell>
          <cell r="Z36">
            <v>45391.86562136047</v>
          </cell>
          <cell r="AA36">
            <v>42116.746412575958</v>
          </cell>
          <cell r="AB36">
            <v>38689.475857109494</v>
          </cell>
        </row>
        <row r="37">
          <cell r="D37">
            <v>4</v>
          </cell>
          <cell r="E37">
            <v>34094.975657193841</v>
          </cell>
          <cell r="F37">
            <v>32716.938120615439</v>
          </cell>
          <cell r="G37">
            <v>31590.904279419356</v>
          </cell>
          <cell r="H37">
            <v>30861.337606865462</v>
          </cell>
          <cell r="I37">
            <v>30570.323738848212</v>
          </cell>
          <cell r="J37">
            <v>29714.277533993314</v>
          </cell>
          <cell r="K37">
            <v>29323.308898537405</v>
          </cell>
          <cell r="L37">
            <v>31712.100531475553</v>
          </cell>
          <cell r="M37">
            <v>34474.462169991326</v>
          </cell>
          <cell r="N37">
            <v>36195.724944741625</v>
          </cell>
          <cell r="O37">
            <v>38236.940576286906</v>
          </cell>
          <cell r="P37">
            <v>39747.517900069666</v>
          </cell>
          <cell r="Q37">
            <v>40517.945035953962</v>
          </cell>
          <cell r="R37">
            <v>40357.342015089875</v>
          </cell>
          <cell r="S37">
            <v>40021.646944031236</v>
          </cell>
          <cell r="T37">
            <v>39713.027302037925</v>
          </cell>
          <cell r="U37">
            <v>39409.321619317911</v>
          </cell>
          <cell r="V37">
            <v>40003.814859599581</v>
          </cell>
          <cell r="W37">
            <v>44833.07431194729</v>
          </cell>
          <cell r="X37">
            <v>46614.705216432063</v>
          </cell>
          <cell r="Y37">
            <v>46023.189396118127</v>
          </cell>
          <cell r="Z37">
            <v>44322.742760275687</v>
          </cell>
          <cell r="AA37">
            <v>41327.425837362047</v>
          </cell>
          <cell r="AB37">
            <v>37892.645707916163</v>
          </cell>
        </row>
        <row r="38">
          <cell r="D38">
            <v>2</v>
          </cell>
          <cell r="E38">
            <v>34094.975657193841</v>
          </cell>
          <cell r="F38">
            <v>32716.938120615439</v>
          </cell>
          <cell r="G38">
            <v>31590.904279419356</v>
          </cell>
          <cell r="H38">
            <v>30861.337606865462</v>
          </cell>
          <cell r="I38">
            <v>30570.323738848212</v>
          </cell>
          <cell r="J38">
            <v>29714.277533993314</v>
          </cell>
          <cell r="K38">
            <v>29323.308898537405</v>
          </cell>
          <cell r="L38">
            <v>31712.100531475553</v>
          </cell>
          <cell r="M38">
            <v>34474.462169991326</v>
          </cell>
          <cell r="N38">
            <v>36195.724944741625</v>
          </cell>
          <cell r="O38">
            <v>38236.940576286906</v>
          </cell>
          <cell r="P38">
            <v>39747.517900069666</v>
          </cell>
          <cell r="Q38">
            <v>40517.945035953962</v>
          </cell>
          <cell r="R38">
            <v>40357.342015089875</v>
          </cell>
          <cell r="S38">
            <v>40021.646944031236</v>
          </cell>
          <cell r="T38">
            <v>39713.027302037925</v>
          </cell>
          <cell r="U38">
            <v>39409.321619317911</v>
          </cell>
          <cell r="V38">
            <v>40003.814859599581</v>
          </cell>
          <cell r="W38">
            <v>44833.07431194729</v>
          </cell>
          <cell r="X38">
            <v>46614.705216432063</v>
          </cell>
          <cell r="Y38">
            <v>46023.189396118127</v>
          </cell>
          <cell r="Z38">
            <v>44322.742760275687</v>
          </cell>
          <cell r="AA38">
            <v>41327.425837362047</v>
          </cell>
          <cell r="AB38">
            <v>37892.645707916163</v>
          </cell>
        </row>
        <row r="39">
          <cell r="D39">
            <v>20</v>
          </cell>
          <cell r="E39">
            <v>35321.366488362197</v>
          </cell>
          <cell r="F39">
            <v>33621.517243271228</v>
          </cell>
          <cell r="G39">
            <v>32500.956681416534</v>
          </cell>
          <cell r="H39">
            <v>31671.422282187788</v>
          </cell>
          <cell r="I39">
            <v>31542.759449545461</v>
          </cell>
          <cell r="J39">
            <v>31395.736860936799</v>
          </cell>
          <cell r="K39">
            <v>31684.753241390987</v>
          </cell>
          <cell r="L39">
            <v>35380.886685354817</v>
          </cell>
          <cell r="M39">
            <v>39680.958395063833</v>
          </cell>
          <cell r="N39">
            <v>42117.152500503908</v>
          </cell>
          <cell r="O39">
            <v>44308.451966905319</v>
          </cell>
          <cell r="P39">
            <v>45305.493921285102</v>
          </cell>
          <cell r="Q39">
            <v>44714.47240042514</v>
          </cell>
          <cell r="R39">
            <v>44094.38130851389</v>
          </cell>
          <cell r="S39">
            <v>44166.651236727128</v>
          </cell>
          <cell r="T39">
            <v>44287.578834047716</v>
          </cell>
          <cell r="U39">
            <v>43668.338643559109</v>
          </cell>
          <cell r="V39">
            <v>43570.23522557543</v>
          </cell>
          <cell r="W39">
            <v>47260.618700621992</v>
          </cell>
          <cell r="X39">
            <v>48516.484846561354</v>
          </cell>
          <cell r="Y39">
            <v>46971.543073730223</v>
          </cell>
          <cell r="Z39">
            <v>44888.903616851916</v>
          </cell>
          <cell r="AA39">
            <v>42239.123550169308</v>
          </cell>
          <cell r="AB39">
            <v>39416.169210878143</v>
          </cell>
        </row>
        <row r="40">
          <cell r="D40">
            <v>5</v>
          </cell>
          <cell r="E40">
            <v>37569.381518323316</v>
          </cell>
          <cell r="F40">
            <v>35601.719840213191</v>
          </cell>
          <cell r="G40">
            <v>34159.541375848537</v>
          </cell>
          <cell r="H40">
            <v>33142.014257218609</v>
          </cell>
          <cell r="I40">
            <v>33071.854678545038</v>
          </cell>
          <cell r="J40">
            <v>33677.662419826091</v>
          </cell>
          <cell r="K40">
            <v>33875.181706076699</v>
          </cell>
          <cell r="L40">
            <v>37568.841034623336</v>
          </cell>
          <cell r="M40">
            <v>41544.599985645778</v>
          </cell>
          <cell r="N40">
            <v>43804.154742136336</v>
          </cell>
          <cell r="O40">
            <v>46087.775233524859</v>
          </cell>
          <cell r="P40">
            <v>47735.713692405479</v>
          </cell>
          <cell r="Q40">
            <v>46488.694476275181</v>
          </cell>
          <cell r="R40">
            <v>47420.537752590659</v>
          </cell>
          <cell r="S40">
            <v>48986.43859527009</v>
          </cell>
          <cell r="T40">
            <v>48986.892235818661</v>
          </cell>
          <cell r="U40">
            <v>48052.21308823779</v>
          </cell>
          <cell r="V40">
            <v>46673.365721101283</v>
          </cell>
          <cell r="W40">
            <v>49880.95221690445</v>
          </cell>
          <cell r="X40">
            <v>50908.788561663932</v>
          </cell>
          <cell r="Y40">
            <v>49832.6742950552</v>
          </cell>
          <cell r="Z40">
            <v>47713.52489651287</v>
          </cell>
          <cell r="AA40">
            <v>44230.059258765403</v>
          </cell>
          <cell r="AB40">
            <v>40480.159178417918</v>
          </cell>
        </row>
        <row r="41">
          <cell r="D41">
            <v>4</v>
          </cell>
          <cell r="E41">
            <v>35436.017027769012</v>
          </cell>
          <cell r="F41">
            <v>34012.590975300584</v>
          </cell>
          <cell r="G41">
            <v>32807.690811181448</v>
          </cell>
          <cell r="H41">
            <v>31704.694264346839</v>
          </cell>
          <cell r="I41">
            <v>31334.375172299897</v>
          </cell>
          <cell r="J41">
            <v>30846.08467587013</v>
          </cell>
          <cell r="K41">
            <v>30258.200407104152</v>
          </cell>
          <cell r="L41">
            <v>32514.427840163869</v>
          </cell>
          <cell r="M41">
            <v>35462.906227767897</v>
          </cell>
          <cell r="N41">
            <v>37842.181361272698</v>
          </cell>
          <cell r="O41">
            <v>39548.607471681455</v>
          </cell>
          <cell r="P41">
            <v>40413.463984107992</v>
          </cell>
          <cell r="Q41">
            <v>41897.362773276858</v>
          </cell>
          <cell r="R41">
            <v>41994.835165625671</v>
          </cell>
          <cell r="S41">
            <v>41920.276588387875</v>
          </cell>
          <cell r="T41">
            <v>42040.488887123589</v>
          </cell>
          <cell r="U41">
            <v>41712.156111013152</v>
          </cell>
          <cell r="V41">
            <v>41334.32370241289</v>
          </cell>
          <cell r="W41">
            <v>45680.326468237166</v>
          </cell>
          <cell r="X41">
            <v>48186.136670082509</v>
          </cell>
          <cell r="Y41">
            <v>47534.536688275686</v>
          </cell>
          <cell r="Z41">
            <v>45906.336560666139</v>
          </cell>
          <cell r="AA41">
            <v>43152.56392902878</v>
          </cell>
          <cell r="AB41">
            <v>40086.44126931153</v>
          </cell>
        </row>
        <row r="42">
          <cell r="D42">
            <v>2</v>
          </cell>
          <cell r="E42">
            <v>35436.017027769012</v>
          </cell>
          <cell r="F42">
            <v>34012.590975300584</v>
          </cell>
          <cell r="G42">
            <v>32807.690811181448</v>
          </cell>
          <cell r="H42">
            <v>31704.694264346839</v>
          </cell>
          <cell r="I42">
            <v>31334.375172299897</v>
          </cell>
          <cell r="J42">
            <v>30846.08467587013</v>
          </cell>
          <cell r="K42">
            <v>30258.200407104152</v>
          </cell>
          <cell r="L42">
            <v>32514.427840163869</v>
          </cell>
          <cell r="M42">
            <v>35462.906227767897</v>
          </cell>
          <cell r="N42">
            <v>37842.181361272698</v>
          </cell>
          <cell r="O42">
            <v>39548.607471681455</v>
          </cell>
          <cell r="P42">
            <v>40413.463984107992</v>
          </cell>
          <cell r="Q42">
            <v>41897.362773276858</v>
          </cell>
          <cell r="R42">
            <v>41994.835165625671</v>
          </cell>
          <cell r="S42">
            <v>41920.276588387875</v>
          </cell>
          <cell r="T42">
            <v>42040.488887123589</v>
          </cell>
          <cell r="U42">
            <v>41712.156111013152</v>
          </cell>
          <cell r="V42">
            <v>41334.32370241289</v>
          </cell>
          <cell r="W42">
            <v>45680.326468237166</v>
          </cell>
          <cell r="X42">
            <v>48186.136670082509</v>
          </cell>
          <cell r="Y42">
            <v>47534.536688275686</v>
          </cell>
          <cell r="Z42">
            <v>45906.336560666139</v>
          </cell>
          <cell r="AA42">
            <v>43152.56392902878</v>
          </cell>
          <cell r="AB42">
            <v>40086.44126931153</v>
          </cell>
        </row>
        <row r="43">
          <cell r="D43">
            <v>21</v>
          </cell>
          <cell r="E43">
            <v>36750.494639715253</v>
          </cell>
          <cell r="F43">
            <v>34770.148023236419</v>
          </cell>
          <cell r="G43">
            <v>33292.584400036998</v>
          </cell>
          <cell r="H43">
            <v>32303.080197116386</v>
          </cell>
          <cell r="I43">
            <v>31939.61230158222</v>
          </cell>
          <cell r="J43">
            <v>31848.049508486918</v>
          </cell>
          <cell r="K43">
            <v>31952.645129357887</v>
          </cell>
          <cell r="L43">
            <v>35639.610499180737</v>
          </cell>
          <cell r="M43">
            <v>39790.932000264715</v>
          </cell>
          <cell r="N43">
            <v>42342.304728563417</v>
          </cell>
          <cell r="O43">
            <v>44461.189149902224</v>
          </cell>
          <cell r="P43">
            <v>45812.886085466758</v>
          </cell>
          <cell r="Q43">
            <v>45052.718803561584</v>
          </cell>
          <cell r="R43">
            <v>44410.691160254617</v>
          </cell>
          <cell r="S43">
            <v>44343.818812221296</v>
          </cell>
          <cell r="T43">
            <v>43981.970030199125</v>
          </cell>
          <cell r="U43">
            <v>43100.321875084497</v>
          </cell>
          <cell r="V43">
            <v>43043.16509611957</v>
          </cell>
          <cell r="W43">
            <v>46945.537090778467</v>
          </cell>
          <cell r="X43">
            <v>47548.069020350187</v>
          </cell>
          <cell r="Y43">
            <v>46154.65134796637</v>
          </cell>
          <cell r="Z43">
            <v>44233.532614153271</v>
          </cell>
          <cell r="AA43">
            <v>41523.403586012893</v>
          </cell>
          <cell r="AB43">
            <v>38637.320430944885</v>
          </cell>
        </row>
        <row r="44">
          <cell r="D44">
            <v>3</v>
          </cell>
          <cell r="E44">
            <v>36264.960878649115</v>
          </cell>
          <cell r="F44">
            <v>34464.890169113271</v>
          </cell>
          <cell r="G44">
            <v>33088.14255793023</v>
          </cell>
          <cell r="H44">
            <v>32117.26580703352</v>
          </cell>
          <cell r="I44">
            <v>32024.579797105773</v>
          </cell>
          <cell r="J44">
            <v>32548.488768397165</v>
          </cell>
          <cell r="K44">
            <v>32895.807116644799</v>
          </cell>
          <cell r="L44">
            <v>36648.642483850846</v>
          </cell>
          <cell r="M44">
            <v>40494.329620320445</v>
          </cell>
          <cell r="N44">
            <v>42672.824601458175</v>
          </cell>
          <cell r="O44">
            <v>44934.102162874762</v>
          </cell>
          <cell r="P44">
            <v>46464.148694434618</v>
          </cell>
          <cell r="Q44">
            <v>45271.927631828323</v>
          </cell>
          <cell r="R44">
            <v>46342.605562807992</v>
          </cell>
          <cell r="S44">
            <v>47952.012435026714</v>
          </cell>
          <cell r="T44">
            <v>47986.115001039718</v>
          </cell>
          <cell r="U44">
            <v>47101.585149472434</v>
          </cell>
          <cell r="V44">
            <v>46309.915157802941</v>
          </cell>
          <cell r="W44">
            <v>49711.539644359247</v>
          </cell>
          <cell r="X44">
            <v>49509.623510798316</v>
          </cell>
          <cell r="Y44">
            <v>48231.942903973511</v>
          </cell>
          <cell r="Z44">
            <v>46021.349515458467</v>
          </cell>
          <cell r="AA44">
            <v>42498.059797764763</v>
          </cell>
          <cell r="AB44">
            <v>38883.36673167019</v>
          </cell>
        </row>
        <row r="45">
          <cell r="D45">
            <v>5</v>
          </cell>
          <cell r="E45">
            <v>36246.889213731432</v>
          </cell>
          <cell r="F45">
            <v>34357.852163362615</v>
          </cell>
          <cell r="G45">
            <v>32890.69778245192</v>
          </cell>
          <cell r="H45">
            <v>31829.549434619254</v>
          </cell>
          <cell r="I45">
            <v>31384.231799068242</v>
          </cell>
          <cell r="J45">
            <v>30784.200023478068</v>
          </cell>
          <cell r="K45">
            <v>30127.721274078674</v>
          </cell>
          <cell r="L45">
            <v>32319.459291483101</v>
          </cell>
          <cell r="M45">
            <v>34732.529681978274</v>
          </cell>
          <cell r="N45">
            <v>36907.290687411929</v>
          </cell>
          <cell r="O45">
            <v>38969.163665203421</v>
          </cell>
          <cell r="P45">
            <v>40733.380235745077</v>
          </cell>
          <cell r="Q45">
            <v>41382.575934328641</v>
          </cell>
          <cell r="R45">
            <v>41183.945190269347</v>
          </cell>
          <cell r="S45">
            <v>40998.852691960441</v>
          </cell>
          <cell r="T45">
            <v>41129.50804840646</v>
          </cell>
          <cell r="U45">
            <v>40754.312531866468</v>
          </cell>
          <cell r="V45">
            <v>40708.204796626516</v>
          </cell>
          <cell r="W45">
            <v>45429.407338118828</v>
          </cell>
          <cell r="X45">
            <v>47988.853582065844</v>
          </cell>
          <cell r="Y45">
            <v>47732.912287657782</v>
          </cell>
          <cell r="Z45">
            <v>45936.886944578269</v>
          </cell>
          <cell r="AA45">
            <v>42822.607943922398</v>
          </cell>
          <cell r="AB45">
            <v>39411.086934356128</v>
          </cell>
        </row>
        <row r="46">
          <cell r="D46">
            <v>2</v>
          </cell>
          <cell r="E46">
            <v>36246.889213731432</v>
          </cell>
          <cell r="F46">
            <v>34357.852163362615</v>
          </cell>
          <cell r="G46">
            <v>32890.69778245192</v>
          </cell>
          <cell r="H46">
            <v>31829.549434619254</v>
          </cell>
          <cell r="I46">
            <v>31384.231799068242</v>
          </cell>
          <cell r="J46">
            <v>30784.200023478068</v>
          </cell>
          <cell r="K46">
            <v>30127.721274078674</v>
          </cell>
          <cell r="L46">
            <v>32319.459291483101</v>
          </cell>
          <cell r="M46">
            <v>34732.529681978274</v>
          </cell>
          <cell r="N46">
            <v>36907.290687411929</v>
          </cell>
          <cell r="O46">
            <v>38969.163665203421</v>
          </cell>
          <cell r="P46">
            <v>40733.380235745077</v>
          </cell>
          <cell r="Q46">
            <v>41382.575934328641</v>
          </cell>
          <cell r="R46">
            <v>41183.945190269347</v>
          </cell>
          <cell r="S46">
            <v>40998.852691960441</v>
          </cell>
          <cell r="T46">
            <v>41129.50804840646</v>
          </cell>
          <cell r="U46">
            <v>40754.312531866468</v>
          </cell>
          <cell r="V46">
            <v>40708.204796626516</v>
          </cell>
          <cell r="W46">
            <v>45429.407338118828</v>
          </cell>
          <cell r="X46">
            <v>47988.853582065844</v>
          </cell>
          <cell r="Y46">
            <v>47732.912287657782</v>
          </cell>
          <cell r="Z46">
            <v>45936.886944578269</v>
          </cell>
          <cell r="AA46">
            <v>42822.607943922398</v>
          </cell>
          <cell r="AB46">
            <v>39411.086934356128</v>
          </cell>
        </row>
        <row r="47">
          <cell r="D47">
            <v>22</v>
          </cell>
          <cell r="E47">
            <v>37149.566166040575</v>
          </cell>
          <cell r="F47">
            <v>35253.487438277356</v>
          </cell>
          <cell r="G47">
            <v>33786.460289499024</v>
          </cell>
          <cell r="H47">
            <v>32747.17889553991</v>
          </cell>
          <cell r="I47">
            <v>32442.235710358687</v>
          </cell>
          <cell r="J47">
            <v>32023.406659230437</v>
          </cell>
          <cell r="K47">
            <v>32230.56436800868</v>
          </cell>
          <cell r="L47">
            <v>36063.588426453411</v>
          </cell>
          <cell r="M47">
            <v>40157.318902120285</v>
          </cell>
          <cell r="N47">
            <v>42518.202343935744</v>
          </cell>
          <cell r="O47">
            <v>44529.584794545975</v>
          </cell>
          <cell r="P47">
            <v>45528.115291525515</v>
          </cell>
          <cell r="Q47">
            <v>44664.754676092154</v>
          </cell>
          <cell r="R47">
            <v>44020.115751542042</v>
          </cell>
          <cell r="S47">
            <v>43967.49599649194</v>
          </cell>
          <cell r="T47">
            <v>43891.920917838826</v>
          </cell>
          <cell r="U47">
            <v>43235.522229388967</v>
          </cell>
          <cell r="V47">
            <v>43741.934064367364</v>
          </cell>
          <cell r="W47">
            <v>48287.990276764409</v>
          </cell>
          <cell r="X47">
            <v>47827.190457473989</v>
          </cell>
          <cell r="Y47">
            <v>46167.338076181768</v>
          </cell>
          <cell r="Z47">
            <v>44104.420200461522</v>
          </cell>
          <cell r="AA47">
            <v>41622.584014745982</v>
          </cell>
          <cell r="AB47">
            <v>38886.523148299762</v>
          </cell>
        </row>
        <row r="48">
          <cell r="D48">
            <v>4</v>
          </cell>
          <cell r="E48">
            <v>34729.084686542381</v>
          </cell>
          <cell r="F48">
            <v>32981.233027416798</v>
          </cell>
          <cell r="G48">
            <v>31761.59285382376</v>
          </cell>
          <cell r="H48">
            <v>30862.572236828277</v>
          </cell>
          <cell r="I48">
            <v>30877.320223605031</v>
          </cell>
          <cell r="J48">
            <v>31389.045467244428</v>
          </cell>
          <cell r="K48">
            <v>32027.968423628936</v>
          </cell>
          <cell r="L48">
            <v>35935.39093856376</v>
          </cell>
          <cell r="M48">
            <v>39741.253380400936</v>
          </cell>
          <cell r="N48">
            <v>41818.18363039531</v>
          </cell>
          <cell r="O48">
            <v>44015.814334392482</v>
          </cell>
          <cell r="P48">
            <v>45530.46107095226</v>
          </cell>
          <cell r="Q48">
            <v>44226.62612321382</v>
          </cell>
          <cell r="R48">
            <v>45221.266175371376</v>
          </cell>
          <cell r="S48">
            <v>46899.136418151837</v>
          </cell>
          <cell r="T48">
            <v>46983.715907137848</v>
          </cell>
          <cell r="U48">
            <v>46011.375902615706</v>
          </cell>
          <cell r="V48">
            <v>46138.338956844629</v>
          </cell>
          <cell r="W48">
            <v>48920.690433869859</v>
          </cell>
          <cell r="X48">
            <v>48089.773917693798</v>
          </cell>
          <cell r="Y48">
            <v>46551.874185785695</v>
          </cell>
          <cell r="Z48">
            <v>44287.398318457927</v>
          </cell>
          <cell r="AA48">
            <v>41024.455867907236</v>
          </cell>
          <cell r="AB48">
            <v>37634.348929337713</v>
          </cell>
        </row>
        <row r="49">
          <cell r="D49">
            <v>4</v>
          </cell>
          <cell r="E49">
            <v>35787.768627202015</v>
          </cell>
          <cell r="F49">
            <v>34046.660224308194</v>
          </cell>
          <cell r="G49">
            <v>32757.781075308885</v>
          </cell>
          <cell r="H49">
            <v>31784.223855483262</v>
          </cell>
          <cell r="I49">
            <v>31835.14300435151</v>
          </cell>
          <cell r="J49">
            <v>32838.455628653312</v>
          </cell>
          <cell r="K49">
            <v>33470.631458117547</v>
          </cell>
          <cell r="L49">
            <v>37616.052105748553</v>
          </cell>
          <cell r="M49">
            <v>41720.607199948245</v>
          </cell>
          <cell r="N49">
            <v>43893.464958055825</v>
          </cell>
          <cell r="O49">
            <v>46366.892566689618</v>
          </cell>
          <cell r="P49">
            <v>48032.081851609248</v>
          </cell>
          <cell r="Q49">
            <v>46341.470773786517</v>
          </cell>
          <cell r="R49">
            <v>47980.212147407008</v>
          </cell>
          <cell r="S49">
            <v>50304.084294189459</v>
          </cell>
          <cell r="T49">
            <v>50367.108505662887</v>
          </cell>
          <cell r="U49">
            <v>49223.832520541895</v>
          </cell>
          <cell r="V49">
            <v>47802.50468727621</v>
          </cell>
          <cell r="W49">
            <v>50596.932299434491</v>
          </cell>
          <cell r="X49">
            <v>50223.240633510824</v>
          </cell>
          <cell r="Y49">
            <v>48927.612793517095</v>
          </cell>
          <cell r="Z49">
            <v>46616.18847178507</v>
          </cell>
          <cell r="AA49">
            <v>42795.831651133842</v>
          </cell>
          <cell r="AB49">
            <v>38956.849025453463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35892.486822720704</v>
          </cell>
          <cell r="F51">
            <v>34077.483819029076</v>
          </cell>
          <cell r="G51">
            <v>32632.827893986672</v>
          </cell>
          <cell r="H51">
            <v>31438.675333106941</v>
          </cell>
          <cell r="I51">
            <v>30985.568479495021</v>
          </cell>
          <cell r="J51">
            <v>30733.952545825468</v>
          </cell>
          <cell r="K51">
            <v>31382.712170461622</v>
          </cell>
          <cell r="L51">
            <v>35320.265748302205</v>
          </cell>
          <cell r="M51">
            <v>39344.909140978729</v>
          </cell>
          <cell r="N51">
            <v>41681.227023938525</v>
          </cell>
          <cell r="O51">
            <v>43834.461055374057</v>
          </cell>
          <cell r="P51">
            <v>44963.907160261333</v>
          </cell>
          <cell r="Q51">
            <v>44164.789723691356</v>
          </cell>
          <cell r="R51">
            <v>43641.598322740872</v>
          </cell>
          <cell r="S51">
            <v>43821.293877740602</v>
          </cell>
          <cell r="T51">
            <v>43734.819183706146</v>
          </cell>
          <cell r="U51">
            <v>43172.40521703643</v>
          </cell>
          <cell r="V51">
            <v>44294.817023318275</v>
          </cell>
          <cell r="W51">
            <v>48333.029365021837</v>
          </cell>
          <cell r="X51">
            <v>47525.426340661004</v>
          </cell>
          <cell r="Y51">
            <v>45843.965403130729</v>
          </cell>
          <cell r="Z51">
            <v>43707.037938210684</v>
          </cell>
          <cell r="AA51">
            <v>41158.336584953511</v>
          </cell>
          <cell r="AB51">
            <v>38433.075033201509</v>
          </cell>
        </row>
        <row r="52">
          <cell r="D52">
            <v>5</v>
          </cell>
          <cell r="E52">
            <v>33360.748262588546</v>
          </cell>
          <cell r="F52">
            <v>31712.961730871302</v>
          </cell>
          <cell r="G52">
            <v>30493.78150042249</v>
          </cell>
          <cell r="H52">
            <v>29763.0554282554</v>
          </cell>
          <cell r="I52">
            <v>29865.258592557439</v>
          </cell>
          <cell r="J52">
            <v>30447.160182521602</v>
          </cell>
          <cell r="K52">
            <v>30998.951010505625</v>
          </cell>
          <cell r="L52">
            <v>34626.462955978815</v>
          </cell>
          <cell r="M52">
            <v>38247.7507196304</v>
          </cell>
          <cell r="N52">
            <v>40369.80643557079</v>
          </cell>
          <cell r="O52">
            <v>42316.903368824089</v>
          </cell>
          <cell r="P52">
            <v>43769.266095221843</v>
          </cell>
          <cell r="Q52">
            <v>42537.591556469233</v>
          </cell>
          <cell r="R52">
            <v>43095.595031232406</v>
          </cell>
          <cell r="S52">
            <v>44366.505919102456</v>
          </cell>
          <cell r="T52">
            <v>44487.295800333173</v>
          </cell>
          <cell r="U52">
            <v>43910.586885683275</v>
          </cell>
          <cell r="V52">
            <v>44708.360734195063</v>
          </cell>
          <cell r="W52">
            <v>47793.706720425587</v>
          </cell>
          <cell r="X52">
            <v>46864.687941026874</v>
          </cell>
          <cell r="Y52">
            <v>45043.543846921086</v>
          </cell>
          <cell r="Z52">
            <v>42536.151435746506</v>
          </cell>
          <cell r="AA52">
            <v>39266.557976146549</v>
          </cell>
          <cell r="AB52">
            <v>35989.562196322186</v>
          </cell>
        </row>
        <row r="53">
          <cell r="D53">
            <v>5</v>
          </cell>
          <cell r="E53">
            <v>33717.426633644463</v>
          </cell>
          <cell r="F53">
            <v>32289.927006951784</v>
          </cell>
          <cell r="G53">
            <v>31154.55330769013</v>
          </cell>
          <cell r="H53">
            <v>30455.844994181094</v>
          </cell>
          <cell r="I53">
            <v>30213.263051591439</v>
          </cell>
          <cell r="J53">
            <v>29737.102364793998</v>
          </cell>
          <cell r="K53">
            <v>29029.70757779733</v>
          </cell>
          <cell r="L53">
            <v>31311.791088159414</v>
          </cell>
          <cell r="M53">
            <v>33205.00681173522</v>
          </cell>
          <cell r="N53">
            <v>35843.633107527232</v>
          </cell>
          <cell r="O53">
            <v>37902.953442291393</v>
          </cell>
          <cell r="P53">
            <v>39531.692148645983</v>
          </cell>
          <cell r="Q53">
            <v>40358.137371574689</v>
          </cell>
          <cell r="R53">
            <v>40375.256645370813</v>
          </cell>
          <cell r="S53">
            <v>40441.980023085445</v>
          </cell>
          <cell r="T53">
            <v>40543.824672403047</v>
          </cell>
          <cell r="U53">
            <v>40177.604181872099</v>
          </cell>
          <cell r="V53">
            <v>41884.195626807501</v>
          </cell>
          <cell r="W53">
            <v>46667.660911439649</v>
          </cell>
          <cell r="X53">
            <v>47238.998895267679</v>
          </cell>
          <cell r="Y53">
            <v>46496.837685855076</v>
          </cell>
          <cell r="Z53">
            <v>44742.343066988607</v>
          </cell>
          <cell r="AA53">
            <v>41407.593578004686</v>
          </cell>
          <cell r="AB53">
            <v>37841.218481660631</v>
          </cell>
        </row>
        <row r="54">
          <cell r="D54">
            <v>1</v>
          </cell>
          <cell r="E54">
            <v>33717.426633644463</v>
          </cell>
          <cell r="F54">
            <v>32289.927006951784</v>
          </cell>
          <cell r="G54">
            <v>31154.55330769013</v>
          </cell>
          <cell r="H54">
            <v>30455.844994181094</v>
          </cell>
          <cell r="I54">
            <v>30213.263051591439</v>
          </cell>
          <cell r="J54">
            <v>29737.102364793998</v>
          </cell>
          <cell r="K54">
            <v>29029.70757779733</v>
          </cell>
          <cell r="L54">
            <v>31311.791088159414</v>
          </cell>
          <cell r="M54">
            <v>33205.00681173522</v>
          </cell>
          <cell r="N54">
            <v>35843.633107527232</v>
          </cell>
          <cell r="O54">
            <v>37902.953442291393</v>
          </cell>
          <cell r="P54">
            <v>39531.692148645983</v>
          </cell>
          <cell r="Q54">
            <v>40358.137371574689</v>
          </cell>
          <cell r="R54">
            <v>40375.256645370813</v>
          </cell>
          <cell r="S54">
            <v>40441.980023085445</v>
          </cell>
          <cell r="T54">
            <v>40543.824672403047</v>
          </cell>
          <cell r="U54">
            <v>40177.604181872099</v>
          </cell>
          <cell r="V54">
            <v>41884.195626807501</v>
          </cell>
          <cell r="W54">
            <v>46667.660911439649</v>
          </cell>
          <cell r="X54">
            <v>47238.998895267679</v>
          </cell>
          <cell r="Y54">
            <v>46496.837685855076</v>
          </cell>
          <cell r="Z54">
            <v>44742.343066988607</v>
          </cell>
          <cell r="AA54">
            <v>41407.593578004686</v>
          </cell>
          <cell r="AB54">
            <v>37841.218481660631</v>
          </cell>
        </row>
        <row r="55">
          <cell r="D55">
            <v>20</v>
          </cell>
          <cell r="E55">
            <v>35357.582602663111</v>
          </cell>
          <cell r="F55">
            <v>33627.871858203871</v>
          </cell>
          <cell r="G55">
            <v>32378.545295813703</v>
          </cell>
          <cell r="H55">
            <v>31560.579802274755</v>
          </cell>
          <cell r="I55">
            <v>31567.881290198642</v>
          </cell>
          <cell r="J55">
            <v>31830.484069097245</v>
          </cell>
          <cell r="K55">
            <v>32050.720232740317</v>
          </cell>
          <cell r="L55">
            <v>36069.983317913044</v>
          </cell>
          <cell r="M55">
            <v>40359.791396114022</v>
          </cell>
          <cell r="N55">
            <v>43090.971154309147</v>
          </cell>
          <cell r="O55">
            <v>45153.140889119502</v>
          </cell>
          <cell r="P55">
            <v>46234.789829833935</v>
          </cell>
          <cell r="Q55">
            <v>45306.811685524859</v>
          </cell>
          <cell r="R55">
            <v>44517.189702176387</v>
          </cell>
          <cell r="S55">
            <v>44406.678191982894</v>
          </cell>
          <cell r="T55">
            <v>44300.957980415871</v>
          </cell>
          <cell r="U55">
            <v>43847.429645392833</v>
          </cell>
          <cell r="V55">
            <v>45309.340092687758</v>
          </cell>
          <cell r="W55">
            <v>49310.085299001017</v>
          </cell>
          <cell r="X55">
            <v>48271.708827833034</v>
          </cell>
          <cell r="Y55">
            <v>46313.328986075023</v>
          </cell>
          <cell r="Z55">
            <v>44097.769475125009</v>
          </cell>
          <cell r="AA55">
            <v>41354.307774669629</v>
          </cell>
          <cell r="AB55">
            <v>38378.814811695367</v>
          </cell>
        </row>
        <row r="56">
          <cell r="D56">
            <v>4</v>
          </cell>
          <cell r="E56">
            <v>38532.905156665583</v>
          </cell>
          <cell r="F56">
            <v>36582.472568021331</v>
          </cell>
          <cell r="G56">
            <v>35141.247750528782</v>
          </cell>
          <cell r="H56">
            <v>34149.906632146318</v>
          </cell>
          <cell r="I56">
            <v>33939.959998961182</v>
          </cell>
          <cell r="J56">
            <v>34175.782202982795</v>
          </cell>
          <cell r="K56">
            <v>33992.338425381153</v>
          </cell>
          <cell r="L56">
            <v>37865.035306583013</v>
          </cell>
          <cell r="M56">
            <v>41891.785509351008</v>
          </cell>
          <cell r="N56">
            <v>44225.233603179528</v>
          </cell>
          <cell r="O56">
            <v>46284.618680356434</v>
          </cell>
          <cell r="P56">
            <v>47890.691848751849</v>
          </cell>
          <cell r="Q56">
            <v>46858.016706731265</v>
          </cell>
          <cell r="R56">
            <v>47346.183180829976</v>
          </cell>
          <cell r="S56">
            <v>48699.041872856331</v>
          </cell>
          <cell r="T56">
            <v>48775.426869657465</v>
          </cell>
          <cell r="U56">
            <v>48002.398648480324</v>
          </cell>
          <cell r="V56">
            <v>48127.12588296883</v>
          </cell>
          <cell r="W56">
            <v>52173.798103141162</v>
          </cell>
          <cell r="X56">
            <v>51337.508650355696</v>
          </cell>
          <cell r="Y56">
            <v>49681.621310761111</v>
          </cell>
          <cell r="Z56">
            <v>47487.24717679833</v>
          </cell>
          <cell r="AA56">
            <v>44544.934060905638</v>
          </cell>
          <cell r="AB56">
            <v>41239.929525649684</v>
          </cell>
        </row>
        <row r="57">
          <cell r="D57">
            <v>4</v>
          </cell>
          <cell r="E57">
            <v>35531.272119953814</v>
          </cell>
          <cell r="F57">
            <v>33643.435341939054</v>
          </cell>
          <cell r="G57">
            <v>32210.351372077446</v>
          </cell>
          <cell r="H57">
            <v>31109.626388113749</v>
          </cell>
          <cell r="I57">
            <v>30736.6764474253</v>
          </cell>
          <cell r="J57">
            <v>30267.941621308033</v>
          </cell>
          <cell r="K57">
            <v>29418.397589802789</v>
          </cell>
          <cell r="L57">
            <v>31356.13581472103</v>
          </cell>
          <cell r="M57">
            <v>33682.714610413583</v>
          </cell>
          <cell r="N57">
            <v>35499.005566854285</v>
          </cell>
          <cell r="O57">
            <v>36986.755536868841</v>
          </cell>
          <cell r="P57">
            <v>38305.486352601431</v>
          </cell>
          <cell r="Q57">
            <v>38716.996149884239</v>
          </cell>
          <cell r="R57">
            <v>38913.248299789535</v>
          </cell>
          <cell r="S57">
            <v>38354.031149946393</v>
          </cell>
          <cell r="T57">
            <v>38393.235996502299</v>
          </cell>
          <cell r="U57">
            <v>38486.404486354004</v>
          </cell>
          <cell r="V57">
            <v>40909.324781408533</v>
          </cell>
          <cell r="W57">
            <v>45648.03967100798</v>
          </cell>
          <cell r="X57">
            <v>45817.25340759808</v>
          </cell>
          <cell r="Y57">
            <v>44392.224835200723</v>
          </cell>
          <cell r="Z57">
            <v>41729.261292948919</v>
          </cell>
          <cell r="AA57">
            <v>38359.974050240977</v>
          </cell>
          <cell r="AB57">
            <v>35186.858333693162</v>
          </cell>
        </row>
        <row r="58">
          <cell r="D58">
            <v>2</v>
          </cell>
          <cell r="E58">
            <v>35531.272119953814</v>
          </cell>
          <cell r="F58">
            <v>33643.435341939054</v>
          </cell>
          <cell r="G58">
            <v>32210.351372077446</v>
          </cell>
          <cell r="H58">
            <v>31109.626388113749</v>
          </cell>
          <cell r="I58">
            <v>30736.6764474253</v>
          </cell>
          <cell r="J58">
            <v>30267.941621308033</v>
          </cell>
          <cell r="K58">
            <v>29418.397589802789</v>
          </cell>
          <cell r="L58">
            <v>31356.13581472103</v>
          </cell>
          <cell r="M58">
            <v>33682.714610413583</v>
          </cell>
          <cell r="N58">
            <v>35499.005566854285</v>
          </cell>
          <cell r="O58">
            <v>36986.755536868841</v>
          </cell>
          <cell r="P58">
            <v>38305.486352601431</v>
          </cell>
          <cell r="Q58">
            <v>38716.996149884239</v>
          </cell>
          <cell r="R58">
            <v>38913.248299789535</v>
          </cell>
          <cell r="S58">
            <v>38354.031149946393</v>
          </cell>
          <cell r="T58">
            <v>38393.235996502299</v>
          </cell>
          <cell r="U58">
            <v>38486.404486354004</v>
          </cell>
          <cell r="V58">
            <v>40909.324781408533</v>
          </cell>
          <cell r="W58">
            <v>45648.03967100798</v>
          </cell>
          <cell r="X58">
            <v>45817.25340759808</v>
          </cell>
          <cell r="Y58">
            <v>44392.224835200723</v>
          </cell>
          <cell r="Z58">
            <v>41729.261292948919</v>
          </cell>
          <cell r="AA58">
            <v>38359.974050240977</v>
          </cell>
          <cell r="AB58">
            <v>35186.858333693162</v>
          </cell>
        </row>
        <row r="59">
          <cell r="D59">
            <v>23</v>
          </cell>
          <cell r="E59">
            <v>37253.530694343579</v>
          </cell>
          <cell r="F59">
            <v>35287.515477923735</v>
          </cell>
          <cell r="G59">
            <v>33801.443767910081</v>
          </cell>
          <cell r="H59">
            <v>32768.502879522777</v>
          </cell>
          <cell r="I59">
            <v>32541.533525056118</v>
          </cell>
          <cell r="J59">
            <v>32706.835997982111</v>
          </cell>
          <cell r="K59">
            <v>32327.72341191661</v>
          </cell>
          <cell r="L59">
            <v>35795.526409835635</v>
          </cell>
          <cell r="M59">
            <v>39580.250207477053</v>
          </cell>
          <cell r="N59">
            <v>41974.839652632276</v>
          </cell>
          <cell r="O59">
            <v>43737.285393369784</v>
          </cell>
          <cell r="P59">
            <v>44794.870543737707</v>
          </cell>
          <cell r="Q59">
            <v>43825.66619324754</v>
          </cell>
          <cell r="R59">
            <v>43130.47805585547</v>
          </cell>
          <cell r="S59">
            <v>43235.31881978942</v>
          </cell>
          <cell r="T59">
            <v>43205.178408721295</v>
          </cell>
          <cell r="U59">
            <v>42669.57131889942</v>
          </cell>
          <cell r="V59">
            <v>43813.934811354877</v>
          </cell>
          <cell r="W59">
            <v>48251.169655502978</v>
          </cell>
          <cell r="X59">
            <v>47199.759812233387</v>
          </cell>
          <cell r="Y59">
            <v>45170.004358798687</v>
          </cell>
          <cell r="Z59">
            <v>42946.821670607831</v>
          </cell>
          <cell r="AA59">
            <v>40790.337773773041</v>
          </cell>
          <cell r="AB59">
            <v>38373.808491592019</v>
          </cell>
        </row>
        <row r="60">
          <cell r="D60">
            <v>3</v>
          </cell>
          <cell r="E60">
            <v>36564.027591478865</v>
          </cell>
          <cell r="F60">
            <v>34718.032808090487</v>
          </cell>
          <cell r="G60">
            <v>33331.687831782292</v>
          </cell>
          <cell r="H60">
            <v>32368.989436957585</v>
          </cell>
          <cell r="I60">
            <v>32263.373566367947</v>
          </cell>
          <cell r="J60">
            <v>32783.641773427757</v>
          </cell>
          <cell r="K60">
            <v>32923.00605321335</v>
          </cell>
          <cell r="L60">
            <v>36534.903499861524</v>
          </cell>
          <cell r="M60">
            <v>40279.715448705902</v>
          </cell>
          <cell r="N60">
            <v>42444.007061154422</v>
          </cell>
          <cell r="O60">
            <v>44559.073956390064</v>
          </cell>
          <cell r="P60">
            <v>46045.352162069481</v>
          </cell>
          <cell r="Q60">
            <v>44886.294565303273</v>
          </cell>
          <cell r="R60">
            <v>45777.302490398921</v>
          </cell>
          <cell r="S60">
            <v>47285.311011438833</v>
          </cell>
          <cell r="T60">
            <v>47390.935230310497</v>
          </cell>
          <cell r="U60">
            <v>46575.99619619966</v>
          </cell>
          <cell r="V60">
            <v>45737.82955707809</v>
          </cell>
          <cell r="W60">
            <v>48911.405007572546</v>
          </cell>
          <cell r="X60">
            <v>49205.594245882996</v>
          </cell>
          <cell r="Y60">
            <v>47966.885043372509</v>
          </cell>
          <cell r="Z60">
            <v>45887.548439488215</v>
          </cell>
          <cell r="AA60">
            <v>42701.605920798072</v>
          </cell>
          <cell r="AB60">
            <v>39294.430730341657</v>
          </cell>
        </row>
        <row r="61">
          <cell r="D61">
            <v>4</v>
          </cell>
          <cell r="E61">
            <v>36345.058088438025</v>
          </cell>
          <cell r="F61">
            <v>35217.880696844448</v>
          </cell>
          <cell r="G61">
            <v>34151.836404106551</v>
          </cell>
          <cell r="H61">
            <v>33129.944780306942</v>
          </cell>
          <cell r="I61">
            <v>32540.900975928394</v>
          </cell>
          <cell r="J61">
            <v>31688.915746951621</v>
          </cell>
          <cell r="K61">
            <v>29720.616695260109</v>
          </cell>
          <cell r="L61">
            <v>30707.999989804412</v>
          </cell>
          <cell r="M61">
            <v>32313.313498893065</v>
          </cell>
          <cell r="N61">
            <v>33820.495333831052</v>
          </cell>
          <cell r="O61">
            <v>35225.572642202213</v>
          </cell>
          <cell r="P61">
            <v>36419.82539533433</v>
          </cell>
          <cell r="Q61">
            <v>37072.581323433165</v>
          </cell>
          <cell r="R61">
            <v>37101.437400833784</v>
          </cell>
          <cell r="S61">
            <v>36933.55960216088</v>
          </cell>
          <cell r="T61">
            <v>37137.746460588351</v>
          </cell>
          <cell r="U61">
            <v>37120.419793253663</v>
          </cell>
          <cell r="V61">
            <v>38320.284847769253</v>
          </cell>
          <cell r="W61">
            <v>43657.84758045795</v>
          </cell>
          <cell r="X61">
            <v>44061.554490415037</v>
          </cell>
          <cell r="Y61">
            <v>43503.407196763714</v>
          </cell>
          <cell r="Z61">
            <v>42180.679646762517</v>
          </cell>
          <cell r="AA61">
            <v>40000.633479876124</v>
          </cell>
          <cell r="AB61">
            <v>37471.304042193253</v>
          </cell>
        </row>
        <row r="62">
          <cell r="D62">
            <v>1</v>
          </cell>
          <cell r="E62">
            <v>36345.058088438025</v>
          </cell>
          <cell r="F62">
            <v>35217.880696844448</v>
          </cell>
          <cell r="G62">
            <v>34151.836404106551</v>
          </cell>
          <cell r="H62">
            <v>33129.944780306942</v>
          </cell>
          <cell r="I62">
            <v>32540.900975928394</v>
          </cell>
          <cell r="J62">
            <v>31688.915746951621</v>
          </cell>
          <cell r="K62">
            <v>29720.616695260109</v>
          </cell>
          <cell r="L62">
            <v>30707.999989804412</v>
          </cell>
          <cell r="M62">
            <v>32313.313498893065</v>
          </cell>
          <cell r="N62">
            <v>33820.495333831052</v>
          </cell>
          <cell r="O62">
            <v>35225.572642202213</v>
          </cell>
          <cell r="P62">
            <v>36419.82539533433</v>
          </cell>
          <cell r="Q62">
            <v>37072.581323433165</v>
          </cell>
          <cell r="R62">
            <v>37101.437400833784</v>
          </cell>
          <cell r="S62">
            <v>36933.55960216088</v>
          </cell>
          <cell r="T62">
            <v>37137.746460588351</v>
          </cell>
          <cell r="U62">
            <v>37120.419793253663</v>
          </cell>
          <cell r="V62">
            <v>38320.284847769253</v>
          </cell>
          <cell r="W62">
            <v>43657.84758045795</v>
          </cell>
          <cell r="X62">
            <v>44061.554490415037</v>
          </cell>
          <cell r="Y62">
            <v>43503.407196763714</v>
          </cell>
          <cell r="Z62">
            <v>42180.679646762517</v>
          </cell>
          <cell r="AA62">
            <v>40000.633479876124</v>
          </cell>
          <cell r="AB62">
            <v>37471.304042193253</v>
          </cell>
        </row>
      </sheetData>
      <sheetData sheetId="31">
        <row r="15">
          <cell r="D15">
            <v>20</v>
          </cell>
          <cell r="E15">
            <v>37492.966564645591</v>
          </cell>
          <cell r="F15">
            <v>35460.941382202451</v>
          </cell>
          <cell r="G15">
            <v>33992.146306114504</v>
          </cell>
          <cell r="H15">
            <v>32965.226098173996</v>
          </cell>
          <cell r="I15">
            <v>32721.810905134349</v>
          </cell>
          <cell r="J15">
            <v>33520.595989410467</v>
          </cell>
          <cell r="K15">
            <v>33271.006275670494</v>
          </cell>
          <cell r="L15">
            <v>37205.281006440142</v>
          </cell>
          <cell r="M15">
            <v>41438.73426137519</v>
          </cell>
          <cell r="N15">
            <v>43890.300949589291</v>
          </cell>
          <cell r="O15">
            <v>46419.374004072248</v>
          </cell>
          <cell r="P15">
            <v>48217.94854172675</v>
          </cell>
          <cell r="Q15">
            <v>46878.143969408644</v>
          </cell>
          <cell r="R15">
            <v>48193.285130816374</v>
          </cell>
          <cell r="S15">
            <v>50386.613557200522</v>
          </cell>
          <cell r="T15">
            <v>50594.645250197034</v>
          </cell>
          <cell r="U15">
            <v>49547.351407556038</v>
          </cell>
          <cell r="V15">
            <v>47556.270664784541</v>
          </cell>
          <cell r="W15">
            <v>50379.309136668839</v>
          </cell>
          <cell r="X15">
            <v>50533.792531082319</v>
          </cell>
          <cell r="Y15">
            <v>49339.485694052877</v>
          </cell>
          <cell r="Z15">
            <v>47433.440269904953</v>
          </cell>
          <cell r="AA15">
            <v>44290.643487611203</v>
          </cell>
          <cell r="AB15">
            <v>40761.88269788734</v>
          </cell>
        </row>
        <row r="16">
          <cell r="D16">
            <v>4</v>
          </cell>
          <cell r="E16">
            <v>37775.495775643205</v>
          </cell>
          <cell r="F16">
            <v>35769.767725503807</v>
          </cell>
          <cell r="G16">
            <v>34283.780978759249</v>
          </cell>
          <cell r="H16">
            <v>33111.36864012287</v>
          </cell>
          <cell r="I16">
            <v>32803.979874872726</v>
          </cell>
          <cell r="J16">
            <v>32947.845873002734</v>
          </cell>
          <cell r="K16">
            <v>32096.431956661731</v>
          </cell>
          <cell r="L16">
            <v>35151.470267052035</v>
          </cell>
          <cell r="M16">
            <v>39186.374277828007</v>
          </cell>
          <cell r="N16">
            <v>41856.622690761506</v>
          </cell>
          <cell r="O16">
            <v>44055.178827180964</v>
          </cell>
          <cell r="P16">
            <v>45433.265344294181</v>
          </cell>
          <cell r="Q16">
            <v>44789.298729014925</v>
          </cell>
          <cell r="R16">
            <v>44337.777869316102</v>
          </cell>
          <cell r="S16">
            <v>44590.339827414995</v>
          </cell>
          <cell r="T16">
            <v>44576.136205372772</v>
          </cell>
          <cell r="U16">
            <v>43918.332216006333</v>
          </cell>
          <cell r="V16">
            <v>43582.453234330605</v>
          </cell>
          <cell r="W16">
            <v>48061.820704090213</v>
          </cell>
          <cell r="X16">
            <v>48543.031772267015</v>
          </cell>
          <cell r="Y16">
            <v>47201.317843985795</v>
          </cell>
          <cell r="Z16">
            <v>45530.408776450538</v>
          </cell>
          <cell r="AA16">
            <v>43261.03958481273</v>
          </cell>
          <cell r="AB16">
            <v>40611.003526589615</v>
          </cell>
        </row>
        <row r="17">
          <cell r="D17">
            <v>5</v>
          </cell>
          <cell r="E17">
            <v>38196.449917286904</v>
          </cell>
          <cell r="F17">
            <v>36262.260838971415</v>
          </cell>
          <cell r="G17">
            <v>34693.670557680263</v>
          </cell>
          <cell r="H17">
            <v>33439.981145404468</v>
          </cell>
          <cell r="I17">
            <v>32802.689965657693</v>
          </cell>
          <cell r="J17">
            <v>32488.393661630063</v>
          </cell>
          <cell r="K17">
            <v>30813.057087627905</v>
          </cell>
          <cell r="L17">
            <v>32190.127102183164</v>
          </cell>
          <cell r="M17">
            <v>34490.302790976413</v>
          </cell>
          <cell r="N17">
            <v>36834.257903493555</v>
          </cell>
          <cell r="O17">
            <v>38275.810585708299</v>
          </cell>
          <cell r="P17">
            <v>39559.469461389934</v>
          </cell>
          <cell r="Q17">
            <v>40323.748895428733</v>
          </cell>
          <cell r="R17">
            <v>40496.048089344615</v>
          </cell>
          <cell r="S17">
            <v>40608.336349615383</v>
          </cell>
          <cell r="T17">
            <v>40675.834531875058</v>
          </cell>
          <cell r="U17">
            <v>40437.684540463502</v>
          </cell>
          <cell r="V17">
            <v>40478.96784913227</v>
          </cell>
          <cell r="W17">
            <v>45381.530079262724</v>
          </cell>
          <cell r="X17">
            <v>46863.582401867119</v>
          </cell>
          <cell r="Y17">
            <v>46693.466440521777</v>
          </cell>
          <cell r="Z17">
            <v>45403.2724878054</v>
          </cell>
          <cell r="AA17">
            <v>42962.485363548818</v>
          </cell>
          <cell r="AB17">
            <v>39976.40328241697</v>
          </cell>
        </row>
        <row r="18">
          <cell r="D18">
            <v>2</v>
          </cell>
          <cell r="E18">
            <v>38196.449917286904</v>
          </cell>
          <cell r="F18">
            <v>36262.260838971415</v>
          </cell>
          <cell r="G18">
            <v>34693.670557680263</v>
          </cell>
          <cell r="H18">
            <v>33439.981145404468</v>
          </cell>
          <cell r="I18">
            <v>32802.689965657693</v>
          </cell>
          <cell r="J18">
            <v>32488.393661630063</v>
          </cell>
          <cell r="K18">
            <v>30813.057087627905</v>
          </cell>
          <cell r="L18">
            <v>32190.127102183164</v>
          </cell>
          <cell r="M18">
            <v>34490.302790976413</v>
          </cell>
          <cell r="N18">
            <v>36834.257903493555</v>
          </cell>
          <cell r="O18">
            <v>38275.810585708299</v>
          </cell>
          <cell r="P18">
            <v>39559.469461389934</v>
          </cell>
          <cell r="Q18">
            <v>40323.748895428733</v>
          </cell>
          <cell r="R18">
            <v>40496.048089344615</v>
          </cell>
          <cell r="S18">
            <v>40608.336349615383</v>
          </cell>
          <cell r="T18">
            <v>40675.834531875058</v>
          </cell>
          <cell r="U18">
            <v>40437.684540463502</v>
          </cell>
          <cell r="V18">
            <v>40478.96784913227</v>
          </cell>
          <cell r="W18">
            <v>45381.530079262724</v>
          </cell>
          <cell r="X18">
            <v>46863.582401867119</v>
          </cell>
          <cell r="Y18">
            <v>46693.466440521777</v>
          </cell>
          <cell r="Z18">
            <v>45403.2724878054</v>
          </cell>
          <cell r="AA18">
            <v>42962.485363548818</v>
          </cell>
          <cell r="AB18">
            <v>39976.40328241697</v>
          </cell>
        </row>
        <row r="19">
          <cell r="D19">
            <v>20</v>
          </cell>
          <cell r="E19">
            <v>38864.97840704897</v>
          </cell>
          <cell r="F19">
            <v>36814.110234141423</v>
          </cell>
          <cell r="G19">
            <v>35349.197935181328</v>
          </cell>
          <cell r="H19">
            <v>34390.264171785217</v>
          </cell>
          <cell r="I19">
            <v>34460.671925816176</v>
          </cell>
          <cell r="J19">
            <v>36374.719819661928</v>
          </cell>
          <cell r="K19">
            <v>36277.537054100118</v>
          </cell>
          <cell r="L19">
            <v>40022.679401566442</v>
          </cell>
          <cell r="M19">
            <v>43799.092849812951</v>
          </cell>
          <cell r="N19">
            <v>45653.545292961324</v>
          </cell>
          <cell r="O19">
            <v>47869.055996467941</v>
          </cell>
          <cell r="P19">
            <v>49355.467559578305</v>
          </cell>
          <cell r="Q19">
            <v>47497.925616390094</v>
          </cell>
          <cell r="R19">
            <v>49191.911015190788</v>
          </cell>
          <cell r="S19">
            <v>51681.614410243928</v>
          </cell>
          <cell r="T19">
            <v>52001.593608910523</v>
          </cell>
          <cell r="U19">
            <v>51090.854953667411</v>
          </cell>
          <cell r="V19">
            <v>48915.04774873946</v>
          </cell>
          <cell r="W19">
            <v>51514.992982766489</v>
          </cell>
          <cell r="X19">
            <v>52348.765578943603</v>
          </cell>
          <cell r="Y19">
            <v>51312.236276310774</v>
          </cell>
          <cell r="Z19">
            <v>49077.709925835887</v>
          </cell>
          <cell r="AA19">
            <v>45435.706189175486</v>
          </cell>
          <cell r="AB19">
            <v>41773.297550165844</v>
          </cell>
        </row>
        <row r="20">
          <cell r="D20">
            <v>4</v>
          </cell>
          <cell r="E20">
            <v>38988.918868520799</v>
          </cell>
          <cell r="F20">
            <v>37090.484566454557</v>
          </cell>
          <cell r="G20">
            <v>35440.480480337625</v>
          </cell>
          <cell r="H20">
            <v>34321.246383239544</v>
          </cell>
          <cell r="I20">
            <v>33893.913084972126</v>
          </cell>
          <cell r="J20">
            <v>34233.071363848183</v>
          </cell>
          <cell r="K20">
            <v>33887.948973385348</v>
          </cell>
          <cell r="L20">
            <v>37255.710875638455</v>
          </cell>
          <cell r="M20">
            <v>41304.909424792793</v>
          </cell>
          <cell r="N20">
            <v>43848.148003548071</v>
          </cell>
          <cell r="O20">
            <v>45927.578065372756</v>
          </cell>
          <cell r="P20">
            <v>47304.86991821009</v>
          </cell>
          <cell r="Q20">
            <v>46479.725635793351</v>
          </cell>
          <cell r="R20">
            <v>45937.453376948048</v>
          </cell>
          <cell r="S20">
            <v>46178.653474549232</v>
          </cell>
          <cell r="T20">
            <v>46172.862191430038</v>
          </cell>
          <cell r="U20">
            <v>45471.87260349709</v>
          </cell>
          <cell r="V20">
            <v>45155.139583016491</v>
          </cell>
          <cell r="W20">
            <v>49460.810607320345</v>
          </cell>
          <cell r="X20">
            <v>50465.970650906151</v>
          </cell>
          <cell r="Y20">
            <v>49154.641918102127</v>
          </cell>
          <cell r="Z20">
            <v>47383.574549360572</v>
          </cell>
          <cell r="AA20">
            <v>44976.473948659368</v>
          </cell>
          <cell r="AB20">
            <v>42145.311554930937</v>
          </cell>
        </row>
        <row r="21">
          <cell r="D21">
            <v>4</v>
          </cell>
          <cell r="E21">
            <v>39594.995803374055</v>
          </cell>
          <cell r="F21">
            <v>37567.69684871877</v>
          </cell>
          <cell r="G21">
            <v>35999.418450660094</v>
          </cell>
          <cell r="H21">
            <v>34848.957843691729</v>
          </cell>
          <cell r="I21">
            <v>34120.322201132672</v>
          </cell>
          <cell r="J21">
            <v>33967.275710546339</v>
          </cell>
          <cell r="K21">
            <v>32470.367439954516</v>
          </cell>
          <cell r="L21">
            <v>33921.165687179797</v>
          </cell>
          <cell r="M21">
            <v>36296.736945828598</v>
          </cell>
          <cell r="N21">
            <v>38453.946318247297</v>
          </cell>
          <cell r="O21">
            <v>40027.186269835263</v>
          </cell>
          <cell r="P21">
            <v>41627.266635383028</v>
          </cell>
          <cell r="Q21">
            <v>42544.960179821748</v>
          </cell>
          <cell r="R21">
            <v>42826.169302938579</v>
          </cell>
          <cell r="S21">
            <v>43080.690575278284</v>
          </cell>
          <cell r="T21">
            <v>43277.496698544943</v>
          </cell>
          <cell r="U21">
            <v>42993.612175455506</v>
          </cell>
          <cell r="V21">
            <v>42892.888356335585</v>
          </cell>
          <cell r="W21">
            <v>47691.503259455429</v>
          </cell>
          <cell r="X21">
            <v>49839.727845743473</v>
          </cell>
          <cell r="Y21">
            <v>49876.607987741067</v>
          </cell>
          <cell r="Z21">
            <v>48639.486522291954</v>
          </cell>
          <cell r="AA21">
            <v>45729.265810836689</v>
          </cell>
          <cell r="AB21">
            <v>42251.159814587198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38839.076417463199</v>
          </cell>
          <cell r="F23">
            <v>36786.523520617484</v>
          </cell>
          <cell r="G23">
            <v>35239.723096998561</v>
          </cell>
          <cell r="H23">
            <v>34098.149436453299</v>
          </cell>
          <cell r="I23">
            <v>33926.559547757926</v>
          </cell>
          <cell r="J23">
            <v>35168.820756794899</v>
          </cell>
          <cell r="K23">
            <v>34927.298372587895</v>
          </cell>
          <cell r="L23">
            <v>38930.932239199377</v>
          </cell>
          <cell r="M23">
            <v>42968.853944320319</v>
          </cell>
          <cell r="N23">
            <v>45082.150585696734</v>
          </cell>
          <cell r="O23">
            <v>47479.25382836294</v>
          </cell>
          <cell r="P23">
            <v>49039.868276300127</v>
          </cell>
          <cell r="Q23">
            <v>47274.899104233977</v>
          </cell>
          <cell r="R23">
            <v>49158.884806861191</v>
          </cell>
          <cell r="S23">
            <v>51442.411436557741</v>
          </cell>
          <cell r="T23">
            <v>51687.780247097726</v>
          </cell>
          <cell r="U23">
            <v>50789.507612031193</v>
          </cell>
          <cell r="V23">
            <v>48619.974123567299</v>
          </cell>
          <cell r="W23">
            <v>50801.004297834552</v>
          </cell>
          <cell r="X23">
            <v>51435.964770707862</v>
          </cell>
          <cell r="Y23">
            <v>50511.22919660632</v>
          </cell>
          <cell r="Z23">
            <v>48551.242297838966</v>
          </cell>
          <cell r="AA23">
            <v>45484.867116024769</v>
          </cell>
          <cell r="AB23">
            <v>42035.549709786064</v>
          </cell>
        </row>
        <row r="24">
          <cell r="D24">
            <v>4</v>
          </cell>
          <cell r="E24">
            <v>38951.899723541283</v>
          </cell>
          <cell r="F24">
            <v>36834.186491778957</v>
          </cell>
          <cell r="G24">
            <v>35342.468726572981</v>
          </cell>
          <cell r="H24">
            <v>34161.965991610465</v>
          </cell>
          <cell r="I24">
            <v>33457.259342773687</v>
          </cell>
          <cell r="J24">
            <v>33349.529629725163</v>
          </cell>
          <cell r="K24">
            <v>32861.049368986809</v>
          </cell>
          <cell r="L24">
            <v>36004.726190692396</v>
          </cell>
          <cell r="M24">
            <v>39794.215741557506</v>
          </cell>
          <cell r="N24">
            <v>42167.2778200065</v>
          </cell>
          <cell r="O24">
            <v>44057.617542356566</v>
          </cell>
          <cell r="P24">
            <v>45266.098174926592</v>
          </cell>
          <cell r="Q24">
            <v>44624.168048658306</v>
          </cell>
          <cell r="R24">
            <v>44159.251955760592</v>
          </cell>
          <cell r="S24">
            <v>43893.690509338194</v>
          </cell>
          <cell r="T24">
            <v>44977.741798516567</v>
          </cell>
          <cell r="U24">
            <v>43453.107537652686</v>
          </cell>
          <cell r="V24">
            <v>43100.319810053254</v>
          </cell>
          <cell r="W24">
            <v>47612.802193170108</v>
          </cell>
          <cell r="X24">
            <v>48323.033756335077</v>
          </cell>
          <cell r="Y24">
            <v>47149.544058189327</v>
          </cell>
          <cell r="Z24">
            <v>45639.398722285492</v>
          </cell>
          <cell r="AA24">
            <v>43636.446731683005</v>
          </cell>
          <cell r="AB24">
            <v>41090.745091189587</v>
          </cell>
        </row>
        <row r="25">
          <cell r="D25">
            <v>4</v>
          </cell>
          <cell r="E25">
            <v>38639.913464074642</v>
          </cell>
          <cell r="F25">
            <v>36661.8077992283</v>
          </cell>
          <cell r="G25">
            <v>34896.132970914216</v>
          </cell>
          <cell r="H25">
            <v>33657.373839214015</v>
          </cell>
          <cell r="I25">
            <v>33082.941205251955</v>
          </cell>
          <cell r="J25">
            <v>32708.723774165152</v>
          </cell>
          <cell r="K25">
            <v>31110.800263062501</v>
          </cell>
          <cell r="L25">
            <v>32606.92891322077</v>
          </cell>
          <cell r="M25">
            <v>34774.669915648832</v>
          </cell>
          <cell r="N25">
            <v>36756.758605339877</v>
          </cell>
          <cell r="O25">
            <v>38259.364898217522</v>
          </cell>
          <cell r="P25">
            <v>39679.942386092167</v>
          </cell>
          <cell r="Q25">
            <v>40393.531399383355</v>
          </cell>
          <cell r="R25">
            <v>40575.862106657412</v>
          </cell>
          <cell r="S25">
            <v>40784.533236286741</v>
          </cell>
          <cell r="T25">
            <v>41075.301446468169</v>
          </cell>
          <cell r="U25">
            <v>40567.726506021099</v>
          </cell>
          <cell r="V25">
            <v>40665.319575882233</v>
          </cell>
          <cell r="W25">
            <v>45043.855573028013</v>
          </cell>
          <cell r="X25">
            <v>46663.086745074055</v>
          </cell>
          <cell r="Y25">
            <v>46579.239534613771</v>
          </cell>
          <cell r="Z25">
            <v>45676.838473070246</v>
          </cell>
          <cell r="AA25">
            <v>43248.927232264374</v>
          </cell>
          <cell r="AB25">
            <v>40063.180155138849</v>
          </cell>
        </row>
        <row r="26">
          <cell r="D26">
            <v>1</v>
          </cell>
          <cell r="E26">
            <v>38639.913464074642</v>
          </cell>
          <cell r="F26">
            <v>36661.8077992283</v>
          </cell>
          <cell r="G26">
            <v>34896.132970914216</v>
          </cell>
          <cell r="H26">
            <v>33657.373839214015</v>
          </cell>
          <cell r="I26">
            <v>33082.941205251955</v>
          </cell>
          <cell r="J26">
            <v>32708.723774165152</v>
          </cell>
          <cell r="K26">
            <v>31110.800263062501</v>
          </cell>
          <cell r="L26">
            <v>32606.92891322077</v>
          </cell>
          <cell r="M26">
            <v>34774.669915648832</v>
          </cell>
          <cell r="N26">
            <v>36756.758605339877</v>
          </cell>
          <cell r="O26">
            <v>38259.364898217522</v>
          </cell>
          <cell r="P26">
            <v>39679.942386092167</v>
          </cell>
          <cell r="Q26">
            <v>40393.531399383355</v>
          </cell>
          <cell r="R26">
            <v>40575.862106657412</v>
          </cell>
          <cell r="S26">
            <v>40784.533236286741</v>
          </cell>
          <cell r="T26">
            <v>41075.301446468169</v>
          </cell>
          <cell r="U26">
            <v>40567.726506021099</v>
          </cell>
          <cell r="V26">
            <v>40665.319575882233</v>
          </cell>
          <cell r="W26">
            <v>45043.855573028013</v>
          </cell>
          <cell r="X26">
            <v>46663.086745074055</v>
          </cell>
          <cell r="Y26">
            <v>46579.239534613771</v>
          </cell>
          <cell r="Z26">
            <v>45676.838473070246</v>
          </cell>
          <cell r="AA26">
            <v>43248.927232264374</v>
          </cell>
          <cell r="AB26">
            <v>40063.180155138849</v>
          </cell>
        </row>
        <row r="27">
          <cell r="D27">
            <v>19</v>
          </cell>
          <cell r="E27">
            <v>38535.595774478512</v>
          </cell>
          <cell r="F27">
            <v>36874.162023735691</v>
          </cell>
          <cell r="G27">
            <v>35245.68376911222</v>
          </cell>
          <cell r="H27">
            <v>34335.481401807934</v>
          </cell>
          <cell r="I27">
            <v>34117.995076862513</v>
          </cell>
          <cell r="J27">
            <v>33763.815778641263</v>
          </cell>
          <cell r="K27">
            <v>33881.031219838987</v>
          </cell>
          <cell r="L27">
            <v>37689.462476484521</v>
          </cell>
          <cell r="M27">
            <v>42012.241737408418</v>
          </cell>
          <cell r="N27">
            <v>44566.496148297148</v>
          </cell>
          <cell r="O27">
            <v>46689.913640243562</v>
          </cell>
          <cell r="P27">
            <v>48027.76063791132</v>
          </cell>
          <cell r="Q27">
            <v>47135.196146738825</v>
          </cell>
          <cell r="R27">
            <v>46569.936259229129</v>
          </cell>
          <cell r="S27">
            <v>46893.018608794555</v>
          </cell>
          <cell r="T27">
            <v>46886.063507817009</v>
          </cell>
          <cell r="U27">
            <v>46148.692452728123</v>
          </cell>
          <cell r="V27">
            <v>45882.181884951395</v>
          </cell>
          <cell r="W27">
            <v>50536.828428775611</v>
          </cell>
          <cell r="X27">
            <v>50938.93815098147</v>
          </cell>
          <cell r="Y27">
            <v>49691.459481568112</v>
          </cell>
          <cell r="Z27">
            <v>47965.184754121634</v>
          </cell>
          <cell r="AA27">
            <v>45605.960699496252</v>
          </cell>
          <cell r="AB27">
            <v>42748.138120663571</v>
          </cell>
        </row>
        <row r="28">
          <cell r="D28">
            <v>5</v>
          </cell>
          <cell r="E28">
            <v>37205.582467407585</v>
          </cell>
          <cell r="F28">
            <v>35371.895070481565</v>
          </cell>
          <cell r="G28">
            <v>33979.011171952399</v>
          </cell>
          <cell r="H28">
            <v>32951.946707950745</v>
          </cell>
          <cell r="I28">
            <v>32982.720428841072</v>
          </cell>
          <cell r="J28">
            <v>33389.496965202597</v>
          </cell>
          <cell r="K28">
            <v>34139.702904898681</v>
          </cell>
          <cell r="L28">
            <v>37854.546938141895</v>
          </cell>
          <cell r="M28">
            <v>41671.880255529039</v>
          </cell>
          <cell r="N28">
            <v>43895.540293947335</v>
          </cell>
          <cell r="O28">
            <v>45889.776530821051</v>
          </cell>
          <cell r="P28">
            <v>47266.453457672615</v>
          </cell>
          <cell r="Q28">
            <v>45973.361183381523</v>
          </cell>
          <cell r="R28">
            <v>46880.597168088614</v>
          </cell>
          <cell r="S28">
            <v>48442.823066851408</v>
          </cell>
          <cell r="T28">
            <v>48546.94243298137</v>
          </cell>
          <cell r="U28">
            <v>47782.397222315987</v>
          </cell>
          <cell r="V28">
            <v>46738.77491631572</v>
          </cell>
          <cell r="W28">
            <v>49959.699330078329</v>
          </cell>
          <cell r="X28">
            <v>50391.612017327345</v>
          </cell>
          <cell r="Y28">
            <v>49079.0939493392</v>
          </cell>
          <cell r="Z28">
            <v>46926.663559975677</v>
          </cell>
          <cell r="AA28">
            <v>43547.004281936352</v>
          </cell>
          <cell r="AB28">
            <v>39814.847769804328</v>
          </cell>
        </row>
        <row r="29">
          <cell r="D29">
            <v>4</v>
          </cell>
          <cell r="E29">
            <v>40096.514185240878</v>
          </cell>
          <cell r="F29">
            <v>38066.145727841562</v>
          </cell>
          <cell r="G29">
            <v>36384.207502144898</v>
          </cell>
          <cell r="H29">
            <v>35236.874654635263</v>
          </cell>
          <cell r="I29">
            <v>34564.652507980631</v>
          </cell>
          <cell r="J29">
            <v>33539.607851871071</v>
          </cell>
          <cell r="K29">
            <v>32512.584498248485</v>
          </cell>
          <cell r="L29">
            <v>34333.897914835041</v>
          </cell>
          <cell r="M29">
            <v>36740.944333966581</v>
          </cell>
          <cell r="N29">
            <v>38911.39225801752</v>
          </cell>
          <cell r="O29">
            <v>40627.330680735467</v>
          </cell>
          <cell r="P29">
            <v>42027.508350299489</v>
          </cell>
          <cell r="Q29">
            <v>42672.11865539397</v>
          </cell>
          <cell r="R29">
            <v>42791.250829928242</v>
          </cell>
          <cell r="S29">
            <v>42556.49614692774</v>
          </cell>
          <cell r="T29">
            <v>42367.245839271236</v>
          </cell>
          <cell r="U29">
            <v>41934.922913584836</v>
          </cell>
          <cell r="V29">
            <v>42335.531515832852</v>
          </cell>
          <cell r="W29">
            <v>47301.899806430643</v>
          </cell>
          <cell r="X29">
            <v>48724.02412937265</v>
          </cell>
          <cell r="Y29">
            <v>48394.910474021432</v>
          </cell>
          <cell r="Z29">
            <v>46909.512036813518</v>
          </cell>
          <cell r="AA29">
            <v>44048.677394476224</v>
          </cell>
          <cell r="AB29">
            <v>40634.351524192927</v>
          </cell>
        </row>
        <row r="30">
          <cell r="D30">
            <v>2</v>
          </cell>
          <cell r="E30">
            <v>40096.514185240878</v>
          </cell>
          <cell r="F30">
            <v>38066.145727841562</v>
          </cell>
          <cell r="G30">
            <v>36384.207502144898</v>
          </cell>
          <cell r="H30">
            <v>35236.874654635263</v>
          </cell>
          <cell r="I30">
            <v>34564.652507980631</v>
          </cell>
          <cell r="J30">
            <v>33539.607851871071</v>
          </cell>
          <cell r="K30">
            <v>32512.584498248485</v>
          </cell>
          <cell r="L30">
            <v>34333.897914835041</v>
          </cell>
          <cell r="M30">
            <v>36740.944333966581</v>
          </cell>
          <cell r="N30">
            <v>38911.39225801752</v>
          </cell>
          <cell r="O30">
            <v>40627.330680735467</v>
          </cell>
          <cell r="P30">
            <v>42027.508350299489</v>
          </cell>
          <cell r="Q30">
            <v>42672.11865539397</v>
          </cell>
          <cell r="R30">
            <v>42791.250829928242</v>
          </cell>
          <cell r="S30">
            <v>42556.49614692774</v>
          </cell>
          <cell r="T30">
            <v>42367.245839271236</v>
          </cell>
          <cell r="U30">
            <v>41934.922913584836</v>
          </cell>
          <cell r="V30">
            <v>42335.531515832852</v>
          </cell>
          <cell r="W30">
            <v>47301.899806430643</v>
          </cell>
          <cell r="X30">
            <v>48724.02412937265</v>
          </cell>
          <cell r="Y30">
            <v>48394.910474021432</v>
          </cell>
          <cell r="Z30">
            <v>46909.512036813518</v>
          </cell>
          <cell r="AA30">
            <v>44048.677394476224</v>
          </cell>
          <cell r="AB30">
            <v>40634.351524192927</v>
          </cell>
        </row>
        <row r="31">
          <cell r="D31">
            <v>21</v>
          </cell>
          <cell r="E31">
            <v>39017.307900102147</v>
          </cell>
          <cell r="F31">
            <v>36987.061666949936</v>
          </cell>
          <cell r="G31">
            <v>35348.787086719378</v>
          </cell>
          <cell r="H31">
            <v>33947.692386473413</v>
          </cell>
          <cell r="I31">
            <v>33570.022894373222</v>
          </cell>
          <cell r="J31">
            <v>33038.327320186341</v>
          </cell>
          <cell r="K31">
            <v>33526.626004243415</v>
          </cell>
          <cell r="L31">
            <v>37132.748153464599</v>
          </cell>
          <cell r="M31">
            <v>41335.605051251645</v>
          </cell>
          <cell r="N31">
            <v>43654.354534937331</v>
          </cell>
          <cell r="O31">
            <v>45126.123147948376</v>
          </cell>
          <cell r="P31">
            <v>46207.647957405701</v>
          </cell>
          <cell r="Q31">
            <v>45413.816159730202</v>
          </cell>
          <cell r="R31">
            <v>44596.949670326765</v>
          </cell>
          <cell r="S31">
            <v>44566.925907863326</v>
          </cell>
          <cell r="T31">
            <v>44315.754560112407</v>
          </cell>
          <cell r="U31">
            <v>43713.650456811723</v>
          </cell>
          <cell r="V31">
            <v>43981.727161974777</v>
          </cell>
          <cell r="W31">
            <v>48755.232014234556</v>
          </cell>
          <cell r="X31">
            <v>49208.997317513109</v>
          </cell>
          <cell r="Y31">
            <v>47624.442175718665</v>
          </cell>
          <cell r="Z31">
            <v>45658.942319201087</v>
          </cell>
          <cell r="AA31">
            <v>43074.206835702607</v>
          </cell>
          <cell r="AB31">
            <v>40179.036827190015</v>
          </cell>
        </row>
        <row r="32">
          <cell r="D32">
            <v>4</v>
          </cell>
          <cell r="E32">
            <v>35969.834429886389</v>
          </cell>
          <cell r="F32">
            <v>34190.51058390626</v>
          </cell>
          <cell r="G32">
            <v>32888.208355568582</v>
          </cell>
          <cell r="H32">
            <v>31991.192069052428</v>
          </cell>
          <cell r="I32">
            <v>31876.090851624813</v>
          </cell>
          <cell r="J32">
            <v>31836.019468672061</v>
          </cell>
          <cell r="K32">
            <v>32320.921622744201</v>
          </cell>
          <cell r="L32">
            <v>36108.681683991053</v>
          </cell>
          <cell r="M32">
            <v>39812.353482133105</v>
          </cell>
          <cell r="N32">
            <v>41951.018671369369</v>
          </cell>
          <cell r="O32">
            <v>44040.272039231859</v>
          </cell>
          <cell r="P32">
            <v>45545.136493822742</v>
          </cell>
          <cell r="Q32">
            <v>44551.545484763323</v>
          </cell>
          <cell r="R32">
            <v>45026.470381185114</v>
          </cell>
          <cell r="S32">
            <v>46211.636200283479</v>
          </cell>
          <cell r="T32">
            <v>46153.761546835849</v>
          </cell>
          <cell r="U32">
            <v>45488.948619370254</v>
          </cell>
          <cell r="V32">
            <v>44605.327924846752</v>
          </cell>
          <cell r="W32">
            <v>47854.347091513497</v>
          </cell>
          <cell r="X32">
            <v>48756.069362478265</v>
          </cell>
          <cell r="Y32">
            <v>47428.203238489928</v>
          </cell>
          <cell r="Z32">
            <v>45247.914927097758</v>
          </cell>
          <cell r="AA32">
            <v>41970.411705429884</v>
          </cell>
          <cell r="AB32">
            <v>38552.305763128963</v>
          </cell>
        </row>
        <row r="33">
          <cell r="D33">
            <v>4</v>
          </cell>
          <cell r="E33">
            <v>35943.339368873392</v>
          </cell>
          <cell r="F33">
            <v>34535.804641256502</v>
          </cell>
          <cell r="G33">
            <v>33092.301861988832</v>
          </cell>
          <cell r="H33">
            <v>32324.777313405142</v>
          </cell>
          <cell r="I33">
            <v>32078.585050313672</v>
          </cell>
          <cell r="J33">
            <v>31282.461510605186</v>
          </cell>
          <cell r="K33">
            <v>31152.381638842035</v>
          </cell>
          <cell r="L33">
            <v>33566.321991804616</v>
          </cell>
          <cell r="M33">
            <v>36365.27576780806</v>
          </cell>
          <cell r="N33">
            <v>38541.606753327469</v>
          </cell>
          <cell r="O33">
            <v>40196.140936777134</v>
          </cell>
          <cell r="P33">
            <v>42251.812599026438</v>
          </cell>
          <cell r="Q33">
            <v>43403.419252988126</v>
          </cell>
          <cell r="R33">
            <v>43621.642287593539</v>
          </cell>
          <cell r="S33">
            <v>43671.902219780874</v>
          </cell>
          <cell r="T33">
            <v>43757.495871964762</v>
          </cell>
          <cell r="U33">
            <v>43311.054319808354</v>
          </cell>
          <cell r="V33">
            <v>43322.344357150359</v>
          </cell>
          <cell r="W33">
            <v>48420.545535608624</v>
          </cell>
          <cell r="X33">
            <v>50258.358161488672</v>
          </cell>
          <cell r="Y33">
            <v>49952.356723779747</v>
          </cell>
          <cell r="Z33">
            <v>48269.236494749261</v>
          </cell>
          <cell r="AA33">
            <v>45182.329653830828</v>
          </cell>
          <cell r="AB33">
            <v>41575.062204720081</v>
          </cell>
        </row>
        <row r="34">
          <cell r="D34">
            <v>2</v>
          </cell>
          <cell r="E34">
            <v>35943.339368873392</v>
          </cell>
          <cell r="F34">
            <v>34535.804641256502</v>
          </cell>
          <cell r="G34">
            <v>33092.301861988832</v>
          </cell>
          <cell r="H34">
            <v>32324.777313405142</v>
          </cell>
          <cell r="I34">
            <v>32078.585050313672</v>
          </cell>
          <cell r="J34">
            <v>31282.461510605186</v>
          </cell>
          <cell r="K34">
            <v>31152.381638842035</v>
          </cell>
          <cell r="L34">
            <v>33566.321991804616</v>
          </cell>
          <cell r="M34">
            <v>36365.27576780806</v>
          </cell>
          <cell r="N34">
            <v>38541.606753327469</v>
          </cell>
          <cell r="O34">
            <v>40196.140936777134</v>
          </cell>
          <cell r="P34">
            <v>42251.812599026438</v>
          </cell>
          <cell r="Q34">
            <v>43403.419252988126</v>
          </cell>
          <cell r="R34">
            <v>43621.642287593539</v>
          </cell>
          <cell r="S34">
            <v>43671.902219780874</v>
          </cell>
          <cell r="T34">
            <v>43757.495871964762</v>
          </cell>
          <cell r="U34">
            <v>43311.054319808354</v>
          </cell>
          <cell r="V34">
            <v>43322.344357150359</v>
          </cell>
          <cell r="W34">
            <v>48420.545535608624</v>
          </cell>
          <cell r="X34">
            <v>50258.358161488672</v>
          </cell>
          <cell r="Y34">
            <v>49952.356723779747</v>
          </cell>
          <cell r="Z34">
            <v>48269.236494749261</v>
          </cell>
          <cell r="AA34">
            <v>45182.329653830828</v>
          </cell>
          <cell r="AB34">
            <v>41575.062204720081</v>
          </cell>
        </row>
        <row r="35">
          <cell r="D35">
            <v>20</v>
          </cell>
          <cell r="E35">
            <v>35597.022585364262</v>
          </cell>
          <cell r="F35">
            <v>33829.806957050241</v>
          </cell>
          <cell r="G35">
            <v>32524.115841884821</v>
          </cell>
          <cell r="H35">
            <v>31652.816573274758</v>
          </cell>
          <cell r="I35">
            <v>31420.073331171981</v>
          </cell>
          <cell r="J35">
            <v>31086.250487314053</v>
          </cell>
          <cell r="K35">
            <v>31604.952739976412</v>
          </cell>
          <cell r="L35">
            <v>35411.908397560488</v>
          </cell>
          <cell r="M35">
            <v>39597.908412354525</v>
          </cell>
          <cell r="N35">
            <v>42171.745618003217</v>
          </cell>
          <cell r="O35">
            <v>44408.378920785501</v>
          </cell>
          <cell r="P35">
            <v>45639.308918603667</v>
          </cell>
          <cell r="Q35">
            <v>44965.533628015633</v>
          </cell>
          <cell r="R35">
            <v>44193.473752500082</v>
          </cell>
          <cell r="S35">
            <v>44230.752915616154</v>
          </cell>
          <cell r="T35">
            <v>44103.572709192893</v>
          </cell>
          <cell r="U35">
            <v>43656.752060752238</v>
          </cell>
          <cell r="V35">
            <v>43703.381644555346</v>
          </cell>
          <cell r="W35">
            <v>47468.367990941435</v>
          </cell>
          <cell r="X35">
            <v>48145.980017001944</v>
          </cell>
          <cell r="Y35">
            <v>46468.459623155068</v>
          </cell>
          <cell r="Z35">
            <v>44553.877622834552</v>
          </cell>
          <cell r="AA35">
            <v>42190.9555495725</v>
          </cell>
          <cell r="AB35">
            <v>39521.095242056756</v>
          </cell>
        </row>
        <row r="36">
          <cell r="D36">
            <v>4</v>
          </cell>
          <cell r="E36">
            <v>36658.163220265247</v>
          </cell>
          <cell r="F36">
            <v>34854.174608386013</v>
          </cell>
          <cell r="G36">
            <v>33483.365272513387</v>
          </cell>
          <cell r="H36">
            <v>32532.202711941038</v>
          </cell>
          <cell r="I36">
            <v>32420.27120585943</v>
          </cell>
          <cell r="J36">
            <v>32784.12516322641</v>
          </cell>
          <cell r="K36">
            <v>33006.631854053776</v>
          </cell>
          <cell r="L36">
            <v>36719.80030057695</v>
          </cell>
          <cell r="M36">
            <v>40642.547504339236</v>
          </cell>
          <cell r="N36">
            <v>42912.425972900848</v>
          </cell>
          <cell r="O36">
            <v>45054.325550331516</v>
          </cell>
          <cell r="P36">
            <v>46452.161435960494</v>
          </cell>
          <cell r="Q36">
            <v>45269.304088271056</v>
          </cell>
          <cell r="R36">
            <v>46358.242243239714</v>
          </cell>
          <cell r="S36">
            <v>47932.348795896462</v>
          </cell>
          <cell r="T36">
            <v>47995.303064465901</v>
          </cell>
          <cell r="U36">
            <v>47101.992091648986</v>
          </cell>
          <cell r="V36">
            <v>45553.841769859078</v>
          </cell>
          <cell r="W36">
            <v>48231.734170856282</v>
          </cell>
          <cell r="X36">
            <v>49643.010029851532</v>
          </cell>
          <cell r="Y36">
            <v>48510.92843505786</v>
          </cell>
          <cell r="Z36">
            <v>46454.891308868057</v>
          </cell>
          <cell r="AA36">
            <v>43103.072546079107</v>
          </cell>
          <cell r="AB36">
            <v>39595.539225717948</v>
          </cell>
        </row>
        <row r="37">
          <cell r="D37">
            <v>4</v>
          </cell>
          <cell r="E37">
            <v>34893.441074783717</v>
          </cell>
          <cell r="F37">
            <v>33483.131471841007</v>
          </cell>
          <cell r="G37">
            <v>32330.727203216818</v>
          </cell>
          <cell r="H37">
            <v>31584.074911839853</v>
          </cell>
          <cell r="I37">
            <v>31286.245831165252</v>
          </cell>
          <cell r="J37">
            <v>30410.152001190811</v>
          </cell>
          <cell r="K37">
            <v>30010.027326501651</v>
          </cell>
          <cell r="L37">
            <v>32454.761733175928</v>
          </cell>
          <cell r="M37">
            <v>35281.81472860623</v>
          </cell>
          <cell r="N37">
            <v>37043.387513078829</v>
          </cell>
          <cell r="O37">
            <v>39132.406085093106</v>
          </cell>
          <cell r="P37">
            <v>40678.35940578999</v>
          </cell>
          <cell r="Q37">
            <v>41466.829065914855</v>
          </cell>
          <cell r="R37">
            <v>41302.464905596971</v>
          </cell>
          <cell r="S37">
            <v>40958.908239100019</v>
          </cell>
          <cell r="T37">
            <v>40643.061077316161</v>
          </cell>
          <cell r="U37">
            <v>40332.242954123525</v>
          </cell>
          <cell r="V37">
            <v>40940.658547602572</v>
          </cell>
          <cell r="W37">
            <v>45883.013744732125</v>
          </cell>
          <cell r="X37">
            <v>47706.36841163996</v>
          </cell>
          <cell r="Y37">
            <v>47100.999965906158</v>
          </cell>
          <cell r="Z37">
            <v>45360.730810557368</v>
          </cell>
          <cell r="AA37">
            <v>42295.266983838454</v>
          </cell>
          <cell r="AB37">
            <v>38780.048223845872</v>
          </cell>
        </row>
        <row r="38">
          <cell r="D38">
            <v>2</v>
          </cell>
          <cell r="E38">
            <v>34893.441074783717</v>
          </cell>
          <cell r="F38">
            <v>33483.131471841007</v>
          </cell>
          <cell r="G38">
            <v>32330.727203216818</v>
          </cell>
          <cell r="H38">
            <v>31584.074911839853</v>
          </cell>
          <cell r="I38">
            <v>31286.245831165252</v>
          </cell>
          <cell r="J38">
            <v>30410.152001190811</v>
          </cell>
          <cell r="K38">
            <v>30010.027326501651</v>
          </cell>
          <cell r="L38">
            <v>32454.761733175928</v>
          </cell>
          <cell r="M38">
            <v>35281.81472860623</v>
          </cell>
          <cell r="N38">
            <v>37043.387513078829</v>
          </cell>
          <cell r="O38">
            <v>39132.406085093106</v>
          </cell>
          <cell r="P38">
            <v>40678.35940578999</v>
          </cell>
          <cell r="Q38">
            <v>41466.829065914855</v>
          </cell>
          <cell r="R38">
            <v>41302.464905596971</v>
          </cell>
          <cell r="S38">
            <v>40958.908239100019</v>
          </cell>
          <cell r="T38">
            <v>40643.061077316161</v>
          </cell>
          <cell r="U38">
            <v>40332.242954123525</v>
          </cell>
          <cell r="V38">
            <v>40940.658547602572</v>
          </cell>
          <cell r="W38">
            <v>45883.013744732125</v>
          </cell>
          <cell r="X38">
            <v>47706.36841163996</v>
          </cell>
          <cell r="Y38">
            <v>47100.999965906158</v>
          </cell>
          <cell r="Z38">
            <v>45360.730810557368</v>
          </cell>
          <cell r="AA38">
            <v>42295.266983838454</v>
          </cell>
          <cell r="AB38">
            <v>38780.048223845872</v>
          </cell>
        </row>
        <row r="39">
          <cell r="D39">
            <v>19</v>
          </cell>
          <cell r="E39">
            <v>36153.626779833743</v>
          </cell>
          <cell r="F39">
            <v>34413.72480833868</v>
          </cell>
          <cell r="G39">
            <v>33266.761019413825</v>
          </cell>
          <cell r="H39">
            <v>32417.680701962589</v>
          </cell>
          <cell r="I39">
            <v>32285.986249163903</v>
          </cell>
          <cell r="J39">
            <v>32135.499438340383</v>
          </cell>
          <cell r="K39">
            <v>32431.325772116055</v>
          </cell>
          <cell r="L39">
            <v>36214.549422468262</v>
          </cell>
          <cell r="M39">
            <v>40615.941644101702</v>
          </cell>
          <cell r="N39">
            <v>43109.538614092417</v>
          </cell>
          <cell r="O39">
            <v>45352.470610996555</v>
          </cell>
          <cell r="P39">
            <v>46373.005383182106</v>
          </cell>
          <cell r="Q39">
            <v>45768.057907804519</v>
          </cell>
          <cell r="R39">
            <v>45133.355909119215</v>
          </cell>
          <cell r="S39">
            <v>45207.328698730526</v>
          </cell>
          <cell r="T39">
            <v>45331.105654595216</v>
          </cell>
          <cell r="U39">
            <v>44697.274606711653</v>
          </cell>
          <cell r="V39">
            <v>44596.859625293058</v>
          </cell>
          <cell r="W39">
            <v>48374.197822988761</v>
          </cell>
          <cell r="X39">
            <v>49659.655336097145</v>
          </cell>
          <cell r="Y39">
            <v>48078.310846780325</v>
          </cell>
          <cell r="Z39">
            <v>45946.599162699742</v>
          </cell>
          <cell r="AA39">
            <v>43234.383608665325</v>
          </cell>
          <cell r="AB39">
            <v>40344.913360313745</v>
          </cell>
        </row>
        <row r="40">
          <cell r="D40">
            <v>5</v>
          </cell>
          <cell r="E40">
            <v>38454.610701717102</v>
          </cell>
          <cell r="F40">
            <v>36440.58596224917</v>
          </cell>
          <cell r="G40">
            <v>34964.42614358155</v>
          </cell>
          <cell r="H40">
            <v>33922.923525118953</v>
          </cell>
          <cell r="I40">
            <v>33851.11081019383</v>
          </cell>
          <cell r="J40">
            <v>34471.192906559656</v>
          </cell>
          <cell r="K40">
            <v>34673.366244311939</v>
          </cell>
          <cell r="L40">
            <v>38454.057482860844</v>
          </cell>
          <cell r="M40">
            <v>42523.495320980961</v>
          </cell>
          <cell r="N40">
            <v>44836.290874394042</v>
          </cell>
          <cell r="O40">
            <v>47173.719211988042</v>
          </cell>
          <cell r="P40">
            <v>48860.4872485003</v>
          </cell>
          <cell r="Q40">
            <v>47584.085121133285</v>
          </cell>
          <cell r="R40">
            <v>48537.88497030695</v>
          </cell>
          <cell r="S40">
            <v>50140.682377907586</v>
          </cell>
          <cell r="T40">
            <v>50141.146707369197</v>
          </cell>
          <cell r="U40">
            <v>49184.444166665802</v>
          </cell>
          <cell r="V40">
            <v>47773.107685269075</v>
          </cell>
          <cell r="W40">
            <v>51056.272991784361</v>
          </cell>
          <cell r="X40">
            <v>52108.327747690426</v>
          </cell>
          <cell r="Y40">
            <v>51006.857520590194</v>
          </cell>
          <cell r="Z40">
            <v>48837.775628731579</v>
          </cell>
          <cell r="AA40">
            <v>45272.230773353673</v>
          </cell>
          <cell r="AB40">
            <v>41433.973609344466</v>
          </cell>
        </row>
        <row r="41">
          <cell r="D41">
            <v>5</v>
          </cell>
          <cell r="E41">
            <v>36270.978774502073</v>
          </cell>
          <cell r="F41">
            <v>34814.013221751127</v>
          </cell>
          <cell r="G41">
            <v>33580.722577266111</v>
          </cell>
          <cell r="H41">
            <v>32451.736655760415</v>
          </cell>
          <cell r="I41">
            <v>32072.691913883766</v>
          </cell>
          <cell r="J41">
            <v>31572.896064425942</v>
          </cell>
          <cell r="K41">
            <v>30971.159762697553</v>
          </cell>
          <cell r="L41">
            <v>33280.549592565527</v>
          </cell>
          <cell r="M41">
            <v>36298.501551727823</v>
          </cell>
          <cell r="N41">
            <v>38733.838395550476</v>
          </cell>
          <cell r="O41">
            <v>40480.472199862917</v>
          </cell>
          <cell r="P41">
            <v>41365.706908397755</v>
          </cell>
          <cell r="Q41">
            <v>42884.570087723921</v>
          </cell>
          <cell r="R41">
            <v>42984.339174955508</v>
          </cell>
          <cell r="S41">
            <v>42908.023809988583</v>
          </cell>
          <cell r="T41">
            <v>43031.068613033465</v>
          </cell>
          <cell r="U41">
            <v>42694.999490368151</v>
          </cell>
          <cell r="V41">
            <v>42308.264399290631</v>
          </cell>
          <cell r="W41">
            <v>46756.669928320924</v>
          </cell>
          <cell r="X41">
            <v>49321.52332515837</v>
          </cell>
          <cell r="Y41">
            <v>48654.57000782984</v>
          </cell>
          <cell r="Z41">
            <v>46988.005387350953</v>
          </cell>
          <cell r="AA41">
            <v>44169.346941802396</v>
          </cell>
          <cell r="AB41">
            <v>41030.978715388155</v>
          </cell>
        </row>
        <row r="42">
          <cell r="D42">
            <v>2</v>
          </cell>
          <cell r="E42">
            <v>36270.978774502073</v>
          </cell>
          <cell r="F42">
            <v>34814.013221751127</v>
          </cell>
          <cell r="G42">
            <v>33580.722577266111</v>
          </cell>
          <cell r="H42">
            <v>32451.736655760415</v>
          </cell>
          <cell r="I42">
            <v>32072.691913883766</v>
          </cell>
          <cell r="J42">
            <v>31572.896064425942</v>
          </cell>
          <cell r="K42">
            <v>30971.159762697553</v>
          </cell>
          <cell r="L42">
            <v>33280.549592565527</v>
          </cell>
          <cell r="M42">
            <v>36298.501551727823</v>
          </cell>
          <cell r="N42">
            <v>38733.838395550476</v>
          </cell>
          <cell r="O42">
            <v>40480.472199862917</v>
          </cell>
          <cell r="P42">
            <v>41365.706908397755</v>
          </cell>
          <cell r="Q42">
            <v>42884.570087723921</v>
          </cell>
          <cell r="R42">
            <v>42984.339174955508</v>
          </cell>
          <cell r="S42">
            <v>42908.023809988583</v>
          </cell>
          <cell r="T42">
            <v>43031.068613033465</v>
          </cell>
          <cell r="U42">
            <v>42694.999490368151</v>
          </cell>
          <cell r="V42">
            <v>42308.264399290631</v>
          </cell>
          <cell r="W42">
            <v>46756.669928320924</v>
          </cell>
          <cell r="X42">
            <v>49321.52332515837</v>
          </cell>
          <cell r="Y42">
            <v>48654.57000782984</v>
          </cell>
          <cell r="Z42">
            <v>46988.005387350953</v>
          </cell>
          <cell r="AA42">
            <v>44169.346941802396</v>
          </cell>
          <cell r="AB42">
            <v>41030.978715388155</v>
          </cell>
        </row>
        <row r="43">
          <cell r="D43">
            <v>22</v>
          </cell>
          <cell r="E43">
            <v>37437.920993724598</v>
          </cell>
          <cell r="F43">
            <v>35420.531543738711</v>
          </cell>
          <cell r="G43">
            <v>33915.329757182037</v>
          </cell>
          <cell r="H43">
            <v>32907.316653274938</v>
          </cell>
          <cell r="I43">
            <v>32537.050008154503</v>
          </cell>
          <cell r="J43">
            <v>32443.774512206161</v>
          </cell>
          <cell r="K43">
            <v>32550.326617935512</v>
          </cell>
          <cell r="L43">
            <v>36306.257512886215</v>
          </cell>
          <cell r="M43">
            <v>40535.230426061033</v>
          </cell>
          <cell r="N43">
            <v>43134.327161057539</v>
          </cell>
          <cell r="O43">
            <v>45292.84579702685</v>
          </cell>
          <cell r="P43">
            <v>46669.82653095248</v>
          </cell>
          <cell r="Q43">
            <v>45895.440147286623</v>
          </cell>
          <cell r="R43">
            <v>45241.403231006916</v>
          </cell>
          <cell r="S43">
            <v>45173.280020506478</v>
          </cell>
          <cell r="T43">
            <v>44804.66277478425</v>
          </cell>
          <cell r="U43">
            <v>43906.523190568303</v>
          </cell>
          <cell r="V43">
            <v>43848.297281063606</v>
          </cell>
          <cell r="W43">
            <v>47823.664030720363</v>
          </cell>
          <cell r="X43">
            <v>48437.466456963775</v>
          </cell>
          <cell r="Y43">
            <v>47017.98459035538</v>
          </cell>
          <cell r="Z43">
            <v>45060.930894040372</v>
          </cell>
          <cell r="AA43">
            <v>42300.108286535324</v>
          </cell>
          <cell r="AB43">
            <v>39360.040290171833</v>
          </cell>
        </row>
        <row r="44">
          <cell r="D44">
            <v>4</v>
          </cell>
          <cell r="E44">
            <v>36943.305213317217</v>
          </cell>
          <cell r="F44">
            <v>35109.563772082482</v>
          </cell>
          <cell r="G44">
            <v>33707.063783958001</v>
          </cell>
          <cell r="H44">
            <v>32718.026562798117</v>
          </cell>
          <cell r="I44">
            <v>32623.606839991218</v>
          </cell>
          <cell r="J44">
            <v>33157.315647652111</v>
          </cell>
          <cell r="K44">
            <v>33511.130664533921</v>
          </cell>
          <cell r="L44">
            <v>37334.16367013823</v>
          </cell>
          <cell r="M44">
            <v>41251.785258451288</v>
          </cell>
          <cell r="N44">
            <v>43471.029483287428</v>
          </cell>
          <cell r="O44">
            <v>45774.604755379405</v>
          </cell>
          <cell r="P44">
            <v>47333.271155024471</v>
          </cell>
          <cell r="Q44">
            <v>46118.749326502621</v>
          </cell>
          <cell r="R44">
            <v>47209.454531499337</v>
          </cell>
          <cell r="S44">
            <v>48848.965725010428</v>
          </cell>
          <cell r="T44">
            <v>48883.706187270713</v>
          </cell>
          <cell r="U44">
            <v>47982.63100381507</v>
          </cell>
          <cell r="V44">
            <v>47176.152645039576</v>
          </cell>
          <cell r="W44">
            <v>50641.405290656789</v>
          </cell>
          <cell r="X44">
            <v>50435.712269930926</v>
          </cell>
          <cell r="Y44">
            <v>49134.132356994771</v>
          </cell>
          <cell r="Z44">
            <v>46882.18931677677</v>
          </cell>
          <cell r="AA44">
            <v>43292.995664224574</v>
          </cell>
          <cell r="AB44">
            <v>39610.688942867717</v>
          </cell>
        </row>
        <row r="45">
          <cell r="D45">
            <v>3</v>
          </cell>
          <cell r="E45">
            <v>36924.895513800358</v>
          </cell>
          <cell r="F45">
            <v>35000.523596109218</v>
          </cell>
          <cell r="G45">
            <v>33505.925759083846</v>
          </cell>
          <cell r="H45">
            <v>32424.928390252546</v>
          </cell>
          <cell r="I45">
            <v>31971.280987127422</v>
          </cell>
          <cell r="J45">
            <v>31360.025480813954</v>
          </cell>
          <cell r="K45">
            <v>30691.267147218256</v>
          </cell>
          <cell r="L45">
            <v>32924.002122324026</v>
          </cell>
          <cell r="M45">
            <v>35382.209542858349</v>
          </cell>
          <cell r="N45">
            <v>37597.649947126301</v>
          </cell>
          <cell r="O45">
            <v>39698.09072754057</v>
          </cell>
          <cell r="P45">
            <v>41495.307369963142</v>
          </cell>
          <cell r="Q45">
            <v>42156.64642162239</v>
          </cell>
          <cell r="R45">
            <v>41954.300244355421</v>
          </cell>
          <cell r="S45">
            <v>41765.745548802246</v>
          </cell>
          <cell r="T45">
            <v>41898.844843382809</v>
          </cell>
          <cell r="U45">
            <v>41516.631209440493</v>
          </cell>
          <cell r="V45">
            <v>41469.6610185346</v>
          </cell>
          <cell r="W45">
            <v>46279.174726487516</v>
          </cell>
          <cell r="X45">
            <v>48886.495994077297</v>
          </cell>
          <cell r="Y45">
            <v>48625.767259593129</v>
          </cell>
          <cell r="Z45">
            <v>46796.146854313622</v>
          </cell>
          <cell r="AA45">
            <v>43623.614557211629</v>
          </cell>
          <cell r="AB45">
            <v>40148.280271872522</v>
          </cell>
        </row>
        <row r="46">
          <cell r="D46">
            <v>2</v>
          </cell>
          <cell r="E46">
            <v>36924.895513800358</v>
          </cell>
          <cell r="F46">
            <v>35000.523596109218</v>
          </cell>
          <cell r="G46">
            <v>33505.925759083846</v>
          </cell>
          <cell r="H46">
            <v>32424.928390252546</v>
          </cell>
          <cell r="I46">
            <v>31971.280987127422</v>
          </cell>
          <cell r="J46">
            <v>31360.025480813954</v>
          </cell>
          <cell r="K46">
            <v>30691.267147218256</v>
          </cell>
          <cell r="L46">
            <v>32924.002122324026</v>
          </cell>
          <cell r="M46">
            <v>35382.209542858349</v>
          </cell>
          <cell r="N46">
            <v>37597.649947126301</v>
          </cell>
          <cell r="O46">
            <v>39698.09072754057</v>
          </cell>
          <cell r="P46">
            <v>41495.307369963142</v>
          </cell>
          <cell r="Q46">
            <v>42156.64642162239</v>
          </cell>
          <cell r="R46">
            <v>41954.300244355421</v>
          </cell>
          <cell r="S46">
            <v>41765.745548802246</v>
          </cell>
          <cell r="T46">
            <v>41898.844843382809</v>
          </cell>
          <cell r="U46">
            <v>41516.631209440493</v>
          </cell>
          <cell r="V46">
            <v>41469.6610185346</v>
          </cell>
          <cell r="W46">
            <v>46279.174726487516</v>
          </cell>
          <cell r="X46">
            <v>48886.495994077297</v>
          </cell>
          <cell r="Y46">
            <v>48625.767259593129</v>
          </cell>
          <cell r="Z46">
            <v>46796.146854313622</v>
          </cell>
          <cell r="AA46">
            <v>43623.614557211629</v>
          </cell>
          <cell r="AB46">
            <v>40148.280271872522</v>
          </cell>
        </row>
        <row r="47">
          <cell r="D47">
            <v>22</v>
          </cell>
          <cell r="E47">
            <v>37996.629112514383</v>
          </cell>
          <cell r="F47">
            <v>36057.317092962337</v>
          </cell>
          <cell r="G47">
            <v>34556.83963863676</v>
          </cell>
          <cell r="H47">
            <v>33493.861150723766</v>
          </cell>
          <cell r="I47">
            <v>33181.964827199241</v>
          </cell>
          <cell r="J47">
            <v>32753.585878004018</v>
          </cell>
          <cell r="K47">
            <v>32965.467077183152</v>
          </cell>
          <cell r="L47">
            <v>36885.889535876748</v>
          </cell>
          <cell r="M47">
            <v>41072.962888908311</v>
          </cell>
          <cell r="N47">
            <v>43487.677831085493</v>
          </cell>
          <cell r="O47">
            <v>45544.922662362158</v>
          </cell>
          <cell r="P47">
            <v>46566.221074884379</v>
          </cell>
          <cell r="Q47">
            <v>45683.174609459929</v>
          </cell>
          <cell r="R47">
            <v>45023.837000559091</v>
          </cell>
          <cell r="S47">
            <v>44970.017440252683</v>
          </cell>
          <cell r="T47">
            <v>44892.71914231572</v>
          </cell>
          <cell r="U47">
            <v>44221.353630172285</v>
          </cell>
          <cell r="V47">
            <v>44739.312375258574</v>
          </cell>
          <cell r="W47">
            <v>49389.025135161377</v>
          </cell>
          <cell r="X47">
            <v>48917.718424594801</v>
          </cell>
          <cell r="Y47">
            <v>47220.019048198395</v>
          </cell>
          <cell r="Z47">
            <v>45110.063710820286</v>
          </cell>
          <cell r="AA47">
            <v>42571.638130150808</v>
          </cell>
          <cell r="AB47">
            <v>39773.191184445823</v>
          </cell>
        </row>
        <row r="48">
          <cell r="D48">
            <v>4</v>
          </cell>
          <cell r="E48">
            <v>35520.957212628906</v>
          </cell>
          <cell r="F48">
            <v>33733.252049703027</v>
          </cell>
          <cell r="G48">
            <v>32485.802345455868</v>
          </cell>
          <cell r="H48">
            <v>31566.282779714405</v>
          </cell>
          <cell r="I48">
            <v>31581.367041565762</v>
          </cell>
          <cell r="J48">
            <v>32104.760348587773</v>
          </cell>
          <cell r="K48">
            <v>32758.25165711901</v>
          </cell>
          <cell r="L48">
            <v>36754.768962927723</v>
          </cell>
          <cell r="M48">
            <v>40647.410481523097</v>
          </cell>
          <cell r="N48">
            <v>42771.697695238596</v>
          </cell>
          <cell r="O48">
            <v>45019.437504980611</v>
          </cell>
          <cell r="P48">
            <v>46568.620341418449</v>
          </cell>
          <cell r="Q48">
            <v>45235.05610242502</v>
          </cell>
          <cell r="R48">
            <v>46252.375362449915</v>
          </cell>
          <cell r="S48">
            <v>47968.503433203332</v>
          </cell>
          <cell r="T48">
            <v>48055.011454835781</v>
          </cell>
          <cell r="U48">
            <v>47060.500715249771</v>
          </cell>
          <cell r="V48">
            <v>47190.358707694868</v>
          </cell>
          <cell r="W48">
            <v>50036.151755739273</v>
          </cell>
          <cell r="X48">
            <v>49186.289161180495</v>
          </cell>
          <cell r="Y48">
            <v>47613.323128027616</v>
          </cell>
          <cell r="Z48">
            <v>45297.213990157084</v>
          </cell>
          <cell r="AA48">
            <v>41959.871810845514</v>
          </cell>
          <cell r="AB48">
            <v>38492.465612322019</v>
          </cell>
        </row>
        <row r="49">
          <cell r="D49">
            <v>4</v>
          </cell>
          <cell r="E49">
            <v>36603.780652903471</v>
          </cell>
          <cell r="F49">
            <v>34822.972502042372</v>
          </cell>
          <cell r="G49">
            <v>33504.705075270969</v>
          </cell>
          <cell r="H49">
            <v>32508.949366141314</v>
          </cell>
          <cell r="I49">
            <v>32561.029544026154</v>
          </cell>
          <cell r="J49">
            <v>33587.219123175208</v>
          </cell>
          <cell r="K49">
            <v>34233.809460695913</v>
          </cell>
          <cell r="L49">
            <v>38473.75159513142</v>
          </cell>
          <cell r="M49">
            <v>42671.896383394211</v>
          </cell>
          <cell r="N49">
            <v>44894.298388845753</v>
          </cell>
          <cell r="O49">
            <v>47424.123664916486</v>
          </cell>
          <cell r="P49">
            <v>49127.281633933708</v>
          </cell>
          <cell r="Q49">
            <v>47398.122218977733</v>
          </cell>
          <cell r="R49">
            <v>49074.229226701289</v>
          </cell>
          <cell r="S49">
            <v>51451.088963677503</v>
          </cell>
          <cell r="T49">
            <v>51515.550216811956</v>
          </cell>
          <cell r="U49">
            <v>50346.205913146929</v>
          </cell>
          <cell r="V49">
            <v>48892.469783725901</v>
          </cell>
          <cell r="W49">
            <v>51750.614319960318</v>
          </cell>
          <cell r="X49">
            <v>51368.401952551321</v>
          </cell>
          <cell r="Y49">
            <v>50043.231955032163</v>
          </cell>
          <cell r="Z49">
            <v>47679.103871222091</v>
          </cell>
          <cell r="AA49">
            <v>43771.637481360325</v>
          </cell>
          <cell r="AB49">
            <v>39845.120591623228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36718.939367217128</v>
          </cell>
          <cell r="F51">
            <v>34862.144501677692</v>
          </cell>
          <cell r="G51">
            <v>33384.224245549223</v>
          </cell>
          <cell r="H51">
            <v>32162.575389209935</v>
          </cell>
          <cell r="I51">
            <v>31699.035396374573</v>
          </cell>
          <cell r="J51">
            <v>31441.625809296602</v>
          </cell>
          <cell r="K51">
            <v>32105.323631032206</v>
          </cell>
          <cell r="L51">
            <v>36133.542455601724</v>
          </cell>
          <cell r="M51">
            <v>40250.85640601912</v>
          </cell>
          <cell r="N51">
            <v>42640.969833117764</v>
          </cell>
          <cell r="O51">
            <v>44843.783760005113</v>
          </cell>
          <cell r="P51">
            <v>45999.236243660911</v>
          </cell>
          <cell r="Q51">
            <v>45181.718503928139</v>
          </cell>
          <cell r="R51">
            <v>44646.480212309143</v>
          </cell>
          <cell r="S51">
            <v>44830.313397821854</v>
          </cell>
          <cell r="T51">
            <v>44741.847556412395</v>
          </cell>
          <cell r="U51">
            <v>44166.483568861971</v>
          </cell>
          <cell r="V51">
            <v>45314.739783692494</v>
          </cell>
          <cell r="W51">
            <v>49445.935118786896</v>
          </cell>
          <cell r="X51">
            <v>48619.736403976349</v>
          </cell>
          <cell r="Y51">
            <v>46899.558514980519</v>
          </cell>
          <cell r="Z51">
            <v>44713.426626039625</v>
          </cell>
          <cell r="AA51">
            <v>42106.039433348582</v>
          </cell>
          <cell r="AB51">
            <v>39318.026605682266</v>
          </cell>
        </row>
        <row r="52">
          <cell r="D52">
            <v>5</v>
          </cell>
          <cell r="E52">
            <v>34128.90554921233</v>
          </cell>
          <cell r="F52">
            <v>32443.177445526253</v>
          </cell>
          <cell r="G52">
            <v>31195.924637977078</v>
          </cell>
          <cell r="H52">
            <v>30448.373027232657</v>
          </cell>
          <cell r="I52">
            <v>30552.929499223017</v>
          </cell>
          <cell r="J52">
            <v>31148.2298278159</v>
          </cell>
          <cell r="K52">
            <v>31712.726070614714</v>
          </cell>
          <cell r="L52">
            <v>35423.764312059961</v>
          </cell>
          <cell r="M52">
            <v>39128.435055035472</v>
          </cell>
          <cell r="N52">
            <v>41299.35276136022</v>
          </cell>
          <cell r="O52">
            <v>43291.28312236724</v>
          </cell>
          <cell r="P52">
            <v>44777.087634972013</v>
          </cell>
          <cell r="Q52">
            <v>43517.052827911124</v>
          </cell>
          <cell r="R52">
            <v>44087.904768533845</v>
          </cell>
          <cell r="S52">
            <v>45388.079372297871</v>
          </cell>
          <cell r="T52">
            <v>45511.650534892164</v>
          </cell>
          <cell r="U52">
            <v>44921.662447018629</v>
          </cell>
          <cell r="V52">
            <v>45737.805661528706</v>
          </cell>
          <cell r="W52">
            <v>48894.194149037176</v>
          </cell>
          <cell r="X52">
            <v>47943.783986591887</v>
          </cell>
          <cell r="Y52">
            <v>46080.706627234729</v>
          </cell>
          <cell r="Z52">
            <v>43515.579547283887</v>
          </cell>
          <cell r="AA52">
            <v>40170.701144417064</v>
          </cell>
          <cell r="AB52">
            <v>36818.249977120766</v>
          </cell>
        </row>
        <row r="53">
          <cell r="D53">
            <v>5</v>
          </cell>
          <cell r="E53">
            <v>34493.796718361118</v>
          </cell>
          <cell r="F53">
            <v>33033.427797752549</v>
          </cell>
          <cell r="G53">
            <v>31871.911232231902</v>
          </cell>
          <cell r="H53">
            <v>31157.114614047503</v>
          </cell>
          <cell r="I53">
            <v>30908.94703275045</v>
          </cell>
          <cell r="J53">
            <v>30421.82237421328</v>
          </cell>
          <cell r="K53">
            <v>29698.139269704239</v>
          </cell>
          <cell r="L53">
            <v>32032.769535413961</v>
          </cell>
          <cell r="M53">
            <v>33969.578029804405</v>
          </cell>
          <cell r="N53">
            <v>36668.960757071989</v>
          </cell>
          <cell r="O53">
            <v>38775.698551066685</v>
          </cell>
          <cell r="P53">
            <v>40441.94023833298</v>
          </cell>
          <cell r="Q53">
            <v>41287.415008050972</v>
          </cell>
          <cell r="R53">
            <v>41304.928466498008</v>
          </cell>
          <cell r="S53">
            <v>41373.188202101745</v>
          </cell>
          <cell r="T53">
            <v>41477.377904020126</v>
          </cell>
          <cell r="U53">
            <v>41102.724900642104</v>
          </cell>
          <cell r="V53">
            <v>42848.611946605335</v>
          </cell>
          <cell r="W53">
            <v>47742.220255751803</v>
          </cell>
          <cell r="X53">
            <v>48326.713742926106</v>
          </cell>
          <cell r="Y53">
            <v>47567.463691969169</v>
          </cell>
          <cell r="Z53">
            <v>45772.570464078221</v>
          </cell>
          <cell r="AA53">
            <v>42361.03576335789</v>
          </cell>
          <cell r="AB53">
            <v>38712.542094746597</v>
          </cell>
        </row>
        <row r="54">
          <cell r="D54">
            <v>1</v>
          </cell>
          <cell r="E54">
            <v>34493.796718361118</v>
          </cell>
          <cell r="F54">
            <v>33033.427797752549</v>
          </cell>
          <cell r="G54">
            <v>31871.911232231902</v>
          </cell>
          <cell r="H54">
            <v>31157.114614047503</v>
          </cell>
          <cell r="I54">
            <v>30908.94703275045</v>
          </cell>
          <cell r="J54">
            <v>30421.82237421328</v>
          </cell>
          <cell r="K54">
            <v>29698.139269704239</v>
          </cell>
          <cell r="L54">
            <v>32032.769535413961</v>
          </cell>
          <cell r="M54">
            <v>33969.578029804405</v>
          </cell>
          <cell r="N54">
            <v>36668.960757071989</v>
          </cell>
          <cell r="O54">
            <v>38775.698551066685</v>
          </cell>
          <cell r="P54">
            <v>40441.94023833298</v>
          </cell>
          <cell r="Q54">
            <v>41287.415008050972</v>
          </cell>
          <cell r="R54">
            <v>41304.928466498008</v>
          </cell>
          <cell r="S54">
            <v>41373.188202101745</v>
          </cell>
          <cell r="T54">
            <v>41477.377904020126</v>
          </cell>
          <cell r="U54">
            <v>41102.724900642104</v>
          </cell>
          <cell r="V54">
            <v>42848.611946605335</v>
          </cell>
          <cell r="W54">
            <v>47742.220255751803</v>
          </cell>
          <cell r="X54">
            <v>48326.713742926106</v>
          </cell>
          <cell r="Y54">
            <v>47567.463691969169</v>
          </cell>
          <cell r="Z54">
            <v>45772.570464078221</v>
          </cell>
          <cell r="AA54">
            <v>42361.03576335789</v>
          </cell>
          <cell r="AB54">
            <v>38712.542094746597</v>
          </cell>
        </row>
        <row r="55">
          <cell r="D55">
            <v>20</v>
          </cell>
          <cell r="E55">
            <v>36173.33051732646</v>
          </cell>
          <cell r="F55">
            <v>34403.71297412987</v>
          </cell>
          <cell r="G55">
            <v>33125.562734808635</v>
          </cell>
          <cell r="H55">
            <v>32288.725655700055</v>
          </cell>
          <cell r="I55">
            <v>32296.195598962506</v>
          </cell>
          <cell r="J55">
            <v>32564.856984063881</v>
          </cell>
          <cell r="K55">
            <v>32790.174298000631</v>
          </cell>
          <cell r="L55">
            <v>36902.167293955368</v>
          </cell>
          <cell r="M55">
            <v>41290.947126911851</v>
          </cell>
          <cell r="N55">
            <v>44085.138947253756</v>
          </cell>
          <cell r="O55">
            <v>46194.885765592633</v>
          </cell>
          <cell r="P55">
            <v>47301.489830578466</v>
          </cell>
          <cell r="Q55">
            <v>46352.10195799185</v>
          </cell>
          <cell r="R55">
            <v>45544.262312719853</v>
          </cell>
          <cell r="S55">
            <v>45431.201150447487</v>
          </cell>
          <cell r="T55">
            <v>45323.041828630972</v>
          </cell>
          <cell r="U55">
            <v>44859.049973019057</v>
          </cell>
          <cell r="V55">
            <v>46354.688698975071</v>
          </cell>
          <cell r="W55">
            <v>50447.736583212463</v>
          </cell>
          <cell r="X55">
            <v>49385.403342982812</v>
          </cell>
          <cell r="Y55">
            <v>47381.840992850703</v>
          </cell>
          <cell r="Z55">
            <v>45115.165485901191</v>
          </cell>
          <cell r="AA55">
            <v>42308.4083620495</v>
          </cell>
          <cell r="AB55">
            <v>39264.266696280181</v>
          </cell>
        </row>
        <row r="56">
          <cell r="D56">
            <v>4</v>
          </cell>
          <cell r="E56">
            <v>39421.912116804968</v>
          </cell>
          <cell r="F56">
            <v>37426.480373813596</v>
          </cell>
          <cell r="G56">
            <v>35952.004523504635</v>
          </cell>
          <cell r="H56">
            <v>34937.791806146401</v>
          </cell>
          <cell r="I56">
            <v>34723.001416244748</v>
          </cell>
          <cell r="J56">
            <v>34964.264361883907</v>
          </cell>
          <cell r="K56">
            <v>34776.588284786048</v>
          </cell>
          <cell r="L56">
            <v>38738.633593465682</v>
          </cell>
          <cell r="M56">
            <v>42858.28644508533</v>
          </cell>
          <cell r="N56">
            <v>45245.57038617487</v>
          </cell>
          <cell r="O56">
            <v>47352.468301010231</v>
          </cell>
          <cell r="P56">
            <v>48995.595779725409</v>
          </cell>
          <cell r="Q56">
            <v>47939.095406124507</v>
          </cell>
          <cell r="R56">
            <v>48438.524550178059</v>
          </cell>
          <cell r="S56">
            <v>49822.595547334458</v>
          </cell>
          <cell r="T56">
            <v>49900.742850754577</v>
          </cell>
          <cell r="U56">
            <v>49109.879808501355</v>
          </cell>
          <cell r="V56">
            <v>49237.484671321501</v>
          </cell>
          <cell r="W56">
            <v>53377.519168605017</v>
          </cell>
          <cell r="X56">
            <v>52521.935371383435</v>
          </cell>
          <cell r="Y56">
            <v>50827.844440231936</v>
          </cell>
          <cell r="Z56">
            <v>48582.843085967143</v>
          </cell>
          <cell r="AA56">
            <v>45572.64677184938</v>
          </cell>
          <cell r="AB56">
            <v>42191.391249983695</v>
          </cell>
        </row>
        <row r="57">
          <cell r="D57">
            <v>4</v>
          </cell>
          <cell r="E57">
            <v>36351.027289952493</v>
          </cell>
          <cell r="F57">
            <v>34419.635528776234</v>
          </cell>
          <cell r="G57">
            <v>32953.48834661617</v>
          </cell>
          <cell r="H57">
            <v>31827.368127905327</v>
          </cell>
          <cell r="I57">
            <v>31445.813720678278</v>
          </cell>
          <cell r="J57">
            <v>30966.264539370721</v>
          </cell>
          <cell r="K57">
            <v>30097.120362122958</v>
          </cell>
          <cell r="L57">
            <v>32079.564865010027</v>
          </cell>
          <cell r="M57">
            <v>34459.821023836099</v>
          </cell>
          <cell r="N57">
            <v>36318.016303227501</v>
          </cell>
          <cell r="O57">
            <v>37840.090705124705</v>
          </cell>
          <cell r="P57">
            <v>39189.246449083432</v>
          </cell>
          <cell r="Q57">
            <v>39610.250341671606</v>
          </cell>
          <cell r="R57">
            <v>39811.030297785626</v>
          </cell>
          <cell r="S57">
            <v>39238.911241470123</v>
          </cell>
          <cell r="T57">
            <v>39279.020597595634</v>
          </cell>
          <cell r="U57">
            <v>39374.338612265339</v>
          </cell>
          <cell r="V57">
            <v>41853.15900095176</v>
          </cell>
          <cell r="W57">
            <v>46701.202541008315</v>
          </cell>
          <cell r="X57">
            <v>46874.32027053558</v>
          </cell>
          <cell r="Y57">
            <v>45416.414334905203</v>
          </cell>
          <cell r="Z57">
            <v>42692.012572149812</v>
          </cell>
          <cell r="AA57">
            <v>39244.991252623688</v>
          </cell>
          <cell r="AB57">
            <v>35998.667405366024</v>
          </cell>
        </row>
        <row r="58">
          <cell r="D58">
            <v>2</v>
          </cell>
          <cell r="E58">
            <v>36351.027289952493</v>
          </cell>
          <cell r="F58">
            <v>34419.635528776234</v>
          </cell>
          <cell r="G58">
            <v>32953.48834661617</v>
          </cell>
          <cell r="H58">
            <v>31827.368127905327</v>
          </cell>
          <cell r="I58">
            <v>31445.813720678278</v>
          </cell>
          <cell r="J58">
            <v>30966.264539370721</v>
          </cell>
          <cell r="K58">
            <v>30097.120362122958</v>
          </cell>
          <cell r="L58">
            <v>32079.564865010027</v>
          </cell>
          <cell r="M58">
            <v>34459.821023836099</v>
          </cell>
          <cell r="N58">
            <v>36318.016303227501</v>
          </cell>
          <cell r="O58">
            <v>37840.090705124705</v>
          </cell>
          <cell r="P58">
            <v>39189.246449083432</v>
          </cell>
          <cell r="Q58">
            <v>39610.250341671606</v>
          </cell>
          <cell r="R58">
            <v>39811.030297785626</v>
          </cell>
          <cell r="S58">
            <v>39238.911241470123</v>
          </cell>
          <cell r="T58">
            <v>39279.020597595634</v>
          </cell>
          <cell r="U58">
            <v>39374.338612265339</v>
          </cell>
          <cell r="V58">
            <v>41853.15900095176</v>
          </cell>
          <cell r="W58">
            <v>46701.202541008315</v>
          </cell>
          <cell r="X58">
            <v>46874.32027053558</v>
          </cell>
          <cell r="Y58">
            <v>45416.414334905203</v>
          </cell>
          <cell r="Z58">
            <v>42692.012572149812</v>
          </cell>
          <cell r="AA58">
            <v>39244.991252623688</v>
          </cell>
          <cell r="AB58">
            <v>35998.667405366024</v>
          </cell>
        </row>
        <row r="59">
          <cell r="D59">
            <v>21</v>
          </cell>
          <cell r="E59">
            <v>38026.704853522133</v>
          </cell>
          <cell r="F59">
            <v>36019.886198245447</v>
          </cell>
          <cell r="G59">
            <v>34502.971982207433</v>
          </cell>
          <cell r="H59">
            <v>33448.593039816267</v>
          </cell>
          <cell r="I59">
            <v>33216.913075736811</v>
          </cell>
          <cell r="J59">
            <v>33385.646300007254</v>
          </cell>
          <cell r="K59">
            <v>32998.665464959653</v>
          </cell>
          <cell r="L59">
            <v>36538.440585175274</v>
          </cell>
          <cell r="M59">
            <v>40401.714001750071</v>
          </cell>
          <cell r="N59">
            <v>42846.001680772752</v>
          </cell>
          <cell r="O59">
            <v>44645.025900873006</v>
          </cell>
          <cell r="P59">
            <v>45724.560581772792</v>
          </cell>
          <cell r="Q59">
            <v>44735.240989994214</v>
          </cell>
          <cell r="R59">
            <v>44025.624649594785</v>
          </cell>
          <cell r="S59">
            <v>44132.641319221191</v>
          </cell>
          <cell r="T59">
            <v>44101.875362424908</v>
          </cell>
          <cell r="U59">
            <v>43555.152076269304</v>
          </cell>
          <cell r="V59">
            <v>44723.266130472395</v>
          </cell>
          <cell r="W59">
            <v>49252.593059739906</v>
          </cell>
          <cell r="X59">
            <v>48179.361850646172</v>
          </cell>
          <cell r="Y59">
            <v>46107.480068866287</v>
          </cell>
          <cell r="Z59">
            <v>43838.156588820159</v>
          </cell>
          <cell r="AA59">
            <v>41636.916192597499</v>
          </cell>
          <cell r="AB59">
            <v>39170.233328700684</v>
          </cell>
        </row>
        <row r="60">
          <cell r="D60">
            <v>5</v>
          </cell>
          <cell r="E60">
            <v>37322.891537051553</v>
          </cell>
          <cell r="F60">
            <v>35438.584265211954</v>
          </cell>
          <cell r="G60">
            <v>34023.466550014025</v>
          </cell>
          <cell r="H60">
            <v>33040.78794101665</v>
          </cell>
          <cell r="I60">
            <v>32932.980077871754</v>
          </cell>
          <cell r="J60">
            <v>33464.046132170297</v>
          </cell>
          <cell r="K60">
            <v>33606.30283202546</v>
          </cell>
          <cell r="L60">
            <v>37293.162992792306</v>
          </cell>
          <cell r="M60">
            <v>41115.696214650678</v>
          </cell>
          <cell r="N60">
            <v>43324.90637083137</v>
          </cell>
          <cell r="O60">
            <v>45483.870181013059</v>
          </cell>
          <cell r="P60">
            <v>47000.995178407618</v>
          </cell>
          <cell r="Q60">
            <v>45817.882052779671</v>
          </cell>
          <cell r="R60">
            <v>46727.382300360405</v>
          </cell>
          <cell r="S60">
            <v>48266.688612470251</v>
          </cell>
          <cell r="T60">
            <v>48374.504997160635</v>
          </cell>
          <cell r="U60">
            <v>47542.652403697524</v>
          </cell>
          <cell r="V60">
            <v>46687.090130541394</v>
          </cell>
          <cell r="W60">
            <v>49926.531191215399</v>
          </cell>
          <cell r="X60">
            <v>50226.82614656075</v>
          </cell>
          <cell r="Y60">
            <v>48962.408295010355</v>
          </cell>
          <cell r="Z60">
            <v>46839.916336441747</v>
          </cell>
          <cell r="AA60">
            <v>43587.85153666394</v>
          </cell>
          <cell r="AB60">
            <v>40109.962516834705</v>
          </cell>
        </row>
        <row r="61">
          <cell r="D61">
            <v>3</v>
          </cell>
          <cell r="E61">
            <v>37099.377456403061</v>
          </cell>
          <cell r="F61">
            <v>35948.806190034476</v>
          </cell>
          <cell r="G61">
            <v>34860.636802457986</v>
          </cell>
          <cell r="H61">
            <v>33817.536445357749</v>
          </cell>
          <cell r="I61">
            <v>33216.267398440272</v>
          </cell>
          <cell r="J61">
            <v>32346.599739079884</v>
          </cell>
          <cell r="K61">
            <v>30337.44984893256</v>
          </cell>
          <cell r="L61">
            <v>31345.325677588855</v>
          </cell>
          <cell r="M61">
            <v>32983.956483037713</v>
          </cell>
          <cell r="N61">
            <v>34522.418951683117</v>
          </cell>
          <cell r="O61">
            <v>35956.657776995962</v>
          </cell>
          <cell r="P61">
            <v>37175.696512853465</v>
          </cell>
          <cell r="Q61">
            <v>37841.999989505421</v>
          </cell>
          <cell r="R61">
            <v>37871.454957077389</v>
          </cell>
          <cell r="S61">
            <v>37700.092957755201</v>
          </cell>
          <cell r="T61">
            <v>37908.517589076611</v>
          </cell>
          <cell r="U61">
            <v>37890.831317398428</v>
          </cell>
          <cell r="V61">
            <v>39115.598834509161</v>
          </cell>
          <cell r="W61">
            <v>44563.939404921999</v>
          </cell>
          <cell r="X61">
            <v>44976.025003954805</v>
          </cell>
          <cell r="Y61">
            <v>44406.293705876968</v>
          </cell>
          <cell r="Z61">
            <v>43056.113757613573</v>
          </cell>
          <cell r="AA61">
            <v>40830.822070889546</v>
          </cell>
          <cell r="AB61">
            <v>38248.997953512786</v>
          </cell>
        </row>
        <row r="62">
          <cell r="D62">
            <v>2</v>
          </cell>
          <cell r="E62">
            <v>37099.377456403061</v>
          </cell>
          <cell r="F62">
            <v>35948.806190034476</v>
          </cell>
          <cell r="G62">
            <v>34860.636802457986</v>
          </cell>
          <cell r="H62">
            <v>33817.536445357749</v>
          </cell>
          <cell r="I62">
            <v>33216.267398440272</v>
          </cell>
          <cell r="J62">
            <v>32346.599739079884</v>
          </cell>
          <cell r="K62">
            <v>30337.44984893256</v>
          </cell>
          <cell r="L62">
            <v>31345.325677588855</v>
          </cell>
          <cell r="M62">
            <v>32983.956483037713</v>
          </cell>
          <cell r="N62">
            <v>34522.418951683117</v>
          </cell>
          <cell r="O62">
            <v>35956.657776995962</v>
          </cell>
          <cell r="P62">
            <v>37175.696512853465</v>
          </cell>
          <cell r="Q62">
            <v>37841.999989505421</v>
          </cell>
          <cell r="R62">
            <v>37871.454957077389</v>
          </cell>
          <cell r="S62">
            <v>37700.092957755201</v>
          </cell>
          <cell r="T62">
            <v>37908.517589076611</v>
          </cell>
          <cell r="U62">
            <v>37890.831317398428</v>
          </cell>
          <cell r="V62">
            <v>39115.598834509161</v>
          </cell>
          <cell r="W62">
            <v>44563.939404921999</v>
          </cell>
          <cell r="X62">
            <v>44976.025003954805</v>
          </cell>
          <cell r="Y62">
            <v>44406.293705876968</v>
          </cell>
          <cell r="Z62">
            <v>43056.113757613573</v>
          </cell>
          <cell r="AA62">
            <v>40830.822070889546</v>
          </cell>
          <cell r="AB62">
            <v>38248.997953512786</v>
          </cell>
        </row>
      </sheetData>
      <sheetData sheetId="32">
        <row r="15">
          <cell r="D15">
            <v>21</v>
          </cell>
          <cell r="E15">
            <v>39727.971436143649</v>
          </cell>
          <cell r="F15">
            <v>37574.814569603535</v>
          </cell>
          <cell r="G15">
            <v>36018.462694172194</v>
          </cell>
          <cell r="H15">
            <v>34930.326426856147</v>
          </cell>
          <cell r="I15">
            <v>34672.400935163489</v>
          </cell>
          <cell r="J15">
            <v>35518.802645122138</v>
          </cell>
          <cell r="K15">
            <v>35254.334561458505</v>
          </cell>
          <cell r="L15">
            <v>39423.136564801287</v>
          </cell>
          <cell r="M15">
            <v>43908.95151620877</v>
          </cell>
          <cell r="N15">
            <v>46506.659307488531</v>
          </cell>
          <cell r="O15">
            <v>49186.493721102619</v>
          </cell>
          <cell r="P15">
            <v>51092.283643980874</v>
          </cell>
          <cell r="Q15">
            <v>49672.61156529135</v>
          </cell>
          <cell r="R15">
            <v>51066.150014824714</v>
          </cell>
          <cell r="S15">
            <v>53390.225623065264</v>
          </cell>
          <cell r="T15">
            <v>53610.658357907101</v>
          </cell>
          <cell r="U15">
            <v>52500.933956826382</v>
          </cell>
          <cell r="V15">
            <v>50391.162281664474</v>
          </cell>
          <cell r="W15">
            <v>53382.485776453235</v>
          </cell>
          <cell r="X15">
            <v>53546.178128458385</v>
          </cell>
          <cell r="Y15">
            <v>52280.677095733023</v>
          </cell>
          <cell r="Z15">
            <v>50261.009805976719</v>
          </cell>
          <cell r="AA15">
            <v>46930.866788851323</v>
          </cell>
          <cell r="AB15">
            <v>43191.75194400661</v>
          </cell>
        </row>
        <row r="16">
          <cell r="D16">
            <v>4</v>
          </cell>
          <cell r="E16">
            <v>40027.342583663703</v>
          </cell>
          <cell r="F16">
            <v>37902.050455946381</v>
          </cell>
          <cell r="G16">
            <v>36327.482091840888</v>
          </cell>
          <cell r="H16">
            <v>35085.180717250565</v>
          </cell>
          <cell r="I16">
            <v>34759.468104870502</v>
          </cell>
          <cell r="J16">
            <v>34911.910143685607</v>
          </cell>
          <cell r="K16">
            <v>34009.742328012515</v>
          </cell>
          <cell r="L16">
            <v>37246.895475716716</v>
          </cell>
          <cell r="M16">
            <v>41522.325402321781</v>
          </cell>
          <cell r="N16">
            <v>44351.750822514128</v>
          </cell>
          <cell r="O16">
            <v>46681.365771436118</v>
          </cell>
          <cell r="P16">
            <v>48141.601831818552</v>
          </cell>
          <cell r="Q16">
            <v>47459.247522683443</v>
          </cell>
          <cell r="R16">
            <v>46980.810912819332</v>
          </cell>
          <cell r="S16">
            <v>47248.428420223267</v>
          </cell>
          <cell r="T16">
            <v>47233.378101657225</v>
          </cell>
          <cell r="U16">
            <v>46536.361554431722</v>
          </cell>
          <cell r="V16">
            <v>46180.460386488478</v>
          </cell>
          <cell r="W16">
            <v>50926.848821337109</v>
          </cell>
          <cell r="X16">
            <v>51436.745511915637</v>
          </cell>
          <cell r="Y16">
            <v>50015.050258051793</v>
          </cell>
          <cell r="Z16">
            <v>48244.536111272355</v>
          </cell>
          <cell r="AA16">
            <v>45839.886848109832</v>
          </cell>
          <cell r="AB16">
            <v>43031.878667580495</v>
          </cell>
        </row>
        <row r="17">
          <cell r="D17">
            <v>4</v>
          </cell>
          <cell r="E17">
            <v>40473.390353351715</v>
          </cell>
          <cell r="F17">
            <v>38423.901729320642</v>
          </cell>
          <cell r="G17">
            <v>36761.805725722203</v>
          </cell>
          <cell r="H17">
            <v>35433.382244619097</v>
          </cell>
          <cell r="I17">
            <v>34758.101302476731</v>
          </cell>
          <cell r="J17">
            <v>34425.06938388032</v>
          </cell>
          <cell r="K17">
            <v>32649.863801171214</v>
          </cell>
          <cell r="L17">
            <v>34109.022763946086</v>
          </cell>
          <cell r="M17">
            <v>36546.314939931428</v>
          </cell>
          <cell r="N17">
            <v>39029.996288461814</v>
          </cell>
          <cell r="O17">
            <v>40557.48181521998</v>
          </cell>
          <cell r="P17">
            <v>41917.661278717547</v>
          </cell>
          <cell r="Q17">
            <v>42727.500411408553</v>
          </cell>
          <cell r="R17">
            <v>42910.070586072055</v>
          </cell>
          <cell r="S17">
            <v>43029.052496691482</v>
          </cell>
          <cell r="T17">
            <v>43100.574334052108</v>
          </cell>
          <cell r="U17">
            <v>42848.227909556641</v>
          </cell>
          <cell r="V17">
            <v>42891.972170356988</v>
          </cell>
          <cell r="W17">
            <v>48086.782559839448</v>
          </cell>
          <cell r="X17">
            <v>49657.181963625721</v>
          </cell>
          <cell r="Y17">
            <v>49476.925166887384</v>
          </cell>
          <cell r="Z17">
            <v>48109.821061848808</v>
          </cell>
          <cell r="AA17">
            <v>45523.535418460699</v>
          </cell>
          <cell r="AB17">
            <v>42359.449071208292</v>
          </cell>
        </row>
        <row r="18">
          <cell r="D18">
            <v>2</v>
          </cell>
          <cell r="E18">
            <v>40473.390353351715</v>
          </cell>
          <cell r="F18">
            <v>38423.901729320642</v>
          </cell>
          <cell r="G18">
            <v>36761.805725722203</v>
          </cell>
          <cell r="H18">
            <v>35433.382244619097</v>
          </cell>
          <cell r="I18">
            <v>34758.101302476731</v>
          </cell>
          <cell r="J18">
            <v>34425.06938388032</v>
          </cell>
          <cell r="K18">
            <v>32649.863801171214</v>
          </cell>
          <cell r="L18">
            <v>34109.022763946086</v>
          </cell>
          <cell r="M18">
            <v>36546.314939931428</v>
          </cell>
          <cell r="N18">
            <v>39029.996288461814</v>
          </cell>
          <cell r="O18">
            <v>40557.48181521998</v>
          </cell>
          <cell r="P18">
            <v>41917.661278717547</v>
          </cell>
          <cell r="Q18">
            <v>42727.500411408553</v>
          </cell>
          <cell r="R18">
            <v>42910.070586072055</v>
          </cell>
          <cell r="S18">
            <v>43029.052496691482</v>
          </cell>
          <cell r="T18">
            <v>43100.574334052108</v>
          </cell>
          <cell r="U18">
            <v>42848.227909556641</v>
          </cell>
          <cell r="V18">
            <v>42891.972170356988</v>
          </cell>
          <cell r="W18">
            <v>48086.782559839448</v>
          </cell>
          <cell r="X18">
            <v>49657.181963625721</v>
          </cell>
          <cell r="Y18">
            <v>49476.925166887384</v>
          </cell>
          <cell r="Z18">
            <v>48109.821061848808</v>
          </cell>
          <cell r="AA18">
            <v>45523.535418460699</v>
          </cell>
          <cell r="AB18">
            <v>42359.449071208292</v>
          </cell>
        </row>
        <row r="19">
          <cell r="D19">
            <v>21</v>
          </cell>
          <cell r="E19">
            <v>39902.583026288601</v>
          </cell>
          <cell r="F19">
            <v>37796.961438433224</v>
          </cell>
          <cell r="G19">
            <v>36292.939384869314</v>
          </cell>
          <cell r="H19">
            <v>35308.404318108936</v>
          </cell>
          <cell r="I19">
            <v>35380.691795577477</v>
          </cell>
          <cell r="J19">
            <v>37345.840320827148</v>
          </cell>
          <cell r="K19">
            <v>37246.063001232636</v>
          </cell>
          <cell r="L19">
            <v>41091.191947398213</v>
          </cell>
          <cell r="M19">
            <v>44968.426860075248</v>
          </cell>
          <cell r="N19">
            <v>46872.388874566182</v>
          </cell>
          <cell r="O19">
            <v>49147.04856603458</v>
          </cell>
          <cell r="P19">
            <v>50673.143864147227</v>
          </cell>
          <cell r="Q19">
            <v>48766.009867143941</v>
          </cell>
          <cell r="R19">
            <v>50505.220740054297</v>
          </cell>
          <cell r="S19">
            <v>53061.39343083655</v>
          </cell>
          <cell r="T19">
            <v>53389.915330623931</v>
          </cell>
          <cell r="U19">
            <v>52454.862069421084</v>
          </cell>
          <cell r="V19">
            <v>50220.965867690851</v>
          </cell>
          <cell r="W19">
            <v>52890.323598396571</v>
          </cell>
          <cell r="X19">
            <v>53746.355985589864</v>
          </cell>
          <cell r="Y19">
            <v>52682.153758991277</v>
          </cell>
          <cell r="Z19">
            <v>50387.970746964107</v>
          </cell>
          <cell r="AA19">
            <v>46648.733972866554</v>
          </cell>
          <cell r="AB19">
            <v>42888.547532938581</v>
          </cell>
        </row>
        <row r="20">
          <cell r="D20">
            <v>4</v>
          </cell>
          <cell r="E20">
            <v>40029.832410101451</v>
          </cell>
          <cell r="F20">
            <v>38080.714323253029</v>
          </cell>
          <cell r="G20">
            <v>36386.658961882888</v>
          </cell>
          <cell r="H20">
            <v>35237.543914974507</v>
          </cell>
          <cell r="I20">
            <v>34798.801810568213</v>
          </cell>
          <cell r="J20">
            <v>35147.01482744333</v>
          </cell>
          <cell r="K20">
            <v>34792.678471059909</v>
          </cell>
          <cell r="L20">
            <v>38250.351790982648</v>
          </cell>
          <cell r="M20">
            <v>42407.654532935383</v>
          </cell>
          <cell r="N20">
            <v>45018.791672433625</v>
          </cell>
          <cell r="O20">
            <v>47153.737685275621</v>
          </cell>
          <cell r="P20">
            <v>48567.800030394661</v>
          </cell>
          <cell r="Q20">
            <v>47720.626312890949</v>
          </cell>
          <cell r="R20">
            <v>47163.876644724318</v>
          </cell>
          <cell r="S20">
            <v>47411.516224494015</v>
          </cell>
          <cell r="T20">
            <v>47405.570327571819</v>
          </cell>
          <cell r="U20">
            <v>46685.865946416532</v>
          </cell>
          <cell r="V20">
            <v>46360.676890230105</v>
          </cell>
          <cell r="W20">
            <v>50781.299326495464</v>
          </cell>
          <cell r="X20">
            <v>51813.294807718106</v>
          </cell>
          <cell r="Y20">
            <v>50466.956644669503</v>
          </cell>
          <cell r="Z20">
            <v>48648.605892323714</v>
          </cell>
          <cell r="AA20">
            <v>46177.24129857192</v>
          </cell>
          <cell r="AB20">
            <v>43270.493447242479</v>
          </cell>
        </row>
        <row r="21">
          <cell r="D21">
            <v>4</v>
          </cell>
          <cell r="E21">
            <v>40652.090190872907</v>
          </cell>
          <cell r="F21">
            <v>38570.66706463314</v>
          </cell>
          <cell r="G21">
            <v>36960.519277299718</v>
          </cell>
          <cell r="H21">
            <v>35779.344045263475</v>
          </cell>
          <cell r="I21">
            <v>35031.255524060231</v>
          </cell>
          <cell r="J21">
            <v>34874.123047784466</v>
          </cell>
          <cell r="K21">
            <v>33337.250804490104</v>
          </cell>
          <cell r="L21">
            <v>34826.781993932396</v>
          </cell>
          <cell r="M21">
            <v>37265.775485458595</v>
          </cell>
          <cell r="N21">
            <v>39480.577335764341</v>
          </cell>
          <cell r="O21">
            <v>41095.819138577943</v>
          </cell>
          <cell r="P21">
            <v>42738.617932039349</v>
          </cell>
          <cell r="Q21">
            <v>43680.811761819379</v>
          </cell>
          <cell r="R21">
            <v>43969.528515123522</v>
          </cell>
          <cell r="S21">
            <v>44230.844914045018</v>
          </cell>
          <cell r="T21">
            <v>44432.90530351652</v>
          </cell>
          <cell r="U21">
            <v>44141.441723276883</v>
          </cell>
          <cell r="V21">
            <v>44038.028812222015</v>
          </cell>
          <cell r="W21">
            <v>48964.755583494254</v>
          </cell>
          <cell r="X21">
            <v>51170.332774756149</v>
          </cell>
          <cell r="Y21">
            <v>51208.197530852674</v>
          </cell>
          <cell r="Z21">
            <v>49938.047796773993</v>
          </cell>
          <cell r="AA21">
            <v>46950.130954329368</v>
          </cell>
          <cell r="AB21">
            <v>43379.167609489166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41714.548057928623</v>
          </cell>
          <cell r="F23">
            <v>39510.033317758003</v>
          </cell>
          <cell r="G23">
            <v>37848.714703650483</v>
          </cell>
          <cell r="H23">
            <v>36622.624031137246</v>
          </cell>
          <cell r="I23">
            <v>36438.330393943041</v>
          </cell>
          <cell r="J23">
            <v>37772.563071051016</v>
          </cell>
          <cell r="K23">
            <v>37513.159448915991</v>
          </cell>
          <cell r="L23">
            <v>41813.204474189137</v>
          </cell>
          <cell r="M23">
            <v>46150.075856297597</v>
          </cell>
          <cell r="N23">
            <v>48419.831536371363</v>
          </cell>
          <cell r="O23">
            <v>50994.405590121401</v>
          </cell>
          <cell r="P23">
            <v>52670.560957170834</v>
          </cell>
          <cell r="Q23">
            <v>50774.92135550893</v>
          </cell>
          <cell r="R23">
            <v>52798.388939752433</v>
          </cell>
          <cell r="S23">
            <v>55250.977675698967</v>
          </cell>
          <cell r="T23">
            <v>55514.512496382413</v>
          </cell>
          <cell r="U23">
            <v>54549.735769926672</v>
          </cell>
          <cell r="V23">
            <v>52219.579717937719</v>
          </cell>
          <cell r="W23">
            <v>54562.083618966557</v>
          </cell>
          <cell r="X23">
            <v>55244.053727520666</v>
          </cell>
          <cell r="Y23">
            <v>54250.854864290457</v>
          </cell>
          <cell r="Z23">
            <v>52145.759295004995</v>
          </cell>
          <cell r="AA23">
            <v>48852.363398806105</v>
          </cell>
          <cell r="AB23">
            <v>45147.673947310861</v>
          </cell>
        </row>
        <row r="24">
          <cell r="D24">
            <v>5</v>
          </cell>
          <cell r="E24">
            <v>41835.72429736497</v>
          </cell>
          <cell r="F24">
            <v>39561.225042291517</v>
          </cell>
          <cell r="G24">
            <v>37959.067160453436</v>
          </cell>
          <cell r="H24">
            <v>36691.165278832763</v>
          </cell>
          <cell r="I24">
            <v>35934.285299152667</v>
          </cell>
          <cell r="J24">
            <v>35818.579759609791</v>
          </cell>
          <cell r="K24">
            <v>35293.934603455731</v>
          </cell>
          <cell r="L24">
            <v>38670.355207491273</v>
          </cell>
          <cell r="M24">
            <v>42740.401628922278</v>
          </cell>
          <cell r="N24">
            <v>45289.154618099921</v>
          </cell>
          <cell r="O24">
            <v>47319.446645289536</v>
          </cell>
          <cell r="P24">
            <v>48617.397783019253</v>
          </cell>
          <cell r="Q24">
            <v>47927.942019081209</v>
          </cell>
          <cell r="R24">
            <v>47428.605616443005</v>
          </cell>
          <cell r="S24">
            <v>47143.383187360239</v>
          </cell>
          <cell r="T24">
            <v>48307.692789206441</v>
          </cell>
          <cell r="U24">
            <v>46670.181421480542</v>
          </cell>
          <cell r="V24">
            <v>46291.274867189321</v>
          </cell>
          <cell r="W24">
            <v>51137.841279011824</v>
          </cell>
          <cell r="X24">
            <v>51900.655212985337</v>
          </cell>
          <cell r="Y24">
            <v>50640.285582085075</v>
          </cell>
          <cell r="Z24">
            <v>49018.335834570156</v>
          </cell>
          <cell r="AA24">
            <v>46867.09423006732</v>
          </cell>
          <cell r="AB24">
            <v>44132.920217222811</v>
          </cell>
        </row>
        <row r="25">
          <cell r="D25">
            <v>4</v>
          </cell>
          <cell r="E25">
            <v>41500.639969559401</v>
          </cell>
          <cell r="F25">
            <v>39376.084201729864</v>
          </cell>
          <cell r="G25">
            <v>37479.686700185106</v>
          </cell>
          <cell r="H25">
            <v>36149.215378568639</v>
          </cell>
          <cell r="I25">
            <v>35532.254319611049</v>
          </cell>
          <cell r="J25">
            <v>35130.33150235872</v>
          </cell>
          <cell r="K25">
            <v>33414.104875846693</v>
          </cell>
          <cell r="L25">
            <v>35021.000204846059</v>
          </cell>
          <cell r="M25">
            <v>37349.231063143954</v>
          </cell>
          <cell r="N25">
            <v>39478.064741176982</v>
          </cell>
          <cell r="O25">
            <v>41091.917288613142</v>
          </cell>
          <cell r="P25">
            <v>42617.667984922533</v>
          </cell>
          <cell r="Q25">
            <v>43384.087939624667</v>
          </cell>
          <cell r="R25">
            <v>43579.917597602835</v>
          </cell>
          <cell r="S25">
            <v>43804.037805088286</v>
          </cell>
          <cell r="T25">
            <v>44116.333194066108</v>
          </cell>
          <cell r="U25">
            <v>43571.179673454615</v>
          </cell>
          <cell r="V25">
            <v>43675.99809805063</v>
          </cell>
          <cell r="W25">
            <v>48378.701332110635</v>
          </cell>
          <cell r="X25">
            <v>50117.81314355525</v>
          </cell>
          <cell r="Y25">
            <v>50027.758260357885</v>
          </cell>
          <cell r="Z25">
            <v>49058.547457179331</v>
          </cell>
          <cell r="AA25">
            <v>46450.884518792773</v>
          </cell>
          <cell r="AB25">
            <v>43029.27896564408</v>
          </cell>
        </row>
        <row r="26">
          <cell r="D26">
            <v>3</v>
          </cell>
          <cell r="E26">
            <v>41500.639969559401</v>
          </cell>
          <cell r="F26">
            <v>39376.084201729864</v>
          </cell>
          <cell r="G26">
            <v>37479.686700185106</v>
          </cell>
          <cell r="H26">
            <v>36149.215378568639</v>
          </cell>
          <cell r="I26">
            <v>35532.254319611049</v>
          </cell>
          <cell r="J26">
            <v>35130.33150235872</v>
          </cell>
          <cell r="K26">
            <v>33414.104875846693</v>
          </cell>
          <cell r="L26">
            <v>35021.000204846059</v>
          </cell>
          <cell r="M26">
            <v>37349.231063143954</v>
          </cell>
          <cell r="N26">
            <v>39478.064741176982</v>
          </cell>
          <cell r="O26">
            <v>41091.917288613142</v>
          </cell>
          <cell r="P26">
            <v>42617.667984922533</v>
          </cell>
          <cell r="Q26">
            <v>43384.087939624667</v>
          </cell>
          <cell r="R26">
            <v>43579.917597602835</v>
          </cell>
          <cell r="S26">
            <v>43804.037805088286</v>
          </cell>
          <cell r="T26">
            <v>44116.333194066108</v>
          </cell>
          <cell r="U26">
            <v>43571.179673454615</v>
          </cell>
          <cell r="V26">
            <v>43675.99809805063</v>
          </cell>
          <cell r="W26">
            <v>48378.701332110635</v>
          </cell>
          <cell r="X26">
            <v>50117.81314355525</v>
          </cell>
          <cell r="Y26">
            <v>50027.758260357885</v>
          </cell>
          <cell r="Z26">
            <v>49058.547457179331</v>
          </cell>
          <cell r="AA26">
            <v>46450.884518792773</v>
          </cell>
          <cell r="AB26">
            <v>43029.27896564408</v>
          </cell>
        </row>
        <row r="27">
          <cell r="D27">
            <v>21</v>
          </cell>
          <cell r="E27">
            <v>40917.20905844462</v>
          </cell>
          <cell r="F27">
            <v>39153.093809941769</v>
          </cell>
          <cell r="G27">
            <v>37423.970804253353</v>
          </cell>
          <cell r="H27">
            <v>36457.515250628676</v>
          </cell>
          <cell r="I27">
            <v>36226.587630429844</v>
          </cell>
          <cell r="J27">
            <v>35850.519008724768</v>
          </cell>
          <cell r="K27">
            <v>35974.978709320385</v>
          </cell>
          <cell r="L27">
            <v>40018.782231260055</v>
          </cell>
          <cell r="M27">
            <v>44608.721978600719</v>
          </cell>
          <cell r="N27">
            <v>47320.836832888395</v>
          </cell>
          <cell r="O27">
            <v>49575.487778076873</v>
          </cell>
          <cell r="P27">
            <v>50996.017659388293</v>
          </cell>
          <cell r="Q27">
            <v>50048.290054573721</v>
          </cell>
          <cell r="R27">
            <v>49448.095441651567</v>
          </cell>
          <cell r="S27">
            <v>49791.145231711329</v>
          </cell>
          <cell r="T27">
            <v>49783.760285014592</v>
          </cell>
          <cell r="U27">
            <v>49000.817527588762</v>
          </cell>
          <cell r="V27">
            <v>48717.835822003515</v>
          </cell>
          <cell r="W27">
            <v>53660.153227485484</v>
          </cell>
          <cell r="X27">
            <v>54087.114514504872</v>
          </cell>
          <cell r="Y27">
            <v>52762.537990216588</v>
          </cell>
          <cell r="Z27">
            <v>50929.574401730511</v>
          </cell>
          <cell r="AA27">
            <v>48424.543353975168</v>
          </cell>
          <cell r="AB27">
            <v>45390.098925131439</v>
          </cell>
        </row>
        <row r="28">
          <cell r="D28">
            <v>4</v>
          </cell>
          <cell r="E28">
            <v>39504.997012874635</v>
          </cell>
          <cell r="F28">
            <v>37557.982335666806</v>
          </cell>
          <cell r="G28">
            <v>36079.014110968841</v>
          </cell>
          <cell r="H28">
            <v>34988.474038979417</v>
          </cell>
          <cell r="I28">
            <v>35021.149666431629</v>
          </cell>
          <cell r="J28">
            <v>35453.066190462574</v>
          </cell>
          <cell r="K28">
            <v>36249.637066155679</v>
          </cell>
          <cell r="L28">
            <v>40194.069398726395</v>
          </cell>
          <cell r="M28">
            <v>44247.325154972954</v>
          </cell>
          <cell r="N28">
            <v>46608.413931161769</v>
          </cell>
          <cell r="O28">
            <v>48725.899839349782</v>
          </cell>
          <cell r="P28">
            <v>50187.659453800276</v>
          </cell>
          <cell r="Q28">
            <v>48814.650269547063</v>
          </cell>
          <cell r="R28">
            <v>49777.956109395767</v>
          </cell>
          <cell r="S28">
            <v>51436.732168556322</v>
          </cell>
          <cell r="T28">
            <v>51547.286418084586</v>
          </cell>
          <cell r="U28">
            <v>50735.49006225542</v>
          </cell>
          <cell r="V28">
            <v>49627.368824878584</v>
          </cell>
          <cell r="W28">
            <v>53047.355851176384</v>
          </cell>
          <cell r="X28">
            <v>53505.962014231147</v>
          </cell>
          <cell r="Y28">
            <v>52112.326465032638</v>
          </cell>
          <cell r="Z28">
            <v>49826.869539940417</v>
          </cell>
          <cell r="AA28">
            <v>46238.337367370979</v>
          </cell>
          <cell r="AB28">
            <v>42275.522593740861</v>
          </cell>
        </row>
        <row r="29">
          <cell r="D29">
            <v>5</v>
          </cell>
          <cell r="E29">
            <v>42574.596822996529</v>
          </cell>
          <cell r="F29">
            <v>40418.745616665881</v>
          </cell>
          <cell r="G29">
            <v>38632.85865628317</v>
          </cell>
          <cell r="H29">
            <v>37414.617260563966</v>
          </cell>
          <cell r="I29">
            <v>36700.849805939572</v>
          </cell>
          <cell r="J29">
            <v>35612.454371917149</v>
          </cell>
          <cell r="K29">
            <v>34521.957951049269</v>
          </cell>
          <cell r="L29">
            <v>36455.833899498408</v>
          </cell>
          <cell r="M29">
            <v>39011.642874695659</v>
          </cell>
          <cell r="N29">
            <v>41316.230871170235</v>
          </cell>
          <cell r="O29">
            <v>43138.219340861098</v>
          </cell>
          <cell r="P29">
            <v>44624.932113119823</v>
          </cell>
          <cell r="Q29">
            <v>45309.38123307471</v>
          </cell>
          <cell r="R29">
            <v>45435.876126770745</v>
          </cell>
          <cell r="S29">
            <v>45186.612913143654</v>
          </cell>
          <cell r="T29">
            <v>44985.666379240989</v>
          </cell>
          <cell r="U29">
            <v>44526.624623805496</v>
          </cell>
          <cell r="V29">
            <v>44951.99201723373</v>
          </cell>
          <cell r="W29">
            <v>50225.296491280613</v>
          </cell>
          <cell r="X29">
            <v>51735.312284716325</v>
          </cell>
          <cell r="Y29">
            <v>51385.858436414506</v>
          </cell>
          <cell r="Z29">
            <v>49808.658002145494</v>
          </cell>
          <cell r="AA29">
            <v>46771.015355403775</v>
          </cell>
          <cell r="AB29">
            <v>43145.674093116562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21</v>
          </cell>
          <cell r="E31">
            <v>41512.832531865257</v>
          </cell>
          <cell r="F31">
            <v>39352.732914252294</v>
          </cell>
          <cell r="G31">
            <v>37609.67523163485</v>
          </cell>
          <cell r="H31">
            <v>36118.967318072158</v>
          </cell>
          <cell r="I31">
            <v>35717.142301900065</v>
          </cell>
          <cell r="J31">
            <v>35151.439783785121</v>
          </cell>
          <cell r="K31">
            <v>35670.969771571341</v>
          </cell>
          <cell r="L31">
            <v>39507.737424874176</v>
          </cell>
          <cell r="M31">
            <v>43979.406638955756</v>
          </cell>
          <cell r="N31">
            <v>46446.462009511983</v>
          </cell>
          <cell r="O31">
            <v>48012.364098759492</v>
          </cell>
          <cell r="P31">
            <v>49163.062614633825</v>
          </cell>
          <cell r="Q31">
            <v>48318.457790545326</v>
          </cell>
          <cell r="R31">
            <v>47449.344989059369</v>
          </cell>
          <cell r="S31">
            <v>47417.40092397132</v>
          </cell>
          <cell r="T31">
            <v>47150.164800897866</v>
          </cell>
          <cell r="U31">
            <v>46509.550464535496</v>
          </cell>
          <cell r="V31">
            <v>46794.773201983728</v>
          </cell>
          <cell r="W31">
            <v>51873.588686364914</v>
          </cell>
          <cell r="X31">
            <v>52356.376558147422</v>
          </cell>
          <cell r="Y31">
            <v>50670.47417843336</v>
          </cell>
          <cell r="Z31">
            <v>48579.262078564061</v>
          </cell>
          <cell r="AA31">
            <v>45829.208396224756</v>
          </cell>
          <cell r="AB31">
            <v>42748.864974726232</v>
          </cell>
        </row>
        <row r="32">
          <cell r="D32">
            <v>4</v>
          </cell>
          <cell r="E32">
            <v>38270.444406618975</v>
          </cell>
          <cell r="F32">
            <v>36377.31602812482</v>
          </cell>
          <cell r="G32">
            <v>34991.719296303265</v>
          </cell>
          <cell r="H32">
            <v>34037.33036265766</v>
          </cell>
          <cell r="I32">
            <v>33914.867337388969</v>
          </cell>
          <cell r="J32">
            <v>33872.233011768745</v>
          </cell>
          <cell r="K32">
            <v>34388.149229460556</v>
          </cell>
          <cell r="L32">
            <v>38418.172251449119</v>
          </cell>
          <cell r="M32">
            <v>42358.728773260314</v>
          </cell>
          <cell r="N32">
            <v>44634.181761196036</v>
          </cell>
          <cell r="O32">
            <v>46857.06257600704</v>
          </cell>
          <cell r="P32">
            <v>48458.177297877046</v>
          </cell>
          <cell r="Q32">
            <v>47401.036777832538</v>
          </cell>
          <cell r="R32">
            <v>47906.337598197933</v>
          </cell>
          <cell r="S32">
            <v>49167.305943238272</v>
          </cell>
          <cell r="T32">
            <v>49105.72966015483</v>
          </cell>
          <cell r="U32">
            <v>48398.395679205656</v>
          </cell>
          <cell r="V32">
            <v>47458.259111932442</v>
          </cell>
          <cell r="W32">
            <v>50915.083680761898</v>
          </cell>
          <cell r="X32">
            <v>51874.479590921968</v>
          </cell>
          <cell r="Y32">
            <v>50461.683911348162</v>
          </cell>
          <cell r="Z32">
            <v>48141.945610239745</v>
          </cell>
          <cell r="AA32">
            <v>44654.815162590618</v>
          </cell>
          <cell r="AB32">
            <v>41018.089124950791</v>
          </cell>
        </row>
        <row r="33">
          <cell r="D33">
            <v>4</v>
          </cell>
          <cell r="E33">
            <v>38242.254736701972</v>
          </cell>
          <cell r="F33">
            <v>36744.694895311899</v>
          </cell>
          <cell r="G33">
            <v>35208.866506319835</v>
          </cell>
          <cell r="H33">
            <v>34392.251527884422</v>
          </cell>
          <cell r="I33">
            <v>34130.312948869068</v>
          </cell>
          <cell r="J33">
            <v>33283.269804241776</v>
          </cell>
          <cell r="K33">
            <v>33144.870098498461</v>
          </cell>
          <cell r="L33">
            <v>35713.204691726125</v>
          </cell>
          <cell r="M33">
            <v>38691.177945676805</v>
          </cell>
          <cell r="N33">
            <v>41006.705812619672</v>
          </cell>
          <cell r="O33">
            <v>42767.063053351099</v>
          </cell>
          <cell r="P33">
            <v>44954.214295921396</v>
          </cell>
          <cell r="Q33">
            <v>46179.477050873502</v>
          </cell>
          <cell r="R33">
            <v>46411.657505592826</v>
          </cell>
          <cell r="S33">
            <v>46465.132034212227</v>
          </cell>
          <cell r="T33">
            <v>46556.20020729064</v>
          </cell>
          <cell r="U33">
            <v>46081.204509550917</v>
          </cell>
          <cell r="V33">
            <v>46093.216651205003</v>
          </cell>
          <cell r="W33">
            <v>51517.495852552514</v>
          </cell>
          <cell r="X33">
            <v>53472.853919758018</v>
          </cell>
          <cell r="Y33">
            <v>53147.280805625065</v>
          </cell>
          <cell r="Z33">
            <v>51356.509172235295</v>
          </cell>
          <cell r="AA33">
            <v>48072.165540516391</v>
          </cell>
          <cell r="AB33">
            <v>44234.179334600049</v>
          </cell>
        </row>
        <row r="34">
          <cell r="D34">
            <v>2</v>
          </cell>
          <cell r="E34">
            <v>38242.254736701972</v>
          </cell>
          <cell r="F34">
            <v>36744.694895311899</v>
          </cell>
          <cell r="G34">
            <v>35208.866506319835</v>
          </cell>
          <cell r="H34">
            <v>34392.251527884422</v>
          </cell>
          <cell r="I34">
            <v>34130.312948869068</v>
          </cell>
          <cell r="J34">
            <v>33283.269804241776</v>
          </cell>
          <cell r="K34">
            <v>33144.870098498461</v>
          </cell>
          <cell r="L34">
            <v>35713.204691726125</v>
          </cell>
          <cell r="M34">
            <v>38691.177945676805</v>
          </cell>
          <cell r="N34">
            <v>41006.705812619672</v>
          </cell>
          <cell r="O34">
            <v>42767.063053351099</v>
          </cell>
          <cell r="P34">
            <v>44954.214295921396</v>
          </cell>
          <cell r="Q34">
            <v>46179.477050873502</v>
          </cell>
          <cell r="R34">
            <v>46411.657505592826</v>
          </cell>
          <cell r="S34">
            <v>46465.132034212227</v>
          </cell>
          <cell r="T34">
            <v>46556.20020729064</v>
          </cell>
          <cell r="U34">
            <v>46081.204509550917</v>
          </cell>
          <cell r="V34">
            <v>46093.216651205003</v>
          </cell>
          <cell r="W34">
            <v>51517.495852552514</v>
          </cell>
          <cell r="X34">
            <v>53472.853919758018</v>
          </cell>
          <cell r="Y34">
            <v>53147.280805625065</v>
          </cell>
          <cell r="Z34">
            <v>51356.509172235295</v>
          </cell>
          <cell r="AA34">
            <v>48072.165540516391</v>
          </cell>
          <cell r="AB34">
            <v>44234.179334600049</v>
          </cell>
        </row>
        <row r="35">
          <cell r="D35">
            <v>19</v>
          </cell>
          <cell r="E35">
            <v>37861.446012350505</v>
          </cell>
          <cell r="F35">
            <v>35981.812991270148</v>
          </cell>
          <cell r="G35">
            <v>34593.063312920181</v>
          </cell>
          <cell r="H35">
            <v>33666.338327987214</v>
          </cell>
          <cell r="I35">
            <v>33418.789655215995</v>
          </cell>
          <cell r="J35">
            <v>33063.731432295623</v>
          </cell>
          <cell r="K35">
            <v>33615.429746067937</v>
          </cell>
          <cell r="L35">
            <v>37664.556207568494</v>
          </cell>
          <cell r="M35">
            <v>42116.839068803791</v>
          </cell>
          <cell r="N35">
            <v>44854.405059682853</v>
          </cell>
          <cell r="O35">
            <v>47233.316690273379</v>
          </cell>
          <cell r="P35">
            <v>48542.549493258899</v>
          </cell>
          <cell r="Q35">
            <v>47825.913523835348</v>
          </cell>
          <cell r="R35">
            <v>47004.740819712824</v>
          </cell>
          <cell r="S35">
            <v>47044.39141179029</v>
          </cell>
          <cell r="T35">
            <v>46909.120926519048</v>
          </cell>
          <cell r="U35">
            <v>46433.87680132372</v>
          </cell>
          <cell r="V35">
            <v>46483.472619780332</v>
          </cell>
          <cell r="W35">
            <v>50487.959988045288</v>
          </cell>
          <cell r="X35">
            <v>51208.676758120266</v>
          </cell>
          <cell r="Y35">
            <v>49424.444729333562</v>
          </cell>
          <cell r="Z35">
            <v>47388.070960501645</v>
          </cell>
          <cell r="AA35">
            <v>44874.836987248345</v>
          </cell>
          <cell r="AB35">
            <v>42035.139603819254</v>
          </cell>
        </row>
        <row r="36">
          <cell r="D36">
            <v>5</v>
          </cell>
          <cell r="E36">
            <v>38990.088689233642</v>
          </cell>
          <cell r="F36">
            <v>37071.343455084658</v>
          </cell>
          <cell r="G36">
            <v>35613.333208893273</v>
          </cell>
          <cell r="H36">
            <v>34601.664610776148</v>
          </cell>
          <cell r="I36">
            <v>34482.612837150213</v>
          </cell>
          <cell r="J36">
            <v>34869.612534391606</v>
          </cell>
          <cell r="K36">
            <v>35106.273481018376</v>
          </cell>
          <cell r="L36">
            <v>39055.646671870636</v>
          </cell>
          <cell r="M36">
            <v>43227.930494743196</v>
          </cell>
          <cell r="N36">
            <v>45642.202106531797</v>
          </cell>
          <cell r="O36">
            <v>47920.35374183485</v>
          </cell>
          <cell r="P36">
            <v>49407.109770122108</v>
          </cell>
          <cell r="Q36">
            <v>48149.007649292791</v>
          </cell>
          <cell r="R36">
            <v>49307.21612210157</v>
          </cell>
          <cell r="S36">
            <v>50981.455873984771</v>
          </cell>
          <cell r="T36">
            <v>51048.414834807205</v>
          </cell>
          <cell r="U36">
            <v>50098.277921293149</v>
          </cell>
          <cell r="V36">
            <v>48451.645546720581</v>
          </cell>
          <cell r="W36">
            <v>51299.885966943984</v>
          </cell>
          <cell r="X36">
            <v>52800.936921858702</v>
          </cell>
          <cell r="Y36">
            <v>51596.840537671807</v>
          </cell>
          <cell r="Z36">
            <v>49410.013297670295</v>
          </cell>
          <cell r="AA36">
            <v>45844.97622676949</v>
          </cell>
          <cell r="AB36">
            <v>42114.319171761301</v>
          </cell>
        </row>
        <row r="37">
          <cell r="D37">
            <v>4</v>
          </cell>
          <cell r="E37">
            <v>37113.107768210772</v>
          </cell>
          <cell r="F37">
            <v>35613.084535524198</v>
          </cell>
          <cell r="G37">
            <v>34387.372696948813</v>
          </cell>
          <cell r="H37">
            <v>33593.22382249801</v>
          </cell>
          <cell r="I37">
            <v>33276.449023936482</v>
          </cell>
          <cell r="J37">
            <v>32344.624482550003</v>
          </cell>
          <cell r="K37">
            <v>31919.046789004879</v>
          </cell>
          <cell r="L37">
            <v>34519.297400720097</v>
          </cell>
          <cell r="M37">
            <v>37526.186926490329</v>
          </cell>
          <cell r="N37">
            <v>39399.818147084523</v>
          </cell>
          <cell r="O37">
            <v>41621.724872385625</v>
          </cell>
          <cell r="P37">
            <v>43266.020488650021</v>
          </cell>
          <cell r="Q37">
            <v>44104.646848413824</v>
          </cell>
          <cell r="R37">
            <v>43929.827036804083</v>
          </cell>
          <cell r="S37">
            <v>43564.415796311594</v>
          </cell>
          <cell r="T37">
            <v>43228.476737494057</v>
          </cell>
          <cell r="U37">
            <v>42897.886628091008</v>
          </cell>
          <cell r="V37">
            <v>43545.005192300676</v>
          </cell>
          <cell r="W37">
            <v>48801.757046230065</v>
          </cell>
          <cell r="X37">
            <v>50741.100262841726</v>
          </cell>
          <cell r="Y37">
            <v>50097.222683733351</v>
          </cell>
          <cell r="Z37">
            <v>48246.250274055259</v>
          </cell>
          <cell r="AA37">
            <v>44985.783955564591</v>
          </cell>
          <cell r="AB37">
            <v>41246.95256920642</v>
          </cell>
        </row>
        <row r="38">
          <cell r="D38">
            <v>2</v>
          </cell>
          <cell r="E38">
            <v>37113.107768210772</v>
          </cell>
          <cell r="F38">
            <v>35613.084535524198</v>
          </cell>
          <cell r="G38">
            <v>34387.372696948813</v>
          </cell>
          <cell r="H38">
            <v>33593.22382249801</v>
          </cell>
          <cell r="I38">
            <v>33276.449023936482</v>
          </cell>
          <cell r="J38">
            <v>32344.624482550003</v>
          </cell>
          <cell r="K38">
            <v>31919.046789004879</v>
          </cell>
          <cell r="L38">
            <v>34519.297400720097</v>
          </cell>
          <cell r="M38">
            <v>37526.186926490329</v>
          </cell>
          <cell r="N38">
            <v>39399.818147084523</v>
          </cell>
          <cell r="O38">
            <v>41621.724872385625</v>
          </cell>
          <cell r="P38">
            <v>43266.020488650021</v>
          </cell>
          <cell r="Q38">
            <v>44104.646848413824</v>
          </cell>
          <cell r="R38">
            <v>43929.827036804083</v>
          </cell>
          <cell r="S38">
            <v>43564.415796311594</v>
          </cell>
          <cell r="T38">
            <v>43228.476737494057</v>
          </cell>
          <cell r="U38">
            <v>42897.886628091008</v>
          </cell>
          <cell r="V38">
            <v>43545.005192300676</v>
          </cell>
          <cell r="W38">
            <v>48801.757046230065</v>
          </cell>
          <cell r="X38">
            <v>50741.100262841726</v>
          </cell>
          <cell r="Y38">
            <v>50097.222683733351</v>
          </cell>
          <cell r="Z38">
            <v>48246.250274055259</v>
          </cell>
          <cell r="AA38">
            <v>44985.783955564591</v>
          </cell>
          <cell r="AB38">
            <v>41246.95256920642</v>
          </cell>
        </row>
        <row r="39">
          <cell r="D39">
            <v>20</v>
          </cell>
          <cell r="E39">
            <v>38538.240367422026</v>
          </cell>
          <cell r="F39">
            <v>36683.578294331484</v>
          </cell>
          <cell r="G39">
            <v>35460.963300281408</v>
          </cell>
          <cell r="H39">
            <v>34555.879515341891</v>
          </cell>
          <cell r="I39">
            <v>34415.498786517121</v>
          </cell>
          <cell r="J39">
            <v>34255.086197125704</v>
          </cell>
          <cell r="K39">
            <v>34570.424584266977</v>
          </cell>
          <cell r="L39">
            <v>38603.181333371736</v>
          </cell>
          <cell r="M39">
            <v>43294.879691092945</v>
          </cell>
          <cell r="N39">
            <v>45952.948824632273</v>
          </cell>
          <cell r="O39">
            <v>48343.819675594561</v>
          </cell>
          <cell r="P39">
            <v>49431.666673443659</v>
          </cell>
          <cell r="Q39">
            <v>48786.818195094842</v>
          </cell>
          <cell r="R39">
            <v>48110.252650620605</v>
          </cell>
          <cell r="S39">
            <v>48189.104522496404</v>
          </cell>
          <cell r="T39">
            <v>48321.045533729113</v>
          </cell>
          <cell r="U39">
            <v>47645.408386053052</v>
          </cell>
          <cell r="V39">
            <v>47538.370253641988</v>
          </cell>
          <cell r="W39">
            <v>51564.853358596774</v>
          </cell>
          <cell r="X39">
            <v>52935.096817820406</v>
          </cell>
          <cell r="Y39">
            <v>51249.450329181447</v>
          </cell>
          <cell r="Z39">
            <v>48977.135637894004</v>
          </cell>
          <cell r="AA39">
            <v>46086.028320053854</v>
          </cell>
          <cell r="AB39">
            <v>43005.974978694452</v>
          </cell>
        </row>
        <row r="40">
          <cell r="D40">
            <v>4</v>
          </cell>
          <cell r="E40">
            <v>40990.992120465453</v>
          </cell>
          <cell r="F40">
            <v>38844.126745430818</v>
          </cell>
          <cell r="G40">
            <v>37270.602676629096</v>
          </cell>
          <cell r="H40">
            <v>36160.404839547933</v>
          </cell>
          <cell r="I40">
            <v>36083.855516126656</v>
          </cell>
          <cell r="J40">
            <v>36744.836861727381</v>
          </cell>
          <cell r="K40">
            <v>36960.345107514986</v>
          </cell>
          <cell r="L40">
            <v>40990.402412512005</v>
          </cell>
          <cell r="M40">
            <v>45328.251406772055</v>
          </cell>
          <cell r="N40">
            <v>47793.593860543653</v>
          </cell>
          <cell r="O40">
            <v>50285.193822682661</v>
          </cell>
          <cell r="P40">
            <v>52083.217363475887</v>
          </cell>
          <cell r="Q40">
            <v>50722.626563291022</v>
          </cell>
          <cell r="R40">
            <v>51739.336949601937</v>
          </cell>
          <cell r="S40">
            <v>53447.851343760842</v>
          </cell>
          <cell r="T40">
            <v>53448.346299370962</v>
          </cell>
          <cell r="U40">
            <v>52428.541766390714</v>
          </cell>
          <cell r="V40">
            <v>50924.116639401313</v>
          </cell>
          <cell r="W40">
            <v>54423.832297777335</v>
          </cell>
          <cell r="X40">
            <v>55545.278268044771</v>
          </cell>
          <cell r="Y40">
            <v>54371.15749094959</v>
          </cell>
          <cell r="Z40">
            <v>52059.007735293606</v>
          </cell>
          <cell r="AA40">
            <v>48258.287395003303</v>
          </cell>
          <cell r="AB40">
            <v>44166.867242901848</v>
          </cell>
        </row>
        <row r="41">
          <cell r="D41">
            <v>5</v>
          </cell>
          <cell r="E41">
            <v>38663.332641169989</v>
          </cell>
          <cell r="F41">
            <v>37110.268849786007</v>
          </cell>
          <cell r="G41">
            <v>35795.63307093332</v>
          </cell>
          <cell r="H41">
            <v>34592.181724837908</v>
          </cell>
          <cell r="I41">
            <v>34188.136026700711</v>
          </cell>
          <cell r="J41">
            <v>33655.374743902139</v>
          </cell>
          <cell r="K41">
            <v>33013.949241143237</v>
          </cell>
          <cell r="L41">
            <v>35475.661337346406</v>
          </cell>
          <cell r="M41">
            <v>38692.670760157729</v>
          </cell>
          <cell r="N41">
            <v>41288.637057935288</v>
          </cell>
          <cell r="O41">
            <v>43150.474980707768</v>
          </cell>
          <cell r="P41">
            <v>44094.097820730276</v>
          </cell>
          <cell r="Q41">
            <v>45713.141869797822</v>
          </cell>
          <cell r="R41">
            <v>45819.491506263999</v>
          </cell>
          <cell r="S41">
            <v>45738.142547922042</v>
          </cell>
          <cell r="T41">
            <v>45869.303115147646</v>
          </cell>
          <cell r="U41">
            <v>45511.067613403502</v>
          </cell>
          <cell r="V41">
            <v>45098.824327571492</v>
          </cell>
          <cell r="W41">
            <v>49840.636886890265</v>
          </cell>
          <cell r="X41">
            <v>52574.662364236166</v>
          </cell>
          <cell r="Y41">
            <v>51863.718275180254</v>
          </cell>
          <cell r="Z41">
            <v>50087.230723240318</v>
          </cell>
          <cell r="AA41">
            <v>47082.659775221196</v>
          </cell>
          <cell r="AB41">
            <v>43737.291693408297</v>
          </cell>
        </row>
        <row r="42">
          <cell r="D42">
            <v>2</v>
          </cell>
          <cell r="E42">
            <v>38663.332641169989</v>
          </cell>
          <cell r="F42">
            <v>37110.268849786007</v>
          </cell>
          <cell r="G42">
            <v>35795.63307093332</v>
          </cell>
          <cell r="H42">
            <v>34592.181724837908</v>
          </cell>
          <cell r="I42">
            <v>34188.136026700711</v>
          </cell>
          <cell r="J42">
            <v>33655.374743902139</v>
          </cell>
          <cell r="K42">
            <v>33013.949241143237</v>
          </cell>
          <cell r="L42">
            <v>35475.661337346406</v>
          </cell>
          <cell r="M42">
            <v>38692.670760157729</v>
          </cell>
          <cell r="N42">
            <v>41288.637057935288</v>
          </cell>
          <cell r="O42">
            <v>43150.474980707768</v>
          </cell>
          <cell r="P42">
            <v>44094.097820730276</v>
          </cell>
          <cell r="Q42">
            <v>45713.141869797822</v>
          </cell>
          <cell r="R42">
            <v>45819.491506263999</v>
          </cell>
          <cell r="S42">
            <v>45738.142547922042</v>
          </cell>
          <cell r="T42">
            <v>45869.303115147646</v>
          </cell>
          <cell r="U42">
            <v>45511.067613403502</v>
          </cell>
          <cell r="V42">
            <v>45098.824327571492</v>
          </cell>
          <cell r="W42">
            <v>49840.636886890265</v>
          </cell>
          <cell r="X42">
            <v>52574.662364236166</v>
          </cell>
          <cell r="Y42">
            <v>51863.718275180254</v>
          </cell>
          <cell r="Z42">
            <v>50087.230723240318</v>
          </cell>
          <cell r="AA42">
            <v>47082.659775221196</v>
          </cell>
          <cell r="AB42">
            <v>43737.291693408297</v>
          </cell>
        </row>
        <row r="43">
          <cell r="D43">
            <v>21</v>
          </cell>
          <cell r="E43">
            <v>39897.732849335247</v>
          </cell>
          <cell r="F43">
            <v>37747.793344358579</v>
          </cell>
          <cell r="G43">
            <v>36143.694153742545</v>
          </cell>
          <cell r="H43">
            <v>35069.450807402463</v>
          </cell>
          <cell r="I43">
            <v>34674.85625466246</v>
          </cell>
          <cell r="J43">
            <v>34575.452208712348</v>
          </cell>
          <cell r="K43">
            <v>34689.005187512543</v>
          </cell>
          <cell r="L43">
            <v>38691.714832431819</v>
          </cell>
          <cell r="M43">
            <v>43198.547130763953</v>
          </cell>
          <cell r="N43">
            <v>45968.414271619666</v>
          </cell>
          <cell r="O43">
            <v>48268.755679537353</v>
          </cell>
          <cell r="P43">
            <v>49736.209213350165</v>
          </cell>
          <cell r="Q43">
            <v>48910.942739209087</v>
          </cell>
          <cell r="R43">
            <v>48213.93314394592</v>
          </cell>
          <cell r="S43">
            <v>48141.33398295509</v>
          </cell>
          <cell r="T43">
            <v>47748.497201341364</v>
          </cell>
          <cell r="U43">
            <v>46791.346477120664</v>
          </cell>
          <cell r="V43">
            <v>46729.294906930183</v>
          </cell>
          <cell r="W43">
            <v>50965.858165411388</v>
          </cell>
          <cell r="X43">
            <v>51619.98971370537</v>
          </cell>
          <cell r="Y43">
            <v>50107.242563351851</v>
          </cell>
          <cell r="Z43">
            <v>48021.60309740853</v>
          </cell>
          <cell r="AA43">
            <v>45079.384087514649</v>
          </cell>
          <cell r="AB43">
            <v>41946.142594284989</v>
          </cell>
        </row>
        <row r="44">
          <cell r="D44">
            <v>4</v>
          </cell>
          <cell r="E44">
            <v>39370.618956630926</v>
          </cell>
          <cell r="F44">
            <v>37416.393823525876</v>
          </cell>
          <cell r="G44">
            <v>35921.74432477924</v>
          </cell>
          <cell r="H44">
            <v>34867.723647869847</v>
          </cell>
          <cell r="I44">
            <v>34767.100195064078</v>
          </cell>
          <cell r="J44">
            <v>35335.875673567833</v>
          </cell>
          <cell r="K44">
            <v>35712.937664376557</v>
          </cell>
          <cell r="L44">
            <v>39787.158280349315</v>
          </cell>
          <cell r="M44">
            <v>43962.182303758695</v>
          </cell>
          <cell r="N44">
            <v>46327.239199540505</v>
          </cell>
          <cell r="O44">
            <v>48782.168008746179</v>
          </cell>
          <cell r="P44">
            <v>50443.244638100092</v>
          </cell>
          <cell r="Q44">
            <v>49148.924169231817</v>
          </cell>
          <cell r="R44">
            <v>50311.292797918039</v>
          </cell>
          <cell r="S44">
            <v>52058.526027379805</v>
          </cell>
          <cell r="T44">
            <v>52095.549068337539</v>
          </cell>
          <cell r="U44">
            <v>51135.269864994363</v>
          </cell>
          <cell r="V44">
            <v>50275.802852587643</v>
          </cell>
          <cell r="W44">
            <v>53968.735596728598</v>
          </cell>
          <cell r="X44">
            <v>53749.527772894886</v>
          </cell>
          <cell r="Y44">
            <v>52362.429176872618</v>
          </cell>
          <cell r="Z44">
            <v>49962.525030870536</v>
          </cell>
          <cell r="AA44">
            <v>46137.507890681038</v>
          </cell>
          <cell r="AB44">
            <v>42213.259803757785</v>
          </cell>
        </row>
        <row r="45">
          <cell r="D45">
            <v>4</v>
          </cell>
          <cell r="E45">
            <v>39350.999670792829</v>
          </cell>
          <cell r="F45">
            <v>37300.189298932884</v>
          </cell>
          <cell r="G45">
            <v>35707.390777112509</v>
          </cell>
          <cell r="H45">
            <v>34555.367825846188</v>
          </cell>
          <cell r="I45">
            <v>34071.914086502191</v>
          </cell>
          <cell r="J45">
            <v>33420.496800332177</v>
          </cell>
          <cell r="K45">
            <v>32707.798535408743</v>
          </cell>
          <cell r="L45">
            <v>35087.232574362708</v>
          </cell>
          <cell r="M45">
            <v>37706.95344425748</v>
          </cell>
          <cell r="N45">
            <v>40067.956594189935</v>
          </cell>
          <cell r="O45">
            <v>42306.404213566682</v>
          </cell>
          <cell r="P45">
            <v>44221.704731556834</v>
          </cell>
          <cell r="Q45">
            <v>44926.496239887558</v>
          </cell>
          <cell r="R45">
            <v>44710.855159683473</v>
          </cell>
          <cell r="S45">
            <v>44509.911713279776</v>
          </cell>
          <cell r="T45">
            <v>44651.756130829046</v>
          </cell>
          <cell r="U45">
            <v>44244.429627283069</v>
          </cell>
          <cell r="V45">
            <v>44194.373318628554</v>
          </cell>
          <cell r="W45">
            <v>49319.890119822878</v>
          </cell>
          <cell r="X45">
            <v>52098.522175917125</v>
          </cell>
          <cell r="Y45">
            <v>51820.662585467689</v>
          </cell>
          <cell r="Z45">
            <v>49870.829255839941</v>
          </cell>
          <cell r="AA45">
            <v>46489.84968523612</v>
          </cell>
          <cell r="AB45">
            <v>42786.172899822806</v>
          </cell>
        </row>
        <row r="46">
          <cell r="D46">
            <v>2</v>
          </cell>
          <cell r="E46">
            <v>39350.999670792829</v>
          </cell>
          <cell r="F46">
            <v>37300.189298932884</v>
          </cell>
          <cell r="G46">
            <v>35707.390777112509</v>
          </cell>
          <cell r="H46">
            <v>34555.367825846188</v>
          </cell>
          <cell r="I46">
            <v>34071.914086502191</v>
          </cell>
          <cell r="J46">
            <v>33420.496800332177</v>
          </cell>
          <cell r="K46">
            <v>32707.798535408743</v>
          </cell>
          <cell r="L46">
            <v>35087.232574362708</v>
          </cell>
          <cell r="M46">
            <v>37706.95344425748</v>
          </cell>
          <cell r="N46">
            <v>40067.956594189935</v>
          </cell>
          <cell r="O46">
            <v>42306.404213566682</v>
          </cell>
          <cell r="P46">
            <v>44221.704731556834</v>
          </cell>
          <cell r="Q46">
            <v>44926.496239887558</v>
          </cell>
          <cell r="R46">
            <v>44710.855159683473</v>
          </cell>
          <cell r="S46">
            <v>44509.911713279776</v>
          </cell>
          <cell r="T46">
            <v>44651.756130829046</v>
          </cell>
          <cell r="U46">
            <v>44244.429627283069</v>
          </cell>
          <cell r="V46">
            <v>44194.373318628554</v>
          </cell>
          <cell r="W46">
            <v>49319.890119822878</v>
          </cell>
          <cell r="X46">
            <v>52098.522175917125</v>
          </cell>
          <cell r="Y46">
            <v>51820.662585467689</v>
          </cell>
          <cell r="Z46">
            <v>49870.829255839941</v>
          </cell>
          <cell r="AA46">
            <v>46489.84968523612</v>
          </cell>
          <cell r="AB46">
            <v>42786.172899822806</v>
          </cell>
        </row>
        <row r="47">
          <cell r="D47">
            <v>20</v>
          </cell>
          <cell r="E47">
            <v>40378.433966632962</v>
          </cell>
          <cell r="F47">
            <v>38317.55687960764</v>
          </cell>
          <cell r="G47">
            <v>36723.022542666899</v>
          </cell>
          <cell r="H47">
            <v>35593.411635471719</v>
          </cell>
          <cell r="I47">
            <v>35261.964204527823</v>
          </cell>
          <cell r="J47">
            <v>34806.732476956546</v>
          </cell>
          <cell r="K47">
            <v>35031.895371919978</v>
          </cell>
          <cell r="L47">
            <v>39198.068084265331</v>
          </cell>
          <cell r="M47">
            <v>43647.606605121917</v>
          </cell>
          <cell r="N47">
            <v>46213.687073792498</v>
          </cell>
          <cell r="O47">
            <v>48399.889547883628</v>
          </cell>
          <cell r="P47">
            <v>49485.207679345804</v>
          </cell>
          <cell r="Q47">
            <v>48546.807767921397</v>
          </cell>
          <cell r="R47">
            <v>47846.139821196826</v>
          </cell>
          <cell r="S47">
            <v>47788.946601358555</v>
          </cell>
          <cell r="T47">
            <v>47706.802887774422</v>
          </cell>
          <cell r="U47">
            <v>46993.353073074155</v>
          </cell>
          <cell r="V47">
            <v>47543.779873408879</v>
          </cell>
          <cell r="W47">
            <v>52484.958183821429</v>
          </cell>
          <cell r="X47">
            <v>51984.1077837954</v>
          </cell>
          <cell r="Y47">
            <v>50179.988740444816</v>
          </cell>
          <cell r="Z47">
            <v>47937.771621379208</v>
          </cell>
          <cell r="AA47">
            <v>45240.225757909</v>
          </cell>
          <cell r="AB47">
            <v>42266.359184859277</v>
          </cell>
        </row>
        <row r="48">
          <cell r="D48">
            <v>5</v>
          </cell>
          <cell r="E48">
            <v>37747.575475566162</v>
          </cell>
          <cell r="F48">
            <v>35847.808665745732</v>
          </cell>
          <cell r="G48">
            <v>34522.163031221535</v>
          </cell>
          <cell r="H48">
            <v>33545.00371647354</v>
          </cell>
          <cell r="I48">
            <v>33561.033529783992</v>
          </cell>
          <cell r="J48">
            <v>34117.235555589636</v>
          </cell>
          <cell r="K48">
            <v>34811.690728735659</v>
          </cell>
          <cell r="L48">
            <v>39058.728265966929</v>
          </cell>
          <cell r="M48">
            <v>43195.378600104319</v>
          </cell>
          <cell r="N48">
            <v>45452.825983954579</v>
          </cell>
          <cell r="O48">
            <v>47841.464544840688</v>
          </cell>
          <cell r="P48">
            <v>49487.757343028534</v>
          </cell>
          <cell r="Q48">
            <v>48070.599115518176</v>
          </cell>
          <cell r="R48">
            <v>49151.688662758308</v>
          </cell>
          <cell r="S48">
            <v>50975.39159645827</v>
          </cell>
          <cell r="T48">
            <v>51067.322341912724</v>
          </cell>
          <cell r="U48">
            <v>50010.471058906267</v>
          </cell>
          <cell r="V48">
            <v>50148.46915230179</v>
          </cell>
          <cell r="W48">
            <v>53172.649700868365</v>
          </cell>
          <cell r="X48">
            <v>52269.513779166278</v>
          </cell>
          <cell r="Y48">
            <v>50597.946943241303</v>
          </cell>
          <cell r="Z48">
            <v>48136.653347799212</v>
          </cell>
          <cell r="AA48">
            <v>44590.11108973853</v>
          </cell>
          <cell r="AB48">
            <v>40905.351796802679</v>
          </cell>
        </row>
        <row r="49">
          <cell r="D49">
            <v>5</v>
          </cell>
          <cell r="E49">
            <v>38898.275308732373</v>
          </cell>
          <cell r="F49">
            <v>37005.837847665491</v>
          </cell>
          <cell r="G49">
            <v>35604.935307478823</v>
          </cell>
          <cell r="H49">
            <v>34546.761014466421</v>
          </cell>
          <cell r="I49">
            <v>34602.105819329663</v>
          </cell>
          <cell r="J49">
            <v>35692.621718416871</v>
          </cell>
          <cell r="K49">
            <v>36379.743335698557</v>
          </cell>
          <cell r="L49">
            <v>40885.464698261807</v>
          </cell>
          <cell r="M49">
            <v>45346.768663233881</v>
          </cell>
          <cell r="N49">
            <v>47708.481128797888</v>
          </cell>
          <cell r="O49">
            <v>50396.887580708579</v>
          </cell>
          <cell r="P49">
            <v>52206.80738656989</v>
          </cell>
          <cell r="Q49">
            <v>50369.256243603224</v>
          </cell>
          <cell r="R49">
            <v>52150.429408516582</v>
          </cell>
          <cell r="S49">
            <v>54676.281732238451</v>
          </cell>
          <cell r="T49">
            <v>54744.783715543039</v>
          </cell>
          <cell r="U49">
            <v>53502.139490183421</v>
          </cell>
          <cell r="V49">
            <v>51957.276441071459</v>
          </cell>
          <cell r="W49">
            <v>54994.582726365705</v>
          </cell>
          <cell r="X49">
            <v>54588.411515941902</v>
          </cell>
          <cell r="Y49">
            <v>53180.173719874685</v>
          </cell>
          <cell r="Z49">
            <v>50667.85112835966</v>
          </cell>
          <cell r="AA49">
            <v>46515.446631301078</v>
          </cell>
          <cell r="AB49">
            <v>42342.797460722431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38979.757649972074</v>
          </cell>
          <cell r="F51">
            <v>37008.638246423659</v>
          </cell>
          <cell r="G51">
            <v>35439.721104407676</v>
          </cell>
          <cell r="H51">
            <v>34142.85422387936</v>
          </cell>
          <cell r="I51">
            <v>33650.773654746052</v>
          </cell>
          <cell r="J51">
            <v>33377.515126749546</v>
          </cell>
          <cell r="K51">
            <v>34082.077423207535</v>
          </cell>
          <cell r="L51">
            <v>38358.317321437353</v>
          </cell>
          <cell r="M51">
            <v>42729.138012936055</v>
          </cell>
          <cell r="N51">
            <v>45266.412883882585</v>
          </cell>
          <cell r="O51">
            <v>47604.856055111908</v>
          </cell>
          <cell r="P51">
            <v>48831.450792463504</v>
          </cell>
          <cell r="Q51">
            <v>47963.597746637606</v>
          </cell>
          <cell r="R51">
            <v>47395.40434966491</v>
          </cell>
          <cell r="S51">
            <v>47590.556310554748</v>
          </cell>
          <cell r="T51">
            <v>47496.643547335887</v>
          </cell>
          <cell r="U51">
            <v>46885.853879068374</v>
          </cell>
          <cell r="V51">
            <v>48104.809266819284</v>
          </cell>
          <cell r="W51">
            <v>52490.366032395315</v>
          </cell>
          <cell r="X51">
            <v>51613.29751601036</v>
          </cell>
          <cell r="Y51">
            <v>49787.206719723305</v>
          </cell>
          <cell r="Z51">
            <v>47466.472714593736</v>
          </cell>
          <cell r="AA51">
            <v>44698.54633593918</v>
          </cell>
          <cell r="AB51">
            <v>41738.873038717698</v>
          </cell>
        </row>
        <row r="52">
          <cell r="D52">
            <v>4</v>
          </cell>
          <cell r="E52">
            <v>36230.253108966848</v>
          </cell>
          <cell r="F52">
            <v>34440.733202406162</v>
          </cell>
          <cell r="G52">
            <v>33116.685912251596</v>
          </cell>
          <cell r="H52">
            <v>32323.106873209967</v>
          </cell>
          <cell r="I52">
            <v>32434.10098167702</v>
          </cell>
          <cell r="J52">
            <v>33066.054489523078</v>
          </cell>
          <cell r="K52">
            <v>33665.307276172534</v>
          </cell>
          <cell r="L52">
            <v>37604.837496113018</v>
          </cell>
          <cell r="M52">
            <v>41537.608164948171</v>
          </cell>
          <cell r="N52">
            <v>43842.191236487604</v>
          </cell>
          <cell r="O52">
            <v>45956.766550092587</v>
          </cell>
          <cell r="P52">
            <v>47534.05338938177</v>
          </cell>
          <cell r="Q52">
            <v>46196.437100453404</v>
          </cell>
          <cell r="R52">
            <v>46802.436910985954</v>
          </cell>
          <cell r="S52">
            <v>48182.664440178087</v>
          </cell>
          <cell r="T52">
            <v>48313.843990934693</v>
          </cell>
          <cell r="U52">
            <v>47687.52980327019</v>
          </cell>
          <cell r="V52">
            <v>48553.923693113175</v>
          </cell>
          <cell r="W52">
            <v>51904.65387248456</v>
          </cell>
          <cell r="X52">
            <v>50895.726097373947</v>
          </cell>
          <cell r="Y52">
            <v>48917.937381185431</v>
          </cell>
          <cell r="Z52">
            <v>46194.873108606407</v>
          </cell>
          <cell r="AA52">
            <v>42644.047519434287</v>
          </cell>
          <cell r="AB52">
            <v>39085.182903882625</v>
          </cell>
        </row>
        <row r="53">
          <cell r="D53">
            <v>4</v>
          </cell>
          <cell r="E53">
            <v>36617.610957182209</v>
          </cell>
          <cell r="F53">
            <v>35067.32580227666</v>
          </cell>
          <cell r="G53">
            <v>33834.293612059177</v>
          </cell>
          <cell r="H53">
            <v>33075.486320072887</v>
          </cell>
          <cell r="I53">
            <v>32812.03883650597</v>
          </cell>
          <cell r="J53">
            <v>32294.921472488179</v>
          </cell>
          <cell r="K53">
            <v>31526.680545182779</v>
          </cell>
          <cell r="L53">
            <v>34005.056106348995</v>
          </cell>
          <cell r="M53">
            <v>36061.115650191641</v>
          </cell>
          <cell r="N53">
            <v>38926.701811630541</v>
          </cell>
          <cell r="O53">
            <v>41163.15335563312</v>
          </cell>
          <cell r="P53">
            <v>42931.987049503601</v>
          </cell>
          <cell r="Q53">
            <v>43829.518464917986</v>
          </cell>
          <cell r="R53">
            <v>43848.110242829956</v>
          </cell>
          <cell r="S53">
            <v>43920.572792046733</v>
          </cell>
          <cell r="T53">
            <v>44031.177548076994</v>
          </cell>
          <cell r="U53">
            <v>43633.456820676365</v>
          </cell>
          <cell r="V53">
            <v>45486.839709960797</v>
          </cell>
          <cell r="W53">
            <v>50681.751905456375</v>
          </cell>
          <cell r="X53">
            <v>51302.233184890662</v>
          </cell>
          <cell r="Y53">
            <v>50496.235422099802</v>
          </cell>
          <cell r="Z53">
            <v>48590.828995975477</v>
          </cell>
          <cell r="AA53">
            <v>44969.24302044823</v>
          </cell>
          <cell r="AB53">
            <v>41096.108299217754</v>
          </cell>
        </row>
        <row r="54">
          <cell r="D54">
            <v>1</v>
          </cell>
          <cell r="E54">
            <v>36617.610957182209</v>
          </cell>
          <cell r="F54">
            <v>35067.32580227666</v>
          </cell>
          <cell r="G54">
            <v>33834.293612059177</v>
          </cell>
          <cell r="H54">
            <v>33075.486320072887</v>
          </cell>
          <cell r="I54">
            <v>32812.03883650597</v>
          </cell>
          <cell r="J54">
            <v>32294.921472488179</v>
          </cell>
          <cell r="K54">
            <v>31526.680545182779</v>
          </cell>
          <cell r="L54">
            <v>34005.056106348995</v>
          </cell>
          <cell r="M54">
            <v>36061.115650191641</v>
          </cell>
          <cell r="N54">
            <v>38926.701811630541</v>
          </cell>
          <cell r="O54">
            <v>41163.15335563312</v>
          </cell>
          <cell r="P54">
            <v>42931.987049503601</v>
          </cell>
          <cell r="Q54">
            <v>43829.518464917986</v>
          </cell>
          <cell r="R54">
            <v>43848.110242829956</v>
          </cell>
          <cell r="S54">
            <v>43920.572792046733</v>
          </cell>
          <cell r="T54">
            <v>44031.177548076994</v>
          </cell>
          <cell r="U54">
            <v>43633.456820676365</v>
          </cell>
          <cell r="V54">
            <v>45486.839709960797</v>
          </cell>
          <cell r="W54">
            <v>50681.751905456375</v>
          </cell>
          <cell r="X54">
            <v>51302.233184890662</v>
          </cell>
          <cell r="Y54">
            <v>50496.235422099802</v>
          </cell>
          <cell r="Z54">
            <v>48590.828995975477</v>
          </cell>
          <cell r="AA54">
            <v>44969.24302044823</v>
          </cell>
          <cell r="AB54">
            <v>41096.108299217754</v>
          </cell>
        </row>
        <row r="55">
          <cell r="D55">
            <v>20</v>
          </cell>
          <cell r="E55">
            <v>38508.501389099518</v>
          </cell>
          <cell r="F55">
            <v>36624.646111031609</v>
          </cell>
          <cell r="G55">
            <v>35263.984829295208</v>
          </cell>
          <cell r="H55">
            <v>34373.125697375712</v>
          </cell>
          <cell r="I55">
            <v>34381.077863139399</v>
          </cell>
          <cell r="J55">
            <v>34667.082695246798</v>
          </cell>
          <cell r="K55">
            <v>34906.945377853968</v>
          </cell>
          <cell r="L55">
            <v>39284.388254473939</v>
          </cell>
          <cell r="M55">
            <v>43956.485953990596</v>
          </cell>
          <cell r="N55">
            <v>46931.056944723881</v>
          </cell>
          <cell r="O55">
            <v>49176.998557585233</v>
          </cell>
          <cell r="P55">
            <v>50355.039494492572</v>
          </cell>
          <cell r="Q55">
            <v>49344.363847891982</v>
          </cell>
          <cell r="R55">
            <v>48484.374080369038</v>
          </cell>
          <cell r="S55">
            <v>48364.014250014654</v>
          </cell>
          <cell r="T55">
            <v>48248.872698632753</v>
          </cell>
          <cell r="U55">
            <v>47754.927829281987</v>
          </cell>
          <cell r="V55">
            <v>49347.117576048091</v>
          </cell>
          <cell r="W55">
            <v>53704.392338467616</v>
          </cell>
          <cell r="X55">
            <v>52573.480131269127</v>
          </cell>
          <cell r="Y55">
            <v>50440.57772942217</v>
          </cell>
          <cell r="Z55">
            <v>48027.57688986179</v>
          </cell>
          <cell r="AA55">
            <v>45039.62944192256</v>
          </cell>
          <cell r="AB55">
            <v>41798.97308298586</v>
          </cell>
        </row>
        <row r="56">
          <cell r="D56">
            <v>4</v>
          </cell>
          <cell r="E56">
            <v>41966.795310257854</v>
          </cell>
          <cell r="F56">
            <v>39842.548387237293</v>
          </cell>
          <cell r="G56">
            <v>38272.887686445036</v>
          </cell>
          <cell r="H56">
            <v>37193.202424494251</v>
          </cell>
          <cell r="I56">
            <v>36964.546231945686</v>
          </cell>
          <cell r="J56">
            <v>37221.383917179926</v>
          </cell>
          <cell r="K56">
            <v>37021.592403037721</v>
          </cell>
          <cell r="L56">
            <v>41239.407713128807</v>
          </cell>
          <cell r="M56">
            <v>45625.004927718051</v>
          </cell>
          <cell r="N56">
            <v>48166.400083953056</v>
          </cell>
          <cell r="O56">
            <v>50409.308882225494</v>
          </cell>
          <cell r="P56">
            <v>52158.508524383506</v>
          </cell>
          <cell r="Q56">
            <v>51033.805724764126</v>
          </cell>
          <cell r="R56">
            <v>51565.475538201164</v>
          </cell>
          <cell r="S56">
            <v>53038.895296746203</v>
          </cell>
          <cell r="T56">
            <v>53122.087402622848</v>
          </cell>
          <cell r="U56">
            <v>52280.170163440001</v>
          </cell>
          <cell r="V56">
            <v>52416.012563542259</v>
          </cell>
          <cell r="W56">
            <v>56823.307161787765</v>
          </cell>
          <cell r="X56">
            <v>55912.491116579607</v>
          </cell>
          <cell r="Y56">
            <v>54109.038074171469</v>
          </cell>
          <cell r="Z56">
            <v>51719.110563133261</v>
          </cell>
          <cell r="AA56">
            <v>48514.590899450559</v>
          </cell>
          <cell r="AB56">
            <v>44915.058285269573</v>
          </cell>
        </row>
        <row r="57">
          <cell r="D57">
            <v>4</v>
          </cell>
          <cell r="E57">
            <v>38697.669384350331</v>
          </cell>
          <cell r="F57">
            <v>36641.596546862325</v>
          </cell>
          <cell r="G57">
            <v>35080.802171741343</v>
          </cell>
          <cell r="H57">
            <v>33881.985214985092</v>
          </cell>
          <cell r="I57">
            <v>33475.799546964219</v>
          </cell>
          <cell r="J57">
            <v>32965.293048103733</v>
          </cell>
          <cell r="K57">
            <v>32040.04123196693</v>
          </cell>
          <cell r="L57">
            <v>34150.462523052454</v>
          </cell>
          <cell r="M57">
            <v>36684.376218244623</v>
          </cell>
          <cell r="N57">
            <v>38662.527371989992</v>
          </cell>
          <cell r="O57">
            <v>40282.859350868646</v>
          </cell>
          <cell r="P57">
            <v>41719.109900578493</v>
          </cell>
          <cell r="Q57">
            <v>42167.291717145883</v>
          </cell>
          <cell r="R57">
            <v>42381.03303176487</v>
          </cell>
          <cell r="S57">
            <v>41771.980805724925</v>
          </cell>
          <cell r="T57">
            <v>41814.679423020767</v>
          </cell>
          <cell r="U57">
            <v>41916.150696133329</v>
          </cell>
          <cell r="V57">
            <v>44554.991439186779</v>
          </cell>
          <cell r="W57">
            <v>49716.000633716438</v>
          </cell>
          <cell r="X57">
            <v>49900.293985548815</v>
          </cell>
          <cell r="Y57">
            <v>48348.272870973604</v>
          </cell>
          <cell r="Z57">
            <v>45447.997237927324</v>
          </cell>
          <cell r="AA57">
            <v>41778.453312254031</v>
          </cell>
          <cell r="AB57">
            <v>38322.562892606067</v>
          </cell>
        </row>
        <row r="58">
          <cell r="D58">
            <v>2</v>
          </cell>
          <cell r="E58">
            <v>38697.669384350331</v>
          </cell>
          <cell r="F58">
            <v>36641.596546862325</v>
          </cell>
          <cell r="G58">
            <v>35080.802171741343</v>
          </cell>
          <cell r="H58">
            <v>33881.985214985092</v>
          </cell>
          <cell r="I58">
            <v>33475.799546964219</v>
          </cell>
          <cell r="J58">
            <v>32965.293048103733</v>
          </cell>
          <cell r="K58">
            <v>32040.04123196693</v>
          </cell>
          <cell r="L58">
            <v>34150.462523052454</v>
          </cell>
          <cell r="M58">
            <v>36684.376218244623</v>
          </cell>
          <cell r="N58">
            <v>38662.527371989992</v>
          </cell>
          <cell r="O58">
            <v>40282.859350868646</v>
          </cell>
          <cell r="P58">
            <v>41719.109900578493</v>
          </cell>
          <cell r="Q58">
            <v>42167.291717145883</v>
          </cell>
          <cell r="R58">
            <v>42381.03303176487</v>
          </cell>
          <cell r="S58">
            <v>41771.980805724925</v>
          </cell>
          <cell r="T58">
            <v>41814.679423020767</v>
          </cell>
          <cell r="U58">
            <v>41916.150696133329</v>
          </cell>
          <cell r="V58">
            <v>44554.991439186779</v>
          </cell>
          <cell r="W58">
            <v>49716.000633716438</v>
          </cell>
          <cell r="X58">
            <v>49900.293985548815</v>
          </cell>
          <cell r="Y58">
            <v>48348.272870973604</v>
          </cell>
          <cell r="Z58">
            <v>45447.997237927324</v>
          </cell>
          <cell r="AA58">
            <v>41778.453312254031</v>
          </cell>
          <cell r="AB58">
            <v>38322.562892606067</v>
          </cell>
        </row>
        <row r="59">
          <cell r="D59">
            <v>20</v>
          </cell>
          <cell r="E59">
            <v>40764.241675691097</v>
          </cell>
          <cell r="F59">
            <v>38612.952444133938</v>
          </cell>
          <cell r="G59">
            <v>36986.83579947448</v>
          </cell>
          <cell r="H59">
            <v>35856.552273963796</v>
          </cell>
          <cell r="I59">
            <v>35608.193703755598</v>
          </cell>
          <cell r="J59">
            <v>35789.074007725489</v>
          </cell>
          <cell r="K59">
            <v>35374.234479964514</v>
          </cell>
          <cell r="L59">
            <v>39168.837484192554</v>
          </cell>
          <cell r="M59">
            <v>43310.227378982287</v>
          </cell>
          <cell r="N59">
            <v>45930.478964188078</v>
          </cell>
          <cell r="O59">
            <v>47859.014670110446</v>
          </cell>
          <cell r="P59">
            <v>49016.264892000574</v>
          </cell>
          <cell r="Q59">
            <v>47955.724330069068</v>
          </cell>
          <cell r="R59">
            <v>47195.022814949945</v>
          </cell>
          <cell r="S59">
            <v>47309.743598693443</v>
          </cell>
          <cell r="T59">
            <v>47276.762805246864</v>
          </cell>
          <cell r="U59">
            <v>46690.680991100126</v>
          </cell>
          <cell r="V59">
            <v>47942.887402192719</v>
          </cell>
          <cell r="W59">
            <v>52798.279902912516</v>
          </cell>
          <cell r="X59">
            <v>51647.786938825499</v>
          </cell>
          <cell r="Y59">
            <v>49426.750695972754</v>
          </cell>
          <cell r="Z59">
            <v>46994.058956384579</v>
          </cell>
          <cell r="AA59">
            <v>44634.351591690225</v>
          </cell>
          <cell r="AB59">
            <v>41990.092595584705</v>
          </cell>
        </row>
        <row r="60">
          <cell r="D60">
            <v>4</v>
          </cell>
          <cell r="E60">
            <v>40009.760943329689</v>
          </cell>
          <cell r="F60">
            <v>37989.802671467558</v>
          </cell>
          <cell r="G60">
            <v>36472.810842591367</v>
          </cell>
          <cell r="H60">
            <v>35419.389346802978</v>
          </cell>
          <cell r="I60">
            <v>35303.820411637374</v>
          </cell>
          <cell r="J60">
            <v>35873.117832136217</v>
          </cell>
          <cell r="K60">
            <v>36025.615570639195</v>
          </cell>
          <cell r="L60">
            <v>39977.892245594281</v>
          </cell>
          <cell r="M60">
            <v>44075.609065114077</v>
          </cell>
          <cell r="N60">
            <v>46443.859931599545</v>
          </cell>
          <cell r="O60">
            <v>48758.247225116676</v>
          </cell>
          <cell r="P60">
            <v>50384.589825251169</v>
          </cell>
          <cell r="Q60">
            <v>49116.304561814432</v>
          </cell>
          <cell r="R60">
            <v>50091.279596840322</v>
          </cell>
          <cell r="S60">
            <v>51741.400341234781</v>
          </cell>
          <cell r="T60">
            <v>51856.978411410673</v>
          </cell>
          <cell r="U60">
            <v>50965.240873564566</v>
          </cell>
          <cell r="V60">
            <v>50048.086799713477</v>
          </cell>
          <cell r="W60">
            <v>53520.734740157925</v>
          </cell>
          <cell r="X60">
            <v>53842.647884639984</v>
          </cell>
          <cell r="Y60">
            <v>52487.204780163804</v>
          </cell>
          <cell r="Z60">
            <v>50211.914941428578</v>
          </cell>
          <cell r="AA60">
            <v>46725.734480781291</v>
          </cell>
          <cell r="AB60">
            <v>42997.472748094755</v>
          </cell>
        </row>
        <row r="61">
          <cell r="D61">
            <v>5</v>
          </cell>
          <cell r="E61">
            <v>39770.156117285151</v>
          </cell>
          <cell r="F61">
            <v>38536.75539671204</v>
          </cell>
          <cell r="G61">
            <v>37370.248856896826</v>
          </cell>
          <cell r="H61">
            <v>36252.055860353372</v>
          </cell>
          <cell r="I61">
            <v>35607.501544246588</v>
          </cell>
          <cell r="J61">
            <v>34675.226639537985</v>
          </cell>
          <cell r="K61">
            <v>32521.438347858853</v>
          </cell>
          <cell r="L61">
            <v>33601.871007398826</v>
          </cell>
          <cell r="M61">
            <v>35358.46660062344</v>
          </cell>
          <cell r="N61">
            <v>37007.682753388057</v>
          </cell>
          <cell r="O61">
            <v>38545.172218250184</v>
          </cell>
          <cell r="P61">
            <v>39851.969371249412</v>
          </cell>
          <cell r="Q61">
            <v>40566.239936006947</v>
          </cell>
          <cell r="R61">
            <v>40597.815362310088</v>
          </cell>
          <cell r="S61">
            <v>40414.117038163742</v>
          </cell>
          <cell r="T61">
            <v>40637.54612767019</v>
          </cell>
          <cell r="U61">
            <v>40618.58662392648</v>
          </cell>
          <cell r="V61">
            <v>41931.524972288629</v>
          </cell>
          <cell r="W61">
            <v>47772.090769385562</v>
          </cell>
          <cell r="X61">
            <v>48213.842349354221</v>
          </cell>
          <cell r="Y61">
            <v>47603.096179931679</v>
          </cell>
          <cell r="Z61">
            <v>46155.716978165714</v>
          </cell>
          <cell r="AA61">
            <v>43770.2268741468</v>
          </cell>
          <cell r="AB61">
            <v>41002.537622861972</v>
          </cell>
        </row>
        <row r="62">
          <cell r="D62">
            <v>2</v>
          </cell>
          <cell r="E62">
            <v>39770.156117285151</v>
          </cell>
          <cell r="F62">
            <v>38536.75539671204</v>
          </cell>
          <cell r="G62">
            <v>37370.248856896826</v>
          </cell>
          <cell r="H62">
            <v>36252.055860353372</v>
          </cell>
          <cell r="I62">
            <v>35607.501544246588</v>
          </cell>
          <cell r="J62">
            <v>34675.226639537985</v>
          </cell>
          <cell r="K62">
            <v>32521.438347858853</v>
          </cell>
          <cell r="L62">
            <v>33601.871007398826</v>
          </cell>
          <cell r="M62">
            <v>35358.46660062344</v>
          </cell>
          <cell r="N62">
            <v>37007.682753388057</v>
          </cell>
          <cell r="O62">
            <v>38545.172218250184</v>
          </cell>
          <cell r="P62">
            <v>39851.969371249412</v>
          </cell>
          <cell r="Q62">
            <v>40566.239936006947</v>
          </cell>
          <cell r="R62">
            <v>40597.815362310088</v>
          </cell>
          <cell r="S62">
            <v>40414.117038163742</v>
          </cell>
          <cell r="T62">
            <v>40637.54612767019</v>
          </cell>
          <cell r="U62">
            <v>40618.58662392648</v>
          </cell>
          <cell r="V62">
            <v>41931.524972288629</v>
          </cell>
          <cell r="W62">
            <v>47772.090769385562</v>
          </cell>
          <cell r="X62">
            <v>48213.842349354221</v>
          </cell>
          <cell r="Y62">
            <v>47603.096179931679</v>
          </cell>
          <cell r="Z62">
            <v>46155.716978165714</v>
          </cell>
          <cell r="AA62">
            <v>43770.2268741468</v>
          </cell>
          <cell r="AB62">
            <v>41002.537622861972</v>
          </cell>
        </row>
      </sheetData>
      <sheetData sheetId="33" refreshError="1"/>
      <sheetData sheetId="3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81B11-2688-4DAB-8CD7-DB8ACD2B677A}" name="Tabla1" displayName="Tabla1" ref="A9:D36" totalsRowShown="0" headerRowDxfId="22" headerRowBorderDxfId="21" tableBorderDxfId="20" totalsRowBorderDxfId="19">
  <tableColumns count="4">
    <tableColumn id="1" xr3:uid="{46BF30A6-99EE-4B16-9713-C2C3F022B534}" name="AGENTE" dataDxfId="18"/>
    <tableColumn id="2" xr3:uid="{CEC97315-508D-4CFB-8E2F-3C2C251498FF}" name="N° pregunta" dataDxfId="17"/>
    <tableColumn id="3" xr3:uid="{59BA41B6-307D-4CDC-B128-11E197CFE8D3}" name="PREGUNTA" dataDxfId="16"/>
    <tableColumn id="4" xr3:uid="{36A5A987-433D-4937-893E-CAE5FD1E450E}" name="RESPUESTA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7537-6679-43E1-9C83-9E026E2A3CBF}">
  <sheetPr>
    <tabColor rgb="FFFFC000"/>
  </sheetPr>
  <dimension ref="A2:B8"/>
  <sheetViews>
    <sheetView workbookViewId="0">
      <selection activeCell="D21" sqref="D21"/>
    </sheetView>
  </sheetViews>
  <sheetFormatPr baseColWidth="10" defaultRowHeight="14.5" x14ac:dyDescent="0.35"/>
  <cols>
    <col min="1" max="1" width="28" customWidth="1"/>
    <col min="2" max="2" width="23.90625" customWidth="1"/>
  </cols>
  <sheetData>
    <row r="2" spans="1:2" x14ac:dyDescent="0.35">
      <c r="A2" t="s">
        <v>44</v>
      </c>
      <c r="B2" t="s">
        <v>46</v>
      </c>
    </row>
    <row r="3" spans="1:2" x14ac:dyDescent="0.35">
      <c r="A3" t="s">
        <v>59</v>
      </c>
      <c r="B3" t="s">
        <v>58</v>
      </c>
    </row>
    <row r="4" spans="1:2" x14ac:dyDescent="0.35">
      <c r="A4" t="s">
        <v>60</v>
      </c>
      <c r="B4" t="s">
        <v>67</v>
      </c>
    </row>
    <row r="5" spans="1:2" x14ac:dyDescent="0.35">
      <c r="B5" t="s">
        <v>127</v>
      </c>
    </row>
    <row r="6" spans="1:2" x14ac:dyDescent="0.35">
      <c r="B6" t="s">
        <v>66</v>
      </c>
    </row>
    <row r="7" spans="1:2" x14ac:dyDescent="0.35">
      <c r="B7" t="s">
        <v>62</v>
      </c>
    </row>
    <row r="8" spans="1:2" x14ac:dyDescent="0.35">
      <c r="B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2681-F5D7-4081-BB13-05E91DACDE97}">
  <sheetPr>
    <tabColor rgb="FFFFFF00"/>
  </sheetPr>
  <dimension ref="A1:D211"/>
  <sheetViews>
    <sheetView workbookViewId="0">
      <selection activeCell="C16" sqref="C16"/>
    </sheetView>
  </sheetViews>
  <sheetFormatPr baseColWidth="10" defaultRowHeight="9.5" customHeight="1" x14ac:dyDescent="0.3"/>
  <cols>
    <col min="1" max="1" width="40.7265625" style="143" customWidth="1"/>
    <col min="2" max="2" width="25.7265625" style="143" customWidth="1"/>
    <col min="3" max="3" width="115.81640625" style="141" customWidth="1"/>
    <col min="4" max="4" width="87" style="141" hidden="1" customWidth="1"/>
    <col min="5" max="16384" width="10.90625" style="141"/>
  </cols>
  <sheetData>
    <row r="1" spans="1:4" ht="57.5" customHeight="1" x14ac:dyDescent="0.3"/>
    <row r="2" spans="1:4" ht="60.5" customHeight="1" x14ac:dyDescent="0.3">
      <c r="A2" s="144" t="s">
        <v>114</v>
      </c>
    </row>
    <row r="3" spans="1:4" ht="20.5" thickBot="1" x14ac:dyDescent="0.35">
      <c r="A3" s="145" t="s">
        <v>115</v>
      </c>
      <c r="B3" s="146"/>
    </row>
    <row r="4" spans="1:4" ht="21" thickTop="1" thickBot="1" x14ac:dyDescent="0.35">
      <c r="A4" s="145" t="s">
        <v>116</v>
      </c>
      <c r="B4" s="146"/>
    </row>
    <row r="5" spans="1:4" ht="21" thickTop="1" thickBot="1" x14ac:dyDescent="0.35">
      <c r="A5" s="145" t="s">
        <v>117</v>
      </c>
      <c r="B5" s="146"/>
    </row>
    <row r="6" spans="1:4" ht="21" thickTop="1" thickBot="1" x14ac:dyDescent="0.35">
      <c r="A6" s="145" t="s">
        <v>118</v>
      </c>
      <c r="B6" s="146"/>
    </row>
    <row r="7" spans="1:4" ht="20.5" thickTop="1" x14ac:dyDescent="0.3">
      <c r="A7" s="145"/>
    </row>
    <row r="8" spans="1:4" ht="14" x14ac:dyDescent="0.3"/>
    <row r="9" spans="1:4" s="142" customFormat="1" ht="14" x14ac:dyDescent="0.35">
      <c r="A9" s="147" t="s">
        <v>119</v>
      </c>
      <c r="B9" s="148" t="s">
        <v>120</v>
      </c>
      <c r="C9" s="149" t="s">
        <v>121</v>
      </c>
      <c r="D9" s="150" t="s">
        <v>122</v>
      </c>
    </row>
    <row r="10" spans="1:4" ht="14" x14ac:dyDescent="0.3">
      <c r="A10" s="151"/>
      <c r="B10" s="152"/>
      <c r="C10" s="153"/>
      <c r="D10" s="154"/>
    </row>
    <row r="11" spans="1:4" ht="14" x14ac:dyDescent="0.3">
      <c r="A11" s="151"/>
      <c r="B11" s="152"/>
      <c r="C11" s="155"/>
      <c r="D11" s="156"/>
    </row>
    <row r="12" spans="1:4" ht="14" x14ac:dyDescent="0.3">
      <c r="A12" s="151"/>
      <c r="B12" s="152"/>
      <c r="C12" s="155"/>
      <c r="D12" s="156"/>
    </row>
    <row r="13" spans="1:4" ht="14" x14ac:dyDescent="0.3">
      <c r="A13" s="157"/>
      <c r="B13" s="158"/>
      <c r="C13" s="159"/>
      <c r="D13" s="154"/>
    </row>
    <row r="14" spans="1:4" ht="14" x14ac:dyDescent="0.3">
      <c r="A14" s="151"/>
      <c r="B14" s="152"/>
      <c r="C14" s="160"/>
      <c r="D14" s="161"/>
    </row>
    <row r="15" spans="1:4" ht="14" x14ac:dyDescent="0.3">
      <c r="A15" s="157"/>
      <c r="B15" s="158"/>
      <c r="C15" s="162"/>
      <c r="D15" s="163"/>
    </row>
    <row r="16" spans="1:4" ht="14" x14ac:dyDescent="0.3">
      <c r="A16" s="151"/>
      <c r="B16" s="152"/>
      <c r="C16" s="160"/>
      <c r="D16" s="154"/>
    </row>
    <row r="17" spans="1:4" ht="14" x14ac:dyDescent="0.3">
      <c r="A17" s="151"/>
      <c r="B17" s="152"/>
      <c r="C17" s="153"/>
      <c r="D17" s="154"/>
    </row>
    <row r="18" spans="1:4" ht="14" x14ac:dyDescent="0.3">
      <c r="A18" s="151"/>
      <c r="B18" s="152"/>
      <c r="C18" s="160"/>
      <c r="D18" s="154"/>
    </row>
    <row r="19" spans="1:4" ht="14" x14ac:dyDescent="0.3">
      <c r="A19" s="151"/>
      <c r="B19" s="152"/>
      <c r="C19" s="160"/>
      <c r="D19" s="154"/>
    </row>
    <row r="20" spans="1:4" ht="14" x14ac:dyDescent="0.3">
      <c r="A20" s="151"/>
      <c r="B20" s="152"/>
      <c r="C20" s="162"/>
      <c r="D20" s="163"/>
    </row>
    <row r="21" spans="1:4" ht="14" x14ac:dyDescent="0.3">
      <c r="A21" s="151"/>
      <c r="B21" s="152"/>
      <c r="C21" s="160"/>
      <c r="D21" s="154"/>
    </row>
    <row r="22" spans="1:4" ht="14" x14ac:dyDescent="0.3">
      <c r="A22" s="151"/>
      <c r="B22" s="152"/>
      <c r="C22" s="160"/>
      <c r="D22" s="154"/>
    </row>
    <row r="23" spans="1:4" ht="14" x14ac:dyDescent="0.3">
      <c r="A23" s="151"/>
      <c r="B23" s="152"/>
      <c r="C23" s="160"/>
      <c r="D23" s="154"/>
    </row>
    <row r="24" spans="1:4" ht="14" x14ac:dyDescent="0.3">
      <c r="A24" s="151"/>
      <c r="B24" s="152"/>
      <c r="C24" s="160"/>
      <c r="D24" s="154"/>
    </row>
    <row r="25" spans="1:4" ht="14" x14ac:dyDescent="0.3">
      <c r="A25" s="151"/>
      <c r="B25" s="152"/>
      <c r="C25" s="160"/>
      <c r="D25" s="154"/>
    </row>
    <row r="26" spans="1:4" ht="14" x14ac:dyDescent="0.3">
      <c r="A26" s="151"/>
      <c r="B26" s="152"/>
      <c r="C26" s="160"/>
      <c r="D26" s="154"/>
    </row>
    <row r="27" spans="1:4" ht="14" x14ac:dyDescent="0.3">
      <c r="A27" s="151"/>
      <c r="B27" s="152"/>
      <c r="C27" s="160"/>
      <c r="D27" s="154"/>
    </row>
    <row r="28" spans="1:4" ht="14" x14ac:dyDescent="0.3">
      <c r="A28" s="151"/>
      <c r="B28" s="152"/>
      <c r="C28" s="160"/>
      <c r="D28" s="154"/>
    </row>
    <row r="29" spans="1:4" ht="14" x14ac:dyDescent="0.3">
      <c r="A29" s="151"/>
      <c r="B29" s="152"/>
      <c r="C29" s="160"/>
      <c r="D29" s="154"/>
    </row>
    <row r="30" spans="1:4" ht="14" x14ac:dyDescent="0.3">
      <c r="A30" s="151"/>
      <c r="B30" s="152"/>
      <c r="C30" s="159"/>
      <c r="D30" s="154"/>
    </row>
    <row r="31" spans="1:4" ht="14" x14ac:dyDescent="0.3">
      <c r="A31" s="151"/>
      <c r="B31" s="152"/>
      <c r="C31" s="159"/>
      <c r="D31" s="164"/>
    </row>
    <row r="32" spans="1:4" ht="14" x14ac:dyDescent="0.3">
      <c r="A32" s="151"/>
      <c r="B32" s="152"/>
      <c r="C32" s="159"/>
      <c r="D32" s="154"/>
    </row>
    <row r="33" spans="1:4" ht="14" x14ac:dyDescent="0.3">
      <c r="A33" s="151"/>
      <c r="B33" s="152"/>
      <c r="C33" s="160"/>
      <c r="D33" s="154"/>
    </row>
    <row r="34" spans="1:4" ht="14" x14ac:dyDescent="0.3">
      <c r="A34" s="151"/>
      <c r="B34" s="152"/>
      <c r="C34" s="160"/>
      <c r="D34" s="165"/>
    </row>
    <row r="35" spans="1:4" ht="14" x14ac:dyDescent="0.3">
      <c r="A35" s="151"/>
      <c r="B35" s="152"/>
      <c r="C35" s="160"/>
      <c r="D35" s="154"/>
    </row>
    <row r="36" spans="1:4" ht="14" x14ac:dyDescent="0.3">
      <c r="A36" s="166"/>
      <c r="B36" s="167"/>
      <c r="C36" s="168"/>
      <c r="D36" s="169"/>
    </row>
    <row r="37" spans="1:4" ht="14" x14ac:dyDescent="0.3">
      <c r="C37" s="170"/>
      <c r="D37" s="171"/>
    </row>
    <row r="38" spans="1:4" ht="14" x14ac:dyDescent="0.3">
      <c r="C38" s="170"/>
      <c r="D38" s="171"/>
    </row>
    <row r="39" spans="1:4" ht="14" x14ac:dyDescent="0.3">
      <c r="C39" s="170"/>
      <c r="D39" s="171"/>
    </row>
    <row r="40" spans="1:4" ht="14" x14ac:dyDescent="0.3">
      <c r="C40" s="170"/>
      <c r="D40" s="171"/>
    </row>
    <row r="41" spans="1:4" ht="14" x14ac:dyDescent="0.3">
      <c r="C41" s="170"/>
      <c r="D41" s="171"/>
    </row>
    <row r="42" spans="1:4" ht="14" x14ac:dyDescent="0.3">
      <c r="C42" s="172"/>
      <c r="D42" s="171"/>
    </row>
    <row r="43" spans="1:4" ht="14" x14ac:dyDescent="0.3">
      <c r="C43" s="173"/>
      <c r="D43" s="171"/>
    </row>
    <row r="44" spans="1:4" ht="14" x14ac:dyDescent="0.3">
      <c r="C44" s="172"/>
      <c r="D44" s="172"/>
    </row>
    <row r="45" spans="1:4" ht="14" x14ac:dyDescent="0.3">
      <c r="C45" s="172"/>
      <c r="D45" s="171"/>
    </row>
    <row r="46" spans="1:4" ht="14" x14ac:dyDescent="0.3">
      <c r="C46" s="172"/>
      <c r="D46" s="171"/>
    </row>
    <row r="47" spans="1:4" ht="14" x14ac:dyDescent="0.3">
      <c r="C47" s="172"/>
      <c r="D47" s="171"/>
    </row>
    <row r="48" spans="1:4" ht="14" x14ac:dyDescent="0.3">
      <c r="C48" s="172"/>
      <c r="D48" s="171"/>
    </row>
    <row r="49" spans="1:4" ht="14" x14ac:dyDescent="0.3">
      <c r="C49" s="172"/>
      <c r="D49" s="171"/>
    </row>
    <row r="50" spans="1:4" ht="14" x14ac:dyDescent="0.3">
      <c r="C50" s="172"/>
      <c r="D50" s="171"/>
    </row>
    <row r="51" spans="1:4" ht="14" x14ac:dyDescent="0.3">
      <c r="C51" s="173"/>
      <c r="D51" s="171"/>
    </row>
    <row r="52" spans="1:4" ht="14" x14ac:dyDescent="0.3">
      <c r="C52" s="172"/>
      <c r="D52" s="171"/>
    </row>
    <row r="53" spans="1:4" ht="14" x14ac:dyDescent="0.3">
      <c r="C53" s="172"/>
      <c r="D53" s="171"/>
    </row>
    <row r="54" spans="1:4" ht="14" x14ac:dyDescent="0.3">
      <c r="C54" s="174"/>
      <c r="D54" s="171"/>
    </row>
    <row r="55" spans="1:4" ht="14" x14ac:dyDescent="0.3">
      <c r="C55" s="174"/>
      <c r="D55" s="175"/>
    </row>
    <row r="56" spans="1:4" ht="14" x14ac:dyDescent="0.3">
      <c r="C56" s="174"/>
      <c r="D56" s="175"/>
    </row>
    <row r="57" spans="1:4" ht="14" x14ac:dyDescent="0.3">
      <c r="C57" s="174"/>
      <c r="D57" s="175"/>
    </row>
    <row r="58" spans="1:4" ht="14" x14ac:dyDescent="0.3">
      <c r="C58" s="174"/>
      <c r="D58" s="175"/>
    </row>
    <row r="59" spans="1:4" ht="14" x14ac:dyDescent="0.3">
      <c r="C59" s="174"/>
      <c r="D59" s="175"/>
    </row>
    <row r="60" spans="1:4" ht="14" x14ac:dyDescent="0.3">
      <c r="A60" s="176"/>
      <c r="B60" s="176"/>
      <c r="C60" s="174"/>
      <c r="D60" s="175"/>
    </row>
    <row r="61" spans="1:4" ht="14" x14ac:dyDescent="0.3">
      <c r="C61" s="174"/>
      <c r="D61" s="175"/>
    </row>
    <row r="62" spans="1:4" ht="14" x14ac:dyDescent="0.3">
      <c r="C62" s="174"/>
      <c r="D62" s="175"/>
    </row>
    <row r="63" spans="1:4" ht="14" x14ac:dyDescent="0.3">
      <c r="C63" s="174"/>
      <c r="D63" s="175"/>
    </row>
    <row r="64" spans="1:4" ht="14" x14ac:dyDescent="0.3">
      <c r="C64" s="174"/>
      <c r="D64" s="175"/>
    </row>
    <row r="65" spans="3:4" ht="14" x14ac:dyDescent="0.3">
      <c r="C65" s="170"/>
      <c r="D65" s="177"/>
    </row>
    <row r="66" spans="3:4" ht="14" x14ac:dyDescent="0.3">
      <c r="C66" s="174"/>
      <c r="D66" s="175"/>
    </row>
    <row r="67" spans="3:4" ht="14" x14ac:dyDescent="0.3">
      <c r="C67" s="175"/>
      <c r="D67" s="175"/>
    </row>
    <row r="68" spans="3:4" ht="14" x14ac:dyDescent="0.3">
      <c r="C68" s="170"/>
      <c r="D68" s="175"/>
    </row>
    <row r="69" spans="3:4" ht="14" x14ac:dyDescent="0.3">
      <c r="C69" s="175"/>
      <c r="D69" s="175"/>
    </row>
    <row r="70" spans="3:4" ht="14" x14ac:dyDescent="0.3">
      <c r="C70" s="174"/>
      <c r="D70" s="174"/>
    </row>
    <row r="71" spans="3:4" ht="14" x14ac:dyDescent="0.3">
      <c r="C71" s="170"/>
      <c r="D71" s="178"/>
    </row>
    <row r="72" spans="3:4" ht="14" x14ac:dyDescent="0.3">
      <c r="C72" s="179"/>
      <c r="D72" s="178"/>
    </row>
    <row r="73" spans="3:4" ht="14" x14ac:dyDescent="0.3">
      <c r="C73" s="179"/>
      <c r="D73" s="175"/>
    </row>
    <row r="74" spans="3:4" ht="14" x14ac:dyDescent="0.3">
      <c r="C74" s="170"/>
      <c r="D74" s="175"/>
    </row>
    <row r="75" spans="3:4" ht="14" x14ac:dyDescent="0.3">
      <c r="C75" s="174"/>
      <c r="D75" s="175"/>
    </row>
    <row r="76" spans="3:4" ht="14" x14ac:dyDescent="0.3">
      <c r="C76" s="170"/>
      <c r="D76" s="175"/>
    </row>
    <row r="77" spans="3:4" ht="14" x14ac:dyDescent="0.3">
      <c r="C77" s="174"/>
      <c r="D77" s="175"/>
    </row>
    <row r="78" spans="3:4" ht="14" x14ac:dyDescent="0.3">
      <c r="C78" s="174"/>
      <c r="D78" s="175"/>
    </row>
    <row r="79" spans="3:4" ht="14" x14ac:dyDescent="0.3">
      <c r="C79" s="170"/>
      <c r="D79" s="175"/>
    </row>
    <row r="80" spans="3:4" ht="14" x14ac:dyDescent="0.3">
      <c r="C80" s="170"/>
      <c r="D80" s="175"/>
    </row>
    <row r="81" spans="3:4" ht="14" x14ac:dyDescent="0.3">
      <c r="C81" s="179"/>
      <c r="D81" s="175"/>
    </row>
    <row r="82" spans="3:4" ht="14" x14ac:dyDescent="0.3">
      <c r="C82" s="179"/>
      <c r="D82" s="175"/>
    </row>
    <row r="83" spans="3:4" ht="14" x14ac:dyDescent="0.3">
      <c r="C83" s="174"/>
      <c r="D83" s="180"/>
    </row>
    <row r="84" spans="3:4" ht="14" x14ac:dyDescent="0.3">
      <c r="C84" s="174"/>
      <c r="D84" s="175"/>
    </row>
    <row r="85" spans="3:4" ht="14" x14ac:dyDescent="0.3">
      <c r="D85" s="175"/>
    </row>
    <row r="86" spans="3:4" ht="14" x14ac:dyDescent="0.3">
      <c r="C86" s="174"/>
      <c r="D86" s="175"/>
    </row>
    <row r="87" spans="3:4" ht="14" x14ac:dyDescent="0.3">
      <c r="C87" s="174"/>
      <c r="D87" s="175"/>
    </row>
    <row r="88" spans="3:4" ht="14" x14ac:dyDescent="0.3">
      <c r="C88" s="174"/>
      <c r="D88" s="175"/>
    </row>
    <row r="89" spans="3:4" ht="14" x14ac:dyDescent="0.3">
      <c r="C89" s="174"/>
      <c r="D89" s="175"/>
    </row>
    <row r="90" spans="3:4" ht="14" x14ac:dyDescent="0.3">
      <c r="C90" s="170"/>
      <c r="D90" s="175"/>
    </row>
    <row r="91" spans="3:4" ht="14" x14ac:dyDescent="0.3">
      <c r="C91" s="170"/>
      <c r="D91" s="175"/>
    </row>
    <row r="92" spans="3:4" ht="14" x14ac:dyDescent="0.3">
      <c r="C92" s="174"/>
      <c r="D92" s="175"/>
    </row>
    <row r="93" spans="3:4" ht="14" x14ac:dyDescent="0.3">
      <c r="C93" s="174"/>
      <c r="D93" s="175"/>
    </row>
    <row r="94" spans="3:4" ht="14" x14ac:dyDescent="0.3">
      <c r="C94" s="170"/>
      <c r="D94" s="175"/>
    </row>
    <row r="95" spans="3:4" ht="14" x14ac:dyDescent="0.3">
      <c r="C95" s="170"/>
      <c r="D95" s="175"/>
    </row>
    <row r="96" spans="3:4" ht="14" x14ac:dyDescent="0.3">
      <c r="C96" s="170"/>
      <c r="D96" s="175"/>
    </row>
    <row r="97" spans="3:4" ht="14" x14ac:dyDescent="0.3">
      <c r="C97" s="170"/>
      <c r="D97" s="175"/>
    </row>
    <row r="98" spans="3:4" ht="14" x14ac:dyDescent="0.3">
      <c r="C98" s="170"/>
      <c r="D98" s="175"/>
    </row>
    <row r="99" spans="3:4" ht="14" x14ac:dyDescent="0.3">
      <c r="C99" s="170"/>
      <c r="D99" s="175"/>
    </row>
    <row r="100" spans="3:4" ht="14" x14ac:dyDescent="0.3">
      <c r="C100" s="170"/>
      <c r="D100" s="175"/>
    </row>
    <row r="101" spans="3:4" ht="14" x14ac:dyDescent="0.3">
      <c r="C101" s="170"/>
      <c r="D101" s="175"/>
    </row>
    <row r="102" spans="3:4" ht="14" x14ac:dyDescent="0.3">
      <c r="C102" s="170"/>
      <c r="D102" s="175"/>
    </row>
    <row r="103" spans="3:4" ht="14" x14ac:dyDescent="0.3">
      <c r="C103" s="170"/>
      <c r="D103" s="175"/>
    </row>
    <row r="104" spans="3:4" ht="14" x14ac:dyDescent="0.3">
      <c r="C104" s="170"/>
      <c r="D104" s="175"/>
    </row>
    <row r="105" spans="3:4" ht="14" x14ac:dyDescent="0.3">
      <c r="C105" s="170"/>
      <c r="D105" s="175"/>
    </row>
    <row r="106" spans="3:4" ht="14" x14ac:dyDescent="0.3">
      <c r="C106" s="170"/>
      <c r="D106" s="175"/>
    </row>
    <row r="107" spans="3:4" ht="14" x14ac:dyDescent="0.3">
      <c r="C107" s="170"/>
      <c r="D107" s="175"/>
    </row>
    <row r="108" spans="3:4" ht="14" x14ac:dyDescent="0.3">
      <c r="C108" s="170"/>
      <c r="D108" s="175"/>
    </row>
    <row r="109" spans="3:4" ht="14" x14ac:dyDescent="0.3">
      <c r="C109" s="174"/>
      <c r="D109" s="175"/>
    </row>
    <row r="110" spans="3:4" ht="14" x14ac:dyDescent="0.3">
      <c r="C110" s="174"/>
      <c r="D110" s="175"/>
    </row>
    <row r="111" spans="3:4" ht="14" x14ac:dyDescent="0.3">
      <c r="C111" s="174"/>
      <c r="D111" s="175"/>
    </row>
    <row r="112" spans="3:4" ht="14" x14ac:dyDescent="0.3">
      <c r="C112" s="174"/>
      <c r="D112" s="175"/>
    </row>
    <row r="113" spans="3:4" ht="14" x14ac:dyDescent="0.3">
      <c r="C113" s="174"/>
      <c r="D113" s="175"/>
    </row>
    <row r="114" spans="3:4" ht="14" x14ac:dyDescent="0.3">
      <c r="C114" s="174"/>
      <c r="D114" s="175"/>
    </row>
    <row r="115" spans="3:4" ht="14" x14ac:dyDescent="0.3">
      <c r="C115" s="170"/>
      <c r="D115" s="175"/>
    </row>
    <row r="116" spans="3:4" ht="14" x14ac:dyDescent="0.3">
      <c r="C116" s="174"/>
      <c r="D116" s="175"/>
    </row>
    <row r="117" spans="3:4" ht="14" x14ac:dyDescent="0.3">
      <c r="C117" s="174"/>
      <c r="D117" s="175"/>
    </row>
    <row r="118" spans="3:4" ht="14" x14ac:dyDescent="0.3">
      <c r="C118" s="170"/>
      <c r="D118" s="175"/>
    </row>
    <row r="119" spans="3:4" ht="14" x14ac:dyDescent="0.3">
      <c r="C119" s="174"/>
      <c r="D119" s="179"/>
    </row>
    <row r="120" spans="3:4" ht="14" x14ac:dyDescent="0.3">
      <c r="C120" s="174"/>
      <c r="D120" s="175"/>
    </row>
    <row r="121" spans="3:4" ht="14" x14ac:dyDescent="0.3">
      <c r="C121" s="174"/>
      <c r="D121" s="175"/>
    </row>
    <row r="122" spans="3:4" ht="14" x14ac:dyDescent="0.3">
      <c r="C122" s="174"/>
      <c r="D122" s="175"/>
    </row>
    <row r="123" spans="3:4" ht="14" x14ac:dyDescent="0.3">
      <c r="C123" s="170"/>
      <c r="D123" s="175"/>
    </row>
    <row r="124" spans="3:4" ht="14" x14ac:dyDescent="0.3">
      <c r="C124" s="174"/>
      <c r="D124" s="175"/>
    </row>
    <row r="125" spans="3:4" ht="14" x14ac:dyDescent="0.3">
      <c r="C125" s="174"/>
      <c r="D125" s="175"/>
    </row>
    <row r="126" spans="3:4" ht="14" x14ac:dyDescent="0.3">
      <c r="C126" s="170"/>
      <c r="D126" s="175"/>
    </row>
    <row r="127" spans="3:4" ht="14" x14ac:dyDescent="0.3">
      <c r="C127" s="170"/>
      <c r="D127" s="175"/>
    </row>
    <row r="128" spans="3:4" ht="14" x14ac:dyDescent="0.3">
      <c r="C128" s="170"/>
      <c r="D128" s="175"/>
    </row>
    <row r="129" spans="3:4" ht="14" x14ac:dyDescent="0.3">
      <c r="C129" s="170"/>
      <c r="D129" s="175"/>
    </row>
    <row r="130" spans="3:4" ht="14" x14ac:dyDescent="0.3">
      <c r="C130" s="170"/>
      <c r="D130" s="175"/>
    </row>
    <row r="131" spans="3:4" ht="14" x14ac:dyDescent="0.3">
      <c r="C131" s="170"/>
      <c r="D131" s="175"/>
    </row>
    <row r="132" spans="3:4" ht="14" x14ac:dyDescent="0.3">
      <c r="C132" s="170"/>
      <c r="D132" s="175"/>
    </row>
    <row r="133" spans="3:4" ht="14" x14ac:dyDescent="0.3">
      <c r="C133" s="174"/>
      <c r="D133" s="175"/>
    </row>
    <row r="134" spans="3:4" ht="14" x14ac:dyDescent="0.3">
      <c r="C134" s="174"/>
      <c r="D134" s="175"/>
    </row>
    <row r="135" spans="3:4" ht="14" x14ac:dyDescent="0.3">
      <c r="C135" s="170"/>
      <c r="D135" s="175"/>
    </row>
    <row r="136" spans="3:4" ht="14" x14ac:dyDescent="0.3">
      <c r="C136" s="170"/>
      <c r="D136" s="175"/>
    </row>
    <row r="137" spans="3:4" ht="14" x14ac:dyDescent="0.3">
      <c r="C137" s="170"/>
      <c r="D137" s="175"/>
    </row>
    <row r="138" spans="3:4" ht="14" x14ac:dyDescent="0.3">
      <c r="C138" s="170"/>
      <c r="D138" s="175"/>
    </row>
    <row r="139" spans="3:4" ht="14" x14ac:dyDescent="0.3">
      <c r="C139" s="174"/>
      <c r="D139" s="175"/>
    </row>
    <row r="140" spans="3:4" ht="14" x14ac:dyDescent="0.3">
      <c r="C140" s="170"/>
      <c r="D140" s="175"/>
    </row>
    <row r="141" spans="3:4" ht="14" x14ac:dyDescent="0.3">
      <c r="C141" s="170"/>
      <c r="D141" s="175"/>
    </row>
    <row r="142" spans="3:4" ht="14" x14ac:dyDescent="0.3">
      <c r="C142" s="170"/>
      <c r="D142" s="175"/>
    </row>
    <row r="143" spans="3:4" ht="14" x14ac:dyDescent="0.3">
      <c r="C143" s="174"/>
      <c r="D143" s="175"/>
    </row>
    <row r="144" spans="3:4" ht="14" x14ac:dyDescent="0.3">
      <c r="C144" s="174"/>
      <c r="D144" s="175"/>
    </row>
    <row r="145" spans="3:4" ht="14" x14ac:dyDescent="0.3">
      <c r="C145" s="174"/>
      <c r="D145" s="175"/>
    </row>
    <row r="146" spans="3:4" ht="14" x14ac:dyDescent="0.3">
      <c r="C146" s="174"/>
      <c r="D146" s="175"/>
    </row>
    <row r="147" spans="3:4" ht="14" x14ac:dyDescent="0.3">
      <c r="C147" s="174"/>
      <c r="D147" s="175"/>
    </row>
    <row r="148" spans="3:4" ht="14" x14ac:dyDescent="0.3">
      <c r="C148" s="170"/>
      <c r="D148" s="175"/>
    </row>
    <row r="149" spans="3:4" ht="14" x14ac:dyDescent="0.3">
      <c r="C149" s="174"/>
      <c r="D149" s="175"/>
    </row>
    <row r="150" spans="3:4" ht="14" x14ac:dyDescent="0.3">
      <c r="C150" s="174"/>
      <c r="D150" s="174"/>
    </row>
    <row r="151" spans="3:4" ht="14" x14ac:dyDescent="0.3">
      <c r="C151" s="174"/>
      <c r="D151" s="175"/>
    </row>
    <row r="152" spans="3:4" ht="14" x14ac:dyDescent="0.3">
      <c r="C152" s="174"/>
      <c r="D152" s="175"/>
    </row>
    <row r="153" spans="3:4" ht="14" x14ac:dyDescent="0.3">
      <c r="C153" s="170"/>
      <c r="D153" s="174"/>
    </row>
    <row r="154" spans="3:4" ht="14" x14ac:dyDescent="0.3">
      <c r="C154" s="174"/>
      <c r="D154" s="175"/>
    </row>
    <row r="155" spans="3:4" ht="14" x14ac:dyDescent="0.3">
      <c r="C155" s="174"/>
      <c r="D155" s="174"/>
    </row>
    <row r="156" spans="3:4" ht="14" x14ac:dyDescent="0.3">
      <c r="C156" s="174"/>
      <c r="D156" s="174"/>
    </row>
    <row r="157" spans="3:4" ht="14" x14ac:dyDescent="0.3">
      <c r="C157" s="174"/>
      <c r="D157" s="174"/>
    </row>
    <row r="158" spans="3:4" ht="14" x14ac:dyDescent="0.3">
      <c r="C158" s="174"/>
      <c r="D158" s="174"/>
    </row>
    <row r="159" spans="3:4" ht="14" x14ac:dyDescent="0.3">
      <c r="C159" s="170"/>
      <c r="D159" s="175"/>
    </row>
    <row r="160" spans="3:4" ht="14" x14ac:dyDescent="0.3">
      <c r="C160" s="174"/>
      <c r="D160" s="175"/>
    </row>
    <row r="161" spans="3:4" ht="14" x14ac:dyDescent="0.3">
      <c r="C161" s="170"/>
      <c r="D161" s="174"/>
    </row>
    <row r="162" spans="3:4" ht="14" x14ac:dyDescent="0.3">
      <c r="C162" s="174"/>
      <c r="D162" s="174"/>
    </row>
    <row r="163" spans="3:4" ht="14" x14ac:dyDescent="0.3">
      <c r="C163" s="174"/>
      <c r="D163" s="174"/>
    </row>
    <row r="164" spans="3:4" ht="14" x14ac:dyDescent="0.3">
      <c r="C164" s="170"/>
      <c r="D164" s="174"/>
    </row>
    <row r="165" spans="3:4" ht="14" x14ac:dyDescent="0.3">
      <c r="C165" s="170"/>
      <c r="D165" s="175"/>
    </row>
    <row r="166" spans="3:4" ht="14" x14ac:dyDescent="0.3">
      <c r="C166" s="174"/>
      <c r="D166" s="175"/>
    </row>
    <row r="167" spans="3:4" ht="14" x14ac:dyDescent="0.3">
      <c r="C167" s="170"/>
      <c r="D167" s="174"/>
    </row>
    <row r="168" spans="3:4" ht="14" x14ac:dyDescent="0.3">
      <c r="C168" s="174"/>
      <c r="D168" s="174"/>
    </row>
    <row r="169" spans="3:4" ht="14" x14ac:dyDescent="0.3">
      <c r="C169" s="170"/>
      <c r="D169" s="174"/>
    </row>
    <row r="170" spans="3:4" ht="14" x14ac:dyDescent="0.3">
      <c r="C170" s="170"/>
      <c r="D170" s="174"/>
    </row>
    <row r="171" spans="3:4" ht="14" x14ac:dyDescent="0.3">
      <c r="C171" s="174"/>
      <c r="D171" s="174"/>
    </row>
    <row r="172" spans="3:4" ht="14" x14ac:dyDescent="0.3">
      <c r="C172" s="174"/>
      <c r="D172" s="174"/>
    </row>
    <row r="173" spans="3:4" ht="14" x14ac:dyDescent="0.3">
      <c r="C173" s="170"/>
      <c r="D173" s="174"/>
    </row>
    <row r="174" spans="3:4" ht="14" x14ac:dyDescent="0.3">
      <c r="C174" s="170"/>
      <c r="D174" s="174"/>
    </row>
    <row r="175" spans="3:4" ht="14" x14ac:dyDescent="0.3">
      <c r="C175" s="170"/>
      <c r="D175" s="174"/>
    </row>
    <row r="176" spans="3:4" ht="14" x14ac:dyDescent="0.3">
      <c r="C176" s="170"/>
      <c r="D176" s="174"/>
    </row>
    <row r="177" spans="3:4" ht="14" x14ac:dyDescent="0.3">
      <c r="C177" s="174"/>
      <c r="D177" s="174"/>
    </row>
    <row r="178" spans="3:4" ht="14" x14ac:dyDescent="0.3">
      <c r="C178" s="174"/>
      <c r="D178" s="174"/>
    </row>
    <row r="179" spans="3:4" ht="14" x14ac:dyDescent="0.3">
      <c r="C179" s="174"/>
      <c r="D179" s="174"/>
    </row>
    <row r="180" spans="3:4" ht="14" x14ac:dyDescent="0.3">
      <c r="C180" s="170"/>
      <c r="D180" s="174"/>
    </row>
    <row r="181" spans="3:4" ht="14" x14ac:dyDescent="0.3">
      <c r="C181" s="174"/>
      <c r="D181" s="174"/>
    </row>
    <row r="182" spans="3:4" ht="14" x14ac:dyDescent="0.3">
      <c r="C182" s="174"/>
      <c r="D182" s="174"/>
    </row>
    <row r="183" spans="3:4" ht="14" x14ac:dyDescent="0.3">
      <c r="C183" s="174"/>
      <c r="D183" s="174"/>
    </row>
    <row r="184" spans="3:4" ht="14" x14ac:dyDescent="0.3">
      <c r="C184" s="174"/>
      <c r="D184" s="174"/>
    </row>
    <row r="185" spans="3:4" ht="14" x14ac:dyDescent="0.3">
      <c r="C185" s="174"/>
      <c r="D185" s="174"/>
    </row>
    <row r="186" spans="3:4" ht="14" x14ac:dyDescent="0.3">
      <c r="C186" s="170"/>
      <c r="D186" s="174"/>
    </row>
    <row r="187" spans="3:4" ht="14" x14ac:dyDescent="0.3">
      <c r="C187" s="170"/>
      <c r="D187" s="175"/>
    </row>
    <row r="188" spans="3:4" ht="14" x14ac:dyDescent="0.3">
      <c r="C188" s="170"/>
      <c r="D188" s="175"/>
    </row>
    <row r="189" spans="3:4" ht="14" x14ac:dyDescent="0.3">
      <c r="C189" s="170"/>
      <c r="D189" s="179"/>
    </row>
    <row r="190" spans="3:4" ht="14" x14ac:dyDescent="0.3">
      <c r="C190" s="170"/>
      <c r="D190" s="179"/>
    </row>
    <row r="191" spans="3:4" ht="14" x14ac:dyDescent="0.3">
      <c r="C191" s="170"/>
      <c r="D191" s="181"/>
    </row>
    <row r="192" spans="3:4" ht="14" x14ac:dyDescent="0.3">
      <c r="C192" s="170"/>
      <c r="D192" s="179"/>
    </row>
    <row r="193" spans="3:4" ht="14" x14ac:dyDescent="0.3">
      <c r="C193" s="170"/>
      <c r="D193" s="179"/>
    </row>
    <row r="194" spans="3:4" ht="14" x14ac:dyDescent="0.3">
      <c r="C194" s="170"/>
      <c r="D194" s="179"/>
    </row>
    <row r="195" spans="3:4" ht="14" x14ac:dyDescent="0.3">
      <c r="C195" s="170"/>
      <c r="D195" s="179"/>
    </row>
    <row r="196" spans="3:4" ht="14" x14ac:dyDescent="0.3">
      <c r="C196" s="170"/>
      <c r="D196" s="179"/>
    </row>
    <row r="197" spans="3:4" ht="14" x14ac:dyDescent="0.3">
      <c r="C197" s="170"/>
      <c r="D197" s="179"/>
    </row>
    <row r="198" spans="3:4" ht="14" x14ac:dyDescent="0.3">
      <c r="C198" s="170"/>
      <c r="D198" s="179"/>
    </row>
    <row r="199" spans="3:4" ht="14" x14ac:dyDescent="0.3">
      <c r="C199" s="170"/>
      <c r="D199" s="179"/>
    </row>
    <row r="200" spans="3:4" ht="14" x14ac:dyDescent="0.3">
      <c r="C200" s="170"/>
      <c r="D200" s="179"/>
    </row>
    <row r="201" spans="3:4" ht="14" x14ac:dyDescent="0.3">
      <c r="C201" s="170"/>
      <c r="D201" s="179"/>
    </row>
    <row r="202" spans="3:4" ht="14" x14ac:dyDescent="0.3">
      <c r="C202" s="170"/>
      <c r="D202" s="179"/>
    </row>
    <row r="203" spans="3:4" ht="14" x14ac:dyDescent="0.3">
      <c r="C203" s="170"/>
      <c r="D203" s="179"/>
    </row>
    <row r="204" spans="3:4" ht="14" x14ac:dyDescent="0.3">
      <c r="C204" s="170"/>
      <c r="D204" s="179"/>
    </row>
    <row r="205" spans="3:4" ht="14" x14ac:dyDescent="0.3">
      <c r="C205" s="170"/>
      <c r="D205" s="179"/>
    </row>
    <row r="206" spans="3:4" ht="14" x14ac:dyDescent="0.3">
      <c r="C206" s="170"/>
    </row>
    <row r="207" spans="3:4" ht="14" x14ac:dyDescent="0.3">
      <c r="C207" s="170"/>
    </row>
    <row r="208" spans="3:4" ht="14" x14ac:dyDescent="0.3">
      <c r="C208" s="170"/>
    </row>
    <row r="209" spans="3:3" ht="14" x14ac:dyDescent="0.3">
      <c r="C209" s="170"/>
    </row>
    <row r="210" spans="3:3" ht="14" x14ac:dyDescent="0.3">
      <c r="C210" s="170"/>
    </row>
    <row r="211" spans="3:3" ht="14" x14ac:dyDescent="0.3">
      <c r="C211" s="170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0460-5DAC-4947-AF61-139C3753A8C1}">
  <sheetPr>
    <tabColor rgb="FFFFC000"/>
  </sheetPr>
  <dimension ref="A2:M64"/>
  <sheetViews>
    <sheetView showGridLines="0" workbookViewId="0">
      <selection activeCell="E18" sqref="E18"/>
    </sheetView>
  </sheetViews>
  <sheetFormatPr baseColWidth="10" defaultRowHeight="12.5" x14ac:dyDescent="0.25"/>
  <cols>
    <col min="1" max="1" width="7.81640625" style="184" customWidth="1"/>
    <col min="2" max="2" width="7.54296875" style="183" customWidth="1"/>
    <col min="3" max="3" width="3.7265625" style="184" customWidth="1"/>
    <col min="4" max="4" width="8.1796875" style="184" customWidth="1"/>
    <col min="5" max="5" width="6.7265625" style="184" customWidth="1"/>
    <col min="6" max="6" width="4.54296875" style="184" customWidth="1"/>
    <col min="7" max="7" width="8.453125" style="184" customWidth="1"/>
    <col min="8" max="8" width="7.81640625" style="184" customWidth="1"/>
    <col min="9" max="9" width="4.453125" style="184" customWidth="1"/>
    <col min="10" max="10" width="3.81640625" style="184" customWidth="1"/>
    <col min="11" max="11" width="7.81640625" style="184" customWidth="1"/>
    <col min="12" max="16384" width="10.90625" style="184"/>
  </cols>
  <sheetData>
    <row r="2" spans="1:13" x14ac:dyDescent="0.25">
      <c r="A2" s="182" t="s">
        <v>123</v>
      </c>
    </row>
    <row r="4" spans="1:13" ht="14.5" x14ac:dyDescent="0.35">
      <c r="A4" s="209" t="s">
        <v>2</v>
      </c>
      <c r="B4" s="210" t="s">
        <v>124</v>
      </c>
      <c r="C4"/>
      <c r="D4" s="209" t="s">
        <v>2</v>
      </c>
      <c r="E4" s="210" t="s">
        <v>124</v>
      </c>
      <c r="F4"/>
      <c r="G4" s="209" t="s">
        <v>2</v>
      </c>
      <c r="H4" s="210" t="s">
        <v>124</v>
      </c>
    </row>
    <row r="5" spans="1:13" ht="14.5" x14ac:dyDescent="0.35">
      <c r="A5" s="211">
        <v>46023</v>
      </c>
      <c r="B5" s="212">
        <f>+'[6]IPC - IPP COL'!P144</f>
        <v>1.02</v>
      </c>
      <c r="C5"/>
      <c r="D5" s="213">
        <v>47849</v>
      </c>
      <c r="E5" s="212">
        <f>+'[6]IPC - IPP COL'!P204</f>
        <v>1.17</v>
      </c>
      <c r="F5"/>
      <c r="G5" s="211">
        <v>49675</v>
      </c>
      <c r="H5" s="214">
        <f>+'[6]IPC - IPP COL'!P264</f>
        <v>1.35</v>
      </c>
      <c r="I5" s="208"/>
      <c r="L5" s="185"/>
      <c r="M5" s="186"/>
    </row>
    <row r="6" spans="1:13" ht="14.5" x14ac:dyDescent="0.35">
      <c r="A6" s="211">
        <v>46054</v>
      </c>
      <c r="B6" s="212">
        <f>+'[6]IPC - IPP COL'!P145</f>
        <v>1.02</v>
      </c>
      <c r="C6"/>
      <c r="D6" s="213">
        <v>47880</v>
      </c>
      <c r="E6" s="212">
        <f>+'[6]IPC - IPP COL'!P205</f>
        <v>1.17</v>
      </c>
      <c r="F6"/>
      <c r="G6" s="211">
        <v>49706</v>
      </c>
      <c r="H6" s="214">
        <f>+'[6]IPC - IPP COL'!P265</f>
        <v>1.36</v>
      </c>
      <c r="I6" s="208"/>
    </row>
    <row r="7" spans="1:13" ht="14.5" x14ac:dyDescent="0.35">
      <c r="A7" s="211">
        <v>46082</v>
      </c>
      <c r="B7" s="212">
        <f>+'[6]IPC - IPP COL'!P146</f>
        <v>1.03</v>
      </c>
      <c r="C7"/>
      <c r="D7" s="213">
        <v>47908</v>
      </c>
      <c r="E7" s="212">
        <f>+'[6]IPC - IPP COL'!P206</f>
        <v>1.17</v>
      </c>
      <c r="F7"/>
      <c r="G7" s="211">
        <v>49735</v>
      </c>
      <c r="H7" s="214">
        <f>+'[6]IPC - IPP COL'!P266</f>
        <v>1.36</v>
      </c>
      <c r="I7" s="208"/>
    </row>
    <row r="8" spans="1:13" ht="14.5" x14ac:dyDescent="0.35">
      <c r="A8" s="211">
        <v>46113</v>
      </c>
      <c r="B8" s="212">
        <f>+'[6]IPC - IPP COL'!P147</f>
        <v>1.03</v>
      </c>
      <c r="C8"/>
      <c r="D8" s="213">
        <v>47939</v>
      </c>
      <c r="E8" s="212">
        <f>+'[6]IPC - IPP COL'!P207</f>
        <v>1.17</v>
      </c>
      <c r="F8"/>
      <c r="G8" s="211">
        <v>49766</v>
      </c>
      <c r="H8" s="214">
        <f>+'[6]IPC - IPP COL'!P267</f>
        <v>1.36</v>
      </c>
      <c r="I8" s="208"/>
    </row>
    <row r="9" spans="1:13" ht="14.5" x14ac:dyDescent="0.35">
      <c r="A9" s="211">
        <v>46143</v>
      </c>
      <c r="B9" s="212">
        <f>+'[6]IPC - IPP COL'!P148</f>
        <v>1.03</v>
      </c>
      <c r="C9"/>
      <c r="D9" s="213">
        <v>47969</v>
      </c>
      <c r="E9" s="212">
        <f>+'[6]IPC - IPP COL'!P208</f>
        <v>1.18</v>
      </c>
      <c r="F9"/>
      <c r="G9" s="211">
        <v>49796</v>
      </c>
      <c r="H9" s="214">
        <f>+'[6]IPC - IPP COL'!P268</f>
        <v>1.36</v>
      </c>
      <c r="I9" s="208"/>
    </row>
    <row r="10" spans="1:13" ht="14.5" x14ac:dyDescent="0.35">
      <c r="A10" s="211">
        <v>46174</v>
      </c>
      <c r="B10" s="212">
        <f>+'[6]IPC - IPP COL'!P149</f>
        <v>1.03</v>
      </c>
      <c r="C10"/>
      <c r="D10" s="213">
        <v>48000</v>
      </c>
      <c r="E10" s="212">
        <f>+'[6]IPC - IPP COL'!P209</f>
        <v>1.18</v>
      </c>
      <c r="F10"/>
      <c r="G10" s="211">
        <v>49827</v>
      </c>
      <c r="H10" s="214">
        <f>+'[6]IPC - IPP COL'!P269</f>
        <v>1.37</v>
      </c>
      <c r="I10" s="208"/>
    </row>
    <row r="11" spans="1:13" ht="14.5" x14ac:dyDescent="0.35">
      <c r="A11" s="211">
        <v>46204</v>
      </c>
      <c r="B11" s="212">
        <f>+'[6]IPC - IPP COL'!P150</f>
        <v>1.03</v>
      </c>
      <c r="C11"/>
      <c r="D11" s="213">
        <v>48030</v>
      </c>
      <c r="E11" s="212">
        <f>+'[6]IPC - IPP COL'!P210</f>
        <v>1.18</v>
      </c>
      <c r="F11"/>
      <c r="G11" s="211">
        <v>49857</v>
      </c>
      <c r="H11" s="214">
        <f>+'[6]IPC - IPP COL'!P270</f>
        <v>1.37</v>
      </c>
      <c r="I11" s="208"/>
    </row>
    <row r="12" spans="1:13" ht="14.5" x14ac:dyDescent="0.35">
      <c r="A12" s="211">
        <v>46235</v>
      </c>
      <c r="B12" s="212">
        <f>+'[6]IPC - IPP COL'!P151</f>
        <v>1.03</v>
      </c>
      <c r="C12"/>
      <c r="D12" s="213">
        <v>48061</v>
      </c>
      <c r="E12" s="212">
        <f>+'[6]IPC - IPP COL'!P211</f>
        <v>1.18</v>
      </c>
      <c r="F12"/>
      <c r="G12" s="211">
        <v>49888</v>
      </c>
      <c r="H12" s="214">
        <f>+'[6]IPC - IPP COL'!P271</f>
        <v>1.37</v>
      </c>
      <c r="I12" s="208"/>
    </row>
    <row r="13" spans="1:13" ht="14.5" x14ac:dyDescent="0.35">
      <c r="A13" s="211">
        <v>46266</v>
      </c>
      <c r="B13" s="212">
        <f>+'[6]IPC - IPP COL'!P152</f>
        <v>1.04</v>
      </c>
      <c r="C13"/>
      <c r="D13" s="213">
        <v>48092</v>
      </c>
      <c r="E13" s="212">
        <f>+'[6]IPC - IPP COL'!P212</f>
        <v>1.18</v>
      </c>
      <c r="F13"/>
      <c r="G13" s="211">
        <v>49919</v>
      </c>
      <c r="H13" s="214">
        <f>+'[6]IPC - IPP COL'!P272</f>
        <v>1.37</v>
      </c>
      <c r="I13" s="208"/>
    </row>
    <row r="14" spans="1:13" ht="14.5" x14ac:dyDescent="0.35">
      <c r="A14" s="211">
        <v>46296</v>
      </c>
      <c r="B14" s="212">
        <f>+'[6]IPC - IPP COL'!P153</f>
        <v>1.04</v>
      </c>
      <c r="C14"/>
      <c r="D14" s="213">
        <v>48122</v>
      </c>
      <c r="E14" s="212">
        <f>+'[6]IPC - IPP COL'!P213</f>
        <v>1.19</v>
      </c>
      <c r="F14"/>
      <c r="G14" s="211">
        <v>49949</v>
      </c>
      <c r="H14" s="214">
        <f>+'[6]IPC - IPP COL'!P273</f>
        <v>1.38</v>
      </c>
      <c r="I14" s="208"/>
    </row>
    <row r="15" spans="1:13" ht="14.5" x14ac:dyDescent="0.35">
      <c r="A15" s="211">
        <v>46327</v>
      </c>
      <c r="B15" s="212">
        <f>+'[6]IPC - IPP COL'!P154</f>
        <v>1.04</v>
      </c>
      <c r="C15"/>
      <c r="D15" s="213">
        <v>48153</v>
      </c>
      <c r="E15" s="212">
        <f>+'[6]IPC - IPP COL'!P214</f>
        <v>1.2</v>
      </c>
      <c r="F15"/>
      <c r="G15" s="211">
        <v>49980</v>
      </c>
      <c r="H15" s="214">
        <f>+'[6]IPC - IPP COL'!P274</f>
        <v>1.39</v>
      </c>
      <c r="I15" s="208"/>
    </row>
    <row r="16" spans="1:13" ht="14.5" x14ac:dyDescent="0.35">
      <c r="A16" s="211">
        <v>46357</v>
      </c>
      <c r="B16" s="212">
        <f>+'[6]IPC - IPP COL'!P155</f>
        <v>1.04</v>
      </c>
      <c r="C16"/>
      <c r="D16" s="213">
        <v>48183</v>
      </c>
      <c r="E16" s="212">
        <f>+'[6]IPC - IPP COL'!P215</f>
        <v>1.2</v>
      </c>
      <c r="F16"/>
      <c r="G16" s="211">
        <v>50010</v>
      </c>
      <c r="H16" s="214">
        <f>+'[6]IPC - IPP COL'!P275</f>
        <v>1.39</v>
      </c>
      <c r="I16" s="208"/>
    </row>
    <row r="17" spans="1:13" ht="14.5" x14ac:dyDescent="0.35">
      <c r="A17" s="213">
        <v>46388</v>
      </c>
      <c r="B17" s="212">
        <f>+'[6]IPC - IPP COL'!P156</f>
        <v>1.05</v>
      </c>
      <c r="C17"/>
      <c r="D17" s="211">
        <v>48214</v>
      </c>
      <c r="E17" s="214">
        <f>+'[6]IPC - IPP COL'!P216</f>
        <v>1.2</v>
      </c>
      <c r="F17"/>
      <c r="G17" s="213">
        <v>50041</v>
      </c>
      <c r="H17" s="214">
        <f>+'[6]IPC - IPP COL'!P276</f>
        <v>1.39</v>
      </c>
      <c r="I17" s="208"/>
    </row>
    <row r="18" spans="1:13" ht="14.5" x14ac:dyDescent="0.35">
      <c r="A18" s="213">
        <v>46419</v>
      </c>
      <c r="B18" s="212">
        <f>+'[6]IPC - IPP COL'!P157</f>
        <v>1.05</v>
      </c>
      <c r="C18"/>
      <c r="D18" s="211">
        <v>48245</v>
      </c>
      <c r="E18" s="214">
        <f>+'[6]IPC - IPP COL'!P217</f>
        <v>1.21</v>
      </c>
      <c r="F18"/>
      <c r="G18" s="213">
        <v>50072</v>
      </c>
      <c r="H18" s="214">
        <f>+'[6]IPC - IPP COL'!P277</f>
        <v>1.4</v>
      </c>
      <c r="I18" s="208"/>
      <c r="L18" s="185"/>
      <c r="M18" s="186"/>
    </row>
    <row r="19" spans="1:13" ht="14.5" x14ac:dyDescent="0.35">
      <c r="A19" s="213">
        <v>46447</v>
      </c>
      <c r="B19" s="212">
        <f>+'[6]IPC - IPP COL'!P158</f>
        <v>1.05</v>
      </c>
      <c r="C19"/>
      <c r="D19" s="211">
        <v>48274</v>
      </c>
      <c r="E19" s="214">
        <f>+'[6]IPC - IPP COL'!P218</f>
        <v>1.21</v>
      </c>
      <c r="F19"/>
      <c r="G19" s="213">
        <v>50100</v>
      </c>
      <c r="H19" s="214">
        <f>+'[6]IPC - IPP COL'!P278</f>
        <v>1.4</v>
      </c>
      <c r="I19" s="208"/>
      <c r="L19" s="185"/>
      <c r="M19" s="186"/>
    </row>
    <row r="20" spans="1:13" ht="14.5" x14ac:dyDescent="0.35">
      <c r="A20" s="213">
        <v>46478</v>
      </c>
      <c r="B20" s="212">
        <f>+'[6]IPC - IPP COL'!P159</f>
        <v>1.05</v>
      </c>
      <c r="C20"/>
      <c r="D20" s="211">
        <v>48305</v>
      </c>
      <c r="E20" s="214">
        <f>+'[6]IPC - IPP COL'!P219</f>
        <v>1.21</v>
      </c>
      <c r="F20"/>
      <c r="G20" s="213">
        <v>50131</v>
      </c>
      <c r="H20" s="214">
        <f>+'[6]IPC - IPP COL'!P279</f>
        <v>1.4</v>
      </c>
      <c r="I20" s="208"/>
      <c r="L20" s="185"/>
      <c r="M20" s="186"/>
    </row>
    <row r="21" spans="1:13" ht="14.5" x14ac:dyDescent="0.35">
      <c r="A21" s="213">
        <v>46508</v>
      </c>
      <c r="B21" s="212">
        <f>+'[6]IPC - IPP COL'!P160</f>
        <v>1.06</v>
      </c>
      <c r="C21"/>
      <c r="D21" s="211">
        <v>48335</v>
      </c>
      <c r="E21" s="214">
        <f>+'[6]IPC - IPP COL'!P220</f>
        <v>1.21</v>
      </c>
      <c r="F21"/>
      <c r="G21" s="213">
        <v>50161</v>
      </c>
      <c r="H21" s="214">
        <f>+'[6]IPC - IPP COL'!P280</f>
        <v>1.41</v>
      </c>
      <c r="I21" s="208"/>
      <c r="L21" s="185"/>
      <c r="M21" s="186"/>
    </row>
    <row r="22" spans="1:13" ht="14.5" x14ac:dyDescent="0.35">
      <c r="A22" s="213">
        <v>46539</v>
      </c>
      <c r="B22" s="212">
        <f>+'[6]IPC - IPP COL'!P161</f>
        <v>1.06</v>
      </c>
      <c r="C22"/>
      <c r="D22" s="211">
        <v>48366</v>
      </c>
      <c r="E22" s="214">
        <f>+'[6]IPC - IPP COL'!P221</f>
        <v>1.21</v>
      </c>
      <c r="F22"/>
      <c r="G22" s="213">
        <v>50192</v>
      </c>
      <c r="H22" s="214">
        <f>+'[6]IPC - IPP COL'!P281</f>
        <v>1.41</v>
      </c>
      <c r="I22" s="208"/>
      <c r="L22" s="185"/>
      <c r="M22" s="186"/>
    </row>
    <row r="23" spans="1:13" ht="14.5" x14ac:dyDescent="0.35">
      <c r="A23" s="213">
        <v>46569</v>
      </c>
      <c r="B23" s="212">
        <f>+'[6]IPC - IPP COL'!P162</f>
        <v>1.06</v>
      </c>
      <c r="C23"/>
      <c r="D23" s="211">
        <v>48396</v>
      </c>
      <c r="E23" s="214">
        <f>+'[6]IPC - IPP COL'!P222</f>
        <v>1.22</v>
      </c>
      <c r="F23"/>
      <c r="G23" s="213">
        <v>50222</v>
      </c>
      <c r="H23" s="214">
        <f>+'[6]IPC - IPP COL'!P282</f>
        <v>1.41</v>
      </c>
      <c r="I23" s="208"/>
      <c r="L23" s="185"/>
      <c r="M23" s="186"/>
    </row>
    <row r="24" spans="1:13" ht="14.5" x14ac:dyDescent="0.35">
      <c r="A24" s="213">
        <v>46600</v>
      </c>
      <c r="B24" s="212">
        <f>+'[6]IPC - IPP COL'!P163</f>
        <v>1.06</v>
      </c>
      <c r="C24"/>
      <c r="D24" s="211">
        <v>48427</v>
      </c>
      <c r="E24" s="214">
        <f>+'[6]IPC - IPP COL'!P223</f>
        <v>1.22</v>
      </c>
      <c r="F24"/>
      <c r="G24" s="213">
        <v>50253</v>
      </c>
      <c r="H24" s="214">
        <f>+'[6]IPC - IPP COL'!P283</f>
        <v>1.41</v>
      </c>
      <c r="I24" s="208"/>
      <c r="L24" s="185"/>
      <c r="M24" s="186"/>
    </row>
    <row r="25" spans="1:13" ht="14.5" x14ac:dyDescent="0.35">
      <c r="A25" s="213">
        <v>46631</v>
      </c>
      <c r="B25" s="212">
        <f>+'[6]IPC - IPP COL'!P164</f>
        <v>1.06</v>
      </c>
      <c r="C25"/>
      <c r="D25" s="211">
        <v>48458</v>
      </c>
      <c r="E25" s="214">
        <f>+'[6]IPC - IPP COL'!P224</f>
        <v>1.22</v>
      </c>
      <c r="F25"/>
      <c r="G25" s="213">
        <v>50284</v>
      </c>
      <c r="H25" s="214">
        <f>+'[6]IPC - IPP COL'!P284</f>
        <v>1.41</v>
      </c>
      <c r="I25" s="208"/>
      <c r="L25" s="185"/>
      <c r="M25" s="186"/>
    </row>
    <row r="26" spans="1:13" ht="14.5" x14ac:dyDescent="0.35">
      <c r="A26" s="213">
        <v>46661</v>
      </c>
      <c r="B26" s="212">
        <f>+'[6]IPC - IPP COL'!P165</f>
        <v>1.07</v>
      </c>
      <c r="C26"/>
      <c r="D26" s="211">
        <v>48488</v>
      </c>
      <c r="E26" s="214">
        <f>+'[6]IPC - IPP COL'!P225</f>
        <v>1.23</v>
      </c>
      <c r="F26"/>
      <c r="G26" s="213">
        <v>50314</v>
      </c>
      <c r="H26" s="214">
        <f>+'[6]IPC - IPP COL'!P285</f>
        <v>1.42</v>
      </c>
      <c r="I26" s="208"/>
      <c r="L26" s="185"/>
      <c r="M26" s="186"/>
    </row>
    <row r="27" spans="1:13" ht="14.5" x14ac:dyDescent="0.35">
      <c r="A27" s="213">
        <v>46692</v>
      </c>
      <c r="B27" s="212">
        <f>+'[6]IPC - IPP COL'!P166</f>
        <v>1.07</v>
      </c>
      <c r="C27"/>
      <c r="D27" s="211">
        <v>48519</v>
      </c>
      <c r="E27" s="214">
        <f>+'[6]IPC - IPP COL'!P226</f>
        <v>1.23</v>
      </c>
      <c r="F27"/>
      <c r="G27" s="213">
        <v>50345</v>
      </c>
      <c r="H27" s="214">
        <f>+'[6]IPC - IPP COL'!P286</f>
        <v>1.43</v>
      </c>
      <c r="I27" s="208"/>
      <c r="L27" s="185"/>
      <c r="M27" s="186"/>
    </row>
    <row r="28" spans="1:13" ht="14.5" x14ac:dyDescent="0.35">
      <c r="A28" s="213">
        <v>46722</v>
      </c>
      <c r="B28" s="212">
        <f>+'[6]IPC - IPP COL'!P167</f>
        <v>1.07</v>
      </c>
      <c r="C28"/>
      <c r="D28" s="211">
        <v>48549</v>
      </c>
      <c r="E28" s="214">
        <f>+'[6]IPC - IPP COL'!P227</f>
        <v>1.23</v>
      </c>
      <c r="F28"/>
      <c r="G28" s="213">
        <v>50375</v>
      </c>
      <c r="H28" s="214">
        <f>+'[6]IPC - IPP COL'!P287</f>
        <v>1.43</v>
      </c>
      <c r="I28" s="208"/>
      <c r="L28" s="185"/>
      <c r="M28" s="186"/>
    </row>
    <row r="29" spans="1:13" ht="14.5" x14ac:dyDescent="0.35">
      <c r="A29" s="211">
        <v>46753</v>
      </c>
      <c r="B29" s="212">
        <f>+'[6]IPC - IPP COL'!P168</f>
        <v>1.08</v>
      </c>
      <c r="C29"/>
      <c r="D29" s="213">
        <v>48580</v>
      </c>
      <c r="E29" s="214">
        <f>+'[6]IPC - IPP COL'!P228</f>
        <v>1.24</v>
      </c>
      <c r="F29"/>
      <c r="G29" s="211">
        <v>50406</v>
      </c>
      <c r="H29" s="214">
        <f>+'[6]IPC - IPP COL'!P288</f>
        <v>1.44</v>
      </c>
      <c r="I29" s="208"/>
      <c r="L29" s="185"/>
      <c r="M29" s="186"/>
    </row>
    <row r="30" spans="1:13" ht="14.5" x14ac:dyDescent="0.35">
      <c r="A30" s="211">
        <v>46784</v>
      </c>
      <c r="B30" s="212">
        <f>+'[6]IPC - IPP COL'!P169</f>
        <v>1.08</v>
      </c>
      <c r="C30"/>
      <c r="D30" s="213">
        <v>48611</v>
      </c>
      <c r="E30" s="214">
        <f>+'[6]IPC - IPP COL'!P229</f>
        <v>1.24</v>
      </c>
      <c r="F30"/>
      <c r="G30" s="211">
        <v>50437</v>
      </c>
      <c r="H30" s="214">
        <f>+'[6]IPC - IPP COL'!P289</f>
        <v>1.44</v>
      </c>
      <c r="I30" s="208"/>
      <c r="L30" s="185"/>
      <c r="M30" s="186"/>
    </row>
    <row r="31" spans="1:13" ht="14.5" x14ac:dyDescent="0.35">
      <c r="A31" s="211">
        <v>46813</v>
      </c>
      <c r="B31" s="212">
        <f>+'[6]IPC - IPP COL'!P170</f>
        <v>1.08</v>
      </c>
      <c r="C31"/>
      <c r="D31" s="213">
        <v>48639</v>
      </c>
      <c r="E31" s="214">
        <f>+'[6]IPC - IPP COL'!P230</f>
        <v>1.25</v>
      </c>
      <c r="F31"/>
      <c r="G31" s="211">
        <v>50465</v>
      </c>
      <c r="H31" s="214">
        <f>+'[6]IPC - IPP COL'!P290</f>
        <v>1.44</v>
      </c>
      <c r="I31" s="208"/>
      <c r="L31" s="185"/>
      <c r="M31" s="186"/>
    </row>
    <row r="32" spans="1:13" ht="14.5" x14ac:dyDescent="0.35">
      <c r="A32" s="211">
        <v>46844</v>
      </c>
      <c r="B32" s="212">
        <f>+'[6]IPC - IPP COL'!P171</f>
        <v>1.08</v>
      </c>
      <c r="C32"/>
      <c r="D32" s="213">
        <v>48670</v>
      </c>
      <c r="E32" s="214">
        <f>+'[6]IPC - IPP COL'!P231</f>
        <v>1.24</v>
      </c>
      <c r="F32"/>
      <c r="G32" s="211">
        <v>50496</v>
      </c>
      <c r="H32" s="214">
        <f>+'[6]IPC - IPP COL'!P291</f>
        <v>1.44</v>
      </c>
      <c r="I32" s="208"/>
      <c r="L32" s="185"/>
      <c r="M32" s="186"/>
    </row>
    <row r="33" spans="1:13" ht="14.5" x14ac:dyDescent="0.35">
      <c r="A33" s="211">
        <v>46874</v>
      </c>
      <c r="B33" s="212">
        <f>+'[6]IPC - IPP COL'!P172</f>
        <v>1.0900000000000001</v>
      </c>
      <c r="C33"/>
      <c r="D33" s="213">
        <v>48700</v>
      </c>
      <c r="E33" s="214">
        <f>+'[6]IPC - IPP COL'!P232</f>
        <v>1.25</v>
      </c>
      <c r="F33"/>
      <c r="G33" s="211">
        <v>50526</v>
      </c>
      <c r="H33" s="214">
        <f>+'[6]IPC - IPP COL'!P292</f>
        <v>1.45</v>
      </c>
      <c r="I33" s="208"/>
      <c r="L33" s="185"/>
      <c r="M33" s="186"/>
    </row>
    <row r="34" spans="1:13" ht="14.5" x14ac:dyDescent="0.35">
      <c r="A34" s="211">
        <v>46905</v>
      </c>
      <c r="B34" s="212">
        <f>+'[6]IPC - IPP COL'!P173</f>
        <v>1.0900000000000001</v>
      </c>
      <c r="C34"/>
      <c r="D34" s="213">
        <v>48731</v>
      </c>
      <c r="E34" s="214">
        <f>+'[6]IPC - IPP COL'!P233</f>
        <v>1.25</v>
      </c>
      <c r="F34"/>
      <c r="G34" s="211">
        <v>50557</v>
      </c>
      <c r="H34" s="214">
        <f>+'[6]IPC - IPP COL'!P293</f>
        <v>1.45</v>
      </c>
      <c r="I34" s="208"/>
      <c r="L34" s="185"/>
      <c r="M34" s="186"/>
    </row>
    <row r="35" spans="1:13" ht="14.5" x14ac:dyDescent="0.35">
      <c r="A35" s="211">
        <v>46935</v>
      </c>
      <c r="B35" s="212">
        <f>+'[6]IPC - IPP COL'!P174</f>
        <v>1.0900000000000001</v>
      </c>
      <c r="C35"/>
      <c r="D35" s="213">
        <v>48761</v>
      </c>
      <c r="E35" s="214">
        <f>+'[6]IPC - IPP COL'!P234</f>
        <v>1.25</v>
      </c>
      <c r="F35"/>
      <c r="G35" s="211">
        <v>50587</v>
      </c>
      <c r="H35" s="214">
        <f>+'[6]IPC - IPP COL'!P294</f>
        <v>1.45</v>
      </c>
      <c r="I35" s="208"/>
      <c r="L35" s="185"/>
      <c r="M35" s="186"/>
    </row>
    <row r="36" spans="1:13" ht="14.5" x14ac:dyDescent="0.35">
      <c r="A36" s="211">
        <v>46966</v>
      </c>
      <c r="B36" s="212">
        <f>+'[6]IPC - IPP COL'!P175</f>
        <v>1.0900000000000001</v>
      </c>
      <c r="C36"/>
      <c r="D36" s="213">
        <v>48792</v>
      </c>
      <c r="E36" s="214">
        <f>+'[6]IPC - IPP COL'!P235</f>
        <v>1.25</v>
      </c>
      <c r="F36"/>
      <c r="G36" s="211">
        <v>50618</v>
      </c>
      <c r="H36" s="214">
        <f>+'[6]IPC - IPP COL'!P295</f>
        <v>1.45</v>
      </c>
      <c r="I36" s="208"/>
      <c r="L36" s="185"/>
      <c r="M36" s="186"/>
    </row>
    <row r="37" spans="1:13" ht="14.5" x14ac:dyDescent="0.35">
      <c r="A37" s="211">
        <v>46997</v>
      </c>
      <c r="B37" s="212">
        <f>+'[6]IPC - IPP COL'!P176</f>
        <v>1.0900000000000001</v>
      </c>
      <c r="C37"/>
      <c r="D37" s="213">
        <v>48823</v>
      </c>
      <c r="E37" s="214">
        <f>+'[6]IPC - IPP COL'!P236</f>
        <v>1.26</v>
      </c>
      <c r="F37"/>
      <c r="G37" s="211">
        <v>50649</v>
      </c>
      <c r="H37" s="214">
        <f>+'[6]IPC - IPP COL'!P296</f>
        <v>1.46</v>
      </c>
      <c r="I37" s="208"/>
      <c r="L37" s="185"/>
      <c r="M37" s="186"/>
    </row>
    <row r="38" spans="1:13" ht="14.5" x14ac:dyDescent="0.35">
      <c r="A38" s="211">
        <v>47027</v>
      </c>
      <c r="B38" s="212">
        <f>+'[6]IPC - IPP COL'!P177</f>
        <v>1.1000000000000001</v>
      </c>
      <c r="C38"/>
      <c r="D38" s="213">
        <v>48853</v>
      </c>
      <c r="E38" s="214">
        <f>+'[6]IPC - IPP COL'!P237</f>
        <v>1.26</v>
      </c>
      <c r="F38"/>
      <c r="G38" s="211">
        <v>50679</v>
      </c>
      <c r="H38" s="214">
        <f>+'[6]IPC - IPP COL'!P297</f>
        <v>1.46</v>
      </c>
      <c r="I38" s="208"/>
      <c r="L38" s="185"/>
      <c r="M38" s="186"/>
    </row>
    <row r="39" spans="1:13" ht="14.5" x14ac:dyDescent="0.35">
      <c r="A39" s="211">
        <v>47058</v>
      </c>
      <c r="B39" s="212">
        <f>+'[6]IPC - IPP COL'!P178</f>
        <v>1.1000000000000001</v>
      </c>
      <c r="C39"/>
      <c r="D39" s="213">
        <v>48884</v>
      </c>
      <c r="E39" s="214">
        <f>+'[6]IPC - IPP COL'!P238</f>
        <v>1.27</v>
      </c>
      <c r="F39"/>
      <c r="G39" s="211">
        <v>50710</v>
      </c>
      <c r="H39" s="214">
        <f>+'[6]IPC - IPP COL'!P298</f>
        <v>1.47</v>
      </c>
      <c r="I39" s="208"/>
      <c r="L39" s="185"/>
      <c r="M39" s="186"/>
    </row>
    <row r="40" spans="1:13" ht="14.5" x14ac:dyDescent="0.35">
      <c r="A40" s="211">
        <v>47088</v>
      </c>
      <c r="B40" s="212">
        <f>+'[6]IPC - IPP COL'!P179</f>
        <v>1.1000000000000001</v>
      </c>
      <c r="C40"/>
      <c r="D40" s="213">
        <v>48914</v>
      </c>
      <c r="E40" s="214">
        <f>+'[6]IPC - IPP COL'!P239</f>
        <v>1.27</v>
      </c>
      <c r="F40"/>
      <c r="G40" s="211">
        <v>50740</v>
      </c>
      <c r="H40" s="214">
        <f>+'[6]IPC - IPP COL'!P299</f>
        <v>1.47</v>
      </c>
      <c r="I40" s="208"/>
      <c r="L40" s="185"/>
      <c r="M40" s="186"/>
    </row>
    <row r="41" spans="1:13" ht="14.5" x14ac:dyDescent="0.35">
      <c r="A41" s="213">
        <v>47119</v>
      </c>
      <c r="B41" s="212">
        <f>+'[6]IPC - IPP COL'!P180</f>
        <v>1.1100000000000001</v>
      </c>
      <c r="C41"/>
      <c r="D41" s="211">
        <v>48945</v>
      </c>
      <c r="E41" s="214">
        <f>+'[6]IPC - IPP COL'!P240</f>
        <v>1.28</v>
      </c>
      <c r="F41"/>
      <c r="G41" s="213">
        <v>50771</v>
      </c>
      <c r="H41" s="214">
        <f>+'[6]IPC - IPP COL'!P300</f>
        <v>1.48</v>
      </c>
      <c r="I41" s="208"/>
    </row>
    <row r="42" spans="1:13" ht="14.5" x14ac:dyDescent="0.35">
      <c r="A42" s="213">
        <v>47150</v>
      </c>
      <c r="B42" s="212">
        <f>+'[6]IPC - IPP COL'!P181</f>
        <v>1.1100000000000001</v>
      </c>
      <c r="C42"/>
      <c r="D42" s="211">
        <v>48976</v>
      </c>
      <c r="E42" s="214">
        <f>+'[6]IPC - IPP COL'!P241</f>
        <v>1.28</v>
      </c>
      <c r="F42"/>
      <c r="G42" s="213">
        <v>50802</v>
      </c>
      <c r="H42" s="214">
        <f>+'[6]IPC - IPP COL'!P301</f>
        <v>1.48</v>
      </c>
      <c r="I42" s="208"/>
    </row>
    <row r="43" spans="1:13" ht="14.5" x14ac:dyDescent="0.35">
      <c r="A43" s="213">
        <v>47178</v>
      </c>
      <c r="B43" s="212">
        <f>+'[6]IPC - IPP COL'!P182</f>
        <v>1.1100000000000001</v>
      </c>
      <c r="C43"/>
      <c r="D43" s="211">
        <v>49004</v>
      </c>
      <c r="E43" s="214">
        <f>+'[6]IPC - IPP COL'!P242</f>
        <v>1.28</v>
      </c>
      <c r="F43"/>
      <c r="G43" s="213">
        <v>50830</v>
      </c>
      <c r="H43" s="214">
        <f>+'[6]IPC - IPP COL'!P302</f>
        <v>1.49</v>
      </c>
      <c r="I43" s="208"/>
    </row>
    <row r="44" spans="1:13" ht="14.5" x14ac:dyDescent="0.35">
      <c r="A44" s="213">
        <v>47209</v>
      </c>
      <c r="B44" s="212">
        <f>+'[6]IPC - IPP COL'!P183</f>
        <v>1.1100000000000001</v>
      </c>
      <c r="C44"/>
      <c r="D44" s="211">
        <v>49035</v>
      </c>
      <c r="E44" s="214">
        <f>+'[6]IPC - IPP COL'!P243</f>
        <v>1.28</v>
      </c>
      <c r="F44"/>
      <c r="G44" s="213">
        <v>50861</v>
      </c>
      <c r="H44" s="214">
        <f>+'[6]IPC - IPP COL'!P303</f>
        <v>1.48</v>
      </c>
      <c r="I44" s="208"/>
    </row>
    <row r="45" spans="1:13" ht="14.5" x14ac:dyDescent="0.35">
      <c r="A45" s="213">
        <v>47239</v>
      </c>
      <c r="B45" s="212">
        <f>+'[6]IPC - IPP COL'!P184</f>
        <v>1.1100000000000001</v>
      </c>
      <c r="C45"/>
      <c r="D45" s="211">
        <v>49065</v>
      </c>
      <c r="E45" s="214">
        <f>+'[6]IPC - IPP COL'!P244</f>
        <v>1.29</v>
      </c>
      <c r="F45"/>
      <c r="G45" s="213">
        <v>50891</v>
      </c>
      <c r="H45" s="214">
        <f>+'[6]IPC - IPP COL'!P304</f>
        <v>1.49</v>
      </c>
      <c r="I45" s="208"/>
    </row>
    <row r="46" spans="1:13" ht="14.5" x14ac:dyDescent="0.35">
      <c r="A46" s="213">
        <v>47270</v>
      </c>
      <c r="B46" s="212">
        <f>+'[6]IPC - IPP COL'!P185</f>
        <v>1.1200000000000001</v>
      </c>
      <c r="C46"/>
      <c r="D46" s="211">
        <v>49096</v>
      </c>
      <c r="E46" s="214">
        <f>+'[6]IPC - IPP COL'!P245</f>
        <v>1.29</v>
      </c>
      <c r="F46"/>
      <c r="G46" s="213">
        <v>50922</v>
      </c>
      <c r="H46" s="214">
        <f>+'[6]IPC - IPP COL'!P305</f>
        <v>1.49</v>
      </c>
      <c r="I46" s="208"/>
    </row>
    <row r="47" spans="1:13" ht="14.5" x14ac:dyDescent="0.35">
      <c r="A47" s="213">
        <v>47300</v>
      </c>
      <c r="B47" s="212">
        <f>+'[6]IPC - IPP COL'!P186</f>
        <v>1.1200000000000001</v>
      </c>
      <c r="C47"/>
      <c r="D47" s="211">
        <v>49126</v>
      </c>
      <c r="E47" s="214">
        <f>+'[6]IPC - IPP COL'!P246</f>
        <v>1.29</v>
      </c>
      <c r="F47"/>
      <c r="G47" s="213">
        <v>50952</v>
      </c>
      <c r="H47" s="214">
        <f>+'[6]IPC - IPP COL'!P306</f>
        <v>1.5</v>
      </c>
      <c r="I47" s="208"/>
    </row>
    <row r="48" spans="1:13" ht="14.5" x14ac:dyDescent="0.35">
      <c r="A48" s="213">
        <v>47331</v>
      </c>
      <c r="B48" s="212">
        <f>+'[6]IPC - IPP COL'!P187</f>
        <v>1.1200000000000001</v>
      </c>
      <c r="C48"/>
      <c r="D48" s="211">
        <v>49157</v>
      </c>
      <c r="E48" s="214">
        <f>+'[6]IPC - IPP COL'!P247</f>
        <v>1.29</v>
      </c>
      <c r="F48"/>
      <c r="G48" s="213">
        <v>50983</v>
      </c>
      <c r="H48" s="214">
        <f>+'[6]IPC - IPP COL'!P307</f>
        <v>1.5</v>
      </c>
      <c r="I48" s="208"/>
    </row>
    <row r="49" spans="1:9" ht="14.5" x14ac:dyDescent="0.35">
      <c r="A49" s="213">
        <v>47362</v>
      </c>
      <c r="B49" s="212">
        <f>+'[6]IPC - IPP COL'!P188</f>
        <v>1.1200000000000001</v>
      </c>
      <c r="C49"/>
      <c r="D49" s="211">
        <v>49188</v>
      </c>
      <c r="E49" s="214">
        <f>+'[6]IPC - IPP COL'!P248</f>
        <v>1.29</v>
      </c>
      <c r="F49"/>
      <c r="G49" s="213">
        <v>51014</v>
      </c>
      <c r="H49" s="214">
        <f>+'[6]IPC - IPP COL'!P308</f>
        <v>1.5</v>
      </c>
      <c r="I49" s="208"/>
    </row>
    <row r="50" spans="1:9" ht="14.5" x14ac:dyDescent="0.35">
      <c r="A50" s="213">
        <v>47392</v>
      </c>
      <c r="B50" s="212">
        <f>+'[6]IPC - IPP COL'!P189</f>
        <v>1.1299999999999999</v>
      </c>
      <c r="C50"/>
      <c r="D50" s="211">
        <v>49218</v>
      </c>
      <c r="E50" s="214">
        <f>+'[6]IPC - IPP COL'!P249</f>
        <v>1.3</v>
      </c>
      <c r="F50"/>
      <c r="G50" s="213">
        <v>51044</v>
      </c>
      <c r="H50" s="214">
        <f>+'[6]IPC - IPP COL'!P309</f>
        <v>1.51</v>
      </c>
      <c r="I50" s="208"/>
    </row>
    <row r="51" spans="1:9" ht="14.5" x14ac:dyDescent="0.35">
      <c r="A51" s="213">
        <v>47423</v>
      </c>
      <c r="B51" s="212">
        <f>+'[6]IPC - IPP COL'!P190</f>
        <v>1.1299999999999999</v>
      </c>
      <c r="C51"/>
      <c r="D51" s="211">
        <v>49249</v>
      </c>
      <c r="E51" s="214">
        <f>+'[6]IPC - IPP COL'!P250</f>
        <v>1.31</v>
      </c>
      <c r="F51"/>
      <c r="G51" s="213">
        <v>51075</v>
      </c>
      <c r="H51" s="214">
        <f>+'[6]IPC - IPP COL'!P310</f>
        <v>1.52</v>
      </c>
      <c r="I51" s="208"/>
    </row>
    <row r="52" spans="1:9" ht="14.5" x14ac:dyDescent="0.35">
      <c r="A52" s="213">
        <v>47453</v>
      </c>
      <c r="B52" s="212">
        <f>+'[6]IPC - IPP COL'!P191</f>
        <v>1.1299999999999999</v>
      </c>
      <c r="C52"/>
      <c r="D52" s="211">
        <v>49279</v>
      </c>
      <c r="E52" s="214">
        <f>+'[6]IPC - IPP COL'!P251</f>
        <v>1.31</v>
      </c>
      <c r="F52"/>
      <c r="G52" s="213">
        <v>51105</v>
      </c>
      <c r="H52" s="214">
        <f>+'[6]IPC - IPP COL'!P311</f>
        <v>1.52</v>
      </c>
      <c r="I52" s="208"/>
    </row>
    <row r="53" spans="1:9" ht="14.5" x14ac:dyDescent="0.35">
      <c r="A53" s="211">
        <v>47484</v>
      </c>
      <c r="B53" s="212">
        <f>+'[6]IPC - IPP COL'!P192</f>
        <v>1.1399999999999999</v>
      </c>
      <c r="C53"/>
      <c r="D53" s="213">
        <v>49310</v>
      </c>
      <c r="E53" s="214">
        <f>+'[6]IPC - IPP COL'!P252</f>
        <v>1.31</v>
      </c>
      <c r="F53"/>
      <c r="G53" s="211">
        <v>51136</v>
      </c>
      <c r="H53" s="214">
        <f>+'[6]IPC - IPP COL'!P312</f>
        <v>1.52</v>
      </c>
      <c r="I53" s="208"/>
    </row>
    <row r="54" spans="1:9" ht="14.5" x14ac:dyDescent="0.35">
      <c r="A54" s="211">
        <v>47515</v>
      </c>
      <c r="B54" s="212">
        <f>+'[6]IPC - IPP COL'!P193</f>
        <v>1.1399999999999999</v>
      </c>
      <c r="C54"/>
      <c r="D54" s="213">
        <v>49341</v>
      </c>
      <c r="E54" s="214">
        <f>+'[6]IPC - IPP COL'!P253</f>
        <v>1.32</v>
      </c>
      <c r="F54"/>
      <c r="G54" s="211">
        <v>51167</v>
      </c>
      <c r="H54" s="214">
        <f>+'[6]IPC - IPP COL'!P313</f>
        <v>1.53</v>
      </c>
      <c r="I54" s="208"/>
    </row>
    <row r="55" spans="1:9" ht="14.5" x14ac:dyDescent="0.35">
      <c r="A55" s="211">
        <v>47543</v>
      </c>
      <c r="B55" s="212">
        <f>+'[6]IPC - IPP COL'!P194</f>
        <v>1.1399999999999999</v>
      </c>
      <c r="C55"/>
      <c r="D55" s="213">
        <v>49369</v>
      </c>
      <c r="E55" s="214">
        <f>+'[6]IPC - IPP COL'!P254</f>
        <v>1.32</v>
      </c>
      <c r="F55"/>
      <c r="G55" s="211">
        <v>51196</v>
      </c>
      <c r="H55" s="214">
        <f>+'[6]IPC - IPP COL'!P314</f>
        <v>1.53</v>
      </c>
      <c r="I55" s="208"/>
    </row>
    <row r="56" spans="1:9" ht="14.5" x14ac:dyDescent="0.35">
      <c r="A56" s="211">
        <v>47574</v>
      </c>
      <c r="B56" s="212">
        <f>+'[6]IPC - IPP COL'!P195</f>
        <v>1.1399999999999999</v>
      </c>
      <c r="C56"/>
      <c r="D56" s="213">
        <v>49400</v>
      </c>
      <c r="E56" s="214">
        <f>+'[6]IPC - IPP COL'!P255</f>
        <v>1.32</v>
      </c>
      <c r="F56"/>
      <c r="G56" s="211">
        <v>51227</v>
      </c>
      <c r="H56" s="214">
        <f>+'[6]IPC - IPP COL'!P315</f>
        <v>1.53</v>
      </c>
      <c r="I56" s="208"/>
    </row>
    <row r="57" spans="1:9" ht="14.5" x14ac:dyDescent="0.35">
      <c r="A57" s="211">
        <v>47604</v>
      </c>
      <c r="B57" s="212">
        <f>+'[6]IPC - IPP COL'!P196</f>
        <v>1.1399999999999999</v>
      </c>
      <c r="C57"/>
      <c r="D57" s="213">
        <v>49430</v>
      </c>
      <c r="E57" s="214">
        <f>+'[6]IPC - IPP COL'!P256</f>
        <v>1.32</v>
      </c>
      <c r="F57"/>
      <c r="G57" s="211">
        <v>51257</v>
      </c>
      <c r="H57" s="214">
        <f>+'[6]IPC - IPP COL'!P316</f>
        <v>1.54</v>
      </c>
      <c r="I57" s="208"/>
    </row>
    <row r="58" spans="1:9" ht="14.5" x14ac:dyDescent="0.35">
      <c r="A58" s="211">
        <v>47635</v>
      </c>
      <c r="B58" s="212">
        <f>+'[6]IPC - IPP COL'!P197</f>
        <v>1.1499999999999999</v>
      </c>
      <c r="C58"/>
      <c r="D58" s="213">
        <v>49461</v>
      </c>
      <c r="E58" s="214">
        <f>+'[6]IPC - IPP COL'!P257</f>
        <v>1.33</v>
      </c>
      <c r="F58"/>
      <c r="G58" s="211">
        <v>51288</v>
      </c>
      <c r="H58" s="214">
        <f>+'[6]IPC - IPP COL'!P317</f>
        <v>1.54</v>
      </c>
      <c r="I58" s="208"/>
    </row>
    <row r="59" spans="1:9" ht="14.5" x14ac:dyDescent="0.35">
      <c r="A59" s="211">
        <v>47665</v>
      </c>
      <c r="B59" s="212">
        <f>+'[6]IPC - IPP COL'!P198</f>
        <v>1.1499999999999999</v>
      </c>
      <c r="C59"/>
      <c r="D59" s="213">
        <v>49491</v>
      </c>
      <c r="E59" s="214">
        <f>+'[6]IPC - IPP COL'!P258</f>
        <v>1.33</v>
      </c>
      <c r="F59"/>
      <c r="G59" s="211">
        <v>51318</v>
      </c>
      <c r="H59" s="214">
        <f>+'[6]IPC - IPP COL'!P318</f>
        <v>1.54</v>
      </c>
      <c r="I59" s="208"/>
    </row>
    <row r="60" spans="1:9" ht="14.5" x14ac:dyDescent="0.35">
      <c r="A60" s="211">
        <v>47696</v>
      </c>
      <c r="B60" s="212">
        <f>+'[6]IPC - IPP COL'!P199</f>
        <v>1.1499999999999999</v>
      </c>
      <c r="C60"/>
      <c r="D60" s="213">
        <v>49522</v>
      </c>
      <c r="E60" s="214">
        <f>+'[6]IPC - IPP COL'!P259</f>
        <v>1.33</v>
      </c>
      <c r="F60"/>
      <c r="G60" s="211">
        <v>51349</v>
      </c>
      <c r="H60" s="214">
        <f>+'[6]IPC - IPP COL'!P319</f>
        <v>1.54</v>
      </c>
      <c r="I60" s="208"/>
    </row>
    <row r="61" spans="1:9" ht="14.5" x14ac:dyDescent="0.35">
      <c r="A61" s="211">
        <v>47727</v>
      </c>
      <c r="B61" s="212">
        <f>+'[6]IPC - IPP COL'!P200</f>
        <v>1.1499999999999999</v>
      </c>
      <c r="C61"/>
      <c r="D61" s="213">
        <v>49553</v>
      </c>
      <c r="E61" s="214">
        <f>+'[6]IPC - IPP COL'!P260</f>
        <v>1.33</v>
      </c>
      <c r="F61"/>
      <c r="G61" s="211">
        <v>51380</v>
      </c>
      <c r="H61" s="214">
        <f>+'[6]IPC - IPP COL'!P320</f>
        <v>1.55</v>
      </c>
      <c r="I61" s="208"/>
    </row>
    <row r="62" spans="1:9" ht="14.5" x14ac:dyDescent="0.35">
      <c r="A62" s="211">
        <v>47757</v>
      </c>
      <c r="B62" s="212">
        <f>+'[6]IPC - IPP COL'!P201</f>
        <v>1.1599999999999999</v>
      </c>
      <c r="C62"/>
      <c r="D62" s="213">
        <v>49583</v>
      </c>
      <c r="E62" s="214">
        <f>+'[6]IPC - IPP COL'!P261</f>
        <v>1.34</v>
      </c>
      <c r="F62"/>
      <c r="G62" s="211">
        <v>51410</v>
      </c>
      <c r="H62" s="214">
        <f>+'[6]IPC - IPP COL'!P321</f>
        <v>1.55</v>
      </c>
      <c r="I62" s="208"/>
    </row>
    <row r="63" spans="1:9" ht="14.5" x14ac:dyDescent="0.35">
      <c r="A63" s="211">
        <v>47788</v>
      </c>
      <c r="B63" s="212">
        <f>+'[6]IPC - IPP COL'!P202</f>
        <v>1.1599999999999999</v>
      </c>
      <c r="C63"/>
      <c r="D63" s="213">
        <v>49614</v>
      </c>
      <c r="E63" s="214">
        <f>+'[6]IPC - IPP COL'!P262</f>
        <v>1.35</v>
      </c>
      <c r="F63"/>
      <c r="G63" s="211">
        <v>51441</v>
      </c>
      <c r="H63" s="214">
        <f>+'[6]IPC - IPP COL'!P322</f>
        <v>1.56</v>
      </c>
      <c r="I63" s="208"/>
    </row>
    <row r="64" spans="1:9" ht="14.5" x14ac:dyDescent="0.35">
      <c r="A64" s="211">
        <v>47818</v>
      </c>
      <c r="B64" s="212">
        <f>+'[6]IPC - IPP COL'!P203</f>
        <v>1.1599999999999999</v>
      </c>
      <c r="C64"/>
      <c r="D64" s="213">
        <v>49644</v>
      </c>
      <c r="E64" s="214">
        <f>+'[6]IPC - IPP COL'!P263</f>
        <v>1.35</v>
      </c>
      <c r="F64"/>
      <c r="G64" s="211">
        <v>51471</v>
      </c>
      <c r="H64" s="214">
        <f>+'[6]IPC - IPP COL'!P323</f>
        <v>1.56</v>
      </c>
      <c r="I64" s="20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6EDF-D3F1-4E2E-A6DF-B9A47AE85F9C}">
  <sheetPr>
    <tabColor theme="5" tint="0.59999389629810485"/>
    <pageSetUpPr fitToPage="1"/>
  </sheetPr>
  <dimension ref="A2:I48"/>
  <sheetViews>
    <sheetView showGridLines="0" zoomScale="90" zoomScaleNormal="9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10.0898437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50" t="s">
        <v>133</v>
      </c>
      <c r="C2" s="90"/>
      <c r="D2" s="91"/>
      <c r="E2" s="90"/>
      <c r="F2" s="90"/>
      <c r="G2" s="90"/>
    </row>
    <row r="3" spans="1:8" ht="16.5" customHeight="1" x14ac:dyDescent="0.25">
      <c r="B3" s="51" t="s">
        <v>110</v>
      </c>
      <c r="C3" s="92"/>
      <c r="D3" s="92"/>
      <c r="E3" s="92"/>
      <c r="F3" s="92"/>
      <c r="G3" s="92"/>
      <c r="H3" s="22"/>
    </row>
    <row r="4" spans="1:8" ht="16.5" customHeight="1" x14ac:dyDescent="0.25">
      <c r="B4" s="93"/>
      <c r="C4" s="92"/>
      <c r="D4" s="92"/>
      <c r="E4" s="92"/>
      <c r="F4" s="92"/>
      <c r="G4" s="92"/>
      <c r="H4" s="22"/>
    </row>
    <row r="5" spans="1:8" ht="16.5" customHeight="1" x14ac:dyDescent="0.25">
      <c r="B5" s="93"/>
      <c r="C5" s="92"/>
      <c r="D5" s="92"/>
      <c r="E5" s="92"/>
      <c r="F5" s="92"/>
      <c r="G5" s="92"/>
      <c r="H5" s="22"/>
    </row>
    <row r="6" spans="1:8" ht="16.5" customHeight="1" x14ac:dyDescent="0.25">
      <c r="B6" s="227" t="s">
        <v>141</v>
      </c>
      <c r="C6" s="227"/>
      <c r="D6" s="227"/>
      <c r="E6" s="227"/>
      <c r="F6" s="227"/>
      <c r="G6" s="227"/>
      <c r="H6" s="22"/>
    </row>
    <row r="7" spans="1:8" ht="18" customHeight="1" x14ac:dyDescent="0.25">
      <c r="B7" s="227"/>
      <c r="C7" s="227"/>
      <c r="D7" s="227"/>
      <c r="E7" s="227"/>
      <c r="F7" s="227"/>
      <c r="G7" s="227"/>
      <c r="H7" s="22"/>
    </row>
    <row r="8" spans="1:8" ht="18" customHeight="1" thickBot="1" x14ac:dyDescent="0.4">
      <c r="B8" s="23" t="s">
        <v>35</v>
      </c>
      <c r="C8" s="24"/>
      <c r="D8" s="25"/>
      <c r="E8" s="81" t="s">
        <v>64</v>
      </c>
    </row>
    <row r="9" spans="1:8" ht="18" customHeight="1" thickBot="1" x14ac:dyDescent="0.4">
      <c r="B9" s="23" t="s">
        <v>44</v>
      </c>
      <c r="C9" s="228"/>
      <c r="D9" s="228"/>
      <c r="E9" s="80" t="s">
        <v>63</v>
      </c>
    </row>
    <row r="10" spans="1:8" ht="18" customHeight="1" thickBot="1" x14ac:dyDescent="0.4">
      <c r="B10" s="41" t="s">
        <v>45</v>
      </c>
      <c r="C10" s="24"/>
      <c r="D10" s="25"/>
      <c r="E10" s="81" t="s">
        <v>64</v>
      </c>
    </row>
    <row r="11" spans="1:8" ht="18" customHeight="1" thickBot="1" x14ac:dyDescent="0.4">
      <c r="B11" s="23" t="s">
        <v>46</v>
      </c>
      <c r="C11" s="228" t="s">
        <v>58</v>
      </c>
      <c r="D11" s="228"/>
      <c r="E11" s="80" t="s">
        <v>109</v>
      </c>
    </row>
    <row r="12" spans="1:8" ht="17" thickBot="1" x14ac:dyDescent="0.4">
      <c r="B12" s="23" t="s">
        <v>108</v>
      </c>
      <c r="C12" s="24"/>
      <c r="D12" s="25"/>
      <c r="E12" s="81" t="s">
        <v>64</v>
      </c>
    </row>
    <row r="14" spans="1:8" ht="12.75" customHeight="1" x14ac:dyDescent="0.25">
      <c r="B14" s="229" t="s">
        <v>36</v>
      </c>
      <c r="C14" s="231" t="s">
        <v>37</v>
      </c>
      <c r="D14" s="229" t="s">
        <v>38</v>
      </c>
      <c r="E14" s="231" t="s">
        <v>39</v>
      </c>
      <c r="F14" s="233" t="s">
        <v>40</v>
      </c>
    </row>
    <row r="15" spans="1:8" ht="35.25" customHeight="1" x14ac:dyDescent="0.25">
      <c r="A15" s="26"/>
      <c r="B15" s="230"/>
      <c r="C15" s="232"/>
      <c r="D15" s="230"/>
      <c r="E15" s="232"/>
      <c r="F15" s="234"/>
      <c r="G15" s="94"/>
    </row>
    <row r="16" spans="1:8" ht="15.5" x14ac:dyDescent="0.35">
      <c r="A16" s="95">
        <v>31</v>
      </c>
      <c r="B16" s="96">
        <v>46023</v>
      </c>
      <c r="C16" s="97">
        <f>+'Cantidades 1_(2026)'!AE11</f>
        <v>6885008.3999999994</v>
      </c>
      <c r="D16" s="98"/>
      <c r="E16" s="99">
        <f>+C16*D16</f>
        <v>0</v>
      </c>
      <c r="F16" s="221"/>
      <c r="G16" s="94"/>
    </row>
    <row r="17" spans="1:8" ht="15.5" x14ac:dyDescent="0.35">
      <c r="A17" s="95">
        <v>28</v>
      </c>
      <c r="B17" s="96">
        <v>46054</v>
      </c>
      <c r="C17" s="97">
        <f>+'Cantidades 1_(2026)'!AE12</f>
        <v>6445364.1599999983</v>
      </c>
      <c r="D17" s="98"/>
      <c r="E17" s="99">
        <f t="shared" ref="E17:E27" si="0">+C17*D17</f>
        <v>0</v>
      </c>
      <c r="F17" s="222"/>
      <c r="G17" s="94"/>
    </row>
    <row r="18" spans="1:8" ht="15.5" x14ac:dyDescent="0.35">
      <c r="A18" s="95">
        <v>31</v>
      </c>
      <c r="B18" s="96">
        <v>46082</v>
      </c>
      <c r="C18" s="97">
        <f>+'Cantidades 1_(2026)'!AE13</f>
        <v>7112245.3400000008</v>
      </c>
      <c r="D18" s="98"/>
      <c r="E18" s="99">
        <f t="shared" si="0"/>
        <v>0</v>
      </c>
      <c r="F18" s="222"/>
      <c r="G18" s="94"/>
    </row>
    <row r="19" spans="1:8" ht="15.5" x14ac:dyDescent="0.35">
      <c r="A19" s="95">
        <v>30</v>
      </c>
      <c r="B19" s="96">
        <v>46113</v>
      </c>
      <c r="C19" s="97">
        <f>+'Cantidades 1_(2026)'!AE14</f>
        <v>6718171.6599999992</v>
      </c>
      <c r="D19" s="98"/>
      <c r="E19" s="99">
        <f t="shared" si="0"/>
        <v>0</v>
      </c>
      <c r="F19" s="222"/>
      <c r="G19" s="94"/>
    </row>
    <row r="20" spans="1:8" ht="15.5" x14ac:dyDescent="0.35">
      <c r="A20" s="95">
        <v>31</v>
      </c>
      <c r="B20" s="96">
        <v>46143</v>
      </c>
      <c r="C20" s="97">
        <f>+'Cantidades 1_(2026)'!AE15</f>
        <v>6807710.8300000001</v>
      </c>
      <c r="D20" s="98"/>
      <c r="E20" s="99">
        <f t="shared" si="0"/>
        <v>0</v>
      </c>
      <c r="F20" s="222"/>
      <c r="G20" s="94"/>
    </row>
    <row r="21" spans="1:8" ht="15.5" x14ac:dyDescent="0.35">
      <c r="A21" s="95">
        <v>30</v>
      </c>
      <c r="B21" s="96">
        <v>46174</v>
      </c>
      <c r="C21" s="97">
        <f>+'Cantidades 1_(2026)'!AE16</f>
        <v>6344130.4600000009</v>
      </c>
      <c r="D21" s="98"/>
      <c r="E21" s="99">
        <f t="shared" si="0"/>
        <v>0</v>
      </c>
      <c r="F21" s="222"/>
      <c r="G21" s="94"/>
    </row>
    <row r="22" spans="1:8" ht="15.5" x14ac:dyDescent="0.35">
      <c r="A22" s="95">
        <v>31</v>
      </c>
      <c r="B22" s="96">
        <v>46204</v>
      </c>
      <c r="C22" s="97">
        <f>+'Cantidades 1_(2026)'!AE17</f>
        <v>6880357.3500000006</v>
      </c>
      <c r="D22" s="98"/>
      <c r="E22" s="99">
        <f t="shared" si="0"/>
        <v>0</v>
      </c>
      <c r="F22" s="222"/>
      <c r="G22" s="94"/>
    </row>
    <row r="23" spans="1:8" ht="15.5" x14ac:dyDescent="0.35">
      <c r="A23" s="95">
        <v>31</v>
      </c>
      <c r="B23" s="96">
        <v>46235</v>
      </c>
      <c r="C23" s="97">
        <f>+'Cantidades 1_(2026)'!AE18</f>
        <v>6818865.1400000006</v>
      </c>
      <c r="D23" s="98"/>
      <c r="E23" s="99">
        <f t="shared" si="0"/>
        <v>0</v>
      </c>
      <c r="F23" s="222"/>
      <c r="G23" s="94"/>
    </row>
    <row r="24" spans="1:8" ht="15.5" x14ac:dyDescent="0.35">
      <c r="A24" s="95">
        <v>30</v>
      </c>
      <c r="B24" s="96">
        <v>46266</v>
      </c>
      <c r="C24" s="97">
        <f>+'Cantidades 1_(2026)'!AE19</f>
        <v>6736312.580000001</v>
      </c>
      <c r="D24" s="98"/>
      <c r="E24" s="99">
        <f t="shared" si="0"/>
        <v>0</v>
      </c>
      <c r="F24" s="222"/>
      <c r="G24" s="94"/>
    </row>
    <row r="25" spans="1:8" ht="15.5" x14ac:dyDescent="0.35">
      <c r="A25" s="95">
        <v>31</v>
      </c>
      <c r="B25" s="96">
        <v>46296</v>
      </c>
      <c r="C25" s="97">
        <f>+'Cantidades 1_(2026)'!AE20</f>
        <v>6712169.8899999997</v>
      </c>
      <c r="D25" s="98"/>
      <c r="E25" s="99">
        <f t="shared" si="0"/>
        <v>0</v>
      </c>
      <c r="F25" s="222"/>
      <c r="G25" s="94"/>
    </row>
    <row r="26" spans="1:8" ht="15.5" x14ac:dyDescent="0.35">
      <c r="A26" s="95">
        <v>30</v>
      </c>
      <c r="B26" s="96">
        <v>46327</v>
      </c>
      <c r="C26" s="97">
        <f>+'Cantidades 1_(2026)'!AE21</f>
        <v>6655295.0599999996</v>
      </c>
      <c r="D26" s="98"/>
      <c r="E26" s="99">
        <f t="shared" si="0"/>
        <v>0</v>
      </c>
      <c r="F26" s="222"/>
      <c r="G26" s="94"/>
    </row>
    <row r="27" spans="1:8" ht="15.5" x14ac:dyDescent="0.35">
      <c r="A27" s="95">
        <v>31</v>
      </c>
      <c r="B27" s="96">
        <v>46357</v>
      </c>
      <c r="C27" s="97">
        <f>+'Cantidades 1_(2026)'!AE22</f>
        <v>6831338.7399999984</v>
      </c>
      <c r="D27" s="98"/>
      <c r="E27" s="99">
        <f t="shared" si="0"/>
        <v>0</v>
      </c>
      <c r="F27" s="223"/>
      <c r="G27" s="94"/>
    </row>
    <row r="28" spans="1:8" ht="15.5" x14ac:dyDescent="0.35">
      <c r="A28" s="95">
        <f>SUM(A16:A27)</f>
        <v>365</v>
      </c>
      <c r="B28" s="100" t="s">
        <v>41</v>
      </c>
      <c r="C28" s="27">
        <f>SUM(C16:C27)</f>
        <v>80946969.609999999</v>
      </c>
      <c r="D28" s="64">
        <f>+E28/C28</f>
        <v>0</v>
      </c>
      <c r="E28" s="101">
        <f>SUM(E16:E27)</f>
        <v>0</v>
      </c>
      <c r="F28" s="65"/>
      <c r="G28" s="94"/>
    </row>
    <row r="29" spans="1:8" ht="14" x14ac:dyDescent="0.3">
      <c r="A29" s="102"/>
      <c r="B29" s="103"/>
      <c r="C29" s="200"/>
      <c r="D29" s="105"/>
      <c r="E29" s="104"/>
      <c r="F29" s="106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24" t="s">
        <v>142</v>
      </c>
      <c r="C32" s="224"/>
      <c r="D32" s="224"/>
      <c r="E32" s="224"/>
      <c r="F32" s="224"/>
      <c r="G32" s="224"/>
      <c r="H32" s="33"/>
    </row>
    <row r="33" spans="2:8" x14ac:dyDescent="0.25">
      <c r="B33" s="224"/>
      <c r="C33" s="224"/>
      <c r="D33" s="224"/>
      <c r="E33" s="224"/>
      <c r="F33" s="224"/>
      <c r="G33" s="224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107"/>
      <c r="H34" s="33"/>
    </row>
    <row r="35" spans="2:8" ht="14.5" x14ac:dyDescent="0.35">
      <c r="B35" s="33" t="s">
        <v>128</v>
      </c>
      <c r="C35" s="33"/>
      <c r="D35" s="34"/>
      <c r="E35" s="33"/>
      <c r="F35" s="33"/>
      <c r="G35" s="107"/>
      <c r="H35" s="33"/>
    </row>
    <row r="36" spans="2:8" ht="14.5" x14ac:dyDescent="0.35">
      <c r="B36" s="21" t="s">
        <v>104</v>
      </c>
      <c r="G36" s="107"/>
    </row>
    <row r="37" spans="2:8" s="36" customFormat="1" ht="20" customHeight="1" x14ac:dyDescent="0.25">
      <c r="B37" s="225" t="s">
        <v>125</v>
      </c>
      <c r="C37" s="225"/>
      <c r="D37" s="225"/>
      <c r="E37" s="225"/>
      <c r="F37" s="225"/>
      <c r="G37" s="225"/>
    </row>
    <row r="38" spans="2:8" s="36" customFormat="1" ht="26.25" customHeight="1" x14ac:dyDescent="0.25">
      <c r="B38" s="226" t="s">
        <v>105</v>
      </c>
      <c r="C38" s="226"/>
      <c r="D38" s="226"/>
      <c r="E38" s="226"/>
      <c r="F38" s="226"/>
      <c r="G38" s="108"/>
    </row>
    <row r="39" spans="2:8" s="36" customFormat="1" ht="13.5" customHeight="1" x14ac:dyDescent="0.25">
      <c r="B39" s="226" t="s">
        <v>55</v>
      </c>
      <c r="C39" s="226"/>
      <c r="D39" s="226"/>
      <c r="E39" s="226"/>
      <c r="F39" s="226"/>
      <c r="G39" s="108"/>
    </row>
    <row r="40" spans="2:8" s="36" customFormat="1" ht="13.5" customHeight="1" x14ac:dyDescent="0.25">
      <c r="B40" s="43" t="s">
        <v>129</v>
      </c>
      <c r="C40" s="108"/>
      <c r="D40" s="108"/>
      <c r="E40" s="108"/>
      <c r="F40" s="108"/>
      <c r="G40" s="108"/>
    </row>
    <row r="41" spans="2:8" s="36" customFormat="1" ht="13.5" customHeight="1" x14ac:dyDescent="0.25">
      <c r="B41" s="43" t="s">
        <v>106</v>
      </c>
      <c r="C41" s="108"/>
      <c r="D41" s="108"/>
      <c r="E41" s="108"/>
      <c r="F41" s="108"/>
      <c r="G41" s="108"/>
    </row>
    <row r="42" spans="2:8" s="36" customFormat="1" ht="13.5" customHeight="1" x14ac:dyDescent="0.25">
      <c r="B42" s="215" t="s">
        <v>130</v>
      </c>
      <c r="C42" s="216"/>
      <c r="D42" s="216"/>
      <c r="E42" s="216"/>
      <c r="F42" s="217"/>
      <c r="G42" s="110"/>
    </row>
    <row r="43" spans="2:8" s="36" customFormat="1" ht="42.75" customHeight="1" x14ac:dyDescent="0.25">
      <c r="B43" s="218"/>
      <c r="C43" s="219"/>
      <c r="D43" s="219"/>
      <c r="E43" s="219"/>
      <c r="F43" s="220"/>
      <c r="G43" s="110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6:G7"/>
    <mergeCell ref="C9:D9"/>
    <mergeCell ref="C11:D11"/>
    <mergeCell ref="B14:B15"/>
    <mergeCell ref="C14:C15"/>
    <mergeCell ref="D14:D15"/>
    <mergeCell ref="E14:E15"/>
    <mergeCell ref="F14:F15"/>
    <mergeCell ref="B42:F43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3405D5-9EF5-457C-9A85-8D75AE25923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F1C6B476-76E8-403B-8E76-28A751F1FE3E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BDB4-1F5E-40F9-8775-B407201B8C8E}">
  <sheetPr>
    <tabColor theme="5" tint="0.59999389629810485"/>
    <pageSetUpPr fitToPage="1"/>
  </sheetPr>
  <dimension ref="A2:I48"/>
  <sheetViews>
    <sheetView showGridLines="0" zoomScale="90" zoomScaleNormal="9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9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50" t="s">
        <v>134</v>
      </c>
      <c r="C2" s="90"/>
      <c r="D2" s="91"/>
      <c r="E2" s="90"/>
      <c r="F2" s="90"/>
      <c r="G2" s="90"/>
    </row>
    <row r="3" spans="1:8" ht="16.5" customHeight="1" x14ac:dyDescent="0.25">
      <c r="B3" s="51" t="s">
        <v>111</v>
      </c>
      <c r="C3" s="92"/>
      <c r="D3" s="92"/>
      <c r="E3" s="92"/>
      <c r="F3" s="92"/>
      <c r="G3" s="92"/>
      <c r="H3" s="22"/>
    </row>
    <row r="4" spans="1:8" ht="16.5" customHeight="1" x14ac:dyDescent="0.25">
      <c r="B4" s="93"/>
      <c r="C4" s="92"/>
      <c r="D4" s="92"/>
      <c r="E4" s="92"/>
      <c r="F4" s="92"/>
      <c r="G4" s="92"/>
      <c r="H4" s="22"/>
    </row>
    <row r="5" spans="1:8" ht="16.5" customHeight="1" x14ac:dyDescent="0.25">
      <c r="B5" s="93"/>
      <c r="C5" s="92"/>
      <c r="D5" s="92"/>
      <c r="E5" s="92"/>
      <c r="F5" s="92"/>
      <c r="G5" s="92"/>
      <c r="H5" s="22"/>
    </row>
    <row r="6" spans="1:8" ht="16.5" customHeight="1" x14ac:dyDescent="0.25">
      <c r="B6" s="227" t="s">
        <v>143</v>
      </c>
      <c r="C6" s="227"/>
      <c r="D6" s="227"/>
      <c r="E6" s="227"/>
      <c r="F6" s="227"/>
      <c r="G6" s="227"/>
      <c r="H6" s="22"/>
    </row>
    <row r="7" spans="1:8" ht="18" customHeight="1" x14ac:dyDescent="0.25">
      <c r="B7" s="227"/>
      <c r="C7" s="227"/>
      <c r="D7" s="227"/>
      <c r="E7" s="227"/>
      <c r="F7" s="227"/>
      <c r="G7" s="227"/>
      <c r="H7" s="22"/>
    </row>
    <row r="8" spans="1:8" ht="18" customHeight="1" thickBot="1" x14ac:dyDescent="0.4">
      <c r="B8" s="23" t="s">
        <v>35</v>
      </c>
      <c r="C8" s="24"/>
      <c r="D8" s="25"/>
      <c r="E8" s="81" t="s">
        <v>64</v>
      </c>
    </row>
    <row r="9" spans="1:8" ht="18" customHeight="1" thickBot="1" x14ac:dyDescent="0.4">
      <c r="B9" s="23" t="s">
        <v>44</v>
      </c>
      <c r="C9" s="228"/>
      <c r="D9" s="228"/>
      <c r="E9" s="80" t="s">
        <v>63</v>
      </c>
    </row>
    <row r="10" spans="1:8" ht="18" customHeight="1" thickBot="1" x14ac:dyDescent="0.4">
      <c r="B10" s="41" t="s">
        <v>45</v>
      </c>
      <c r="C10" s="24"/>
      <c r="D10" s="25"/>
      <c r="E10" s="81" t="s">
        <v>64</v>
      </c>
    </row>
    <row r="11" spans="1:8" ht="18" customHeight="1" thickBot="1" x14ac:dyDescent="0.4">
      <c r="B11" s="23" t="s">
        <v>46</v>
      </c>
      <c r="C11" s="228" t="s">
        <v>58</v>
      </c>
      <c r="D11" s="228"/>
      <c r="E11" s="80" t="s">
        <v>109</v>
      </c>
    </row>
    <row r="12" spans="1:8" ht="17" thickBot="1" x14ac:dyDescent="0.4">
      <c r="B12" s="23" t="s">
        <v>108</v>
      </c>
      <c r="C12" s="24"/>
      <c r="D12" s="25"/>
      <c r="E12" s="81" t="s">
        <v>64</v>
      </c>
    </row>
    <row r="14" spans="1:8" ht="12.75" customHeight="1" x14ac:dyDescent="0.25">
      <c r="B14" s="229" t="s">
        <v>36</v>
      </c>
      <c r="C14" s="231" t="s">
        <v>37</v>
      </c>
      <c r="D14" s="229" t="s">
        <v>38</v>
      </c>
      <c r="E14" s="231" t="s">
        <v>39</v>
      </c>
      <c r="F14" s="233" t="s">
        <v>40</v>
      </c>
    </row>
    <row r="15" spans="1:8" ht="35.25" customHeight="1" x14ac:dyDescent="0.25">
      <c r="A15" s="26"/>
      <c r="B15" s="230"/>
      <c r="C15" s="232"/>
      <c r="D15" s="230"/>
      <c r="E15" s="232"/>
      <c r="F15" s="234"/>
      <c r="G15" s="94"/>
    </row>
    <row r="16" spans="1:8" ht="15.5" x14ac:dyDescent="0.35">
      <c r="A16" s="95">
        <v>31</v>
      </c>
      <c r="B16" s="96">
        <v>46388</v>
      </c>
      <c r="C16" s="97">
        <f>+'Cantidades 2_(2027)'!AE11</f>
        <v>30208541.430000003</v>
      </c>
      <c r="D16" s="98"/>
      <c r="E16" s="99">
        <f>+C16*D16</f>
        <v>0</v>
      </c>
      <c r="F16" s="221"/>
      <c r="G16" s="94"/>
    </row>
    <row r="17" spans="1:8" ht="15.5" x14ac:dyDescent="0.35">
      <c r="A17" s="95">
        <v>28</v>
      </c>
      <c r="B17" s="96">
        <v>46419</v>
      </c>
      <c r="C17" s="97">
        <f>+'Cantidades 2_(2027)'!AE12</f>
        <v>24071174.279999994</v>
      </c>
      <c r="D17" s="98"/>
      <c r="E17" s="99">
        <f t="shared" ref="E17:E27" si="0">+C17*D17</f>
        <v>0</v>
      </c>
      <c r="F17" s="222"/>
      <c r="G17" s="94"/>
    </row>
    <row r="18" spans="1:8" ht="15.5" x14ac:dyDescent="0.35">
      <c r="A18" s="95">
        <v>31</v>
      </c>
      <c r="B18" s="96">
        <v>46447</v>
      </c>
      <c r="C18" s="97">
        <f>+'Cantidades 2_(2027)'!AE13</f>
        <v>32942147.859999999</v>
      </c>
      <c r="D18" s="98"/>
      <c r="E18" s="99">
        <f t="shared" si="0"/>
        <v>0</v>
      </c>
      <c r="F18" s="222"/>
      <c r="G18" s="94"/>
    </row>
    <row r="19" spans="1:8" ht="15.5" x14ac:dyDescent="0.35">
      <c r="A19" s="95">
        <v>30</v>
      </c>
      <c r="B19" s="96">
        <v>46478</v>
      </c>
      <c r="C19" s="97">
        <f>+'Cantidades 2_(2027)'!AE14</f>
        <v>27847437.360000003</v>
      </c>
      <c r="D19" s="98"/>
      <c r="E19" s="99">
        <f t="shared" si="0"/>
        <v>0</v>
      </c>
      <c r="F19" s="222"/>
      <c r="G19" s="94"/>
    </row>
    <row r="20" spans="1:8" ht="15.5" x14ac:dyDescent="0.35">
      <c r="A20" s="95">
        <v>31</v>
      </c>
      <c r="B20" s="96">
        <v>46508</v>
      </c>
      <c r="C20" s="97">
        <f>+'Cantidades 2_(2027)'!AE15</f>
        <v>25146241.219999999</v>
      </c>
      <c r="D20" s="98"/>
      <c r="E20" s="99">
        <f t="shared" si="0"/>
        <v>0</v>
      </c>
      <c r="F20" s="222"/>
      <c r="G20" s="94"/>
    </row>
    <row r="21" spans="1:8" ht="15.5" x14ac:dyDescent="0.35">
      <c r="A21" s="95">
        <v>30</v>
      </c>
      <c r="B21" s="96">
        <v>46539</v>
      </c>
      <c r="C21" s="97">
        <f>+'Cantidades 2_(2027)'!AE16</f>
        <v>6652499.5200000005</v>
      </c>
      <c r="D21" s="98"/>
      <c r="E21" s="99">
        <f t="shared" si="0"/>
        <v>0</v>
      </c>
      <c r="F21" s="222"/>
      <c r="G21" s="94"/>
    </row>
    <row r="22" spans="1:8" ht="15.5" x14ac:dyDescent="0.35">
      <c r="A22" s="95">
        <v>31</v>
      </c>
      <c r="B22" s="96">
        <v>46569</v>
      </c>
      <c r="C22" s="97">
        <f>+'Cantidades 2_(2027)'!AE17</f>
        <v>7378392.1299999999</v>
      </c>
      <c r="D22" s="98"/>
      <c r="E22" s="99">
        <f t="shared" si="0"/>
        <v>0</v>
      </c>
      <c r="F22" s="222"/>
      <c r="G22" s="94"/>
    </row>
    <row r="23" spans="1:8" ht="15.5" x14ac:dyDescent="0.35">
      <c r="A23" s="95">
        <v>31</v>
      </c>
      <c r="B23" s="96">
        <v>46600</v>
      </c>
      <c r="C23" s="97">
        <f>+'Cantidades 2_(2027)'!AE18</f>
        <v>9177870.5099999998</v>
      </c>
      <c r="D23" s="98"/>
      <c r="E23" s="99">
        <f t="shared" si="0"/>
        <v>0</v>
      </c>
      <c r="F23" s="222"/>
      <c r="G23" s="94"/>
    </row>
    <row r="24" spans="1:8" ht="15.5" x14ac:dyDescent="0.35">
      <c r="A24" s="95">
        <v>30</v>
      </c>
      <c r="B24" s="96">
        <v>46631</v>
      </c>
      <c r="C24" s="97">
        <f>+'Cantidades 2_(2027)'!AE19</f>
        <v>10029118.120000001</v>
      </c>
      <c r="D24" s="98"/>
      <c r="E24" s="99">
        <f t="shared" si="0"/>
        <v>0</v>
      </c>
      <c r="F24" s="222"/>
      <c r="G24" s="94"/>
    </row>
    <row r="25" spans="1:8" ht="15.5" x14ac:dyDescent="0.35">
      <c r="A25" s="95">
        <v>31</v>
      </c>
      <c r="B25" s="96">
        <v>46661</v>
      </c>
      <c r="C25" s="97">
        <f>+'Cantidades 2_(2027)'!AE20</f>
        <v>11917264.910000002</v>
      </c>
      <c r="D25" s="98"/>
      <c r="E25" s="99">
        <f t="shared" si="0"/>
        <v>0</v>
      </c>
      <c r="F25" s="222"/>
      <c r="G25" s="94"/>
    </row>
    <row r="26" spans="1:8" ht="15.5" x14ac:dyDescent="0.35">
      <c r="A26" s="95">
        <v>30</v>
      </c>
      <c r="B26" s="96">
        <v>46692</v>
      </c>
      <c r="C26" s="97">
        <f>+'Cantidades 2_(2027)'!AE21</f>
        <v>23033067.219999999</v>
      </c>
      <c r="D26" s="98"/>
      <c r="E26" s="99">
        <f t="shared" si="0"/>
        <v>0</v>
      </c>
      <c r="F26" s="222"/>
      <c r="G26" s="94"/>
    </row>
    <row r="27" spans="1:8" ht="15.5" x14ac:dyDescent="0.35">
      <c r="A27" s="95">
        <v>31</v>
      </c>
      <c r="B27" s="96">
        <v>46722</v>
      </c>
      <c r="C27" s="97">
        <f>+'Cantidades 2_(2027)'!AE22</f>
        <v>18451290.289999999</v>
      </c>
      <c r="D27" s="98"/>
      <c r="E27" s="99">
        <f t="shared" si="0"/>
        <v>0</v>
      </c>
      <c r="F27" s="223"/>
      <c r="G27" s="94"/>
    </row>
    <row r="28" spans="1:8" ht="15.5" x14ac:dyDescent="0.35">
      <c r="A28" s="95">
        <f>SUM(A16:A27)</f>
        <v>365</v>
      </c>
      <c r="B28" s="100" t="s">
        <v>41</v>
      </c>
      <c r="C28" s="27">
        <f>SUM(C16:C27)</f>
        <v>226855044.84999996</v>
      </c>
      <c r="D28" s="64">
        <f>+E28/C28</f>
        <v>0</v>
      </c>
      <c r="E28" s="101">
        <f>SUM(E16:E27)</f>
        <v>0</v>
      </c>
      <c r="F28" s="65"/>
      <c r="G28" s="94"/>
    </row>
    <row r="29" spans="1:8" ht="14" x14ac:dyDescent="0.3">
      <c r="A29" s="102"/>
      <c r="B29" s="103"/>
      <c r="C29" s="200"/>
      <c r="D29" s="105"/>
      <c r="E29" s="104"/>
      <c r="F29" s="106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24" t="s">
        <v>144</v>
      </c>
      <c r="C32" s="224"/>
      <c r="D32" s="224"/>
      <c r="E32" s="224"/>
      <c r="F32" s="224"/>
      <c r="G32" s="224"/>
      <c r="H32" s="33"/>
    </row>
    <row r="33" spans="2:8" x14ac:dyDescent="0.25">
      <c r="B33" s="224"/>
      <c r="C33" s="224"/>
      <c r="D33" s="224"/>
      <c r="E33" s="224"/>
      <c r="F33" s="224"/>
      <c r="G33" s="224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107"/>
      <c r="H34" s="33"/>
    </row>
    <row r="35" spans="2:8" ht="14.5" x14ac:dyDescent="0.35">
      <c r="B35" s="33" t="s">
        <v>128</v>
      </c>
      <c r="C35" s="33"/>
      <c r="D35" s="34"/>
      <c r="E35" s="33"/>
      <c r="F35" s="33"/>
      <c r="G35" s="107"/>
      <c r="H35" s="33"/>
    </row>
    <row r="36" spans="2:8" ht="14.5" x14ac:dyDescent="0.35">
      <c r="B36" s="21" t="s">
        <v>104</v>
      </c>
      <c r="G36" s="107"/>
    </row>
    <row r="37" spans="2:8" s="36" customFormat="1" ht="20" customHeight="1" x14ac:dyDescent="0.25">
      <c r="B37" s="225" t="s">
        <v>125</v>
      </c>
      <c r="C37" s="225"/>
      <c r="D37" s="225"/>
      <c r="E37" s="225"/>
      <c r="F37" s="225"/>
      <c r="G37" s="225"/>
    </row>
    <row r="38" spans="2:8" s="36" customFormat="1" ht="26.25" customHeight="1" x14ac:dyDescent="0.25">
      <c r="B38" s="226" t="s">
        <v>105</v>
      </c>
      <c r="C38" s="226"/>
      <c r="D38" s="226"/>
      <c r="E38" s="226"/>
      <c r="F38" s="226"/>
      <c r="G38" s="108"/>
    </row>
    <row r="39" spans="2:8" s="36" customFormat="1" ht="13.5" customHeight="1" x14ac:dyDescent="0.25">
      <c r="B39" s="226" t="s">
        <v>55</v>
      </c>
      <c r="C39" s="226"/>
      <c r="D39" s="226"/>
      <c r="E39" s="226"/>
      <c r="F39" s="226"/>
      <c r="G39" s="108"/>
    </row>
    <row r="40" spans="2:8" s="36" customFormat="1" ht="13.5" customHeight="1" x14ac:dyDescent="0.25">
      <c r="B40" s="43" t="s">
        <v>129</v>
      </c>
      <c r="C40" s="108"/>
      <c r="D40" s="108"/>
      <c r="E40" s="108"/>
      <c r="F40" s="108"/>
      <c r="G40" s="108"/>
    </row>
    <row r="41" spans="2:8" s="36" customFormat="1" ht="13.5" customHeight="1" x14ac:dyDescent="0.25">
      <c r="B41" s="43" t="s">
        <v>106</v>
      </c>
      <c r="C41" s="108"/>
      <c r="D41" s="108"/>
      <c r="E41" s="108"/>
      <c r="F41" s="108"/>
      <c r="G41" s="109"/>
    </row>
    <row r="42" spans="2:8" s="36" customFormat="1" ht="13.5" customHeight="1" x14ac:dyDescent="0.25">
      <c r="B42" s="215" t="s">
        <v>130</v>
      </c>
      <c r="C42" s="216"/>
      <c r="D42" s="216"/>
      <c r="E42" s="216"/>
      <c r="F42" s="217"/>
      <c r="G42" s="110"/>
    </row>
    <row r="43" spans="2:8" s="36" customFormat="1" ht="42.75" customHeight="1" x14ac:dyDescent="0.25">
      <c r="B43" s="218"/>
      <c r="C43" s="219"/>
      <c r="D43" s="219"/>
      <c r="E43" s="219"/>
      <c r="F43" s="220"/>
      <c r="G43" s="110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6:G7"/>
    <mergeCell ref="C9:D9"/>
    <mergeCell ref="C11:D11"/>
    <mergeCell ref="B14:B15"/>
    <mergeCell ref="C14:C15"/>
    <mergeCell ref="D14:D15"/>
    <mergeCell ref="E14:E15"/>
    <mergeCell ref="F14:F15"/>
    <mergeCell ref="B42:F43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6931D4-89E1-4D15-ABBB-6C0A781E7C4D}">
          <x14:formula1>
            <xm:f>'Listas desplegables'!$B$3</xm:f>
          </x14:formula1>
          <xm:sqref>C11:D11</xm:sqref>
        </x14:dataValidation>
        <x14:dataValidation type="list" allowBlank="1" showInputMessage="1" showErrorMessage="1" xr:uid="{6D7EFF59-6FC0-46A6-9216-A84543546535}">
          <x14:formula1>
            <xm:f>'Listas desplegables'!$A$3:$A$4</xm:f>
          </x14:formula1>
          <xm:sqref>C9:D9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DD46-F36B-4B74-AE42-3FD7D1EA29A9}">
  <sheetPr>
    <tabColor theme="5" tint="0.59999389629810485"/>
    <pageSetUpPr fitToPage="1"/>
  </sheetPr>
  <dimension ref="A2:I48"/>
  <sheetViews>
    <sheetView showGridLines="0" zoomScale="90" zoomScaleNormal="9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8164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50" t="s">
        <v>135</v>
      </c>
      <c r="C2" s="90"/>
      <c r="D2" s="91"/>
      <c r="E2" s="90"/>
      <c r="F2" s="90"/>
      <c r="G2" s="90"/>
    </row>
    <row r="3" spans="1:8" ht="16.5" customHeight="1" x14ac:dyDescent="0.25">
      <c r="B3" s="51" t="s">
        <v>112</v>
      </c>
      <c r="C3" s="92"/>
      <c r="D3" s="92"/>
      <c r="E3" s="92"/>
      <c r="F3" s="92"/>
      <c r="G3" s="92"/>
      <c r="H3" s="22"/>
    </row>
    <row r="4" spans="1:8" ht="16.5" customHeight="1" x14ac:dyDescent="0.25">
      <c r="B4" s="93"/>
      <c r="C4" s="92"/>
      <c r="D4" s="92"/>
      <c r="E4" s="92"/>
      <c r="F4" s="92"/>
      <c r="G4" s="92"/>
      <c r="H4" s="22"/>
    </row>
    <row r="5" spans="1:8" ht="16.5" customHeight="1" x14ac:dyDescent="0.25">
      <c r="B5" s="93"/>
      <c r="C5" s="92"/>
      <c r="D5" s="92"/>
      <c r="E5" s="92"/>
      <c r="F5" s="92"/>
      <c r="G5" s="92"/>
      <c r="H5" s="22"/>
    </row>
    <row r="6" spans="1:8" ht="16.5" customHeight="1" x14ac:dyDescent="0.25">
      <c r="B6" s="227" t="s">
        <v>145</v>
      </c>
      <c r="C6" s="227"/>
      <c r="D6" s="227"/>
      <c r="E6" s="227"/>
      <c r="F6" s="227"/>
      <c r="G6" s="227"/>
      <c r="H6" s="22"/>
    </row>
    <row r="7" spans="1:8" ht="18" customHeight="1" x14ac:dyDescent="0.25">
      <c r="B7" s="227"/>
      <c r="C7" s="227"/>
      <c r="D7" s="227"/>
      <c r="E7" s="227"/>
      <c r="F7" s="227"/>
      <c r="G7" s="227"/>
      <c r="H7" s="22"/>
    </row>
    <row r="8" spans="1:8" ht="18" customHeight="1" thickBot="1" x14ac:dyDescent="0.4">
      <c r="B8" s="23" t="s">
        <v>35</v>
      </c>
      <c r="C8" s="24"/>
      <c r="D8" s="25"/>
      <c r="E8" s="81" t="s">
        <v>64</v>
      </c>
    </row>
    <row r="9" spans="1:8" ht="18" customHeight="1" thickBot="1" x14ac:dyDescent="0.4">
      <c r="B9" s="23" t="s">
        <v>44</v>
      </c>
      <c r="C9" s="228"/>
      <c r="D9" s="228"/>
      <c r="E9" s="80" t="s">
        <v>63</v>
      </c>
    </row>
    <row r="10" spans="1:8" ht="18" customHeight="1" thickBot="1" x14ac:dyDescent="0.4">
      <c r="B10" s="41" t="s">
        <v>45</v>
      </c>
      <c r="C10" s="24"/>
      <c r="D10" s="25"/>
      <c r="E10" s="81" t="s">
        <v>64</v>
      </c>
    </row>
    <row r="11" spans="1:8" ht="18" customHeight="1" thickBot="1" x14ac:dyDescent="0.4">
      <c r="B11" s="23" t="s">
        <v>46</v>
      </c>
      <c r="C11" s="228" t="s">
        <v>58</v>
      </c>
      <c r="D11" s="228"/>
      <c r="E11" s="80" t="s">
        <v>109</v>
      </c>
    </row>
    <row r="12" spans="1:8" ht="17" thickBot="1" x14ac:dyDescent="0.4">
      <c r="B12" s="23" t="s">
        <v>108</v>
      </c>
      <c r="C12" s="24"/>
      <c r="D12" s="25"/>
      <c r="E12" s="81" t="s">
        <v>64</v>
      </c>
    </row>
    <row r="14" spans="1:8" ht="12.75" customHeight="1" x14ac:dyDescent="0.25">
      <c r="B14" s="229" t="s">
        <v>36</v>
      </c>
      <c r="C14" s="231" t="s">
        <v>37</v>
      </c>
      <c r="D14" s="229" t="s">
        <v>38</v>
      </c>
      <c r="E14" s="231" t="s">
        <v>39</v>
      </c>
      <c r="F14" s="233" t="s">
        <v>40</v>
      </c>
    </row>
    <row r="15" spans="1:8" ht="35.25" customHeight="1" x14ac:dyDescent="0.25">
      <c r="A15" s="26"/>
      <c r="B15" s="230"/>
      <c r="C15" s="232"/>
      <c r="D15" s="230"/>
      <c r="E15" s="232"/>
      <c r="F15" s="234"/>
      <c r="G15" s="94"/>
    </row>
    <row r="16" spans="1:8" ht="15.5" x14ac:dyDescent="0.35">
      <c r="A16" s="95">
        <v>31</v>
      </c>
      <c r="B16" s="96">
        <v>46753</v>
      </c>
      <c r="C16" s="97">
        <f>+'Cantidades P3_(2028)'!AE11</f>
        <v>11889624.450000001</v>
      </c>
      <c r="D16" s="235"/>
      <c r="E16" s="99">
        <f>+C16*$D$16</f>
        <v>0</v>
      </c>
      <c r="F16" s="221"/>
      <c r="G16" s="94"/>
    </row>
    <row r="17" spans="1:8" ht="15.5" x14ac:dyDescent="0.35">
      <c r="A17" s="95">
        <v>28</v>
      </c>
      <c r="B17" s="96">
        <v>46784</v>
      </c>
      <c r="C17" s="97">
        <f>+'Cantidades P3_(2028)'!AE12</f>
        <v>11132863.52</v>
      </c>
      <c r="D17" s="236"/>
      <c r="E17" s="99">
        <f t="shared" ref="E17:E27" si="0">+C17*$D$16</f>
        <v>0</v>
      </c>
      <c r="F17" s="222"/>
      <c r="G17" s="94"/>
    </row>
    <row r="18" spans="1:8" ht="15.5" x14ac:dyDescent="0.35">
      <c r="A18" s="95">
        <v>31</v>
      </c>
      <c r="B18" s="96">
        <v>46813</v>
      </c>
      <c r="C18" s="97">
        <f>+'Cantidades P3_(2028)'!AE13</f>
        <v>12232067.659999998</v>
      </c>
      <c r="D18" s="236"/>
      <c r="E18" s="99">
        <f t="shared" si="0"/>
        <v>0</v>
      </c>
      <c r="F18" s="222"/>
      <c r="G18" s="94"/>
    </row>
    <row r="19" spans="1:8" ht="15.5" x14ac:dyDescent="0.35">
      <c r="A19" s="95">
        <v>30</v>
      </c>
      <c r="B19" s="96">
        <v>46844</v>
      </c>
      <c r="C19" s="97">
        <f>+'Cantidades P3_(2028)'!AE14</f>
        <v>11558910.18</v>
      </c>
      <c r="D19" s="236"/>
      <c r="E19" s="99">
        <f t="shared" si="0"/>
        <v>0</v>
      </c>
      <c r="F19" s="222"/>
      <c r="G19" s="94"/>
    </row>
    <row r="20" spans="1:8" ht="15.5" x14ac:dyDescent="0.35">
      <c r="A20" s="95">
        <v>31</v>
      </c>
      <c r="B20" s="96">
        <v>46874</v>
      </c>
      <c r="C20" s="97">
        <f>+'Cantidades P3_(2028)'!AE15</f>
        <v>11676150.889999997</v>
      </c>
      <c r="D20" s="236"/>
      <c r="E20" s="99">
        <f t="shared" si="0"/>
        <v>0</v>
      </c>
      <c r="F20" s="222"/>
      <c r="G20" s="94"/>
    </row>
    <row r="21" spans="1:8" ht="15.5" x14ac:dyDescent="0.35">
      <c r="A21" s="95">
        <v>30</v>
      </c>
      <c r="B21" s="96">
        <v>46905</v>
      </c>
      <c r="C21" s="97">
        <f>+'Cantidades P3_(2028)'!AE16</f>
        <v>10874815.080000002</v>
      </c>
      <c r="D21" s="236"/>
      <c r="E21" s="99">
        <f t="shared" si="0"/>
        <v>0</v>
      </c>
      <c r="F21" s="222"/>
      <c r="G21" s="94"/>
    </row>
    <row r="22" spans="1:8" ht="15.5" x14ac:dyDescent="0.35">
      <c r="A22" s="95">
        <v>31</v>
      </c>
      <c r="B22" s="96">
        <v>46935</v>
      </c>
      <c r="C22" s="97">
        <f>+'Cantidades P3_(2028)'!AE17</f>
        <v>11743794.080000002</v>
      </c>
      <c r="D22" s="236"/>
      <c r="E22" s="99">
        <f t="shared" si="0"/>
        <v>0</v>
      </c>
      <c r="F22" s="222"/>
      <c r="G22" s="94"/>
    </row>
    <row r="23" spans="1:8" ht="15.5" x14ac:dyDescent="0.35">
      <c r="A23" s="95">
        <v>31</v>
      </c>
      <c r="B23" s="96">
        <v>46966</v>
      </c>
      <c r="C23" s="97">
        <f>+'Cantidades P3_(2028)'!AE18</f>
        <v>11620125.890000001</v>
      </c>
      <c r="D23" s="236"/>
      <c r="E23" s="99">
        <f t="shared" si="0"/>
        <v>0</v>
      </c>
      <c r="F23" s="222"/>
      <c r="G23" s="94"/>
    </row>
    <row r="24" spans="1:8" ht="15.5" x14ac:dyDescent="0.35">
      <c r="A24" s="95">
        <v>30</v>
      </c>
      <c r="B24" s="96">
        <v>46997</v>
      </c>
      <c r="C24" s="97">
        <f>+'Cantidades P3_(2028)'!AE19</f>
        <v>11452942.769999998</v>
      </c>
      <c r="D24" s="236"/>
      <c r="E24" s="99">
        <f t="shared" si="0"/>
        <v>0</v>
      </c>
      <c r="F24" s="222"/>
      <c r="G24" s="94"/>
    </row>
    <row r="25" spans="1:8" ht="15.5" x14ac:dyDescent="0.35">
      <c r="A25" s="95">
        <v>31</v>
      </c>
      <c r="B25" s="96">
        <v>47027</v>
      </c>
      <c r="C25" s="97">
        <f>+'Cantidades P3_(2028)'!AE20</f>
        <v>11390912.459999999</v>
      </c>
      <c r="D25" s="236"/>
      <c r="E25" s="99">
        <f t="shared" si="0"/>
        <v>0</v>
      </c>
      <c r="F25" s="222"/>
      <c r="G25" s="94"/>
    </row>
    <row r="26" spans="1:8" ht="15.5" x14ac:dyDescent="0.35">
      <c r="A26" s="95">
        <v>30</v>
      </c>
      <c r="B26" s="96">
        <v>47058</v>
      </c>
      <c r="C26" s="97">
        <f>+'Cantidades P3_(2028)'!AE21</f>
        <v>11265844.259999998</v>
      </c>
      <c r="D26" s="236"/>
      <c r="E26" s="99">
        <f t="shared" si="0"/>
        <v>0</v>
      </c>
      <c r="F26" s="222"/>
      <c r="G26" s="94"/>
    </row>
    <row r="27" spans="1:8" ht="15.5" x14ac:dyDescent="0.35">
      <c r="A27" s="95">
        <v>31</v>
      </c>
      <c r="B27" s="96">
        <v>47088</v>
      </c>
      <c r="C27" s="97">
        <f>+'Cantidades P3_(2028)'!AE22</f>
        <v>11538542.649999999</v>
      </c>
      <c r="D27" s="237"/>
      <c r="E27" s="99">
        <f t="shared" si="0"/>
        <v>0</v>
      </c>
      <c r="F27" s="223"/>
      <c r="G27" s="94"/>
    </row>
    <row r="28" spans="1:8" ht="15.5" x14ac:dyDescent="0.35">
      <c r="A28" s="95">
        <f>SUM(A16:A27)</f>
        <v>365</v>
      </c>
      <c r="B28" s="100" t="s">
        <v>41</v>
      </c>
      <c r="C28" s="27">
        <f>SUM(C16:C27)</f>
        <v>138376593.88999999</v>
      </c>
      <c r="D28" s="64">
        <f>+E28/C28</f>
        <v>0</v>
      </c>
      <c r="E28" s="101">
        <f>SUM(E16:E27)</f>
        <v>0</v>
      </c>
      <c r="F28" s="65"/>
      <c r="G28" s="94"/>
    </row>
    <row r="29" spans="1:8" ht="14" x14ac:dyDescent="0.3">
      <c r="A29" s="102"/>
      <c r="B29" s="103"/>
      <c r="C29" s="200"/>
      <c r="D29" s="105"/>
      <c r="E29" s="104"/>
      <c r="F29" s="106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24" t="s">
        <v>146</v>
      </c>
      <c r="C32" s="224"/>
      <c r="D32" s="224"/>
      <c r="E32" s="224"/>
      <c r="F32" s="224"/>
      <c r="G32" s="224"/>
      <c r="H32" s="33"/>
    </row>
    <row r="33" spans="2:8" x14ac:dyDescent="0.25">
      <c r="B33" s="224"/>
      <c r="C33" s="224"/>
      <c r="D33" s="224"/>
      <c r="E33" s="224"/>
      <c r="F33" s="224"/>
      <c r="G33" s="224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107"/>
      <c r="H34" s="33"/>
    </row>
    <row r="35" spans="2:8" ht="14.5" x14ac:dyDescent="0.35">
      <c r="B35" s="33" t="s">
        <v>128</v>
      </c>
      <c r="C35" s="33"/>
      <c r="D35" s="34"/>
      <c r="E35" s="33"/>
      <c r="F35" s="33"/>
      <c r="G35" s="107"/>
      <c r="H35" s="33"/>
    </row>
    <row r="36" spans="2:8" ht="14.5" x14ac:dyDescent="0.35">
      <c r="B36" s="21" t="s">
        <v>104</v>
      </c>
      <c r="G36" s="107"/>
    </row>
    <row r="37" spans="2:8" s="36" customFormat="1" ht="20" customHeight="1" x14ac:dyDescent="0.25">
      <c r="B37" s="225" t="s">
        <v>125</v>
      </c>
      <c r="C37" s="225"/>
      <c r="D37" s="225"/>
      <c r="E37" s="225"/>
      <c r="F37" s="225"/>
      <c r="G37" s="225"/>
    </row>
    <row r="38" spans="2:8" s="36" customFormat="1" ht="26.25" customHeight="1" x14ac:dyDescent="0.25">
      <c r="B38" s="226" t="s">
        <v>105</v>
      </c>
      <c r="C38" s="226"/>
      <c r="D38" s="226"/>
      <c r="E38" s="226"/>
      <c r="F38" s="226"/>
      <c r="G38" s="108"/>
    </row>
    <row r="39" spans="2:8" s="36" customFormat="1" ht="13.5" customHeight="1" x14ac:dyDescent="0.25">
      <c r="B39" s="226" t="s">
        <v>55</v>
      </c>
      <c r="C39" s="226"/>
      <c r="D39" s="226"/>
      <c r="E39" s="226"/>
      <c r="F39" s="226"/>
      <c r="G39" s="108"/>
    </row>
    <row r="40" spans="2:8" s="36" customFormat="1" ht="13.5" customHeight="1" x14ac:dyDescent="0.25">
      <c r="B40" s="43" t="s">
        <v>129</v>
      </c>
      <c r="C40" s="108"/>
      <c r="D40" s="108"/>
      <c r="E40" s="108"/>
      <c r="F40" s="108"/>
      <c r="G40" s="108"/>
    </row>
    <row r="41" spans="2:8" s="36" customFormat="1" ht="13.5" customHeight="1" x14ac:dyDescent="0.25">
      <c r="B41" s="43" t="s">
        <v>106</v>
      </c>
      <c r="C41" s="108"/>
      <c r="D41" s="108"/>
      <c r="E41" s="108"/>
      <c r="F41" s="108"/>
      <c r="G41" s="108"/>
    </row>
    <row r="42" spans="2:8" s="36" customFormat="1" ht="13.5" customHeight="1" x14ac:dyDescent="0.25">
      <c r="B42" s="215" t="s">
        <v>130</v>
      </c>
      <c r="C42" s="216"/>
      <c r="D42" s="216"/>
      <c r="E42" s="216"/>
      <c r="F42" s="217"/>
      <c r="G42" s="110"/>
    </row>
    <row r="43" spans="2:8" s="36" customFormat="1" ht="42.75" customHeight="1" x14ac:dyDescent="0.25">
      <c r="B43" s="218"/>
      <c r="C43" s="219"/>
      <c r="D43" s="219"/>
      <c r="E43" s="219"/>
      <c r="F43" s="220"/>
      <c r="G43" s="110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5">
    <mergeCell ref="B42:F43"/>
    <mergeCell ref="D16:D27"/>
    <mergeCell ref="F16:F27"/>
    <mergeCell ref="B32:G33"/>
    <mergeCell ref="B37:G37"/>
    <mergeCell ref="B38:F38"/>
    <mergeCell ref="B39:F39"/>
    <mergeCell ref="B6:G7"/>
    <mergeCell ref="C9:D9"/>
    <mergeCell ref="C11:D11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A9B4AC-1AB9-4D70-AC11-40431BAD100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7F2D2A85-9850-40A9-9E6D-4F00B34530A3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8D8E-5DF8-4593-8D60-BD6B008C7655}">
  <sheetPr>
    <tabColor theme="5" tint="0.59999389629810485"/>
    <pageSetUpPr fitToPage="1"/>
  </sheetPr>
  <dimension ref="A2:W120"/>
  <sheetViews>
    <sheetView showGridLines="0" tabSelected="1" zoomScale="90" zoomScaleNormal="90" zoomScaleSheetLayoutView="100" workbookViewId="0">
      <selection activeCell="L5" sqref="L5"/>
    </sheetView>
  </sheetViews>
  <sheetFormatPr baseColWidth="10" defaultColWidth="0" defaultRowHeight="12.5" x14ac:dyDescent="0.25"/>
  <cols>
    <col min="1" max="1" width="5.26953125" style="21" customWidth="1"/>
    <col min="2" max="2" width="32.08984375" style="21" customWidth="1"/>
    <col min="3" max="3" width="17.36328125" style="21" customWidth="1"/>
    <col min="4" max="4" width="8.08984375" style="35" customWidth="1"/>
    <col min="5" max="5" width="14.453125" style="21" customWidth="1"/>
    <col min="6" max="6" width="10.08984375" style="21" customWidth="1"/>
    <col min="7" max="7" width="5.26953125" style="21" customWidth="1"/>
    <col min="8" max="8" width="20.6328125" style="21" customWidth="1"/>
    <col min="9" max="9" width="16.36328125" style="21" customWidth="1"/>
    <col min="10" max="10" width="8.54296875" style="35" customWidth="1"/>
    <col min="11" max="11" width="16.54296875" style="21" customWidth="1"/>
    <col min="12" max="12" width="14.90625" style="21" customWidth="1"/>
    <col min="13" max="13" width="19.36328125" style="21" customWidth="1"/>
    <col min="14" max="23" width="1.54296875" style="21" hidden="1" customWidth="1"/>
    <col min="24" max="16384" width="3.453125" style="21" hidden="1"/>
  </cols>
  <sheetData>
    <row r="2" spans="1:14" s="20" customFormat="1" ht="19" x14ac:dyDescent="0.35">
      <c r="B2" s="50" t="s">
        <v>136</v>
      </c>
      <c r="D2" s="52"/>
      <c r="H2" s="50"/>
      <c r="J2" s="52"/>
    </row>
    <row r="3" spans="1:14" ht="16.5" customHeight="1" x14ac:dyDescent="0.25">
      <c r="B3" s="259" t="s">
        <v>126</v>
      </c>
      <c r="C3" s="259"/>
      <c r="D3" s="22"/>
      <c r="E3" s="22"/>
      <c r="F3" s="22"/>
      <c r="H3" s="259"/>
      <c r="I3" s="259"/>
      <c r="J3" s="22"/>
      <c r="K3" s="22"/>
      <c r="L3" s="22"/>
      <c r="M3" s="22"/>
      <c r="N3" s="22"/>
    </row>
    <row r="4" spans="1:14" ht="16.5" customHeight="1" x14ac:dyDescent="0.25">
      <c r="B4" s="51"/>
      <c r="C4" s="22"/>
      <c r="D4" s="22"/>
      <c r="E4" s="22"/>
      <c r="F4" s="22"/>
      <c r="H4" s="51"/>
      <c r="I4" s="22"/>
      <c r="J4" s="22"/>
      <c r="K4" s="22"/>
      <c r="L4" s="22"/>
      <c r="M4" s="22"/>
      <c r="N4" s="22"/>
    </row>
    <row r="5" spans="1:14" ht="16.5" customHeight="1" x14ac:dyDescent="0.25">
      <c r="B5" s="51"/>
      <c r="C5" s="22"/>
      <c r="D5" s="22"/>
      <c r="E5" s="22"/>
      <c r="F5" s="22"/>
      <c r="H5" s="51"/>
      <c r="I5" s="22"/>
      <c r="J5" s="22"/>
      <c r="K5" s="22"/>
      <c r="L5" s="22"/>
      <c r="M5" s="22"/>
      <c r="N5" s="22"/>
    </row>
    <row r="6" spans="1:14" ht="35" customHeight="1" x14ac:dyDescent="0.25">
      <c r="B6" s="227" t="s">
        <v>147</v>
      </c>
      <c r="C6" s="227"/>
      <c r="D6" s="227"/>
      <c r="E6" s="227"/>
      <c r="F6" s="227"/>
      <c r="G6" s="227"/>
      <c r="H6" s="227"/>
      <c r="I6" s="227"/>
      <c r="J6" s="227"/>
      <c r="K6" s="227"/>
      <c r="L6" s="22"/>
      <c r="M6" s="22"/>
      <c r="N6" s="22"/>
    </row>
    <row r="7" spans="1:14" ht="18" customHeight="1" thickBot="1" x14ac:dyDescent="0.4">
      <c r="B7" s="23" t="s">
        <v>35</v>
      </c>
      <c r="C7" s="24"/>
      <c r="D7" s="25"/>
      <c r="E7" s="73"/>
      <c r="F7" s="73"/>
      <c r="G7" s="73"/>
      <c r="H7" s="73"/>
      <c r="I7" s="73"/>
      <c r="J7" s="73"/>
      <c r="K7" s="81" t="s">
        <v>64</v>
      </c>
      <c r="L7" s="81"/>
      <c r="M7" s="22"/>
      <c r="N7" s="22"/>
    </row>
    <row r="8" spans="1:14" ht="18" customHeight="1" thickBot="1" x14ac:dyDescent="0.4">
      <c r="B8" s="23" t="s">
        <v>44</v>
      </c>
      <c r="C8" s="228"/>
      <c r="D8" s="228"/>
      <c r="E8" s="228"/>
      <c r="F8" s="228"/>
      <c r="G8" s="228"/>
      <c r="H8" s="228"/>
      <c r="I8" s="228"/>
      <c r="J8" s="228"/>
      <c r="K8" s="80" t="s">
        <v>63</v>
      </c>
      <c r="L8" s="80"/>
    </row>
    <row r="9" spans="1:14" ht="18" customHeight="1" thickBot="1" x14ac:dyDescent="0.4">
      <c r="B9" s="41" t="s">
        <v>107</v>
      </c>
      <c r="C9" s="77"/>
      <c r="D9" s="76"/>
      <c r="E9" s="74"/>
      <c r="F9" s="74"/>
      <c r="G9" s="74"/>
      <c r="H9" s="75"/>
      <c r="I9" s="78"/>
      <c r="J9" s="78"/>
      <c r="K9" s="81" t="s">
        <v>64</v>
      </c>
      <c r="L9" s="81"/>
    </row>
    <row r="10" spans="1:14" ht="18" customHeight="1" thickBot="1" x14ac:dyDescent="0.4">
      <c r="B10" s="23" t="s">
        <v>46</v>
      </c>
      <c r="C10" s="228" t="s">
        <v>58</v>
      </c>
      <c r="D10" s="228"/>
      <c r="E10" s="228"/>
      <c r="F10" s="228"/>
      <c r="G10" s="228"/>
      <c r="H10" s="228"/>
      <c r="I10" s="228"/>
      <c r="J10" s="228"/>
      <c r="K10" s="80" t="s">
        <v>63</v>
      </c>
      <c r="L10" s="80"/>
    </row>
    <row r="11" spans="1:14" ht="17" thickBot="1" x14ac:dyDescent="0.4">
      <c r="B11" s="23" t="s">
        <v>108</v>
      </c>
      <c r="C11" s="228"/>
      <c r="D11" s="228"/>
      <c r="E11" s="228"/>
      <c r="F11" s="228"/>
      <c r="G11" s="228"/>
      <c r="H11" s="228"/>
      <c r="I11" s="228"/>
      <c r="J11" s="228"/>
      <c r="K11" s="81" t="s">
        <v>64</v>
      </c>
      <c r="L11" s="81"/>
    </row>
    <row r="12" spans="1:14" x14ac:dyDescent="0.25">
      <c r="C12" s="46"/>
    </row>
    <row r="13" spans="1:14" ht="12.75" customHeight="1" x14ac:dyDescent="0.3">
      <c r="B13" s="258" t="s">
        <v>36</v>
      </c>
      <c r="C13" s="258" t="s">
        <v>37</v>
      </c>
      <c r="D13" s="258" t="s">
        <v>38</v>
      </c>
      <c r="E13" s="258" t="s">
        <v>39</v>
      </c>
      <c r="F13" s="257" t="s">
        <v>40</v>
      </c>
      <c r="G13" s="55"/>
      <c r="H13" s="258" t="s">
        <v>36</v>
      </c>
      <c r="I13" s="258" t="s">
        <v>37</v>
      </c>
      <c r="J13" s="258" t="s">
        <v>38</v>
      </c>
      <c r="K13" s="258" t="s">
        <v>39</v>
      </c>
      <c r="L13" s="257" t="s">
        <v>40</v>
      </c>
    </row>
    <row r="14" spans="1:14" ht="53.5" customHeight="1" x14ac:dyDescent="0.3">
      <c r="A14" s="26"/>
      <c r="B14" s="258"/>
      <c r="C14" s="258"/>
      <c r="D14" s="258"/>
      <c r="E14" s="258"/>
      <c r="F14" s="257"/>
      <c r="G14" s="82"/>
      <c r="H14" s="258"/>
      <c r="I14" s="258"/>
      <c r="J14" s="258"/>
      <c r="K14" s="258"/>
      <c r="L14" s="257"/>
    </row>
    <row r="15" spans="1:14" ht="15.75" customHeight="1" x14ac:dyDescent="0.35">
      <c r="A15" s="71">
        <v>31</v>
      </c>
      <c r="B15" s="61">
        <v>47119</v>
      </c>
      <c r="C15" s="62">
        <f>+'Cantidades P4_(2029-2040)'!AC11</f>
        <v>9459407.620000001</v>
      </c>
      <c r="D15" s="247"/>
      <c r="E15" s="59">
        <f t="shared" ref="E15:E26" si="0">+C15*$D$15</f>
        <v>0</v>
      </c>
      <c r="F15" s="250"/>
      <c r="G15" s="60"/>
      <c r="H15" s="61">
        <v>49310</v>
      </c>
      <c r="I15" s="62">
        <f>+'Cantidades P4_(2029-2040)'!$AC$305</f>
        <v>24703006.830000006</v>
      </c>
      <c r="J15" s="247">
        <f t="shared" ref="J15" si="1">+$D$15</f>
        <v>0</v>
      </c>
      <c r="K15" s="59">
        <f>+I15*$J$15</f>
        <v>0</v>
      </c>
      <c r="L15" s="250"/>
    </row>
    <row r="16" spans="1:14" ht="14.5" x14ac:dyDescent="0.35">
      <c r="A16" s="71">
        <v>29</v>
      </c>
      <c r="B16" s="61">
        <v>47150</v>
      </c>
      <c r="C16" s="62">
        <f>+'Cantidades P4_(2029-2040)'!AC15</f>
        <v>8868777.3599999994</v>
      </c>
      <c r="D16" s="248"/>
      <c r="E16" s="59">
        <f t="shared" si="0"/>
        <v>0</v>
      </c>
      <c r="F16" s="251"/>
      <c r="G16" s="60"/>
      <c r="H16" s="61">
        <v>49341</v>
      </c>
      <c r="I16" s="62">
        <f>+'Cantidades P4_(2029-2040)'!$AC$309</f>
        <v>23290601.720000006</v>
      </c>
      <c r="J16" s="248"/>
      <c r="K16" s="59">
        <f t="shared" ref="K16:K26" si="2">+I16*$J$15</f>
        <v>0</v>
      </c>
      <c r="L16" s="251"/>
    </row>
    <row r="17" spans="1:12" ht="14.5" x14ac:dyDescent="0.35">
      <c r="A17" s="71">
        <v>31</v>
      </c>
      <c r="B17" s="61">
        <v>47178</v>
      </c>
      <c r="C17" s="62">
        <f>+'Cantidades P4_(2029-2040)'!AC19</f>
        <v>9732794.5399999991</v>
      </c>
      <c r="D17" s="248"/>
      <c r="E17" s="59">
        <f t="shared" si="0"/>
        <v>0</v>
      </c>
      <c r="F17" s="251"/>
      <c r="G17" s="60"/>
      <c r="H17" s="61">
        <v>49369</v>
      </c>
      <c r="I17" s="62">
        <f>+'Cantidades P4_(2029-2040)'!$AC$313</f>
        <v>25376135.480000004</v>
      </c>
      <c r="J17" s="248"/>
      <c r="K17" s="59">
        <f t="shared" si="2"/>
        <v>0</v>
      </c>
      <c r="L17" s="251"/>
    </row>
    <row r="18" spans="1:12" ht="14.5" x14ac:dyDescent="0.35">
      <c r="A18" s="71">
        <v>30</v>
      </c>
      <c r="B18" s="61">
        <v>47209</v>
      </c>
      <c r="C18" s="62">
        <f>+'Cantidades P4_(2029-2040)'!AC23</f>
        <v>9210470.6899999976</v>
      </c>
      <c r="D18" s="248"/>
      <c r="E18" s="59">
        <f t="shared" si="0"/>
        <v>0</v>
      </c>
      <c r="F18" s="251"/>
      <c r="G18" s="60"/>
      <c r="H18" s="61">
        <v>49400</v>
      </c>
      <c r="I18" s="62">
        <f>+'Cantidades P4_(2029-2040)'!$AC$317</f>
        <v>24167109.59</v>
      </c>
      <c r="J18" s="248"/>
      <c r="K18" s="59">
        <f t="shared" si="2"/>
        <v>0</v>
      </c>
      <c r="L18" s="251"/>
    </row>
    <row r="19" spans="1:12" ht="14.5" x14ac:dyDescent="0.35">
      <c r="A19" s="71">
        <v>31</v>
      </c>
      <c r="B19" s="61">
        <v>47239</v>
      </c>
      <c r="C19" s="62">
        <f>+'Cantidades P4_(2029-2040)'!AC27</f>
        <v>9299682.0999999996</v>
      </c>
      <c r="D19" s="248"/>
      <c r="E19" s="59">
        <f t="shared" si="0"/>
        <v>0</v>
      </c>
      <c r="F19" s="251"/>
      <c r="G19" s="60"/>
      <c r="H19" s="61">
        <v>49430</v>
      </c>
      <c r="I19" s="62">
        <f>+'Cantidades P4_(2029-2040)'!$AC$321</f>
        <v>24316488.669999994</v>
      </c>
      <c r="J19" s="248"/>
      <c r="K19" s="59">
        <f t="shared" si="2"/>
        <v>0</v>
      </c>
      <c r="L19" s="251"/>
    </row>
    <row r="20" spans="1:12" ht="14.5" x14ac:dyDescent="0.35">
      <c r="A20" s="71">
        <v>30</v>
      </c>
      <c r="B20" s="61">
        <v>47270</v>
      </c>
      <c r="C20" s="62">
        <f>+'Cantidades P4_(2029-2040)'!AC31</f>
        <v>8672481.3499999996</v>
      </c>
      <c r="D20" s="248"/>
      <c r="E20" s="59">
        <f t="shared" si="0"/>
        <v>0</v>
      </c>
      <c r="F20" s="251"/>
      <c r="G20" s="60"/>
      <c r="H20" s="61">
        <v>49461</v>
      </c>
      <c r="I20" s="62">
        <f>+'Cantidades P4_(2029-2040)'!$AC$325</f>
        <v>22792959.399999999</v>
      </c>
      <c r="J20" s="248"/>
      <c r="K20" s="59">
        <f t="shared" si="2"/>
        <v>0</v>
      </c>
      <c r="L20" s="251"/>
    </row>
    <row r="21" spans="1:12" ht="14.5" x14ac:dyDescent="0.35">
      <c r="A21" s="71">
        <v>31</v>
      </c>
      <c r="B21" s="61">
        <v>47300</v>
      </c>
      <c r="C21" s="62">
        <f>+'Cantidades P4_(2029-2040)'!AC35</f>
        <v>9351870.8100000005</v>
      </c>
      <c r="D21" s="248"/>
      <c r="E21" s="59">
        <f t="shared" si="0"/>
        <v>0</v>
      </c>
      <c r="F21" s="251"/>
      <c r="G21" s="60"/>
      <c r="H21" s="61">
        <v>49491</v>
      </c>
      <c r="I21" s="62">
        <f>+'Cantidades P4_(2029-2040)'!$AC$329</f>
        <v>24375379.229999997</v>
      </c>
      <c r="J21" s="248"/>
      <c r="K21" s="59">
        <f t="shared" si="2"/>
        <v>0</v>
      </c>
      <c r="L21" s="251"/>
    </row>
    <row r="22" spans="1:12" ht="14.5" x14ac:dyDescent="0.35">
      <c r="A22" s="71">
        <v>31</v>
      </c>
      <c r="B22" s="61">
        <v>47331</v>
      </c>
      <c r="C22" s="62">
        <f>+'Cantidades P4_(2029-2040)'!AC39</f>
        <v>9257080.2699999996</v>
      </c>
      <c r="D22" s="248"/>
      <c r="E22" s="59">
        <f t="shared" si="0"/>
        <v>0</v>
      </c>
      <c r="F22" s="251"/>
      <c r="G22" s="60"/>
      <c r="H22" s="61">
        <v>49522</v>
      </c>
      <c r="I22" s="62">
        <f>+'Cantidades P4_(2029-2040)'!$AC$333</f>
        <v>24150028.969999999</v>
      </c>
      <c r="J22" s="248"/>
      <c r="K22" s="59">
        <f t="shared" si="2"/>
        <v>0</v>
      </c>
      <c r="L22" s="251"/>
    </row>
    <row r="23" spans="1:12" ht="14.5" x14ac:dyDescent="0.35">
      <c r="A23" s="71">
        <v>30</v>
      </c>
      <c r="B23" s="61">
        <v>47362</v>
      </c>
      <c r="C23" s="62">
        <f>+'Cantidades P4_(2029-2040)'!AC43</f>
        <v>9125052.6999999993</v>
      </c>
      <c r="D23" s="248"/>
      <c r="E23" s="59">
        <f t="shared" si="0"/>
        <v>0</v>
      </c>
      <c r="F23" s="251"/>
      <c r="G23" s="60"/>
      <c r="H23" s="61">
        <v>49553</v>
      </c>
      <c r="I23" s="62">
        <f>+'Cantidades P4_(2029-2040)'!$AC$337</f>
        <v>23790958.699999996</v>
      </c>
      <c r="J23" s="248"/>
      <c r="K23" s="59">
        <f t="shared" si="2"/>
        <v>0</v>
      </c>
      <c r="L23" s="251"/>
    </row>
    <row r="24" spans="1:12" ht="14.5" x14ac:dyDescent="0.35">
      <c r="A24" s="71">
        <v>31</v>
      </c>
      <c r="B24" s="61">
        <v>47392</v>
      </c>
      <c r="C24" s="62">
        <f>+'Cantidades P4_(2029-2040)'!AC47</f>
        <v>9078218.3399999999</v>
      </c>
      <c r="D24" s="248"/>
      <c r="E24" s="59">
        <f t="shared" si="0"/>
        <v>0</v>
      </c>
      <c r="F24" s="251"/>
      <c r="G24" s="60"/>
      <c r="H24" s="61">
        <v>49583</v>
      </c>
      <c r="I24" s="62">
        <f>+'Cantidades P4_(2029-2040)'!$AC$341</f>
        <v>23675864.219999995</v>
      </c>
      <c r="J24" s="248"/>
      <c r="K24" s="59">
        <f t="shared" si="2"/>
        <v>0</v>
      </c>
      <c r="L24" s="251"/>
    </row>
    <row r="25" spans="1:12" ht="14.5" x14ac:dyDescent="0.35">
      <c r="A25" s="71">
        <v>30</v>
      </c>
      <c r="B25" s="61">
        <v>47423</v>
      </c>
      <c r="C25" s="62">
        <f>+'Cantidades P4_(2029-2040)'!AC51</f>
        <v>8978859.8600000013</v>
      </c>
      <c r="D25" s="248"/>
      <c r="E25" s="59">
        <f t="shared" si="0"/>
        <v>0</v>
      </c>
      <c r="F25" s="251"/>
      <c r="G25" s="60"/>
      <c r="H25" s="61">
        <v>49614</v>
      </c>
      <c r="I25" s="62">
        <f>+'Cantidades P4_(2029-2040)'!$AC$345</f>
        <v>23390514.220000003</v>
      </c>
      <c r="J25" s="248"/>
      <c r="K25" s="59">
        <f t="shared" si="2"/>
        <v>0</v>
      </c>
      <c r="L25" s="251"/>
    </row>
    <row r="26" spans="1:12" ht="14.5" x14ac:dyDescent="0.35">
      <c r="A26" s="71">
        <v>31</v>
      </c>
      <c r="B26" s="61">
        <v>47453</v>
      </c>
      <c r="C26" s="62">
        <f>+'Cantidades P4_(2029-2040)'!AC55</f>
        <v>9194008.0500000007</v>
      </c>
      <c r="D26" s="249"/>
      <c r="E26" s="59">
        <f t="shared" si="0"/>
        <v>0</v>
      </c>
      <c r="F26" s="252"/>
      <c r="G26" s="60"/>
      <c r="H26" s="61">
        <v>49644</v>
      </c>
      <c r="I26" s="62">
        <f>+'Cantidades P4_(2029-2040)'!$AC$349</f>
        <v>23900139.029999997</v>
      </c>
      <c r="J26" s="249"/>
      <c r="K26" s="59">
        <f t="shared" si="2"/>
        <v>0</v>
      </c>
      <c r="L26" s="252"/>
    </row>
    <row r="27" spans="1:12" ht="15.75" customHeight="1" x14ac:dyDescent="0.35">
      <c r="A27" s="71">
        <v>31</v>
      </c>
      <c r="B27" s="61">
        <v>47484</v>
      </c>
      <c r="C27" s="62">
        <f>+'Cantidades P4_(2029-2040)'!$AC$60</f>
        <v>19148897.189999994</v>
      </c>
      <c r="D27" s="247">
        <f>+$D$15</f>
        <v>0</v>
      </c>
      <c r="E27" s="59">
        <f t="shared" ref="E27:E38" si="3">+C27*$D$27</f>
        <v>0</v>
      </c>
      <c r="F27" s="250"/>
      <c r="G27" s="60"/>
      <c r="H27" s="61">
        <v>49675</v>
      </c>
      <c r="I27" s="62">
        <f>+'Cantidades P4_(2029-2040)'!$AC$354</f>
        <v>29074292.320000004</v>
      </c>
      <c r="J27" s="247">
        <f t="shared" ref="J27" si="4">+$D$15</f>
        <v>0</v>
      </c>
      <c r="K27" s="59">
        <f>+I27*$J$27</f>
        <v>0</v>
      </c>
      <c r="L27" s="250"/>
    </row>
    <row r="28" spans="1:12" ht="14.5" x14ac:dyDescent="0.35">
      <c r="A28" s="71">
        <v>28</v>
      </c>
      <c r="B28" s="61">
        <v>47515</v>
      </c>
      <c r="C28" s="62">
        <f>+'Cantidades P4_(2029-2040)'!$AC$64</f>
        <v>17975618.919999994</v>
      </c>
      <c r="D28" s="248"/>
      <c r="E28" s="59">
        <f t="shared" si="3"/>
        <v>0</v>
      </c>
      <c r="F28" s="251"/>
      <c r="G28" s="60"/>
      <c r="H28" s="61">
        <v>49706</v>
      </c>
      <c r="I28" s="62">
        <f>+'Cantidades P4_(2029-2040)'!$AC$358</f>
        <v>27440139.18</v>
      </c>
      <c r="J28" s="248"/>
      <c r="K28" s="59">
        <f t="shared" ref="K28:K38" si="5">+I28*$J$27</f>
        <v>0</v>
      </c>
      <c r="L28" s="251"/>
    </row>
    <row r="29" spans="1:12" ht="14.5" x14ac:dyDescent="0.35">
      <c r="A29" s="71">
        <v>31</v>
      </c>
      <c r="B29" s="61">
        <v>47543</v>
      </c>
      <c r="C29" s="62">
        <f>+'Cantidades P4_(2029-2040)'!$AC$68</f>
        <v>19704151.129999995</v>
      </c>
      <c r="D29" s="248"/>
      <c r="E29" s="59">
        <f t="shared" si="3"/>
        <v>0</v>
      </c>
      <c r="F29" s="251"/>
      <c r="G29" s="60"/>
      <c r="H29" s="61">
        <v>49735</v>
      </c>
      <c r="I29" s="62">
        <f>+'Cantidades P4_(2029-2040)'!$AC$362</f>
        <v>29869754.319999997</v>
      </c>
      <c r="J29" s="248"/>
      <c r="K29" s="59">
        <f t="shared" si="5"/>
        <v>0</v>
      </c>
      <c r="L29" s="251"/>
    </row>
    <row r="30" spans="1:12" ht="14.5" x14ac:dyDescent="0.35">
      <c r="A30" s="71">
        <v>30</v>
      </c>
      <c r="B30" s="61">
        <v>47574</v>
      </c>
      <c r="C30" s="62">
        <f>+'Cantidades P4_(2029-2040)'!$AC$72</f>
        <v>18672644.779999997</v>
      </c>
      <c r="D30" s="248"/>
      <c r="E30" s="59">
        <f t="shared" si="3"/>
        <v>0</v>
      </c>
      <c r="F30" s="251"/>
      <c r="G30" s="60"/>
      <c r="H30" s="61">
        <v>49766</v>
      </c>
      <c r="I30" s="62">
        <f>+'Cantidades P4_(2029-2040)'!$AC$366</f>
        <v>28479297.159999996</v>
      </c>
      <c r="J30" s="248"/>
      <c r="K30" s="59">
        <f t="shared" si="5"/>
        <v>0</v>
      </c>
      <c r="L30" s="251"/>
    </row>
    <row r="31" spans="1:12" ht="14.5" x14ac:dyDescent="0.35">
      <c r="A31" s="71">
        <v>31</v>
      </c>
      <c r="B31" s="61">
        <v>47604</v>
      </c>
      <c r="C31" s="62">
        <f>+'Cantidades P4_(2029-2040)'!$AC$76</f>
        <v>18845304.66</v>
      </c>
      <c r="D31" s="248"/>
      <c r="E31" s="59">
        <f t="shared" si="3"/>
        <v>0</v>
      </c>
      <c r="F31" s="251"/>
      <c r="G31" s="60"/>
      <c r="H31" s="61">
        <v>49796</v>
      </c>
      <c r="I31" s="62">
        <f>+'Cantidades P4_(2029-2040)'!$AC$370</f>
        <v>28645768.930000003</v>
      </c>
      <c r="J31" s="248"/>
      <c r="K31" s="59">
        <f t="shared" si="5"/>
        <v>0</v>
      </c>
      <c r="L31" s="251"/>
    </row>
    <row r="32" spans="1:12" ht="14.5" x14ac:dyDescent="0.35">
      <c r="A32" s="71">
        <v>30</v>
      </c>
      <c r="B32" s="61">
        <v>47635</v>
      </c>
      <c r="C32" s="62">
        <f>+'Cantidades P4_(2029-2040)'!$AC$80</f>
        <v>17595836.659999996</v>
      </c>
      <c r="D32" s="248"/>
      <c r="E32" s="59">
        <f t="shared" si="3"/>
        <v>0</v>
      </c>
      <c r="F32" s="251"/>
      <c r="G32" s="60"/>
      <c r="H32" s="61">
        <v>49827</v>
      </c>
      <c r="I32" s="62">
        <f>+'Cantidades P4_(2029-2040)'!$AC$374</f>
        <v>26878158.920000006</v>
      </c>
      <c r="J32" s="248"/>
      <c r="K32" s="59">
        <f t="shared" si="5"/>
        <v>0</v>
      </c>
      <c r="L32" s="251"/>
    </row>
    <row r="33" spans="1:12" ht="14.5" x14ac:dyDescent="0.35">
      <c r="A33" s="71">
        <v>31</v>
      </c>
      <c r="B33" s="61">
        <v>47665</v>
      </c>
      <c r="C33" s="62">
        <f>+'Cantidades P4_(2029-2040)'!$AC$84</f>
        <v>18947771.57</v>
      </c>
      <c r="D33" s="248"/>
      <c r="E33" s="59">
        <f t="shared" si="3"/>
        <v>0</v>
      </c>
      <c r="F33" s="251"/>
      <c r="G33" s="60"/>
      <c r="H33" s="61">
        <v>49857</v>
      </c>
      <c r="I33" s="62">
        <f>+'Cantidades P4_(2029-2040)'!$AC$378</f>
        <v>28712116.580000002</v>
      </c>
      <c r="J33" s="248"/>
      <c r="K33" s="59">
        <f t="shared" si="5"/>
        <v>0</v>
      </c>
      <c r="L33" s="251"/>
    </row>
    <row r="34" spans="1:12" ht="14.5" x14ac:dyDescent="0.35">
      <c r="A34" s="71">
        <v>31</v>
      </c>
      <c r="B34" s="61">
        <v>47696</v>
      </c>
      <c r="C34" s="62">
        <f>+'Cantidades P4_(2029-2040)'!$AC$88</f>
        <v>18762913.309999999</v>
      </c>
      <c r="D34" s="248"/>
      <c r="E34" s="59">
        <f t="shared" si="3"/>
        <v>0</v>
      </c>
      <c r="F34" s="251"/>
      <c r="G34" s="60"/>
      <c r="H34" s="61">
        <v>49888</v>
      </c>
      <c r="I34" s="62">
        <f>+'Cantidades P4_(2029-2040)'!$AC$382</f>
        <v>28456085.350000001</v>
      </c>
      <c r="J34" s="248"/>
      <c r="K34" s="59">
        <f t="shared" si="5"/>
        <v>0</v>
      </c>
      <c r="L34" s="251"/>
    </row>
    <row r="35" spans="1:12" ht="14.5" x14ac:dyDescent="0.35">
      <c r="A35" s="71">
        <v>30</v>
      </c>
      <c r="B35" s="61">
        <v>47727</v>
      </c>
      <c r="C35" s="62">
        <f>+'Cantidades P4_(2029-2040)'!$AC$92</f>
        <v>18497564.18</v>
      </c>
      <c r="D35" s="248"/>
      <c r="E35" s="59">
        <f t="shared" si="3"/>
        <v>0</v>
      </c>
      <c r="F35" s="251"/>
      <c r="G35" s="60"/>
      <c r="H35" s="61">
        <v>49919</v>
      </c>
      <c r="I35" s="62">
        <f>+'Cantidades P4_(2029-2040)'!$AC$386</f>
        <v>28036346.98</v>
      </c>
      <c r="J35" s="248"/>
      <c r="K35" s="59">
        <f t="shared" si="5"/>
        <v>0</v>
      </c>
      <c r="L35" s="251"/>
    </row>
    <row r="36" spans="1:12" ht="14.5" x14ac:dyDescent="0.35">
      <c r="A36" s="71">
        <v>31</v>
      </c>
      <c r="B36" s="61">
        <v>47757</v>
      </c>
      <c r="C36" s="62">
        <f>+'Cantidades P4_(2029-2040)'!$AC$96</f>
        <v>18407672.490000002</v>
      </c>
      <c r="D36" s="248"/>
      <c r="E36" s="59">
        <f t="shared" si="3"/>
        <v>0</v>
      </c>
      <c r="F36" s="251"/>
      <c r="G36" s="60"/>
      <c r="H36" s="61">
        <v>49949</v>
      </c>
      <c r="I36" s="62">
        <f>+'Cantidades P4_(2029-2040)'!$AC$390</f>
        <v>27907462.239999991</v>
      </c>
      <c r="J36" s="248"/>
      <c r="K36" s="59">
        <f t="shared" si="5"/>
        <v>0</v>
      </c>
      <c r="L36" s="251"/>
    </row>
    <row r="37" spans="1:12" ht="14.5" x14ac:dyDescent="0.35">
      <c r="A37" s="71">
        <v>30</v>
      </c>
      <c r="B37" s="61">
        <v>47788</v>
      </c>
      <c r="C37" s="62">
        <f>+'Cantidades P4_(2029-2040)'!$AC$100</f>
        <v>18206824.219999999</v>
      </c>
      <c r="D37" s="248"/>
      <c r="E37" s="59">
        <f t="shared" si="3"/>
        <v>0</v>
      </c>
      <c r="F37" s="251"/>
      <c r="G37" s="60"/>
      <c r="H37" s="61">
        <v>49980</v>
      </c>
      <c r="I37" s="62">
        <f>+'Cantidades P4_(2029-2040)'!$AC$394</f>
        <v>27572466.919999998</v>
      </c>
      <c r="J37" s="248"/>
      <c r="K37" s="59">
        <f t="shared" si="5"/>
        <v>0</v>
      </c>
      <c r="L37" s="251"/>
    </row>
    <row r="38" spans="1:12" ht="14.5" x14ac:dyDescent="0.35">
      <c r="A38" s="71">
        <v>31</v>
      </c>
      <c r="B38" s="61">
        <v>47818</v>
      </c>
      <c r="C38" s="62">
        <f>+'Cantidades P4_(2029-2040)'!$AC$104</f>
        <v>18638820.899999999</v>
      </c>
      <c r="D38" s="249"/>
      <c r="E38" s="59">
        <f t="shared" si="3"/>
        <v>0</v>
      </c>
      <c r="F38" s="252"/>
      <c r="G38" s="60"/>
      <c r="H38" s="61">
        <v>50010</v>
      </c>
      <c r="I38" s="62">
        <f>+'Cantidades P4_(2029-2040)'!$AC$398</f>
        <v>28168380.079999998</v>
      </c>
      <c r="J38" s="249"/>
      <c r="K38" s="59">
        <f t="shared" si="5"/>
        <v>0</v>
      </c>
      <c r="L38" s="252"/>
    </row>
    <row r="39" spans="1:12" ht="15.75" customHeight="1" x14ac:dyDescent="0.35">
      <c r="A39" s="71">
        <v>31</v>
      </c>
      <c r="B39" s="61">
        <v>47849</v>
      </c>
      <c r="C39" s="62">
        <f>+'Cantidades P4_(2029-2040)'!$AC$109</f>
        <v>21503344.190000001</v>
      </c>
      <c r="D39" s="247">
        <f t="shared" ref="D39" si="6">+$D$15</f>
        <v>0</v>
      </c>
      <c r="E39" s="59">
        <f t="shared" ref="E39:E50" si="7">+C39*$D$39</f>
        <v>0</v>
      </c>
      <c r="F39" s="250"/>
      <c r="G39" s="60"/>
      <c r="H39" s="61">
        <v>50041</v>
      </c>
      <c r="I39" s="62">
        <f>+'Cantidades P4_(2029-2040)'!$AC$403</f>
        <v>29779530.169999998</v>
      </c>
      <c r="J39" s="247">
        <f t="shared" ref="J39" si="8">+$D$15</f>
        <v>0</v>
      </c>
      <c r="K39" s="59">
        <f>+I39*$J$39</f>
        <v>0</v>
      </c>
      <c r="L39" s="250"/>
    </row>
    <row r="40" spans="1:12" ht="14.5" x14ac:dyDescent="0.35">
      <c r="A40" s="71">
        <v>28</v>
      </c>
      <c r="B40" s="61">
        <v>47880</v>
      </c>
      <c r="C40" s="62">
        <f>+'Cantidades P4_(2029-2040)'!$AC$113</f>
        <v>20204289.399999999</v>
      </c>
      <c r="D40" s="248"/>
      <c r="E40" s="59">
        <f t="shared" si="7"/>
        <v>0</v>
      </c>
      <c r="F40" s="251"/>
      <c r="G40" s="60"/>
      <c r="H40" s="61">
        <v>50072</v>
      </c>
      <c r="I40" s="62">
        <f>+'Cantidades P4_(2029-2040)'!$AC$407</f>
        <v>28133739.600000001</v>
      </c>
      <c r="J40" s="248"/>
      <c r="K40" s="59">
        <f t="shared" ref="K40:K50" si="9">+I40*$J$39</f>
        <v>0</v>
      </c>
      <c r="L40" s="251"/>
    </row>
    <row r="41" spans="1:12" ht="14.5" x14ac:dyDescent="0.35">
      <c r="A41" s="71">
        <v>31</v>
      </c>
      <c r="B41" s="61">
        <v>47908</v>
      </c>
      <c r="C41" s="62">
        <f>+'Cantidades P4_(2029-2040)'!$AC$117</f>
        <v>22118161.210000001</v>
      </c>
      <c r="D41" s="248"/>
      <c r="E41" s="59">
        <f t="shared" si="7"/>
        <v>0</v>
      </c>
      <c r="F41" s="251"/>
      <c r="G41" s="60"/>
      <c r="H41" s="61">
        <v>50100</v>
      </c>
      <c r="I41" s="62">
        <f>+'Cantidades P4_(2029-2040)'!$AC$411</f>
        <v>30597487.240000006</v>
      </c>
      <c r="J41" s="248"/>
      <c r="K41" s="59">
        <f t="shared" si="9"/>
        <v>0</v>
      </c>
      <c r="L41" s="251"/>
    </row>
    <row r="42" spans="1:12" ht="14.5" x14ac:dyDescent="0.35">
      <c r="A42" s="71">
        <v>30</v>
      </c>
      <c r="B42" s="61">
        <v>47939</v>
      </c>
      <c r="C42" s="62">
        <f>+'Cantidades P4_(2029-2040)'!$AC$121</f>
        <v>20982126.259999998</v>
      </c>
      <c r="D42" s="248"/>
      <c r="E42" s="59">
        <f t="shared" si="7"/>
        <v>0</v>
      </c>
      <c r="F42" s="251"/>
      <c r="G42" s="60"/>
      <c r="H42" s="61">
        <v>50131</v>
      </c>
      <c r="I42" s="62">
        <f>+'Cantidades P4_(2029-2040)'!$AC$415</f>
        <v>29205603.920000002</v>
      </c>
      <c r="J42" s="248"/>
      <c r="K42" s="59">
        <f t="shared" si="9"/>
        <v>0</v>
      </c>
      <c r="L42" s="251"/>
    </row>
    <row r="43" spans="1:12" ht="14.5" x14ac:dyDescent="0.35">
      <c r="A43" s="71">
        <v>31</v>
      </c>
      <c r="B43" s="61">
        <v>47969</v>
      </c>
      <c r="C43" s="62">
        <f>+'Cantidades P4_(2029-2040)'!$AC$125</f>
        <v>21162017.400000002</v>
      </c>
      <c r="D43" s="248"/>
      <c r="E43" s="59">
        <f t="shared" si="7"/>
        <v>0</v>
      </c>
      <c r="F43" s="251"/>
      <c r="G43" s="60"/>
      <c r="H43" s="61">
        <v>50161</v>
      </c>
      <c r="I43" s="62">
        <f>+'Cantidades P4_(2029-2040)'!$AC$419</f>
        <v>29366832.959999993</v>
      </c>
      <c r="J43" s="248"/>
      <c r="K43" s="59">
        <f t="shared" si="9"/>
        <v>0</v>
      </c>
      <c r="L43" s="251"/>
    </row>
    <row r="44" spans="1:12" ht="14.5" x14ac:dyDescent="0.35">
      <c r="A44" s="71">
        <v>30</v>
      </c>
      <c r="B44" s="61">
        <v>48000</v>
      </c>
      <c r="C44" s="62">
        <f>+'Cantidades P4_(2029-2040)'!$AC$129</f>
        <v>19775011.079999998</v>
      </c>
      <c r="D44" s="248"/>
      <c r="E44" s="59">
        <f t="shared" si="7"/>
        <v>0</v>
      </c>
      <c r="F44" s="251"/>
      <c r="G44" s="60"/>
      <c r="H44" s="61">
        <v>50192</v>
      </c>
      <c r="I44" s="62">
        <f>+'Cantidades P4_(2029-2040)'!$AC$423</f>
        <v>27581696.870000005</v>
      </c>
      <c r="J44" s="248"/>
      <c r="K44" s="59">
        <f t="shared" si="9"/>
        <v>0</v>
      </c>
      <c r="L44" s="251"/>
    </row>
    <row r="45" spans="1:12" ht="14.5" x14ac:dyDescent="0.35">
      <c r="A45" s="71">
        <v>31</v>
      </c>
      <c r="B45" s="61">
        <v>48030</v>
      </c>
      <c r="C45" s="62">
        <f>+'Cantidades P4_(2029-2040)'!$AC$133</f>
        <v>21262753.170000002</v>
      </c>
      <c r="D45" s="248"/>
      <c r="E45" s="59">
        <f t="shared" si="7"/>
        <v>0</v>
      </c>
      <c r="F45" s="251"/>
      <c r="G45" s="60"/>
      <c r="H45" s="61">
        <v>50222</v>
      </c>
      <c r="I45" s="62">
        <f>+'Cantidades P4_(2029-2040)'!$AC$427</f>
        <v>29431845.679999992</v>
      </c>
      <c r="J45" s="248"/>
      <c r="K45" s="59">
        <f t="shared" si="9"/>
        <v>0</v>
      </c>
      <c r="L45" s="251"/>
    </row>
    <row r="46" spans="1:12" ht="14.5" x14ac:dyDescent="0.35">
      <c r="A46" s="71">
        <v>31</v>
      </c>
      <c r="B46" s="61">
        <v>48061</v>
      </c>
      <c r="C46" s="62">
        <f>+'Cantidades P4_(2029-2040)'!$AC$137</f>
        <v>21057264.150000002</v>
      </c>
      <c r="D46" s="248"/>
      <c r="E46" s="59">
        <f t="shared" si="7"/>
        <v>0</v>
      </c>
      <c r="F46" s="251"/>
      <c r="G46" s="60"/>
      <c r="H46" s="61">
        <v>50253</v>
      </c>
      <c r="I46" s="62">
        <f>+'Cantidades P4_(2029-2040)'!$AC$431</f>
        <v>29178738.25</v>
      </c>
      <c r="J46" s="248"/>
      <c r="K46" s="59">
        <f t="shared" si="9"/>
        <v>0</v>
      </c>
      <c r="L46" s="251"/>
    </row>
    <row r="47" spans="1:12" ht="14.5" x14ac:dyDescent="0.35">
      <c r="A47" s="71">
        <v>30</v>
      </c>
      <c r="B47" s="61">
        <v>48092</v>
      </c>
      <c r="C47" s="62">
        <f>+'Cantidades P4_(2029-2040)'!$AC$141</f>
        <v>20755821.319999997</v>
      </c>
      <c r="D47" s="248"/>
      <c r="E47" s="59">
        <f t="shared" si="7"/>
        <v>0</v>
      </c>
      <c r="F47" s="251"/>
      <c r="G47" s="60"/>
      <c r="H47" s="61">
        <v>50284</v>
      </c>
      <c r="I47" s="62">
        <f>+'Cantidades P4_(2029-2040)'!$AC$435</f>
        <v>28751672.16</v>
      </c>
      <c r="J47" s="248"/>
      <c r="K47" s="59">
        <f t="shared" si="9"/>
        <v>0</v>
      </c>
      <c r="L47" s="251"/>
    </row>
    <row r="48" spans="1:12" ht="14.5" x14ac:dyDescent="0.35">
      <c r="A48" s="71">
        <v>31</v>
      </c>
      <c r="B48" s="61">
        <v>48122</v>
      </c>
      <c r="C48" s="62">
        <f>+'Cantidades P4_(2029-2040)'!$AC$145</f>
        <v>20654692.330000002</v>
      </c>
      <c r="D48" s="248"/>
      <c r="E48" s="59">
        <f t="shared" si="7"/>
        <v>0</v>
      </c>
      <c r="F48" s="251"/>
      <c r="G48" s="60"/>
      <c r="H48" s="61">
        <v>50314</v>
      </c>
      <c r="I48" s="62">
        <f>+'Cantidades P4_(2029-2040)'!$AC$439</f>
        <v>28626195.429999996</v>
      </c>
      <c r="J48" s="248"/>
      <c r="K48" s="59">
        <f t="shared" si="9"/>
        <v>0</v>
      </c>
      <c r="L48" s="251"/>
    </row>
    <row r="49" spans="1:13" ht="14.5" x14ac:dyDescent="0.35">
      <c r="A49" s="71">
        <v>30</v>
      </c>
      <c r="B49" s="61">
        <v>48153</v>
      </c>
      <c r="C49" s="62">
        <f>+'Cantidades P4_(2029-2040)'!$AC$149</f>
        <v>20423914.000000004</v>
      </c>
      <c r="D49" s="248"/>
      <c r="E49" s="59">
        <f t="shared" si="7"/>
        <v>0</v>
      </c>
      <c r="F49" s="251"/>
      <c r="G49" s="60"/>
      <c r="H49" s="61">
        <v>50345</v>
      </c>
      <c r="I49" s="62">
        <f>+'Cantidades P4_(2029-2040)'!$AC$443</f>
        <v>28283917.290000007</v>
      </c>
      <c r="J49" s="248"/>
      <c r="K49" s="59">
        <f t="shared" si="9"/>
        <v>0</v>
      </c>
      <c r="L49" s="251"/>
    </row>
    <row r="50" spans="1:13" ht="14.5" x14ac:dyDescent="0.35">
      <c r="A50" s="71">
        <v>31</v>
      </c>
      <c r="B50" s="61">
        <v>48183</v>
      </c>
      <c r="C50" s="62">
        <f>+'Cantidades P4_(2029-2040)'!$AC$153</f>
        <v>20899810.379999995</v>
      </c>
      <c r="D50" s="249"/>
      <c r="E50" s="59">
        <f t="shared" si="7"/>
        <v>0</v>
      </c>
      <c r="F50" s="252"/>
      <c r="G50" s="60"/>
      <c r="H50" s="61">
        <v>50375</v>
      </c>
      <c r="I50" s="62">
        <f>+'Cantidades P4_(2029-2040)'!$AC$447</f>
        <v>28890416.379999995</v>
      </c>
      <c r="J50" s="249"/>
      <c r="K50" s="59">
        <f t="shared" si="9"/>
        <v>0</v>
      </c>
      <c r="L50" s="252"/>
    </row>
    <row r="51" spans="1:13" ht="15.75" customHeight="1" x14ac:dyDescent="0.35">
      <c r="A51" s="71">
        <v>31</v>
      </c>
      <c r="B51" s="61">
        <v>48214</v>
      </c>
      <c r="C51" s="62">
        <f>+'Cantidades P4_(2029-2040)'!$AC$158</f>
        <v>22403770.560000002</v>
      </c>
      <c r="D51" s="247">
        <f t="shared" ref="D51" si="10">+$D$15</f>
        <v>0</v>
      </c>
      <c r="E51" s="59">
        <f t="shared" ref="E51:E62" si="11">+C51*$D$51</f>
        <v>0</v>
      </c>
      <c r="F51" s="250"/>
      <c r="G51" s="60"/>
      <c r="H51" s="61">
        <v>50406</v>
      </c>
      <c r="I51" s="62">
        <f>+'Cantidades P4_(2029-2040)'!$AC$452</f>
        <v>30438027.570000004</v>
      </c>
      <c r="J51" s="247">
        <f t="shared" ref="J51" si="12">+$D$15</f>
        <v>0</v>
      </c>
      <c r="K51" s="59">
        <f>+I51*$J$51</f>
        <v>0</v>
      </c>
      <c r="L51" s="250"/>
    </row>
    <row r="52" spans="1:13" ht="14.5" x14ac:dyDescent="0.35">
      <c r="A52" s="71">
        <v>28</v>
      </c>
      <c r="B52" s="61">
        <v>48245</v>
      </c>
      <c r="C52" s="62">
        <f>+'Cantidades P4_(2029-2040)'!$AC$162</f>
        <v>21068892.469999999</v>
      </c>
      <c r="D52" s="248"/>
      <c r="E52" s="59">
        <f t="shared" si="11"/>
        <v>0</v>
      </c>
      <c r="F52" s="251"/>
      <c r="G52" s="60"/>
      <c r="H52" s="61">
        <v>50437</v>
      </c>
      <c r="I52" s="62">
        <f>+'Cantidades P4_(2029-2040)'!$AC$456</f>
        <v>28783620.839999996</v>
      </c>
      <c r="J52" s="248"/>
      <c r="K52" s="59">
        <f t="shared" ref="K52:K62" si="13">+I52*$J$51</f>
        <v>0</v>
      </c>
      <c r="L52" s="251"/>
      <c r="M52" s="33"/>
    </row>
    <row r="53" spans="1:13" ht="14.5" x14ac:dyDescent="0.35">
      <c r="A53" s="71">
        <v>31</v>
      </c>
      <c r="B53" s="61">
        <v>48274</v>
      </c>
      <c r="C53" s="62">
        <f>+'Cantidades P4_(2029-2040)'!$AC$166</f>
        <v>23035545.379999999</v>
      </c>
      <c r="D53" s="248"/>
      <c r="E53" s="59">
        <f t="shared" si="11"/>
        <v>0</v>
      </c>
      <c r="F53" s="251"/>
      <c r="G53" s="60"/>
      <c r="H53" s="61">
        <v>50465</v>
      </c>
      <c r="I53" s="62">
        <f>+'Cantidades P4_(2029-2040)'!$AC$460</f>
        <v>31277245.829999998</v>
      </c>
      <c r="J53" s="248"/>
      <c r="K53" s="59">
        <f t="shared" si="13"/>
        <v>0</v>
      </c>
      <c r="L53" s="251"/>
      <c r="M53" s="33"/>
    </row>
    <row r="54" spans="1:13" ht="14.5" x14ac:dyDescent="0.35">
      <c r="A54" s="71">
        <v>30</v>
      </c>
      <c r="B54" s="61">
        <v>48305</v>
      </c>
      <c r="C54" s="62">
        <f>+'Cantidades P4_(2029-2040)'!$AC$170</f>
        <v>21874352.039999999</v>
      </c>
      <c r="D54" s="248"/>
      <c r="E54" s="59">
        <f t="shared" si="11"/>
        <v>0</v>
      </c>
      <c r="F54" s="251"/>
      <c r="G54" s="60"/>
      <c r="H54" s="61">
        <v>50496</v>
      </c>
      <c r="I54" s="62">
        <f>+'Cantidades P4_(2029-2040)'!$AC$464</f>
        <v>29886628.059999999</v>
      </c>
      <c r="J54" s="248"/>
      <c r="K54" s="59">
        <f t="shared" si="13"/>
        <v>0</v>
      </c>
      <c r="L54" s="251"/>
      <c r="M54" s="33"/>
    </row>
    <row r="55" spans="1:13" ht="14.5" x14ac:dyDescent="0.35">
      <c r="A55" s="71">
        <v>31</v>
      </c>
      <c r="B55" s="61">
        <v>48335</v>
      </c>
      <c r="C55" s="62">
        <f>+'Cantidades P4_(2029-2040)'!$AC$174</f>
        <v>22047681.620000001</v>
      </c>
      <c r="D55" s="248"/>
      <c r="E55" s="59">
        <f t="shared" si="11"/>
        <v>0</v>
      </c>
      <c r="F55" s="251"/>
      <c r="G55" s="60"/>
      <c r="H55" s="61">
        <v>50526</v>
      </c>
      <c r="I55" s="62">
        <f>+'Cantidades P4_(2029-2040)'!$AC$468</f>
        <v>30042215.260000002</v>
      </c>
      <c r="J55" s="248"/>
      <c r="K55" s="59">
        <f t="shared" si="13"/>
        <v>0</v>
      </c>
      <c r="L55" s="251"/>
      <c r="M55" s="33"/>
    </row>
    <row r="56" spans="1:13" ht="14.5" x14ac:dyDescent="0.35">
      <c r="A56" s="71">
        <v>30</v>
      </c>
      <c r="B56" s="61">
        <v>48366</v>
      </c>
      <c r="C56" s="62">
        <f>+'Cantidades P4_(2029-2040)'!$AC$178</f>
        <v>20618760.710000005</v>
      </c>
      <c r="D56" s="248"/>
      <c r="E56" s="59">
        <f t="shared" si="11"/>
        <v>0</v>
      </c>
      <c r="F56" s="251"/>
      <c r="G56" s="60"/>
      <c r="H56" s="61">
        <v>50557</v>
      </c>
      <c r="I56" s="62">
        <f>+'Cantidades P4_(2029-2040)'!$AC$472</f>
        <v>28242753.479999997</v>
      </c>
      <c r="J56" s="248"/>
      <c r="K56" s="59">
        <f t="shared" si="13"/>
        <v>0</v>
      </c>
      <c r="L56" s="251"/>
      <c r="M56" s="33"/>
    </row>
    <row r="57" spans="1:13" ht="14.5" x14ac:dyDescent="0.35">
      <c r="A57" s="71">
        <v>31</v>
      </c>
      <c r="B57" s="61">
        <v>48396</v>
      </c>
      <c r="C57" s="62">
        <f>+'Cantidades P4_(2029-2040)'!$AC$182</f>
        <v>22138192.999999996</v>
      </c>
      <c r="D57" s="248"/>
      <c r="E57" s="59">
        <f t="shared" si="11"/>
        <v>0</v>
      </c>
      <c r="F57" s="251"/>
      <c r="G57" s="60"/>
      <c r="H57" s="61">
        <v>50587</v>
      </c>
      <c r="I57" s="62">
        <f>+'Cantidades P4_(2029-2040)'!$AC$476</f>
        <v>30105744.789999999</v>
      </c>
      <c r="J57" s="248"/>
      <c r="K57" s="59">
        <f t="shared" si="13"/>
        <v>0</v>
      </c>
      <c r="L57" s="251"/>
      <c r="M57" s="33"/>
    </row>
    <row r="58" spans="1:13" ht="14.5" x14ac:dyDescent="0.35">
      <c r="A58" s="71">
        <v>31</v>
      </c>
      <c r="B58" s="61">
        <v>48427</v>
      </c>
      <c r="C58" s="62">
        <f>+'Cantidades P4_(2029-2040)'!$AC$186</f>
        <v>21926194.440000001</v>
      </c>
      <c r="D58" s="248"/>
      <c r="E58" s="59">
        <f t="shared" si="11"/>
        <v>0</v>
      </c>
      <c r="F58" s="251"/>
      <c r="G58" s="60"/>
      <c r="H58" s="61">
        <v>50618</v>
      </c>
      <c r="I58" s="62">
        <f>+'Cantidades P4_(2029-2040)'!$AC$480</f>
        <v>29856102.889999997</v>
      </c>
      <c r="J58" s="248"/>
      <c r="K58" s="59">
        <f t="shared" si="13"/>
        <v>0</v>
      </c>
      <c r="L58" s="251"/>
      <c r="M58" s="33"/>
    </row>
    <row r="59" spans="1:13" ht="14.5" x14ac:dyDescent="0.35">
      <c r="A59" s="71">
        <v>30</v>
      </c>
      <c r="B59" s="61">
        <v>48458</v>
      </c>
      <c r="C59" s="62">
        <f>+'Cantidades P4_(2029-2040)'!$AC$190</f>
        <v>21608626</v>
      </c>
      <c r="D59" s="248"/>
      <c r="E59" s="59">
        <f t="shared" si="11"/>
        <v>0</v>
      </c>
      <c r="F59" s="251"/>
      <c r="G59" s="60"/>
      <c r="H59" s="61">
        <v>50649</v>
      </c>
      <c r="I59" s="62">
        <f>+'Cantidades P4_(2029-2040)'!$AC$484</f>
        <v>29422423.080000002</v>
      </c>
      <c r="J59" s="248"/>
      <c r="K59" s="59">
        <f t="shared" si="13"/>
        <v>0</v>
      </c>
      <c r="L59" s="251"/>
      <c r="M59" s="33"/>
    </row>
    <row r="60" spans="1:13" ht="14.5" x14ac:dyDescent="0.35">
      <c r="A60" s="71">
        <v>31</v>
      </c>
      <c r="B60" s="61">
        <v>48488</v>
      </c>
      <c r="C60" s="62">
        <f>+'Cantidades P4_(2029-2040)'!$AC$194</f>
        <v>21503063.640000001</v>
      </c>
      <c r="D60" s="248"/>
      <c r="E60" s="59">
        <f t="shared" si="11"/>
        <v>0</v>
      </c>
      <c r="F60" s="251"/>
      <c r="G60" s="60"/>
      <c r="H60" s="61">
        <v>50679</v>
      </c>
      <c r="I60" s="62">
        <f>+'Cantidades P4_(2029-2040)'!$AC$488</f>
        <v>29300654.789999995</v>
      </c>
      <c r="J60" s="248"/>
      <c r="K60" s="59">
        <f t="shared" si="13"/>
        <v>0</v>
      </c>
      <c r="L60" s="251"/>
      <c r="M60" s="33"/>
    </row>
    <row r="61" spans="1:13" ht="14.5" x14ac:dyDescent="0.35">
      <c r="A61" s="71">
        <v>30</v>
      </c>
      <c r="B61" s="61">
        <v>48519</v>
      </c>
      <c r="C61" s="62">
        <f>+'Cantidades P4_(2029-2040)'!$AC$198</f>
        <v>21257339.279999997</v>
      </c>
      <c r="D61" s="248"/>
      <c r="E61" s="59">
        <f t="shared" si="11"/>
        <v>0</v>
      </c>
      <c r="F61" s="251"/>
      <c r="G61" s="60"/>
      <c r="H61" s="61">
        <v>50710</v>
      </c>
      <c r="I61" s="62">
        <f>+'Cantidades P4_(2029-2040)'!$AC$492</f>
        <v>28951644.080000002</v>
      </c>
      <c r="J61" s="248"/>
      <c r="K61" s="59">
        <f t="shared" si="13"/>
        <v>0</v>
      </c>
      <c r="L61" s="251"/>
      <c r="M61" s="33"/>
    </row>
    <row r="62" spans="1:13" ht="14.5" x14ac:dyDescent="0.35">
      <c r="A62" s="71">
        <v>31</v>
      </c>
      <c r="B62" s="61">
        <v>48549</v>
      </c>
      <c r="C62" s="62">
        <f>+'Cantidades P4_(2029-2040)'!$AC$202</f>
        <v>21743881.259999998</v>
      </c>
      <c r="D62" s="249"/>
      <c r="E62" s="59">
        <f t="shared" si="11"/>
        <v>0</v>
      </c>
      <c r="F62" s="252"/>
      <c r="G62" s="60"/>
      <c r="H62" s="61">
        <v>50740</v>
      </c>
      <c r="I62" s="62">
        <f>+'Cantidades P4_(2029-2040)'!$AC$496</f>
        <v>29567713.91</v>
      </c>
      <c r="J62" s="249"/>
      <c r="K62" s="59">
        <f t="shared" si="13"/>
        <v>0</v>
      </c>
      <c r="L62" s="252"/>
      <c r="M62" s="33"/>
    </row>
    <row r="63" spans="1:13" ht="15.75" customHeight="1" x14ac:dyDescent="0.35">
      <c r="A63" s="71"/>
      <c r="B63" s="61">
        <v>48580</v>
      </c>
      <c r="C63" s="62">
        <f>+'Cantidades P4_(2029-2040)'!$AC$207</f>
        <v>22528816.940000001</v>
      </c>
      <c r="D63" s="247">
        <f t="shared" ref="D63" si="14">+$D$15</f>
        <v>0</v>
      </c>
      <c r="E63" s="59">
        <f t="shared" ref="E63:E74" si="15">+C63*$D$63</f>
        <v>0</v>
      </c>
      <c r="F63" s="250"/>
      <c r="G63" s="60"/>
      <c r="H63" s="61">
        <v>50771</v>
      </c>
      <c r="I63" s="62">
        <f>+'Cantidades P4_(2029-2040)'!$AC$501</f>
        <v>31096157.009999998</v>
      </c>
      <c r="J63" s="247">
        <f t="shared" ref="J63" si="16">+$D$15</f>
        <v>0</v>
      </c>
      <c r="K63" s="59">
        <f>+I63*$J$63</f>
        <v>0</v>
      </c>
      <c r="L63" s="250"/>
      <c r="M63" s="33"/>
    </row>
    <row r="64" spans="1:13" ht="14.5" x14ac:dyDescent="0.35">
      <c r="A64" s="71"/>
      <c r="B64" s="61">
        <v>48611</v>
      </c>
      <c r="C64" s="62">
        <f>+'Cantidades P4_(2029-2040)'!$AC$211</f>
        <v>21208401.280000001</v>
      </c>
      <c r="D64" s="248"/>
      <c r="E64" s="59">
        <f t="shared" si="15"/>
        <v>0</v>
      </c>
      <c r="F64" s="251"/>
      <c r="G64" s="60"/>
      <c r="H64" s="61">
        <v>50802</v>
      </c>
      <c r="I64" s="62">
        <f>+'Cantidades P4_(2029-2040)'!$AC$505</f>
        <v>29433534.600000001</v>
      </c>
      <c r="J64" s="248"/>
      <c r="K64" s="59">
        <f t="shared" ref="K64:K74" si="17">+I64*$J$63</f>
        <v>0</v>
      </c>
      <c r="L64" s="251"/>
      <c r="M64" s="33"/>
    </row>
    <row r="65" spans="1:13" ht="14.5" x14ac:dyDescent="0.35">
      <c r="A65" s="71"/>
      <c r="B65" s="61">
        <v>48639</v>
      </c>
      <c r="C65" s="62">
        <f>+'Cantidades P4_(2029-2040)'!$AC$215</f>
        <v>23162788.569999997</v>
      </c>
      <c r="D65" s="248"/>
      <c r="E65" s="59">
        <f t="shared" si="15"/>
        <v>0</v>
      </c>
      <c r="F65" s="251"/>
      <c r="G65" s="60"/>
      <c r="H65" s="61">
        <v>50830</v>
      </c>
      <c r="I65" s="62">
        <f>+'Cantidades P4_(2029-2040)'!$AC$509</f>
        <v>31956669.030000001</v>
      </c>
      <c r="J65" s="248"/>
      <c r="K65" s="59">
        <f t="shared" si="17"/>
        <v>0</v>
      </c>
      <c r="L65" s="251"/>
      <c r="M65" s="33"/>
    </row>
    <row r="66" spans="1:13" ht="14.5" x14ac:dyDescent="0.35">
      <c r="A66" s="71"/>
      <c r="B66" s="61">
        <v>48670</v>
      </c>
      <c r="C66" s="62">
        <f>+'Cantidades P4_(2029-2040)'!$AC$219</f>
        <v>22020738.060000002</v>
      </c>
      <c r="D66" s="248"/>
      <c r="E66" s="59">
        <f t="shared" si="15"/>
        <v>0</v>
      </c>
      <c r="F66" s="251"/>
      <c r="G66" s="60"/>
      <c r="H66" s="61">
        <v>50861</v>
      </c>
      <c r="I66" s="62">
        <f>+'Cantidades P4_(2029-2040)'!$AC$513</f>
        <v>30567770.899999999</v>
      </c>
      <c r="J66" s="248"/>
      <c r="K66" s="59">
        <f t="shared" si="17"/>
        <v>0</v>
      </c>
      <c r="L66" s="251"/>
      <c r="M66" s="33"/>
    </row>
    <row r="67" spans="1:13" ht="14.5" x14ac:dyDescent="0.35">
      <c r="A67" s="71"/>
      <c r="B67" s="61">
        <v>48700</v>
      </c>
      <c r="C67" s="62">
        <f>+'Cantidades P4_(2029-2040)'!$AC$223</f>
        <v>22184983.880000003</v>
      </c>
      <c r="D67" s="248"/>
      <c r="E67" s="59">
        <f t="shared" si="15"/>
        <v>0</v>
      </c>
      <c r="F67" s="251"/>
      <c r="G67" s="60"/>
      <c r="H67" s="61">
        <v>50891</v>
      </c>
      <c r="I67" s="62">
        <f>+'Cantidades P4_(2029-2040)'!$AC$517</f>
        <v>30717590.080000002</v>
      </c>
      <c r="J67" s="248"/>
      <c r="K67" s="59">
        <f t="shared" si="17"/>
        <v>0</v>
      </c>
      <c r="L67" s="251"/>
      <c r="M67" s="33"/>
    </row>
    <row r="68" spans="1:13" ht="14.5" x14ac:dyDescent="0.35">
      <c r="A68" s="71"/>
      <c r="B68" s="61">
        <v>48731</v>
      </c>
      <c r="C68" s="62">
        <f>+'Cantidades P4_(2029-2040)'!$AC$227</f>
        <v>20767697.300000004</v>
      </c>
      <c r="D68" s="248"/>
      <c r="E68" s="59">
        <f t="shared" si="15"/>
        <v>0</v>
      </c>
      <c r="F68" s="251"/>
      <c r="G68" s="60"/>
      <c r="H68" s="61">
        <v>50922</v>
      </c>
      <c r="I68" s="62">
        <f>+'Cantidades P4_(2029-2040)'!$AC$521</f>
        <v>28904166.279999994</v>
      </c>
      <c r="J68" s="248"/>
      <c r="K68" s="59">
        <f t="shared" si="17"/>
        <v>0</v>
      </c>
      <c r="L68" s="251"/>
      <c r="M68" s="33"/>
    </row>
    <row r="69" spans="1:13" ht="14.5" x14ac:dyDescent="0.35">
      <c r="A69" s="71"/>
      <c r="B69" s="61">
        <v>48761</v>
      </c>
      <c r="C69" s="62">
        <f>+'Cantidades P4_(2029-2040)'!$AC$231</f>
        <v>22269307.68</v>
      </c>
      <c r="D69" s="248"/>
      <c r="E69" s="59">
        <f t="shared" si="15"/>
        <v>0</v>
      </c>
      <c r="F69" s="251"/>
      <c r="G69" s="60"/>
      <c r="H69" s="61">
        <v>50952</v>
      </c>
      <c r="I69" s="62">
        <f>+'Cantidades P4_(2029-2040)'!$AC$525</f>
        <v>30779595.990000002</v>
      </c>
      <c r="J69" s="248"/>
      <c r="K69" s="59">
        <f t="shared" si="17"/>
        <v>0</v>
      </c>
      <c r="L69" s="251"/>
      <c r="M69" s="33"/>
    </row>
    <row r="70" spans="1:13" ht="14.5" x14ac:dyDescent="0.35">
      <c r="A70" s="71"/>
      <c r="B70" s="61">
        <v>48792</v>
      </c>
      <c r="C70" s="62">
        <f>+'Cantidades P4_(2029-2040)'!$AC$235</f>
        <v>22061882.040000003</v>
      </c>
      <c r="D70" s="248"/>
      <c r="E70" s="59">
        <f t="shared" si="15"/>
        <v>0</v>
      </c>
      <c r="F70" s="251"/>
      <c r="G70" s="60"/>
      <c r="H70" s="61">
        <v>50983</v>
      </c>
      <c r="I70" s="62">
        <f>+'Cantidades P4_(2029-2040)'!$AC$529</f>
        <v>30533545.670000002</v>
      </c>
      <c r="J70" s="248"/>
      <c r="K70" s="59">
        <f t="shared" si="17"/>
        <v>0</v>
      </c>
      <c r="L70" s="251"/>
      <c r="M70" s="33"/>
    </row>
    <row r="71" spans="1:13" ht="14.5" x14ac:dyDescent="0.35">
      <c r="A71" s="71"/>
      <c r="B71" s="61">
        <v>48823</v>
      </c>
      <c r="C71" s="62">
        <f>+'Cantidades P4_(2029-2040)'!$AC$239</f>
        <v>21742877.759999998</v>
      </c>
      <c r="D71" s="248"/>
      <c r="E71" s="59">
        <f t="shared" si="15"/>
        <v>0</v>
      </c>
      <c r="F71" s="251"/>
      <c r="G71" s="60"/>
      <c r="H71" s="61">
        <v>51014</v>
      </c>
      <c r="I71" s="62">
        <f>+'Cantidades P4_(2029-2040)'!$AC$533</f>
        <v>30093296.300000001</v>
      </c>
      <c r="J71" s="248"/>
      <c r="K71" s="59">
        <f t="shared" si="17"/>
        <v>0</v>
      </c>
      <c r="L71" s="251"/>
      <c r="M71" s="33"/>
    </row>
    <row r="72" spans="1:13" ht="14.5" x14ac:dyDescent="0.35">
      <c r="A72" s="71"/>
      <c r="B72" s="61">
        <v>48853</v>
      </c>
      <c r="C72" s="62">
        <f>+'Cantidades P4_(2029-2040)'!$AC$243</f>
        <v>21640246.679999996</v>
      </c>
      <c r="D72" s="248"/>
      <c r="E72" s="59">
        <f t="shared" si="15"/>
        <v>0</v>
      </c>
      <c r="F72" s="251"/>
      <c r="G72" s="60"/>
      <c r="H72" s="61">
        <v>51044</v>
      </c>
      <c r="I72" s="62">
        <f>+'Cantidades P4_(2029-2040)'!$AC$537</f>
        <v>29975324.750000004</v>
      </c>
      <c r="J72" s="248"/>
      <c r="K72" s="59">
        <f t="shared" si="17"/>
        <v>0</v>
      </c>
      <c r="L72" s="251"/>
      <c r="M72" s="33"/>
    </row>
    <row r="73" spans="1:13" ht="14.5" x14ac:dyDescent="0.35">
      <c r="A73" s="71"/>
      <c r="B73" s="61">
        <v>48884</v>
      </c>
      <c r="C73" s="62">
        <f>+'Cantidades P4_(2029-2040)'!$AC$247</f>
        <v>21391760.140000004</v>
      </c>
      <c r="D73" s="248"/>
      <c r="E73" s="59">
        <f t="shared" si="15"/>
        <v>0</v>
      </c>
      <c r="F73" s="251"/>
      <c r="G73" s="60"/>
      <c r="H73" s="61">
        <v>51075</v>
      </c>
      <c r="I73" s="62">
        <f>+'Cantidades P4_(2029-2040)'!$AC$541</f>
        <v>29619598.380000003</v>
      </c>
      <c r="J73" s="248"/>
      <c r="K73" s="59">
        <f t="shared" si="17"/>
        <v>0</v>
      </c>
      <c r="L73" s="251"/>
      <c r="M73" s="33"/>
    </row>
    <row r="74" spans="1:13" ht="14.5" x14ac:dyDescent="0.35">
      <c r="A74" s="71"/>
      <c r="B74" s="61">
        <v>48914</v>
      </c>
      <c r="C74" s="62">
        <f>+'Cantidades P4_(2029-2040)'!$AC$251</f>
        <v>21875629.559999999</v>
      </c>
      <c r="D74" s="249"/>
      <c r="E74" s="59">
        <f t="shared" si="15"/>
        <v>0</v>
      </c>
      <c r="F74" s="252"/>
      <c r="G74" s="60"/>
      <c r="H74" s="61">
        <v>51105</v>
      </c>
      <c r="I74" s="62">
        <f>+'Cantidades P4_(2029-2040)'!$AC$545</f>
        <v>30245181.010000002</v>
      </c>
      <c r="J74" s="249"/>
      <c r="K74" s="59">
        <f t="shared" si="17"/>
        <v>0</v>
      </c>
      <c r="L74" s="252"/>
      <c r="M74" s="33"/>
    </row>
    <row r="75" spans="1:13" ht="15.75" customHeight="1" x14ac:dyDescent="0.35">
      <c r="A75" s="71"/>
      <c r="B75" s="61">
        <v>48945</v>
      </c>
      <c r="C75" s="62">
        <f>+'Cantidades P4_(2029-2040)'!$AC$256</f>
        <v>24300192.520000003</v>
      </c>
      <c r="D75" s="247">
        <f t="shared" ref="D75" si="18">+$D$15</f>
        <v>0</v>
      </c>
      <c r="E75" s="59">
        <f t="shared" ref="E75:E86" si="19">+C75*$D$75</f>
        <v>0</v>
      </c>
      <c r="F75" s="250"/>
      <c r="G75" s="60"/>
      <c r="H75" s="61">
        <v>51136</v>
      </c>
      <c r="I75" s="62">
        <f>+'Cantidades P4_(2029-2040)'!$AC$550</f>
        <v>33058071.640000008</v>
      </c>
      <c r="J75" s="247">
        <f t="shared" ref="J75" si="20">+$D$15</f>
        <v>0</v>
      </c>
      <c r="K75" s="59">
        <f>+I75*$J$75</f>
        <v>0</v>
      </c>
      <c r="L75" s="250"/>
    </row>
    <row r="76" spans="1:13" ht="14.5" x14ac:dyDescent="0.35">
      <c r="A76" s="71"/>
      <c r="B76" s="61">
        <v>48976</v>
      </c>
      <c r="C76" s="62">
        <f>+'Cantidades P4_(2029-2040)'!$AC$260</f>
        <v>22894709.559999999</v>
      </c>
      <c r="D76" s="248"/>
      <c r="E76" s="59">
        <f t="shared" si="19"/>
        <v>0</v>
      </c>
      <c r="F76" s="251"/>
      <c r="G76" s="60"/>
      <c r="H76" s="61">
        <v>51167</v>
      </c>
      <c r="I76" s="62">
        <f>+'Cantidades P4_(2029-2040)'!$AC$554</f>
        <v>31319009.040000003</v>
      </c>
      <c r="J76" s="248"/>
      <c r="K76" s="59">
        <f t="shared" ref="K76:K86" si="21">+I76*$J$75</f>
        <v>0</v>
      </c>
      <c r="L76" s="251"/>
    </row>
    <row r="77" spans="1:13" ht="14.5" x14ac:dyDescent="0.35">
      <c r="A77" s="71"/>
      <c r="B77" s="61">
        <v>49004</v>
      </c>
      <c r="C77" s="62">
        <f>+'Cantidades P4_(2029-2040)'!$AC$264</f>
        <v>24974935.32</v>
      </c>
      <c r="D77" s="248"/>
      <c r="E77" s="59">
        <f t="shared" si="19"/>
        <v>0</v>
      </c>
      <c r="F77" s="251"/>
      <c r="G77" s="60"/>
      <c r="H77" s="61">
        <v>51196</v>
      </c>
      <c r="I77" s="62">
        <f>+'Cantidades P4_(2029-2040)'!$AC$558</f>
        <v>33976127.579999998</v>
      </c>
      <c r="J77" s="248"/>
      <c r="K77" s="59">
        <f t="shared" si="21"/>
        <v>0</v>
      </c>
      <c r="L77" s="251"/>
    </row>
    <row r="78" spans="1:13" ht="14.5" x14ac:dyDescent="0.35">
      <c r="A78" s="71"/>
      <c r="B78" s="61">
        <v>49035</v>
      </c>
      <c r="C78" s="62">
        <f>+'Cantidades P4_(2029-2040)'!$AC$268</f>
        <v>23765736.729999997</v>
      </c>
      <c r="D78" s="248"/>
      <c r="E78" s="59">
        <f t="shared" si="19"/>
        <v>0</v>
      </c>
      <c r="F78" s="251"/>
      <c r="G78" s="60"/>
      <c r="H78" s="61">
        <v>51227</v>
      </c>
      <c r="I78" s="62">
        <f>+'Cantidades P4_(2029-2040)'!$AC$562</f>
        <v>32532430.489999998</v>
      </c>
      <c r="J78" s="248"/>
      <c r="K78" s="59">
        <f t="shared" si="21"/>
        <v>0</v>
      </c>
      <c r="L78" s="251"/>
    </row>
    <row r="79" spans="1:13" ht="14.5" x14ac:dyDescent="0.35">
      <c r="A79" s="71"/>
      <c r="B79" s="61">
        <v>49065</v>
      </c>
      <c r="C79" s="62">
        <f>+'Cantidades P4_(2029-2040)'!$AC$272</f>
        <v>23928518.189999998</v>
      </c>
      <c r="D79" s="248"/>
      <c r="E79" s="59">
        <f t="shared" si="19"/>
        <v>0</v>
      </c>
      <c r="F79" s="251"/>
      <c r="G79" s="60"/>
      <c r="H79" s="61">
        <v>51257</v>
      </c>
      <c r="I79" s="62">
        <f>+'Cantidades P4_(2029-2040)'!$AC$566</f>
        <v>32682268.779999997</v>
      </c>
      <c r="J79" s="248"/>
      <c r="K79" s="59">
        <f t="shared" si="21"/>
        <v>0</v>
      </c>
      <c r="L79" s="251"/>
    </row>
    <row r="80" spans="1:13" ht="14.5" x14ac:dyDescent="0.35">
      <c r="A80" s="71"/>
      <c r="B80" s="61">
        <v>49096</v>
      </c>
      <c r="C80" s="62">
        <f>+'Cantidades P4_(2029-2040)'!$AC$276</f>
        <v>22416105.639999997</v>
      </c>
      <c r="D80" s="248"/>
      <c r="E80" s="59">
        <f t="shared" si="19"/>
        <v>0</v>
      </c>
      <c r="F80" s="251"/>
      <c r="G80" s="60"/>
      <c r="H80" s="61">
        <v>51288</v>
      </c>
      <c r="I80" s="62">
        <f>+'Cantidades P4_(2029-2040)'!$AC$570</f>
        <v>30780197.210000001</v>
      </c>
      <c r="J80" s="248"/>
      <c r="K80" s="59">
        <f t="shared" si="21"/>
        <v>0</v>
      </c>
      <c r="L80" s="251"/>
    </row>
    <row r="81" spans="1:12" ht="14.5" x14ac:dyDescent="0.35">
      <c r="A81" s="71"/>
      <c r="B81" s="61">
        <v>49126</v>
      </c>
      <c r="C81" s="62">
        <f>+'Cantidades P4_(2029-2040)'!$AC$280</f>
        <v>24004659.600000001</v>
      </c>
      <c r="D81" s="248"/>
      <c r="E81" s="59">
        <f t="shared" si="19"/>
        <v>0</v>
      </c>
      <c r="F81" s="251"/>
      <c r="G81" s="60"/>
      <c r="H81" s="61">
        <v>51318</v>
      </c>
      <c r="I81" s="62">
        <f>+'Cantidades P4_(2029-2040)'!$AC$574</f>
        <v>32745194.550000001</v>
      </c>
      <c r="J81" s="248"/>
      <c r="K81" s="59">
        <f t="shared" si="21"/>
        <v>0</v>
      </c>
      <c r="L81" s="251"/>
    </row>
    <row r="82" spans="1:12" ht="14.5" x14ac:dyDescent="0.35">
      <c r="A82" s="71"/>
      <c r="B82" s="61">
        <v>49157</v>
      </c>
      <c r="C82" s="62">
        <f>+'Cantidades P4_(2029-2040)'!$AC$284</f>
        <v>23782968.91</v>
      </c>
      <c r="D82" s="248"/>
      <c r="E82" s="59">
        <f t="shared" si="19"/>
        <v>0</v>
      </c>
      <c r="F82" s="251"/>
      <c r="G82" s="60"/>
      <c r="H82" s="61">
        <v>51349</v>
      </c>
      <c r="I82" s="62">
        <f>+'Cantidades P4_(2029-2040)'!$AC$578</f>
        <v>32492904.430000003</v>
      </c>
      <c r="J82" s="248"/>
      <c r="K82" s="59">
        <f t="shared" si="21"/>
        <v>0</v>
      </c>
      <c r="L82" s="251"/>
    </row>
    <row r="83" spans="1:12" ht="14.5" x14ac:dyDescent="0.35">
      <c r="A83" s="71"/>
      <c r="B83" s="61">
        <v>49188</v>
      </c>
      <c r="C83" s="62">
        <f>+'Cantidades P4_(2029-2040)'!$AC$288</f>
        <v>23435246.68</v>
      </c>
      <c r="D83" s="248"/>
      <c r="E83" s="59">
        <f t="shared" si="19"/>
        <v>0</v>
      </c>
      <c r="F83" s="251"/>
      <c r="G83" s="60"/>
      <c r="H83" s="61">
        <v>51380</v>
      </c>
      <c r="I83" s="62">
        <f>+'Cantidades P4_(2029-2040)'!$AC$582</f>
        <v>32027779.399999999</v>
      </c>
      <c r="J83" s="248"/>
      <c r="K83" s="59">
        <f t="shared" si="21"/>
        <v>0</v>
      </c>
      <c r="L83" s="251"/>
    </row>
    <row r="84" spans="1:12" ht="14.5" x14ac:dyDescent="0.35">
      <c r="A84" s="71"/>
      <c r="B84" s="61">
        <v>49218</v>
      </c>
      <c r="C84" s="62">
        <f>+'Cantidades P4_(2029-2040)'!$AC$292</f>
        <v>23324262.48</v>
      </c>
      <c r="D84" s="248"/>
      <c r="E84" s="59">
        <f t="shared" si="19"/>
        <v>0</v>
      </c>
      <c r="F84" s="251"/>
      <c r="G84" s="60"/>
      <c r="H84" s="61">
        <v>51410</v>
      </c>
      <c r="I84" s="62">
        <f>+'Cantidades P4_(2029-2040)'!$AC$586</f>
        <v>31909005.399999999</v>
      </c>
      <c r="J84" s="248"/>
      <c r="K84" s="59">
        <f t="shared" si="21"/>
        <v>0</v>
      </c>
      <c r="L84" s="251"/>
    </row>
    <row r="85" spans="1:12" ht="14.5" x14ac:dyDescent="0.35">
      <c r="A85" s="71"/>
      <c r="B85" s="61">
        <v>49249</v>
      </c>
      <c r="C85" s="62">
        <f>+'Cantidades P4_(2029-2040)'!$AC$296</f>
        <v>23050800.18</v>
      </c>
      <c r="D85" s="248"/>
      <c r="E85" s="59">
        <f t="shared" si="19"/>
        <v>0</v>
      </c>
      <c r="F85" s="251"/>
      <c r="G85" s="60"/>
      <c r="H85" s="61">
        <v>51441</v>
      </c>
      <c r="I85" s="62">
        <f>+'Cantidades P4_(2029-2040)'!$AC$590</f>
        <v>31531692.720000006</v>
      </c>
      <c r="J85" s="248"/>
      <c r="K85" s="59">
        <f t="shared" si="21"/>
        <v>0</v>
      </c>
      <c r="L85" s="251"/>
    </row>
    <row r="86" spans="1:12" ht="14.5" x14ac:dyDescent="0.35">
      <c r="A86" s="71"/>
      <c r="B86" s="61">
        <v>49279</v>
      </c>
      <c r="C86" s="62">
        <f>+'Cantidades P4_(2029-2040)'!$AC$300</f>
        <v>23563220.48</v>
      </c>
      <c r="D86" s="249"/>
      <c r="E86" s="59">
        <f t="shared" si="19"/>
        <v>0</v>
      </c>
      <c r="F86" s="252"/>
      <c r="G86" s="60"/>
      <c r="H86" s="61">
        <v>51471</v>
      </c>
      <c r="I86" s="62">
        <f>+'Cantidades P4_(2029-2040)'!$AC$594</f>
        <v>32192811.84</v>
      </c>
      <c r="J86" s="249"/>
      <c r="K86" s="59">
        <f t="shared" si="21"/>
        <v>0</v>
      </c>
      <c r="L86" s="252"/>
    </row>
    <row r="87" spans="1:12" ht="15.75" customHeight="1" x14ac:dyDescent="0.4">
      <c r="A87" s="72"/>
      <c r="E87" s="202"/>
      <c r="G87" s="60"/>
      <c r="H87" s="63" t="s">
        <v>50</v>
      </c>
      <c r="I87" s="27">
        <f>SUM(C15:C86)+SUM(I15:I86)</f>
        <v>3473996543.8199997</v>
      </c>
      <c r="J87" s="70">
        <f>IFERROR(AVERAGE(D15:D50,D51:D86),"")</f>
        <v>0</v>
      </c>
      <c r="K87" s="27">
        <f>SUM(E15:E86,K15:K86)</f>
        <v>0</v>
      </c>
      <c r="L87" s="201" t="e">
        <f>(SUM(E15:E26)*F15+SUM(E27:E38)*F27+SUM(E39:E50)*F39+SUM(E51:E62)*F51+SUM(E63:E74)*F63+SUM(E75:E86)*F75+SUM(K15:K26)*L15+SUM(K27:K38)*L27+SUM(K39:K50)*L39+SUM(K51:K62)*L51+SUM(K63:K74)*L63+SUM(K75:K86)*L75)/K87</f>
        <v>#DIV/0!</v>
      </c>
    </row>
    <row r="88" spans="1:12" ht="14.5" hidden="1" x14ac:dyDescent="0.35">
      <c r="A88" s="72"/>
      <c r="G88" s="60"/>
    </row>
    <row r="89" spans="1:12" ht="14.5" hidden="1" x14ac:dyDescent="0.35">
      <c r="A89" s="72"/>
      <c r="G89" s="60"/>
    </row>
    <row r="90" spans="1:12" ht="14.5" hidden="1" x14ac:dyDescent="0.35">
      <c r="A90" s="72"/>
      <c r="G90" s="60"/>
    </row>
    <row r="91" spans="1:12" ht="14.5" hidden="1" x14ac:dyDescent="0.35">
      <c r="A91" s="72"/>
      <c r="G91" s="60"/>
    </row>
    <row r="92" spans="1:12" ht="14.5" hidden="1" x14ac:dyDescent="0.35">
      <c r="A92" s="72"/>
      <c r="G92" s="60"/>
    </row>
    <row r="93" spans="1:12" ht="14.5" hidden="1" x14ac:dyDescent="0.35">
      <c r="A93" s="72"/>
      <c r="G93" s="60"/>
    </row>
    <row r="94" spans="1:12" ht="14.5" hidden="1" x14ac:dyDescent="0.35">
      <c r="A94" s="72"/>
      <c r="G94" s="60"/>
    </row>
    <row r="95" spans="1:12" ht="14.5" hidden="1" x14ac:dyDescent="0.35">
      <c r="A95" s="72"/>
      <c r="G95" s="60"/>
    </row>
    <row r="96" spans="1:12" ht="14.5" hidden="1" x14ac:dyDescent="0.35">
      <c r="A96" s="72"/>
      <c r="G96" s="60"/>
    </row>
    <row r="97" spans="1:14" ht="14.5" hidden="1" x14ac:dyDescent="0.35">
      <c r="A97" s="72"/>
      <c r="G97" s="60"/>
    </row>
    <row r="98" spans="1:14" ht="14.5" hidden="1" x14ac:dyDescent="0.35">
      <c r="A98" s="72"/>
      <c r="G98" s="60"/>
    </row>
    <row r="99" spans="1:14" ht="14" hidden="1" x14ac:dyDescent="0.3">
      <c r="A99" s="72"/>
      <c r="G99" s="58"/>
    </row>
    <row r="100" spans="1:14" ht="14" hidden="1" x14ac:dyDescent="0.3">
      <c r="B100" s="28"/>
      <c r="C100" s="31"/>
      <c r="D100" s="30"/>
      <c r="E100" s="31"/>
      <c r="F100" s="32"/>
      <c r="G100" s="33"/>
      <c r="H100" s="28"/>
      <c r="I100" s="31"/>
      <c r="J100" s="30"/>
      <c r="K100" s="31"/>
      <c r="L100" s="32"/>
    </row>
    <row r="101" spans="1:14" ht="14" x14ac:dyDescent="0.3">
      <c r="B101" s="28"/>
      <c r="C101" s="29"/>
      <c r="D101" s="30"/>
      <c r="E101" s="31"/>
      <c r="F101" s="31"/>
      <c r="H101" s="28"/>
      <c r="I101" s="200"/>
      <c r="J101" s="30"/>
      <c r="K101" s="31"/>
      <c r="L101" s="31"/>
      <c r="M101" s="32"/>
    </row>
    <row r="102" spans="1:14" ht="17.5" customHeight="1" x14ac:dyDescent="0.3">
      <c r="B102" s="42" t="s">
        <v>47</v>
      </c>
      <c r="C102" s="33"/>
      <c r="D102" s="34"/>
      <c r="E102" s="33"/>
      <c r="F102" s="33"/>
      <c r="H102" s="42"/>
      <c r="I102" s="33"/>
      <c r="J102" s="34"/>
      <c r="K102" s="33"/>
      <c r="L102" s="203"/>
      <c r="M102" s="33"/>
      <c r="N102" s="33"/>
    </row>
    <row r="103" spans="1:14" ht="12.75" customHeight="1" x14ac:dyDescent="0.25">
      <c r="B103" s="254" t="s">
        <v>148</v>
      </c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56"/>
      <c r="N103" s="33"/>
    </row>
    <row r="104" spans="1:14" x14ac:dyDescent="0.25"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56"/>
      <c r="N104" s="33"/>
    </row>
    <row r="105" spans="1:14" ht="12.75" customHeight="1" x14ac:dyDescent="0.35">
      <c r="B105" s="255" t="s">
        <v>42</v>
      </c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57"/>
      <c r="N105" s="33"/>
    </row>
    <row r="106" spans="1:14" ht="14.5" customHeight="1" x14ac:dyDescent="0.35">
      <c r="B106" s="254" t="s">
        <v>128</v>
      </c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57"/>
      <c r="N106" s="33"/>
    </row>
    <row r="107" spans="1:14" ht="12.75" customHeight="1" x14ac:dyDescent="0.35">
      <c r="B107" s="256" t="s">
        <v>54</v>
      </c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57"/>
    </row>
    <row r="108" spans="1:14" s="36" customFormat="1" ht="13.5" customHeight="1" x14ac:dyDescent="0.35">
      <c r="B108" s="253" t="s">
        <v>113</v>
      </c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57"/>
    </row>
    <row r="109" spans="1:14" s="36" customFormat="1" ht="17.5" customHeight="1" x14ac:dyDescent="0.25">
      <c r="B109" s="225" t="s">
        <v>65</v>
      </c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49"/>
    </row>
    <row r="110" spans="1:14" s="36" customFormat="1" ht="14" customHeight="1" x14ac:dyDescent="0.25">
      <c r="B110" s="225" t="s">
        <v>55</v>
      </c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53"/>
    </row>
    <row r="111" spans="1:14" s="36" customFormat="1" ht="14" customHeight="1" x14ac:dyDescent="0.25">
      <c r="B111" s="225" t="s">
        <v>129</v>
      </c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53"/>
    </row>
    <row r="112" spans="1:14" s="36" customFormat="1" ht="14" customHeight="1" thickBot="1" x14ac:dyDescent="0.3">
      <c r="B112" s="43" t="s">
        <v>106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spans="2:13" s="36" customFormat="1" ht="13.5" customHeight="1" x14ac:dyDescent="0.25">
      <c r="B113" s="238" t="s">
        <v>131</v>
      </c>
      <c r="C113" s="239"/>
      <c r="D113" s="239"/>
      <c r="E113" s="239"/>
      <c r="F113" s="239"/>
      <c r="G113" s="239"/>
      <c r="H113" s="239"/>
      <c r="I113" s="239"/>
      <c r="J113" s="239"/>
      <c r="K113" s="239"/>
      <c r="L113" s="240"/>
      <c r="M113" s="44"/>
    </row>
    <row r="114" spans="2:13" s="36" customFormat="1" ht="13.5" customHeight="1" x14ac:dyDescent="0.25">
      <c r="B114" s="241"/>
      <c r="C114" s="242"/>
      <c r="D114" s="242"/>
      <c r="E114" s="242"/>
      <c r="F114" s="242"/>
      <c r="G114" s="242"/>
      <c r="H114" s="242"/>
      <c r="I114" s="242"/>
      <c r="J114" s="242"/>
      <c r="K114" s="242"/>
      <c r="L114" s="243"/>
      <c r="M114" s="44"/>
    </row>
    <row r="115" spans="2:13" s="36" customFormat="1" ht="27.75" customHeight="1" thickBot="1" x14ac:dyDescent="0.3">
      <c r="B115" s="244"/>
      <c r="C115" s="245"/>
      <c r="D115" s="245"/>
      <c r="E115" s="245"/>
      <c r="F115" s="245"/>
      <c r="G115" s="245"/>
      <c r="H115" s="245"/>
      <c r="I115" s="245"/>
      <c r="J115" s="245"/>
      <c r="K115" s="245"/>
      <c r="L115" s="246"/>
      <c r="M115" s="44"/>
    </row>
    <row r="116" spans="2:13" ht="20.25" customHeight="1" x14ac:dyDescent="0.25">
      <c r="C116" s="47"/>
      <c r="D116" s="48"/>
      <c r="E116" s="47"/>
      <c r="F116" s="47"/>
      <c r="I116" s="47"/>
      <c r="J116" s="48"/>
      <c r="K116" s="47"/>
      <c r="L116" s="47"/>
      <c r="M116" s="37"/>
    </row>
    <row r="117" spans="2:13" ht="20.25" customHeight="1" x14ac:dyDescent="0.25">
      <c r="B117" s="43"/>
      <c r="C117" s="47"/>
      <c r="D117" s="48"/>
      <c r="E117" s="47"/>
      <c r="F117" s="47"/>
      <c r="H117" s="43"/>
      <c r="I117" s="47"/>
      <c r="J117" s="48"/>
      <c r="K117" s="47"/>
      <c r="L117" s="47"/>
      <c r="M117" s="37"/>
    </row>
    <row r="118" spans="2:13" ht="20.25" customHeight="1" x14ac:dyDescent="0.25">
      <c r="B118" s="225"/>
      <c r="C118" s="225"/>
      <c r="D118" s="225"/>
      <c r="E118" s="225"/>
      <c r="F118" s="225"/>
      <c r="H118" s="53"/>
      <c r="I118" s="53"/>
      <c r="J118" s="53"/>
      <c r="K118" s="53"/>
      <c r="L118" s="53"/>
      <c r="M118" s="37"/>
    </row>
    <row r="119" spans="2:13" ht="7.5" customHeight="1" x14ac:dyDescent="0.25">
      <c r="H119" s="53"/>
      <c r="I119" s="53"/>
      <c r="J119" s="53"/>
      <c r="K119" s="53"/>
      <c r="L119" s="53"/>
    </row>
    <row r="120" spans="2:13" ht="17.25" customHeight="1" x14ac:dyDescent="0.4">
      <c r="B120" s="38" t="s">
        <v>43</v>
      </c>
      <c r="C120" s="39"/>
      <c r="F120" s="40"/>
      <c r="H120" s="53"/>
      <c r="I120" s="53"/>
      <c r="J120" s="53"/>
      <c r="K120" s="53"/>
      <c r="L120" s="53"/>
    </row>
  </sheetData>
  <sheetProtection selectLockedCells="1"/>
  <mergeCells count="50">
    <mergeCell ref="H3:I3"/>
    <mergeCell ref="B6:K6"/>
    <mergeCell ref="C8:J8"/>
    <mergeCell ref="C10:J10"/>
    <mergeCell ref="B13:B14"/>
    <mergeCell ref="C13:C14"/>
    <mergeCell ref="D13:D14"/>
    <mergeCell ref="E13:E14"/>
    <mergeCell ref="B3:C3"/>
    <mergeCell ref="J13:J14"/>
    <mergeCell ref="K13:K14"/>
    <mergeCell ref="C11:J11"/>
    <mergeCell ref="L13:L14"/>
    <mergeCell ref="D51:D62"/>
    <mergeCell ref="F51:F62"/>
    <mergeCell ref="F13:F14"/>
    <mergeCell ref="H13:H14"/>
    <mergeCell ref="I13:I14"/>
    <mergeCell ref="J51:J62"/>
    <mergeCell ref="L51:L62"/>
    <mergeCell ref="D75:D86"/>
    <mergeCell ref="F75:F86"/>
    <mergeCell ref="D15:D26"/>
    <mergeCell ref="F15:F26"/>
    <mergeCell ref="D63:D74"/>
    <mergeCell ref="F63:F74"/>
    <mergeCell ref="L63:L74"/>
    <mergeCell ref="J75:J86"/>
    <mergeCell ref="L75:L86"/>
    <mergeCell ref="F27:F38"/>
    <mergeCell ref="J27:J38"/>
    <mergeCell ref="L27:L38"/>
    <mergeCell ref="J39:J50"/>
    <mergeCell ref="L39:L50"/>
    <mergeCell ref="B113:L115"/>
    <mergeCell ref="B118:F118"/>
    <mergeCell ref="J15:J26"/>
    <mergeCell ref="L15:L26"/>
    <mergeCell ref="B108:L108"/>
    <mergeCell ref="B109:L109"/>
    <mergeCell ref="B110:L110"/>
    <mergeCell ref="B111:L111"/>
    <mergeCell ref="D39:D50"/>
    <mergeCell ref="F39:F50"/>
    <mergeCell ref="B103:L104"/>
    <mergeCell ref="B105:L105"/>
    <mergeCell ref="B106:L106"/>
    <mergeCell ref="B107:L107"/>
    <mergeCell ref="D27:D38"/>
    <mergeCell ref="J63:J74"/>
  </mergeCells>
  <printOptions horizontalCentered="1" verticalCentered="1"/>
  <pageMargins left="0.75" right="0.27559055118110237" top="1" bottom="1" header="0" footer="0"/>
  <pageSetup scale="35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73D809-2A97-453E-B005-B4998343B9B1}">
          <x14:formula1>
            <xm:f>'Listas desplegables'!$A$3:$A$4</xm:f>
          </x14:formula1>
          <xm:sqref>C8</xm:sqref>
        </x14:dataValidation>
        <x14:dataValidation type="list" allowBlank="1" showInputMessage="1" showErrorMessage="1" xr:uid="{C7A2E489-1665-4102-8364-F882E04D6D4A}">
          <x14:formula1>
            <xm:f>'Listas desplegables'!$B$3</xm:f>
          </x14:formula1>
          <xm:sqref>C10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CEF3-3DAB-457D-BB73-95F4EDC000EC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88" t="s">
        <v>2</v>
      </c>
      <c r="C2" s="88" t="s">
        <v>68</v>
      </c>
      <c r="D2" s="88" t="s">
        <v>82</v>
      </c>
      <c r="E2" s="88" t="s">
        <v>84</v>
      </c>
      <c r="F2" s="88" t="s">
        <v>86</v>
      </c>
      <c r="G2" s="88" t="s">
        <v>88</v>
      </c>
      <c r="H2" s="88" t="s">
        <v>90</v>
      </c>
      <c r="I2" s="88" t="s">
        <v>92</v>
      </c>
      <c r="J2" s="88" t="s">
        <v>94</v>
      </c>
      <c r="K2" s="88" t="s">
        <v>96</v>
      </c>
      <c r="L2" s="88" t="s">
        <v>100</v>
      </c>
      <c r="M2" s="88" t="s">
        <v>99</v>
      </c>
    </row>
    <row r="3" spans="2:13" ht="38" customHeight="1" x14ac:dyDescent="0.35">
      <c r="B3" s="84" t="s">
        <v>58</v>
      </c>
      <c r="C3" s="89" t="s">
        <v>81</v>
      </c>
      <c r="D3" s="89" t="s">
        <v>83</v>
      </c>
      <c r="E3" s="89" t="s">
        <v>85</v>
      </c>
      <c r="F3" s="89" t="s">
        <v>87</v>
      </c>
      <c r="G3" s="89" t="s">
        <v>89</v>
      </c>
      <c r="H3" s="89" t="s">
        <v>91</v>
      </c>
      <c r="I3" s="89" t="s">
        <v>93</v>
      </c>
      <c r="J3" s="89" t="s">
        <v>95</v>
      </c>
      <c r="K3" s="89" t="s">
        <v>97</v>
      </c>
      <c r="L3" s="89" t="s">
        <v>98</v>
      </c>
      <c r="M3" s="85"/>
    </row>
    <row r="4" spans="2:13" x14ac:dyDescent="0.35">
      <c r="B4" s="61" t="s">
        <v>69</v>
      </c>
      <c r="C4" s="86" t="e">
        <f>+#REF!</f>
        <v>#REF!</v>
      </c>
      <c r="D4" s="86" t="e">
        <f>+#REF!</f>
        <v>#REF!</v>
      </c>
      <c r="E4" s="86" t="e">
        <f>+#REF!</f>
        <v>#REF!</v>
      </c>
      <c r="F4" s="86" t="e">
        <f>+#REF!</f>
        <v>#REF!</v>
      </c>
      <c r="G4" s="86" t="e">
        <f>+#REF!</f>
        <v>#REF!</v>
      </c>
      <c r="H4" s="86" t="e">
        <f>+#REF!</f>
        <v>#REF!</v>
      </c>
      <c r="I4" s="86" t="e">
        <f>+#REF!</f>
        <v>#REF!</v>
      </c>
      <c r="J4" s="86" t="e">
        <f>+#REF!</f>
        <v>#REF!</v>
      </c>
      <c r="K4" s="86" t="e">
        <f>+#REF!</f>
        <v>#REF!</v>
      </c>
      <c r="L4" s="86" t="e">
        <f>+#REF!</f>
        <v>#REF!</v>
      </c>
      <c r="M4" s="86" t="e">
        <f>SUM(C4:L4)</f>
        <v>#REF!</v>
      </c>
    </row>
    <row r="5" spans="2:13" x14ac:dyDescent="0.35">
      <c r="B5" s="61" t="s">
        <v>70</v>
      </c>
      <c r="C5" s="86" t="e">
        <f>+#REF!</f>
        <v>#REF!</v>
      </c>
      <c r="D5" s="86" t="e">
        <f>+#REF!</f>
        <v>#REF!</v>
      </c>
      <c r="E5" s="86" t="e">
        <f>+#REF!</f>
        <v>#REF!</v>
      </c>
      <c r="F5" s="86" t="e">
        <f>+#REF!</f>
        <v>#REF!</v>
      </c>
      <c r="G5" s="86" t="e">
        <f>+#REF!</f>
        <v>#REF!</v>
      </c>
      <c r="H5" s="86" t="e">
        <f>+#REF!</f>
        <v>#REF!</v>
      </c>
      <c r="I5" s="86" t="e">
        <f>+#REF!</f>
        <v>#REF!</v>
      </c>
      <c r="J5" s="86" t="e">
        <f>+#REF!</f>
        <v>#REF!</v>
      </c>
      <c r="K5" s="86" t="e">
        <f>+#REF!</f>
        <v>#REF!</v>
      </c>
      <c r="L5" s="86" t="e">
        <f>+#REF!</f>
        <v>#REF!</v>
      </c>
      <c r="M5" s="86" t="e">
        <f t="shared" ref="M5:M15" si="0">SUM(C5:L5)</f>
        <v>#REF!</v>
      </c>
    </row>
    <row r="6" spans="2:13" x14ac:dyDescent="0.35">
      <c r="B6" s="61" t="s">
        <v>71</v>
      </c>
      <c r="C6" s="86" t="e">
        <f>+#REF!</f>
        <v>#REF!</v>
      </c>
      <c r="D6" s="86" t="e">
        <f>+#REF!</f>
        <v>#REF!</v>
      </c>
      <c r="E6" s="86" t="e">
        <f>+#REF!</f>
        <v>#REF!</v>
      </c>
      <c r="F6" s="86" t="e">
        <f>+#REF!</f>
        <v>#REF!</v>
      </c>
      <c r="G6" s="86" t="e">
        <f>+#REF!</f>
        <v>#REF!</v>
      </c>
      <c r="H6" s="86" t="e">
        <f>+#REF!</f>
        <v>#REF!</v>
      </c>
      <c r="I6" s="86" t="e">
        <f>+#REF!</f>
        <v>#REF!</v>
      </c>
      <c r="J6" s="86" t="e">
        <f>+#REF!</f>
        <v>#REF!</v>
      </c>
      <c r="K6" s="86" t="e">
        <f>+#REF!</f>
        <v>#REF!</v>
      </c>
      <c r="L6" s="86" t="e">
        <f>+#REF!</f>
        <v>#REF!</v>
      </c>
      <c r="M6" s="86" t="e">
        <f t="shared" si="0"/>
        <v>#REF!</v>
      </c>
    </row>
    <row r="7" spans="2:13" x14ac:dyDescent="0.35">
      <c r="B7" s="61" t="s">
        <v>72</v>
      </c>
      <c r="C7" s="86" t="e">
        <f>+#REF!</f>
        <v>#REF!</v>
      </c>
      <c r="D7" s="86" t="e">
        <f>+#REF!</f>
        <v>#REF!</v>
      </c>
      <c r="E7" s="86" t="e">
        <f>+#REF!</f>
        <v>#REF!</v>
      </c>
      <c r="F7" s="86" t="e">
        <f>+#REF!</f>
        <v>#REF!</v>
      </c>
      <c r="G7" s="86" t="e">
        <f>+#REF!</f>
        <v>#REF!</v>
      </c>
      <c r="H7" s="86" t="e">
        <f>+#REF!</f>
        <v>#REF!</v>
      </c>
      <c r="I7" s="86" t="e">
        <f>+#REF!</f>
        <v>#REF!</v>
      </c>
      <c r="J7" s="86" t="e">
        <f>+#REF!</f>
        <v>#REF!</v>
      </c>
      <c r="K7" s="86" t="e">
        <f>+#REF!</f>
        <v>#REF!</v>
      </c>
      <c r="L7" s="86" t="e">
        <f>+#REF!</f>
        <v>#REF!</v>
      </c>
      <c r="M7" s="86" t="e">
        <f t="shared" si="0"/>
        <v>#REF!</v>
      </c>
    </row>
    <row r="8" spans="2:13" x14ac:dyDescent="0.35">
      <c r="B8" s="61" t="s">
        <v>73</v>
      </c>
      <c r="C8" s="86" t="e">
        <f>+#REF!</f>
        <v>#REF!</v>
      </c>
      <c r="D8" s="86" t="e">
        <f>+#REF!</f>
        <v>#REF!</v>
      </c>
      <c r="E8" s="86" t="e">
        <f>+#REF!</f>
        <v>#REF!</v>
      </c>
      <c r="F8" s="86" t="e">
        <f>+#REF!</f>
        <v>#REF!</v>
      </c>
      <c r="G8" s="86" t="e">
        <f>+#REF!</f>
        <v>#REF!</v>
      </c>
      <c r="H8" s="86" t="e">
        <f>+#REF!</f>
        <v>#REF!</v>
      </c>
      <c r="I8" s="86" t="e">
        <f>+#REF!</f>
        <v>#REF!</v>
      </c>
      <c r="J8" s="86" t="e">
        <f>+#REF!</f>
        <v>#REF!</v>
      </c>
      <c r="K8" s="86" t="e">
        <f>+#REF!</f>
        <v>#REF!</v>
      </c>
      <c r="L8" s="86" t="e">
        <f>+#REF!</f>
        <v>#REF!</v>
      </c>
      <c r="M8" s="86" t="e">
        <f t="shared" si="0"/>
        <v>#REF!</v>
      </c>
    </row>
    <row r="9" spans="2:13" x14ac:dyDescent="0.35">
      <c r="B9" s="61" t="s">
        <v>74</v>
      </c>
      <c r="C9" s="86" t="e">
        <f>+#REF!</f>
        <v>#REF!</v>
      </c>
      <c r="D9" s="86" t="e">
        <f>+#REF!</f>
        <v>#REF!</v>
      </c>
      <c r="E9" s="86" t="e">
        <f>+#REF!</f>
        <v>#REF!</v>
      </c>
      <c r="F9" s="86" t="e">
        <f>+#REF!</f>
        <v>#REF!</v>
      </c>
      <c r="G9" s="86" t="e">
        <f>+#REF!</f>
        <v>#REF!</v>
      </c>
      <c r="H9" s="86" t="e">
        <f>+#REF!</f>
        <v>#REF!</v>
      </c>
      <c r="I9" s="86" t="e">
        <f>+#REF!</f>
        <v>#REF!</v>
      </c>
      <c r="J9" s="86" t="e">
        <f>+#REF!</f>
        <v>#REF!</v>
      </c>
      <c r="K9" s="86" t="e">
        <f>+#REF!</f>
        <v>#REF!</v>
      </c>
      <c r="L9" s="86" t="e">
        <f>+#REF!</f>
        <v>#REF!</v>
      </c>
      <c r="M9" s="86" t="e">
        <f t="shared" si="0"/>
        <v>#REF!</v>
      </c>
    </row>
    <row r="10" spans="2:13" x14ac:dyDescent="0.35">
      <c r="B10" s="61" t="s">
        <v>75</v>
      </c>
      <c r="C10" s="86" t="e">
        <f>+#REF!</f>
        <v>#REF!</v>
      </c>
      <c r="D10" s="86" t="e">
        <f>+#REF!</f>
        <v>#REF!</v>
      </c>
      <c r="E10" s="86" t="e">
        <f>+#REF!</f>
        <v>#REF!</v>
      </c>
      <c r="F10" s="86" t="e">
        <f>+#REF!</f>
        <v>#REF!</v>
      </c>
      <c r="G10" s="86" t="e">
        <f>+#REF!</f>
        <v>#REF!</v>
      </c>
      <c r="H10" s="86" t="e">
        <f>+#REF!</f>
        <v>#REF!</v>
      </c>
      <c r="I10" s="86" t="e">
        <f>+#REF!</f>
        <v>#REF!</v>
      </c>
      <c r="J10" s="86" t="e">
        <f>+#REF!</f>
        <v>#REF!</v>
      </c>
      <c r="K10" s="86" t="e">
        <f>+#REF!</f>
        <v>#REF!</v>
      </c>
      <c r="L10" s="86" t="e">
        <f>+#REF!</f>
        <v>#REF!</v>
      </c>
      <c r="M10" s="86" t="e">
        <f t="shared" si="0"/>
        <v>#REF!</v>
      </c>
    </row>
    <row r="11" spans="2:13" x14ac:dyDescent="0.35">
      <c r="B11" s="61" t="s">
        <v>76</v>
      </c>
      <c r="C11" s="86" t="e">
        <f>+#REF!</f>
        <v>#REF!</v>
      </c>
      <c r="D11" s="86" t="e">
        <f>+#REF!</f>
        <v>#REF!</v>
      </c>
      <c r="E11" s="86" t="e">
        <f>+#REF!</f>
        <v>#REF!</v>
      </c>
      <c r="F11" s="86" t="e">
        <f>+#REF!</f>
        <v>#REF!</v>
      </c>
      <c r="G11" s="86" t="e">
        <f>+#REF!</f>
        <v>#REF!</v>
      </c>
      <c r="H11" s="86" t="e">
        <f>+#REF!</f>
        <v>#REF!</v>
      </c>
      <c r="I11" s="86" t="e">
        <f>+#REF!</f>
        <v>#REF!</v>
      </c>
      <c r="J11" s="86" t="e">
        <f>+#REF!</f>
        <v>#REF!</v>
      </c>
      <c r="K11" s="86" t="e">
        <f>+#REF!</f>
        <v>#REF!</v>
      </c>
      <c r="L11" s="86" t="e">
        <f>+#REF!</f>
        <v>#REF!</v>
      </c>
      <c r="M11" s="86" t="e">
        <f t="shared" si="0"/>
        <v>#REF!</v>
      </c>
    </row>
    <row r="12" spans="2:13" x14ac:dyDescent="0.35">
      <c r="B12" s="61" t="s">
        <v>77</v>
      </c>
      <c r="C12" s="86" t="e">
        <f>+#REF!</f>
        <v>#REF!</v>
      </c>
      <c r="D12" s="86" t="e">
        <f>+#REF!</f>
        <v>#REF!</v>
      </c>
      <c r="E12" s="86" t="e">
        <f>+#REF!</f>
        <v>#REF!</v>
      </c>
      <c r="F12" s="86" t="e">
        <f>+#REF!</f>
        <v>#REF!</v>
      </c>
      <c r="G12" s="86" t="e">
        <f>+#REF!</f>
        <v>#REF!</v>
      </c>
      <c r="H12" s="86" t="e">
        <f>+#REF!</f>
        <v>#REF!</v>
      </c>
      <c r="I12" s="86" t="e">
        <f>+#REF!</f>
        <v>#REF!</v>
      </c>
      <c r="J12" s="86" t="e">
        <f>+#REF!</f>
        <v>#REF!</v>
      </c>
      <c r="K12" s="86" t="e">
        <f>+#REF!</f>
        <v>#REF!</v>
      </c>
      <c r="L12" s="86" t="e">
        <f>+#REF!</f>
        <v>#REF!</v>
      </c>
      <c r="M12" s="86" t="e">
        <f t="shared" si="0"/>
        <v>#REF!</v>
      </c>
    </row>
    <row r="13" spans="2:13" x14ac:dyDescent="0.35">
      <c r="B13" s="61" t="s">
        <v>78</v>
      </c>
      <c r="C13" s="86" t="e">
        <f>+#REF!</f>
        <v>#REF!</v>
      </c>
      <c r="D13" s="86" t="e">
        <f>+#REF!</f>
        <v>#REF!</v>
      </c>
      <c r="E13" s="86" t="e">
        <f>+#REF!</f>
        <v>#REF!</v>
      </c>
      <c r="F13" s="86" t="e">
        <f>+#REF!</f>
        <v>#REF!</v>
      </c>
      <c r="G13" s="86" t="e">
        <f>+#REF!</f>
        <v>#REF!</v>
      </c>
      <c r="H13" s="86" t="e">
        <f>+#REF!</f>
        <v>#REF!</v>
      </c>
      <c r="I13" s="86" t="e">
        <f>+#REF!</f>
        <v>#REF!</v>
      </c>
      <c r="J13" s="86" t="e">
        <f>+#REF!</f>
        <v>#REF!</v>
      </c>
      <c r="K13" s="86" t="e">
        <f>+#REF!</f>
        <v>#REF!</v>
      </c>
      <c r="L13" s="86" t="e">
        <f>+#REF!</f>
        <v>#REF!</v>
      </c>
      <c r="M13" s="86" t="e">
        <f t="shared" si="0"/>
        <v>#REF!</v>
      </c>
    </row>
    <row r="14" spans="2:13" x14ac:dyDescent="0.35">
      <c r="B14" s="61" t="s">
        <v>79</v>
      </c>
      <c r="C14" s="86" t="e">
        <f>+#REF!</f>
        <v>#REF!</v>
      </c>
      <c r="D14" s="86" t="e">
        <f>+#REF!</f>
        <v>#REF!</v>
      </c>
      <c r="E14" s="86" t="e">
        <f>+#REF!</f>
        <v>#REF!</v>
      </c>
      <c r="F14" s="86" t="e">
        <f>+#REF!</f>
        <v>#REF!</v>
      </c>
      <c r="G14" s="86" t="e">
        <f>+#REF!</f>
        <v>#REF!</v>
      </c>
      <c r="H14" s="86" t="e">
        <f>+#REF!</f>
        <v>#REF!</v>
      </c>
      <c r="I14" s="86" t="e">
        <f>+#REF!</f>
        <v>#REF!</v>
      </c>
      <c r="J14" s="86" t="e">
        <f>+#REF!</f>
        <v>#REF!</v>
      </c>
      <c r="K14" s="86" t="e">
        <f>+#REF!</f>
        <v>#REF!</v>
      </c>
      <c r="L14" s="86" t="e">
        <f>+#REF!</f>
        <v>#REF!</v>
      </c>
      <c r="M14" s="86" t="e">
        <f t="shared" si="0"/>
        <v>#REF!</v>
      </c>
    </row>
    <row r="15" spans="2:13" x14ac:dyDescent="0.35">
      <c r="B15" s="61" t="s">
        <v>80</v>
      </c>
      <c r="C15" s="86" t="e">
        <f>+#REF!</f>
        <v>#REF!</v>
      </c>
      <c r="D15" s="86" t="e">
        <f>+#REF!</f>
        <v>#REF!</v>
      </c>
      <c r="E15" s="86" t="e">
        <f>+#REF!</f>
        <v>#REF!</v>
      </c>
      <c r="F15" s="86" t="e">
        <f>+#REF!</f>
        <v>#REF!</v>
      </c>
      <c r="G15" s="86" t="e">
        <f>+#REF!</f>
        <v>#REF!</v>
      </c>
      <c r="H15" s="86" t="e">
        <f>+#REF!</f>
        <v>#REF!</v>
      </c>
      <c r="I15" s="86" t="e">
        <f>+#REF!</f>
        <v>#REF!</v>
      </c>
      <c r="J15" s="86" t="e">
        <f>+#REF!</f>
        <v>#REF!</v>
      </c>
      <c r="K15" s="86" t="e">
        <f>+#REF!</f>
        <v>#REF!</v>
      </c>
      <c r="L15" s="86" t="e">
        <f>+#REF!</f>
        <v>#REF!</v>
      </c>
      <c r="M15" s="86" t="e">
        <f t="shared" si="0"/>
        <v>#REF!</v>
      </c>
    </row>
    <row r="16" spans="2:13" x14ac:dyDescent="0.35">
      <c r="B16" s="61" t="s">
        <v>41</v>
      </c>
      <c r="C16" s="87" t="e">
        <f t="shared" ref="C16:M16" si="1">SUM(C4:C15)</f>
        <v>#REF!</v>
      </c>
      <c r="D16" s="87" t="e">
        <f t="shared" si="1"/>
        <v>#REF!</v>
      </c>
      <c r="E16" s="87" t="e">
        <f t="shared" si="1"/>
        <v>#REF!</v>
      </c>
      <c r="F16" s="87" t="e">
        <f t="shared" si="1"/>
        <v>#REF!</v>
      </c>
      <c r="G16" s="87" t="e">
        <f t="shared" si="1"/>
        <v>#REF!</v>
      </c>
      <c r="H16" s="87" t="e">
        <f t="shared" si="1"/>
        <v>#REF!</v>
      </c>
      <c r="I16" s="87" t="e">
        <f t="shared" si="1"/>
        <v>#REF!</v>
      </c>
      <c r="J16" s="87" t="e">
        <f t="shared" si="1"/>
        <v>#REF!</v>
      </c>
      <c r="K16" s="87" t="e">
        <f t="shared" si="1"/>
        <v>#REF!</v>
      </c>
      <c r="L16" s="87" t="e">
        <f t="shared" si="1"/>
        <v>#REF!</v>
      </c>
      <c r="M16" s="87" t="e">
        <f t="shared" si="1"/>
        <v>#REF!</v>
      </c>
    </row>
    <row r="17" spans="13:13" x14ac:dyDescent="0.35">
      <c r="M17" s="83" t="e">
        <f>+M16-#REF!</f>
        <v>#REF!</v>
      </c>
    </row>
  </sheetData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5417-E63B-412C-9705-C823278FAC15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88" t="s">
        <v>2</v>
      </c>
      <c r="C2" s="88" t="s">
        <v>82</v>
      </c>
      <c r="D2" s="88" t="s">
        <v>84</v>
      </c>
      <c r="E2" s="88" t="s">
        <v>86</v>
      </c>
      <c r="F2" s="88" t="s">
        <v>88</v>
      </c>
      <c r="G2" s="88" t="s">
        <v>90</v>
      </c>
      <c r="H2" s="88" t="s">
        <v>92</v>
      </c>
      <c r="I2" s="88" t="s">
        <v>94</v>
      </c>
      <c r="J2" s="88" t="s">
        <v>96</v>
      </c>
      <c r="K2" s="88" t="s">
        <v>100</v>
      </c>
      <c r="L2" s="88" t="s">
        <v>102</v>
      </c>
      <c r="M2" s="88" t="s">
        <v>103</v>
      </c>
    </row>
    <row r="3" spans="2:13" ht="38" customHeight="1" x14ac:dyDescent="0.35">
      <c r="B3" s="84" t="s">
        <v>58</v>
      </c>
      <c r="C3" s="89" t="s">
        <v>83</v>
      </c>
      <c r="D3" s="89" t="s">
        <v>85</v>
      </c>
      <c r="E3" s="89" t="s">
        <v>87</v>
      </c>
      <c r="F3" s="89" t="s">
        <v>89</v>
      </c>
      <c r="G3" s="89" t="s">
        <v>91</v>
      </c>
      <c r="H3" s="89" t="s">
        <v>93</v>
      </c>
      <c r="I3" s="89" t="s">
        <v>95</v>
      </c>
      <c r="J3" s="89" t="s">
        <v>97</v>
      </c>
      <c r="K3" s="89" t="s">
        <v>98</v>
      </c>
      <c r="L3" s="89" t="s">
        <v>101</v>
      </c>
      <c r="M3" s="85"/>
    </row>
    <row r="4" spans="2:13" x14ac:dyDescent="0.35">
      <c r="B4" s="61" t="s">
        <v>69</v>
      </c>
      <c r="C4" s="86" t="e">
        <f>+#REF!</f>
        <v>#REF!</v>
      </c>
      <c r="D4" s="86" t="e">
        <f>+#REF!</f>
        <v>#REF!</v>
      </c>
      <c r="E4" s="86" t="e">
        <f>+#REF!</f>
        <v>#REF!</v>
      </c>
      <c r="F4" s="86" t="e">
        <f>+#REF!</f>
        <v>#REF!</v>
      </c>
      <c r="G4" s="86" t="e">
        <f>+#REF!</f>
        <v>#REF!</v>
      </c>
      <c r="H4" s="86" t="e">
        <f>+#REF!</f>
        <v>#REF!</v>
      </c>
      <c r="I4" s="86" t="e">
        <f>+#REF!</f>
        <v>#REF!</v>
      </c>
      <c r="J4" s="86" t="e">
        <f>+#REF!</f>
        <v>#REF!</v>
      </c>
      <c r="K4" s="86" t="e">
        <f>+#REF!</f>
        <v>#REF!</v>
      </c>
      <c r="L4" s="86" t="e">
        <f>+#REF!</f>
        <v>#REF!</v>
      </c>
      <c r="M4" s="86" t="e">
        <f>SUM(C4:L4)</f>
        <v>#REF!</v>
      </c>
    </row>
    <row r="5" spans="2:13" x14ac:dyDescent="0.35">
      <c r="B5" s="61" t="s">
        <v>70</v>
      </c>
      <c r="C5" s="86" t="e">
        <f>+#REF!</f>
        <v>#REF!</v>
      </c>
      <c r="D5" s="86" t="e">
        <f>+#REF!</f>
        <v>#REF!</v>
      </c>
      <c r="E5" s="86" t="e">
        <f>+#REF!</f>
        <v>#REF!</v>
      </c>
      <c r="F5" s="86" t="e">
        <f>+#REF!</f>
        <v>#REF!</v>
      </c>
      <c r="G5" s="86" t="e">
        <f>+#REF!</f>
        <v>#REF!</v>
      </c>
      <c r="H5" s="86" t="e">
        <f>+#REF!</f>
        <v>#REF!</v>
      </c>
      <c r="I5" s="86" t="e">
        <f>+#REF!</f>
        <v>#REF!</v>
      </c>
      <c r="J5" s="86" t="e">
        <f>+#REF!</f>
        <v>#REF!</v>
      </c>
      <c r="K5" s="86" t="e">
        <f>+#REF!</f>
        <v>#REF!</v>
      </c>
      <c r="L5" s="86" t="e">
        <f>+#REF!</f>
        <v>#REF!</v>
      </c>
      <c r="M5" s="86" t="e">
        <f t="shared" ref="M5:M15" si="0">SUM(C5:L5)</f>
        <v>#REF!</v>
      </c>
    </row>
    <row r="6" spans="2:13" x14ac:dyDescent="0.35">
      <c r="B6" s="61" t="s">
        <v>71</v>
      </c>
      <c r="C6" s="86" t="e">
        <f>+#REF!</f>
        <v>#REF!</v>
      </c>
      <c r="D6" s="86" t="e">
        <f>+#REF!</f>
        <v>#REF!</v>
      </c>
      <c r="E6" s="86" t="e">
        <f>+#REF!</f>
        <v>#REF!</v>
      </c>
      <c r="F6" s="86" t="e">
        <f>+#REF!</f>
        <v>#REF!</v>
      </c>
      <c r="G6" s="86" t="e">
        <f>+#REF!</f>
        <v>#REF!</v>
      </c>
      <c r="H6" s="86" t="e">
        <f>+#REF!</f>
        <v>#REF!</v>
      </c>
      <c r="I6" s="86" t="e">
        <f>+#REF!</f>
        <v>#REF!</v>
      </c>
      <c r="J6" s="86" t="e">
        <f>+#REF!</f>
        <v>#REF!</v>
      </c>
      <c r="K6" s="86" t="e">
        <f>+#REF!</f>
        <v>#REF!</v>
      </c>
      <c r="L6" s="86" t="e">
        <f>+#REF!</f>
        <v>#REF!</v>
      </c>
      <c r="M6" s="86" t="e">
        <f t="shared" si="0"/>
        <v>#REF!</v>
      </c>
    </row>
    <row r="7" spans="2:13" x14ac:dyDescent="0.35">
      <c r="B7" s="61" t="s">
        <v>72</v>
      </c>
      <c r="C7" s="86" t="e">
        <f>+#REF!</f>
        <v>#REF!</v>
      </c>
      <c r="D7" s="86" t="e">
        <f>+#REF!</f>
        <v>#REF!</v>
      </c>
      <c r="E7" s="86" t="e">
        <f>+#REF!</f>
        <v>#REF!</v>
      </c>
      <c r="F7" s="86" t="e">
        <f>+#REF!</f>
        <v>#REF!</v>
      </c>
      <c r="G7" s="86" t="e">
        <f>+#REF!</f>
        <v>#REF!</v>
      </c>
      <c r="H7" s="86" t="e">
        <f>+#REF!</f>
        <v>#REF!</v>
      </c>
      <c r="I7" s="86" t="e">
        <f>+#REF!</f>
        <v>#REF!</v>
      </c>
      <c r="J7" s="86" t="e">
        <f>+#REF!</f>
        <v>#REF!</v>
      </c>
      <c r="K7" s="86" t="e">
        <f>+#REF!</f>
        <v>#REF!</v>
      </c>
      <c r="L7" s="86" t="e">
        <f>+#REF!</f>
        <v>#REF!</v>
      </c>
      <c r="M7" s="86" t="e">
        <f t="shared" si="0"/>
        <v>#REF!</v>
      </c>
    </row>
    <row r="8" spans="2:13" x14ac:dyDescent="0.35">
      <c r="B8" s="61" t="s">
        <v>73</v>
      </c>
      <c r="C8" s="86" t="e">
        <f>+#REF!</f>
        <v>#REF!</v>
      </c>
      <c r="D8" s="86" t="e">
        <f>+#REF!</f>
        <v>#REF!</v>
      </c>
      <c r="E8" s="86" t="e">
        <f>+#REF!</f>
        <v>#REF!</v>
      </c>
      <c r="F8" s="86" t="e">
        <f>+#REF!</f>
        <v>#REF!</v>
      </c>
      <c r="G8" s="86" t="e">
        <f>+#REF!</f>
        <v>#REF!</v>
      </c>
      <c r="H8" s="86" t="e">
        <f>+#REF!</f>
        <v>#REF!</v>
      </c>
      <c r="I8" s="86" t="e">
        <f>+#REF!</f>
        <v>#REF!</v>
      </c>
      <c r="J8" s="86" t="e">
        <f>+#REF!</f>
        <v>#REF!</v>
      </c>
      <c r="K8" s="86" t="e">
        <f>+#REF!</f>
        <v>#REF!</v>
      </c>
      <c r="L8" s="86" t="e">
        <f>+#REF!</f>
        <v>#REF!</v>
      </c>
      <c r="M8" s="86" t="e">
        <f t="shared" si="0"/>
        <v>#REF!</v>
      </c>
    </row>
    <row r="9" spans="2:13" x14ac:dyDescent="0.35">
      <c r="B9" s="61" t="s">
        <v>74</v>
      </c>
      <c r="C9" s="86" t="e">
        <f>+#REF!</f>
        <v>#REF!</v>
      </c>
      <c r="D9" s="86" t="e">
        <f>+#REF!</f>
        <v>#REF!</v>
      </c>
      <c r="E9" s="86" t="e">
        <f>+#REF!</f>
        <v>#REF!</v>
      </c>
      <c r="F9" s="86" t="e">
        <f>+#REF!</f>
        <v>#REF!</v>
      </c>
      <c r="G9" s="86" t="e">
        <f>+#REF!</f>
        <v>#REF!</v>
      </c>
      <c r="H9" s="86" t="e">
        <f>+#REF!</f>
        <v>#REF!</v>
      </c>
      <c r="I9" s="86" t="e">
        <f>+#REF!</f>
        <v>#REF!</v>
      </c>
      <c r="J9" s="86" t="e">
        <f>+#REF!</f>
        <v>#REF!</v>
      </c>
      <c r="K9" s="86" t="e">
        <f>+#REF!</f>
        <v>#REF!</v>
      </c>
      <c r="L9" s="86" t="e">
        <f>+#REF!</f>
        <v>#REF!</v>
      </c>
      <c r="M9" s="86" t="e">
        <f t="shared" si="0"/>
        <v>#REF!</v>
      </c>
    </row>
    <row r="10" spans="2:13" x14ac:dyDescent="0.35">
      <c r="B10" s="61" t="s">
        <v>75</v>
      </c>
      <c r="C10" s="86" t="e">
        <f>+#REF!</f>
        <v>#REF!</v>
      </c>
      <c r="D10" s="86" t="e">
        <f>+#REF!</f>
        <v>#REF!</v>
      </c>
      <c r="E10" s="86" t="e">
        <f>+#REF!</f>
        <v>#REF!</v>
      </c>
      <c r="F10" s="86" t="e">
        <f>+#REF!</f>
        <v>#REF!</v>
      </c>
      <c r="G10" s="86" t="e">
        <f>+#REF!</f>
        <v>#REF!</v>
      </c>
      <c r="H10" s="86" t="e">
        <f>+#REF!</f>
        <v>#REF!</v>
      </c>
      <c r="I10" s="86" t="e">
        <f>+#REF!</f>
        <v>#REF!</v>
      </c>
      <c r="J10" s="86" t="e">
        <f>+#REF!</f>
        <v>#REF!</v>
      </c>
      <c r="K10" s="86" t="e">
        <f>+#REF!</f>
        <v>#REF!</v>
      </c>
      <c r="L10" s="86" t="e">
        <f>+#REF!</f>
        <v>#REF!</v>
      </c>
      <c r="M10" s="86" t="e">
        <f t="shared" si="0"/>
        <v>#REF!</v>
      </c>
    </row>
    <row r="11" spans="2:13" x14ac:dyDescent="0.35">
      <c r="B11" s="61" t="s">
        <v>76</v>
      </c>
      <c r="C11" s="86" t="e">
        <f>+#REF!</f>
        <v>#REF!</v>
      </c>
      <c r="D11" s="86" t="e">
        <f>+#REF!</f>
        <v>#REF!</v>
      </c>
      <c r="E11" s="86" t="e">
        <f>+#REF!</f>
        <v>#REF!</v>
      </c>
      <c r="F11" s="86" t="e">
        <f>+#REF!</f>
        <v>#REF!</v>
      </c>
      <c r="G11" s="86" t="e">
        <f>+#REF!</f>
        <v>#REF!</v>
      </c>
      <c r="H11" s="86" t="e">
        <f>+#REF!</f>
        <v>#REF!</v>
      </c>
      <c r="I11" s="86" t="e">
        <f>+#REF!</f>
        <v>#REF!</v>
      </c>
      <c r="J11" s="86" t="e">
        <f>+#REF!</f>
        <v>#REF!</v>
      </c>
      <c r="K11" s="86" t="e">
        <f>+#REF!</f>
        <v>#REF!</v>
      </c>
      <c r="L11" s="86" t="e">
        <f>+#REF!</f>
        <v>#REF!</v>
      </c>
      <c r="M11" s="86" t="e">
        <f t="shared" si="0"/>
        <v>#REF!</v>
      </c>
    </row>
    <row r="12" spans="2:13" x14ac:dyDescent="0.35">
      <c r="B12" s="61" t="s">
        <v>77</v>
      </c>
      <c r="C12" s="86" t="e">
        <f>+#REF!</f>
        <v>#REF!</v>
      </c>
      <c r="D12" s="86" t="e">
        <f>+#REF!</f>
        <v>#REF!</v>
      </c>
      <c r="E12" s="86" t="e">
        <f>+#REF!</f>
        <v>#REF!</v>
      </c>
      <c r="F12" s="86" t="e">
        <f>+#REF!</f>
        <v>#REF!</v>
      </c>
      <c r="G12" s="86" t="e">
        <f>+#REF!</f>
        <v>#REF!</v>
      </c>
      <c r="H12" s="86" t="e">
        <f>+#REF!</f>
        <v>#REF!</v>
      </c>
      <c r="I12" s="86" t="e">
        <f>+#REF!</f>
        <v>#REF!</v>
      </c>
      <c r="J12" s="86" t="e">
        <f>+#REF!</f>
        <v>#REF!</v>
      </c>
      <c r="K12" s="86" t="e">
        <f>+#REF!</f>
        <v>#REF!</v>
      </c>
      <c r="L12" s="86" t="e">
        <f>+#REF!</f>
        <v>#REF!</v>
      </c>
      <c r="M12" s="86" t="e">
        <f t="shared" si="0"/>
        <v>#REF!</v>
      </c>
    </row>
    <row r="13" spans="2:13" x14ac:dyDescent="0.35">
      <c r="B13" s="61" t="s">
        <v>78</v>
      </c>
      <c r="C13" s="86" t="e">
        <f>+#REF!</f>
        <v>#REF!</v>
      </c>
      <c r="D13" s="86" t="e">
        <f>+#REF!</f>
        <v>#REF!</v>
      </c>
      <c r="E13" s="86" t="e">
        <f>+#REF!</f>
        <v>#REF!</v>
      </c>
      <c r="F13" s="86" t="e">
        <f>+#REF!</f>
        <v>#REF!</v>
      </c>
      <c r="G13" s="86" t="e">
        <f>+#REF!</f>
        <v>#REF!</v>
      </c>
      <c r="H13" s="86" t="e">
        <f>+#REF!</f>
        <v>#REF!</v>
      </c>
      <c r="I13" s="86" t="e">
        <f>+#REF!</f>
        <v>#REF!</v>
      </c>
      <c r="J13" s="86" t="e">
        <f>+#REF!</f>
        <v>#REF!</v>
      </c>
      <c r="K13" s="86" t="e">
        <f>+#REF!</f>
        <v>#REF!</v>
      </c>
      <c r="L13" s="86" t="e">
        <f>+#REF!</f>
        <v>#REF!</v>
      </c>
      <c r="M13" s="86" t="e">
        <f t="shared" si="0"/>
        <v>#REF!</v>
      </c>
    </row>
    <row r="14" spans="2:13" x14ac:dyDescent="0.35">
      <c r="B14" s="61" t="s">
        <v>79</v>
      </c>
      <c r="C14" s="86" t="e">
        <f>+#REF!</f>
        <v>#REF!</v>
      </c>
      <c r="D14" s="86" t="e">
        <f>+#REF!</f>
        <v>#REF!</v>
      </c>
      <c r="E14" s="86" t="e">
        <f>+#REF!</f>
        <v>#REF!</v>
      </c>
      <c r="F14" s="86" t="e">
        <f>+#REF!</f>
        <v>#REF!</v>
      </c>
      <c r="G14" s="86" t="e">
        <f>+#REF!</f>
        <v>#REF!</v>
      </c>
      <c r="H14" s="86" t="e">
        <f>+#REF!</f>
        <v>#REF!</v>
      </c>
      <c r="I14" s="86" t="e">
        <f>+#REF!</f>
        <v>#REF!</v>
      </c>
      <c r="J14" s="86" t="e">
        <f>+#REF!</f>
        <v>#REF!</v>
      </c>
      <c r="K14" s="86" t="e">
        <f>+#REF!</f>
        <v>#REF!</v>
      </c>
      <c r="L14" s="86" t="e">
        <f>+#REF!</f>
        <v>#REF!</v>
      </c>
      <c r="M14" s="86" t="e">
        <f t="shared" si="0"/>
        <v>#REF!</v>
      </c>
    </row>
    <row r="15" spans="2:13" x14ac:dyDescent="0.35">
      <c r="B15" s="61" t="s">
        <v>80</v>
      </c>
      <c r="C15" s="86" t="e">
        <f>+#REF!</f>
        <v>#REF!</v>
      </c>
      <c r="D15" s="86" t="e">
        <f>+#REF!</f>
        <v>#REF!</v>
      </c>
      <c r="E15" s="86" t="e">
        <f>+#REF!</f>
        <v>#REF!</v>
      </c>
      <c r="F15" s="86" t="e">
        <f>+#REF!</f>
        <v>#REF!</v>
      </c>
      <c r="G15" s="86" t="e">
        <f>+#REF!</f>
        <v>#REF!</v>
      </c>
      <c r="H15" s="86" t="e">
        <f>+#REF!</f>
        <v>#REF!</v>
      </c>
      <c r="I15" s="86" t="e">
        <f>+#REF!</f>
        <v>#REF!</v>
      </c>
      <c r="J15" s="86" t="e">
        <f>+#REF!</f>
        <v>#REF!</v>
      </c>
      <c r="K15" s="86" t="e">
        <f>+#REF!</f>
        <v>#REF!</v>
      </c>
      <c r="L15" s="86" t="e">
        <f>+#REF!</f>
        <v>#REF!</v>
      </c>
      <c r="M15" s="86" t="e">
        <f t="shared" si="0"/>
        <v>#REF!</v>
      </c>
    </row>
    <row r="16" spans="2:13" x14ac:dyDescent="0.35">
      <c r="B16" s="61" t="s">
        <v>41</v>
      </c>
      <c r="C16" s="87" t="e">
        <f t="shared" ref="C16:M16" si="1">SUM(C4:C15)</f>
        <v>#REF!</v>
      </c>
      <c r="D16" s="87" t="e">
        <f t="shared" si="1"/>
        <v>#REF!</v>
      </c>
      <c r="E16" s="87" t="e">
        <f t="shared" si="1"/>
        <v>#REF!</v>
      </c>
      <c r="F16" s="87" t="e">
        <f t="shared" si="1"/>
        <v>#REF!</v>
      </c>
      <c r="G16" s="87" t="e">
        <f t="shared" si="1"/>
        <v>#REF!</v>
      </c>
      <c r="H16" s="87" t="e">
        <f t="shared" si="1"/>
        <v>#REF!</v>
      </c>
      <c r="I16" s="87" t="e">
        <f t="shared" si="1"/>
        <v>#REF!</v>
      </c>
      <c r="J16" s="87" t="e">
        <f t="shared" si="1"/>
        <v>#REF!</v>
      </c>
      <c r="K16" s="87" t="e">
        <f t="shared" si="1"/>
        <v>#REF!</v>
      </c>
      <c r="L16" s="87" t="e">
        <f t="shared" si="1"/>
        <v>#REF!</v>
      </c>
      <c r="M16" s="87" t="e">
        <f t="shared" si="1"/>
        <v>#REF!</v>
      </c>
    </row>
    <row r="17" spans="13:13" x14ac:dyDescent="0.35">
      <c r="M17" s="83" t="e">
        <f>+M16-#REF!</f>
        <v>#REF!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B27B-EAEE-4198-B756-30AC793CDC9A}">
  <sheetPr>
    <tabColor theme="3" tint="0.39997558519241921"/>
  </sheetPr>
  <dimension ref="B2:AX59"/>
  <sheetViews>
    <sheetView showGridLines="0" zoomScale="60" zoomScaleNormal="60" workbookViewId="0">
      <pane xSplit="4" ySplit="10" topLeftCell="E11" activePane="bottomRight" state="frozen"/>
      <selection activeCell="B27" sqref="B27"/>
      <selection pane="topRight" activeCell="B27" sqref="B27"/>
      <selection pane="bottomLeft" activeCell="B27" sqref="B27"/>
      <selection pane="bottomRight" activeCell="B4" sqref="B4:AC4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73" t="s">
        <v>137</v>
      </c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</row>
    <row r="5" spans="2:50" ht="28.5" customHeight="1" x14ac:dyDescent="0.35">
      <c r="B5" s="275" t="s">
        <v>0</v>
      </c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</row>
    <row r="6" spans="2:50" ht="18.649999999999999" customHeight="1" x14ac:dyDescent="0.35">
      <c r="B6" s="276" t="s">
        <v>132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</row>
    <row r="7" spans="2:50" ht="18.649999999999999" customHeight="1" x14ac:dyDescent="0.35">
      <c r="B7" s="278" t="s">
        <v>1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</row>
    <row r="8" spans="2:50" ht="18.649999999999999" customHeight="1" x14ac:dyDescent="0.35"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60">
        <v>46023</v>
      </c>
      <c r="C11" s="7" t="s">
        <v>29</v>
      </c>
      <c r="D11" s="117">
        <f>+'[7]2026'!D15</f>
        <v>20</v>
      </c>
      <c r="E11" s="112">
        <f>ROUND('[7]2026'!E15,2)</f>
        <v>8287.17</v>
      </c>
      <c r="F11" s="112">
        <f>ROUND('[7]2026'!F15,2)</f>
        <v>7838.02</v>
      </c>
      <c r="G11" s="112">
        <f>ROUND('[7]2026'!G15,2)</f>
        <v>7513.37</v>
      </c>
      <c r="H11" s="112">
        <f>ROUND('[7]2026'!H15,2)</f>
        <v>7286.39</v>
      </c>
      <c r="I11" s="112">
        <f>ROUND('[7]2026'!I15,2)</f>
        <v>7232.59</v>
      </c>
      <c r="J11" s="112">
        <f>ROUND('[7]2026'!J15,2)</f>
        <v>7409.15</v>
      </c>
      <c r="K11" s="112">
        <f>ROUND('[7]2026'!K15,2)</f>
        <v>7353.98</v>
      </c>
      <c r="L11" s="112">
        <f>ROUND('[7]2026'!L15,2)</f>
        <v>8223.58</v>
      </c>
      <c r="M11" s="112">
        <f>ROUND('[7]2026'!M15,2)</f>
        <v>9159.31</v>
      </c>
      <c r="N11" s="112">
        <f>ROUND('[7]2026'!N15,2)</f>
        <v>9701.19</v>
      </c>
      <c r="O11" s="112">
        <f>ROUND('[7]2026'!O15,2)</f>
        <v>10260.200000000001</v>
      </c>
      <c r="P11" s="112">
        <f>ROUND('[7]2026'!P15,2)</f>
        <v>10657.74</v>
      </c>
      <c r="Q11" s="112">
        <f>ROUND('[7]2026'!Q15,2)</f>
        <v>10361.6</v>
      </c>
      <c r="R11" s="112">
        <f>ROUND('[7]2026'!R15,2)</f>
        <v>10652.29</v>
      </c>
      <c r="S11" s="112">
        <f>ROUND('[7]2026'!S15,2)</f>
        <v>11137.09</v>
      </c>
      <c r="T11" s="112">
        <f>ROUND('[7]2026'!T15,2)</f>
        <v>11183.07</v>
      </c>
      <c r="U11" s="112">
        <f>ROUND('[7]2026'!U15,2)</f>
        <v>10951.58</v>
      </c>
      <c r="V11" s="112">
        <f>ROUND('[7]2026'!V15,2)</f>
        <v>10511.49</v>
      </c>
      <c r="W11" s="112">
        <f>ROUND('[7]2026'!W15,2)</f>
        <v>11135.47</v>
      </c>
      <c r="X11" s="112">
        <f>ROUND('[7]2026'!X15,2)</f>
        <v>11169.62</v>
      </c>
      <c r="Y11" s="112">
        <f>ROUND('[7]2026'!Y15,2)</f>
        <v>10905.64</v>
      </c>
      <c r="Z11" s="112">
        <f>ROUND('[7]2026'!Z15,2)</f>
        <v>10484.34</v>
      </c>
      <c r="AA11" s="112">
        <f>ROUND('[7]2026'!AA15,2)</f>
        <v>9789.68</v>
      </c>
      <c r="AB11" s="112">
        <f>ROUND('[7]2026'!AB15,2)</f>
        <v>9009.7099999999991</v>
      </c>
      <c r="AC11" s="271">
        <f>SUM(E11:AB11)*D11+SUM(E12:AB12)*D12+SUM(E13:AB13)*D13+SUM(E14:AB14)*D14</f>
        <v>6885008.3999999994</v>
      </c>
      <c r="AD11" s="19"/>
      <c r="AE11" s="111">
        <f>+AC11</f>
        <v>6885008.3999999994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61"/>
      <c r="C12" s="10" t="s">
        <v>30</v>
      </c>
      <c r="D12" s="118">
        <f>+'[7]2026'!D16</f>
        <v>5</v>
      </c>
      <c r="E12" s="113">
        <f>ROUND('[7]2026'!E16,2)</f>
        <v>8349.6200000000008</v>
      </c>
      <c r="F12" s="113">
        <f>ROUND('[7]2026'!F16,2)</f>
        <v>7906.29</v>
      </c>
      <c r="G12" s="113">
        <f>ROUND('[7]2026'!G16,2)</f>
        <v>7577.83</v>
      </c>
      <c r="H12" s="113">
        <f>ROUND('[7]2026'!H16,2)</f>
        <v>7318.69</v>
      </c>
      <c r="I12" s="113">
        <f>ROUND('[7]2026'!I16,2)</f>
        <v>7250.75</v>
      </c>
      <c r="J12" s="113">
        <f>ROUND('[7]2026'!J16,2)</f>
        <v>7282.55</v>
      </c>
      <c r="K12" s="113">
        <f>ROUND('[7]2026'!K16,2)</f>
        <v>7094.36</v>
      </c>
      <c r="L12" s="113">
        <f>ROUND('[7]2026'!L16,2)</f>
        <v>7769.62</v>
      </c>
      <c r="M12" s="113">
        <f>ROUND('[7]2026'!M16,2)</f>
        <v>8661.4699999999993</v>
      </c>
      <c r="N12" s="113">
        <f>ROUND('[7]2026'!N16,2)</f>
        <v>9251.68</v>
      </c>
      <c r="O12" s="113">
        <f>ROUND('[7]2026'!O16,2)</f>
        <v>9737.6299999999992</v>
      </c>
      <c r="P12" s="113">
        <f>ROUND('[7]2026'!P16,2)</f>
        <v>10042.23</v>
      </c>
      <c r="Q12" s="113">
        <f>ROUND('[7]2026'!Q16,2)</f>
        <v>9899.9</v>
      </c>
      <c r="R12" s="113">
        <f>ROUND('[7]2026'!R16,2)</f>
        <v>9800.1</v>
      </c>
      <c r="S12" s="113">
        <f>ROUND('[7]2026'!S16,2)</f>
        <v>9855.92</v>
      </c>
      <c r="T12" s="113">
        <f>ROUND('[7]2026'!T16,2)</f>
        <v>9852.7800000000007</v>
      </c>
      <c r="U12" s="113">
        <f>ROUND('[7]2026'!U16,2)</f>
        <v>9707.3799999999992</v>
      </c>
      <c r="V12" s="113">
        <f>ROUND('[7]2026'!V16,2)</f>
        <v>9633.14</v>
      </c>
      <c r="W12" s="113">
        <f>ROUND('[7]2026'!W16,2)</f>
        <v>10623.23</v>
      </c>
      <c r="X12" s="113">
        <f>ROUND('[7]2026'!X16,2)</f>
        <v>10729.59</v>
      </c>
      <c r="Y12" s="113">
        <f>ROUND('[7]2026'!Y16,2)</f>
        <v>10433.030000000001</v>
      </c>
      <c r="Z12" s="113">
        <f>ROUND('[7]2026'!Z16,2)</f>
        <v>10063.709999999999</v>
      </c>
      <c r="AA12" s="113">
        <f>ROUND('[7]2026'!AA16,2)</f>
        <v>9562.1</v>
      </c>
      <c r="AB12" s="113">
        <f>ROUND('[7]2026'!AB16,2)</f>
        <v>8976.36</v>
      </c>
      <c r="AC12" s="272"/>
      <c r="AD12" s="19"/>
      <c r="AE12" s="111">
        <f>+AC15</f>
        <v>6445364.1599999983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61"/>
      <c r="C13" s="10" t="s">
        <v>31</v>
      </c>
      <c r="D13" s="118">
        <f>+'[7]2026'!D17</f>
        <v>4</v>
      </c>
      <c r="E13" s="113">
        <f>ROUND('[7]2026'!E17,2)</f>
        <v>8442.66</v>
      </c>
      <c r="F13" s="113">
        <f>ROUND('[7]2026'!F17,2)</f>
        <v>8015.14</v>
      </c>
      <c r="G13" s="113">
        <f>ROUND('[7]2026'!G17,2)</f>
        <v>7668.43</v>
      </c>
      <c r="H13" s="113">
        <f>ROUND('[7]2026'!H17,2)</f>
        <v>7391.33</v>
      </c>
      <c r="I13" s="113">
        <f>ROUND('[7]2026'!I17,2)</f>
        <v>7250.46</v>
      </c>
      <c r="J13" s="113">
        <f>ROUND('[7]2026'!J17,2)</f>
        <v>7180.99</v>
      </c>
      <c r="K13" s="113">
        <f>ROUND('[7]2026'!K17,2)</f>
        <v>6810.69</v>
      </c>
      <c r="L13" s="113">
        <f>ROUND('[7]2026'!L17,2)</f>
        <v>7115.07</v>
      </c>
      <c r="M13" s="113">
        <f>ROUND('[7]2026'!M17,2)</f>
        <v>7623.48</v>
      </c>
      <c r="N13" s="113">
        <f>ROUND('[7]2026'!N17,2)</f>
        <v>8141.57</v>
      </c>
      <c r="O13" s="113">
        <f>ROUND('[7]2026'!O17,2)</f>
        <v>8460.2000000000007</v>
      </c>
      <c r="P13" s="113">
        <f>ROUND('[7]2026'!P17,2)</f>
        <v>8743.93</v>
      </c>
      <c r="Q13" s="113">
        <f>ROUND('[7]2026'!Q17,2)</f>
        <v>8912.86</v>
      </c>
      <c r="R13" s="113">
        <f>ROUND('[7]2026'!R17,2)</f>
        <v>8950.9500000000007</v>
      </c>
      <c r="S13" s="113">
        <f>ROUND('[7]2026'!S17,2)</f>
        <v>8975.77</v>
      </c>
      <c r="T13" s="113">
        <f>ROUND('[7]2026'!T17,2)</f>
        <v>8990.69</v>
      </c>
      <c r="U13" s="113">
        <f>ROUND('[7]2026'!U17,2)</f>
        <v>8938.0499999999993</v>
      </c>
      <c r="V13" s="113">
        <f>ROUND('[7]2026'!V17,2)</f>
        <v>8947.17</v>
      </c>
      <c r="W13" s="113">
        <f>ROUND('[7]2026'!W17,2)</f>
        <v>10030.799999999999</v>
      </c>
      <c r="X13" s="113">
        <f>ROUND('[7]2026'!X17,2)</f>
        <v>10358.379999999999</v>
      </c>
      <c r="Y13" s="113">
        <f>ROUND('[7]2026'!Y17,2)</f>
        <v>10320.780000000001</v>
      </c>
      <c r="Z13" s="113">
        <f>ROUND('[7]2026'!Z17,2)</f>
        <v>10035.6</v>
      </c>
      <c r="AA13" s="113">
        <f>ROUND('[7]2026'!AA17,2)</f>
        <v>9496.11</v>
      </c>
      <c r="AB13" s="113">
        <f>ROUND('[7]2026'!AB17,2)</f>
        <v>8836.09</v>
      </c>
      <c r="AC13" s="272"/>
      <c r="AD13" s="19"/>
      <c r="AE13" s="111">
        <f>+AC19</f>
        <v>7112245.3400000008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61"/>
      <c r="C14" s="16" t="s">
        <v>32</v>
      </c>
      <c r="D14" s="119">
        <f>+'[7]2026'!D18</f>
        <v>2</v>
      </c>
      <c r="E14" s="114">
        <f>ROUND('[7]2026'!E18,2)</f>
        <v>8442.66</v>
      </c>
      <c r="F14" s="114">
        <f>ROUND('[7]2026'!F18,2)</f>
        <v>8015.14</v>
      </c>
      <c r="G14" s="114">
        <f>ROUND('[7]2026'!G18,2)</f>
        <v>7668.43</v>
      </c>
      <c r="H14" s="114">
        <f>ROUND('[7]2026'!H18,2)</f>
        <v>7391.33</v>
      </c>
      <c r="I14" s="114">
        <f>ROUND('[7]2026'!I18,2)</f>
        <v>7250.46</v>
      </c>
      <c r="J14" s="114">
        <f>ROUND('[7]2026'!J18,2)</f>
        <v>7180.99</v>
      </c>
      <c r="K14" s="114">
        <f>ROUND('[7]2026'!K18,2)</f>
        <v>6810.69</v>
      </c>
      <c r="L14" s="114">
        <f>ROUND('[7]2026'!L18,2)</f>
        <v>7115.07</v>
      </c>
      <c r="M14" s="114">
        <f>ROUND('[7]2026'!M18,2)</f>
        <v>7623.48</v>
      </c>
      <c r="N14" s="114">
        <f>ROUND('[7]2026'!N18,2)</f>
        <v>8141.57</v>
      </c>
      <c r="O14" s="114">
        <f>ROUND('[7]2026'!O18,2)</f>
        <v>8460.2000000000007</v>
      </c>
      <c r="P14" s="114">
        <f>ROUND('[7]2026'!P18,2)</f>
        <v>8743.93</v>
      </c>
      <c r="Q14" s="114">
        <f>ROUND('[7]2026'!Q18,2)</f>
        <v>8912.86</v>
      </c>
      <c r="R14" s="114">
        <f>ROUND('[7]2026'!R18,2)</f>
        <v>8950.9500000000007</v>
      </c>
      <c r="S14" s="114">
        <f>ROUND('[7]2026'!S18,2)</f>
        <v>8975.77</v>
      </c>
      <c r="T14" s="114">
        <f>ROUND('[7]2026'!T18,2)</f>
        <v>8990.69</v>
      </c>
      <c r="U14" s="114">
        <f>ROUND('[7]2026'!U18,2)</f>
        <v>8938.0499999999993</v>
      </c>
      <c r="V14" s="114">
        <f>ROUND('[7]2026'!V18,2)</f>
        <v>8947.17</v>
      </c>
      <c r="W14" s="114">
        <f>ROUND('[7]2026'!W18,2)</f>
        <v>10030.799999999999</v>
      </c>
      <c r="X14" s="114">
        <f>ROUND('[7]2026'!X18,2)</f>
        <v>10358.379999999999</v>
      </c>
      <c r="Y14" s="114">
        <f>ROUND('[7]2026'!Y18,2)</f>
        <v>10320.780000000001</v>
      </c>
      <c r="Z14" s="114">
        <f>ROUND('[7]2026'!Z18,2)</f>
        <v>10035.6</v>
      </c>
      <c r="AA14" s="114">
        <f>ROUND('[7]2026'!AA18,2)</f>
        <v>9496.11</v>
      </c>
      <c r="AB14" s="114">
        <f>ROUND('[7]2026'!AB18,2)</f>
        <v>8836.09</v>
      </c>
      <c r="AC14" s="272"/>
      <c r="AD14" s="19"/>
      <c r="AE14" s="111">
        <f>+AC23</f>
        <v>6718171.6599999992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63">
        <v>46054</v>
      </c>
      <c r="C15" s="7" t="s">
        <v>29</v>
      </c>
      <c r="D15" s="117">
        <f>+'[7]2026'!D19</f>
        <v>20</v>
      </c>
      <c r="E15" s="112">
        <f>ROUND('[7]2026'!E19,2)</f>
        <v>8510.66</v>
      </c>
      <c r="F15" s="112">
        <f>ROUND('[7]2026'!F19,2)</f>
        <v>8061.56</v>
      </c>
      <c r="G15" s="112">
        <f>ROUND('[7]2026'!G19,2)</f>
        <v>7740.78</v>
      </c>
      <c r="H15" s="112">
        <f>ROUND('[7]2026'!H19,2)</f>
        <v>7530.79</v>
      </c>
      <c r="I15" s="112">
        <f>ROUND('[7]2026'!I19,2)</f>
        <v>7546.21</v>
      </c>
      <c r="J15" s="112">
        <f>ROUND('[7]2026'!J19,2)</f>
        <v>7965.35</v>
      </c>
      <c r="K15" s="112">
        <f>ROUND('[7]2026'!K19,2)</f>
        <v>7944.07</v>
      </c>
      <c r="L15" s="112">
        <f>ROUND('[7]2026'!L19,2)</f>
        <v>8764.18</v>
      </c>
      <c r="M15" s="112">
        <f>ROUND('[7]2026'!M19,2)</f>
        <v>9591.14</v>
      </c>
      <c r="N15" s="112">
        <f>ROUND('[7]2026'!N19,2)</f>
        <v>9997.23</v>
      </c>
      <c r="O15" s="112">
        <f>ROUND('[7]2026'!O19,2)</f>
        <v>10482.379999999999</v>
      </c>
      <c r="P15" s="112">
        <f>ROUND('[7]2026'!P19,2)</f>
        <v>10807.87</v>
      </c>
      <c r="Q15" s="112">
        <f>ROUND('[7]2026'!Q19,2)</f>
        <v>10401.11</v>
      </c>
      <c r="R15" s="112">
        <f>ROUND('[7]2026'!R19,2)</f>
        <v>10772.06</v>
      </c>
      <c r="S15" s="112">
        <f>ROUND('[7]2026'!S19,2)</f>
        <v>11317.26</v>
      </c>
      <c r="T15" s="112">
        <f>ROUND('[7]2026'!T19,2)</f>
        <v>11387.32</v>
      </c>
      <c r="U15" s="112">
        <f>ROUND('[7]2026'!U19,2)</f>
        <v>11187.89</v>
      </c>
      <c r="V15" s="112">
        <f>ROUND('[7]2026'!V19,2)</f>
        <v>10711.43</v>
      </c>
      <c r="W15" s="112">
        <f>ROUND('[7]2026'!W19,2)</f>
        <v>11280.77</v>
      </c>
      <c r="X15" s="112">
        <f>ROUND('[7]2026'!X19,2)</f>
        <v>11463.35</v>
      </c>
      <c r="Y15" s="112">
        <f>ROUND('[7]2026'!Y19,2)</f>
        <v>11236.37</v>
      </c>
      <c r="Z15" s="112">
        <f>ROUND('[7]2026'!Z19,2)</f>
        <v>10747.05</v>
      </c>
      <c r="AA15" s="112">
        <f>ROUND('[7]2026'!AA19,2)</f>
        <v>9949.52</v>
      </c>
      <c r="AB15" s="112">
        <f>ROUND('[7]2026'!AB19,2)</f>
        <v>9147.5300000000007</v>
      </c>
      <c r="AC15" s="266">
        <f>SUM(E15:AB15)*D15+SUM(E16:AB16)*D16+SUM(E17:AB17)*D17+SUM(E18:AB18)*D18</f>
        <v>6445364.1599999983</v>
      </c>
      <c r="AD15" s="19"/>
      <c r="AE15" s="111">
        <f>+AC27</f>
        <v>6807710.8300000001</v>
      </c>
    </row>
    <row r="16" spans="2:50" ht="18.649999999999999" customHeight="1" x14ac:dyDescent="0.35">
      <c r="B16" s="264" t="s">
        <v>34</v>
      </c>
      <c r="C16" s="10" t="s">
        <v>30</v>
      </c>
      <c r="D16" s="118">
        <f>+'[7]2026'!D20</f>
        <v>4</v>
      </c>
      <c r="E16" s="113">
        <f>ROUND('[7]2026'!E20,2)</f>
        <v>8537.81</v>
      </c>
      <c r="F16" s="113">
        <f>ROUND('[7]2026'!F20,2)</f>
        <v>8122.09</v>
      </c>
      <c r="G16" s="113">
        <f>ROUND('[7]2026'!G20,2)</f>
        <v>7760.77</v>
      </c>
      <c r="H16" s="113">
        <f>ROUND('[7]2026'!H20,2)</f>
        <v>7515.68</v>
      </c>
      <c r="I16" s="113">
        <f>ROUND('[7]2026'!I20,2)</f>
        <v>7422.1</v>
      </c>
      <c r="J16" s="113">
        <f>ROUND('[7]2026'!J20,2)</f>
        <v>7496.37</v>
      </c>
      <c r="K16" s="113">
        <f>ROUND('[7]2026'!K20,2)</f>
        <v>7420.79</v>
      </c>
      <c r="L16" s="113">
        <f>ROUND('[7]2026'!L20,2)</f>
        <v>8158.27</v>
      </c>
      <c r="M16" s="113">
        <f>ROUND('[7]2026'!M20,2)</f>
        <v>9044.9599999999991</v>
      </c>
      <c r="N16" s="113">
        <f>ROUND('[7]2026'!N20,2)</f>
        <v>9601.8799999999992</v>
      </c>
      <c r="O16" s="113">
        <f>ROUND('[7]2026'!O20,2)</f>
        <v>10057.23</v>
      </c>
      <c r="P16" s="113">
        <f>ROUND('[7]2026'!P20,2)</f>
        <v>10358.83</v>
      </c>
      <c r="Q16" s="113">
        <f>ROUND('[7]2026'!Q20,2)</f>
        <v>10178.14</v>
      </c>
      <c r="R16" s="113">
        <f>ROUND('[7]2026'!R20,2)</f>
        <v>10059.4</v>
      </c>
      <c r="S16" s="113">
        <f>ROUND('[7]2026'!S20,2)</f>
        <v>10112.219999999999</v>
      </c>
      <c r="T16" s="113">
        <f>ROUND('[7]2026'!T20,2)</f>
        <v>10110.950000000001</v>
      </c>
      <c r="U16" s="113">
        <f>ROUND('[7]2026'!U20,2)</f>
        <v>9957.44</v>
      </c>
      <c r="V16" s="113">
        <f>ROUND('[7]2026'!V20,2)</f>
        <v>9888.09</v>
      </c>
      <c r="W16" s="113">
        <f>ROUND('[7]2026'!W20,2)</f>
        <v>10830.94</v>
      </c>
      <c r="X16" s="113">
        <f>ROUND('[7]2026'!X20,2)</f>
        <v>11051.05</v>
      </c>
      <c r="Y16" s="113">
        <f>ROUND('[7]2026'!Y20,2)</f>
        <v>10763.9</v>
      </c>
      <c r="Z16" s="113">
        <f>ROUND('[7]2026'!Z20,2)</f>
        <v>10376.07</v>
      </c>
      <c r="AA16" s="113">
        <f>ROUND('[7]2026'!AA20,2)</f>
        <v>9848.9599999999991</v>
      </c>
      <c r="AB16" s="113">
        <f>ROUND('[7]2026'!AB20,2)</f>
        <v>9228.99</v>
      </c>
      <c r="AC16" s="262"/>
      <c r="AD16" s="19"/>
      <c r="AE16" s="111">
        <f>+AC31</f>
        <v>6344130.4600000009</v>
      </c>
    </row>
    <row r="17" spans="2:31" ht="18.649999999999999" customHeight="1" x14ac:dyDescent="0.35">
      <c r="B17" s="264" t="s">
        <v>34</v>
      </c>
      <c r="C17" s="10" t="s">
        <v>31</v>
      </c>
      <c r="D17" s="118">
        <f>+'[7]2026'!D21</f>
        <v>4</v>
      </c>
      <c r="E17" s="113">
        <f>ROUND('[7]2026'!E21,2)</f>
        <v>8670.52</v>
      </c>
      <c r="F17" s="113">
        <f>ROUND('[7]2026'!F21,2)</f>
        <v>8226.59</v>
      </c>
      <c r="G17" s="113">
        <f>ROUND('[7]2026'!G21,2)</f>
        <v>7883.16</v>
      </c>
      <c r="H17" s="113">
        <f>ROUND('[7]2026'!H21,2)</f>
        <v>7631.24</v>
      </c>
      <c r="I17" s="113">
        <f>ROUND('[7]2026'!I21,2)</f>
        <v>7471.68</v>
      </c>
      <c r="J17" s="113">
        <f>ROUND('[7]2026'!J21,2)</f>
        <v>7438.16</v>
      </c>
      <c r="K17" s="113">
        <f>ROUND('[7]2026'!K21,2)</f>
        <v>7110.37</v>
      </c>
      <c r="L17" s="113">
        <f>ROUND('[7]2026'!L21,2)</f>
        <v>7428.07</v>
      </c>
      <c r="M17" s="113">
        <f>ROUND('[7]2026'!M21,2)</f>
        <v>7948.27</v>
      </c>
      <c r="N17" s="113">
        <f>ROUND('[7]2026'!N21,2)</f>
        <v>8420.66</v>
      </c>
      <c r="O17" s="113">
        <f>ROUND('[7]2026'!O21,2)</f>
        <v>8765.17</v>
      </c>
      <c r="P17" s="113">
        <f>ROUND('[7]2026'!P21,2)</f>
        <v>9115.5499999999993</v>
      </c>
      <c r="Q17" s="113">
        <f>ROUND('[7]2026'!Q21,2)</f>
        <v>9316.51</v>
      </c>
      <c r="R17" s="113">
        <f>ROUND('[7]2026'!R21,2)</f>
        <v>9378.09</v>
      </c>
      <c r="S17" s="113">
        <f>ROUND('[7]2026'!S21,2)</f>
        <v>9433.82</v>
      </c>
      <c r="T17" s="113">
        <f>ROUND('[7]2026'!T21,2)</f>
        <v>9476.92</v>
      </c>
      <c r="U17" s="113">
        <f>ROUND('[7]2026'!U21,2)</f>
        <v>9414.75</v>
      </c>
      <c r="V17" s="113">
        <f>ROUND('[7]2026'!V21,2)</f>
        <v>9392.7000000000007</v>
      </c>
      <c r="W17" s="113">
        <f>ROUND('[7]2026'!W21,2)</f>
        <v>10443.5</v>
      </c>
      <c r="X17" s="113">
        <f>ROUND('[7]2026'!X21,2)</f>
        <v>10913.92</v>
      </c>
      <c r="Y17" s="113">
        <f>ROUND('[7]2026'!Y21,2)</f>
        <v>10921.99</v>
      </c>
      <c r="Z17" s="113">
        <f>ROUND('[7]2026'!Z21,2)</f>
        <v>10651.09</v>
      </c>
      <c r="AA17" s="113">
        <f>ROUND('[7]2026'!AA21,2)</f>
        <v>10013.81</v>
      </c>
      <c r="AB17" s="113">
        <f>ROUND('[7]2026'!AB21,2)</f>
        <v>9252.17</v>
      </c>
      <c r="AC17" s="262"/>
      <c r="AD17" s="19"/>
      <c r="AE17" s="111">
        <f>+AC35</f>
        <v>6880357.3500000006</v>
      </c>
    </row>
    <row r="18" spans="2:31" ht="18.649999999999999" customHeight="1" thickBot="1" x14ac:dyDescent="0.4">
      <c r="B18" s="265" t="s">
        <v>34</v>
      </c>
      <c r="C18" s="12" t="s">
        <v>32</v>
      </c>
      <c r="D18" s="120">
        <f>+'[7]2026'!D22</f>
        <v>0</v>
      </c>
      <c r="E18" s="115">
        <f>ROUND('[7]2026'!E22,2)</f>
        <v>0</v>
      </c>
      <c r="F18" s="115">
        <f>ROUND('[7]2026'!F22,2)</f>
        <v>0</v>
      </c>
      <c r="G18" s="115">
        <f>ROUND('[7]2026'!G22,2)</f>
        <v>0</v>
      </c>
      <c r="H18" s="115">
        <f>ROUND('[7]2026'!H22,2)</f>
        <v>0</v>
      </c>
      <c r="I18" s="115">
        <f>ROUND('[7]2026'!I22,2)</f>
        <v>0</v>
      </c>
      <c r="J18" s="115">
        <f>ROUND('[7]2026'!J22,2)</f>
        <v>0</v>
      </c>
      <c r="K18" s="115">
        <f>ROUND('[7]2026'!K22,2)</f>
        <v>0</v>
      </c>
      <c r="L18" s="115">
        <f>ROUND('[7]2026'!L22,2)</f>
        <v>0</v>
      </c>
      <c r="M18" s="115">
        <f>ROUND('[7]2026'!M22,2)</f>
        <v>0</v>
      </c>
      <c r="N18" s="115">
        <f>ROUND('[7]2026'!N22,2)</f>
        <v>0</v>
      </c>
      <c r="O18" s="115">
        <f>ROUND('[7]2026'!O22,2)</f>
        <v>0</v>
      </c>
      <c r="P18" s="115">
        <f>ROUND('[7]2026'!P22,2)</f>
        <v>0</v>
      </c>
      <c r="Q18" s="115">
        <f>ROUND('[7]2026'!Q22,2)</f>
        <v>0</v>
      </c>
      <c r="R18" s="115">
        <f>ROUND('[7]2026'!R22,2)</f>
        <v>0</v>
      </c>
      <c r="S18" s="115">
        <f>ROUND('[7]2026'!S22,2)</f>
        <v>0</v>
      </c>
      <c r="T18" s="115">
        <f>ROUND('[7]2026'!T22,2)</f>
        <v>0</v>
      </c>
      <c r="U18" s="115">
        <f>ROUND('[7]2026'!U22,2)</f>
        <v>0</v>
      </c>
      <c r="V18" s="115">
        <f>ROUND('[7]2026'!V22,2)</f>
        <v>0</v>
      </c>
      <c r="W18" s="115">
        <f>ROUND('[7]2026'!W22,2)</f>
        <v>0</v>
      </c>
      <c r="X18" s="115">
        <f>ROUND('[7]2026'!X22,2)</f>
        <v>0</v>
      </c>
      <c r="Y18" s="115">
        <f>ROUND('[7]2026'!Y22,2)</f>
        <v>0</v>
      </c>
      <c r="Z18" s="115">
        <f>ROUND('[7]2026'!Z22,2)</f>
        <v>0</v>
      </c>
      <c r="AA18" s="115">
        <f>ROUND('[7]2026'!AA22,2)</f>
        <v>0</v>
      </c>
      <c r="AB18" s="115">
        <f>ROUND('[7]2026'!AB22,2)</f>
        <v>0</v>
      </c>
      <c r="AC18" s="267"/>
      <c r="AD18" s="19"/>
      <c r="AE18" s="111">
        <f>+AC39</f>
        <v>6818865.1400000006</v>
      </c>
    </row>
    <row r="19" spans="2:31" ht="18.649999999999999" customHeight="1" x14ac:dyDescent="0.35">
      <c r="B19" s="260">
        <v>46082</v>
      </c>
      <c r="C19" s="14" t="s">
        <v>29</v>
      </c>
      <c r="D19" s="121">
        <f>+'[7]2026'!D23</f>
        <v>21</v>
      </c>
      <c r="E19" s="116">
        <f>ROUND('[7]2026'!E23,2)</f>
        <v>8678.23</v>
      </c>
      <c r="F19" s="116">
        <f>ROUND('[7]2026'!F23,2)</f>
        <v>8219.61</v>
      </c>
      <c r="G19" s="116">
        <f>ROUND('[7]2026'!G23,2)</f>
        <v>7873.99</v>
      </c>
      <c r="H19" s="116">
        <f>ROUND('[7]2026'!H23,2)</f>
        <v>7618.92</v>
      </c>
      <c r="I19" s="116">
        <f>ROUND('[7]2026'!I23,2)</f>
        <v>7580.58</v>
      </c>
      <c r="J19" s="116">
        <f>ROUND('[7]2026'!J23,2)</f>
        <v>7858.15</v>
      </c>
      <c r="K19" s="116">
        <f>ROUND('[7]2026'!K23,2)</f>
        <v>7804.18</v>
      </c>
      <c r="L19" s="116">
        <f>ROUND('[7]2026'!L23,2)</f>
        <v>8698.76</v>
      </c>
      <c r="M19" s="116">
        <f>ROUND('[7]2026'!M23,2)</f>
        <v>9600.99</v>
      </c>
      <c r="N19" s="116">
        <f>ROUND('[7]2026'!N23,2)</f>
        <v>10073.19</v>
      </c>
      <c r="O19" s="116">
        <f>ROUND('[7]2026'!O23,2)</f>
        <v>10608.8</v>
      </c>
      <c r="P19" s="116">
        <f>ROUND('[7]2026'!P23,2)</f>
        <v>10957.51</v>
      </c>
      <c r="Q19" s="116">
        <f>ROUND('[7]2026'!Q23,2)</f>
        <v>10563.14</v>
      </c>
      <c r="R19" s="116">
        <f>ROUND('[7]2026'!R23,2)</f>
        <v>10984.1</v>
      </c>
      <c r="S19" s="116">
        <f>ROUND('[7]2026'!S23,2)</f>
        <v>11494.33</v>
      </c>
      <c r="T19" s="116">
        <f>ROUND('[7]2026'!T23,2)</f>
        <v>11549.16</v>
      </c>
      <c r="U19" s="116">
        <f>ROUND('[7]2026'!U23,2)</f>
        <v>11348.45</v>
      </c>
      <c r="V19" s="116">
        <f>ROUND('[7]2026'!V23,2)</f>
        <v>10863.68</v>
      </c>
      <c r="W19" s="116">
        <f>ROUND('[7]2026'!W23,2)</f>
        <v>11351.01</v>
      </c>
      <c r="X19" s="116">
        <f>ROUND('[7]2026'!X23,2)</f>
        <v>11492.89</v>
      </c>
      <c r="Y19" s="116">
        <f>ROUND('[7]2026'!Y23,2)</f>
        <v>11286.27</v>
      </c>
      <c r="Z19" s="116">
        <f>ROUND('[7]2026'!Z23,2)</f>
        <v>10848.33</v>
      </c>
      <c r="AA19" s="116">
        <f>ROUND('[7]2026'!AA23,2)</f>
        <v>10163.17</v>
      </c>
      <c r="AB19" s="116">
        <f>ROUND('[7]2026'!AB23,2)</f>
        <v>9392.4599999999991</v>
      </c>
      <c r="AC19" s="262">
        <f>SUM(E19:AB19)*D19+SUM(E20:AB20)*D20+SUM(E21:AB21)*D21+SUM(E22:AB22)*D22</f>
        <v>7112245.3400000008</v>
      </c>
      <c r="AD19" s="19"/>
      <c r="AE19" s="111">
        <f>+AC43</f>
        <v>6736312.580000001</v>
      </c>
    </row>
    <row r="20" spans="2:31" ht="18.649999999999999" customHeight="1" x14ac:dyDescent="0.35">
      <c r="B20" s="261"/>
      <c r="C20" s="10" t="s">
        <v>30</v>
      </c>
      <c r="D20" s="118">
        <f>+'[7]2026'!D24</f>
        <v>4</v>
      </c>
      <c r="E20" s="113">
        <f>ROUND('[7]2026'!E24,2)</f>
        <v>8703.44</v>
      </c>
      <c r="F20" s="113">
        <f>ROUND('[7]2026'!F24,2)</f>
        <v>8230.26</v>
      </c>
      <c r="G20" s="113">
        <f>ROUND('[7]2026'!G24,2)</f>
        <v>7896.95</v>
      </c>
      <c r="H20" s="113">
        <f>ROUND('[7]2026'!H24,2)</f>
        <v>7633.18</v>
      </c>
      <c r="I20" s="113">
        <f>ROUND('[7]2026'!I24,2)</f>
        <v>7475.72</v>
      </c>
      <c r="J20" s="113">
        <f>ROUND('[7]2026'!J24,2)</f>
        <v>7451.64</v>
      </c>
      <c r="K20" s="113">
        <f>ROUND('[7]2026'!K24,2)</f>
        <v>7342.5</v>
      </c>
      <c r="L20" s="113">
        <f>ROUND('[7]2026'!L24,2)</f>
        <v>8044.92</v>
      </c>
      <c r="M20" s="113">
        <f>ROUND('[7]2026'!M24,2)</f>
        <v>8891.65</v>
      </c>
      <c r="N20" s="113">
        <f>ROUND('[7]2026'!N24,2)</f>
        <v>9421.89</v>
      </c>
      <c r="O20" s="113">
        <f>ROUND('[7]2026'!O24,2)</f>
        <v>9844.27</v>
      </c>
      <c r="P20" s="113">
        <f>ROUND('[7]2026'!P24,2)</f>
        <v>10114.290000000001</v>
      </c>
      <c r="Q20" s="113">
        <f>ROUND('[7]2026'!Q24,2)</f>
        <v>9970.86</v>
      </c>
      <c r="R20" s="113">
        <f>ROUND('[7]2026'!R24,2)</f>
        <v>9866.98</v>
      </c>
      <c r="S20" s="113">
        <f>ROUND('[7]2026'!S24,2)</f>
        <v>9807.64</v>
      </c>
      <c r="T20" s="113">
        <f>ROUND('[7]2026'!T24,2)</f>
        <v>10049.86</v>
      </c>
      <c r="U20" s="113">
        <f>ROUND('[7]2026'!U24,2)</f>
        <v>9709.2000000000007</v>
      </c>
      <c r="V20" s="113">
        <f>ROUND('[7]2026'!V24,2)</f>
        <v>9630.3700000000008</v>
      </c>
      <c r="W20" s="113">
        <f>ROUND('[7]2026'!W24,2)</f>
        <v>10638.64</v>
      </c>
      <c r="X20" s="113">
        <f>ROUND('[7]2026'!X24,2)</f>
        <v>10797.34</v>
      </c>
      <c r="Y20" s="113">
        <f>ROUND('[7]2026'!Y24,2)</f>
        <v>10535.13</v>
      </c>
      <c r="Z20" s="113">
        <f>ROUND('[7]2026'!Z24,2)</f>
        <v>10197.700000000001</v>
      </c>
      <c r="AA20" s="113">
        <f>ROUND('[7]2026'!AA24,2)</f>
        <v>9750.16</v>
      </c>
      <c r="AB20" s="113">
        <f>ROUND('[7]2026'!AB24,2)</f>
        <v>9181.35</v>
      </c>
      <c r="AC20" s="262"/>
      <c r="AD20" s="19"/>
      <c r="AE20" s="111">
        <f>+AC47</f>
        <v>6712169.8899999997</v>
      </c>
    </row>
    <row r="21" spans="2:31" ht="18.649999999999999" customHeight="1" x14ac:dyDescent="0.35">
      <c r="B21" s="261"/>
      <c r="C21" s="10" t="s">
        <v>31</v>
      </c>
      <c r="D21" s="118">
        <f>+'[7]2026'!D25</f>
        <v>5</v>
      </c>
      <c r="E21" s="113">
        <f>ROUND('[7]2026'!E25,2)</f>
        <v>8633.73</v>
      </c>
      <c r="F21" s="113">
        <f>ROUND('[7]2026'!F25,2)</f>
        <v>8191.74</v>
      </c>
      <c r="G21" s="113">
        <f>ROUND('[7]2026'!G25,2)</f>
        <v>7797.22</v>
      </c>
      <c r="H21" s="113">
        <f>ROUND('[7]2026'!H25,2)</f>
        <v>7520.43</v>
      </c>
      <c r="I21" s="113">
        <f>ROUND('[7]2026'!I25,2)</f>
        <v>7392.08</v>
      </c>
      <c r="J21" s="113">
        <f>ROUND('[7]2026'!J25,2)</f>
        <v>7308.46</v>
      </c>
      <c r="K21" s="113">
        <f>ROUND('[7]2026'!K25,2)</f>
        <v>6951.42</v>
      </c>
      <c r="L21" s="113">
        <f>ROUND('[7]2026'!L25,2)</f>
        <v>7285.72</v>
      </c>
      <c r="M21" s="113">
        <f>ROUND('[7]2026'!M25,2)</f>
        <v>7770.08</v>
      </c>
      <c r="N21" s="113">
        <f>ROUND('[7]2026'!N25,2)</f>
        <v>8212.9599999999991</v>
      </c>
      <c r="O21" s="113">
        <f>ROUND('[7]2026'!O25,2)</f>
        <v>8548.7000000000007</v>
      </c>
      <c r="P21" s="113">
        <f>ROUND('[7]2026'!P25,2)</f>
        <v>8866.1200000000008</v>
      </c>
      <c r="Q21" s="113">
        <f>ROUND('[7]2026'!Q25,2)</f>
        <v>9025.56</v>
      </c>
      <c r="R21" s="113">
        <f>ROUND('[7]2026'!R25,2)</f>
        <v>9066.2999999999993</v>
      </c>
      <c r="S21" s="113">
        <f>ROUND('[7]2026'!S25,2)</f>
        <v>9112.93</v>
      </c>
      <c r="T21" s="113">
        <f>ROUND('[7]2026'!T25,2)</f>
        <v>9177.9</v>
      </c>
      <c r="U21" s="113">
        <f>ROUND('[7]2026'!U25,2)</f>
        <v>9064.48</v>
      </c>
      <c r="V21" s="113">
        <f>ROUND('[7]2026'!V25,2)</f>
        <v>9086.2900000000009</v>
      </c>
      <c r="W21" s="113">
        <f>ROUND('[7]2026'!W25,2)</f>
        <v>10064.629999999999</v>
      </c>
      <c r="X21" s="113">
        <f>ROUND('[7]2026'!X25,2)</f>
        <v>10426.44</v>
      </c>
      <c r="Y21" s="113">
        <f>ROUND('[7]2026'!Y25,2)</f>
        <v>10407.700000000001</v>
      </c>
      <c r="Z21" s="113">
        <f>ROUND('[7]2026'!Z25,2)</f>
        <v>10206.07</v>
      </c>
      <c r="AA21" s="113">
        <f>ROUND('[7]2026'!AA25,2)</f>
        <v>9663.57</v>
      </c>
      <c r="AB21" s="113">
        <f>ROUND('[7]2026'!AB25,2)</f>
        <v>8951.75</v>
      </c>
      <c r="AC21" s="262"/>
      <c r="AD21" s="19"/>
      <c r="AE21" s="111">
        <f>+AC51</f>
        <v>6655295.0599999996</v>
      </c>
    </row>
    <row r="22" spans="2:31" ht="18.649999999999999" customHeight="1" thickBot="1" x14ac:dyDescent="0.4">
      <c r="B22" s="261"/>
      <c r="C22" s="16" t="s">
        <v>32</v>
      </c>
      <c r="D22" s="119">
        <f>+'[7]2026'!D26</f>
        <v>1</v>
      </c>
      <c r="E22" s="114">
        <f>ROUND('[7]2026'!E26,2)</f>
        <v>8633.73</v>
      </c>
      <c r="F22" s="114">
        <f>ROUND('[7]2026'!F26,2)</f>
        <v>8191.74</v>
      </c>
      <c r="G22" s="114">
        <f>ROUND('[7]2026'!G26,2)</f>
        <v>7797.22</v>
      </c>
      <c r="H22" s="114">
        <f>ROUND('[7]2026'!H26,2)</f>
        <v>7520.43</v>
      </c>
      <c r="I22" s="114">
        <f>ROUND('[7]2026'!I26,2)</f>
        <v>7392.08</v>
      </c>
      <c r="J22" s="114">
        <f>ROUND('[7]2026'!J26,2)</f>
        <v>7308.46</v>
      </c>
      <c r="K22" s="114">
        <f>ROUND('[7]2026'!K26,2)</f>
        <v>6951.42</v>
      </c>
      <c r="L22" s="114">
        <f>ROUND('[7]2026'!L26,2)</f>
        <v>7285.72</v>
      </c>
      <c r="M22" s="114">
        <f>ROUND('[7]2026'!M26,2)</f>
        <v>7770.08</v>
      </c>
      <c r="N22" s="114">
        <f>ROUND('[7]2026'!N26,2)</f>
        <v>8212.9599999999991</v>
      </c>
      <c r="O22" s="114">
        <f>ROUND('[7]2026'!O26,2)</f>
        <v>8548.7000000000007</v>
      </c>
      <c r="P22" s="114">
        <f>ROUND('[7]2026'!P26,2)</f>
        <v>8866.1200000000008</v>
      </c>
      <c r="Q22" s="114">
        <f>ROUND('[7]2026'!Q26,2)</f>
        <v>9025.56</v>
      </c>
      <c r="R22" s="114">
        <f>ROUND('[7]2026'!R26,2)</f>
        <v>9066.2999999999993</v>
      </c>
      <c r="S22" s="114">
        <f>ROUND('[7]2026'!S26,2)</f>
        <v>9112.93</v>
      </c>
      <c r="T22" s="114">
        <f>ROUND('[7]2026'!T26,2)</f>
        <v>9177.9</v>
      </c>
      <c r="U22" s="114">
        <f>ROUND('[7]2026'!U26,2)</f>
        <v>9064.48</v>
      </c>
      <c r="V22" s="114">
        <f>ROUND('[7]2026'!V26,2)</f>
        <v>9086.2900000000009</v>
      </c>
      <c r="W22" s="114">
        <f>ROUND('[7]2026'!W26,2)</f>
        <v>10064.629999999999</v>
      </c>
      <c r="X22" s="114">
        <f>ROUND('[7]2026'!X26,2)</f>
        <v>10426.44</v>
      </c>
      <c r="Y22" s="114">
        <f>ROUND('[7]2026'!Y26,2)</f>
        <v>10407.700000000001</v>
      </c>
      <c r="Z22" s="114">
        <f>ROUND('[7]2026'!Z26,2)</f>
        <v>10206.07</v>
      </c>
      <c r="AA22" s="114">
        <f>ROUND('[7]2026'!AA26,2)</f>
        <v>9663.57</v>
      </c>
      <c r="AB22" s="114">
        <f>ROUND('[7]2026'!AB26,2)</f>
        <v>8951.75</v>
      </c>
      <c r="AC22" s="262"/>
      <c r="AD22" s="19"/>
      <c r="AE22" s="111">
        <f>+AC55</f>
        <v>6831338.7399999984</v>
      </c>
    </row>
    <row r="23" spans="2:31" ht="18.649999999999999" customHeight="1" x14ac:dyDescent="0.35">
      <c r="B23" s="263">
        <v>46113</v>
      </c>
      <c r="C23" s="7" t="s">
        <v>29</v>
      </c>
      <c r="D23" s="117">
        <f>+'[7]2026'!D27</f>
        <v>20</v>
      </c>
      <c r="E23" s="112">
        <f>ROUND('[7]2026'!E27,2)</f>
        <v>8466</v>
      </c>
      <c r="F23" s="112">
        <f>ROUND('[7]2026'!F27,2)</f>
        <v>8100.99</v>
      </c>
      <c r="G23" s="112">
        <f>ROUND('[7]2026'!G27,2)</f>
        <v>7743.23</v>
      </c>
      <c r="H23" s="112">
        <f>ROUND('[7]2026'!H27,2)</f>
        <v>7543.26</v>
      </c>
      <c r="I23" s="112">
        <f>ROUND('[7]2026'!I27,2)</f>
        <v>7495.48</v>
      </c>
      <c r="J23" s="112">
        <f>ROUND('[7]2026'!J27,2)</f>
        <v>7417.67</v>
      </c>
      <c r="K23" s="112">
        <f>ROUND('[7]2026'!K27,2)</f>
        <v>7443.42</v>
      </c>
      <c r="L23" s="112">
        <f>ROUND('[7]2026'!L27,2)</f>
        <v>8280.11</v>
      </c>
      <c r="M23" s="112">
        <f>ROUND('[7]2026'!M27,2)</f>
        <v>9229.7900000000009</v>
      </c>
      <c r="N23" s="112">
        <f>ROUND('[7]2026'!N27,2)</f>
        <v>9790.94</v>
      </c>
      <c r="O23" s="112">
        <f>ROUND('[7]2026'!O27,2)</f>
        <v>10257.44</v>
      </c>
      <c r="P23" s="112">
        <f>ROUND('[7]2026'!P27,2)</f>
        <v>10551.36</v>
      </c>
      <c r="Q23" s="112">
        <f>ROUND('[7]2026'!Q27,2)</f>
        <v>10355.27</v>
      </c>
      <c r="R23" s="112">
        <f>ROUND('[7]2026'!R27,2)</f>
        <v>10231.09</v>
      </c>
      <c r="S23" s="112">
        <f>ROUND('[7]2026'!S27,2)</f>
        <v>10302.06</v>
      </c>
      <c r="T23" s="112">
        <f>ROUND('[7]2026'!T27,2)</f>
        <v>10300.540000000001</v>
      </c>
      <c r="U23" s="112">
        <f>ROUND('[7]2026'!U27,2)</f>
        <v>10138.540000000001</v>
      </c>
      <c r="V23" s="112">
        <f>ROUND('[7]2026'!V27,2)</f>
        <v>10079.99</v>
      </c>
      <c r="W23" s="112">
        <f>ROUND('[7]2026'!W27,2)</f>
        <v>11102.58</v>
      </c>
      <c r="X23" s="112">
        <f>ROUND('[7]2026'!X27,2)</f>
        <v>11190.92</v>
      </c>
      <c r="Y23" s="112">
        <f>ROUND('[7]2026'!Y27,2)</f>
        <v>10916.86</v>
      </c>
      <c r="Z23" s="112">
        <f>ROUND('[7]2026'!Z27,2)</f>
        <v>10537.61</v>
      </c>
      <c r="AA23" s="112">
        <f>ROUND('[7]2026'!AA27,2)</f>
        <v>10019.31</v>
      </c>
      <c r="AB23" s="112">
        <f>ROUND('[7]2026'!AB27,2)</f>
        <v>9391.4599999999991</v>
      </c>
      <c r="AC23" s="266">
        <f>SUM(E23:AB23)*D23+SUM(E24:AB24)*D24+SUM(E25:AB25)*D25+SUM(E26:AB26)*D26</f>
        <v>6718171.6599999992</v>
      </c>
      <c r="AD23" s="19"/>
      <c r="AE23" s="111">
        <f>SUM(AE11:AE22)</f>
        <v>80946969.609999999</v>
      </c>
    </row>
    <row r="24" spans="2:31" ht="18.649999999999999" customHeight="1" x14ac:dyDescent="0.35">
      <c r="B24" s="264" t="s">
        <v>34</v>
      </c>
      <c r="C24" s="10" t="s">
        <v>30</v>
      </c>
      <c r="D24" s="118">
        <f>+'[7]2026'!D28</f>
        <v>4</v>
      </c>
      <c r="E24" s="113">
        <f>ROUND('[7]2026'!E28,2)</f>
        <v>8173.8</v>
      </c>
      <c r="F24" s="113">
        <f>ROUND('[7]2026'!F28,2)</f>
        <v>7770.95</v>
      </c>
      <c r="G24" s="113">
        <f>ROUND('[7]2026'!G28,2)</f>
        <v>7464.95</v>
      </c>
      <c r="H24" s="113">
        <f>ROUND('[7]2026'!H28,2)</f>
        <v>7239.31</v>
      </c>
      <c r="I24" s="113">
        <f>ROUND('[7]2026'!I28,2)</f>
        <v>7246.07</v>
      </c>
      <c r="J24" s="113">
        <f>ROUND('[7]2026'!J28,2)</f>
        <v>7335.44</v>
      </c>
      <c r="K24" s="113">
        <f>ROUND('[7]2026'!K28,2)</f>
        <v>7500.25</v>
      </c>
      <c r="L24" s="113">
        <f>ROUND('[7]2026'!L28,2)</f>
        <v>8316.3799999999992</v>
      </c>
      <c r="M24" s="113">
        <f>ROUND('[7]2026'!M28,2)</f>
        <v>9155.02</v>
      </c>
      <c r="N24" s="113">
        <f>ROUND('[7]2026'!N28,2)</f>
        <v>9643.5400000000009</v>
      </c>
      <c r="O24" s="113">
        <f>ROUND('[7]2026'!O28,2)</f>
        <v>10081.66</v>
      </c>
      <c r="P24" s="113">
        <f>ROUND('[7]2026'!P28,2)</f>
        <v>10384.1</v>
      </c>
      <c r="Q24" s="113">
        <f>ROUND('[7]2026'!Q28,2)</f>
        <v>10100.02</v>
      </c>
      <c r="R24" s="113">
        <f>ROUND('[7]2026'!R28,2)</f>
        <v>10299.34</v>
      </c>
      <c r="S24" s="113">
        <f>ROUND('[7]2026'!S28,2)</f>
        <v>10642.54</v>
      </c>
      <c r="T24" s="113">
        <f>ROUND('[7]2026'!T28,2)</f>
        <v>10665.42</v>
      </c>
      <c r="U24" s="113">
        <f>ROUND('[7]2026'!U28,2)</f>
        <v>10497.45</v>
      </c>
      <c r="V24" s="113">
        <f>ROUND('[7]2026'!V28,2)</f>
        <v>10268.18</v>
      </c>
      <c r="W24" s="113">
        <f>ROUND('[7]2026'!W28,2)</f>
        <v>10975.79</v>
      </c>
      <c r="X24" s="113">
        <f>ROUND('[7]2026'!X28,2)</f>
        <v>11070.68</v>
      </c>
      <c r="Y24" s="113">
        <f>ROUND('[7]2026'!Y28,2)</f>
        <v>10782.33</v>
      </c>
      <c r="Z24" s="113">
        <f>ROUND('[7]2026'!Z28,2)</f>
        <v>10309.459999999999</v>
      </c>
      <c r="AA24" s="113">
        <f>ROUND('[7]2026'!AA28,2)</f>
        <v>9566.9699999999993</v>
      </c>
      <c r="AB24" s="113">
        <f>ROUND('[7]2026'!AB28,2)</f>
        <v>8747.0400000000009</v>
      </c>
      <c r="AC24" s="262"/>
      <c r="AD24" s="19"/>
    </row>
    <row r="25" spans="2:31" ht="18.649999999999999" customHeight="1" x14ac:dyDescent="0.35">
      <c r="B25" s="264" t="s">
        <v>34</v>
      </c>
      <c r="C25" s="10" t="s">
        <v>31</v>
      </c>
      <c r="D25" s="118">
        <f>+'[7]2026'!D29</f>
        <v>4</v>
      </c>
      <c r="E25" s="113">
        <f>ROUND('[7]2026'!E29,2)</f>
        <v>8808.92</v>
      </c>
      <c r="F25" s="113">
        <f>ROUND('[7]2026'!F29,2)</f>
        <v>8362.86</v>
      </c>
      <c r="G25" s="113">
        <f>ROUND('[7]2026'!G29,2)</f>
        <v>7993.35</v>
      </c>
      <c r="H25" s="113">
        <f>ROUND('[7]2026'!H29,2)</f>
        <v>7741.29</v>
      </c>
      <c r="I25" s="113">
        <f>ROUND('[7]2026'!I29,2)</f>
        <v>7593.61</v>
      </c>
      <c r="J25" s="113">
        <f>ROUND('[7]2026'!J29,2)</f>
        <v>7368.41</v>
      </c>
      <c r="K25" s="113">
        <f>ROUND('[7]2026'!K29,2)</f>
        <v>7142.78</v>
      </c>
      <c r="L25" s="113">
        <f>ROUND('[7]2026'!L29,2)</f>
        <v>7542.91</v>
      </c>
      <c r="M25" s="113">
        <f>ROUND('[7]2026'!M29,2)</f>
        <v>8071.73</v>
      </c>
      <c r="N25" s="113">
        <f>ROUND('[7]2026'!N29,2)</f>
        <v>8548.56</v>
      </c>
      <c r="O25" s="113">
        <f>ROUND('[7]2026'!O29,2)</f>
        <v>8925.5400000000009</v>
      </c>
      <c r="P25" s="113">
        <f>ROUND('[7]2026'!P29,2)</f>
        <v>9233.15</v>
      </c>
      <c r="Q25" s="113">
        <f>ROUND('[7]2026'!Q29,2)</f>
        <v>9374.76</v>
      </c>
      <c r="R25" s="113">
        <f>ROUND('[7]2026'!R29,2)</f>
        <v>9400.93</v>
      </c>
      <c r="S25" s="113">
        <f>ROUND('[7]2026'!S29,2)</f>
        <v>9349.36</v>
      </c>
      <c r="T25" s="113">
        <f>ROUND('[7]2026'!T29,2)</f>
        <v>9307.7800000000007</v>
      </c>
      <c r="U25" s="113">
        <f>ROUND('[7]2026'!U29,2)</f>
        <v>9212.81</v>
      </c>
      <c r="V25" s="113">
        <f>ROUND('[7]2026'!V29,2)</f>
        <v>9300.82</v>
      </c>
      <c r="W25" s="113">
        <f>ROUND('[7]2026'!W29,2)</f>
        <v>10391.89</v>
      </c>
      <c r="X25" s="113">
        <f>ROUND('[7]2026'!X29,2)</f>
        <v>10704.32</v>
      </c>
      <c r="Y25" s="113">
        <f>ROUND('[7]2026'!Y29,2)</f>
        <v>10632.02</v>
      </c>
      <c r="Z25" s="113">
        <f>ROUND('[7]2026'!Z29,2)</f>
        <v>10305.69</v>
      </c>
      <c r="AA25" s="113">
        <f>ROUND('[7]2026'!AA29,2)</f>
        <v>9677.18</v>
      </c>
      <c r="AB25" s="113">
        <f>ROUND('[7]2026'!AB29,2)</f>
        <v>8927.08</v>
      </c>
      <c r="AC25" s="262"/>
      <c r="AD25" s="19"/>
    </row>
    <row r="26" spans="2:31" ht="18.649999999999999" customHeight="1" thickBot="1" x14ac:dyDescent="0.4">
      <c r="B26" s="265" t="s">
        <v>34</v>
      </c>
      <c r="C26" s="12" t="s">
        <v>32</v>
      </c>
      <c r="D26" s="120">
        <f>+'[7]2026'!D30</f>
        <v>2</v>
      </c>
      <c r="E26" s="115">
        <f>ROUND('[7]2026'!E30,2)</f>
        <v>8808.92</v>
      </c>
      <c r="F26" s="115">
        <f>ROUND('[7]2026'!F30,2)</f>
        <v>8362.86</v>
      </c>
      <c r="G26" s="115">
        <f>ROUND('[7]2026'!G30,2)</f>
        <v>7993.35</v>
      </c>
      <c r="H26" s="115">
        <f>ROUND('[7]2026'!H30,2)</f>
        <v>7741.29</v>
      </c>
      <c r="I26" s="115">
        <f>ROUND('[7]2026'!I30,2)</f>
        <v>7593.61</v>
      </c>
      <c r="J26" s="115">
        <f>ROUND('[7]2026'!J30,2)</f>
        <v>7368.41</v>
      </c>
      <c r="K26" s="115">
        <f>ROUND('[7]2026'!K30,2)</f>
        <v>7142.78</v>
      </c>
      <c r="L26" s="115">
        <f>ROUND('[7]2026'!L30,2)</f>
        <v>7542.91</v>
      </c>
      <c r="M26" s="115">
        <f>ROUND('[7]2026'!M30,2)</f>
        <v>8071.73</v>
      </c>
      <c r="N26" s="115">
        <f>ROUND('[7]2026'!N30,2)</f>
        <v>8548.56</v>
      </c>
      <c r="O26" s="115">
        <f>ROUND('[7]2026'!O30,2)</f>
        <v>8925.5400000000009</v>
      </c>
      <c r="P26" s="115">
        <f>ROUND('[7]2026'!P30,2)</f>
        <v>9233.15</v>
      </c>
      <c r="Q26" s="115">
        <f>ROUND('[7]2026'!Q30,2)</f>
        <v>9374.76</v>
      </c>
      <c r="R26" s="115">
        <f>ROUND('[7]2026'!R30,2)</f>
        <v>9400.93</v>
      </c>
      <c r="S26" s="115">
        <f>ROUND('[7]2026'!S30,2)</f>
        <v>9349.36</v>
      </c>
      <c r="T26" s="115">
        <f>ROUND('[7]2026'!T30,2)</f>
        <v>9307.7800000000007</v>
      </c>
      <c r="U26" s="115">
        <f>ROUND('[7]2026'!U30,2)</f>
        <v>9212.81</v>
      </c>
      <c r="V26" s="115">
        <f>ROUND('[7]2026'!V30,2)</f>
        <v>9300.82</v>
      </c>
      <c r="W26" s="115">
        <f>ROUND('[7]2026'!W30,2)</f>
        <v>10391.89</v>
      </c>
      <c r="X26" s="115">
        <f>ROUND('[7]2026'!X30,2)</f>
        <v>10704.32</v>
      </c>
      <c r="Y26" s="115">
        <f>ROUND('[7]2026'!Y30,2)</f>
        <v>10632.02</v>
      </c>
      <c r="Z26" s="115">
        <f>ROUND('[7]2026'!Z30,2)</f>
        <v>10305.69</v>
      </c>
      <c r="AA26" s="115">
        <f>ROUND('[7]2026'!AA30,2)</f>
        <v>9677.18</v>
      </c>
      <c r="AB26" s="115">
        <f>ROUND('[7]2026'!AB30,2)</f>
        <v>8927.08</v>
      </c>
      <c r="AC26" s="267"/>
      <c r="AD26" s="19"/>
    </row>
    <row r="27" spans="2:31" ht="18.649999999999999" customHeight="1" x14ac:dyDescent="0.35">
      <c r="B27" s="260">
        <v>46143</v>
      </c>
      <c r="C27" s="14" t="s">
        <v>29</v>
      </c>
      <c r="D27" s="121">
        <f>+'[7]2026'!D31</f>
        <v>19</v>
      </c>
      <c r="E27" s="116">
        <f>ROUND('[7]2026'!E31,2)</f>
        <v>8662.2099999999991</v>
      </c>
      <c r="F27" s="116">
        <f>ROUND('[7]2026'!F31,2)</f>
        <v>8211.4699999999993</v>
      </c>
      <c r="G27" s="116">
        <f>ROUND('[7]2026'!G31,2)</f>
        <v>7847.76</v>
      </c>
      <c r="H27" s="116">
        <f>ROUND('[7]2026'!H31,2)</f>
        <v>7536.7</v>
      </c>
      <c r="I27" s="116">
        <f>ROUND('[7]2026'!I31,2)</f>
        <v>7452.86</v>
      </c>
      <c r="J27" s="116">
        <f>ROUND('[7]2026'!J31,2)</f>
        <v>7334.82</v>
      </c>
      <c r="K27" s="116">
        <f>ROUND('[7]2026'!K31,2)</f>
        <v>7443.22</v>
      </c>
      <c r="L27" s="116">
        <f>ROUND('[7]2026'!L31,2)</f>
        <v>8243.82</v>
      </c>
      <c r="M27" s="116">
        <f>ROUND('[7]2026'!M31,2)</f>
        <v>9176.89</v>
      </c>
      <c r="N27" s="116">
        <f>ROUND('[7]2026'!N31,2)</f>
        <v>9691.67</v>
      </c>
      <c r="O27" s="116">
        <f>ROUND('[7]2026'!O31,2)</f>
        <v>10018.42</v>
      </c>
      <c r="P27" s="116">
        <f>ROUND('[7]2026'!P31,2)</f>
        <v>10258.530000000001</v>
      </c>
      <c r="Q27" s="116">
        <f>ROUND('[7]2026'!Q31,2)</f>
        <v>10082.290000000001</v>
      </c>
      <c r="R27" s="116">
        <f>ROUND('[7]2026'!R31,2)</f>
        <v>9900.94</v>
      </c>
      <c r="S27" s="116">
        <f>ROUND('[7]2026'!S31,2)</f>
        <v>9894.27</v>
      </c>
      <c r="T27" s="116">
        <f>ROUND('[7]2026'!T31,2)</f>
        <v>9838.51</v>
      </c>
      <c r="U27" s="116">
        <f>ROUND('[7]2026'!U31,2)</f>
        <v>9704.84</v>
      </c>
      <c r="V27" s="116">
        <f>ROUND('[7]2026'!V31,2)</f>
        <v>9764.35</v>
      </c>
      <c r="W27" s="116">
        <f>ROUND('[7]2026'!W31,2)</f>
        <v>10824.11</v>
      </c>
      <c r="X27" s="116">
        <f>ROUND('[7]2026'!X31,2)</f>
        <v>10924.85</v>
      </c>
      <c r="Y27" s="116">
        <f>ROUND('[7]2026'!Y31,2)</f>
        <v>10573.07</v>
      </c>
      <c r="Z27" s="116">
        <f>ROUND('[7]2026'!Z31,2)</f>
        <v>10136.709999999999</v>
      </c>
      <c r="AA27" s="116">
        <f>ROUND('[7]2026'!AA31,2)</f>
        <v>9562.8700000000008</v>
      </c>
      <c r="AB27" s="116">
        <f>ROUND('[7]2026'!AB31,2)</f>
        <v>8920.1200000000008</v>
      </c>
      <c r="AC27" s="262">
        <f>SUM(E27:AB27)*D27+SUM(E28:AB28)*D28+SUM(E29:AB29)*D29+SUM(E30:AB30)*D30</f>
        <v>6807710.8300000001</v>
      </c>
      <c r="AD27" s="19"/>
    </row>
    <row r="28" spans="2:31" ht="18.649999999999999" customHeight="1" x14ac:dyDescent="0.35">
      <c r="B28" s="261"/>
      <c r="C28" s="10" t="s">
        <v>30</v>
      </c>
      <c r="D28" s="118">
        <f>+'[7]2026'!D32</f>
        <v>5</v>
      </c>
      <c r="E28" s="113">
        <f>ROUND('[7]2026'!E32,2)</f>
        <v>7985.64</v>
      </c>
      <c r="F28" s="113">
        <f>ROUND('[7]2026'!F32,2)</f>
        <v>7590.61</v>
      </c>
      <c r="G28" s="113">
        <f>ROUND('[7]2026'!G32,2)</f>
        <v>7301.49</v>
      </c>
      <c r="H28" s="113">
        <f>ROUND('[7]2026'!H32,2)</f>
        <v>7102.34</v>
      </c>
      <c r="I28" s="113">
        <f>ROUND('[7]2026'!I32,2)</f>
        <v>7076.79</v>
      </c>
      <c r="J28" s="113">
        <f>ROUND('[7]2026'!J32,2)</f>
        <v>7067.89</v>
      </c>
      <c r="K28" s="113">
        <f>ROUND('[7]2026'!K32,2)</f>
        <v>7175.55</v>
      </c>
      <c r="L28" s="113">
        <f>ROUND('[7]2026'!L32,2)</f>
        <v>8016.46</v>
      </c>
      <c r="M28" s="113">
        <f>ROUND('[7]2026'!M32,2)</f>
        <v>8838.7099999999991</v>
      </c>
      <c r="N28" s="113">
        <f>ROUND('[7]2026'!N32,2)</f>
        <v>9313.52</v>
      </c>
      <c r="O28" s="113">
        <f>ROUND('[7]2026'!O32,2)</f>
        <v>9777.35</v>
      </c>
      <c r="P28" s="113">
        <f>ROUND('[7]2026'!P32,2)</f>
        <v>10111.44</v>
      </c>
      <c r="Q28" s="113">
        <f>ROUND('[7]2026'!Q32,2)</f>
        <v>9890.86</v>
      </c>
      <c r="R28" s="113">
        <f>ROUND('[7]2026'!R32,2)</f>
        <v>9996.2900000000009</v>
      </c>
      <c r="S28" s="113">
        <f>ROUND('[7]2026'!S32,2)</f>
        <v>10259.41</v>
      </c>
      <c r="T28" s="113">
        <f>ROUND('[7]2026'!T32,2)</f>
        <v>10246.56</v>
      </c>
      <c r="U28" s="113">
        <f>ROUND('[7]2026'!U32,2)</f>
        <v>10098.969999999999</v>
      </c>
      <c r="V28" s="113">
        <f>ROUND('[7]2026'!V32,2)</f>
        <v>9902.7999999999993</v>
      </c>
      <c r="W28" s="113">
        <f>ROUND('[7]2026'!W32,2)</f>
        <v>10624.11</v>
      </c>
      <c r="X28" s="113">
        <f>ROUND('[7]2026'!X32,2)</f>
        <v>10824.3</v>
      </c>
      <c r="Y28" s="113">
        <f>ROUND('[7]2026'!Y32,2)</f>
        <v>10529.5</v>
      </c>
      <c r="Z28" s="113">
        <f>ROUND('[7]2026'!Z32,2)</f>
        <v>10045.459999999999</v>
      </c>
      <c r="AA28" s="113">
        <f>ROUND('[7]2026'!AA32,2)</f>
        <v>9317.82</v>
      </c>
      <c r="AB28" s="113">
        <f>ROUND('[7]2026'!AB32,2)</f>
        <v>8558.9699999999993</v>
      </c>
      <c r="AC28" s="262"/>
      <c r="AD28" s="19"/>
    </row>
    <row r="29" spans="2:31" ht="18.649999999999999" customHeight="1" x14ac:dyDescent="0.35">
      <c r="B29" s="261"/>
      <c r="C29" s="10" t="s">
        <v>31</v>
      </c>
      <c r="D29" s="118">
        <f>+'[7]2026'!D33</f>
        <v>5</v>
      </c>
      <c r="E29" s="113">
        <f>ROUND('[7]2026'!E33,2)</f>
        <v>7979.76</v>
      </c>
      <c r="F29" s="113">
        <f>ROUND('[7]2026'!F33,2)</f>
        <v>7667.27</v>
      </c>
      <c r="G29" s="113">
        <f>ROUND('[7]2026'!G33,2)</f>
        <v>7346.8</v>
      </c>
      <c r="H29" s="113">
        <f>ROUND('[7]2026'!H33,2)</f>
        <v>7176.4</v>
      </c>
      <c r="I29" s="113">
        <f>ROUND('[7]2026'!I33,2)</f>
        <v>7121.74</v>
      </c>
      <c r="J29" s="113">
        <f>ROUND('[7]2026'!J33,2)</f>
        <v>6945</v>
      </c>
      <c r="K29" s="113">
        <f>ROUND('[7]2026'!K33,2)</f>
        <v>6916.12</v>
      </c>
      <c r="L29" s="113">
        <f>ROUND('[7]2026'!L33,2)</f>
        <v>7452.04</v>
      </c>
      <c r="M29" s="113">
        <f>ROUND('[7]2026'!M33,2)</f>
        <v>8073.43</v>
      </c>
      <c r="N29" s="113">
        <f>ROUND('[7]2026'!N33,2)</f>
        <v>8556.59</v>
      </c>
      <c r="O29" s="113">
        <f>ROUND('[7]2026'!O33,2)</f>
        <v>8923.92</v>
      </c>
      <c r="P29" s="113">
        <f>ROUND('[7]2026'!P33,2)</f>
        <v>9380.2999999999993</v>
      </c>
      <c r="Q29" s="113">
        <f>ROUND('[7]2026'!Q33,2)</f>
        <v>9635.9599999999991</v>
      </c>
      <c r="R29" s="113">
        <f>ROUND('[7]2026'!R33,2)</f>
        <v>9684.41</v>
      </c>
      <c r="S29" s="113">
        <f>ROUND('[7]2026'!S33,2)</f>
        <v>9695.57</v>
      </c>
      <c r="T29" s="113">
        <f>ROUND('[7]2026'!T33,2)</f>
        <v>9714.57</v>
      </c>
      <c r="U29" s="113">
        <f>ROUND('[7]2026'!U33,2)</f>
        <v>9615.4599999999991</v>
      </c>
      <c r="V29" s="113">
        <f>ROUND('[7]2026'!V33,2)</f>
        <v>9617.9599999999991</v>
      </c>
      <c r="W29" s="113">
        <f>ROUND('[7]2026'!W33,2)</f>
        <v>10749.81</v>
      </c>
      <c r="X29" s="113">
        <f>ROUND('[7]2026'!X33,2)</f>
        <v>11157.82</v>
      </c>
      <c r="Y29" s="113">
        <f>ROUND('[7]2026'!Y33,2)</f>
        <v>11089.89</v>
      </c>
      <c r="Z29" s="113">
        <f>ROUND('[7]2026'!Z33,2)</f>
        <v>10716.22</v>
      </c>
      <c r="AA29" s="113">
        <f>ROUND('[7]2026'!AA33,2)</f>
        <v>10030.9</v>
      </c>
      <c r="AB29" s="113">
        <f>ROUND('[7]2026'!AB33,2)</f>
        <v>9230.0499999999993</v>
      </c>
      <c r="AC29" s="262"/>
      <c r="AD29" s="19"/>
    </row>
    <row r="30" spans="2:31" ht="18.649999999999999" customHeight="1" thickBot="1" x14ac:dyDescent="0.4">
      <c r="B30" s="261"/>
      <c r="C30" s="16" t="s">
        <v>32</v>
      </c>
      <c r="D30" s="119">
        <f>+'[7]2026'!D34</f>
        <v>2</v>
      </c>
      <c r="E30" s="114">
        <f>ROUND('[7]2026'!E34,2)</f>
        <v>7979.76</v>
      </c>
      <c r="F30" s="114">
        <f>ROUND('[7]2026'!F34,2)</f>
        <v>7667.27</v>
      </c>
      <c r="G30" s="114">
        <f>ROUND('[7]2026'!G34,2)</f>
        <v>7346.8</v>
      </c>
      <c r="H30" s="114">
        <f>ROUND('[7]2026'!H34,2)</f>
        <v>7176.4</v>
      </c>
      <c r="I30" s="114">
        <f>ROUND('[7]2026'!I34,2)</f>
        <v>7121.74</v>
      </c>
      <c r="J30" s="114">
        <f>ROUND('[7]2026'!J34,2)</f>
        <v>6945</v>
      </c>
      <c r="K30" s="114">
        <f>ROUND('[7]2026'!K34,2)</f>
        <v>6916.12</v>
      </c>
      <c r="L30" s="114">
        <f>ROUND('[7]2026'!L34,2)</f>
        <v>7452.04</v>
      </c>
      <c r="M30" s="114">
        <f>ROUND('[7]2026'!M34,2)</f>
        <v>8073.43</v>
      </c>
      <c r="N30" s="114">
        <f>ROUND('[7]2026'!N34,2)</f>
        <v>8556.59</v>
      </c>
      <c r="O30" s="114">
        <f>ROUND('[7]2026'!O34,2)</f>
        <v>8923.92</v>
      </c>
      <c r="P30" s="114">
        <f>ROUND('[7]2026'!P34,2)</f>
        <v>9380.2999999999993</v>
      </c>
      <c r="Q30" s="114">
        <f>ROUND('[7]2026'!Q34,2)</f>
        <v>9635.9599999999991</v>
      </c>
      <c r="R30" s="114">
        <f>ROUND('[7]2026'!R34,2)</f>
        <v>9684.41</v>
      </c>
      <c r="S30" s="114">
        <f>ROUND('[7]2026'!S34,2)</f>
        <v>9695.57</v>
      </c>
      <c r="T30" s="114">
        <f>ROUND('[7]2026'!T34,2)</f>
        <v>9714.57</v>
      </c>
      <c r="U30" s="114">
        <f>ROUND('[7]2026'!U34,2)</f>
        <v>9615.4599999999991</v>
      </c>
      <c r="V30" s="114">
        <f>ROUND('[7]2026'!V34,2)</f>
        <v>9617.9599999999991</v>
      </c>
      <c r="W30" s="114">
        <f>ROUND('[7]2026'!W34,2)</f>
        <v>10749.81</v>
      </c>
      <c r="X30" s="114">
        <f>ROUND('[7]2026'!X34,2)</f>
        <v>11157.82</v>
      </c>
      <c r="Y30" s="114">
        <f>ROUND('[7]2026'!Y34,2)</f>
        <v>11089.89</v>
      </c>
      <c r="Z30" s="114">
        <f>ROUND('[7]2026'!Z34,2)</f>
        <v>10716.22</v>
      </c>
      <c r="AA30" s="114">
        <f>ROUND('[7]2026'!AA34,2)</f>
        <v>10030.9</v>
      </c>
      <c r="AB30" s="114">
        <f>ROUND('[7]2026'!AB34,2)</f>
        <v>9230.0499999999993</v>
      </c>
      <c r="AC30" s="262"/>
      <c r="AD30" s="19"/>
    </row>
    <row r="31" spans="2:31" ht="18.649999999999999" customHeight="1" x14ac:dyDescent="0.35">
      <c r="B31" s="263">
        <v>46174</v>
      </c>
      <c r="C31" s="7" t="s">
        <v>29</v>
      </c>
      <c r="D31" s="117">
        <f>+'[7]2026'!D35</f>
        <v>19</v>
      </c>
      <c r="E31" s="112">
        <f>ROUND('[7]2026'!E35,2)</f>
        <v>7825.8</v>
      </c>
      <c r="F31" s="112">
        <f>ROUND('[7]2026'!F35,2)</f>
        <v>7437.29</v>
      </c>
      <c r="G31" s="112">
        <f>ROUND('[7]2026'!G35,2)</f>
        <v>7150.24</v>
      </c>
      <c r="H31" s="112">
        <f>ROUND('[7]2026'!H35,2)</f>
        <v>6958.69</v>
      </c>
      <c r="I31" s="112">
        <f>ROUND('[7]2026'!I35,2)</f>
        <v>6907.52</v>
      </c>
      <c r="J31" s="112">
        <f>ROUND('[7]2026'!J35,2)</f>
        <v>6834.14</v>
      </c>
      <c r="K31" s="112">
        <f>ROUND('[7]2026'!K35,2)</f>
        <v>6948.17</v>
      </c>
      <c r="L31" s="112">
        <f>ROUND('[7]2026'!L35,2)</f>
        <v>7785.11</v>
      </c>
      <c r="M31" s="112">
        <f>ROUND('[7]2026'!M35,2)</f>
        <v>8705.3700000000008</v>
      </c>
      <c r="N31" s="112">
        <f>ROUND('[7]2026'!N35,2)</f>
        <v>9271.2199999999993</v>
      </c>
      <c r="O31" s="112">
        <f>ROUND('[7]2026'!O35,2)</f>
        <v>9762.93</v>
      </c>
      <c r="P31" s="112">
        <f>ROUND('[7]2026'!P35,2)</f>
        <v>10033.540000000001</v>
      </c>
      <c r="Q31" s="112">
        <f>ROUND('[7]2026'!Q35,2)</f>
        <v>9885.42</v>
      </c>
      <c r="R31" s="112">
        <f>ROUND('[7]2026'!R35,2)</f>
        <v>9715.68</v>
      </c>
      <c r="S31" s="112">
        <f>ROUND('[7]2026'!S35,2)</f>
        <v>9723.8799999999992</v>
      </c>
      <c r="T31" s="112">
        <f>ROUND('[7]2026'!T35,2)</f>
        <v>9695.92</v>
      </c>
      <c r="U31" s="112">
        <f>ROUND('[7]2026'!U35,2)</f>
        <v>9597.69</v>
      </c>
      <c r="V31" s="112">
        <f>ROUND('[7]2026'!V35,2)</f>
        <v>9607.94</v>
      </c>
      <c r="W31" s="112">
        <f>ROUND('[7]2026'!W35,2)</f>
        <v>10435.65</v>
      </c>
      <c r="X31" s="112">
        <f>ROUND('[7]2026'!X35,2)</f>
        <v>10584.62</v>
      </c>
      <c r="Y31" s="112">
        <f>ROUND('[7]2026'!Y35,2)</f>
        <v>10215.83</v>
      </c>
      <c r="Z31" s="112">
        <f>ROUND('[7]2026'!Z35,2)</f>
        <v>9794.92</v>
      </c>
      <c r="AA31" s="112">
        <f>ROUND('[7]2026'!AA35,2)</f>
        <v>9275.44</v>
      </c>
      <c r="AB31" s="112">
        <f>ROUND('[7]2026'!AB35,2)</f>
        <v>8688.49</v>
      </c>
      <c r="AC31" s="266">
        <f>SUM(E31:AB31)*D31+SUM(E32:AB32)*D32+SUM(E33:AB33)*D33+SUM(E34:AB34)*D34</f>
        <v>6344130.4600000009</v>
      </c>
      <c r="AD31" s="19"/>
    </row>
    <row r="32" spans="2:31" ht="18.649999999999999" customHeight="1" x14ac:dyDescent="0.35">
      <c r="B32" s="264" t="s">
        <v>34</v>
      </c>
      <c r="C32" s="10" t="s">
        <v>30</v>
      </c>
      <c r="D32" s="118">
        <f>+'[7]2026'!D36</f>
        <v>4</v>
      </c>
      <c r="E32" s="113">
        <f>ROUND('[7]2026'!E36,2)</f>
        <v>8059.09</v>
      </c>
      <c r="F32" s="113">
        <f>ROUND('[7]2026'!F36,2)</f>
        <v>7662.49</v>
      </c>
      <c r="G32" s="113">
        <f>ROUND('[7]2026'!G36,2)</f>
        <v>7361.13</v>
      </c>
      <c r="H32" s="113">
        <f>ROUND('[7]2026'!H36,2)</f>
        <v>7152.02</v>
      </c>
      <c r="I32" s="113">
        <f>ROUND('[7]2026'!I36,2)</f>
        <v>7127.41</v>
      </c>
      <c r="J32" s="113">
        <f>ROUND('[7]2026'!J36,2)</f>
        <v>7207.4</v>
      </c>
      <c r="K32" s="113">
        <f>ROUND('[7]2026'!K36,2)</f>
        <v>7256.32</v>
      </c>
      <c r="L32" s="113">
        <f>ROUND('[7]2026'!L36,2)</f>
        <v>8072.64</v>
      </c>
      <c r="M32" s="113">
        <f>ROUND('[7]2026'!M36,2)</f>
        <v>8935.0300000000007</v>
      </c>
      <c r="N32" s="113">
        <f>ROUND('[7]2026'!N36,2)</f>
        <v>9434.0499999999993</v>
      </c>
      <c r="O32" s="113">
        <f>ROUND('[7]2026'!O36,2)</f>
        <v>9904.94</v>
      </c>
      <c r="P32" s="113">
        <f>ROUND('[7]2026'!P36,2)</f>
        <v>10212.24</v>
      </c>
      <c r="Q32" s="113">
        <f>ROUND('[7]2026'!Q36,2)</f>
        <v>9952.2000000000007</v>
      </c>
      <c r="R32" s="113">
        <f>ROUND('[7]2026'!R36,2)</f>
        <v>10191.6</v>
      </c>
      <c r="S32" s="113">
        <f>ROUND('[7]2026'!S36,2)</f>
        <v>10537.65</v>
      </c>
      <c r="T32" s="113">
        <f>ROUND('[7]2026'!T36,2)</f>
        <v>10551.49</v>
      </c>
      <c r="U32" s="113">
        <f>ROUND('[7]2026'!U36,2)</f>
        <v>10355.1</v>
      </c>
      <c r="V32" s="113">
        <f>ROUND('[7]2026'!V36,2)</f>
        <v>10014.75</v>
      </c>
      <c r="W32" s="113">
        <f>ROUND('[7]2026'!W36,2)</f>
        <v>10603.47</v>
      </c>
      <c r="X32" s="113">
        <f>ROUND('[7]2026'!X36,2)</f>
        <v>10913.73</v>
      </c>
      <c r="Y32" s="113">
        <f>ROUND('[7]2026'!Y36,2)</f>
        <v>10664.85</v>
      </c>
      <c r="Z32" s="113">
        <f>ROUND('[7]2026'!Z36,2)</f>
        <v>10212.84</v>
      </c>
      <c r="AA32" s="113">
        <f>ROUND('[7]2026'!AA36,2)</f>
        <v>9475.9699999999993</v>
      </c>
      <c r="AB32" s="113">
        <f>ROUND('[7]2026'!AB36,2)</f>
        <v>8704.85</v>
      </c>
      <c r="AC32" s="262"/>
      <c r="AD32" s="19"/>
    </row>
    <row r="33" spans="2:30" ht="18.649999999999999" customHeight="1" x14ac:dyDescent="0.35">
      <c r="B33" s="264" t="s">
        <v>34</v>
      </c>
      <c r="C33" s="10" t="s">
        <v>31</v>
      </c>
      <c r="D33" s="118">
        <f>+'[7]2026'!D37</f>
        <v>4</v>
      </c>
      <c r="E33" s="113">
        <f>ROUND('[7]2026'!E37,2)</f>
        <v>7671.12</v>
      </c>
      <c r="F33" s="113">
        <f>ROUND('[7]2026'!F37,2)</f>
        <v>7361.08</v>
      </c>
      <c r="G33" s="113">
        <f>ROUND('[7]2026'!G37,2)</f>
        <v>7107.73</v>
      </c>
      <c r="H33" s="113">
        <f>ROUND('[7]2026'!H37,2)</f>
        <v>6943.58</v>
      </c>
      <c r="I33" s="113">
        <f>ROUND('[7]2026'!I37,2)</f>
        <v>6878.1</v>
      </c>
      <c r="J33" s="113">
        <f>ROUND('[7]2026'!J37,2)</f>
        <v>6685.5</v>
      </c>
      <c r="K33" s="113">
        <f>ROUND('[7]2026'!K37,2)</f>
        <v>6597.53</v>
      </c>
      <c r="L33" s="113">
        <f>ROUND('[7]2026'!L37,2)</f>
        <v>7134.99</v>
      </c>
      <c r="M33" s="113">
        <f>ROUND('[7]2026'!M37,2)</f>
        <v>7756.51</v>
      </c>
      <c r="N33" s="113">
        <f>ROUND('[7]2026'!N37,2)</f>
        <v>8143.78</v>
      </c>
      <c r="O33" s="113">
        <f>ROUND('[7]2026'!O37,2)</f>
        <v>8603.0400000000009</v>
      </c>
      <c r="P33" s="113">
        <f>ROUND('[7]2026'!P37,2)</f>
        <v>8942.91</v>
      </c>
      <c r="Q33" s="113">
        <f>ROUND('[7]2026'!Q37,2)</f>
        <v>9116.25</v>
      </c>
      <c r="R33" s="113">
        <f>ROUND('[7]2026'!R37,2)</f>
        <v>9080.11</v>
      </c>
      <c r="S33" s="113">
        <f>ROUND('[7]2026'!S37,2)</f>
        <v>9004.58</v>
      </c>
      <c r="T33" s="113">
        <f>ROUND('[7]2026'!T37,2)</f>
        <v>8935.15</v>
      </c>
      <c r="U33" s="113">
        <f>ROUND('[7]2026'!U37,2)</f>
        <v>8866.81</v>
      </c>
      <c r="V33" s="113">
        <f>ROUND('[7]2026'!V37,2)</f>
        <v>9000.57</v>
      </c>
      <c r="W33" s="113">
        <f>ROUND('[7]2026'!W37,2)</f>
        <v>10087.120000000001</v>
      </c>
      <c r="X33" s="113">
        <f>ROUND('[7]2026'!X37,2)</f>
        <v>10487.97</v>
      </c>
      <c r="Y33" s="113">
        <f>ROUND('[7]2026'!Y37,2)</f>
        <v>10354.89</v>
      </c>
      <c r="Z33" s="113">
        <f>ROUND('[7]2026'!Z37,2)</f>
        <v>9972.2999999999993</v>
      </c>
      <c r="AA33" s="113">
        <f>ROUND('[7]2026'!AA37,2)</f>
        <v>9298.3700000000008</v>
      </c>
      <c r="AB33" s="113">
        <f>ROUND('[7]2026'!AB37,2)</f>
        <v>8525.57</v>
      </c>
      <c r="AC33" s="262"/>
      <c r="AD33" s="19"/>
    </row>
    <row r="34" spans="2:30" ht="18.649999999999999" customHeight="1" thickBot="1" x14ac:dyDescent="0.4">
      <c r="B34" s="265" t="s">
        <v>34</v>
      </c>
      <c r="C34" s="12" t="s">
        <v>32</v>
      </c>
      <c r="D34" s="120">
        <f>+'[7]2026'!D38</f>
        <v>3</v>
      </c>
      <c r="E34" s="115">
        <f>ROUND('[7]2026'!E38,2)</f>
        <v>7671.12</v>
      </c>
      <c r="F34" s="115">
        <f>ROUND('[7]2026'!F38,2)</f>
        <v>7361.08</v>
      </c>
      <c r="G34" s="115">
        <f>ROUND('[7]2026'!G38,2)</f>
        <v>7107.73</v>
      </c>
      <c r="H34" s="115">
        <f>ROUND('[7]2026'!H38,2)</f>
        <v>6943.58</v>
      </c>
      <c r="I34" s="115">
        <f>ROUND('[7]2026'!I38,2)</f>
        <v>6878.1</v>
      </c>
      <c r="J34" s="115">
        <f>ROUND('[7]2026'!J38,2)</f>
        <v>6685.5</v>
      </c>
      <c r="K34" s="115">
        <f>ROUND('[7]2026'!K38,2)</f>
        <v>6597.53</v>
      </c>
      <c r="L34" s="115">
        <f>ROUND('[7]2026'!L38,2)</f>
        <v>7134.99</v>
      </c>
      <c r="M34" s="115">
        <f>ROUND('[7]2026'!M38,2)</f>
        <v>7756.51</v>
      </c>
      <c r="N34" s="115">
        <f>ROUND('[7]2026'!N38,2)</f>
        <v>8143.78</v>
      </c>
      <c r="O34" s="115">
        <f>ROUND('[7]2026'!O38,2)</f>
        <v>8603.0400000000009</v>
      </c>
      <c r="P34" s="115">
        <f>ROUND('[7]2026'!P38,2)</f>
        <v>8942.91</v>
      </c>
      <c r="Q34" s="115">
        <f>ROUND('[7]2026'!Q38,2)</f>
        <v>9116.25</v>
      </c>
      <c r="R34" s="115">
        <f>ROUND('[7]2026'!R38,2)</f>
        <v>9080.11</v>
      </c>
      <c r="S34" s="115">
        <f>ROUND('[7]2026'!S38,2)</f>
        <v>9004.58</v>
      </c>
      <c r="T34" s="115">
        <f>ROUND('[7]2026'!T38,2)</f>
        <v>8935.15</v>
      </c>
      <c r="U34" s="115">
        <f>ROUND('[7]2026'!U38,2)</f>
        <v>8866.81</v>
      </c>
      <c r="V34" s="115">
        <f>ROUND('[7]2026'!V38,2)</f>
        <v>9000.57</v>
      </c>
      <c r="W34" s="115">
        <f>ROUND('[7]2026'!W38,2)</f>
        <v>10087.120000000001</v>
      </c>
      <c r="X34" s="115">
        <f>ROUND('[7]2026'!X38,2)</f>
        <v>10487.97</v>
      </c>
      <c r="Y34" s="115">
        <f>ROUND('[7]2026'!Y38,2)</f>
        <v>10354.89</v>
      </c>
      <c r="Z34" s="115">
        <f>ROUND('[7]2026'!Z38,2)</f>
        <v>9972.2999999999993</v>
      </c>
      <c r="AA34" s="115">
        <f>ROUND('[7]2026'!AA38,2)</f>
        <v>9298.3700000000008</v>
      </c>
      <c r="AB34" s="115">
        <f>ROUND('[7]2026'!AB38,2)</f>
        <v>8525.57</v>
      </c>
      <c r="AC34" s="267"/>
      <c r="AD34" s="19"/>
    </row>
    <row r="35" spans="2:30" ht="18.649999999999999" customHeight="1" x14ac:dyDescent="0.35">
      <c r="B35" s="260">
        <v>46204</v>
      </c>
      <c r="C35" s="14" t="s">
        <v>29</v>
      </c>
      <c r="D35" s="121">
        <f>+'[7]2026'!D39</f>
        <v>22</v>
      </c>
      <c r="E35" s="116">
        <f>ROUND('[7]2026'!E39,2)</f>
        <v>8078.9</v>
      </c>
      <c r="F35" s="116">
        <f>ROUND('[7]2026'!F39,2)</f>
        <v>7690.1</v>
      </c>
      <c r="G35" s="116">
        <f>ROUND('[7]2026'!G39,2)</f>
        <v>7433.8</v>
      </c>
      <c r="H35" s="116">
        <f>ROUND('[7]2026'!H39,2)</f>
        <v>7244.06</v>
      </c>
      <c r="I35" s="116">
        <f>ROUND('[7]2026'!I39,2)</f>
        <v>7214.64</v>
      </c>
      <c r="J35" s="116">
        <f>ROUND('[7]2026'!J39,2)</f>
        <v>7181.01</v>
      </c>
      <c r="K35" s="116">
        <f>ROUND('[7]2026'!K39,2)</f>
        <v>7247.11</v>
      </c>
      <c r="L35" s="116">
        <f>ROUND('[7]2026'!L39,2)</f>
        <v>8092.51</v>
      </c>
      <c r="M35" s="116">
        <f>ROUND('[7]2026'!M39,2)</f>
        <v>9076.0499999999993</v>
      </c>
      <c r="N35" s="116">
        <f>ROUND('[7]2026'!N39,2)</f>
        <v>9633.27</v>
      </c>
      <c r="O35" s="116">
        <f>ROUND('[7]2026'!O39,2)</f>
        <v>10134.48</v>
      </c>
      <c r="P35" s="116">
        <f>ROUND('[7]2026'!P39,2)</f>
        <v>10362.530000000001</v>
      </c>
      <c r="Q35" s="116">
        <f>ROUND('[7]2026'!Q39,2)</f>
        <v>10227.34</v>
      </c>
      <c r="R35" s="116">
        <f>ROUND('[7]2026'!R39,2)</f>
        <v>10085.51</v>
      </c>
      <c r="S35" s="116">
        <f>ROUND('[7]2026'!S39,2)</f>
        <v>10102.040000000001</v>
      </c>
      <c r="T35" s="116">
        <f>ROUND('[7]2026'!T39,2)</f>
        <v>10129.700000000001</v>
      </c>
      <c r="U35" s="116">
        <f>ROUND('[7]2026'!U39,2)</f>
        <v>9988.07</v>
      </c>
      <c r="V35" s="116">
        <f>ROUND('[7]2026'!V39,2)</f>
        <v>9965.6299999999992</v>
      </c>
      <c r="W35" s="116">
        <f>ROUND('[7]2026'!W39,2)</f>
        <v>10809.71</v>
      </c>
      <c r="X35" s="116">
        <f>ROUND('[7]2026'!X39,2)</f>
        <v>11096.96</v>
      </c>
      <c r="Y35" s="116">
        <f>ROUND('[7]2026'!Y39,2)</f>
        <v>10743.59</v>
      </c>
      <c r="Z35" s="116">
        <f>ROUND('[7]2026'!Z39,2)</f>
        <v>10267.24</v>
      </c>
      <c r="AA35" s="116">
        <f>ROUND('[7]2026'!AA39,2)</f>
        <v>9661.17</v>
      </c>
      <c r="AB35" s="116">
        <f>ROUND('[7]2026'!AB39,2)</f>
        <v>9015.49</v>
      </c>
      <c r="AC35" s="262">
        <f>SUM(E35:AB35)*D35+SUM(E36:AB36)*D36+SUM(E37:AB37)*D37+SUM(E38:AB38)*D38</f>
        <v>6880357.3500000006</v>
      </c>
      <c r="AD35" s="19"/>
    </row>
    <row r="36" spans="2:30" ht="18.649999999999999" customHeight="1" x14ac:dyDescent="0.35">
      <c r="B36" s="261"/>
      <c r="C36" s="10" t="s">
        <v>30</v>
      </c>
      <c r="D36" s="118">
        <f>+'[7]2026'!D40</f>
        <v>4</v>
      </c>
      <c r="E36" s="113">
        <f>ROUND('[7]2026'!E40,2)</f>
        <v>8593.08</v>
      </c>
      <c r="F36" s="113">
        <f>ROUND('[7]2026'!F40,2)</f>
        <v>8143.02</v>
      </c>
      <c r="G36" s="113">
        <f>ROUND('[7]2026'!G40,2)</f>
        <v>7813.16</v>
      </c>
      <c r="H36" s="113">
        <f>ROUND('[7]2026'!H40,2)</f>
        <v>7580.43</v>
      </c>
      <c r="I36" s="113">
        <f>ROUND('[7]2026'!I40,2)</f>
        <v>7564.38</v>
      </c>
      <c r="J36" s="113">
        <f>ROUND('[7]2026'!J40,2)</f>
        <v>7702.94</v>
      </c>
      <c r="K36" s="113">
        <f>ROUND('[7]2026'!K40,2)</f>
        <v>7748.12</v>
      </c>
      <c r="L36" s="113">
        <f>ROUND('[7]2026'!L40,2)</f>
        <v>8592.9599999999991</v>
      </c>
      <c r="M36" s="113">
        <f>ROUND('[7]2026'!M40,2)</f>
        <v>9502.31</v>
      </c>
      <c r="N36" s="113">
        <f>ROUND('[7]2026'!N40,2)</f>
        <v>10019.129999999999</v>
      </c>
      <c r="O36" s="113">
        <f>ROUND('[7]2026'!O40,2)</f>
        <v>10541.45</v>
      </c>
      <c r="P36" s="113">
        <f>ROUND('[7]2026'!P40,2)</f>
        <v>10918.38</v>
      </c>
      <c r="Q36" s="113">
        <f>ROUND('[7]2026'!Q40,2)</f>
        <v>10633.15</v>
      </c>
      <c r="R36" s="113">
        <f>ROUND('[7]2026'!R40,2)</f>
        <v>10846.29</v>
      </c>
      <c r="S36" s="113">
        <f>ROUND('[7]2026'!S40,2)</f>
        <v>11204.45</v>
      </c>
      <c r="T36" s="113">
        <f>ROUND('[7]2026'!T40,2)</f>
        <v>11204.56</v>
      </c>
      <c r="U36" s="113">
        <f>ROUND('[7]2026'!U40,2)</f>
        <v>10990.77</v>
      </c>
      <c r="V36" s="113">
        <f>ROUND('[7]2026'!V40,2)</f>
        <v>10675.39</v>
      </c>
      <c r="W36" s="113">
        <f>ROUND('[7]2026'!W40,2)</f>
        <v>11409.05</v>
      </c>
      <c r="X36" s="113">
        <f>ROUND('[7]2026'!X40,2)</f>
        <v>11644.14</v>
      </c>
      <c r="Y36" s="113">
        <f>ROUND('[7]2026'!Y40,2)</f>
        <v>11398.01</v>
      </c>
      <c r="Z36" s="113">
        <f>ROUND('[7]2026'!Z40,2)</f>
        <v>10913.3</v>
      </c>
      <c r="AA36" s="113">
        <f>ROUND('[7]2026'!AA40,2)</f>
        <v>10116.549999999999</v>
      </c>
      <c r="AB36" s="113">
        <f>ROUND('[7]2026'!AB40,2)</f>
        <v>9258.85</v>
      </c>
      <c r="AC36" s="262"/>
      <c r="AD36" s="19"/>
    </row>
    <row r="37" spans="2:30" ht="18.649999999999999" customHeight="1" x14ac:dyDescent="0.35">
      <c r="B37" s="261"/>
      <c r="C37" s="10" t="s">
        <v>31</v>
      </c>
      <c r="D37" s="118">
        <f>+'[7]2026'!D41</f>
        <v>4</v>
      </c>
      <c r="E37" s="113">
        <f>ROUND('[7]2026'!E41,2)</f>
        <v>8105.12</v>
      </c>
      <c r="F37" s="113">
        <f>ROUND('[7]2026'!F41,2)</f>
        <v>7779.55</v>
      </c>
      <c r="G37" s="113">
        <f>ROUND('[7]2026'!G41,2)</f>
        <v>7503.96</v>
      </c>
      <c r="H37" s="113">
        <f>ROUND('[7]2026'!H41,2)</f>
        <v>7251.67</v>
      </c>
      <c r="I37" s="113">
        <f>ROUND('[7]2026'!I41,2)</f>
        <v>7166.97</v>
      </c>
      <c r="J37" s="113">
        <f>ROUND('[7]2026'!J41,2)</f>
        <v>7055.29</v>
      </c>
      <c r="K37" s="113">
        <f>ROUND('[7]2026'!K41,2)</f>
        <v>6920.82</v>
      </c>
      <c r="L37" s="113">
        <f>ROUND('[7]2026'!L41,2)</f>
        <v>7436.88</v>
      </c>
      <c r="M37" s="113">
        <f>ROUND('[7]2026'!M41,2)</f>
        <v>8111.27</v>
      </c>
      <c r="N37" s="113">
        <f>ROUND('[7]2026'!N41,2)</f>
        <v>8655.48</v>
      </c>
      <c r="O37" s="113">
        <f>ROUND('[7]2026'!O41,2)</f>
        <v>9045.7800000000007</v>
      </c>
      <c r="P37" s="113">
        <f>ROUND('[7]2026'!P41,2)</f>
        <v>9243.59</v>
      </c>
      <c r="Q37" s="113">
        <f>ROUND('[7]2026'!Q41,2)</f>
        <v>9583</v>
      </c>
      <c r="R37" s="113">
        <f>ROUND('[7]2026'!R41,2)</f>
        <v>9605.2900000000009</v>
      </c>
      <c r="S37" s="113">
        <f>ROUND('[7]2026'!S41,2)</f>
        <v>9588.24</v>
      </c>
      <c r="T37" s="113">
        <f>ROUND('[7]2026'!T41,2)</f>
        <v>9615.74</v>
      </c>
      <c r="U37" s="113">
        <f>ROUND('[7]2026'!U41,2)</f>
        <v>9540.64</v>
      </c>
      <c r="V37" s="113">
        <f>ROUND('[7]2026'!V41,2)</f>
        <v>9454.2199999999993</v>
      </c>
      <c r="W37" s="113">
        <f>ROUND('[7]2026'!W41,2)</f>
        <v>10448.26</v>
      </c>
      <c r="X37" s="113">
        <f>ROUND('[7]2026'!X41,2)</f>
        <v>11021.4</v>
      </c>
      <c r="Y37" s="113">
        <f>ROUND('[7]2026'!Y41,2)</f>
        <v>10872.36</v>
      </c>
      <c r="Z37" s="113">
        <f>ROUND('[7]2026'!Z41,2)</f>
        <v>10499.95</v>
      </c>
      <c r="AA37" s="113">
        <f>ROUND('[7]2026'!AA41,2)</f>
        <v>9870.1</v>
      </c>
      <c r="AB37" s="113">
        <f>ROUND('[7]2026'!AB41,2)</f>
        <v>9168.7900000000009</v>
      </c>
      <c r="AC37" s="262"/>
      <c r="AD37" s="19"/>
    </row>
    <row r="38" spans="2:30" ht="18.649999999999999" customHeight="1" thickBot="1" x14ac:dyDescent="0.4">
      <c r="B38" s="261"/>
      <c r="C38" s="16" t="s">
        <v>32</v>
      </c>
      <c r="D38" s="119">
        <f>+'[7]2026'!D42</f>
        <v>1</v>
      </c>
      <c r="E38" s="114">
        <f>ROUND('[7]2026'!E42,2)</f>
        <v>8105.12</v>
      </c>
      <c r="F38" s="114">
        <f>ROUND('[7]2026'!F42,2)</f>
        <v>7779.55</v>
      </c>
      <c r="G38" s="114">
        <f>ROUND('[7]2026'!G42,2)</f>
        <v>7503.96</v>
      </c>
      <c r="H38" s="114">
        <f>ROUND('[7]2026'!H42,2)</f>
        <v>7251.67</v>
      </c>
      <c r="I38" s="114">
        <f>ROUND('[7]2026'!I42,2)</f>
        <v>7166.97</v>
      </c>
      <c r="J38" s="114">
        <f>ROUND('[7]2026'!J42,2)</f>
        <v>7055.29</v>
      </c>
      <c r="K38" s="114">
        <f>ROUND('[7]2026'!K42,2)</f>
        <v>6920.82</v>
      </c>
      <c r="L38" s="114">
        <f>ROUND('[7]2026'!L42,2)</f>
        <v>7436.88</v>
      </c>
      <c r="M38" s="114">
        <f>ROUND('[7]2026'!M42,2)</f>
        <v>8111.27</v>
      </c>
      <c r="N38" s="114">
        <f>ROUND('[7]2026'!N42,2)</f>
        <v>8655.48</v>
      </c>
      <c r="O38" s="114">
        <f>ROUND('[7]2026'!O42,2)</f>
        <v>9045.7800000000007</v>
      </c>
      <c r="P38" s="114">
        <f>ROUND('[7]2026'!P42,2)</f>
        <v>9243.59</v>
      </c>
      <c r="Q38" s="114">
        <f>ROUND('[7]2026'!Q42,2)</f>
        <v>9583</v>
      </c>
      <c r="R38" s="114">
        <f>ROUND('[7]2026'!R42,2)</f>
        <v>9605.2900000000009</v>
      </c>
      <c r="S38" s="114">
        <f>ROUND('[7]2026'!S42,2)</f>
        <v>9588.24</v>
      </c>
      <c r="T38" s="114">
        <f>ROUND('[7]2026'!T42,2)</f>
        <v>9615.74</v>
      </c>
      <c r="U38" s="114">
        <f>ROUND('[7]2026'!U42,2)</f>
        <v>9540.64</v>
      </c>
      <c r="V38" s="114">
        <f>ROUND('[7]2026'!V42,2)</f>
        <v>9454.2199999999993</v>
      </c>
      <c r="W38" s="114">
        <f>ROUND('[7]2026'!W42,2)</f>
        <v>10448.26</v>
      </c>
      <c r="X38" s="114">
        <f>ROUND('[7]2026'!X42,2)</f>
        <v>11021.4</v>
      </c>
      <c r="Y38" s="114">
        <f>ROUND('[7]2026'!Y42,2)</f>
        <v>10872.36</v>
      </c>
      <c r="Z38" s="114">
        <f>ROUND('[7]2026'!Z42,2)</f>
        <v>10499.95</v>
      </c>
      <c r="AA38" s="114">
        <f>ROUND('[7]2026'!AA42,2)</f>
        <v>9870.1</v>
      </c>
      <c r="AB38" s="114">
        <f>ROUND('[7]2026'!AB42,2)</f>
        <v>9168.7900000000009</v>
      </c>
      <c r="AC38" s="262"/>
      <c r="AD38" s="19"/>
    </row>
    <row r="39" spans="2:30" ht="18.649999999999999" customHeight="1" x14ac:dyDescent="0.35">
      <c r="B39" s="263">
        <v>46235</v>
      </c>
      <c r="C39" s="7" t="s">
        <v>29</v>
      </c>
      <c r="D39" s="117">
        <f>+'[7]2026'!D43</f>
        <v>19</v>
      </c>
      <c r="E39" s="112">
        <f>ROUND('[7]2026'!E43,2)</f>
        <v>8376.33</v>
      </c>
      <c r="F39" s="112">
        <f>ROUND('[7]2026'!F43,2)</f>
        <v>7924.97</v>
      </c>
      <c r="G39" s="112">
        <f>ROUND('[7]2026'!G43,2)</f>
        <v>7588.19</v>
      </c>
      <c r="H39" s="112">
        <f>ROUND('[7]2026'!H43,2)</f>
        <v>7362.66</v>
      </c>
      <c r="I39" s="112">
        <f>ROUND('[7]2026'!I43,2)</f>
        <v>7279.82</v>
      </c>
      <c r="J39" s="112">
        <f>ROUND('[7]2026'!J43,2)</f>
        <v>7258.95</v>
      </c>
      <c r="K39" s="112">
        <f>ROUND('[7]2026'!K43,2)</f>
        <v>7282.79</v>
      </c>
      <c r="L39" s="112">
        <f>ROUND('[7]2026'!L43,2)</f>
        <v>8123.14</v>
      </c>
      <c r="M39" s="112">
        <f>ROUND('[7]2026'!M43,2)</f>
        <v>9069.32</v>
      </c>
      <c r="N39" s="112">
        <f>ROUND('[7]2026'!N43,2)</f>
        <v>9650.84</v>
      </c>
      <c r="O39" s="112">
        <f>ROUND('[7]2026'!O43,2)</f>
        <v>10133.790000000001</v>
      </c>
      <c r="P39" s="112">
        <f>ROUND('[7]2026'!P43,2)</f>
        <v>10441.879999999999</v>
      </c>
      <c r="Q39" s="112">
        <f>ROUND('[7]2026'!Q43,2)</f>
        <v>10268.61</v>
      </c>
      <c r="R39" s="112">
        <f>ROUND('[7]2026'!R43,2)</f>
        <v>10122.280000000001</v>
      </c>
      <c r="S39" s="112">
        <f>ROUND('[7]2026'!S43,2)</f>
        <v>10107.040000000001</v>
      </c>
      <c r="T39" s="112">
        <f>ROUND('[7]2026'!T43,2)</f>
        <v>10024.56</v>
      </c>
      <c r="U39" s="112">
        <f>ROUND('[7]2026'!U43,2)</f>
        <v>9823.6200000000008</v>
      </c>
      <c r="V39" s="112">
        <f>ROUND('[7]2026'!V43,2)</f>
        <v>9810.59</v>
      </c>
      <c r="W39" s="112">
        <f>ROUND('[7]2026'!W43,2)</f>
        <v>10700.03</v>
      </c>
      <c r="X39" s="112">
        <f>ROUND('[7]2026'!X43,2)</f>
        <v>10837.37</v>
      </c>
      <c r="Y39" s="112">
        <f>ROUND('[7]2026'!Y43,2)</f>
        <v>10519.77</v>
      </c>
      <c r="Z39" s="112">
        <f>ROUND('[7]2026'!Z43,2)</f>
        <v>10081.9</v>
      </c>
      <c r="AA39" s="112">
        <f>ROUND('[7]2026'!AA43,2)</f>
        <v>9464.2000000000007</v>
      </c>
      <c r="AB39" s="112">
        <f>ROUND('[7]2026'!AB43,2)</f>
        <v>8806.39</v>
      </c>
      <c r="AC39" s="266">
        <f>SUM(E39:AB39)*D39+SUM(E40:AB40)*D40+SUM(E41:AB41)*D41+SUM(E42:AB42)*D42</f>
        <v>6818865.1400000006</v>
      </c>
      <c r="AD39" s="19"/>
    </row>
    <row r="40" spans="2:30" ht="18.649999999999999" customHeight="1" x14ac:dyDescent="0.35">
      <c r="B40" s="264" t="s">
        <v>34</v>
      </c>
      <c r="C40" s="10" t="s">
        <v>30</v>
      </c>
      <c r="D40" s="118">
        <f>+'[7]2026'!D44</f>
        <v>5</v>
      </c>
      <c r="E40" s="113">
        <f>ROUND('[7]2026'!E44,2)</f>
        <v>8265.67</v>
      </c>
      <c r="F40" s="113">
        <f>ROUND('[7]2026'!F44,2)</f>
        <v>7855.39</v>
      </c>
      <c r="G40" s="113">
        <f>ROUND('[7]2026'!G44,2)</f>
        <v>7541.6</v>
      </c>
      <c r="H40" s="113">
        <f>ROUND('[7]2026'!H44,2)</f>
        <v>7320.31</v>
      </c>
      <c r="I40" s="113">
        <f>ROUND('[7]2026'!I44,2)</f>
        <v>7299.18</v>
      </c>
      <c r="J40" s="113">
        <f>ROUND('[7]2026'!J44,2)</f>
        <v>7418.6</v>
      </c>
      <c r="K40" s="113">
        <f>ROUND('[7]2026'!K44,2)</f>
        <v>7497.76</v>
      </c>
      <c r="L40" s="113">
        <f>ROUND('[7]2026'!L44,2)</f>
        <v>8353.1200000000008</v>
      </c>
      <c r="M40" s="113">
        <f>ROUND('[7]2026'!M44,2)</f>
        <v>9229.65</v>
      </c>
      <c r="N40" s="113">
        <f>ROUND('[7]2026'!N44,2)</f>
        <v>9726.18</v>
      </c>
      <c r="O40" s="113">
        <f>ROUND('[7]2026'!O44,2)</f>
        <v>10241.58</v>
      </c>
      <c r="P40" s="113">
        <f>ROUND('[7]2026'!P44,2)</f>
        <v>10590.31</v>
      </c>
      <c r="Q40" s="113">
        <f>ROUND('[7]2026'!Q44,2)</f>
        <v>10318.58</v>
      </c>
      <c r="R40" s="113">
        <f>ROUND('[7]2026'!R44,2)</f>
        <v>10562.61</v>
      </c>
      <c r="S40" s="113">
        <f>ROUND('[7]2026'!S44,2)</f>
        <v>10929.43</v>
      </c>
      <c r="T40" s="113">
        <f>ROUND('[7]2026'!T44,2)</f>
        <v>10937.21</v>
      </c>
      <c r="U40" s="113">
        <f>ROUND('[7]2026'!U44,2)</f>
        <v>10735.6</v>
      </c>
      <c r="V40" s="113">
        <f>ROUND('[7]2026'!V44,2)</f>
        <v>10555.16</v>
      </c>
      <c r="W40" s="113">
        <f>ROUND('[7]2026'!W44,2)</f>
        <v>11330.47</v>
      </c>
      <c r="X40" s="113">
        <f>ROUND('[7]2026'!X44,2)</f>
        <v>11284.45</v>
      </c>
      <c r="Y40" s="113">
        <f>ROUND('[7]2026'!Y44,2)</f>
        <v>10993.24</v>
      </c>
      <c r="Z40" s="113">
        <f>ROUND('[7]2026'!Z44,2)</f>
        <v>10489.39</v>
      </c>
      <c r="AA40" s="113">
        <f>ROUND('[7]2026'!AA44,2)</f>
        <v>9686.35</v>
      </c>
      <c r="AB40" s="113">
        <f>ROUND('[7]2026'!AB44,2)</f>
        <v>8862.4699999999993</v>
      </c>
      <c r="AC40" s="262"/>
      <c r="AD40" s="19"/>
    </row>
    <row r="41" spans="2:30" ht="18.649999999999999" customHeight="1" x14ac:dyDescent="0.35">
      <c r="B41" s="264" t="s">
        <v>34</v>
      </c>
      <c r="C41" s="10" t="s">
        <v>31</v>
      </c>
      <c r="D41" s="118">
        <f>+'[7]2026'!D45</f>
        <v>5</v>
      </c>
      <c r="E41" s="113">
        <f>ROUND('[7]2026'!E45,2)</f>
        <v>8261.5499999999993</v>
      </c>
      <c r="F41" s="113">
        <f>ROUND('[7]2026'!F45,2)</f>
        <v>7830.99</v>
      </c>
      <c r="G41" s="113">
        <f>ROUND('[7]2026'!G45,2)</f>
        <v>7496.59</v>
      </c>
      <c r="H41" s="113">
        <f>ROUND('[7]2026'!H45,2)</f>
        <v>7254.73</v>
      </c>
      <c r="I41" s="113">
        <f>ROUND('[7]2026'!I45,2)</f>
        <v>7153.23</v>
      </c>
      <c r="J41" s="113">
        <f>ROUND('[7]2026'!J45,2)</f>
        <v>7016.47</v>
      </c>
      <c r="K41" s="113">
        <f>ROUND('[7]2026'!K45,2)</f>
        <v>6866.84</v>
      </c>
      <c r="L41" s="113">
        <f>ROUND('[7]2026'!L45,2)</f>
        <v>7366.39</v>
      </c>
      <c r="M41" s="113">
        <f>ROUND('[7]2026'!M45,2)</f>
        <v>7916.39</v>
      </c>
      <c r="N41" s="113">
        <f>ROUND('[7]2026'!N45,2)</f>
        <v>8412.07</v>
      </c>
      <c r="O41" s="113">
        <f>ROUND('[7]2026'!O45,2)</f>
        <v>8882.02</v>
      </c>
      <c r="P41" s="113">
        <f>ROUND('[7]2026'!P45,2)</f>
        <v>9284.1299999999992</v>
      </c>
      <c r="Q41" s="113">
        <f>ROUND('[7]2026'!Q45,2)</f>
        <v>9432.1</v>
      </c>
      <c r="R41" s="113">
        <f>ROUND('[7]2026'!R45,2)</f>
        <v>9386.83</v>
      </c>
      <c r="S41" s="113">
        <f>ROUND('[7]2026'!S45,2)</f>
        <v>9344.64</v>
      </c>
      <c r="T41" s="113">
        <f>ROUND('[7]2026'!T45,2)</f>
        <v>9374.42</v>
      </c>
      <c r="U41" s="113">
        <f>ROUND('[7]2026'!U45,2)</f>
        <v>9288.9</v>
      </c>
      <c r="V41" s="113">
        <f>ROUND('[7]2026'!V45,2)</f>
        <v>9278.39</v>
      </c>
      <c r="W41" s="113">
        <f>ROUND('[7]2026'!W45,2)</f>
        <v>10354.469999999999</v>
      </c>
      <c r="X41" s="113">
        <f>ROUND('[7]2026'!X45,2)</f>
        <v>10937.83</v>
      </c>
      <c r="Y41" s="113">
        <f>ROUND('[7]2026'!Y45,2)</f>
        <v>10879.5</v>
      </c>
      <c r="Z41" s="113">
        <f>ROUND('[7]2026'!Z45,2)</f>
        <v>10470.14</v>
      </c>
      <c r="AA41" s="113">
        <f>ROUND('[7]2026'!AA45,2)</f>
        <v>9760.32</v>
      </c>
      <c r="AB41" s="113">
        <f>ROUND('[7]2026'!AB45,2)</f>
        <v>8982.75</v>
      </c>
      <c r="AC41" s="262"/>
      <c r="AD41" s="19"/>
    </row>
    <row r="42" spans="2:30" ht="18.649999999999999" customHeight="1" thickBot="1" x14ac:dyDescent="0.4">
      <c r="B42" s="265" t="s">
        <v>34</v>
      </c>
      <c r="C42" s="12" t="s">
        <v>32</v>
      </c>
      <c r="D42" s="120">
        <f>+'[7]2026'!D46</f>
        <v>2</v>
      </c>
      <c r="E42" s="115">
        <f>ROUND('[7]2026'!E46,2)</f>
        <v>8261.5499999999993</v>
      </c>
      <c r="F42" s="115">
        <f>ROUND('[7]2026'!F46,2)</f>
        <v>7830.99</v>
      </c>
      <c r="G42" s="115">
        <f>ROUND('[7]2026'!G46,2)</f>
        <v>7496.59</v>
      </c>
      <c r="H42" s="115">
        <f>ROUND('[7]2026'!H46,2)</f>
        <v>7254.73</v>
      </c>
      <c r="I42" s="115">
        <f>ROUND('[7]2026'!I46,2)</f>
        <v>7153.23</v>
      </c>
      <c r="J42" s="115">
        <f>ROUND('[7]2026'!J46,2)</f>
        <v>7016.47</v>
      </c>
      <c r="K42" s="115">
        <f>ROUND('[7]2026'!K46,2)</f>
        <v>6866.84</v>
      </c>
      <c r="L42" s="115">
        <f>ROUND('[7]2026'!L46,2)</f>
        <v>7366.39</v>
      </c>
      <c r="M42" s="115">
        <f>ROUND('[7]2026'!M46,2)</f>
        <v>7916.39</v>
      </c>
      <c r="N42" s="115">
        <f>ROUND('[7]2026'!N46,2)</f>
        <v>8412.07</v>
      </c>
      <c r="O42" s="115">
        <f>ROUND('[7]2026'!O46,2)</f>
        <v>8882.02</v>
      </c>
      <c r="P42" s="115">
        <f>ROUND('[7]2026'!P46,2)</f>
        <v>9284.1299999999992</v>
      </c>
      <c r="Q42" s="115">
        <f>ROUND('[7]2026'!Q46,2)</f>
        <v>9432.1</v>
      </c>
      <c r="R42" s="115">
        <f>ROUND('[7]2026'!R46,2)</f>
        <v>9386.83</v>
      </c>
      <c r="S42" s="115">
        <f>ROUND('[7]2026'!S46,2)</f>
        <v>9344.64</v>
      </c>
      <c r="T42" s="115">
        <f>ROUND('[7]2026'!T46,2)</f>
        <v>9374.42</v>
      </c>
      <c r="U42" s="115">
        <f>ROUND('[7]2026'!U46,2)</f>
        <v>9288.9</v>
      </c>
      <c r="V42" s="115">
        <f>ROUND('[7]2026'!V46,2)</f>
        <v>9278.39</v>
      </c>
      <c r="W42" s="115">
        <f>ROUND('[7]2026'!W46,2)</f>
        <v>10354.469999999999</v>
      </c>
      <c r="X42" s="115">
        <f>ROUND('[7]2026'!X46,2)</f>
        <v>10937.83</v>
      </c>
      <c r="Y42" s="115">
        <f>ROUND('[7]2026'!Y46,2)</f>
        <v>10879.5</v>
      </c>
      <c r="Z42" s="115">
        <f>ROUND('[7]2026'!Z46,2)</f>
        <v>10470.14</v>
      </c>
      <c r="AA42" s="115">
        <f>ROUND('[7]2026'!AA46,2)</f>
        <v>9760.32</v>
      </c>
      <c r="AB42" s="115">
        <f>ROUND('[7]2026'!AB46,2)</f>
        <v>8982.75</v>
      </c>
      <c r="AC42" s="267"/>
      <c r="AD42" s="19"/>
    </row>
    <row r="43" spans="2:30" ht="18.649999999999999" customHeight="1" x14ac:dyDescent="0.35">
      <c r="B43" s="260">
        <v>46266</v>
      </c>
      <c r="C43" s="14" t="s">
        <v>29</v>
      </c>
      <c r="D43" s="121">
        <f>+'[7]2026'!D47</f>
        <v>22</v>
      </c>
      <c r="E43" s="116">
        <f>ROUND('[7]2026'!E47,2)</f>
        <v>8505.4599999999991</v>
      </c>
      <c r="F43" s="116">
        <f>ROUND('[7]2026'!F47,2)</f>
        <v>8071.34</v>
      </c>
      <c r="G43" s="116">
        <f>ROUND('[7]2026'!G47,2)</f>
        <v>7735.47</v>
      </c>
      <c r="H43" s="116">
        <f>ROUND('[7]2026'!H47,2)</f>
        <v>7497.52</v>
      </c>
      <c r="I43" s="116">
        <f>ROUND('[7]2026'!I47,2)</f>
        <v>7427.7</v>
      </c>
      <c r="J43" s="116">
        <f>ROUND('[7]2026'!J47,2)</f>
        <v>7331.81</v>
      </c>
      <c r="K43" s="116">
        <f>ROUND('[7]2026'!K47,2)</f>
        <v>7379.24</v>
      </c>
      <c r="L43" s="116">
        <f>ROUND('[7]2026'!L47,2)</f>
        <v>8256.82</v>
      </c>
      <c r="M43" s="116">
        <f>ROUND('[7]2026'!M47,2)</f>
        <v>9194.09</v>
      </c>
      <c r="N43" s="116">
        <f>ROUND('[7]2026'!N47,2)</f>
        <v>9734.61</v>
      </c>
      <c r="O43" s="116">
        <f>ROUND('[7]2026'!O47,2)</f>
        <v>10195.120000000001</v>
      </c>
      <c r="P43" s="116">
        <f>ROUND('[7]2026'!P47,2)</f>
        <v>10423.74</v>
      </c>
      <c r="Q43" s="116">
        <f>ROUND('[7]2026'!Q47,2)</f>
        <v>10226.07</v>
      </c>
      <c r="R43" s="116">
        <f>ROUND('[7]2026'!R47,2)</f>
        <v>10078.48</v>
      </c>
      <c r="S43" s="116">
        <f>ROUND('[7]2026'!S47,2)</f>
        <v>10066.43</v>
      </c>
      <c r="T43" s="116">
        <f>ROUND('[7]2026'!T47,2)</f>
        <v>10049.129999999999</v>
      </c>
      <c r="U43" s="116">
        <f>ROUND('[7]2026'!U47,2)</f>
        <v>9898.84</v>
      </c>
      <c r="V43" s="116">
        <f>ROUND('[7]2026'!V47,2)</f>
        <v>10014.790000000001</v>
      </c>
      <c r="W43" s="116">
        <f>ROUND('[7]2026'!W47,2)</f>
        <v>11055.62</v>
      </c>
      <c r="X43" s="116">
        <f>ROUND('[7]2026'!X47,2)</f>
        <v>10950.11</v>
      </c>
      <c r="Y43" s="116">
        <f>ROUND('[7]2026'!Y47,2)</f>
        <v>10570.09</v>
      </c>
      <c r="Z43" s="116">
        <f>ROUND('[7]2026'!Z47,2)</f>
        <v>10097.780000000001</v>
      </c>
      <c r="AA43" s="116">
        <f>ROUND('[7]2026'!AA47,2)</f>
        <v>9529.56</v>
      </c>
      <c r="AB43" s="116">
        <f>ROUND('[7]2026'!AB47,2)</f>
        <v>8903.1299999999992</v>
      </c>
      <c r="AC43" s="262">
        <f>SUM(E43:AB43)*D43+SUM(E44:AB44)*D44+SUM(E45:AB45)*D45+SUM(E46:AB46)*D46</f>
        <v>6736312.580000001</v>
      </c>
      <c r="AD43" s="19"/>
    </row>
    <row r="44" spans="2:30" ht="18.649999999999999" customHeight="1" x14ac:dyDescent="0.35">
      <c r="B44" s="261"/>
      <c r="C44" s="10" t="s">
        <v>30</v>
      </c>
      <c r="D44" s="118">
        <f>+'[7]2026'!D48</f>
        <v>4</v>
      </c>
      <c r="E44" s="113">
        <f>ROUND('[7]2026'!E48,2)</f>
        <v>7951.28</v>
      </c>
      <c r="F44" s="113">
        <f>ROUND('[7]2026'!F48,2)</f>
        <v>7551.11</v>
      </c>
      <c r="G44" s="113">
        <f>ROUND('[7]2026'!G48,2)</f>
        <v>7271.87</v>
      </c>
      <c r="H44" s="113">
        <f>ROUND('[7]2026'!H48,2)</f>
        <v>7066.04</v>
      </c>
      <c r="I44" s="113">
        <f>ROUND('[7]2026'!I48,2)</f>
        <v>7069.41</v>
      </c>
      <c r="J44" s="113">
        <f>ROUND('[7]2026'!J48,2)</f>
        <v>7186.57</v>
      </c>
      <c r="K44" s="113">
        <f>ROUND('[7]2026'!K48,2)</f>
        <v>7332.86</v>
      </c>
      <c r="L44" s="113">
        <f>ROUND('[7]2026'!L48,2)</f>
        <v>8227.4699999999993</v>
      </c>
      <c r="M44" s="113">
        <f>ROUND('[7]2026'!M48,2)</f>
        <v>9098.83</v>
      </c>
      <c r="N44" s="113">
        <f>ROUND('[7]2026'!N48,2)</f>
        <v>9574.34</v>
      </c>
      <c r="O44" s="113">
        <f>ROUND('[7]2026'!O48,2)</f>
        <v>10077.49</v>
      </c>
      <c r="P44" s="113">
        <f>ROUND('[7]2026'!P48,2)</f>
        <v>10424.27</v>
      </c>
      <c r="Q44" s="113">
        <f>ROUND('[7]2026'!Q48,2)</f>
        <v>10125.76</v>
      </c>
      <c r="R44" s="113">
        <f>ROUND('[7]2026'!R48,2)</f>
        <v>10353.48</v>
      </c>
      <c r="S44" s="113">
        <f>ROUND('[7]2026'!S48,2)</f>
        <v>10737.64</v>
      </c>
      <c r="T44" s="113">
        <f>ROUND('[7]2026'!T48,2)</f>
        <v>10757</v>
      </c>
      <c r="U44" s="113">
        <f>ROUND('[7]2026'!U48,2)</f>
        <v>10534.38</v>
      </c>
      <c r="V44" s="113">
        <f>ROUND('[7]2026'!V48,2)</f>
        <v>10563.45</v>
      </c>
      <c r="W44" s="113">
        <f>ROUND('[7]2026'!W48,2)</f>
        <v>11200.47</v>
      </c>
      <c r="X44" s="113">
        <f>ROUND('[7]2026'!X48,2)</f>
        <v>11010.23</v>
      </c>
      <c r="Y44" s="113">
        <f>ROUND('[7]2026'!Y48,2)</f>
        <v>10658.13</v>
      </c>
      <c r="Z44" s="113">
        <f>ROUND('[7]2026'!Z48,2)</f>
        <v>10139.67</v>
      </c>
      <c r="AA44" s="113">
        <f>ROUND('[7]2026'!AA48,2)</f>
        <v>9392.6200000000008</v>
      </c>
      <c r="AB44" s="113">
        <f>ROUND('[7]2026'!AB48,2)</f>
        <v>8616.4500000000007</v>
      </c>
      <c r="AC44" s="262"/>
      <c r="AD44" s="19"/>
    </row>
    <row r="45" spans="2:30" ht="18.649999999999999" customHeight="1" x14ac:dyDescent="0.35">
      <c r="B45" s="261"/>
      <c r="C45" s="10" t="s">
        <v>31</v>
      </c>
      <c r="D45" s="118">
        <f>+'[7]2026'!D49</f>
        <v>4</v>
      </c>
      <c r="E45" s="113">
        <f>ROUND('[7]2026'!E49,2)</f>
        <v>8193.67</v>
      </c>
      <c r="F45" s="113">
        <f>ROUND('[7]2026'!F49,2)</f>
        <v>7795.04</v>
      </c>
      <c r="G45" s="113">
        <f>ROUND('[7]2026'!G49,2)</f>
        <v>7499.95</v>
      </c>
      <c r="H45" s="113">
        <f>ROUND('[7]2026'!H49,2)</f>
        <v>7277.05</v>
      </c>
      <c r="I45" s="113">
        <f>ROUND('[7]2026'!I49,2)</f>
        <v>7288.71</v>
      </c>
      <c r="J45" s="113">
        <f>ROUND('[7]2026'!J49,2)</f>
        <v>7518.42</v>
      </c>
      <c r="K45" s="113">
        <f>ROUND('[7]2026'!K49,2)</f>
        <v>7663.16</v>
      </c>
      <c r="L45" s="113">
        <f>ROUND('[7]2026'!L49,2)</f>
        <v>8612.26</v>
      </c>
      <c r="M45" s="113">
        <f>ROUND('[7]2026'!M49,2)</f>
        <v>9552</v>
      </c>
      <c r="N45" s="113">
        <f>ROUND('[7]2026'!N49,2)</f>
        <v>10049.48</v>
      </c>
      <c r="O45" s="113">
        <f>ROUND('[7]2026'!O49,2)</f>
        <v>10615.78</v>
      </c>
      <c r="P45" s="113">
        <f>ROUND('[7]2026'!P49,2)</f>
        <v>10997.03</v>
      </c>
      <c r="Q45" s="113">
        <f>ROUND('[7]2026'!Q49,2)</f>
        <v>10609.96</v>
      </c>
      <c r="R45" s="113">
        <f>ROUND('[7]2026'!R49,2)</f>
        <v>10985.15</v>
      </c>
      <c r="S45" s="113">
        <f>ROUND('[7]2026'!S49,2)</f>
        <v>11517.2</v>
      </c>
      <c r="T45" s="113">
        <f>ROUND('[7]2026'!T49,2)</f>
        <v>11531.63</v>
      </c>
      <c r="U45" s="113">
        <f>ROUND('[7]2026'!U49,2)</f>
        <v>11269.88</v>
      </c>
      <c r="V45" s="113">
        <f>ROUND('[7]2026'!V49,2)</f>
        <v>10944.46</v>
      </c>
      <c r="W45" s="113">
        <f>ROUND('[7]2026'!W49,2)</f>
        <v>11584.25</v>
      </c>
      <c r="X45" s="113">
        <f>ROUND('[7]2026'!X49,2)</f>
        <v>11498.69</v>
      </c>
      <c r="Y45" s="113">
        <f>ROUND('[7]2026'!Y49,2)</f>
        <v>11202.06</v>
      </c>
      <c r="Z45" s="113">
        <f>ROUND('[7]2026'!Z49,2)</f>
        <v>10672.85</v>
      </c>
      <c r="AA45" s="113">
        <f>ROUND('[7]2026'!AA49,2)</f>
        <v>9798.18</v>
      </c>
      <c r="AB45" s="113">
        <f>ROUND('[7]2026'!AB49,2)</f>
        <v>8919.24</v>
      </c>
      <c r="AC45" s="262"/>
      <c r="AD45" s="19"/>
    </row>
    <row r="46" spans="2:30" ht="18.649999999999999" customHeight="1" thickBot="1" x14ac:dyDescent="0.4">
      <c r="B46" s="261"/>
      <c r="C46" s="16" t="s">
        <v>32</v>
      </c>
      <c r="D46" s="119">
        <f>+'[7]2026'!D50</f>
        <v>0</v>
      </c>
      <c r="E46" s="115">
        <f>ROUND('[7]2026'!E50,2)</f>
        <v>0</v>
      </c>
      <c r="F46" s="115">
        <f>ROUND('[7]2026'!F50,2)</f>
        <v>0</v>
      </c>
      <c r="G46" s="115">
        <f>ROUND('[7]2026'!G50,2)</f>
        <v>0</v>
      </c>
      <c r="H46" s="115">
        <f>ROUND('[7]2026'!H50,2)</f>
        <v>0</v>
      </c>
      <c r="I46" s="115">
        <f>ROUND('[7]2026'!I50,2)</f>
        <v>0</v>
      </c>
      <c r="J46" s="115">
        <f>ROUND('[7]2026'!J50,2)</f>
        <v>0</v>
      </c>
      <c r="K46" s="115">
        <f>ROUND('[7]2026'!K50,2)</f>
        <v>0</v>
      </c>
      <c r="L46" s="115">
        <f>ROUND('[7]2026'!L50,2)</f>
        <v>0</v>
      </c>
      <c r="M46" s="115">
        <f>ROUND('[7]2026'!M50,2)</f>
        <v>0</v>
      </c>
      <c r="N46" s="115">
        <f>ROUND('[7]2026'!N50,2)</f>
        <v>0</v>
      </c>
      <c r="O46" s="115">
        <f>ROUND('[7]2026'!O50,2)</f>
        <v>0</v>
      </c>
      <c r="P46" s="115">
        <f>ROUND('[7]2026'!P50,2)</f>
        <v>0</v>
      </c>
      <c r="Q46" s="115">
        <f>ROUND('[7]2026'!Q50,2)</f>
        <v>0</v>
      </c>
      <c r="R46" s="115">
        <f>ROUND('[7]2026'!R50,2)</f>
        <v>0</v>
      </c>
      <c r="S46" s="115">
        <f>ROUND('[7]2026'!S50,2)</f>
        <v>0</v>
      </c>
      <c r="T46" s="115">
        <f>ROUND('[7]2026'!T50,2)</f>
        <v>0</v>
      </c>
      <c r="U46" s="115">
        <f>ROUND('[7]2026'!U50,2)</f>
        <v>0</v>
      </c>
      <c r="V46" s="115">
        <f>ROUND('[7]2026'!V50,2)</f>
        <v>0</v>
      </c>
      <c r="W46" s="115">
        <f>ROUND('[7]2026'!W50,2)</f>
        <v>0</v>
      </c>
      <c r="X46" s="115">
        <f>ROUND('[7]2026'!X50,2)</f>
        <v>0</v>
      </c>
      <c r="Y46" s="115">
        <f>ROUND('[7]2026'!Y50,2)</f>
        <v>0</v>
      </c>
      <c r="Z46" s="115">
        <f>ROUND('[7]2026'!Z50,2)</f>
        <v>0</v>
      </c>
      <c r="AA46" s="115">
        <f>ROUND('[7]2026'!AA50,2)</f>
        <v>0</v>
      </c>
      <c r="AB46" s="115">
        <f>ROUND('[7]2026'!AB50,2)</f>
        <v>0</v>
      </c>
      <c r="AC46" s="262"/>
      <c r="AD46" s="19"/>
    </row>
    <row r="47" spans="2:30" ht="18.649999999999999" customHeight="1" x14ac:dyDescent="0.35">
      <c r="B47" s="263">
        <v>46296</v>
      </c>
      <c r="C47" s="7" t="s">
        <v>29</v>
      </c>
      <c r="D47" s="117">
        <f>+'[7]2026'!D51</f>
        <v>21</v>
      </c>
      <c r="E47" s="112">
        <f>ROUND('[7]2026'!E51,2)</f>
        <v>8206.1</v>
      </c>
      <c r="F47" s="112">
        <f>ROUND('[7]2026'!F51,2)</f>
        <v>7791.14</v>
      </c>
      <c r="G47" s="112">
        <f>ROUND('[7]2026'!G51,2)</f>
        <v>7460.85</v>
      </c>
      <c r="H47" s="112">
        <f>ROUND('[7]2026'!H51,2)</f>
        <v>7187.83</v>
      </c>
      <c r="I47" s="112">
        <f>ROUND('[7]2026'!I51,2)</f>
        <v>7084.23</v>
      </c>
      <c r="J47" s="112">
        <f>ROUND('[7]2026'!J51,2)</f>
        <v>7026.71</v>
      </c>
      <c r="K47" s="112">
        <f>ROUND('[7]2026'!K51,2)</f>
        <v>7175.03</v>
      </c>
      <c r="L47" s="112">
        <f>ROUND('[7]2026'!L51,2)</f>
        <v>8075.28</v>
      </c>
      <c r="M47" s="112">
        <f>ROUND('[7]2026'!M51,2)</f>
        <v>8995.43</v>
      </c>
      <c r="N47" s="112">
        <f>ROUND('[7]2026'!N51,2)</f>
        <v>9529.58</v>
      </c>
      <c r="O47" s="112">
        <f>ROUND('[7]2026'!O51,2)</f>
        <v>10021.879999999999</v>
      </c>
      <c r="P47" s="112">
        <f>ROUND('[7]2026'!P51,2)</f>
        <v>10280.1</v>
      </c>
      <c r="Q47" s="112">
        <f>ROUND('[7]2026'!Q51,2)</f>
        <v>10097.4</v>
      </c>
      <c r="R47" s="112">
        <f>ROUND('[7]2026'!R51,2)</f>
        <v>9977.7800000000007</v>
      </c>
      <c r="S47" s="112">
        <f>ROUND('[7]2026'!S51,2)</f>
        <v>10018.870000000001</v>
      </c>
      <c r="T47" s="112">
        <f>ROUND('[7]2026'!T51,2)</f>
        <v>9999.1</v>
      </c>
      <c r="U47" s="112">
        <f>ROUND('[7]2026'!U51,2)</f>
        <v>9870.51</v>
      </c>
      <c r="V47" s="112">
        <f>ROUND('[7]2026'!V51,2)</f>
        <v>10127.129999999999</v>
      </c>
      <c r="W47" s="112">
        <f>ROUND('[7]2026'!W51,2)</f>
        <v>11050.39</v>
      </c>
      <c r="X47" s="112">
        <f>ROUND('[7]2026'!X51,2)</f>
        <v>10865.74</v>
      </c>
      <c r="Y47" s="112">
        <f>ROUND('[7]2026'!Y51,2)</f>
        <v>10481.31</v>
      </c>
      <c r="Z47" s="112">
        <f>ROUND('[7]2026'!Z51,2)</f>
        <v>9992.75</v>
      </c>
      <c r="AA47" s="112">
        <f>ROUND('[7]2026'!AA51,2)</f>
        <v>9410.0400000000009</v>
      </c>
      <c r="AB47" s="112">
        <f>ROUND('[7]2026'!AB51,2)</f>
        <v>8786.9599999999991</v>
      </c>
      <c r="AC47" s="266">
        <f>SUM(E47:AB47)*D47+SUM(E48:AB48)*D48+SUM(E49:AB49)*D49+SUM(E50:AB50)*D50</f>
        <v>6712169.8899999997</v>
      </c>
      <c r="AD47" s="19"/>
    </row>
    <row r="48" spans="2:30" ht="18.649999999999999" customHeight="1" x14ac:dyDescent="0.35">
      <c r="B48" s="264" t="s">
        <v>34</v>
      </c>
      <c r="C48" s="10" t="s">
        <v>30</v>
      </c>
      <c r="D48" s="118">
        <f>+'[7]2026'!D52</f>
        <v>5</v>
      </c>
      <c r="E48" s="113">
        <f>ROUND('[7]2026'!E52,2)</f>
        <v>7627.27</v>
      </c>
      <c r="F48" s="113">
        <f>ROUND('[7]2026'!F52,2)</f>
        <v>7250.54</v>
      </c>
      <c r="G48" s="113">
        <f>ROUND('[7]2026'!G52,2)</f>
        <v>6971.8</v>
      </c>
      <c r="H48" s="113">
        <f>ROUND('[7]2026'!H52,2)</f>
        <v>6804.73</v>
      </c>
      <c r="I48" s="113">
        <f>ROUND('[7]2026'!I52,2)</f>
        <v>6828.1</v>
      </c>
      <c r="J48" s="113">
        <f>ROUND('[7]2026'!J52,2)</f>
        <v>6961.14</v>
      </c>
      <c r="K48" s="113">
        <f>ROUND('[7]2026'!K52,2)</f>
        <v>7087.29</v>
      </c>
      <c r="L48" s="113">
        <f>ROUND('[7]2026'!L52,2)</f>
        <v>7916.65</v>
      </c>
      <c r="M48" s="113">
        <f>ROUND('[7]2026'!M52,2)</f>
        <v>8744.59</v>
      </c>
      <c r="N48" s="113">
        <f>ROUND('[7]2026'!N52,2)</f>
        <v>9229.75</v>
      </c>
      <c r="O48" s="113">
        <f>ROUND('[7]2026'!O52,2)</f>
        <v>9674.92</v>
      </c>
      <c r="P48" s="113">
        <f>ROUND('[7]2026'!P52,2)</f>
        <v>10006.969999999999</v>
      </c>
      <c r="Q48" s="113">
        <f>ROUND('[7]2026'!Q52,2)</f>
        <v>9725.3700000000008</v>
      </c>
      <c r="R48" s="113">
        <f>ROUND('[7]2026'!R52,2)</f>
        <v>9852.9500000000007</v>
      </c>
      <c r="S48" s="113">
        <f>ROUND('[7]2026'!S52,2)</f>
        <v>10143.52</v>
      </c>
      <c r="T48" s="113">
        <f>ROUND('[7]2026'!T52,2)</f>
        <v>10171.14</v>
      </c>
      <c r="U48" s="113">
        <f>ROUND('[7]2026'!U52,2)</f>
        <v>10039.280000000001</v>
      </c>
      <c r="V48" s="113">
        <f>ROUND('[7]2026'!V52,2)</f>
        <v>10221.68</v>
      </c>
      <c r="W48" s="113">
        <f>ROUND('[7]2026'!W52,2)</f>
        <v>10927.08</v>
      </c>
      <c r="X48" s="113">
        <f>ROUND('[7]2026'!X52,2)</f>
        <v>10714.68</v>
      </c>
      <c r="Y48" s="113">
        <f>ROUND('[7]2026'!Y52,2)</f>
        <v>10298.31</v>
      </c>
      <c r="Z48" s="113">
        <f>ROUND('[7]2026'!Z52,2)</f>
        <v>9725.0499999999993</v>
      </c>
      <c r="AA48" s="113">
        <f>ROUND('[7]2026'!AA52,2)</f>
        <v>8977.52</v>
      </c>
      <c r="AB48" s="113">
        <f>ROUND('[7]2026'!AB52,2)</f>
        <v>8228.2999999999993</v>
      </c>
      <c r="AC48" s="262"/>
      <c r="AD48" s="19"/>
    </row>
    <row r="49" spans="2:31" ht="18.649999999999999" customHeight="1" x14ac:dyDescent="0.35">
      <c r="B49" s="264" t="s">
        <v>34</v>
      </c>
      <c r="C49" s="10" t="s">
        <v>31</v>
      </c>
      <c r="D49" s="118">
        <f>+'[7]2026'!D53</f>
        <v>4</v>
      </c>
      <c r="E49" s="113">
        <f>ROUND('[7]2026'!E53,2)</f>
        <v>7708.82</v>
      </c>
      <c r="F49" s="113">
        <f>ROUND('[7]2026'!F53,2)</f>
        <v>7382.45</v>
      </c>
      <c r="G49" s="113">
        <f>ROUND('[7]2026'!G53,2)</f>
        <v>7122.87</v>
      </c>
      <c r="H49" s="113">
        <f>ROUND('[7]2026'!H53,2)</f>
        <v>6963.12</v>
      </c>
      <c r="I49" s="113">
        <f>ROUND('[7]2026'!I53,2)</f>
        <v>6907.66</v>
      </c>
      <c r="J49" s="113">
        <f>ROUND('[7]2026'!J53,2)</f>
        <v>6798.8</v>
      </c>
      <c r="K49" s="113">
        <f>ROUND('[7]2026'!K53,2)</f>
        <v>6637.07</v>
      </c>
      <c r="L49" s="113">
        <f>ROUND('[7]2026'!L53,2)</f>
        <v>7158.82</v>
      </c>
      <c r="M49" s="113">
        <f>ROUND('[7]2026'!M53,2)</f>
        <v>7591.66</v>
      </c>
      <c r="N49" s="113">
        <f>ROUND('[7]2026'!N53,2)</f>
        <v>8194.93</v>
      </c>
      <c r="O49" s="113">
        <f>ROUND('[7]2026'!O53,2)</f>
        <v>8665.76</v>
      </c>
      <c r="P49" s="113">
        <f>ROUND('[7]2026'!P53,2)</f>
        <v>9038.14</v>
      </c>
      <c r="Q49" s="113">
        <f>ROUND('[7]2026'!Q53,2)</f>
        <v>9227.09</v>
      </c>
      <c r="R49" s="113">
        <f>ROUND('[7]2026'!R53,2)</f>
        <v>9231</v>
      </c>
      <c r="S49" s="113">
        <f>ROUND('[7]2026'!S53,2)</f>
        <v>9246.25</v>
      </c>
      <c r="T49" s="113">
        <f>ROUND('[7]2026'!T53,2)</f>
        <v>9269.5400000000009</v>
      </c>
      <c r="U49" s="113">
        <f>ROUND('[7]2026'!U53,2)</f>
        <v>9185.81</v>
      </c>
      <c r="V49" s="113">
        <f>ROUND('[7]2026'!V53,2)</f>
        <v>9575.99</v>
      </c>
      <c r="W49" s="113">
        <f>ROUND('[7]2026'!W53,2)</f>
        <v>10669.63</v>
      </c>
      <c r="X49" s="113">
        <f>ROUND('[7]2026'!X53,2)</f>
        <v>10800.26</v>
      </c>
      <c r="Y49" s="113">
        <f>ROUND('[7]2026'!Y53,2)</f>
        <v>10630.58</v>
      </c>
      <c r="Z49" s="113">
        <f>ROUND('[7]2026'!Z53,2)</f>
        <v>10229.450000000001</v>
      </c>
      <c r="AA49" s="113">
        <f>ROUND('[7]2026'!AA53,2)</f>
        <v>9467.02</v>
      </c>
      <c r="AB49" s="113">
        <f>ROUND('[7]2026'!AB53,2)</f>
        <v>8651.64</v>
      </c>
      <c r="AC49" s="262"/>
      <c r="AD49" s="19"/>
    </row>
    <row r="50" spans="2:31" ht="18.649999999999999" customHeight="1" thickBot="1" x14ac:dyDescent="0.4">
      <c r="B50" s="265" t="s">
        <v>34</v>
      </c>
      <c r="C50" s="12" t="s">
        <v>32</v>
      </c>
      <c r="D50" s="120">
        <f>+'[7]2026'!D54</f>
        <v>1</v>
      </c>
      <c r="E50" s="115">
        <f>ROUND('[7]2026'!E54,2)</f>
        <v>7708.82</v>
      </c>
      <c r="F50" s="115">
        <f>ROUND('[7]2026'!F54,2)</f>
        <v>7382.45</v>
      </c>
      <c r="G50" s="115">
        <f>ROUND('[7]2026'!G54,2)</f>
        <v>7122.87</v>
      </c>
      <c r="H50" s="115">
        <f>ROUND('[7]2026'!H54,2)</f>
        <v>6963.12</v>
      </c>
      <c r="I50" s="115">
        <f>ROUND('[7]2026'!I54,2)</f>
        <v>6907.66</v>
      </c>
      <c r="J50" s="115">
        <f>ROUND('[7]2026'!J54,2)</f>
        <v>6798.8</v>
      </c>
      <c r="K50" s="115">
        <f>ROUND('[7]2026'!K54,2)</f>
        <v>6637.07</v>
      </c>
      <c r="L50" s="115">
        <f>ROUND('[7]2026'!L54,2)</f>
        <v>7158.82</v>
      </c>
      <c r="M50" s="115">
        <f>ROUND('[7]2026'!M54,2)</f>
        <v>7591.66</v>
      </c>
      <c r="N50" s="115">
        <f>ROUND('[7]2026'!N54,2)</f>
        <v>8194.93</v>
      </c>
      <c r="O50" s="115">
        <f>ROUND('[7]2026'!O54,2)</f>
        <v>8665.76</v>
      </c>
      <c r="P50" s="115">
        <f>ROUND('[7]2026'!P54,2)</f>
        <v>9038.14</v>
      </c>
      <c r="Q50" s="115">
        <f>ROUND('[7]2026'!Q54,2)</f>
        <v>9227.09</v>
      </c>
      <c r="R50" s="115">
        <f>ROUND('[7]2026'!R54,2)</f>
        <v>9231</v>
      </c>
      <c r="S50" s="115">
        <f>ROUND('[7]2026'!S54,2)</f>
        <v>9246.25</v>
      </c>
      <c r="T50" s="115">
        <f>ROUND('[7]2026'!T54,2)</f>
        <v>9269.5400000000009</v>
      </c>
      <c r="U50" s="115">
        <f>ROUND('[7]2026'!U54,2)</f>
        <v>9185.81</v>
      </c>
      <c r="V50" s="115">
        <f>ROUND('[7]2026'!V54,2)</f>
        <v>9575.99</v>
      </c>
      <c r="W50" s="115">
        <f>ROUND('[7]2026'!W54,2)</f>
        <v>10669.63</v>
      </c>
      <c r="X50" s="115">
        <f>ROUND('[7]2026'!X54,2)</f>
        <v>10800.26</v>
      </c>
      <c r="Y50" s="115">
        <f>ROUND('[7]2026'!Y54,2)</f>
        <v>10630.58</v>
      </c>
      <c r="Z50" s="115">
        <f>ROUND('[7]2026'!Z54,2)</f>
        <v>10229.450000000001</v>
      </c>
      <c r="AA50" s="115">
        <f>ROUND('[7]2026'!AA54,2)</f>
        <v>9467.02</v>
      </c>
      <c r="AB50" s="115">
        <f>ROUND('[7]2026'!AB54,2)</f>
        <v>8651.64</v>
      </c>
      <c r="AC50" s="267"/>
      <c r="AD50" s="19"/>
    </row>
    <row r="51" spans="2:31" ht="18.649999999999999" customHeight="1" x14ac:dyDescent="0.35">
      <c r="B51" s="260">
        <v>46327</v>
      </c>
      <c r="C51" s="14" t="s">
        <v>29</v>
      </c>
      <c r="D51" s="121">
        <f>+'[7]2026'!D55</f>
        <v>19</v>
      </c>
      <c r="E51" s="116">
        <f>ROUND('[7]2026'!E55,2)</f>
        <v>8153.51</v>
      </c>
      <c r="F51" s="116">
        <f>ROUND('[7]2026'!F55,2)</f>
        <v>7754.63</v>
      </c>
      <c r="G51" s="116">
        <f>ROUND('[7]2026'!G55,2)</f>
        <v>7466.54</v>
      </c>
      <c r="H51" s="116">
        <f>ROUND('[7]2026'!H55,2)</f>
        <v>7277.91</v>
      </c>
      <c r="I51" s="116">
        <f>ROUND('[7]2026'!I55,2)</f>
        <v>7279.6</v>
      </c>
      <c r="J51" s="116">
        <f>ROUND('[7]2026'!J55,2)</f>
        <v>7340.15</v>
      </c>
      <c r="K51" s="116">
        <f>ROUND('[7]2026'!K55,2)</f>
        <v>7390.94</v>
      </c>
      <c r="L51" s="116">
        <f>ROUND('[7]2026'!L55,2)</f>
        <v>8317.7900000000009</v>
      </c>
      <c r="M51" s="116">
        <f>ROUND('[7]2026'!M55,2)</f>
        <v>9307.02</v>
      </c>
      <c r="N51" s="116">
        <f>ROUND('[7]2026'!N55,2)</f>
        <v>9936.84</v>
      </c>
      <c r="O51" s="116">
        <f>ROUND('[7]2026'!O55,2)</f>
        <v>10412.379999999999</v>
      </c>
      <c r="P51" s="116">
        <f>ROUND('[7]2026'!P55,2)</f>
        <v>10661.81</v>
      </c>
      <c r="Q51" s="116">
        <f>ROUND('[7]2026'!Q55,2)</f>
        <v>10447.81</v>
      </c>
      <c r="R51" s="116">
        <f>ROUND('[7]2026'!R55,2)</f>
        <v>10265.73</v>
      </c>
      <c r="S51" s="116">
        <f>ROUND('[7]2026'!S55,2)</f>
        <v>10240.24</v>
      </c>
      <c r="T51" s="116">
        <f>ROUND('[7]2026'!T55,2)</f>
        <v>10215.86</v>
      </c>
      <c r="U51" s="116">
        <f>ROUND('[7]2026'!U55,2)</f>
        <v>10111.280000000001</v>
      </c>
      <c r="V51" s="116">
        <f>ROUND('[7]2026'!V55,2)</f>
        <v>10448.4</v>
      </c>
      <c r="W51" s="116">
        <f>ROUND('[7]2026'!W55,2)</f>
        <v>11370.98</v>
      </c>
      <c r="X51" s="116">
        <f>ROUND('[7]2026'!X55,2)</f>
        <v>11131.52</v>
      </c>
      <c r="Y51" s="116">
        <f>ROUND('[7]2026'!Y55,2)</f>
        <v>10679.92</v>
      </c>
      <c r="Z51" s="116">
        <f>ROUND('[7]2026'!Z55,2)</f>
        <v>10169.01</v>
      </c>
      <c r="AA51" s="116">
        <f>ROUND('[7]2026'!AA55,2)</f>
        <v>9536.36</v>
      </c>
      <c r="AB51" s="116">
        <f>ROUND('[7]2026'!AB55,2)</f>
        <v>8850.2099999999991</v>
      </c>
      <c r="AC51" s="262">
        <f>SUM(E51:AB51)*D51+SUM(E52:AB52)*D52+SUM(E53:AB53)*D53+SUM(E54:AB54)*D54</f>
        <v>6655295.0599999996</v>
      </c>
      <c r="AD51" s="19"/>
    </row>
    <row r="52" spans="2:31" ht="18.649999999999999" customHeight="1" x14ac:dyDescent="0.35">
      <c r="B52" s="261"/>
      <c r="C52" s="10" t="s">
        <v>30</v>
      </c>
      <c r="D52" s="118">
        <f>+'[7]2026'!D56</f>
        <v>4</v>
      </c>
      <c r="E52" s="113">
        <f>ROUND('[7]2026'!E56,2)</f>
        <v>8885.74</v>
      </c>
      <c r="F52" s="113">
        <f>ROUND('[7]2026'!F56,2)</f>
        <v>8435.9699999999993</v>
      </c>
      <c r="G52" s="113">
        <f>ROUND('[7]2026'!G56,2)</f>
        <v>8103.62</v>
      </c>
      <c r="H52" s="113">
        <f>ROUND('[7]2026'!H56,2)</f>
        <v>7875.02</v>
      </c>
      <c r="I52" s="113">
        <f>ROUND('[7]2026'!I56,2)</f>
        <v>7826.6</v>
      </c>
      <c r="J52" s="113">
        <f>ROUND('[7]2026'!J56,2)</f>
        <v>7880.98</v>
      </c>
      <c r="K52" s="113">
        <f>ROUND('[7]2026'!K56,2)</f>
        <v>7838.68</v>
      </c>
      <c r="L52" s="113">
        <f>ROUND('[7]2026'!L56,2)</f>
        <v>8731.73</v>
      </c>
      <c r="M52" s="113">
        <f>ROUND('[7]2026'!M56,2)</f>
        <v>9660.2999999999993</v>
      </c>
      <c r="N52" s="113">
        <f>ROUND('[7]2026'!N56,2)</f>
        <v>10198.4</v>
      </c>
      <c r="O52" s="113">
        <f>ROUND('[7]2026'!O56,2)</f>
        <v>10673.3</v>
      </c>
      <c r="P52" s="113">
        <f>ROUND('[7]2026'!P56,2)</f>
        <v>11043.66</v>
      </c>
      <c r="Q52" s="113">
        <f>ROUND('[7]2026'!Q56,2)</f>
        <v>10805.52</v>
      </c>
      <c r="R52" s="113">
        <f>ROUND('[7]2026'!R56,2)</f>
        <v>10918.1</v>
      </c>
      <c r="S52" s="113">
        <f>ROUND('[7]2026'!S56,2)</f>
        <v>11230.07</v>
      </c>
      <c r="T52" s="113">
        <f>ROUND('[7]2026'!T56,2)</f>
        <v>11247.68</v>
      </c>
      <c r="U52" s="113">
        <f>ROUND('[7]2026'!U56,2)</f>
        <v>11069.42</v>
      </c>
      <c r="V52" s="113">
        <f>ROUND('[7]2026'!V56,2)</f>
        <v>11098.18</v>
      </c>
      <c r="W52" s="113">
        <f>ROUND('[7]2026'!W56,2)</f>
        <v>12031.35</v>
      </c>
      <c r="X52" s="113">
        <f>ROUND('[7]2026'!X56,2)</f>
        <v>11838.5</v>
      </c>
      <c r="Y52" s="113">
        <f>ROUND('[7]2026'!Y56,2)</f>
        <v>11456.65</v>
      </c>
      <c r="Z52" s="113">
        <f>ROUND('[7]2026'!Z56,2)</f>
        <v>10950.63</v>
      </c>
      <c r="AA52" s="113">
        <f>ROUND('[7]2026'!AA56,2)</f>
        <v>10272.120000000001</v>
      </c>
      <c r="AB52" s="113">
        <f>ROUND('[7]2026'!AB56,2)</f>
        <v>9509.99</v>
      </c>
      <c r="AC52" s="262"/>
      <c r="AD52" s="19"/>
    </row>
    <row r="53" spans="2:31" ht="18.649999999999999" customHeight="1" x14ac:dyDescent="0.35">
      <c r="B53" s="261"/>
      <c r="C53" s="10" t="s">
        <v>31</v>
      </c>
      <c r="D53" s="118">
        <f>+'[7]2026'!D57</f>
        <v>5</v>
      </c>
      <c r="E53" s="113">
        <f>ROUND('[7]2026'!E57,2)</f>
        <v>8193.56</v>
      </c>
      <c r="F53" s="113">
        <f>ROUND('[7]2026'!F57,2)</f>
        <v>7758.22</v>
      </c>
      <c r="G53" s="113">
        <f>ROUND('[7]2026'!G57,2)</f>
        <v>7427.75</v>
      </c>
      <c r="H53" s="113">
        <f>ROUND('[7]2026'!H57,2)</f>
        <v>7173.92</v>
      </c>
      <c r="I53" s="113">
        <f>ROUND('[7]2026'!I57,2)</f>
        <v>7087.92</v>
      </c>
      <c r="J53" s="113">
        <f>ROUND('[7]2026'!J57,2)</f>
        <v>6979.83</v>
      </c>
      <c r="K53" s="113">
        <f>ROUND('[7]2026'!K57,2)</f>
        <v>6783.92</v>
      </c>
      <c r="L53" s="113">
        <f>ROUND('[7]2026'!L57,2)</f>
        <v>7230.77</v>
      </c>
      <c r="M53" s="113">
        <f>ROUND('[7]2026'!M57,2)</f>
        <v>7767.28</v>
      </c>
      <c r="N53" s="113">
        <f>ROUND('[7]2026'!N57,2)</f>
        <v>8186.12</v>
      </c>
      <c r="O53" s="113">
        <f>ROUND('[7]2026'!O57,2)</f>
        <v>8529.2000000000007</v>
      </c>
      <c r="P53" s="113">
        <f>ROUND('[7]2026'!P57,2)</f>
        <v>8833.2999999999993</v>
      </c>
      <c r="Q53" s="113">
        <f>ROUND('[7]2026'!Q57,2)</f>
        <v>8928.19</v>
      </c>
      <c r="R53" s="113">
        <f>ROUND('[7]2026'!R57,2)</f>
        <v>8973.4500000000007</v>
      </c>
      <c r="S53" s="113">
        <f>ROUND('[7]2026'!S57,2)</f>
        <v>8844.49</v>
      </c>
      <c r="T53" s="113">
        <f>ROUND('[7]2026'!T57,2)</f>
        <v>8853.5300000000007</v>
      </c>
      <c r="U53" s="113">
        <f>ROUND('[7]2026'!U57,2)</f>
        <v>8875.02</v>
      </c>
      <c r="V53" s="113">
        <f>ROUND('[7]2026'!V57,2)</f>
        <v>9433.75</v>
      </c>
      <c r="W53" s="113">
        <f>ROUND('[7]2026'!W57,2)</f>
        <v>10526.5</v>
      </c>
      <c r="X53" s="113">
        <f>ROUND('[7]2026'!X57,2)</f>
        <v>10565.52</v>
      </c>
      <c r="Y53" s="113">
        <f>ROUND('[7]2026'!Y57,2)</f>
        <v>10236.91</v>
      </c>
      <c r="Z53" s="113">
        <f>ROUND('[7]2026'!Z57,2)</f>
        <v>9622.83</v>
      </c>
      <c r="AA53" s="113">
        <f>ROUND('[7]2026'!AA57,2)</f>
        <v>8845.86</v>
      </c>
      <c r="AB53" s="113">
        <f>ROUND('[7]2026'!AB57,2)</f>
        <v>8114.14</v>
      </c>
      <c r="AC53" s="262"/>
      <c r="AD53" s="19"/>
    </row>
    <row r="54" spans="2:31" ht="18.649999999999999" customHeight="1" thickBot="1" x14ac:dyDescent="0.4">
      <c r="B54" s="261"/>
      <c r="C54" s="16" t="s">
        <v>32</v>
      </c>
      <c r="D54" s="119">
        <f>+'[7]2026'!D58</f>
        <v>2</v>
      </c>
      <c r="E54" s="114">
        <f>ROUND('[7]2026'!E58,2)</f>
        <v>8193.56</v>
      </c>
      <c r="F54" s="114">
        <f>ROUND('[7]2026'!F58,2)</f>
        <v>7758.22</v>
      </c>
      <c r="G54" s="114">
        <f>ROUND('[7]2026'!G58,2)</f>
        <v>7427.75</v>
      </c>
      <c r="H54" s="114">
        <f>ROUND('[7]2026'!H58,2)</f>
        <v>7173.92</v>
      </c>
      <c r="I54" s="114">
        <f>ROUND('[7]2026'!I58,2)</f>
        <v>7087.92</v>
      </c>
      <c r="J54" s="114">
        <f>ROUND('[7]2026'!J58,2)</f>
        <v>6979.83</v>
      </c>
      <c r="K54" s="114">
        <f>ROUND('[7]2026'!K58,2)</f>
        <v>6783.92</v>
      </c>
      <c r="L54" s="114">
        <f>ROUND('[7]2026'!L58,2)</f>
        <v>7230.77</v>
      </c>
      <c r="M54" s="114">
        <f>ROUND('[7]2026'!M58,2)</f>
        <v>7767.28</v>
      </c>
      <c r="N54" s="114">
        <f>ROUND('[7]2026'!N58,2)</f>
        <v>8186.12</v>
      </c>
      <c r="O54" s="114">
        <f>ROUND('[7]2026'!O58,2)</f>
        <v>8529.2000000000007</v>
      </c>
      <c r="P54" s="114">
        <f>ROUND('[7]2026'!P58,2)</f>
        <v>8833.2999999999993</v>
      </c>
      <c r="Q54" s="114">
        <f>ROUND('[7]2026'!Q58,2)</f>
        <v>8928.19</v>
      </c>
      <c r="R54" s="114">
        <f>ROUND('[7]2026'!R58,2)</f>
        <v>8973.4500000000007</v>
      </c>
      <c r="S54" s="114">
        <f>ROUND('[7]2026'!S58,2)</f>
        <v>8844.49</v>
      </c>
      <c r="T54" s="114">
        <f>ROUND('[7]2026'!T58,2)</f>
        <v>8853.5300000000007</v>
      </c>
      <c r="U54" s="114">
        <f>ROUND('[7]2026'!U58,2)</f>
        <v>8875.02</v>
      </c>
      <c r="V54" s="114">
        <f>ROUND('[7]2026'!V58,2)</f>
        <v>9433.75</v>
      </c>
      <c r="W54" s="114">
        <f>ROUND('[7]2026'!W58,2)</f>
        <v>10526.5</v>
      </c>
      <c r="X54" s="114">
        <f>ROUND('[7]2026'!X58,2)</f>
        <v>10565.52</v>
      </c>
      <c r="Y54" s="114">
        <f>ROUND('[7]2026'!Y58,2)</f>
        <v>10236.91</v>
      </c>
      <c r="Z54" s="114">
        <f>ROUND('[7]2026'!Z58,2)</f>
        <v>9622.83</v>
      </c>
      <c r="AA54" s="114">
        <f>ROUND('[7]2026'!AA58,2)</f>
        <v>8845.86</v>
      </c>
      <c r="AB54" s="114">
        <f>ROUND('[7]2026'!AB58,2)</f>
        <v>8114.14</v>
      </c>
      <c r="AC54" s="262"/>
      <c r="AD54" s="19"/>
    </row>
    <row r="55" spans="2:31" ht="18.649999999999999" customHeight="1" x14ac:dyDescent="0.35">
      <c r="B55" s="263">
        <v>46357</v>
      </c>
      <c r="C55" s="7" t="s">
        <v>29</v>
      </c>
      <c r="D55" s="117">
        <f>+'[7]2026'!D59</f>
        <v>21</v>
      </c>
      <c r="E55" s="112">
        <f>ROUND('[7]2026'!E59,2)</f>
        <v>8624.02</v>
      </c>
      <c r="F55" s="112">
        <f>ROUND('[7]2026'!F59,2)</f>
        <v>8168.89</v>
      </c>
      <c r="G55" s="112">
        <f>ROUND('[7]2026'!G59,2)</f>
        <v>7824.87</v>
      </c>
      <c r="H55" s="112">
        <f>ROUND('[7]2026'!H59,2)</f>
        <v>7585.75</v>
      </c>
      <c r="I55" s="112">
        <f>ROUND('[7]2026'!I59,2)</f>
        <v>7533.21</v>
      </c>
      <c r="J55" s="112">
        <f>ROUND('[7]2026'!J59,2)</f>
        <v>7571.48</v>
      </c>
      <c r="K55" s="112">
        <f>ROUND('[7]2026'!K59,2)</f>
        <v>7483.71</v>
      </c>
      <c r="L55" s="112">
        <f>ROUND('[7]2026'!L59,2)</f>
        <v>8286.49</v>
      </c>
      <c r="M55" s="112">
        <f>ROUND('[7]2026'!M59,2)</f>
        <v>9162.64</v>
      </c>
      <c r="N55" s="112">
        <f>ROUND('[7]2026'!N59,2)</f>
        <v>9716.98</v>
      </c>
      <c r="O55" s="112">
        <f>ROUND('[7]2026'!O59,2)</f>
        <v>10124.969999999999</v>
      </c>
      <c r="P55" s="112">
        <f>ROUND('[7]2026'!P59,2)</f>
        <v>10369.799999999999</v>
      </c>
      <c r="Q55" s="112">
        <f>ROUND('[7]2026'!Q59,2)</f>
        <v>10145.43</v>
      </c>
      <c r="R55" s="112">
        <f>ROUND('[7]2026'!R59,2)</f>
        <v>9984.5</v>
      </c>
      <c r="S55" s="112">
        <f>ROUND('[7]2026'!S59,2)</f>
        <v>10008.77</v>
      </c>
      <c r="T55" s="112">
        <f>ROUND('[7]2026'!T59,2)</f>
        <v>10001.790000000001</v>
      </c>
      <c r="U55" s="112">
        <f>ROUND('[7]2026'!U59,2)</f>
        <v>9877.7999999999993</v>
      </c>
      <c r="V55" s="112">
        <f>ROUND('[7]2026'!V59,2)</f>
        <v>10142.719999999999</v>
      </c>
      <c r="W55" s="112">
        <f>ROUND('[7]2026'!W59,2)</f>
        <v>11169.92</v>
      </c>
      <c r="X55" s="112">
        <f>ROUND('[7]2026'!X59,2)</f>
        <v>10926.52</v>
      </c>
      <c r="Y55" s="112">
        <f>ROUND('[7]2026'!Y59,2)</f>
        <v>10456.64</v>
      </c>
      <c r="Z55" s="112">
        <f>ROUND('[7]2026'!Z59,2)</f>
        <v>9941.98</v>
      </c>
      <c r="AA55" s="112">
        <f>ROUND('[7]2026'!AA59,2)</f>
        <v>9442.77</v>
      </c>
      <c r="AB55" s="112">
        <f>ROUND('[7]2026'!AB59,2)</f>
        <v>8883.35</v>
      </c>
      <c r="AC55" s="266">
        <f>SUM(E55:AB55)*D55+SUM(E56:AB56)*D56+SUM(E57:AB57)*D57+SUM(E58:AB58)*D58</f>
        <v>6831338.7399999984</v>
      </c>
      <c r="AD55" s="19"/>
    </row>
    <row r="56" spans="2:31" ht="18.649999999999999" customHeight="1" x14ac:dyDescent="0.35">
      <c r="B56" s="264" t="s">
        <v>34</v>
      </c>
      <c r="C56" s="10" t="s">
        <v>30</v>
      </c>
      <c r="D56" s="118">
        <f>+'[7]2026'!D60</f>
        <v>4</v>
      </c>
      <c r="E56" s="113">
        <f>ROUND('[7]2026'!E60,2)</f>
        <v>8464.4</v>
      </c>
      <c r="F56" s="113">
        <f>ROUND('[7]2026'!F60,2)</f>
        <v>8037.06</v>
      </c>
      <c r="G56" s="113">
        <f>ROUND('[7]2026'!G60,2)</f>
        <v>7716.13</v>
      </c>
      <c r="H56" s="113">
        <f>ROUND('[7]2026'!H60,2)</f>
        <v>7493.27</v>
      </c>
      <c r="I56" s="113">
        <f>ROUND('[7]2026'!I60,2)</f>
        <v>7468.82</v>
      </c>
      <c r="J56" s="113">
        <f>ROUND('[7]2026'!J60,2)</f>
        <v>7589.26</v>
      </c>
      <c r="K56" s="113">
        <f>ROUND('[7]2026'!K60,2)</f>
        <v>7621.52</v>
      </c>
      <c r="L56" s="113">
        <f>ROUND('[7]2026'!L60,2)</f>
        <v>8457.66</v>
      </c>
      <c r="M56" s="113">
        <f>ROUND('[7]2026'!M60,2)</f>
        <v>9324.56</v>
      </c>
      <c r="N56" s="113">
        <f>ROUND('[7]2026'!N60,2)</f>
        <v>9825.59</v>
      </c>
      <c r="O56" s="113">
        <f>ROUND('[7]2026'!O60,2)</f>
        <v>10315.209999999999</v>
      </c>
      <c r="P56" s="113">
        <f>ROUND('[7]2026'!P60,2)</f>
        <v>10659.28</v>
      </c>
      <c r="Q56" s="113">
        <f>ROUND('[7]2026'!Q60,2)</f>
        <v>10390.959999999999</v>
      </c>
      <c r="R56" s="113">
        <f>ROUND('[7]2026'!R60,2)</f>
        <v>10597.23</v>
      </c>
      <c r="S56" s="113">
        <f>ROUND('[7]2026'!S60,2)</f>
        <v>10946.32</v>
      </c>
      <c r="T56" s="113">
        <f>ROUND('[7]2026'!T60,2)</f>
        <v>10970.78</v>
      </c>
      <c r="U56" s="113">
        <f>ROUND('[7]2026'!U60,2)</f>
        <v>10782.12</v>
      </c>
      <c r="V56" s="113">
        <f>ROUND('[7]2026'!V60,2)</f>
        <v>10588.09</v>
      </c>
      <c r="W56" s="113">
        <f>ROUND('[7]2026'!W60,2)</f>
        <v>11322.76</v>
      </c>
      <c r="X56" s="113">
        <f>ROUND('[7]2026'!X60,2)</f>
        <v>11390.86</v>
      </c>
      <c r="Y56" s="113">
        <f>ROUND('[7]2026'!Y60,2)</f>
        <v>11104.11</v>
      </c>
      <c r="Z56" s="113">
        <f>ROUND('[7]2026'!Z60,2)</f>
        <v>10622.75</v>
      </c>
      <c r="AA56" s="113">
        <f>ROUND('[7]2026'!AA60,2)</f>
        <v>9885.2199999999993</v>
      </c>
      <c r="AB56" s="113">
        <f>ROUND('[7]2026'!AB60,2)</f>
        <v>9096.4699999999993</v>
      </c>
      <c r="AC56" s="262"/>
      <c r="AD56" s="19"/>
    </row>
    <row r="57" spans="2:31" ht="18.649999999999999" customHeight="1" x14ac:dyDescent="0.35">
      <c r="B57" s="264" t="s">
        <v>34</v>
      </c>
      <c r="C57" s="10" t="s">
        <v>31</v>
      </c>
      <c r="D57" s="118">
        <f>+'[7]2026'!D61</f>
        <v>4</v>
      </c>
      <c r="E57" s="113">
        <f>ROUND('[7]2026'!E61,2)</f>
        <v>8413.7099999999991</v>
      </c>
      <c r="F57" s="113">
        <f>ROUND('[7]2026'!F61,2)</f>
        <v>8152.77</v>
      </c>
      <c r="G57" s="113">
        <f>ROUND('[7]2026'!G61,2)</f>
        <v>7905.99</v>
      </c>
      <c r="H57" s="113">
        <f>ROUND('[7]2026'!H61,2)</f>
        <v>7669.42</v>
      </c>
      <c r="I57" s="113">
        <f>ROUND('[7]2026'!I61,2)</f>
        <v>7533.06</v>
      </c>
      <c r="J57" s="113">
        <f>ROUND('[7]2026'!J61,2)</f>
        <v>7335.83</v>
      </c>
      <c r="K57" s="113">
        <f>ROUND('[7]2026'!K61,2)</f>
        <v>6880.18</v>
      </c>
      <c r="L57" s="113">
        <f>ROUND('[7]2026'!L61,2)</f>
        <v>7108.76</v>
      </c>
      <c r="M57" s="113">
        <f>ROUND('[7]2026'!M61,2)</f>
        <v>7480.38</v>
      </c>
      <c r="N57" s="113">
        <f>ROUND('[7]2026'!N61,2)</f>
        <v>7829.28</v>
      </c>
      <c r="O57" s="113">
        <f>ROUND('[7]2026'!O61,2)</f>
        <v>8154.55</v>
      </c>
      <c r="P57" s="113">
        <f>ROUND('[7]2026'!P61,2)</f>
        <v>8431.02</v>
      </c>
      <c r="Q57" s="113">
        <f>ROUND('[7]2026'!Q61,2)</f>
        <v>8582.1299999999992</v>
      </c>
      <c r="R57" s="113">
        <f>ROUND('[7]2026'!R61,2)</f>
        <v>8588.81</v>
      </c>
      <c r="S57" s="113">
        <f>ROUND('[7]2026'!S61,2)</f>
        <v>8549.94</v>
      </c>
      <c r="T57" s="113">
        <f>ROUND('[7]2026'!T61,2)</f>
        <v>8597.2099999999991</v>
      </c>
      <c r="U57" s="113">
        <f>ROUND('[7]2026'!U61,2)</f>
        <v>8593.2000000000007</v>
      </c>
      <c r="V57" s="113">
        <f>ROUND('[7]2026'!V61,2)</f>
        <v>8870.9599999999991</v>
      </c>
      <c r="W57" s="113">
        <f>ROUND('[7]2026'!W61,2)</f>
        <v>10106.58</v>
      </c>
      <c r="X57" s="113">
        <f>ROUND('[7]2026'!X61,2)</f>
        <v>10200.040000000001</v>
      </c>
      <c r="Y57" s="113">
        <f>ROUND('[7]2026'!Y61,2)</f>
        <v>10070.83</v>
      </c>
      <c r="Z57" s="113">
        <f>ROUND('[7]2026'!Z61,2)</f>
        <v>9764.6299999999992</v>
      </c>
      <c r="AA57" s="113">
        <f>ROUND('[7]2026'!AA61,2)</f>
        <v>9259.9599999999991</v>
      </c>
      <c r="AB57" s="113">
        <f>ROUND('[7]2026'!AB61,2)</f>
        <v>8674.43</v>
      </c>
      <c r="AC57" s="262"/>
      <c r="AD57" s="19"/>
    </row>
    <row r="58" spans="2:31" ht="18.649999999999999" customHeight="1" thickBot="1" x14ac:dyDescent="0.4">
      <c r="B58" s="265" t="s">
        <v>34</v>
      </c>
      <c r="C58" s="12" t="s">
        <v>32</v>
      </c>
      <c r="D58" s="120">
        <f>+'[7]2026'!D62</f>
        <v>2</v>
      </c>
      <c r="E58" s="115">
        <f>ROUND('[7]2026'!E62,2)</f>
        <v>8413.7099999999991</v>
      </c>
      <c r="F58" s="115">
        <f>ROUND('[7]2026'!F62,2)</f>
        <v>8152.77</v>
      </c>
      <c r="G58" s="115">
        <f>ROUND('[7]2026'!G62,2)</f>
        <v>7905.99</v>
      </c>
      <c r="H58" s="115">
        <f>ROUND('[7]2026'!H62,2)</f>
        <v>7669.42</v>
      </c>
      <c r="I58" s="115">
        <f>ROUND('[7]2026'!I62,2)</f>
        <v>7533.06</v>
      </c>
      <c r="J58" s="115">
        <f>ROUND('[7]2026'!J62,2)</f>
        <v>7335.83</v>
      </c>
      <c r="K58" s="115">
        <f>ROUND('[7]2026'!K62,2)</f>
        <v>6880.18</v>
      </c>
      <c r="L58" s="115">
        <f>ROUND('[7]2026'!L62,2)</f>
        <v>7108.76</v>
      </c>
      <c r="M58" s="115">
        <f>ROUND('[7]2026'!M62,2)</f>
        <v>7480.38</v>
      </c>
      <c r="N58" s="115">
        <f>ROUND('[7]2026'!N62,2)</f>
        <v>7829.28</v>
      </c>
      <c r="O58" s="115">
        <f>ROUND('[7]2026'!O62,2)</f>
        <v>8154.55</v>
      </c>
      <c r="P58" s="115">
        <f>ROUND('[7]2026'!P62,2)</f>
        <v>8431.02</v>
      </c>
      <c r="Q58" s="115">
        <f>ROUND('[7]2026'!Q62,2)</f>
        <v>8582.1299999999992</v>
      </c>
      <c r="R58" s="115">
        <f>ROUND('[7]2026'!R62,2)</f>
        <v>8588.81</v>
      </c>
      <c r="S58" s="115">
        <f>ROUND('[7]2026'!S62,2)</f>
        <v>8549.94</v>
      </c>
      <c r="T58" s="115">
        <f>ROUND('[7]2026'!T62,2)</f>
        <v>8597.2099999999991</v>
      </c>
      <c r="U58" s="115">
        <f>ROUND('[7]2026'!U62,2)</f>
        <v>8593.2000000000007</v>
      </c>
      <c r="V58" s="115">
        <f>ROUND('[7]2026'!V62,2)</f>
        <v>8870.9599999999991</v>
      </c>
      <c r="W58" s="115">
        <f>ROUND('[7]2026'!W62,2)</f>
        <v>10106.58</v>
      </c>
      <c r="X58" s="115">
        <f>ROUND('[7]2026'!X62,2)</f>
        <v>10200.040000000001</v>
      </c>
      <c r="Y58" s="115">
        <f>ROUND('[7]2026'!Y62,2)</f>
        <v>10070.83</v>
      </c>
      <c r="Z58" s="115">
        <f>ROUND('[7]2026'!Z62,2)</f>
        <v>9764.6299999999992</v>
      </c>
      <c r="AA58" s="115">
        <f>ROUND('[7]2026'!AA62,2)</f>
        <v>9259.9599999999991</v>
      </c>
      <c r="AB58" s="115">
        <f>ROUND('[7]2026'!AB62,2)</f>
        <v>8674.43</v>
      </c>
      <c r="AC58" s="267"/>
      <c r="AD58" s="19"/>
    </row>
    <row r="59" spans="2:31" ht="18.649999999999999" customHeight="1" thickBot="1" x14ac:dyDescent="0.4">
      <c r="Z59" s="268" t="s">
        <v>33</v>
      </c>
      <c r="AA59" s="269"/>
      <c r="AB59" s="270"/>
      <c r="AC59" s="195">
        <f>SUM(AC11:AC58)</f>
        <v>80946969.609999999</v>
      </c>
      <c r="AE59" s="19"/>
    </row>
  </sheetData>
  <mergeCells count="30">
    <mergeCell ref="B11:B14"/>
    <mergeCell ref="AC11:AC14"/>
    <mergeCell ref="B4:AC4"/>
    <mergeCell ref="B5:AC5"/>
    <mergeCell ref="B6:AC6"/>
    <mergeCell ref="B7:AC7"/>
    <mergeCell ref="B8:AC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</mergeCells>
  <phoneticPr fontId="23" type="noConversion"/>
  <conditionalFormatting sqref="E11:AB58">
    <cfRule type="cellIs" dxfId="14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B43B-CBA4-4B96-9CFE-5CAA4216AB46}">
  <sheetPr>
    <tabColor theme="3" tint="0.39997558519241921"/>
  </sheetPr>
  <dimension ref="B2:AX59"/>
  <sheetViews>
    <sheetView showGridLines="0" zoomScale="60" zoomScaleNormal="60" workbookViewId="0">
      <pane xSplit="4" ySplit="10" topLeftCell="E48" activePane="bottomRight" state="frozen"/>
      <selection activeCell="B27" sqref="B27"/>
      <selection pane="topRight" activeCell="B27" sqref="B27"/>
      <selection pane="bottomLeft" activeCell="B27" sqref="B27"/>
      <selection pane="bottomRight" activeCell="R71" sqref="R71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16" width="11.26953125" style="18" customWidth="1"/>
    <col min="17" max="17" width="11.54296875" style="18" customWidth="1"/>
    <col min="18" max="18" width="13.08984375" style="18" customWidth="1"/>
    <col min="19" max="19" width="11.54296875" style="18" customWidth="1"/>
    <col min="20" max="20" width="12.6328125" style="18" customWidth="1"/>
    <col min="21" max="23" width="11.26953125" style="18" customWidth="1"/>
    <col min="24" max="27" width="12.90625" style="18" customWidth="1"/>
    <col min="28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73" t="s">
        <v>138</v>
      </c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</row>
    <row r="5" spans="2:50" ht="28.5" customHeight="1" x14ac:dyDescent="0.35">
      <c r="B5" s="275" t="s">
        <v>0</v>
      </c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</row>
    <row r="6" spans="2:50" ht="18.649999999999999" customHeight="1" x14ac:dyDescent="0.35">
      <c r="B6" s="276" t="s">
        <v>132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</row>
    <row r="7" spans="2:50" ht="18.649999999999999" customHeight="1" x14ac:dyDescent="0.35">
      <c r="B7" s="278" t="s">
        <v>1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</row>
    <row r="8" spans="2:50" ht="18.649999999999999" customHeight="1" x14ac:dyDescent="0.35"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60">
        <v>46388</v>
      </c>
      <c r="C11" s="7" t="s">
        <v>29</v>
      </c>
      <c r="D11" s="117">
        <f>+'[7]2027'!D15</f>
        <v>19</v>
      </c>
      <c r="E11" s="204">
        <f>ROUND('[7]2027'!E15,2)</f>
        <v>43171.1</v>
      </c>
      <c r="F11" s="204">
        <f>ROUND('[7]2027'!F15,2)</f>
        <v>39285.019999999997</v>
      </c>
      <c r="G11" s="204">
        <f>ROUND('[7]2027'!G15,2)</f>
        <v>36255.57</v>
      </c>
      <c r="H11" s="204">
        <f>ROUND('[7]2027'!H15,2)</f>
        <v>34072.35</v>
      </c>
      <c r="I11" s="204">
        <f>ROUND('[7]2027'!I15,2)</f>
        <v>32359.27</v>
      </c>
      <c r="J11" s="204">
        <f>ROUND('[7]2027'!J15,2)</f>
        <v>29013.65</v>
      </c>
      <c r="K11" s="204">
        <f>ROUND('[7]2027'!K15,2)</f>
        <v>27055.71</v>
      </c>
      <c r="L11" s="204">
        <f>ROUND('[7]2027'!L15,2)</f>
        <v>24975.51</v>
      </c>
      <c r="M11" s="204">
        <f>ROUND('[7]2027'!M15,2)</f>
        <v>21898.66</v>
      </c>
      <c r="N11" s="204">
        <f>ROUND('[7]2027'!N15,2)</f>
        <v>21154.68</v>
      </c>
      <c r="O11" s="204">
        <f>ROUND('[7]2027'!O15,2)</f>
        <v>22355.27</v>
      </c>
      <c r="P11" s="204">
        <f>ROUND('[7]2027'!P15,2)</f>
        <v>24183.3</v>
      </c>
      <c r="Q11" s="204">
        <f>ROUND('[7]2027'!Q15,2)</f>
        <v>24061.35</v>
      </c>
      <c r="R11" s="204">
        <f>ROUND('[7]2027'!R15,2)</f>
        <v>29468.400000000001</v>
      </c>
      <c r="S11" s="204">
        <f>ROUND('[7]2027'!S15,2)</f>
        <v>34498.26</v>
      </c>
      <c r="T11" s="204">
        <f>ROUND('[7]2027'!T15,2)</f>
        <v>36836.21</v>
      </c>
      <c r="U11" s="204">
        <f>ROUND('[7]2027'!U15,2)</f>
        <v>40646.9</v>
      </c>
      <c r="V11" s="204">
        <f>ROUND('[7]2027'!V15,2)</f>
        <v>67715.08</v>
      </c>
      <c r="W11" s="204">
        <f>ROUND('[7]2027'!W15,2)</f>
        <v>69442.399999999994</v>
      </c>
      <c r="X11" s="204">
        <f>ROUND('[7]2027'!X15,2)</f>
        <v>69355.86</v>
      </c>
      <c r="Y11" s="204">
        <f>ROUND('[7]2027'!Y15,2)</f>
        <v>70947.839999999997</v>
      </c>
      <c r="Z11" s="204">
        <f>ROUND('[7]2027'!Z15,2)</f>
        <v>70908.759999999995</v>
      </c>
      <c r="AA11" s="204">
        <f>ROUND('[7]2027'!AA15,2)</f>
        <v>69036.039999999994</v>
      </c>
      <c r="AB11" s="204">
        <f>ROUND('[7]2027'!AB15,2)</f>
        <v>66742.820000000007</v>
      </c>
      <c r="AC11" s="266">
        <f>SUM(E11:AB11)*D11+SUM(E12:AB12)*D12+SUM(E13:AB13)*D13+SUM(E14:AB14)*D14</f>
        <v>30208541.430000003</v>
      </c>
      <c r="AD11" s="19"/>
      <c r="AE11" s="111">
        <f>+AC11</f>
        <v>30208541.430000003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61"/>
      <c r="C12" s="10" t="s">
        <v>30</v>
      </c>
      <c r="D12" s="118">
        <f>+'[7]2027'!D16</f>
        <v>5</v>
      </c>
      <c r="E12" s="205">
        <f>ROUND('[7]2027'!E16,2)</f>
        <v>43330.5</v>
      </c>
      <c r="F12" s="205">
        <f>ROUND('[7]2027'!F16,2)</f>
        <v>39748.79</v>
      </c>
      <c r="G12" s="205">
        <f>ROUND('[7]2027'!G16,2)</f>
        <v>36510.03</v>
      </c>
      <c r="H12" s="205">
        <f>ROUND('[7]2027'!H16,2)</f>
        <v>33885.660000000003</v>
      </c>
      <c r="I12" s="205">
        <f>ROUND('[7]2027'!I16,2)</f>
        <v>32602.29</v>
      </c>
      <c r="J12" s="205">
        <f>ROUND('[7]2027'!J16,2)</f>
        <v>29315.97</v>
      </c>
      <c r="K12" s="205">
        <f>ROUND('[7]2027'!K16,2)</f>
        <v>26165.34</v>
      </c>
      <c r="L12" s="205">
        <f>ROUND('[7]2027'!L16,2)</f>
        <v>22196.35</v>
      </c>
      <c r="M12" s="205">
        <f>ROUND('[7]2027'!M16,2)</f>
        <v>18661.8</v>
      </c>
      <c r="N12" s="205">
        <f>ROUND('[7]2027'!N16,2)</f>
        <v>18036.88</v>
      </c>
      <c r="O12" s="205">
        <f>ROUND('[7]2027'!O16,2)</f>
        <v>17989.48</v>
      </c>
      <c r="P12" s="205">
        <f>ROUND('[7]2027'!P16,2)</f>
        <v>18955.22</v>
      </c>
      <c r="Q12" s="205">
        <f>ROUND('[7]2027'!Q16,2)</f>
        <v>18566.14</v>
      </c>
      <c r="R12" s="205">
        <f>ROUND('[7]2027'!R16,2)</f>
        <v>20356.72</v>
      </c>
      <c r="S12" s="205">
        <f>ROUND('[7]2027'!S16,2)</f>
        <v>24325.54</v>
      </c>
      <c r="T12" s="205">
        <f>ROUND('[7]2027'!T16,2)</f>
        <v>27378.36</v>
      </c>
      <c r="U12" s="205">
        <f>ROUND('[7]2027'!U16,2)</f>
        <v>33107.440000000002</v>
      </c>
      <c r="V12" s="205">
        <f>ROUND('[7]2027'!V16,2)</f>
        <v>63760.99</v>
      </c>
      <c r="W12" s="205">
        <f>ROUND('[7]2027'!W16,2)</f>
        <v>67489.73</v>
      </c>
      <c r="X12" s="205">
        <f>ROUND('[7]2027'!X16,2)</f>
        <v>66979.37</v>
      </c>
      <c r="Y12" s="205">
        <f>ROUND('[7]2027'!Y16,2)</f>
        <v>67173.23</v>
      </c>
      <c r="Z12" s="205">
        <f>ROUND('[7]2027'!Z16,2)</f>
        <v>67714.45</v>
      </c>
      <c r="AA12" s="205">
        <f>ROUND('[7]2027'!AA16,2)</f>
        <v>67735.5</v>
      </c>
      <c r="AB12" s="205">
        <f>ROUND('[7]2027'!AB16,2)</f>
        <v>65924.479999999996</v>
      </c>
      <c r="AC12" s="262"/>
      <c r="AD12" s="19"/>
      <c r="AE12" s="111">
        <f>+AC15</f>
        <v>24071174.279999994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61"/>
      <c r="C13" s="10" t="s">
        <v>31</v>
      </c>
      <c r="D13" s="118">
        <f>+'[7]2027'!D17</f>
        <v>5</v>
      </c>
      <c r="E13" s="205">
        <f>ROUND('[7]2027'!E17,2)</f>
        <v>45437.1</v>
      </c>
      <c r="F13" s="205">
        <f>ROUND('[7]2027'!F17,2)</f>
        <v>42313.62</v>
      </c>
      <c r="G13" s="205">
        <f>ROUND('[7]2027'!G17,2)</f>
        <v>38963.35</v>
      </c>
      <c r="H13" s="205">
        <f>ROUND('[7]2027'!H17,2)</f>
        <v>35859.14</v>
      </c>
      <c r="I13" s="205">
        <f>ROUND('[7]2027'!I17,2)</f>
        <v>34342.83</v>
      </c>
      <c r="J13" s="205">
        <f>ROUND('[7]2027'!J17,2)</f>
        <v>30819.21</v>
      </c>
      <c r="K13" s="205">
        <f>ROUND('[7]2027'!K17,2)</f>
        <v>27378.92</v>
      </c>
      <c r="L13" s="205">
        <f>ROUND('[7]2027'!L17,2)</f>
        <v>21925.47</v>
      </c>
      <c r="M13" s="205">
        <f>ROUND('[7]2027'!M17,2)</f>
        <v>16409.66</v>
      </c>
      <c r="N13" s="205">
        <f>ROUND('[7]2027'!N17,2)</f>
        <v>15226.51</v>
      </c>
      <c r="O13" s="205">
        <f>ROUND('[7]2027'!O17,2)</f>
        <v>13690</v>
      </c>
      <c r="P13" s="205">
        <f>ROUND('[7]2027'!P17,2)</f>
        <v>14540.62</v>
      </c>
      <c r="Q13" s="205">
        <f>ROUND('[7]2027'!Q17,2)</f>
        <v>16479.12</v>
      </c>
      <c r="R13" s="205">
        <f>ROUND('[7]2027'!R17,2)</f>
        <v>19205.060000000001</v>
      </c>
      <c r="S13" s="205">
        <f>ROUND('[7]2027'!S17,2)</f>
        <v>22646.37</v>
      </c>
      <c r="T13" s="205">
        <f>ROUND('[7]2027'!T17,2)</f>
        <v>26035.96</v>
      </c>
      <c r="U13" s="205">
        <f>ROUND('[7]2027'!U17,2)</f>
        <v>31977.82</v>
      </c>
      <c r="V13" s="205">
        <f>ROUND('[7]2027'!V17,2)</f>
        <v>60785.4</v>
      </c>
      <c r="W13" s="205">
        <f>ROUND('[7]2027'!W17,2)</f>
        <v>65584.759999999995</v>
      </c>
      <c r="X13" s="205">
        <f>ROUND('[7]2027'!X17,2)</f>
        <v>66714.850000000006</v>
      </c>
      <c r="Y13" s="205">
        <f>ROUND('[7]2027'!Y17,2)</f>
        <v>68930.850000000006</v>
      </c>
      <c r="Z13" s="205">
        <f>ROUND('[7]2027'!Z17,2)</f>
        <v>72612.89</v>
      </c>
      <c r="AA13" s="205">
        <f>ROUND('[7]2027'!AA17,2)</f>
        <v>69126.53</v>
      </c>
      <c r="AB13" s="205">
        <f>ROUND('[7]2027'!AB17,2)</f>
        <v>66655.38</v>
      </c>
      <c r="AC13" s="262"/>
      <c r="AD13" s="19"/>
      <c r="AE13" s="111">
        <f>+AC19</f>
        <v>32942147.859999999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61"/>
      <c r="C14" s="16" t="s">
        <v>32</v>
      </c>
      <c r="D14" s="119">
        <f>+'[7]2027'!D18</f>
        <v>2</v>
      </c>
      <c r="E14" s="206">
        <f>ROUND('[7]2027'!E18,2)</f>
        <v>45437.1</v>
      </c>
      <c r="F14" s="206">
        <f>ROUND('[7]2027'!F18,2)</f>
        <v>42313.62</v>
      </c>
      <c r="G14" s="206">
        <f>ROUND('[7]2027'!G18,2)</f>
        <v>38963.35</v>
      </c>
      <c r="H14" s="206">
        <f>ROUND('[7]2027'!H18,2)</f>
        <v>35859.14</v>
      </c>
      <c r="I14" s="206">
        <f>ROUND('[7]2027'!I18,2)</f>
        <v>34342.83</v>
      </c>
      <c r="J14" s="206">
        <f>ROUND('[7]2027'!J18,2)</f>
        <v>30819.21</v>
      </c>
      <c r="K14" s="206">
        <f>ROUND('[7]2027'!K18,2)</f>
        <v>27378.92</v>
      </c>
      <c r="L14" s="206">
        <f>ROUND('[7]2027'!L18,2)</f>
        <v>21925.47</v>
      </c>
      <c r="M14" s="206">
        <f>ROUND('[7]2027'!M18,2)</f>
        <v>16409.66</v>
      </c>
      <c r="N14" s="206">
        <f>ROUND('[7]2027'!N18,2)</f>
        <v>15226.51</v>
      </c>
      <c r="O14" s="206">
        <f>ROUND('[7]2027'!O18,2)</f>
        <v>13690</v>
      </c>
      <c r="P14" s="206">
        <f>ROUND('[7]2027'!P18,2)</f>
        <v>14540.62</v>
      </c>
      <c r="Q14" s="206">
        <f>ROUND('[7]2027'!Q18,2)</f>
        <v>16479.12</v>
      </c>
      <c r="R14" s="206">
        <f>ROUND('[7]2027'!R18,2)</f>
        <v>19205.060000000001</v>
      </c>
      <c r="S14" s="206">
        <f>ROUND('[7]2027'!S18,2)</f>
        <v>22646.37</v>
      </c>
      <c r="T14" s="206">
        <f>ROUND('[7]2027'!T18,2)</f>
        <v>26035.96</v>
      </c>
      <c r="U14" s="206">
        <f>ROUND('[7]2027'!U18,2)</f>
        <v>31977.82</v>
      </c>
      <c r="V14" s="206">
        <f>ROUND('[7]2027'!V18,2)</f>
        <v>60785.4</v>
      </c>
      <c r="W14" s="206">
        <f>ROUND('[7]2027'!W18,2)</f>
        <v>65584.759999999995</v>
      </c>
      <c r="X14" s="206">
        <f>ROUND('[7]2027'!X18,2)</f>
        <v>66714.850000000006</v>
      </c>
      <c r="Y14" s="206">
        <f>ROUND('[7]2027'!Y18,2)</f>
        <v>68930.850000000006</v>
      </c>
      <c r="Z14" s="206">
        <f>ROUND('[7]2027'!Z18,2)</f>
        <v>72612.89</v>
      </c>
      <c r="AA14" s="206">
        <f>ROUND('[7]2027'!AA18,2)</f>
        <v>69126.53</v>
      </c>
      <c r="AB14" s="206">
        <f>ROUND('[7]2027'!AB18,2)</f>
        <v>66655.38</v>
      </c>
      <c r="AC14" s="262"/>
      <c r="AD14" s="19"/>
      <c r="AE14" s="111">
        <f>+AC23</f>
        <v>27847437.360000003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63">
        <v>46419</v>
      </c>
      <c r="C15" s="7" t="s">
        <v>29</v>
      </c>
      <c r="D15" s="117">
        <f>+'[7]2027'!D19</f>
        <v>20</v>
      </c>
      <c r="E15" s="204">
        <f>ROUND('[7]2027'!E19,2)</f>
        <v>38856.480000000003</v>
      </c>
      <c r="F15" s="204">
        <f>ROUND('[7]2027'!F19,2)</f>
        <v>35875.050000000003</v>
      </c>
      <c r="G15" s="204">
        <f>ROUND('[7]2027'!G19,2)</f>
        <v>33188.93</v>
      </c>
      <c r="H15" s="204">
        <f>ROUND('[7]2027'!H19,2)</f>
        <v>31604.99</v>
      </c>
      <c r="I15" s="204">
        <f>ROUND('[7]2027'!I19,2)</f>
        <v>30612.15</v>
      </c>
      <c r="J15" s="204">
        <f>ROUND('[7]2027'!J19,2)</f>
        <v>27980.2</v>
      </c>
      <c r="K15" s="204">
        <f>ROUND('[7]2027'!K19,2)</f>
        <v>26991.91</v>
      </c>
      <c r="L15" s="204">
        <f>ROUND('[7]2027'!L19,2)</f>
        <v>26297.5</v>
      </c>
      <c r="M15" s="204">
        <f>ROUND('[7]2027'!M19,2)</f>
        <v>19591.7</v>
      </c>
      <c r="N15" s="204">
        <f>ROUND('[7]2027'!N19,2)</f>
        <v>14497.99</v>
      </c>
      <c r="O15" s="204">
        <f>ROUND('[7]2027'!O19,2)</f>
        <v>13135.05</v>
      </c>
      <c r="P15" s="204">
        <f>ROUND('[7]2027'!P19,2)</f>
        <v>12990.37</v>
      </c>
      <c r="Q15" s="204">
        <f>ROUND('[7]2027'!Q19,2)</f>
        <v>12384.66</v>
      </c>
      <c r="R15" s="204">
        <f>ROUND('[7]2027'!R19,2)</f>
        <v>18853.75</v>
      </c>
      <c r="S15" s="204">
        <f>ROUND('[7]2027'!S19,2)</f>
        <v>23548.98</v>
      </c>
      <c r="T15" s="204">
        <f>ROUND('[7]2027'!T19,2)</f>
        <v>26636.43</v>
      </c>
      <c r="U15" s="204">
        <f>ROUND('[7]2027'!U19,2)</f>
        <v>31494.720000000001</v>
      </c>
      <c r="V15" s="204">
        <f>ROUND('[7]2027'!V19,2)</f>
        <v>58339.78</v>
      </c>
      <c r="W15" s="204">
        <f>ROUND('[7]2027'!W19,2)</f>
        <v>60698.97</v>
      </c>
      <c r="X15" s="204">
        <f>ROUND('[7]2027'!X19,2)</f>
        <v>65279.86</v>
      </c>
      <c r="Y15" s="204">
        <f>ROUND('[7]2027'!Y19,2)</f>
        <v>68245.460000000006</v>
      </c>
      <c r="Z15" s="204">
        <f>ROUND('[7]2027'!Z19,2)</f>
        <v>67722.84</v>
      </c>
      <c r="AA15" s="204">
        <f>ROUND('[7]2027'!AA19,2)</f>
        <v>65063.5</v>
      </c>
      <c r="AB15" s="204">
        <f>ROUND('[7]2027'!AB19,2)</f>
        <v>63082.26</v>
      </c>
      <c r="AC15" s="266">
        <f>SUM(E15:AB15)*D15+SUM(E16:AB16)*D16+SUM(E17:AB17)*D17+SUM(E18:AB18)*D18</f>
        <v>24071174.279999994</v>
      </c>
      <c r="AD15" s="19"/>
      <c r="AE15" s="111">
        <f>+AC27</f>
        <v>25146241.219999999</v>
      </c>
    </row>
    <row r="16" spans="2:50" ht="18.649999999999999" customHeight="1" x14ac:dyDescent="0.35">
      <c r="B16" s="264" t="s">
        <v>34</v>
      </c>
      <c r="C16" s="10" t="s">
        <v>30</v>
      </c>
      <c r="D16" s="118">
        <f>+'[7]2027'!D20</f>
        <v>4</v>
      </c>
      <c r="E16" s="205">
        <f>ROUND('[7]2027'!E20,2)</f>
        <v>34735.89</v>
      </c>
      <c r="F16" s="205">
        <f>ROUND('[7]2027'!F20,2)</f>
        <v>32632.89</v>
      </c>
      <c r="G16" s="205">
        <f>ROUND('[7]2027'!G20,2)</f>
        <v>29722.48</v>
      </c>
      <c r="H16" s="205">
        <f>ROUND('[7]2027'!H20,2)</f>
        <v>27737.119999999999</v>
      </c>
      <c r="I16" s="205">
        <f>ROUND('[7]2027'!I20,2)</f>
        <v>26252.73</v>
      </c>
      <c r="J16" s="205">
        <f>ROUND('[7]2027'!J20,2)</f>
        <v>23237.75</v>
      </c>
      <c r="K16" s="205">
        <f>ROUND('[7]2027'!K20,2)</f>
        <v>22613.5</v>
      </c>
      <c r="L16" s="205">
        <f>ROUND('[7]2027'!L20,2)</f>
        <v>19631.8</v>
      </c>
      <c r="M16" s="205">
        <f>ROUND('[7]2027'!M20,2)</f>
        <v>13069.58</v>
      </c>
      <c r="N16" s="205">
        <f>ROUND('[7]2027'!N20,2)</f>
        <v>8624.84</v>
      </c>
      <c r="O16" s="205">
        <f>ROUND('[7]2027'!O20,2)</f>
        <v>7487.23</v>
      </c>
      <c r="P16" s="205">
        <f>ROUND('[7]2027'!P20,2)</f>
        <v>8395.15</v>
      </c>
      <c r="Q16" s="205">
        <f>ROUND('[7]2027'!Q20,2)</f>
        <v>7860.9</v>
      </c>
      <c r="R16" s="205">
        <f>ROUND('[7]2027'!R20,2)</f>
        <v>12479.34</v>
      </c>
      <c r="S16" s="205">
        <f>ROUND('[7]2027'!S20,2)</f>
        <v>16619.14</v>
      </c>
      <c r="T16" s="205">
        <f>ROUND('[7]2027'!T20,2)</f>
        <v>21217.56</v>
      </c>
      <c r="U16" s="205">
        <f>ROUND('[7]2027'!U20,2)</f>
        <v>26653.25</v>
      </c>
      <c r="V16" s="205">
        <f>ROUND('[7]2027'!V20,2)</f>
        <v>56906.65</v>
      </c>
      <c r="W16" s="205">
        <f>ROUND('[7]2027'!W20,2)</f>
        <v>62017.11</v>
      </c>
      <c r="X16" s="205">
        <f>ROUND('[7]2027'!X20,2)</f>
        <v>64395.07</v>
      </c>
      <c r="Y16" s="205">
        <f>ROUND('[7]2027'!Y20,2)</f>
        <v>64747.77</v>
      </c>
      <c r="Z16" s="205">
        <f>ROUND('[7]2027'!Z20,2)</f>
        <v>64665.75</v>
      </c>
      <c r="AA16" s="205">
        <f>ROUND('[7]2027'!AA20,2)</f>
        <v>63678.76</v>
      </c>
      <c r="AB16" s="205">
        <f>ROUND('[7]2027'!AB20,2)</f>
        <v>62078.81</v>
      </c>
      <c r="AC16" s="262"/>
      <c r="AD16" s="19"/>
      <c r="AE16" s="111">
        <f>+AC31</f>
        <v>6652499.5200000005</v>
      </c>
    </row>
    <row r="17" spans="2:31" ht="18.649999999999999" customHeight="1" x14ac:dyDescent="0.35">
      <c r="B17" s="264" t="s">
        <v>34</v>
      </c>
      <c r="C17" s="10" t="s">
        <v>31</v>
      </c>
      <c r="D17" s="118">
        <f>+'[7]2027'!D21</f>
        <v>4</v>
      </c>
      <c r="E17" s="205">
        <f>ROUND('[7]2027'!E21,2)</f>
        <v>39324.769999999997</v>
      </c>
      <c r="F17" s="205">
        <f>ROUND('[7]2027'!F21,2)</f>
        <v>36814.26</v>
      </c>
      <c r="G17" s="205">
        <f>ROUND('[7]2027'!G21,2)</f>
        <v>34223.08</v>
      </c>
      <c r="H17" s="205">
        <f>ROUND('[7]2027'!H21,2)</f>
        <v>32635.02</v>
      </c>
      <c r="I17" s="205">
        <f>ROUND('[7]2027'!I21,2)</f>
        <v>30645.15</v>
      </c>
      <c r="J17" s="205">
        <f>ROUND('[7]2027'!J21,2)</f>
        <v>27396.37</v>
      </c>
      <c r="K17" s="205">
        <f>ROUND('[7]2027'!K21,2)</f>
        <v>25352.6</v>
      </c>
      <c r="L17" s="205">
        <f>ROUND('[7]2027'!L21,2)</f>
        <v>19887.47</v>
      </c>
      <c r="M17" s="205">
        <f>ROUND('[7]2027'!M21,2)</f>
        <v>13617.77</v>
      </c>
      <c r="N17" s="205">
        <f>ROUND('[7]2027'!N21,2)</f>
        <v>9919.7099999999991</v>
      </c>
      <c r="O17" s="205">
        <f>ROUND('[7]2027'!O21,2)</f>
        <v>8216.24</v>
      </c>
      <c r="P17" s="205">
        <f>ROUND('[7]2027'!P21,2)</f>
        <v>10780.65</v>
      </c>
      <c r="Q17" s="205">
        <f>ROUND('[7]2027'!Q21,2)</f>
        <v>13076.36</v>
      </c>
      <c r="R17" s="205">
        <f>ROUND('[7]2027'!R21,2)</f>
        <v>18415</v>
      </c>
      <c r="S17" s="205">
        <f>ROUND('[7]2027'!S21,2)</f>
        <v>21869.34</v>
      </c>
      <c r="T17" s="205">
        <f>ROUND('[7]2027'!T21,2)</f>
        <v>25305.81</v>
      </c>
      <c r="U17" s="205">
        <f>ROUND('[7]2027'!U21,2)</f>
        <v>30608.49</v>
      </c>
      <c r="V17" s="205">
        <f>ROUND('[7]2027'!V21,2)</f>
        <v>58088.04</v>
      </c>
      <c r="W17" s="205">
        <f>ROUND('[7]2027'!W21,2)</f>
        <v>63130.080000000002</v>
      </c>
      <c r="X17" s="205">
        <f>ROUND('[7]2027'!X21,2)</f>
        <v>68166.53</v>
      </c>
      <c r="Y17" s="205">
        <f>ROUND('[7]2027'!Y21,2)</f>
        <v>71993.350000000006</v>
      </c>
      <c r="Z17" s="205">
        <f>ROUND('[7]2027'!Z21,2)</f>
        <v>74580.5</v>
      </c>
      <c r="AA17" s="205">
        <f>ROUND('[7]2027'!AA21,2)</f>
        <v>73178.19</v>
      </c>
      <c r="AB17" s="205">
        <f>ROUND('[7]2027'!AB21,2)</f>
        <v>68240.070000000007</v>
      </c>
      <c r="AC17" s="262"/>
      <c r="AD17" s="19"/>
      <c r="AE17" s="111">
        <f>+AC35</f>
        <v>7378392.1299999999</v>
      </c>
    </row>
    <row r="18" spans="2:31" ht="18.649999999999999" customHeight="1" thickBot="1" x14ac:dyDescent="0.4">
      <c r="B18" s="265" t="s">
        <v>34</v>
      </c>
      <c r="C18" s="12" t="s">
        <v>32</v>
      </c>
      <c r="D18" s="120">
        <f>+'[7]2027'!D22</f>
        <v>0</v>
      </c>
      <c r="E18" s="140">
        <f>ROUND('[7]2027'!E22,2)</f>
        <v>0</v>
      </c>
      <c r="F18" s="140">
        <f>ROUND('[7]2027'!F22,2)</f>
        <v>0</v>
      </c>
      <c r="G18" s="140">
        <f>ROUND('[7]2027'!G22,2)</f>
        <v>0</v>
      </c>
      <c r="H18" s="140">
        <f>ROUND('[7]2027'!H22,2)</f>
        <v>0</v>
      </c>
      <c r="I18" s="140">
        <f>ROUND('[7]2027'!I22,2)</f>
        <v>0</v>
      </c>
      <c r="J18" s="140">
        <f>ROUND('[7]2027'!J22,2)</f>
        <v>0</v>
      </c>
      <c r="K18" s="140">
        <f>ROUND('[7]2027'!K22,2)</f>
        <v>0</v>
      </c>
      <c r="L18" s="140">
        <f>ROUND('[7]2027'!L22,2)</f>
        <v>0</v>
      </c>
      <c r="M18" s="140">
        <f>ROUND('[7]2027'!M22,2)</f>
        <v>0</v>
      </c>
      <c r="N18" s="140">
        <f>ROUND('[7]2027'!N22,2)</f>
        <v>0</v>
      </c>
      <c r="O18" s="140">
        <f>ROUND('[7]2027'!O22,2)</f>
        <v>0</v>
      </c>
      <c r="P18" s="140">
        <f>ROUND('[7]2027'!P22,2)</f>
        <v>0</v>
      </c>
      <c r="Q18" s="140">
        <f>ROUND('[7]2027'!Q22,2)</f>
        <v>0</v>
      </c>
      <c r="R18" s="140">
        <f>ROUND('[7]2027'!R22,2)</f>
        <v>0</v>
      </c>
      <c r="S18" s="140">
        <f>ROUND('[7]2027'!S22,2)</f>
        <v>0</v>
      </c>
      <c r="T18" s="140">
        <f>ROUND('[7]2027'!T22,2)</f>
        <v>0</v>
      </c>
      <c r="U18" s="140">
        <f>ROUND('[7]2027'!U22,2)</f>
        <v>0</v>
      </c>
      <c r="V18" s="140">
        <f>ROUND('[7]2027'!V22,2)</f>
        <v>0</v>
      </c>
      <c r="W18" s="140">
        <f>ROUND('[7]2027'!W22,2)</f>
        <v>0</v>
      </c>
      <c r="X18" s="140">
        <f>ROUND('[7]2027'!X22,2)</f>
        <v>0</v>
      </c>
      <c r="Y18" s="140">
        <f>ROUND('[7]2027'!Y22,2)</f>
        <v>0</v>
      </c>
      <c r="Z18" s="140">
        <f>ROUND('[7]2027'!Z22,2)</f>
        <v>0</v>
      </c>
      <c r="AA18" s="140">
        <f>ROUND('[7]2027'!AA22,2)</f>
        <v>0</v>
      </c>
      <c r="AB18" s="140">
        <f>ROUND('[7]2027'!AB22,2)</f>
        <v>0</v>
      </c>
      <c r="AC18" s="267"/>
      <c r="AD18" s="19"/>
      <c r="AE18" s="111">
        <f>+AC39</f>
        <v>9177870.5099999998</v>
      </c>
    </row>
    <row r="19" spans="2:31" ht="18.649999999999999" customHeight="1" x14ac:dyDescent="0.35">
      <c r="B19" s="260">
        <v>46447</v>
      </c>
      <c r="C19" s="14" t="s">
        <v>29</v>
      </c>
      <c r="D19" s="121">
        <f>+'[7]2027'!D23</f>
        <v>20</v>
      </c>
      <c r="E19" s="207">
        <f>ROUND('[7]2027'!E23,2)</f>
        <v>53035.07</v>
      </c>
      <c r="F19" s="207">
        <f>ROUND('[7]2027'!F23,2)</f>
        <v>48680.639999999999</v>
      </c>
      <c r="G19" s="207">
        <f>ROUND('[7]2027'!G23,2)</f>
        <v>44575.34</v>
      </c>
      <c r="H19" s="207">
        <f>ROUND('[7]2027'!H23,2)</f>
        <v>41289.81</v>
      </c>
      <c r="I19" s="207">
        <f>ROUND('[7]2027'!I23,2)</f>
        <v>38303.199999999997</v>
      </c>
      <c r="J19" s="207">
        <f>ROUND('[7]2027'!J23,2)</f>
        <v>32939.660000000003</v>
      </c>
      <c r="K19" s="207">
        <f>ROUND('[7]2027'!K23,2)</f>
        <v>30432.9</v>
      </c>
      <c r="L19" s="207">
        <f>ROUND('[7]2027'!L23,2)</f>
        <v>31308.45</v>
      </c>
      <c r="M19" s="207">
        <f>ROUND('[7]2027'!M23,2)</f>
        <v>28821.43</v>
      </c>
      <c r="N19" s="207">
        <f>ROUND('[7]2027'!N23,2)</f>
        <v>25800.46</v>
      </c>
      <c r="O19" s="207">
        <f>ROUND('[7]2027'!O23,2)</f>
        <v>25986.67</v>
      </c>
      <c r="P19" s="207">
        <f>ROUND('[7]2027'!P23,2)</f>
        <v>27098.23</v>
      </c>
      <c r="Q19" s="207">
        <f>ROUND('[7]2027'!Q23,2)</f>
        <v>26185.06</v>
      </c>
      <c r="R19" s="207">
        <f>ROUND('[7]2027'!R23,2)</f>
        <v>32693.62</v>
      </c>
      <c r="S19" s="207">
        <f>ROUND('[7]2027'!S23,2)</f>
        <v>36925.269999999997</v>
      </c>
      <c r="T19" s="207">
        <f>ROUND('[7]2027'!T23,2)</f>
        <v>39745.22</v>
      </c>
      <c r="U19" s="207">
        <f>ROUND('[7]2027'!U23,2)</f>
        <v>44454.8</v>
      </c>
      <c r="V19" s="207">
        <f>ROUND('[7]2027'!V23,2)</f>
        <v>69482.539999999994</v>
      </c>
      <c r="W19" s="207">
        <f>ROUND('[7]2027'!W23,2)</f>
        <v>71718.509999999995</v>
      </c>
      <c r="X19" s="207">
        <f>ROUND('[7]2027'!X23,2)</f>
        <v>72462.86</v>
      </c>
      <c r="Y19" s="207">
        <f>ROUND('[7]2027'!Y23,2)</f>
        <v>75804.37</v>
      </c>
      <c r="Z19" s="207">
        <f>ROUND('[7]2027'!Z23,2)</f>
        <v>76908.460000000006</v>
      </c>
      <c r="AA19" s="207">
        <f>ROUND('[7]2027'!AA23,2)</f>
        <v>76913.61</v>
      </c>
      <c r="AB19" s="207">
        <f>ROUND('[7]2027'!AB23,2)</f>
        <v>75628.63</v>
      </c>
      <c r="AC19" s="262">
        <f>SUM(E19:AB19)*D19+SUM(E20:AB20)*D20+SUM(E21:AB21)*D21+SUM(E22:AB22)*D22</f>
        <v>32942147.859999999</v>
      </c>
      <c r="AD19" s="19"/>
      <c r="AE19" s="111">
        <f>+AC43</f>
        <v>10029118.120000001</v>
      </c>
    </row>
    <row r="20" spans="2:31" ht="18.649999999999999" customHeight="1" x14ac:dyDescent="0.35">
      <c r="B20" s="261"/>
      <c r="C20" s="10" t="s">
        <v>30</v>
      </c>
      <c r="D20" s="118">
        <f>+'[7]2027'!D24</f>
        <v>4</v>
      </c>
      <c r="E20" s="205">
        <f>ROUND('[7]2027'!E24,2)</f>
        <v>49965.74</v>
      </c>
      <c r="F20" s="205">
        <f>ROUND('[7]2027'!F24,2)</f>
        <v>45851.26</v>
      </c>
      <c r="G20" s="205">
        <f>ROUND('[7]2027'!G24,2)</f>
        <v>42607.65</v>
      </c>
      <c r="H20" s="205">
        <f>ROUND('[7]2027'!H24,2)</f>
        <v>39990.660000000003</v>
      </c>
      <c r="I20" s="205">
        <f>ROUND('[7]2027'!I24,2)</f>
        <v>36384.14</v>
      </c>
      <c r="J20" s="205">
        <f>ROUND('[7]2027'!J24,2)</f>
        <v>30672.32</v>
      </c>
      <c r="K20" s="205">
        <f>ROUND('[7]2027'!K24,2)</f>
        <v>28004.63</v>
      </c>
      <c r="L20" s="205">
        <f>ROUND('[7]2027'!L24,2)</f>
        <v>23199.67</v>
      </c>
      <c r="M20" s="205">
        <f>ROUND('[7]2027'!M24,2)</f>
        <v>17711.16</v>
      </c>
      <c r="N20" s="205">
        <f>ROUND('[7]2027'!N24,2)</f>
        <v>14634.46</v>
      </c>
      <c r="O20" s="205">
        <f>ROUND('[7]2027'!O24,2)</f>
        <v>12275.68</v>
      </c>
      <c r="P20" s="205">
        <f>ROUND('[7]2027'!P24,2)</f>
        <v>12360.89</v>
      </c>
      <c r="Q20" s="205">
        <f>ROUND('[7]2027'!Q24,2)</f>
        <v>12390.15</v>
      </c>
      <c r="R20" s="205">
        <f>ROUND('[7]2027'!R24,2)</f>
        <v>15103.6</v>
      </c>
      <c r="S20" s="205">
        <f>ROUND('[7]2027'!S24,2)</f>
        <v>15837.26</v>
      </c>
      <c r="T20" s="205">
        <f>ROUND('[7]2027'!T24,2)</f>
        <v>25645.78</v>
      </c>
      <c r="U20" s="205">
        <f>ROUND('[7]2027'!U24,2)</f>
        <v>28146.09</v>
      </c>
      <c r="V20" s="205">
        <f>ROUND('[7]2027'!V24,2)</f>
        <v>57328.7</v>
      </c>
      <c r="W20" s="205">
        <f>ROUND('[7]2027'!W24,2)</f>
        <v>64855.12</v>
      </c>
      <c r="X20" s="205">
        <f>ROUND('[7]2027'!X24,2)</f>
        <v>63898.86</v>
      </c>
      <c r="Y20" s="205">
        <f>ROUND('[7]2027'!Y24,2)</f>
        <v>65512.39</v>
      </c>
      <c r="Z20" s="205">
        <f>ROUND('[7]2027'!Z24,2)</f>
        <v>67169.42</v>
      </c>
      <c r="AA20" s="205">
        <f>ROUND('[7]2027'!AA24,2)</f>
        <v>68218.78</v>
      </c>
      <c r="AB20" s="205">
        <f>ROUND('[7]2027'!AB24,2)</f>
        <v>68219.8</v>
      </c>
      <c r="AC20" s="262"/>
      <c r="AD20" s="19"/>
      <c r="AE20" s="111">
        <f>+AC47</f>
        <v>11917264.910000002</v>
      </c>
    </row>
    <row r="21" spans="2:31" ht="18.649999999999999" customHeight="1" x14ac:dyDescent="0.35">
      <c r="B21" s="261"/>
      <c r="C21" s="10" t="s">
        <v>31</v>
      </c>
      <c r="D21" s="118">
        <f>+'[7]2027'!D25</f>
        <v>4</v>
      </c>
      <c r="E21" s="205">
        <f>ROUND('[7]2027'!E25,2)</f>
        <v>46959.95</v>
      </c>
      <c r="F21" s="205">
        <f>ROUND('[7]2027'!F25,2)</f>
        <v>44152.18</v>
      </c>
      <c r="G21" s="205">
        <f>ROUND('[7]2027'!G25,2)</f>
        <v>39880.33</v>
      </c>
      <c r="H21" s="205">
        <f>ROUND('[7]2027'!H25,2)</f>
        <v>36939.589999999997</v>
      </c>
      <c r="I21" s="205">
        <f>ROUND('[7]2027'!I25,2)</f>
        <v>35073.99</v>
      </c>
      <c r="J21" s="205">
        <f>ROUND('[7]2027'!J25,2)</f>
        <v>31210.47</v>
      </c>
      <c r="K21" s="205">
        <f>ROUND('[7]2027'!K25,2)</f>
        <v>26938.82</v>
      </c>
      <c r="L21" s="205">
        <f>ROUND('[7]2027'!L25,2)</f>
        <v>22899.599999999999</v>
      </c>
      <c r="M21" s="205">
        <f>ROUND('[7]2027'!M25,2)</f>
        <v>17453.37</v>
      </c>
      <c r="N21" s="205">
        <f>ROUND('[7]2027'!N25,2)</f>
        <v>14482.35</v>
      </c>
      <c r="O21" s="205">
        <f>ROUND('[7]2027'!O25,2)</f>
        <v>14127.34</v>
      </c>
      <c r="P21" s="205">
        <f>ROUND('[7]2027'!P25,2)</f>
        <v>16966.25</v>
      </c>
      <c r="Q21" s="205">
        <f>ROUND('[7]2027'!Q25,2)</f>
        <v>18971.599999999999</v>
      </c>
      <c r="R21" s="205">
        <f>ROUND('[7]2027'!R25,2)</f>
        <v>22198.7</v>
      </c>
      <c r="S21" s="205">
        <f>ROUND('[7]2027'!S25,2)</f>
        <v>26409.29</v>
      </c>
      <c r="T21" s="205">
        <f>ROUND('[7]2027'!T25,2)</f>
        <v>30671.97</v>
      </c>
      <c r="U21" s="205">
        <f>ROUND('[7]2027'!U25,2)</f>
        <v>34139.67</v>
      </c>
      <c r="V21" s="205">
        <f>ROUND('[7]2027'!V25,2)</f>
        <v>60953.39</v>
      </c>
      <c r="W21" s="205">
        <f>ROUND('[7]2027'!W25,2)</f>
        <v>65999.89</v>
      </c>
      <c r="X21" s="205">
        <f>ROUND('[7]2027'!X25,2)</f>
        <v>66650.100000000006</v>
      </c>
      <c r="Y21" s="205">
        <f>ROUND('[7]2027'!Y25,2)</f>
        <v>70448.850000000006</v>
      </c>
      <c r="Z21" s="205">
        <f>ROUND('[7]2027'!Z25,2)</f>
        <v>74835.539999999994</v>
      </c>
      <c r="AA21" s="205">
        <f>ROUND('[7]2027'!AA25,2)</f>
        <v>76390.080000000002</v>
      </c>
      <c r="AB21" s="205">
        <f>ROUND('[7]2027'!AB25,2)</f>
        <v>73005.94</v>
      </c>
      <c r="AC21" s="262"/>
      <c r="AD21" s="19"/>
      <c r="AE21" s="111">
        <f>+AC51</f>
        <v>23033067.219999999</v>
      </c>
    </row>
    <row r="22" spans="2:31" ht="18.649999999999999" customHeight="1" thickBot="1" x14ac:dyDescent="0.4">
      <c r="B22" s="261"/>
      <c r="C22" s="16" t="s">
        <v>32</v>
      </c>
      <c r="D22" s="119">
        <f>+'[7]2027'!D26</f>
        <v>3</v>
      </c>
      <c r="E22" s="206">
        <f>ROUND('[7]2027'!E26,2)</f>
        <v>46959.95</v>
      </c>
      <c r="F22" s="206">
        <f>ROUND('[7]2027'!F26,2)</f>
        <v>44152.18</v>
      </c>
      <c r="G22" s="206">
        <f>ROUND('[7]2027'!G26,2)</f>
        <v>39880.33</v>
      </c>
      <c r="H22" s="206">
        <f>ROUND('[7]2027'!H26,2)</f>
        <v>36939.589999999997</v>
      </c>
      <c r="I22" s="206">
        <f>ROUND('[7]2027'!I26,2)</f>
        <v>35073.99</v>
      </c>
      <c r="J22" s="206">
        <f>ROUND('[7]2027'!J26,2)</f>
        <v>31210.47</v>
      </c>
      <c r="K22" s="206">
        <f>ROUND('[7]2027'!K26,2)</f>
        <v>26938.82</v>
      </c>
      <c r="L22" s="206">
        <f>ROUND('[7]2027'!L26,2)</f>
        <v>22899.599999999999</v>
      </c>
      <c r="M22" s="206">
        <f>ROUND('[7]2027'!M26,2)</f>
        <v>17453.37</v>
      </c>
      <c r="N22" s="206">
        <f>ROUND('[7]2027'!N26,2)</f>
        <v>14482.35</v>
      </c>
      <c r="O22" s="206">
        <f>ROUND('[7]2027'!O26,2)</f>
        <v>14127.34</v>
      </c>
      <c r="P22" s="206">
        <f>ROUND('[7]2027'!P26,2)</f>
        <v>16966.25</v>
      </c>
      <c r="Q22" s="206">
        <f>ROUND('[7]2027'!Q26,2)</f>
        <v>18971.599999999999</v>
      </c>
      <c r="R22" s="206">
        <f>ROUND('[7]2027'!R26,2)</f>
        <v>22198.7</v>
      </c>
      <c r="S22" s="206">
        <f>ROUND('[7]2027'!S26,2)</f>
        <v>26409.29</v>
      </c>
      <c r="T22" s="206">
        <f>ROUND('[7]2027'!T26,2)</f>
        <v>30671.97</v>
      </c>
      <c r="U22" s="206">
        <f>ROUND('[7]2027'!U26,2)</f>
        <v>34139.67</v>
      </c>
      <c r="V22" s="206">
        <f>ROUND('[7]2027'!V26,2)</f>
        <v>60953.39</v>
      </c>
      <c r="W22" s="206">
        <f>ROUND('[7]2027'!W26,2)</f>
        <v>65999.89</v>
      </c>
      <c r="X22" s="206">
        <f>ROUND('[7]2027'!X26,2)</f>
        <v>66650.100000000006</v>
      </c>
      <c r="Y22" s="206">
        <f>ROUND('[7]2027'!Y26,2)</f>
        <v>70448.850000000006</v>
      </c>
      <c r="Z22" s="206">
        <f>ROUND('[7]2027'!Z26,2)</f>
        <v>74835.539999999994</v>
      </c>
      <c r="AA22" s="206">
        <f>ROUND('[7]2027'!AA26,2)</f>
        <v>76390.080000000002</v>
      </c>
      <c r="AB22" s="206">
        <f>ROUND('[7]2027'!AB26,2)</f>
        <v>73005.94</v>
      </c>
      <c r="AC22" s="262"/>
      <c r="AD22" s="19"/>
      <c r="AE22" s="111">
        <f>+AC55</f>
        <v>18451290.289999999</v>
      </c>
    </row>
    <row r="23" spans="2:31" ht="18.649999999999999" customHeight="1" x14ac:dyDescent="0.35">
      <c r="B23" s="263">
        <v>46478</v>
      </c>
      <c r="C23" s="7" t="s">
        <v>29</v>
      </c>
      <c r="D23" s="117">
        <f>+'[7]2027'!D27</f>
        <v>22</v>
      </c>
      <c r="E23" s="204">
        <f>ROUND('[7]2027'!E27,2)</f>
        <v>46244.17</v>
      </c>
      <c r="F23" s="204">
        <f>ROUND('[7]2027'!F27,2)</f>
        <v>44513</v>
      </c>
      <c r="G23" s="204">
        <f>ROUND('[7]2027'!G27,2)</f>
        <v>40360.019999999997</v>
      </c>
      <c r="H23" s="204">
        <f>ROUND('[7]2027'!H27,2)</f>
        <v>39185.15</v>
      </c>
      <c r="I23" s="204">
        <f>ROUND('[7]2027'!I27,2)</f>
        <v>36564.129999999997</v>
      </c>
      <c r="J23" s="204">
        <f>ROUND('[7]2027'!J27,2)</f>
        <v>26081.98</v>
      </c>
      <c r="K23" s="204">
        <f>ROUND('[7]2027'!K27,2)</f>
        <v>23639.25</v>
      </c>
      <c r="L23" s="204">
        <f>ROUND('[7]2027'!L27,2)</f>
        <v>21796.15</v>
      </c>
      <c r="M23" s="204">
        <f>ROUND('[7]2027'!M27,2)</f>
        <v>20387.72</v>
      </c>
      <c r="N23" s="204">
        <f>ROUND('[7]2027'!N27,2)</f>
        <v>20941.72</v>
      </c>
      <c r="O23" s="204">
        <f>ROUND('[7]2027'!O27,2)</f>
        <v>19965.64</v>
      </c>
      <c r="P23" s="204">
        <f>ROUND('[7]2027'!P27,2)</f>
        <v>19090.650000000001</v>
      </c>
      <c r="Q23" s="204">
        <f>ROUND('[7]2027'!Q27,2)</f>
        <v>22485.91</v>
      </c>
      <c r="R23" s="204">
        <f>ROUND('[7]2027'!R27,2)</f>
        <v>17064.169999999998</v>
      </c>
      <c r="S23" s="204">
        <f>ROUND('[7]2027'!S27,2)</f>
        <v>10616.99</v>
      </c>
      <c r="T23" s="204">
        <f>ROUND('[7]2027'!T27,2)</f>
        <v>11534.7</v>
      </c>
      <c r="U23" s="204">
        <f>ROUND('[7]2027'!U27,2)</f>
        <v>16309.16</v>
      </c>
      <c r="V23" s="204">
        <f>ROUND('[7]2027'!V27,2)</f>
        <v>51470.86</v>
      </c>
      <c r="W23" s="204">
        <f>ROUND('[7]2027'!W27,2)</f>
        <v>64556.41</v>
      </c>
      <c r="X23" s="204">
        <f>ROUND('[7]2027'!X27,2)</f>
        <v>65121.91</v>
      </c>
      <c r="Y23" s="204">
        <f>ROUND('[7]2027'!Y27,2)</f>
        <v>66608.429999999993</v>
      </c>
      <c r="Z23" s="204">
        <f>ROUND('[7]2027'!Z27,2)</f>
        <v>69012.34</v>
      </c>
      <c r="AA23" s="204">
        <f>ROUND('[7]2027'!AA27,2)</f>
        <v>73032.740000000005</v>
      </c>
      <c r="AB23" s="204">
        <f>ROUND('[7]2027'!AB27,2)</f>
        <v>74620.42</v>
      </c>
      <c r="AC23" s="266">
        <f>SUM(E23:AB23)*D23+SUM(E24:AB24)*D24+SUM(E25:AB25)*D25+SUM(E26:AB26)*D26</f>
        <v>27847437.360000003</v>
      </c>
      <c r="AD23" s="19"/>
      <c r="AE23" s="111">
        <f>SUM(AE11:AE22)</f>
        <v>226855044.84999996</v>
      </c>
    </row>
    <row r="24" spans="2:31" ht="18.649999999999999" customHeight="1" x14ac:dyDescent="0.35">
      <c r="B24" s="264" t="s">
        <v>34</v>
      </c>
      <c r="C24" s="10" t="s">
        <v>30</v>
      </c>
      <c r="D24" s="118">
        <f>+'[7]2027'!D28</f>
        <v>4</v>
      </c>
      <c r="E24" s="205">
        <f>ROUND('[7]2027'!E28,2)</f>
        <v>38104.71</v>
      </c>
      <c r="F24" s="205">
        <f>ROUND('[7]2027'!F28,2)</f>
        <v>35417.879999999997</v>
      </c>
      <c r="G24" s="205">
        <f>ROUND('[7]2027'!G28,2)</f>
        <v>32498.01</v>
      </c>
      <c r="H24" s="205">
        <f>ROUND('[7]2027'!H28,2)</f>
        <v>30342.34</v>
      </c>
      <c r="I24" s="205">
        <f>ROUND('[7]2027'!I28,2)</f>
        <v>30489.66</v>
      </c>
      <c r="J24" s="205">
        <f>ROUND('[7]2027'!J28,2)</f>
        <v>30842.21</v>
      </c>
      <c r="K24" s="205">
        <f>ROUND('[7]2027'!K28,2)</f>
        <v>32446.58</v>
      </c>
      <c r="L24" s="205">
        <f>ROUND('[7]2027'!L28,2)</f>
        <v>29939.41</v>
      </c>
      <c r="M24" s="205">
        <f>ROUND('[7]2027'!M28,2)</f>
        <v>26397.98</v>
      </c>
      <c r="N24" s="205">
        <f>ROUND('[7]2027'!N28,2)</f>
        <v>22516.11</v>
      </c>
      <c r="O24" s="205">
        <f>ROUND('[7]2027'!O28,2)</f>
        <v>20884.46</v>
      </c>
      <c r="P24" s="205">
        <f>ROUND('[7]2027'!P28,2)</f>
        <v>22012.87</v>
      </c>
      <c r="Q24" s="205">
        <f>ROUND('[7]2027'!Q28,2)</f>
        <v>18013.759999999998</v>
      </c>
      <c r="R24" s="205">
        <f>ROUND('[7]2027'!R28,2)</f>
        <v>27100.38</v>
      </c>
      <c r="S24" s="205">
        <f>ROUND('[7]2027'!S28,2)</f>
        <v>37094.629999999997</v>
      </c>
      <c r="T24" s="205">
        <f>ROUND('[7]2027'!T28,2)</f>
        <v>41401.24</v>
      </c>
      <c r="U24" s="205">
        <f>ROUND('[7]2027'!U28,2)</f>
        <v>46532.51</v>
      </c>
      <c r="V24" s="205">
        <f>ROUND('[7]2027'!V28,2)</f>
        <v>71773.289999999994</v>
      </c>
      <c r="W24" s="205">
        <f>ROUND('[7]2027'!W28,2)</f>
        <v>70531.56</v>
      </c>
      <c r="X24" s="205">
        <f>ROUND('[7]2027'!X28,2)</f>
        <v>69800.899999999994</v>
      </c>
      <c r="Y24" s="205">
        <f>ROUND('[7]2027'!Y28,2)</f>
        <v>70472.06</v>
      </c>
      <c r="Z24" s="205">
        <f>ROUND('[7]2027'!Z28,2)</f>
        <v>68964.639999999999</v>
      </c>
      <c r="AA24" s="205">
        <f>ROUND('[7]2027'!AA28,2)</f>
        <v>63159.8</v>
      </c>
      <c r="AB24" s="205">
        <f>ROUND('[7]2027'!AB28,2)</f>
        <v>55484.53</v>
      </c>
      <c r="AC24" s="262"/>
      <c r="AD24" s="19"/>
    </row>
    <row r="25" spans="2:31" ht="18.649999999999999" customHeight="1" x14ac:dyDescent="0.35">
      <c r="B25" s="264" t="s">
        <v>34</v>
      </c>
      <c r="C25" s="10" t="s">
        <v>31</v>
      </c>
      <c r="D25" s="118">
        <f>+'[7]2027'!D29</f>
        <v>4</v>
      </c>
      <c r="E25" s="205">
        <f>ROUND('[7]2027'!E29,2)</f>
        <v>48588.36</v>
      </c>
      <c r="F25" s="205">
        <f>ROUND('[7]2027'!F29,2)</f>
        <v>45648.92</v>
      </c>
      <c r="G25" s="205">
        <f>ROUND('[7]2027'!G29,2)</f>
        <v>43041.599999999999</v>
      </c>
      <c r="H25" s="205">
        <f>ROUND('[7]2027'!H29,2)</f>
        <v>40590.75</v>
      </c>
      <c r="I25" s="205">
        <f>ROUND('[7]2027'!I29,2)</f>
        <v>38879.279999999999</v>
      </c>
      <c r="J25" s="205">
        <f>ROUND('[7]2027'!J29,2)</f>
        <v>33226.5</v>
      </c>
      <c r="K25" s="205">
        <f>ROUND('[7]2027'!K29,2)</f>
        <v>30414.74</v>
      </c>
      <c r="L25" s="205">
        <f>ROUND('[7]2027'!L29,2)</f>
        <v>26163.040000000001</v>
      </c>
      <c r="M25" s="205">
        <f>ROUND('[7]2027'!M29,2)</f>
        <v>22183.24</v>
      </c>
      <c r="N25" s="205">
        <f>ROUND('[7]2027'!N29,2)</f>
        <v>20765.88</v>
      </c>
      <c r="O25" s="205">
        <f>ROUND('[7]2027'!O29,2)</f>
        <v>21235.32</v>
      </c>
      <c r="P25" s="205">
        <f>ROUND('[7]2027'!P29,2)</f>
        <v>22442.14</v>
      </c>
      <c r="Q25" s="205">
        <f>ROUND('[7]2027'!Q29,2)</f>
        <v>23788.33</v>
      </c>
      <c r="R25" s="205">
        <f>ROUND('[7]2027'!R29,2)</f>
        <v>25871.51</v>
      </c>
      <c r="S25" s="205">
        <f>ROUND('[7]2027'!S29,2)</f>
        <v>26806.04</v>
      </c>
      <c r="T25" s="205">
        <f>ROUND('[7]2027'!T29,2)</f>
        <v>27891.8</v>
      </c>
      <c r="U25" s="205">
        <f>ROUND('[7]2027'!U29,2)</f>
        <v>32244.99</v>
      </c>
      <c r="V25" s="205">
        <f>ROUND('[7]2027'!V29,2)</f>
        <v>62711.360000000001</v>
      </c>
      <c r="W25" s="205">
        <f>ROUND('[7]2027'!W29,2)</f>
        <v>69441.23</v>
      </c>
      <c r="X25" s="205">
        <f>ROUND('[7]2027'!X29,2)</f>
        <v>69709.67</v>
      </c>
      <c r="Y25" s="205">
        <f>ROUND('[7]2027'!Y29,2)</f>
        <v>71214.789999999994</v>
      </c>
      <c r="Z25" s="205">
        <f>ROUND('[7]2027'!Z29,2)</f>
        <v>72408.09</v>
      </c>
      <c r="AA25" s="205">
        <f>ROUND('[7]2027'!AA29,2)</f>
        <v>71371.94</v>
      </c>
      <c r="AB25" s="205">
        <f>ROUND('[7]2027'!AB29,2)</f>
        <v>66378.39</v>
      </c>
      <c r="AC25" s="262"/>
      <c r="AD25" s="19"/>
    </row>
    <row r="26" spans="2:31" ht="18.649999999999999" customHeight="1" thickBot="1" x14ac:dyDescent="0.4">
      <c r="B26" s="265" t="s">
        <v>34</v>
      </c>
      <c r="C26" s="12" t="s">
        <v>32</v>
      </c>
      <c r="D26" s="120">
        <f>+'[7]2027'!D30</f>
        <v>0</v>
      </c>
      <c r="E26" s="140">
        <f>ROUND('[7]2027'!E30,2)</f>
        <v>0</v>
      </c>
      <c r="F26" s="140">
        <f>ROUND('[7]2027'!F30,2)</f>
        <v>0</v>
      </c>
      <c r="G26" s="140">
        <f>ROUND('[7]2027'!G30,2)</f>
        <v>0</v>
      </c>
      <c r="H26" s="140">
        <f>ROUND('[7]2027'!H30,2)</f>
        <v>0</v>
      </c>
      <c r="I26" s="140">
        <f>ROUND('[7]2027'!I30,2)</f>
        <v>0</v>
      </c>
      <c r="J26" s="140">
        <f>ROUND('[7]2027'!J30,2)</f>
        <v>0</v>
      </c>
      <c r="K26" s="140">
        <f>ROUND('[7]2027'!K30,2)</f>
        <v>0</v>
      </c>
      <c r="L26" s="140">
        <f>ROUND('[7]2027'!L30,2)</f>
        <v>0</v>
      </c>
      <c r="M26" s="140">
        <f>ROUND('[7]2027'!M30,2)</f>
        <v>0</v>
      </c>
      <c r="N26" s="140">
        <f>ROUND('[7]2027'!N30,2)</f>
        <v>0</v>
      </c>
      <c r="O26" s="140">
        <f>ROUND('[7]2027'!O30,2)</f>
        <v>0</v>
      </c>
      <c r="P26" s="140">
        <f>ROUND('[7]2027'!P30,2)</f>
        <v>0</v>
      </c>
      <c r="Q26" s="140">
        <f>ROUND('[7]2027'!Q30,2)</f>
        <v>0</v>
      </c>
      <c r="R26" s="140">
        <f>ROUND('[7]2027'!R30,2)</f>
        <v>0</v>
      </c>
      <c r="S26" s="140">
        <f>ROUND('[7]2027'!S30,2)</f>
        <v>0</v>
      </c>
      <c r="T26" s="140">
        <f>ROUND('[7]2027'!T30,2)</f>
        <v>0</v>
      </c>
      <c r="U26" s="140">
        <f>ROUND('[7]2027'!U30,2)</f>
        <v>0</v>
      </c>
      <c r="V26" s="140">
        <f>ROUND('[7]2027'!V30,2)</f>
        <v>0</v>
      </c>
      <c r="W26" s="140">
        <f>ROUND('[7]2027'!W30,2)</f>
        <v>0</v>
      </c>
      <c r="X26" s="140">
        <f>ROUND('[7]2027'!X30,2)</f>
        <v>0</v>
      </c>
      <c r="Y26" s="140">
        <f>ROUND('[7]2027'!Y30,2)</f>
        <v>0</v>
      </c>
      <c r="Z26" s="140">
        <f>ROUND('[7]2027'!Z30,2)</f>
        <v>0</v>
      </c>
      <c r="AA26" s="140">
        <f>ROUND('[7]2027'!AA30,2)</f>
        <v>0</v>
      </c>
      <c r="AB26" s="140">
        <f>ROUND('[7]2027'!AB30,2)</f>
        <v>0</v>
      </c>
      <c r="AC26" s="267"/>
      <c r="AD26" s="19"/>
    </row>
    <row r="27" spans="2:31" ht="18.649999999999999" customHeight="1" x14ac:dyDescent="0.35">
      <c r="B27" s="260">
        <v>46508</v>
      </c>
      <c r="C27" s="14" t="s">
        <v>29</v>
      </c>
      <c r="D27" s="121">
        <f>+'[7]2027'!D31</f>
        <v>19</v>
      </c>
      <c r="E27" s="207">
        <f>ROUND('[7]2027'!E31,2)</f>
        <v>49321.07</v>
      </c>
      <c r="F27" s="207">
        <f>ROUND('[7]2027'!F31,2)</f>
        <v>45542.5</v>
      </c>
      <c r="G27" s="207">
        <f>ROUND('[7]2027'!G31,2)</f>
        <v>41380.14</v>
      </c>
      <c r="H27" s="207">
        <f>ROUND('[7]2027'!H31,2)</f>
        <v>37063.839999999997</v>
      </c>
      <c r="I27" s="207">
        <f>ROUND('[7]2027'!I31,2)</f>
        <v>33708.36</v>
      </c>
      <c r="J27" s="207">
        <f>ROUND('[7]2027'!J31,2)</f>
        <v>24313.94</v>
      </c>
      <c r="K27" s="207">
        <f>ROUND('[7]2027'!K31,2)</f>
        <v>21097.03</v>
      </c>
      <c r="L27" s="207">
        <f>ROUND('[7]2027'!L31,2)</f>
        <v>16980.12</v>
      </c>
      <c r="M27" s="207">
        <f>ROUND('[7]2027'!M31,2)</f>
        <v>15639.09</v>
      </c>
      <c r="N27" s="207">
        <f>ROUND('[7]2027'!N31,2)</f>
        <v>14789.15</v>
      </c>
      <c r="O27" s="207">
        <f>ROUND('[7]2027'!O31,2)</f>
        <v>11189.66</v>
      </c>
      <c r="P27" s="207">
        <f>ROUND('[7]2027'!P31,2)</f>
        <v>9696.35</v>
      </c>
      <c r="Q27" s="207">
        <f>ROUND('[7]2027'!Q31,2)</f>
        <v>13490.15</v>
      </c>
      <c r="R27" s="207">
        <f>ROUND('[7]2027'!R31,2)</f>
        <v>6578.71</v>
      </c>
      <c r="S27" s="207">
        <f>ROUND('[7]2027'!S31,2)</f>
        <v>0</v>
      </c>
      <c r="T27" s="207">
        <f>ROUND('[7]2027'!T31,2)</f>
        <v>0</v>
      </c>
      <c r="U27" s="207">
        <f>ROUND('[7]2027'!U31,2)</f>
        <v>4377.7</v>
      </c>
      <c r="V27" s="207">
        <f>ROUND('[7]2027'!V31,2)</f>
        <v>41357.230000000003</v>
      </c>
      <c r="W27" s="207">
        <f>ROUND('[7]2027'!W31,2)</f>
        <v>55695.4</v>
      </c>
      <c r="X27" s="207">
        <f>ROUND('[7]2027'!X31,2)</f>
        <v>55995.32</v>
      </c>
      <c r="Y27" s="207">
        <f>ROUND('[7]2027'!Y31,2)</f>
        <v>55573.14</v>
      </c>
      <c r="Z27" s="207">
        <f>ROUND('[7]2027'!Z31,2)</f>
        <v>57287.34</v>
      </c>
      <c r="AA27" s="207">
        <f>ROUND('[7]2027'!AA31,2)</f>
        <v>60498.41</v>
      </c>
      <c r="AB27" s="207">
        <f>ROUND('[7]2027'!AB31,2)</f>
        <v>62274.57</v>
      </c>
      <c r="AC27" s="262">
        <f>SUM(E27:AB27)*D27+SUM(E28:AB28)*D28+SUM(E29:AB29)*D29+SUM(E30:AB30)*D30</f>
        <v>25146241.219999999</v>
      </c>
      <c r="AD27" s="19"/>
    </row>
    <row r="28" spans="2:31" ht="18.649999999999999" customHeight="1" x14ac:dyDescent="0.35">
      <c r="B28" s="261"/>
      <c r="C28" s="10" t="s">
        <v>30</v>
      </c>
      <c r="D28" s="118">
        <f>+'[7]2027'!D32</f>
        <v>4</v>
      </c>
      <c r="E28" s="205">
        <f>ROUND('[7]2027'!E32,2)</f>
        <v>33504.35</v>
      </c>
      <c r="F28" s="205">
        <f>ROUND('[7]2027'!F32,2)</f>
        <v>30664.880000000001</v>
      </c>
      <c r="G28" s="205">
        <f>ROUND('[7]2027'!G32,2)</f>
        <v>28799.51</v>
      </c>
      <c r="H28" s="205">
        <f>ROUND('[7]2027'!H32,2)</f>
        <v>26875.59</v>
      </c>
      <c r="I28" s="205">
        <f>ROUND('[7]2027'!I32,2)</f>
        <v>25789.81</v>
      </c>
      <c r="J28" s="205">
        <f>ROUND('[7]2027'!J32,2)</f>
        <v>24464.799999999999</v>
      </c>
      <c r="K28" s="205">
        <f>ROUND('[7]2027'!K32,2)</f>
        <v>22474.44</v>
      </c>
      <c r="L28" s="205">
        <f>ROUND('[7]2027'!L32,2)</f>
        <v>19994.490000000002</v>
      </c>
      <c r="M28" s="205">
        <f>ROUND('[7]2027'!M32,2)</f>
        <v>15222.51</v>
      </c>
      <c r="N28" s="205">
        <f>ROUND('[7]2027'!N32,2)</f>
        <v>11581.1</v>
      </c>
      <c r="O28" s="205">
        <f>ROUND('[7]2027'!O32,2)</f>
        <v>11279.22</v>
      </c>
      <c r="P28" s="205">
        <f>ROUND('[7]2027'!P32,2)</f>
        <v>13472.69</v>
      </c>
      <c r="Q28" s="205">
        <f>ROUND('[7]2027'!Q32,2)</f>
        <v>11705.64</v>
      </c>
      <c r="R28" s="205">
        <f>ROUND('[7]2027'!R32,2)</f>
        <v>20025.64</v>
      </c>
      <c r="S28" s="205">
        <f>ROUND('[7]2027'!S32,2)</f>
        <v>30259.919999999998</v>
      </c>
      <c r="T28" s="205">
        <f>ROUND('[7]2027'!T32,2)</f>
        <v>34198.879999999997</v>
      </c>
      <c r="U28" s="205">
        <f>ROUND('[7]2027'!U32,2)</f>
        <v>38859.5</v>
      </c>
      <c r="V28" s="205">
        <f>ROUND('[7]2027'!V32,2)</f>
        <v>64148.92</v>
      </c>
      <c r="W28" s="205">
        <f>ROUND('[7]2027'!W32,2)</f>
        <v>63677.48</v>
      </c>
      <c r="X28" s="205">
        <f>ROUND('[7]2027'!X32,2)</f>
        <v>63774.07</v>
      </c>
      <c r="Y28" s="205">
        <f>ROUND('[7]2027'!Y32,2)</f>
        <v>63675.88</v>
      </c>
      <c r="Z28" s="205">
        <f>ROUND('[7]2027'!Z32,2)</f>
        <v>62334.2</v>
      </c>
      <c r="AA28" s="205">
        <f>ROUND('[7]2027'!AA32,2)</f>
        <v>57599.74</v>
      </c>
      <c r="AB28" s="205">
        <f>ROUND('[7]2027'!AB32,2)</f>
        <v>52860.97</v>
      </c>
      <c r="AC28" s="262"/>
      <c r="AD28" s="19"/>
    </row>
    <row r="29" spans="2:31" ht="18.649999999999999" customHeight="1" x14ac:dyDescent="0.35">
      <c r="B29" s="261"/>
      <c r="C29" s="10" t="s">
        <v>31</v>
      </c>
      <c r="D29" s="118">
        <f>+'[7]2027'!D33</f>
        <v>5</v>
      </c>
      <c r="E29" s="205">
        <f>ROUND('[7]2027'!E33,2)</f>
        <v>31153.73</v>
      </c>
      <c r="F29" s="205">
        <f>ROUND('[7]2027'!F33,2)</f>
        <v>30720.560000000001</v>
      </c>
      <c r="G29" s="205">
        <f>ROUND('[7]2027'!G33,2)</f>
        <v>28260.639999999999</v>
      </c>
      <c r="H29" s="205">
        <f>ROUND('[7]2027'!H33,2)</f>
        <v>27445.19</v>
      </c>
      <c r="I29" s="205">
        <f>ROUND('[7]2027'!I33,2)</f>
        <v>27449.27</v>
      </c>
      <c r="J29" s="205">
        <f>ROUND('[7]2027'!J33,2)</f>
        <v>24984.38</v>
      </c>
      <c r="K29" s="205">
        <f>ROUND('[7]2027'!K33,2)</f>
        <v>23928.38</v>
      </c>
      <c r="L29" s="205">
        <f>ROUND('[7]2027'!L33,2)</f>
        <v>22259.360000000001</v>
      </c>
      <c r="M29" s="205">
        <f>ROUND('[7]2027'!M33,2)</f>
        <v>20555.13</v>
      </c>
      <c r="N29" s="205">
        <f>ROUND('[7]2027'!N33,2)</f>
        <v>18113</v>
      </c>
      <c r="O29" s="205">
        <f>ROUND('[7]2027'!O33,2)</f>
        <v>18045.3</v>
      </c>
      <c r="P29" s="205">
        <f>ROUND('[7]2027'!P33,2)</f>
        <v>23425.01</v>
      </c>
      <c r="Q29" s="205">
        <f>ROUND('[7]2027'!Q33,2)</f>
        <v>28962.53</v>
      </c>
      <c r="R29" s="205">
        <f>ROUND('[7]2027'!R33,2)</f>
        <v>32558.1</v>
      </c>
      <c r="S29" s="205">
        <f>ROUND('[7]2027'!S33,2)</f>
        <v>34322.550000000003</v>
      </c>
      <c r="T29" s="205">
        <f>ROUND('[7]2027'!T33,2)</f>
        <v>36990.980000000003</v>
      </c>
      <c r="U29" s="205">
        <f>ROUND('[7]2027'!U33,2)</f>
        <v>40122.910000000003</v>
      </c>
      <c r="V29" s="205">
        <f>ROUND('[7]2027'!V33,2)</f>
        <v>67115.08</v>
      </c>
      <c r="W29" s="205">
        <f>ROUND('[7]2027'!W33,2)</f>
        <v>74759.460000000006</v>
      </c>
      <c r="X29" s="205">
        <f>ROUND('[7]2027'!X33,2)</f>
        <v>76191.81</v>
      </c>
      <c r="Y29" s="205">
        <f>ROUND('[7]2027'!Y33,2)</f>
        <v>77719.03</v>
      </c>
      <c r="Z29" s="205">
        <f>ROUND('[7]2027'!Z33,2)</f>
        <v>77420.77</v>
      </c>
      <c r="AA29" s="205">
        <f>ROUND('[7]2027'!AA33,2)</f>
        <v>74751.44</v>
      </c>
      <c r="AB29" s="205">
        <f>ROUND('[7]2027'!AB33,2)</f>
        <v>69511.53</v>
      </c>
      <c r="AC29" s="262"/>
      <c r="AD29" s="19"/>
    </row>
    <row r="30" spans="2:31" ht="18.649999999999999" customHeight="1" thickBot="1" x14ac:dyDescent="0.4">
      <c r="B30" s="261"/>
      <c r="C30" s="16" t="s">
        <v>32</v>
      </c>
      <c r="D30" s="119">
        <f>+'[7]2027'!D34</f>
        <v>3</v>
      </c>
      <c r="E30" s="206">
        <f>ROUND('[7]2027'!E34,2)</f>
        <v>31153.73</v>
      </c>
      <c r="F30" s="206">
        <f>ROUND('[7]2027'!F34,2)</f>
        <v>30720.560000000001</v>
      </c>
      <c r="G30" s="206">
        <f>ROUND('[7]2027'!G34,2)</f>
        <v>28260.639999999999</v>
      </c>
      <c r="H30" s="206">
        <f>ROUND('[7]2027'!H34,2)</f>
        <v>27445.19</v>
      </c>
      <c r="I30" s="206">
        <f>ROUND('[7]2027'!I34,2)</f>
        <v>27449.27</v>
      </c>
      <c r="J30" s="206">
        <f>ROUND('[7]2027'!J34,2)</f>
        <v>24984.38</v>
      </c>
      <c r="K30" s="206">
        <f>ROUND('[7]2027'!K34,2)</f>
        <v>23928.38</v>
      </c>
      <c r="L30" s="206">
        <f>ROUND('[7]2027'!L34,2)</f>
        <v>22259.360000000001</v>
      </c>
      <c r="M30" s="206">
        <f>ROUND('[7]2027'!M34,2)</f>
        <v>20555.13</v>
      </c>
      <c r="N30" s="206">
        <f>ROUND('[7]2027'!N34,2)</f>
        <v>18113</v>
      </c>
      <c r="O30" s="206">
        <f>ROUND('[7]2027'!O34,2)</f>
        <v>18045.3</v>
      </c>
      <c r="P30" s="206">
        <f>ROUND('[7]2027'!P34,2)</f>
        <v>23425.01</v>
      </c>
      <c r="Q30" s="206">
        <f>ROUND('[7]2027'!Q34,2)</f>
        <v>28962.53</v>
      </c>
      <c r="R30" s="206">
        <f>ROUND('[7]2027'!R34,2)</f>
        <v>32558.1</v>
      </c>
      <c r="S30" s="206">
        <f>ROUND('[7]2027'!S34,2)</f>
        <v>34322.550000000003</v>
      </c>
      <c r="T30" s="206">
        <f>ROUND('[7]2027'!T34,2)</f>
        <v>36990.980000000003</v>
      </c>
      <c r="U30" s="206">
        <f>ROUND('[7]2027'!U34,2)</f>
        <v>40122.910000000003</v>
      </c>
      <c r="V30" s="206">
        <f>ROUND('[7]2027'!V34,2)</f>
        <v>67115.08</v>
      </c>
      <c r="W30" s="206">
        <f>ROUND('[7]2027'!W34,2)</f>
        <v>74759.460000000006</v>
      </c>
      <c r="X30" s="206">
        <f>ROUND('[7]2027'!X34,2)</f>
        <v>76191.81</v>
      </c>
      <c r="Y30" s="206">
        <f>ROUND('[7]2027'!Y34,2)</f>
        <v>77719.03</v>
      </c>
      <c r="Z30" s="206">
        <f>ROUND('[7]2027'!Z34,2)</f>
        <v>77420.77</v>
      </c>
      <c r="AA30" s="206">
        <f>ROUND('[7]2027'!AA34,2)</f>
        <v>74751.44</v>
      </c>
      <c r="AB30" s="206">
        <f>ROUND('[7]2027'!AB34,2)</f>
        <v>69511.53</v>
      </c>
      <c r="AC30" s="262"/>
      <c r="AD30" s="19"/>
    </row>
    <row r="31" spans="2:31" ht="18.649999999999999" customHeight="1" x14ac:dyDescent="0.35">
      <c r="B31" s="263">
        <v>46539</v>
      </c>
      <c r="C31" s="7" t="s">
        <v>29</v>
      </c>
      <c r="D31" s="117">
        <f>+'[7]2027'!D35</f>
        <v>21</v>
      </c>
      <c r="E31" s="204">
        <f>ROUND('[7]2027'!E35,2)</f>
        <v>5000</v>
      </c>
      <c r="F31" s="204">
        <f>ROUND('[7]2027'!F35,2)</f>
        <v>5000</v>
      </c>
      <c r="G31" s="204">
        <f>ROUND('[7]2027'!G35,2)</f>
        <v>5000</v>
      </c>
      <c r="H31" s="204">
        <f>ROUND('[7]2027'!H35,2)</f>
        <v>5000</v>
      </c>
      <c r="I31" s="204">
        <f>ROUND('[7]2027'!I35,2)</f>
        <v>5000</v>
      </c>
      <c r="J31" s="204">
        <f>ROUND('[7]2027'!J35,2)</f>
        <v>5000</v>
      </c>
      <c r="K31" s="204">
        <f>ROUND('[7]2027'!K35,2)</f>
        <v>5000</v>
      </c>
      <c r="L31" s="204">
        <f>ROUND('[7]2027'!L35,2)</f>
        <v>5000</v>
      </c>
      <c r="M31" s="204">
        <f>ROUND('[7]2027'!M35,2)</f>
        <v>5000</v>
      </c>
      <c r="N31" s="204">
        <f>ROUND('[7]2027'!N35,2)</f>
        <v>5000</v>
      </c>
      <c r="O31" s="204">
        <f>ROUND('[7]2027'!O35,2)</f>
        <v>5000</v>
      </c>
      <c r="P31" s="204">
        <f>ROUND('[7]2027'!P35,2)</f>
        <v>5000</v>
      </c>
      <c r="Q31" s="204">
        <f>ROUND('[7]2027'!Q35,2)</f>
        <v>5000</v>
      </c>
      <c r="R31" s="204">
        <f>ROUND('[7]2027'!R35,2)</f>
        <v>5000</v>
      </c>
      <c r="S31" s="204">
        <f>ROUND('[7]2027'!S35,2)</f>
        <v>5000</v>
      </c>
      <c r="T31" s="204">
        <f>ROUND('[7]2027'!T35,2)</f>
        <v>5000</v>
      </c>
      <c r="U31" s="204">
        <f>ROUND('[7]2027'!U35,2)</f>
        <v>5000</v>
      </c>
      <c r="V31" s="204">
        <f>ROUND('[7]2027'!V35,2)</f>
        <v>995.22</v>
      </c>
      <c r="W31" s="204">
        <f>ROUND('[7]2027'!W35,2)</f>
        <v>9446.61</v>
      </c>
      <c r="X31" s="204">
        <f>ROUND('[7]2027'!X35,2)</f>
        <v>9004.74</v>
      </c>
      <c r="Y31" s="204">
        <f>ROUND('[7]2027'!Y35,2)</f>
        <v>10158</v>
      </c>
      <c r="Z31" s="204">
        <f>ROUND('[7]2027'!Z35,2)</f>
        <v>14955.92</v>
      </c>
      <c r="AA31" s="204">
        <f>ROUND('[7]2027'!AA35,2)</f>
        <v>22319.86</v>
      </c>
      <c r="AB31" s="204">
        <f>ROUND('[7]2027'!AB35,2)</f>
        <v>27993.86</v>
      </c>
      <c r="AC31" s="266">
        <f>SUM(E31:AB31)*D31+SUM(E32:AB32)*D32+SUM(E33:AB33)*D33+SUM(E34:AB34)*D34</f>
        <v>6652499.5200000005</v>
      </c>
      <c r="AD31" s="19"/>
    </row>
    <row r="32" spans="2:31" ht="18.649999999999999" customHeight="1" x14ac:dyDescent="0.35">
      <c r="B32" s="264" t="s">
        <v>34</v>
      </c>
      <c r="C32" s="10" t="s">
        <v>30</v>
      </c>
      <c r="D32" s="118">
        <f>+'[7]2027'!D36</f>
        <v>4</v>
      </c>
      <c r="E32" s="205">
        <f>ROUND('[7]2027'!E36,2)</f>
        <v>5000</v>
      </c>
      <c r="F32" s="205">
        <f>ROUND('[7]2027'!F36,2)</f>
        <v>5000</v>
      </c>
      <c r="G32" s="205">
        <f>ROUND('[7]2027'!G36,2)</f>
        <v>5000</v>
      </c>
      <c r="H32" s="205">
        <f>ROUND('[7]2027'!H36,2)</f>
        <v>5000</v>
      </c>
      <c r="I32" s="205">
        <f>ROUND('[7]2027'!I36,2)</f>
        <v>5000</v>
      </c>
      <c r="J32" s="205">
        <f>ROUND('[7]2027'!J36,2)</f>
        <v>5000</v>
      </c>
      <c r="K32" s="205">
        <f>ROUND('[7]2027'!K36,2)</f>
        <v>5000</v>
      </c>
      <c r="L32" s="205">
        <f>ROUND('[7]2027'!L36,2)</f>
        <v>5000</v>
      </c>
      <c r="M32" s="205">
        <f>ROUND('[7]2027'!M36,2)</f>
        <v>5000</v>
      </c>
      <c r="N32" s="205">
        <f>ROUND('[7]2027'!N36,2)</f>
        <v>5000</v>
      </c>
      <c r="O32" s="205">
        <f>ROUND('[7]2027'!O36,2)</f>
        <v>5000</v>
      </c>
      <c r="P32" s="205">
        <f>ROUND('[7]2027'!P36,2)</f>
        <v>5000</v>
      </c>
      <c r="Q32" s="205">
        <f>ROUND('[7]2027'!Q36,2)</f>
        <v>5000</v>
      </c>
      <c r="R32" s="205">
        <f>ROUND('[7]2027'!R36,2)</f>
        <v>5000</v>
      </c>
      <c r="S32" s="205">
        <f>ROUND('[7]2027'!S36,2)</f>
        <v>5000</v>
      </c>
      <c r="T32" s="205">
        <f>ROUND('[7]2027'!T36,2)</f>
        <v>5000</v>
      </c>
      <c r="U32" s="205">
        <f>ROUND('[7]2027'!U36,2)</f>
        <v>5000</v>
      </c>
      <c r="V32" s="205">
        <f>ROUND('[7]2027'!V36,2)</f>
        <v>34781.06</v>
      </c>
      <c r="W32" s="205">
        <f>ROUND('[7]2027'!W36,2)</f>
        <v>28270.14</v>
      </c>
      <c r="X32" s="205">
        <f>ROUND('[7]2027'!X36,2)</f>
        <v>30204.67</v>
      </c>
      <c r="Y32" s="205">
        <f>ROUND('[7]2027'!Y36,2)</f>
        <v>34307.480000000003</v>
      </c>
      <c r="Z32" s="205">
        <f>ROUND('[7]2027'!Z36,2)</f>
        <v>36173.870000000003</v>
      </c>
      <c r="AA32" s="205">
        <f>ROUND('[7]2027'!AA36,2)</f>
        <v>34419.94</v>
      </c>
      <c r="AB32" s="205">
        <f>ROUND('[7]2027'!AB36,2)</f>
        <v>31643.58</v>
      </c>
      <c r="AC32" s="262"/>
      <c r="AD32" s="19"/>
    </row>
    <row r="33" spans="2:30" ht="18.649999999999999" customHeight="1" x14ac:dyDescent="0.35">
      <c r="B33" s="264" t="s">
        <v>34</v>
      </c>
      <c r="C33" s="10" t="s">
        <v>31</v>
      </c>
      <c r="D33" s="118">
        <f>+'[7]2027'!D37</f>
        <v>4</v>
      </c>
      <c r="E33" s="205">
        <f>ROUND('[7]2027'!E37,2)</f>
        <v>5000</v>
      </c>
      <c r="F33" s="205">
        <f>ROUND('[7]2027'!F37,2)</f>
        <v>5000</v>
      </c>
      <c r="G33" s="205">
        <f>ROUND('[7]2027'!G37,2)</f>
        <v>5000</v>
      </c>
      <c r="H33" s="205">
        <f>ROUND('[7]2027'!H37,2)</f>
        <v>5000</v>
      </c>
      <c r="I33" s="205">
        <f>ROUND('[7]2027'!I37,2)</f>
        <v>5000</v>
      </c>
      <c r="J33" s="205">
        <f>ROUND('[7]2027'!J37,2)</f>
        <v>5000</v>
      </c>
      <c r="K33" s="205">
        <f>ROUND('[7]2027'!K37,2)</f>
        <v>5000</v>
      </c>
      <c r="L33" s="205">
        <f>ROUND('[7]2027'!L37,2)</f>
        <v>5000</v>
      </c>
      <c r="M33" s="205">
        <f>ROUND('[7]2027'!M37,2)</f>
        <v>5000</v>
      </c>
      <c r="N33" s="205">
        <f>ROUND('[7]2027'!N37,2)</f>
        <v>5000</v>
      </c>
      <c r="O33" s="205">
        <f>ROUND('[7]2027'!O37,2)</f>
        <v>5000</v>
      </c>
      <c r="P33" s="205">
        <f>ROUND('[7]2027'!P37,2)</f>
        <v>5000</v>
      </c>
      <c r="Q33" s="205">
        <f>ROUND('[7]2027'!Q37,2)</f>
        <v>5000</v>
      </c>
      <c r="R33" s="205">
        <f>ROUND('[7]2027'!R37,2)</f>
        <v>5000</v>
      </c>
      <c r="S33" s="205">
        <f>ROUND('[7]2027'!S37,2)</f>
        <v>5000</v>
      </c>
      <c r="T33" s="205">
        <f>ROUND('[7]2027'!T37,2)</f>
        <v>5000</v>
      </c>
      <c r="U33" s="205">
        <f>ROUND('[7]2027'!U37,2)</f>
        <v>5000</v>
      </c>
      <c r="V33" s="205">
        <f>ROUND('[7]2027'!V37,2)</f>
        <v>28668.43</v>
      </c>
      <c r="W33" s="205">
        <f>ROUND('[7]2027'!W37,2)</f>
        <v>33452.379999999997</v>
      </c>
      <c r="X33" s="205">
        <f>ROUND('[7]2027'!X37,2)</f>
        <v>32863.47</v>
      </c>
      <c r="Y33" s="205">
        <f>ROUND('[7]2027'!Y37,2)</f>
        <v>35073.089999999997</v>
      </c>
      <c r="Z33" s="205">
        <f>ROUND('[7]2027'!Z37,2)</f>
        <v>37070.639999999999</v>
      </c>
      <c r="AA33" s="205">
        <f>ROUND('[7]2027'!AA37,2)</f>
        <v>37196.800000000003</v>
      </c>
      <c r="AB33" s="205">
        <f>ROUND('[7]2027'!AB37,2)</f>
        <v>33862.82</v>
      </c>
      <c r="AC33" s="262"/>
      <c r="AD33" s="19"/>
    </row>
    <row r="34" spans="2:30" ht="18.649999999999999" customHeight="1" thickBot="1" x14ac:dyDescent="0.4">
      <c r="B34" s="265" t="s">
        <v>34</v>
      </c>
      <c r="C34" s="12" t="s">
        <v>32</v>
      </c>
      <c r="D34" s="120">
        <f>+'[7]2027'!D38</f>
        <v>1</v>
      </c>
      <c r="E34" s="140">
        <f>ROUND('[7]2027'!E38,2)</f>
        <v>5000</v>
      </c>
      <c r="F34" s="140">
        <f>ROUND('[7]2027'!F38,2)</f>
        <v>5000</v>
      </c>
      <c r="G34" s="140">
        <f>ROUND('[7]2027'!G38,2)</f>
        <v>5000</v>
      </c>
      <c r="H34" s="140">
        <f>ROUND('[7]2027'!H38,2)</f>
        <v>5000</v>
      </c>
      <c r="I34" s="140">
        <f>ROUND('[7]2027'!I38,2)</f>
        <v>5000</v>
      </c>
      <c r="J34" s="140">
        <f>ROUND('[7]2027'!J38,2)</f>
        <v>5000</v>
      </c>
      <c r="K34" s="140">
        <f>ROUND('[7]2027'!K38,2)</f>
        <v>5000</v>
      </c>
      <c r="L34" s="140">
        <f>ROUND('[7]2027'!L38,2)</f>
        <v>5000</v>
      </c>
      <c r="M34" s="140">
        <f>ROUND('[7]2027'!M38,2)</f>
        <v>5000</v>
      </c>
      <c r="N34" s="140">
        <f>ROUND('[7]2027'!N38,2)</f>
        <v>5000</v>
      </c>
      <c r="O34" s="140">
        <f>ROUND('[7]2027'!O38,2)</f>
        <v>5000</v>
      </c>
      <c r="P34" s="140">
        <f>ROUND('[7]2027'!P38,2)</f>
        <v>5000</v>
      </c>
      <c r="Q34" s="140">
        <f>ROUND('[7]2027'!Q38,2)</f>
        <v>5000</v>
      </c>
      <c r="R34" s="140">
        <f>ROUND('[7]2027'!R38,2)</f>
        <v>5000</v>
      </c>
      <c r="S34" s="140">
        <f>ROUND('[7]2027'!S38,2)</f>
        <v>5000</v>
      </c>
      <c r="T34" s="140">
        <f>ROUND('[7]2027'!T38,2)</f>
        <v>5000</v>
      </c>
      <c r="U34" s="140">
        <f>ROUND('[7]2027'!U38,2)</f>
        <v>5000</v>
      </c>
      <c r="V34" s="140">
        <f>ROUND('[7]2027'!V38,2)</f>
        <v>28668.43</v>
      </c>
      <c r="W34" s="140">
        <f>ROUND('[7]2027'!W38,2)</f>
        <v>33452.379999999997</v>
      </c>
      <c r="X34" s="140">
        <f>ROUND('[7]2027'!X38,2)</f>
        <v>32863.47</v>
      </c>
      <c r="Y34" s="140">
        <f>ROUND('[7]2027'!Y38,2)</f>
        <v>35073.089999999997</v>
      </c>
      <c r="Z34" s="140">
        <f>ROUND('[7]2027'!Z38,2)</f>
        <v>37070.639999999999</v>
      </c>
      <c r="AA34" s="140">
        <f>ROUND('[7]2027'!AA38,2)</f>
        <v>37196.800000000003</v>
      </c>
      <c r="AB34" s="140">
        <f>ROUND('[7]2027'!AB38,2)</f>
        <v>33862.82</v>
      </c>
      <c r="AC34" s="267"/>
      <c r="AD34" s="19"/>
    </row>
    <row r="35" spans="2:30" ht="18.649999999999999" customHeight="1" x14ac:dyDescent="0.35">
      <c r="B35" s="260">
        <v>46569</v>
      </c>
      <c r="C35" s="14" t="s">
        <v>29</v>
      </c>
      <c r="D35" s="121">
        <f>+'[7]2027'!D39</f>
        <v>20</v>
      </c>
      <c r="E35" s="207">
        <f>ROUND('[7]2027'!E39,2)</f>
        <v>5000</v>
      </c>
      <c r="F35" s="207">
        <f>ROUND('[7]2027'!F39,2)</f>
        <v>5000</v>
      </c>
      <c r="G35" s="207">
        <f>ROUND('[7]2027'!G39,2)</f>
        <v>5000</v>
      </c>
      <c r="H35" s="207">
        <f>ROUND('[7]2027'!H39,2)</f>
        <v>5000</v>
      </c>
      <c r="I35" s="207">
        <f>ROUND('[7]2027'!I39,2)</f>
        <v>5000</v>
      </c>
      <c r="J35" s="207">
        <f>ROUND('[7]2027'!J39,2)</f>
        <v>5000</v>
      </c>
      <c r="K35" s="207">
        <f>ROUND('[7]2027'!K39,2)</f>
        <v>5000</v>
      </c>
      <c r="L35" s="207">
        <f>ROUND('[7]2027'!L39,2)</f>
        <v>5000</v>
      </c>
      <c r="M35" s="207">
        <f>ROUND('[7]2027'!M39,2)</f>
        <v>5000</v>
      </c>
      <c r="N35" s="207">
        <f>ROUND('[7]2027'!N39,2)</f>
        <v>5000</v>
      </c>
      <c r="O35" s="207">
        <f>ROUND('[7]2027'!O39,2)</f>
        <v>5000</v>
      </c>
      <c r="P35" s="207">
        <f>ROUND('[7]2027'!P39,2)</f>
        <v>5000</v>
      </c>
      <c r="Q35" s="207">
        <f>ROUND('[7]2027'!Q39,2)</f>
        <v>5000</v>
      </c>
      <c r="R35" s="207">
        <f>ROUND('[7]2027'!R39,2)</f>
        <v>5000</v>
      </c>
      <c r="S35" s="207">
        <f>ROUND('[7]2027'!S39,2)</f>
        <v>5000</v>
      </c>
      <c r="T35" s="207">
        <f>ROUND('[7]2027'!T39,2)</f>
        <v>5000</v>
      </c>
      <c r="U35" s="207">
        <f>ROUND('[7]2027'!U39,2)</f>
        <v>5000</v>
      </c>
      <c r="V35" s="207">
        <f>ROUND('[7]2027'!V39,2)</f>
        <v>1885.11</v>
      </c>
      <c r="W35" s="207">
        <f>ROUND('[7]2027'!W39,2)</f>
        <v>12279.59</v>
      </c>
      <c r="X35" s="207">
        <f>ROUND('[7]2027'!X39,2)</f>
        <v>13480.15</v>
      </c>
      <c r="Y35" s="207">
        <f>ROUND('[7]2027'!Y39,2)</f>
        <v>15088.32</v>
      </c>
      <c r="Z35" s="207">
        <f>ROUND('[7]2027'!Z39,2)</f>
        <v>18934.650000000001</v>
      </c>
      <c r="AA35" s="207">
        <f>ROUND('[7]2027'!AA39,2)</f>
        <v>25667.5</v>
      </c>
      <c r="AB35" s="207">
        <f>ROUND('[7]2027'!AB39,2)</f>
        <v>29212.65</v>
      </c>
      <c r="AC35" s="262">
        <f>SUM(E35:AB35)*D35+SUM(E36:AB36)*D36+SUM(E37:AB37)*D37+SUM(E38:AB38)*D38</f>
        <v>7378392.1299999999</v>
      </c>
      <c r="AD35" s="19"/>
    </row>
    <row r="36" spans="2:30" ht="18.649999999999999" customHeight="1" x14ac:dyDescent="0.35">
      <c r="B36" s="261"/>
      <c r="C36" s="10" t="s">
        <v>30</v>
      </c>
      <c r="D36" s="118">
        <f>+'[7]2027'!D40</f>
        <v>5</v>
      </c>
      <c r="E36" s="205">
        <f>ROUND('[7]2027'!E40,2)</f>
        <v>5000</v>
      </c>
      <c r="F36" s="205">
        <f>ROUND('[7]2027'!F40,2)</f>
        <v>5000</v>
      </c>
      <c r="G36" s="205">
        <f>ROUND('[7]2027'!G40,2)</f>
        <v>5000</v>
      </c>
      <c r="H36" s="205">
        <f>ROUND('[7]2027'!H40,2)</f>
        <v>5000</v>
      </c>
      <c r="I36" s="205">
        <f>ROUND('[7]2027'!I40,2)</f>
        <v>5000</v>
      </c>
      <c r="J36" s="205">
        <f>ROUND('[7]2027'!J40,2)</f>
        <v>5000</v>
      </c>
      <c r="K36" s="205">
        <f>ROUND('[7]2027'!K40,2)</f>
        <v>5000</v>
      </c>
      <c r="L36" s="205">
        <f>ROUND('[7]2027'!L40,2)</f>
        <v>5000</v>
      </c>
      <c r="M36" s="205">
        <f>ROUND('[7]2027'!M40,2)</f>
        <v>5000</v>
      </c>
      <c r="N36" s="205">
        <f>ROUND('[7]2027'!N40,2)</f>
        <v>5000</v>
      </c>
      <c r="O36" s="205">
        <f>ROUND('[7]2027'!O40,2)</f>
        <v>5000</v>
      </c>
      <c r="P36" s="205">
        <f>ROUND('[7]2027'!P40,2)</f>
        <v>5000</v>
      </c>
      <c r="Q36" s="205">
        <f>ROUND('[7]2027'!Q40,2)</f>
        <v>5000</v>
      </c>
      <c r="R36" s="205">
        <f>ROUND('[7]2027'!R40,2)</f>
        <v>5000</v>
      </c>
      <c r="S36" s="205">
        <f>ROUND('[7]2027'!S40,2)</f>
        <v>5000</v>
      </c>
      <c r="T36" s="205">
        <f>ROUND('[7]2027'!T40,2)</f>
        <v>5000</v>
      </c>
      <c r="U36" s="205">
        <f>ROUND('[7]2027'!U40,2)</f>
        <v>5000</v>
      </c>
      <c r="V36" s="205">
        <f>ROUND('[7]2027'!V40,2)</f>
        <v>36761.69</v>
      </c>
      <c r="W36" s="205">
        <f>ROUND('[7]2027'!W40,2)</f>
        <v>37137.42</v>
      </c>
      <c r="X36" s="205">
        <f>ROUND('[7]2027'!X40,2)</f>
        <v>33784.07</v>
      </c>
      <c r="Y36" s="205">
        <f>ROUND('[7]2027'!Y40,2)</f>
        <v>37132.160000000003</v>
      </c>
      <c r="Z36" s="205">
        <f>ROUND('[7]2027'!Z40,2)</f>
        <v>36751.29</v>
      </c>
      <c r="AA36" s="205">
        <f>ROUND('[7]2027'!AA40,2)</f>
        <v>32837.49</v>
      </c>
      <c r="AB36" s="205">
        <f>ROUND('[7]2027'!AB40,2)</f>
        <v>27935.75</v>
      </c>
      <c r="AC36" s="262"/>
      <c r="AD36" s="19"/>
    </row>
    <row r="37" spans="2:30" ht="18.649999999999999" customHeight="1" x14ac:dyDescent="0.35">
      <c r="B37" s="261"/>
      <c r="C37" s="10" t="s">
        <v>31</v>
      </c>
      <c r="D37" s="118">
        <f>+'[7]2027'!D41</f>
        <v>4</v>
      </c>
      <c r="E37" s="205">
        <f>ROUND('[7]2027'!E41,2)</f>
        <v>5000</v>
      </c>
      <c r="F37" s="205">
        <f>ROUND('[7]2027'!F41,2)</f>
        <v>5000</v>
      </c>
      <c r="G37" s="205">
        <f>ROUND('[7]2027'!G41,2)</f>
        <v>5000</v>
      </c>
      <c r="H37" s="205">
        <f>ROUND('[7]2027'!H41,2)</f>
        <v>5000</v>
      </c>
      <c r="I37" s="205">
        <f>ROUND('[7]2027'!I41,2)</f>
        <v>5000</v>
      </c>
      <c r="J37" s="205">
        <f>ROUND('[7]2027'!J41,2)</f>
        <v>5000</v>
      </c>
      <c r="K37" s="205">
        <f>ROUND('[7]2027'!K41,2)</f>
        <v>5000</v>
      </c>
      <c r="L37" s="205">
        <f>ROUND('[7]2027'!L41,2)</f>
        <v>5000</v>
      </c>
      <c r="M37" s="205">
        <f>ROUND('[7]2027'!M41,2)</f>
        <v>5000</v>
      </c>
      <c r="N37" s="205">
        <f>ROUND('[7]2027'!N41,2)</f>
        <v>5000</v>
      </c>
      <c r="O37" s="205">
        <f>ROUND('[7]2027'!O41,2)</f>
        <v>5000</v>
      </c>
      <c r="P37" s="205">
        <f>ROUND('[7]2027'!P41,2)</f>
        <v>5000</v>
      </c>
      <c r="Q37" s="205">
        <f>ROUND('[7]2027'!Q41,2)</f>
        <v>5000</v>
      </c>
      <c r="R37" s="205">
        <f>ROUND('[7]2027'!R41,2)</f>
        <v>5000</v>
      </c>
      <c r="S37" s="205">
        <f>ROUND('[7]2027'!S41,2)</f>
        <v>5000</v>
      </c>
      <c r="T37" s="205">
        <f>ROUND('[7]2027'!T41,2)</f>
        <v>5000</v>
      </c>
      <c r="U37" s="205">
        <f>ROUND('[7]2027'!U41,2)</f>
        <v>5000</v>
      </c>
      <c r="V37" s="205">
        <f>ROUND('[7]2027'!V41,2)</f>
        <v>23559.64</v>
      </c>
      <c r="W37" s="205">
        <f>ROUND('[7]2027'!W41,2)</f>
        <v>27317.41</v>
      </c>
      <c r="X37" s="205">
        <f>ROUND('[7]2027'!X41,2)</f>
        <v>27762.68</v>
      </c>
      <c r="Y37" s="205">
        <f>ROUND('[7]2027'!Y41,2)</f>
        <v>27923.49</v>
      </c>
      <c r="Z37" s="205">
        <f>ROUND('[7]2027'!Z41,2)</f>
        <v>29149.45</v>
      </c>
      <c r="AA37" s="205">
        <f>ROUND('[7]2027'!AA41,2)</f>
        <v>31627.94</v>
      </c>
      <c r="AB37" s="205">
        <f>ROUND('[7]2027'!AB41,2)</f>
        <v>32781.620000000003</v>
      </c>
      <c r="AC37" s="262"/>
      <c r="AD37" s="19"/>
    </row>
    <row r="38" spans="2:30" ht="18.649999999999999" customHeight="1" thickBot="1" x14ac:dyDescent="0.4">
      <c r="B38" s="261"/>
      <c r="C38" s="16" t="s">
        <v>32</v>
      </c>
      <c r="D38" s="119">
        <f>+'[7]2027'!D42</f>
        <v>2</v>
      </c>
      <c r="E38" s="206">
        <f>ROUND('[7]2027'!E42,2)</f>
        <v>5000</v>
      </c>
      <c r="F38" s="206">
        <f>ROUND('[7]2027'!F42,2)</f>
        <v>5000</v>
      </c>
      <c r="G38" s="206">
        <f>ROUND('[7]2027'!G42,2)</f>
        <v>5000</v>
      </c>
      <c r="H38" s="206">
        <f>ROUND('[7]2027'!H42,2)</f>
        <v>5000</v>
      </c>
      <c r="I38" s="206">
        <f>ROUND('[7]2027'!I42,2)</f>
        <v>5000</v>
      </c>
      <c r="J38" s="206">
        <f>ROUND('[7]2027'!J42,2)</f>
        <v>5000</v>
      </c>
      <c r="K38" s="206">
        <f>ROUND('[7]2027'!K42,2)</f>
        <v>5000</v>
      </c>
      <c r="L38" s="206">
        <f>ROUND('[7]2027'!L42,2)</f>
        <v>5000</v>
      </c>
      <c r="M38" s="206">
        <f>ROUND('[7]2027'!M42,2)</f>
        <v>5000</v>
      </c>
      <c r="N38" s="206">
        <f>ROUND('[7]2027'!N42,2)</f>
        <v>5000</v>
      </c>
      <c r="O38" s="206">
        <f>ROUND('[7]2027'!O42,2)</f>
        <v>5000</v>
      </c>
      <c r="P38" s="206">
        <f>ROUND('[7]2027'!P42,2)</f>
        <v>5000</v>
      </c>
      <c r="Q38" s="206">
        <f>ROUND('[7]2027'!Q42,2)</f>
        <v>5000</v>
      </c>
      <c r="R38" s="206">
        <f>ROUND('[7]2027'!R42,2)</f>
        <v>5000</v>
      </c>
      <c r="S38" s="206">
        <f>ROUND('[7]2027'!S42,2)</f>
        <v>5000</v>
      </c>
      <c r="T38" s="206">
        <f>ROUND('[7]2027'!T42,2)</f>
        <v>5000</v>
      </c>
      <c r="U38" s="206">
        <f>ROUND('[7]2027'!U42,2)</f>
        <v>5000</v>
      </c>
      <c r="V38" s="206">
        <f>ROUND('[7]2027'!V42,2)</f>
        <v>23559.64</v>
      </c>
      <c r="W38" s="206">
        <f>ROUND('[7]2027'!W42,2)</f>
        <v>27317.41</v>
      </c>
      <c r="X38" s="206">
        <f>ROUND('[7]2027'!X42,2)</f>
        <v>27762.68</v>
      </c>
      <c r="Y38" s="206">
        <f>ROUND('[7]2027'!Y42,2)</f>
        <v>27923.49</v>
      </c>
      <c r="Z38" s="206">
        <f>ROUND('[7]2027'!Z42,2)</f>
        <v>29149.45</v>
      </c>
      <c r="AA38" s="206">
        <f>ROUND('[7]2027'!AA42,2)</f>
        <v>31627.94</v>
      </c>
      <c r="AB38" s="206">
        <f>ROUND('[7]2027'!AB42,2)</f>
        <v>32781.620000000003</v>
      </c>
      <c r="AC38" s="262"/>
      <c r="AD38" s="19"/>
    </row>
    <row r="39" spans="2:30" ht="18.649999999999999" customHeight="1" x14ac:dyDescent="0.35">
      <c r="B39" s="263">
        <v>46600</v>
      </c>
      <c r="C39" s="7" t="s">
        <v>29</v>
      </c>
      <c r="D39" s="117">
        <f>+'[7]2027'!D43</f>
        <v>21</v>
      </c>
      <c r="E39" s="204">
        <f>ROUND('[7]2027'!E43,2)</f>
        <v>5000</v>
      </c>
      <c r="F39" s="204">
        <f>ROUND('[7]2027'!F43,2)</f>
        <v>5000</v>
      </c>
      <c r="G39" s="204">
        <f>ROUND('[7]2027'!G43,2)</f>
        <v>5000</v>
      </c>
      <c r="H39" s="204">
        <f>ROUND('[7]2027'!H43,2)</f>
        <v>5000</v>
      </c>
      <c r="I39" s="204">
        <f>ROUND('[7]2027'!I43,2)</f>
        <v>5000</v>
      </c>
      <c r="J39" s="204">
        <f>ROUND('[7]2027'!J43,2)</f>
        <v>5000</v>
      </c>
      <c r="K39" s="204">
        <f>ROUND('[7]2027'!K43,2)</f>
        <v>5000</v>
      </c>
      <c r="L39" s="204">
        <f>ROUND('[7]2027'!L43,2)</f>
        <v>5000</v>
      </c>
      <c r="M39" s="204">
        <f>ROUND('[7]2027'!M43,2)</f>
        <v>5000</v>
      </c>
      <c r="N39" s="204">
        <f>ROUND('[7]2027'!N43,2)</f>
        <v>5000</v>
      </c>
      <c r="O39" s="204">
        <f>ROUND('[7]2027'!O43,2)</f>
        <v>5000</v>
      </c>
      <c r="P39" s="204">
        <f>ROUND('[7]2027'!P43,2)</f>
        <v>5000</v>
      </c>
      <c r="Q39" s="204">
        <f>ROUND('[7]2027'!Q43,2)</f>
        <v>5000</v>
      </c>
      <c r="R39" s="204">
        <f>ROUND('[7]2027'!R43,2)</f>
        <v>5000</v>
      </c>
      <c r="S39" s="204">
        <f>ROUND('[7]2027'!S43,2)</f>
        <v>5000</v>
      </c>
      <c r="T39" s="204">
        <f>ROUND('[7]2027'!T43,2)</f>
        <v>5000</v>
      </c>
      <c r="U39" s="204">
        <f>ROUND('[7]2027'!U43,2)</f>
        <v>5000</v>
      </c>
      <c r="V39" s="204">
        <f>ROUND('[7]2027'!V43,2)</f>
        <v>8600.1200000000008</v>
      </c>
      <c r="W39" s="204">
        <f>ROUND('[7]2027'!W43,2)</f>
        <v>18907.009999999998</v>
      </c>
      <c r="X39" s="204">
        <f>ROUND('[7]2027'!X43,2)</f>
        <v>19082.89</v>
      </c>
      <c r="Y39" s="204">
        <f>ROUND('[7]2027'!Y43,2)</f>
        <v>21515.3</v>
      </c>
      <c r="Z39" s="204">
        <f>ROUND('[7]2027'!Z43,2)</f>
        <v>25170.07</v>
      </c>
      <c r="AA39" s="204">
        <f>ROUND('[7]2027'!AA43,2)</f>
        <v>31309.279999999999</v>
      </c>
      <c r="AB39" s="204">
        <f>ROUND('[7]2027'!AB43,2)</f>
        <v>34395.69</v>
      </c>
      <c r="AC39" s="266">
        <f>SUM(E39:AB39)*D39+SUM(E40:AB40)*D40+SUM(E41:AB41)*D41+SUM(E42:AB42)*D42</f>
        <v>9177870.5099999998</v>
      </c>
      <c r="AD39" s="19"/>
    </row>
    <row r="40" spans="2:30" ht="18.649999999999999" customHeight="1" x14ac:dyDescent="0.35">
      <c r="B40" s="264" t="s">
        <v>34</v>
      </c>
      <c r="C40" s="10" t="s">
        <v>30</v>
      </c>
      <c r="D40" s="118">
        <f>+'[7]2027'!D44</f>
        <v>3</v>
      </c>
      <c r="E40" s="205">
        <f>ROUND('[7]2027'!E44,2)</f>
        <v>5000</v>
      </c>
      <c r="F40" s="205">
        <f>ROUND('[7]2027'!F44,2)</f>
        <v>5000</v>
      </c>
      <c r="G40" s="205">
        <f>ROUND('[7]2027'!G44,2)</f>
        <v>5000</v>
      </c>
      <c r="H40" s="205">
        <f>ROUND('[7]2027'!H44,2)</f>
        <v>5000</v>
      </c>
      <c r="I40" s="205">
        <f>ROUND('[7]2027'!I44,2)</f>
        <v>5000</v>
      </c>
      <c r="J40" s="205">
        <f>ROUND('[7]2027'!J44,2)</f>
        <v>5000</v>
      </c>
      <c r="K40" s="205">
        <f>ROUND('[7]2027'!K44,2)</f>
        <v>5000</v>
      </c>
      <c r="L40" s="205">
        <f>ROUND('[7]2027'!L44,2)</f>
        <v>5000</v>
      </c>
      <c r="M40" s="205">
        <f>ROUND('[7]2027'!M44,2)</f>
        <v>5000</v>
      </c>
      <c r="N40" s="205">
        <f>ROUND('[7]2027'!N44,2)</f>
        <v>5000</v>
      </c>
      <c r="O40" s="205">
        <f>ROUND('[7]2027'!O44,2)</f>
        <v>5000</v>
      </c>
      <c r="P40" s="205">
        <f>ROUND('[7]2027'!P44,2)</f>
        <v>5000</v>
      </c>
      <c r="Q40" s="205">
        <f>ROUND('[7]2027'!Q44,2)</f>
        <v>5000</v>
      </c>
      <c r="R40" s="205">
        <f>ROUND('[7]2027'!R44,2)</f>
        <v>5000</v>
      </c>
      <c r="S40" s="205">
        <f>ROUND('[7]2027'!S44,2)</f>
        <v>5000</v>
      </c>
      <c r="T40" s="205">
        <f>ROUND('[7]2027'!T44,2)</f>
        <v>5000</v>
      </c>
      <c r="U40" s="205">
        <f>ROUND('[7]2027'!U44,2)</f>
        <v>5000</v>
      </c>
      <c r="V40" s="205">
        <f>ROUND('[7]2027'!V44,2)</f>
        <v>49480.52</v>
      </c>
      <c r="W40" s="205">
        <f>ROUND('[7]2027'!W44,2)</f>
        <v>49309.8</v>
      </c>
      <c r="X40" s="205">
        <f>ROUND('[7]2027'!X44,2)</f>
        <v>44524.27</v>
      </c>
      <c r="Y40" s="205">
        <f>ROUND('[7]2027'!Y44,2)</f>
        <v>46795.31</v>
      </c>
      <c r="Z40" s="205">
        <f>ROUND('[7]2027'!Z44,2)</f>
        <v>47383.45</v>
      </c>
      <c r="AA40" s="205">
        <f>ROUND('[7]2027'!AA44,2)</f>
        <v>42627.35</v>
      </c>
      <c r="AB40" s="205">
        <f>ROUND('[7]2027'!AB44,2)</f>
        <v>38480.28</v>
      </c>
      <c r="AC40" s="262"/>
      <c r="AD40" s="19"/>
    </row>
    <row r="41" spans="2:30" ht="18.649999999999999" customHeight="1" x14ac:dyDescent="0.35">
      <c r="B41" s="264" t="s">
        <v>34</v>
      </c>
      <c r="C41" s="10" t="s">
        <v>31</v>
      </c>
      <c r="D41" s="118">
        <f>+'[7]2027'!D45</f>
        <v>5</v>
      </c>
      <c r="E41" s="205">
        <f>ROUND('[7]2027'!E45,2)</f>
        <v>5000</v>
      </c>
      <c r="F41" s="205">
        <f>ROUND('[7]2027'!F45,2)</f>
        <v>5000</v>
      </c>
      <c r="G41" s="205">
        <f>ROUND('[7]2027'!G45,2)</f>
        <v>5000</v>
      </c>
      <c r="H41" s="205">
        <f>ROUND('[7]2027'!H45,2)</f>
        <v>5000</v>
      </c>
      <c r="I41" s="205">
        <f>ROUND('[7]2027'!I45,2)</f>
        <v>5000</v>
      </c>
      <c r="J41" s="205">
        <f>ROUND('[7]2027'!J45,2)</f>
        <v>5000</v>
      </c>
      <c r="K41" s="205">
        <f>ROUND('[7]2027'!K45,2)</f>
        <v>5000</v>
      </c>
      <c r="L41" s="205">
        <f>ROUND('[7]2027'!L45,2)</f>
        <v>5000</v>
      </c>
      <c r="M41" s="205">
        <f>ROUND('[7]2027'!M45,2)</f>
        <v>5000</v>
      </c>
      <c r="N41" s="205">
        <f>ROUND('[7]2027'!N45,2)</f>
        <v>5000</v>
      </c>
      <c r="O41" s="205">
        <f>ROUND('[7]2027'!O45,2)</f>
        <v>5000</v>
      </c>
      <c r="P41" s="205">
        <f>ROUND('[7]2027'!P45,2)</f>
        <v>5000</v>
      </c>
      <c r="Q41" s="205">
        <f>ROUND('[7]2027'!Q45,2)</f>
        <v>5000</v>
      </c>
      <c r="R41" s="205">
        <f>ROUND('[7]2027'!R45,2)</f>
        <v>5000</v>
      </c>
      <c r="S41" s="205">
        <f>ROUND('[7]2027'!S45,2)</f>
        <v>5000</v>
      </c>
      <c r="T41" s="205">
        <f>ROUND('[7]2027'!T45,2)</f>
        <v>5000</v>
      </c>
      <c r="U41" s="205">
        <f>ROUND('[7]2027'!U45,2)</f>
        <v>5000</v>
      </c>
      <c r="V41" s="205">
        <f>ROUND('[7]2027'!V45,2)</f>
        <v>35369.97</v>
      </c>
      <c r="W41" s="205">
        <f>ROUND('[7]2027'!W45,2)</f>
        <v>39692.019999999997</v>
      </c>
      <c r="X41" s="205">
        <f>ROUND('[7]2027'!X45,2)</f>
        <v>45959.14</v>
      </c>
      <c r="Y41" s="205">
        <f>ROUND('[7]2027'!Y45,2)</f>
        <v>49579.96</v>
      </c>
      <c r="Z41" s="205">
        <f>ROUND('[7]2027'!Z45,2)</f>
        <v>51224.15</v>
      </c>
      <c r="AA41" s="205">
        <f>ROUND('[7]2027'!AA45,2)</f>
        <v>51339.43</v>
      </c>
      <c r="AB41" s="205">
        <f>ROUND('[7]2027'!AB45,2)</f>
        <v>48046.76</v>
      </c>
      <c r="AC41" s="262"/>
      <c r="AD41" s="19"/>
    </row>
    <row r="42" spans="2:30" ht="18.649999999999999" customHeight="1" thickBot="1" x14ac:dyDescent="0.4">
      <c r="B42" s="265" t="s">
        <v>34</v>
      </c>
      <c r="C42" s="12" t="s">
        <v>32</v>
      </c>
      <c r="D42" s="120">
        <f>+'[7]2027'!D46</f>
        <v>2</v>
      </c>
      <c r="E42" s="140">
        <f>ROUND('[7]2027'!E46,2)</f>
        <v>5000</v>
      </c>
      <c r="F42" s="140">
        <f>ROUND('[7]2027'!F46,2)</f>
        <v>5000</v>
      </c>
      <c r="G42" s="140">
        <f>ROUND('[7]2027'!G46,2)</f>
        <v>5000</v>
      </c>
      <c r="H42" s="140">
        <f>ROUND('[7]2027'!H46,2)</f>
        <v>5000</v>
      </c>
      <c r="I42" s="140">
        <f>ROUND('[7]2027'!I46,2)</f>
        <v>5000</v>
      </c>
      <c r="J42" s="140">
        <f>ROUND('[7]2027'!J46,2)</f>
        <v>5000</v>
      </c>
      <c r="K42" s="140">
        <f>ROUND('[7]2027'!K46,2)</f>
        <v>5000</v>
      </c>
      <c r="L42" s="140">
        <f>ROUND('[7]2027'!L46,2)</f>
        <v>5000</v>
      </c>
      <c r="M42" s="140">
        <f>ROUND('[7]2027'!M46,2)</f>
        <v>5000</v>
      </c>
      <c r="N42" s="140">
        <f>ROUND('[7]2027'!N46,2)</f>
        <v>5000</v>
      </c>
      <c r="O42" s="140">
        <f>ROUND('[7]2027'!O46,2)</f>
        <v>5000</v>
      </c>
      <c r="P42" s="140">
        <f>ROUND('[7]2027'!P46,2)</f>
        <v>5000</v>
      </c>
      <c r="Q42" s="140">
        <f>ROUND('[7]2027'!Q46,2)</f>
        <v>5000</v>
      </c>
      <c r="R42" s="140">
        <f>ROUND('[7]2027'!R46,2)</f>
        <v>5000</v>
      </c>
      <c r="S42" s="140">
        <f>ROUND('[7]2027'!S46,2)</f>
        <v>5000</v>
      </c>
      <c r="T42" s="140">
        <f>ROUND('[7]2027'!T46,2)</f>
        <v>5000</v>
      </c>
      <c r="U42" s="140">
        <f>ROUND('[7]2027'!U46,2)</f>
        <v>5000</v>
      </c>
      <c r="V42" s="140">
        <f>ROUND('[7]2027'!V46,2)</f>
        <v>35369.97</v>
      </c>
      <c r="W42" s="140">
        <f>ROUND('[7]2027'!W46,2)</f>
        <v>39692.019999999997</v>
      </c>
      <c r="X42" s="140">
        <f>ROUND('[7]2027'!X46,2)</f>
        <v>45959.14</v>
      </c>
      <c r="Y42" s="140">
        <f>ROUND('[7]2027'!Y46,2)</f>
        <v>49579.96</v>
      </c>
      <c r="Z42" s="140">
        <f>ROUND('[7]2027'!Z46,2)</f>
        <v>51224.15</v>
      </c>
      <c r="AA42" s="140">
        <f>ROUND('[7]2027'!AA46,2)</f>
        <v>51339.43</v>
      </c>
      <c r="AB42" s="140">
        <f>ROUND('[7]2027'!AB46,2)</f>
        <v>48046.76</v>
      </c>
      <c r="AC42" s="267"/>
      <c r="AD42" s="19"/>
    </row>
    <row r="43" spans="2:30" ht="18.649999999999999" customHeight="1" x14ac:dyDescent="0.35">
      <c r="B43" s="260">
        <v>46631</v>
      </c>
      <c r="C43" s="14" t="s">
        <v>29</v>
      </c>
      <c r="D43" s="121">
        <f>+'[7]2027'!D47</f>
        <v>22</v>
      </c>
      <c r="E43" s="207">
        <f>ROUND('[7]2027'!E47,2)</f>
        <v>5000</v>
      </c>
      <c r="F43" s="207">
        <f>ROUND('[7]2027'!F47,2)</f>
        <v>5000</v>
      </c>
      <c r="G43" s="207">
        <f>ROUND('[7]2027'!G47,2)</f>
        <v>5000</v>
      </c>
      <c r="H43" s="207">
        <f>ROUND('[7]2027'!H47,2)</f>
        <v>5000</v>
      </c>
      <c r="I43" s="207">
        <f>ROUND('[7]2027'!I47,2)</f>
        <v>5000</v>
      </c>
      <c r="J43" s="207">
        <f>ROUND('[7]2027'!J47,2)</f>
        <v>5000</v>
      </c>
      <c r="K43" s="207">
        <f>ROUND('[7]2027'!K47,2)</f>
        <v>5000</v>
      </c>
      <c r="L43" s="207">
        <f>ROUND('[7]2027'!L47,2)</f>
        <v>5000</v>
      </c>
      <c r="M43" s="207">
        <f>ROUND('[7]2027'!M47,2)</f>
        <v>5000</v>
      </c>
      <c r="N43" s="207">
        <f>ROUND('[7]2027'!N47,2)</f>
        <v>5000</v>
      </c>
      <c r="O43" s="207">
        <f>ROUND('[7]2027'!O47,2)</f>
        <v>5000</v>
      </c>
      <c r="P43" s="207">
        <f>ROUND('[7]2027'!P47,2)</f>
        <v>5000</v>
      </c>
      <c r="Q43" s="207">
        <f>ROUND('[7]2027'!Q47,2)</f>
        <v>5000</v>
      </c>
      <c r="R43" s="207">
        <f>ROUND('[7]2027'!R47,2)</f>
        <v>5000</v>
      </c>
      <c r="S43" s="207">
        <f>ROUND('[7]2027'!S47,2)</f>
        <v>5000</v>
      </c>
      <c r="T43" s="207">
        <f>ROUND('[7]2027'!T47,2)</f>
        <v>5000</v>
      </c>
      <c r="U43" s="207">
        <f>ROUND('[7]2027'!U47,2)</f>
        <v>5000</v>
      </c>
      <c r="V43" s="207">
        <f>ROUND('[7]2027'!V47,2)</f>
        <v>15907.67</v>
      </c>
      <c r="W43" s="207">
        <f>ROUND('[7]2027'!W47,2)</f>
        <v>26044.52</v>
      </c>
      <c r="X43" s="207">
        <f>ROUND('[7]2027'!X47,2)</f>
        <v>26804.25</v>
      </c>
      <c r="Y43" s="207">
        <f>ROUND('[7]2027'!Y47,2)</f>
        <v>28847.040000000001</v>
      </c>
      <c r="Z43" s="207">
        <f>ROUND('[7]2027'!Z47,2)</f>
        <v>31861.5</v>
      </c>
      <c r="AA43" s="207">
        <f>ROUND('[7]2027'!AA47,2)</f>
        <v>38227.519999999997</v>
      </c>
      <c r="AB43" s="207">
        <f>ROUND('[7]2027'!AB47,2)</f>
        <v>41772.080000000002</v>
      </c>
      <c r="AC43" s="262">
        <f>SUM(E43:AB43)*D43+SUM(E44:AB44)*D44+SUM(E45:AB45)*D45+SUM(E46:AB46)*D46</f>
        <v>10029118.120000001</v>
      </c>
      <c r="AD43" s="19"/>
    </row>
    <row r="44" spans="2:30" ht="18.649999999999999" customHeight="1" x14ac:dyDescent="0.35">
      <c r="B44" s="261"/>
      <c r="C44" s="10" t="s">
        <v>30</v>
      </c>
      <c r="D44" s="118">
        <f>+'[7]2027'!D48</f>
        <v>4</v>
      </c>
      <c r="E44" s="205">
        <f>ROUND('[7]2027'!E48,2)</f>
        <v>5000</v>
      </c>
      <c r="F44" s="205">
        <f>ROUND('[7]2027'!F48,2)</f>
        <v>5000</v>
      </c>
      <c r="G44" s="205">
        <f>ROUND('[7]2027'!G48,2)</f>
        <v>5000</v>
      </c>
      <c r="H44" s="205">
        <f>ROUND('[7]2027'!H48,2)</f>
        <v>5000</v>
      </c>
      <c r="I44" s="205">
        <f>ROUND('[7]2027'!I48,2)</f>
        <v>5000</v>
      </c>
      <c r="J44" s="205">
        <f>ROUND('[7]2027'!J48,2)</f>
        <v>5000</v>
      </c>
      <c r="K44" s="205">
        <f>ROUND('[7]2027'!K48,2)</f>
        <v>5000</v>
      </c>
      <c r="L44" s="205">
        <f>ROUND('[7]2027'!L48,2)</f>
        <v>5000</v>
      </c>
      <c r="M44" s="205">
        <f>ROUND('[7]2027'!M48,2)</f>
        <v>5000</v>
      </c>
      <c r="N44" s="205">
        <f>ROUND('[7]2027'!N48,2)</f>
        <v>5000</v>
      </c>
      <c r="O44" s="205">
        <f>ROUND('[7]2027'!O48,2)</f>
        <v>5000</v>
      </c>
      <c r="P44" s="205">
        <f>ROUND('[7]2027'!P48,2)</f>
        <v>5000</v>
      </c>
      <c r="Q44" s="205">
        <f>ROUND('[7]2027'!Q48,2)</f>
        <v>5000</v>
      </c>
      <c r="R44" s="205">
        <f>ROUND('[7]2027'!R48,2)</f>
        <v>5000</v>
      </c>
      <c r="S44" s="205">
        <f>ROUND('[7]2027'!S48,2)</f>
        <v>5000</v>
      </c>
      <c r="T44" s="205">
        <f>ROUND('[7]2027'!T48,2)</f>
        <v>5000</v>
      </c>
      <c r="U44" s="205">
        <f>ROUND('[7]2027'!U48,2)</f>
        <v>5000</v>
      </c>
      <c r="V44" s="205">
        <f>ROUND('[7]2027'!V48,2)</f>
        <v>48889.7</v>
      </c>
      <c r="W44" s="205">
        <f>ROUND('[7]2027'!W48,2)</f>
        <v>42339.18</v>
      </c>
      <c r="X44" s="205">
        <f>ROUND('[7]2027'!X48,2)</f>
        <v>39496.559999999998</v>
      </c>
      <c r="Y44" s="205">
        <f>ROUND('[7]2027'!Y48,2)</f>
        <v>42435.97</v>
      </c>
      <c r="Z44" s="205">
        <f>ROUND('[7]2027'!Z48,2)</f>
        <v>43844.35</v>
      </c>
      <c r="AA44" s="205">
        <f>ROUND('[7]2027'!AA48,2)</f>
        <v>42865.18</v>
      </c>
      <c r="AB44" s="205">
        <f>ROUND('[7]2027'!AB48,2)</f>
        <v>38971.61</v>
      </c>
      <c r="AC44" s="262"/>
      <c r="AD44" s="19"/>
    </row>
    <row r="45" spans="2:30" ht="18.649999999999999" customHeight="1" x14ac:dyDescent="0.35">
      <c r="B45" s="261"/>
      <c r="C45" s="10" t="s">
        <v>31</v>
      </c>
      <c r="D45" s="118">
        <f>+'[7]2027'!D49</f>
        <v>4</v>
      </c>
      <c r="E45" s="205">
        <f>ROUND('[7]2027'!E49,2)</f>
        <v>5000</v>
      </c>
      <c r="F45" s="205">
        <f>ROUND('[7]2027'!F49,2)</f>
        <v>5000</v>
      </c>
      <c r="G45" s="205">
        <f>ROUND('[7]2027'!G49,2)</f>
        <v>5000</v>
      </c>
      <c r="H45" s="205">
        <f>ROUND('[7]2027'!H49,2)</f>
        <v>5000</v>
      </c>
      <c r="I45" s="205">
        <f>ROUND('[7]2027'!I49,2)</f>
        <v>5000</v>
      </c>
      <c r="J45" s="205">
        <f>ROUND('[7]2027'!J49,2)</f>
        <v>5000</v>
      </c>
      <c r="K45" s="205">
        <f>ROUND('[7]2027'!K49,2)</f>
        <v>5000</v>
      </c>
      <c r="L45" s="205">
        <f>ROUND('[7]2027'!L49,2)</f>
        <v>5000</v>
      </c>
      <c r="M45" s="205">
        <f>ROUND('[7]2027'!M49,2)</f>
        <v>5000</v>
      </c>
      <c r="N45" s="205">
        <f>ROUND('[7]2027'!N49,2)</f>
        <v>5000</v>
      </c>
      <c r="O45" s="205">
        <f>ROUND('[7]2027'!O49,2)</f>
        <v>5000</v>
      </c>
      <c r="P45" s="205">
        <f>ROUND('[7]2027'!P49,2)</f>
        <v>5000</v>
      </c>
      <c r="Q45" s="205">
        <f>ROUND('[7]2027'!Q49,2)</f>
        <v>5000</v>
      </c>
      <c r="R45" s="205">
        <f>ROUND('[7]2027'!R49,2)</f>
        <v>5000</v>
      </c>
      <c r="S45" s="205">
        <f>ROUND('[7]2027'!S49,2)</f>
        <v>5000</v>
      </c>
      <c r="T45" s="205">
        <f>ROUND('[7]2027'!T49,2)</f>
        <v>5000</v>
      </c>
      <c r="U45" s="205">
        <f>ROUND('[7]2027'!U49,2)</f>
        <v>5000</v>
      </c>
      <c r="V45" s="205">
        <f>ROUND('[7]2027'!V49,2)</f>
        <v>77300.92</v>
      </c>
      <c r="W45" s="205">
        <f>ROUND('[7]2027'!W49,2)</f>
        <v>66480.62</v>
      </c>
      <c r="X45" s="205">
        <f>ROUND('[7]2027'!X49,2)</f>
        <v>59901.07</v>
      </c>
      <c r="Y45" s="205">
        <f>ROUND('[7]2027'!Y49,2)</f>
        <v>58432.38</v>
      </c>
      <c r="Z45" s="205">
        <f>ROUND('[7]2027'!Z49,2)</f>
        <v>56947.79</v>
      </c>
      <c r="AA45" s="205">
        <f>ROUND('[7]2027'!AA49,2)</f>
        <v>52430.55</v>
      </c>
      <c r="AB45" s="205">
        <f>ROUND('[7]2027'!AB49,2)</f>
        <v>47388.46</v>
      </c>
      <c r="AC45" s="262"/>
      <c r="AD45" s="19"/>
    </row>
    <row r="46" spans="2:30" ht="18.649999999999999" customHeight="1" thickBot="1" x14ac:dyDescent="0.4">
      <c r="B46" s="261"/>
      <c r="C46" s="16" t="s">
        <v>32</v>
      </c>
      <c r="D46" s="119">
        <f>+'[7]2027'!D50</f>
        <v>0</v>
      </c>
      <c r="E46" s="140">
        <f>ROUND('[7]2027'!E50,2)</f>
        <v>0</v>
      </c>
      <c r="F46" s="140">
        <f>ROUND('[7]2027'!F50,2)</f>
        <v>0</v>
      </c>
      <c r="G46" s="140">
        <f>ROUND('[7]2027'!G50,2)</f>
        <v>0</v>
      </c>
      <c r="H46" s="140">
        <f>ROUND('[7]2027'!H50,2)</f>
        <v>0</v>
      </c>
      <c r="I46" s="140">
        <f>ROUND('[7]2027'!I50,2)</f>
        <v>0</v>
      </c>
      <c r="J46" s="140">
        <f>ROUND('[7]2027'!J50,2)</f>
        <v>0</v>
      </c>
      <c r="K46" s="140">
        <f>ROUND('[7]2027'!K50,2)</f>
        <v>0</v>
      </c>
      <c r="L46" s="140">
        <f>ROUND('[7]2027'!L50,2)</f>
        <v>0</v>
      </c>
      <c r="M46" s="140">
        <f>ROUND('[7]2027'!M50,2)</f>
        <v>0</v>
      </c>
      <c r="N46" s="140">
        <f>ROUND('[7]2027'!N50,2)</f>
        <v>0</v>
      </c>
      <c r="O46" s="140">
        <f>ROUND('[7]2027'!O50,2)</f>
        <v>0</v>
      </c>
      <c r="P46" s="140">
        <f>ROUND('[7]2027'!P50,2)</f>
        <v>0</v>
      </c>
      <c r="Q46" s="140">
        <f>ROUND('[7]2027'!Q50,2)</f>
        <v>0</v>
      </c>
      <c r="R46" s="140">
        <f>ROUND('[7]2027'!R50,2)</f>
        <v>0</v>
      </c>
      <c r="S46" s="140">
        <f>ROUND('[7]2027'!S50,2)</f>
        <v>0</v>
      </c>
      <c r="T46" s="140">
        <f>ROUND('[7]2027'!T50,2)</f>
        <v>0</v>
      </c>
      <c r="U46" s="140">
        <f>ROUND('[7]2027'!U50,2)</f>
        <v>0</v>
      </c>
      <c r="V46" s="140">
        <f>ROUND('[7]2027'!V50,2)</f>
        <v>0</v>
      </c>
      <c r="W46" s="140">
        <f>ROUND('[7]2027'!W50,2)</f>
        <v>0</v>
      </c>
      <c r="X46" s="140">
        <f>ROUND('[7]2027'!X50,2)</f>
        <v>0</v>
      </c>
      <c r="Y46" s="140">
        <f>ROUND('[7]2027'!Y50,2)</f>
        <v>0</v>
      </c>
      <c r="Z46" s="140">
        <f>ROUND('[7]2027'!Z50,2)</f>
        <v>0</v>
      </c>
      <c r="AA46" s="140">
        <f>ROUND('[7]2027'!AA50,2)</f>
        <v>0</v>
      </c>
      <c r="AB46" s="140">
        <f>ROUND('[7]2027'!AB50,2)</f>
        <v>0</v>
      </c>
      <c r="AC46" s="262"/>
      <c r="AD46" s="19"/>
    </row>
    <row r="47" spans="2:30" ht="18.649999999999999" customHeight="1" x14ac:dyDescent="0.35">
      <c r="B47" s="263">
        <v>46661</v>
      </c>
      <c r="C47" s="7" t="s">
        <v>29</v>
      </c>
      <c r="D47" s="117">
        <f>+'[7]2027'!D51</f>
        <v>20</v>
      </c>
      <c r="E47" s="204">
        <f>ROUND('[7]2027'!E51,2)</f>
        <v>5000</v>
      </c>
      <c r="F47" s="204">
        <f>ROUND('[7]2027'!F51,2)</f>
        <v>5000</v>
      </c>
      <c r="G47" s="204">
        <f>ROUND('[7]2027'!G51,2)</f>
        <v>5000</v>
      </c>
      <c r="H47" s="204">
        <f>ROUND('[7]2027'!H51,2)</f>
        <v>5000</v>
      </c>
      <c r="I47" s="204">
        <f>ROUND('[7]2027'!I51,2)</f>
        <v>5000</v>
      </c>
      <c r="J47" s="204">
        <f>ROUND('[7]2027'!J51,2)</f>
        <v>5000</v>
      </c>
      <c r="K47" s="204">
        <f>ROUND('[7]2027'!K51,2)</f>
        <v>5000</v>
      </c>
      <c r="L47" s="204">
        <f>ROUND('[7]2027'!L51,2)</f>
        <v>5000</v>
      </c>
      <c r="M47" s="204">
        <f>ROUND('[7]2027'!M51,2)</f>
        <v>5000</v>
      </c>
      <c r="N47" s="204">
        <f>ROUND('[7]2027'!N51,2)</f>
        <v>5000</v>
      </c>
      <c r="O47" s="204">
        <f>ROUND('[7]2027'!O51,2)</f>
        <v>5000</v>
      </c>
      <c r="P47" s="204">
        <f>ROUND('[7]2027'!P51,2)</f>
        <v>5000</v>
      </c>
      <c r="Q47" s="204">
        <f>ROUND('[7]2027'!Q51,2)</f>
        <v>5000</v>
      </c>
      <c r="R47" s="204">
        <f>ROUND('[7]2027'!R51,2)</f>
        <v>5000</v>
      </c>
      <c r="S47" s="204">
        <f>ROUND('[7]2027'!S51,2)</f>
        <v>5000</v>
      </c>
      <c r="T47" s="204">
        <f>ROUND('[7]2027'!T51,2)</f>
        <v>5000</v>
      </c>
      <c r="U47" s="204">
        <f>ROUND('[7]2027'!U51,2)</f>
        <v>5000</v>
      </c>
      <c r="V47" s="204">
        <f>ROUND('[7]2027'!V51,2)</f>
        <v>26445.47</v>
      </c>
      <c r="W47" s="204">
        <f>ROUND('[7]2027'!W51,2)</f>
        <v>36447.879999999997</v>
      </c>
      <c r="X47" s="204">
        <f>ROUND('[7]2027'!X51,2)</f>
        <v>37957.870000000003</v>
      </c>
      <c r="Y47" s="204">
        <f>ROUND('[7]2027'!Y51,2)</f>
        <v>39940.410000000003</v>
      </c>
      <c r="Z47" s="204">
        <f>ROUND('[7]2027'!Z51,2)</f>
        <v>41692.019999999997</v>
      </c>
      <c r="AA47" s="204">
        <f>ROUND('[7]2027'!AA51,2)</f>
        <v>46633.7</v>
      </c>
      <c r="AB47" s="204">
        <f>ROUND('[7]2027'!AB51,2)</f>
        <v>48844.800000000003</v>
      </c>
      <c r="AC47" s="266">
        <f>SUM(E47:AB47)*D47+SUM(E48:AB48)*D48+SUM(E49:AB49)*D49+SUM(E50:AB50)*D50</f>
        <v>11917264.910000002</v>
      </c>
      <c r="AD47" s="19"/>
    </row>
    <row r="48" spans="2:30" ht="18.649999999999999" customHeight="1" x14ac:dyDescent="0.35">
      <c r="B48" s="264" t="s">
        <v>34</v>
      </c>
      <c r="C48" s="10" t="s">
        <v>30</v>
      </c>
      <c r="D48" s="118">
        <f>+'[7]2027'!D52</f>
        <v>5</v>
      </c>
      <c r="E48" s="205">
        <f>ROUND('[7]2027'!E52,2)</f>
        <v>5000</v>
      </c>
      <c r="F48" s="205">
        <f>ROUND('[7]2027'!F52,2)</f>
        <v>5000</v>
      </c>
      <c r="G48" s="205">
        <f>ROUND('[7]2027'!G52,2)</f>
        <v>5000</v>
      </c>
      <c r="H48" s="205">
        <f>ROUND('[7]2027'!H52,2)</f>
        <v>5000</v>
      </c>
      <c r="I48" s="205">
        <f>ROUND('[7]2027'!I52,2)</f>
        <v>5000</v>
      </c>
      <c r="J48" s="205">
        <f>ROUND('[7]2027'!J52,2)</f>
        <v>5000</v>
      </c>
      <c r="K48" s="205">
        <f>ROUND('[7]2027'!K52,2)</f>
        <v>5000</v>
      </c>
      <c r="L48" s="205">
        <f>ROUND('[7]2027'!L52,2)</f>
        <v>5000</v>
      </c>
      <c r="M48" s="205">
        <f>ROUND('[7]2027'!M52,2)</f>
        <v>5000</v>
      </c>
      <c r="N48" s="205">
        <f>ROUND('[7]2027'!N52,2)</f>
        <v>5000</v>
      </c>
      <c r="O48" s="205">
        <f>ROUND('[7]2027'!O52,2)</f>
        <v>5000</v>
      </c>
      <c r="P48" s="205">
        <f>ROUND('[7]2027'!P52,2)</f>
        <v>5000</v>
      </c>
      <c r="Q48" s="205">
        <f>ROUND('[7]2027'!Q52,2)</f>
        <v>5000</v>
      </c>
      <c r="R48" s="205">
        <f>ROUND('[7]2027'!R52,2)</f>
        <v>5000</v>
      </c>
      <c r="S48" s="205">
        <f>ROUND('[7]2027'!S52,2)</f>
        <v>5000</v>
      </c>
      <c r="T48" s="205">
        <f>ROUND('[7]2027'!T52,2)</f>
        <v>5000</v>
      </c>
      <c r="U48" s="205">
        <f>ROUND('[7]2027'!U52,2)</f>
        <v>5000</v>
      </c>
      <c r="V48" s="205">
        <f>ROUND('[7]2027'!V52,2)</f>
        <v>48601.38</v>
      </c>
      <c r="W48" s="205">
        <f>ROUND('[7]2027'!W52,2)</f>
        <v>45666.33</v>
      </c>
      <c r="X48" s="205">
        <f>ROUND('[7]2027'!X52,2)</f>
        <v>44562.8</v>
      </c>
      <c r="Y48" s="205">
        <f>ROUND('[7]2027'!Y52,2)</f>
        <v>43730.720000000001</v>
      </c>
      <c r="Z48" s="205">
        <f>ROUND('[7]2027'!Z52,2)</f>
        <v>41976.95</v>
      </c>
      <c r="AA48" s="205">
        <f>ROUND('[7]2027'!AA52,2)</f>
        <v>38827.870000000003</v>
      </c>
      <c r="AB48" s="205">
        <f>ROUND('[7]2027'!AB52,2)</f>
        <v>34322.26</v>
      </c>
      <c r="AC48" s="262"/>
      <c r="AD48" s="19"/>
    </row>
    <row r="49" spans="2:31" ht="18.649999999999999" customHeight="1" x14ac:dyDescent="0.35">
      <c r="B49" s="264" t="s">
        <v>34</v>
      </c>
      <c r="C49" s="10" t="s">
        <v>31</v>
      </c>
      <c r="D49" s="118">
        <f>+'[7]2027'!D53</f>
        <v>5</v>
      </c>
      <c r="E49" s="205">
        <f>ROUND('[7]2027'!E53,2)</f>
        <v>5000</v>
      </c>
      <c r="F49" s="205">
        <f>ROUND('[7]2027'!F53,2)</f>
        <v>5000</v>
      </c>
      <c r="G49" s="205">
        <f>ROUND('[7]2027'!G53,2)</f>
        <v>5000</v>
      </c>
      <c r="H49" s="205">
        <f>ROUND('[7]2027'!H53,2)</f>
        <v>5000</v>
      </c>
      <c r="I49" s="205">
        <f>ROUND('[7]2027'!I53,2)</f>
        <v>5000</v>
      </c>
      <c r="J49" s="205">
        <f>ROUND('[7]2027'!J53,2)</f>
        <v>5000</v>
      </c>
      <c r="K49" s="205">
        <f>ROUND('[7]2027'!K53,2)</f>
        <v>5000</v>
      </c>
      <c r="L49" s="205">
        <f>ROUND('[7]2027'!L53,2)</f>
        <v>5000</v>
      </c>
      <c r="M49" s="205">
        <f>ROUND('[7]2027'!M53,2)</f>
        <v>5000</v>
      </c>
      <c r="N49" s="205">
        <f>ROUND('[7]2027'!N53,2)</f>
        <v>5000</v>
      </c>
      <c r="O49" s="205">
        <f>ROUND('[7]2027'!O53,2)</f>
        <v>5000</v>
      </c>
      <c r="P49" s="205">
        <f>ROUND('[7]2027'!P53,2)</f>
        <v>5000</v>
      </c>
      <c r="Q49" s="205">
        <f>ROUND('[7]2027'!Q53,2)</f>
        <v>5000</v>
      </c>
      <c r="R49" s="205">
        <f>ROUND('[7]2027'!R53,2)</f>
        <v>5000</v>
      </c>
      <c r="S49" s="205">
        <f>ROUND('[7]2027'!S53,2)</f>
        <v>5000</v>
      </c>
      <c r="T49" s="205">
        <f>ROUND('[7]2027'!T53,2)</f>
        <v>5000</v>
      </c>
      <c r="U49" s="205">
        <f>ROUND('[7]2027'!U53,2)</f>
        <v>5000</v>
      </c>
      <c r="V49" s="205">
        <f>ROUND('[7]2027'!V53,2)</f>
        <v>46789.96</v>
      </c>
      <c r="W49" s="205">
        <f>ROUND('[7]2027'!W53,2)</f>
        <v>52267.8</v>
      </c>
      <c r="X49" s="205">
        <f>ROUND('[7]2027'!X53,2)</f>
        <v>55000.06</v>
      </c>
      <c r="Y49" s="205">
        <f>ROUND('[7]2027'!Y53,2)</f>
        <v>56779.38</v>
      </c>
      <c r="Z49" s="205">
        <f>ROUND('[7]2027'!Z53,2)</f>
        <v>57356.63</v>
      </c>
      <c r="AA49" s="205">
        <f>ROUND('[7]2027'!AA53,2)</f>
        <v>54384.160000000003</v>
      </c>
      <c r="AB49" s="205">
        <f>ROUND('[7]2027'!AB53,2)</f>
        <v>49852.07</v>
      </c>
      <c r="AC49" s="262"/>
      <c r="AD49" s="19"/>
    </row>
    <row r="50" spans="2:31" ht="18.649999999999999" customHeight="1" thickBot="1" x14ac:dyDescent="0.4">
      <c r="B50" s="265" t="s">
        <v>34</v>
      </c>
      <c r="C50" s="12" t="s">
        <v>32</v>
      </c>
      <c r="D50" s="120">
        <f>+'[7]2027'!D54</f>
        <v>1</v>
      </c>
      <c r="E50" s="140">
        <f>ROUND('[7]2027'!E54,2)</f>
        <v>5000</v>
      </c>
      <c r="F50" s="140">
        <f>ROUND('[7]2027'!F54,2)</f>
        <v>5000</v>
      </c>
      <c r="G50" s="140">
        <f>ROUND('[7]2027'!G54,2)</f>
        <v>5000</v>
      </c>
      <c r="H50" s="140">
        <f>ROUND('[7]2027'!H54,2)</f>
        <v>5000</v>
      </c>
      <c r="I50" s="140">
        <f>ROUND('[7]2027'!I54,2)</f>
        <v>5000</v>
      </c>
      <c r="J50" s="140">
        <f>ROUND('[7]2027'!J54,2)</f>
        <v>5000</v>
      </c>
      <c r="K50" s="140">
        <f>ROUND('[7]2027'!K54,2)</f>
        <v>5000</v>
      </c>
      <c r="L50" s="140">
        <f>ROUND('[7]2027'!L54,2)</f>
        <v>5000</v>
      </c>
      <c r="M50" s="140">
        <f>ROUND('[7]2027'!M54,2)</f>
        <v>5000</v>
      </c>
      <c r="N50" s="140">
        <f>ROUND('[7]2027'!N54,2)</f>
        <v>5000</v>
      </c>
      <c r="O50" s="140">
        <f>ROUND('[7]2027'!O54,2)</f>
        <v>5000</v>
      </c>
      <c r="P50" s="140">
        <f>ROUND('[7]2027'!P54,2)</f>
        <v>5000</v>
      </c>
      <c r="Q50" s="140">
        <f>ROUND('[7]2027'!Q54,2)</f>
        <v>5000</v>
      </c>
      <c r="R50" s="140">
        <f>ROUND('[7]2027'!R54,2)</f>
        <v>5000</v>
      </c>
      <c r="S50" s="140">
        <f>ROUND('[7]2027'!S54,2)</f>
        <v>5000</v>
      </c>
      <c r="T50" s="140">
        <f>ROUND('[7]2027'!T54,2)</f>
        <v>5000</v>
      </c>
      <c r="U50" s="140">
        <f>ROUND('[7]2027'!U54,2)</f>
        <v>5000</v>
      </c>
      <c r="V50" s="140">
        <f>ROUND('[7]2027'!V54,2)</f>
        <v>46789.96</v>
      </c>
      <c r="W50" s="140">
        <f>ROUND('[7]2027'!W54,2)</f>
        <v>52267.8</v>
      </c>
      <c r="X50" s="140">
        <f>ROUND('[7]2027'!X54,2)</f>
        <v>55000.06</v>
      </c>
      <c r="Y50" s="140">
        <f>ROUND('[7]2027'!Y54,2)</f>
        <v>56779.38</v>
      </c>
      <c r="Z50" s="140">
        <f>ROUND('[7]2027'!Z54,2)</f>
        <v>57356.63</v>
      </c>
      <c r="AA50" s="140">
        <f>ROUND('[7]2027'!AA54,2)</f>
        <v>54384.160000000003</v>
      </c>
      <c r="AB50" s="140">
        <f>ROUND('[7]2027'!AB54,2)</f>
        <v>49852.07</v>
      </c>
      <c r="AC50" s="267"/>
      <c r="AD50" s="19"/>
    </row>
    <row r="51" spans="2:31" ht="18.649999999999999" customHeight="1" x14ac:dyDescent="0.35">
      <c r="B51" s="260">
        <v>46692</v>
      </c>
      <c r="C51" s="14" t="s">
        <v>29</v>
      </c>
      <c r="D51" s="121">
        <f>+'[7]2027'!D55</f>
        <v>20</v>
      </c>
      <c r="E51" s="207">
        <f>ROUND('[7]2027'!E55,2)</f>
        <v>33323.14</v>
      </c>
      <c r="F51" s="207">
        <f>ROUND('[7]2027'!F55,2)</f>
        <v>30217.77</v>
      </c>
      <c r="G51" s="207">
        <f>ROUND('[7]2027'!G55,2)</f>
        <v>27486.43</v>
      </c>
      <c r="H51" s="207">
        <f>ROUND('[7]2027'!H55,2)</f>
        <v>25497.93</v>
      </c>
      <c r="I51" s="207">
        <f>ROUND('[7]2027'!I55,2)</f>
        <v>23777.360000000001</v>
      </c>
      <c r="J51" s="207">
        <f>ROUND('[7]2027'!J55,2)</f>
        <v>17454.509999999998</v>
      </c>
      <c r="K51" s="207">
        <f>ROUND('[7]2027'!K55,2)</f>
        <v>12299.23</v>
      </c>
      <c r="L51" s="207">
        <f>ROUND('[7]2027'!L55,2)</f>
        <v>10484.620000000001</v>
      </c>
      <c r="M51" s="207">
        <f>ROUND('[7]2027'!M55,2)</f>
        <v>10906.77</v>
      </c>
      <c r="N51" s="207">
        <f>ROUND('[7]2027'!N55,2)</f>
        <v>13698.61</v>
      </c>
      <c r="O51" s="207">
        <f>ROUND('[7]2027'!O55,2)</f>
        <v>13392.84</v>
      </c>
      <c r="P51" s="207">
        <f>ROUND('[7]2027'!P55,2)</f>
        <v>12337.5</v>
      </c>
      <c r="Q51" s="207">
        <f>ROUND('[7]2027'!Q55,2)</f>
        <v>16696.86</v>
      </c>
      <c r="R51" s="207">
        <f>ROUND('[7]2027'!R55,2)</f>
        <v>9307.91</v>
      </c>
      <c r="S51" s="207">
        <f>ROUND('[7]2027'!S55,2)</f>
        <v>1388.12</v>
      </c>
      <c r="T51" s="207">
        <f>ROUND('[7]2027'!T55,2)</f>
        <v>2508.87</v>
      </c>
      <c r="U51" s="207">
        <f>ROUND('[7]2027'!U55,2)</f>
        <v>8660.2800000000007</v>
      </c>
      <c r="V51" s="207">
        <f>ROUND('[7]2027'!V55,2)</f>
        <v>48454.74</v>
      </c>
      <c r="W51" s="207">
        <f>ROUND('[7]2027'!W55,2)</f>
        <v>61411.4</v>
      </c>
      <c r="X51" s="207">
        <f>ROUND('[7]2027'!X55,2)</f>
        <v>61836.37</v>
      </c>
      <c r="Y51" s="207">
        <f>ROUND('[7]2027'!Y55,2)</f>
        <v>61287.64</v>
      </c>
      <c r="Z51" s="207">
        <f>ROUND('[7]2027'!Z55,2)</f>
        <v>61507.34</v>
      </c>
      <c r="AA51" s="207">
        <f>ROUND('[7]2027'!AA55,2)</f>
        <v>63465.84</v>
      </c>
      <c r="AB51" s="207">
        <f>ROUND('[7]2027'!AB55,2)</f>
        <v>63191.44</v>
      </c>
      <c r="AC51" s="262">
        <f>SUM(E51:AB51)*D51+SUM(E52:AB52)*D52+SUM(E53:AB53)*D53+SUM(E54:AB54)*D54</f>
        <v>23033067.219999999</v>
      </c>
      <c r="AD51" s="19"/>
    </row>
    <row r="52" spans="2:31" ht="18.649999999999999" customHeight="1" x14ac:dyDescent="0.35">
      <c r="B52" s="261"/>
      <c r="C52" s="10" t="s">
        <v>30</v>
      </c>
      <c r="D52" s="118">
        <f>+'[7]2027'!D56</f>
        <v>4</v>
      </c>
      <c r="E52" s="205">
        <f>ROUND('[7]2027'!E56,2)</f>
        <v>49756.45</v>
      </c>
      <c r="F52" s="205">
        <f>ROUND('[7]2027'!F56,2)</f>
        <v>46141.75</v>
      </c>
      <c r="G52" s="205">
        <f>ROUND('[7]2027'!G56,2)</f>
        <v>42565.97</v>
      </c>
      <c r="H52" s="205">
        <f>ROUND('[7]2027'!H56,2)</f>
        <v>39912.14</v>
      </c>
      <c r="I52" s="205">
        <f>ROUND('[7]2027'!I56,2)</f>
        <v>37591.78</v>
      </c>
      <c r="J52" s="205">
        <f>ROUND('[7]2027'!J56,2)</f>
        <v>34751.379999999997</v>
      </c>
      <c r="K52" s="205">
        <f>ROUND('[7]2027'!K56,2)</f>
        <v>31387.5</v>
      </c>
      <c r="L52" s="205">
        <f>ROUND('[7]2027'!L56,2)</f>
        <v>29557.3</v>
      </c>
      <c r="M52" s="205">
        <f>ROUND('[7]2027'!M56,2)</f>
        <v>28195.43</v>
      </c>
      <c r="N52" s="205">
        <f>ROUND('[7]2027'!N56,2)</f>
        <v>27629.52</v>
      </c>
      <c r="O52" s="205">
        <f>ROUND('[7]2027'!O56,2)</f>
        <v>28728.62</v>
      </c>
      <c r="P52" s="205">
        <f>ROUND('[7]2027'!P56,2)</f>
        <v>32207.3</v>
      </c>
      <c r="Q52" s="205">
        <f>ROUND('[7]2027'!Q56,2)</f>
        <v>31815.919999999998</v>
      </c>
      <c r="R52" s="205">
        <f>ROUND('[7]2027'!R56,2)</f>
        <v>39452.199999999997</v>
      </c>
      <c r="S52" s="205">
        <f>ROUND('[7]2027'!S56,2)</f>
        <v>49475.32</v>
      </c>
      <c r="T52" s="205">
        <f>ROUND('[7]2027'!T56,2)</f>
        <v>54088.43</v>
      </c>
      <c r="U52" s="205">
        <f>ROUND('[7]2027'!U56,2)</f>
        <v>58659.199999999997</v>
      </c>
      <c r="V52" s="205">
        <f>ROUND('[7]2027'!V56,2)</f>
        <v>85124.93</v>
      </c>
      <c r="W52" s="205">
        <f>ROUND('[7]2027'!W56,2)</f>
        <v>92163.06</v>
      </c>
      <c r="X52" s="205">
        <f>ROUND('[7]2027'!X56,2)</f>
        <v>91471.1</v>
      </c>
      <c r="Y52" s="205">
        <f>ROUND('[7]2027'!Y56,2)</f>
        <v>91251.02</v>
      </c>
      <c r="Z52" s="205">
        <f>ROUND('[7]2027'!Z56,2)</f>
        <v>89831.41</v>
      </c>
      <c r="AA52" s="205">
        <f>ROUND('[7]2027'!AA56,2)</f>
        <v>86924.800000000003</v>
      </c>
      <c r="AB52" s="205">
        <f>ROUND('[7]2027'!AB56,2)</f>
        <v>81582.66</v>
      </c>
      <c r="AC52" s="262"/>
      <c r="AD52" s="19"/>
    </row>
    <row r="53" spans="2:31" ht="18.649999999999999" customHeight="1" x14ac:dyDescent="0.35">
      <c r="B53" s="261"/>
      <c r="C53" s="10" t="s">
        <v>31</v>
      </c>
      <c r="D53" s="118">
        <f>+'[7]2027'!D57</f>
        <v>4</v>
      </c>
      <c r="E53" s="205">
        <f>ROUND('[7]2027'!E57,2)</f>
        <v>34748.06</v>
      </c>
      <c r="F53" s="205">
        <f>ROUND('[7]2027'!F57,2)</f>
        <v>31042.18</v>
      </c>
      <c r="G53" s="205">
        <f>ROUND('[7]2027'!G57,2)</f>
        <v>27772.89</v>
      </c>
      <c r="H53" s="205">
        <f>ROUND('[7]2027'!H57,2)</f>
        <v>24419.78</v>
      </c>
      <c r="I53" s="205">
        <f>ROUND('[7]2027'!I57,2)</f>
        <v>22632.49</v>
      </c>
      <c r="J53" s="205">
        <f>ROUND('[7]2027'!J57,2)</f>
        <v>20490.48</v>
      </c>
      <c r="K53" s="205">
        <f>ROUND('[7]2027'!K57,2)</f>
        <v>15930.39</v>
      </c>
      <c r="L53" s="205">
        <f>ROUND('[7]2027'!L57,2)</f>
        <v>11654.2</v>
      </c>
      <c r="M53" s="205">
        <f>ROUND('[7]2027'!M57,2)</f>
        <v>7148.26</v>
      </c>
      <c r="N53" s="205">
        <f>ROUND('[7]2027'!N57,2)</f>
        <v>3966.36</v>
      </c>
      <c r="O53" s="205">
        <f>ROUND('[7]2027'!O57,2)</f>
        <v>3517.17</v>
      </c>
      <c r="P53" s="205">
        <f>ROUND('[7]2027'!P57,2)</f>
        <v>4797.18</v>
      </c>
      <c r="Q53" s="205">
        <f>ROUND('[7]2027'!Q57,2)</f>
        <v>5116.09</v>
      </c>
      <c r="R53" s="205">
        <f>ROUND('[7]2027'!R57,2)</f>
        <v>9085.69</v>
      </c>
      <c r="S53" s="205">
        <f>ROUND('[7]2027'!S57,2)</f>
        <v>9652.98</v>
      </c>
      <c r="T53" s="205">
        <f>ROUND('[7]2027'!T57,2)</f>
        <v>13534.99</v>
      </c>
      <c r="U53" s="205">
        <f>ROUND('[7]2027'!U57,2)</f>
        <v>20370.28</v>
      </c>
      <c r="V53" s="205">
        <f>ROUND('[7]2027'!V57,2)</f>
        <v>58153.1</v>
      </c>
      <c r="W53" s="205">
        <f>ROUND('[7]2027'!W57,2)</f>
        <v>66284.37</v>
      </c>
      <c r="X53" s="205">
        <f>ROUND('[7]2027'!X57,2)</f>
        <v>66886.25</v>
      </c>
      <c r="Y53" s="205">
        <f>ROUND('[7]2027'!Y57,2)</f>
        <v>64045.89</v>
      </c>
      <c r="Z53" s="205">
        <f>ROUND('[7]2027'!Z57,2)</f>
        <v>58591.23</v>
      </c>
      <c r="AA53" s="205">
        <f>ROUND('[7]2027'!AA57,2)</f>
        <v>53713.97</v>
      </c>
      <c r="AB53" s="205">
        <f>ROUND('[7]2027'!AB57,2)</f>
        <v>49801.73</v>
      </c>
      <c r="AC53" s="262"/>
      <c r="AD53" s="19"/>
    </row>
    <row r="54" spans="2:31" ht="18.649999999999999" customHeight="1" thickBot="1" x14ac:dyDescent="0.4">
      <c r="B54" s="261"/>
      <c r="C54" s="16" t="s">
        <v>32</v>
      </c>
      <c r="D54" s="119">
        <f>+'[7]2027'!D58</f>
        <v>2</v>
      </c>
      <c r="E54" s="206">
        <f>ROUND('[7]2027'!E58,2)</f>
        <v>34748.06</v>
      </c>
      <c r="F54" s="206">
        <f>ROUND('[7]2027'!F58,2)</f>
        <v>31042.18</v>
      </c>
      <c r="G54" s="206">
        <f>ROUND('[7]2027'!G58,2)</f>
        <v>27772.89</v>
      </c>
      <c r="H54" s="206">
        <f>ROUND('[7]2027'!H58,2)</f>
        <v>24419.78</v>
      </c>
      <c r="I54" s="206">
        <f>ROUND('[7]2027'!I58,2)</f>
        <v>22632.49</v>
      </c>
      <c r="J54" s="206">
        <f>ROUND('[7]2027'!J58,2)</f>
        <v>20490.48</v>
      </c>
      <c r="K54" s="206">
        <f>ROUND('[7]2027'!K58,2)</f>
        <v>15930.39</v>
      </c>
      <c r="L54" s="206">
        <f>ROUND('[7]2027'!L58,2)</f>
        <v>11654.2</v>
      </c>
      <c r="M54" s="206">
        <f>ROUND('[7]2027'!M58,2)</f>
        <v>7148.26</v>
      </c>
      <c r="N54" s="206">
        <f>ROUND('[7]2027'!N58,2)</f>
        <v>3966.36</v>
      </c>
      <c r="O54" s="206">
        <f>ROUND('[7]2027'!O58,2)</f>
        <v>3517.17</v>
      </c>
      <c r="P54" s="206">
        <f>ROUND('[7]2027'!P58,2)</f>
        <v>4797.18</v>
      </c>
      <c r="Q54" s="206">
        <f>ROUND('[7]2027'!Q58,2)</f>
        <v>5116.09</v>
      </c>
      <c r="R54" s="206">
        <f>ROUND('[7]2027'!R58,2)</f>
        <v>9085.69</v>
      </c>
      <c r="S54" s="206">
        <f>ROUND('[7]2027'!S58,2)</f>
        <v>9652.98</v>
      </c>
      <c r="T54" s="206">
        <f>ROUND('[7]2027'!T58,2)</f>
        <v>13534.99</v>
      </c>
      <c r="U54" s="206">
        <f>ROUND('[7]2027'!U58,2)</f>
        <v>20370.28</v>
      </c>
      <c r="V54" s="206">
        <f>ROUND('[7]2027'!V58,2)</f>
        <v>58153.1</v>
      </c>
      <c r="W54" s="206">
        <f>ROUND('[7]2027'!W58,2)</f>
        <v>66284.37</v>
      </c>
      <c r="X54" s="206">
        <f>ROUND('[7]2027'!X58,2)</f>
        <v>66886.25</v>
      </c>
      <c r="Y54" s="206">
        <f>ROUND('[7]2027'!Y58,2)</f>
        <v>64045.89</v>
      </c>
      <c r="Z54" s="206">
        <f>ROUND('[7]2027'!Z58,2)</f>
        <v>58591.23</v>
      </c>
      <c r="AA54" s="206">
        <f>ROUND('[7]2027'!AA58,2)</f>
        <v>53713.97</v>
      </c>
      <c r="AB54" s="206">
        <f>ROUND('[7]2027'!AB58,2)</f>
        <v>49801.73</v>
      </c>
      <c r="AC54" s="262"/>
      <c r="AD54" s="19"/>
    </row>
    <row r="55" spans="2:31" ht="18.649999999999999" customHeight="1" x14ac:dyDescent="0.35">
      <c r="B55" s="263">
        <v>46722</v>
      </c>
      <c r="C55" s="7" t="s">
        <v>29</v>
      </c>
      <c r="D55" s="117">
        <f>+'[7]2027'!D59</f>
        <v>22</v>
      </c>
      <c r="E55" s="204">
        <f>ROUND('[7]2027'!E59,2)</f>
        <v>35855.300000000003</v>
      </c>
      <c r="F55" s="204">
        <f>ROUND('[7]2027'!F59,2)</f>
        <v>32857.379999999997</v>
      </c>
      <c r="G55" s="204">
        <f>ROUND('[7]2027'!G59,2)</f>
        <v>29361.84</v>
      </c>
      <c r="H55" s="204">
        <f>ROUND('[7]2027'!H59,2)</f>
        <v>26704.57</v>
      </c>
      <c r="I55" s="204">
        <f>ROUND('[7]2027'!I59,2)</f>
        <v>24607.63</v>
      </c>
      <c r="J55" s="204">
        <f>ROUND('[7]2027'!J59,2)</f>
        <v>20162.080000000002</v>
      </c>
      <c r="K55" s="204">
        <f>ROUND('[7]2027'!K59,2)</f>
        <v>15149.33</v>
      </c>
      <c r="L55" s="204">
        <f>ROUND('[7]2027'!L59,2)</f>
        <v>5000</v>
      </c>
      <c r="M55" s="204">
        <f>ROUND('[7]2027'!M59,2)</f>
        <v>5000</v>
      </c>
      <c r="N55" s="204">
        <f>ROUND('[7]2027'!N59,2)</f>
        <v>5000</v>
      </c>
      <c r="O55" s="204">
        <f>ROUND('[7]2027'!O59,2)</f>
        <v>5000</v>
      </c>
      <c r="P55" s="204">
        <f>ROUND('[7]2027'!P59,2)</f>
        <v>5000</v>
      </c>
      <c r="Q55" s="204">
        <f>ROUND('[7]2027'!Q59,2)</f>
        <v>5000</v>
      </c>
      <c r="R55" s="204">
        <f>ROUND('[7]2027'!R59,2)</f>
        <v>5000</v>
      </c>
      <c r="S55" s="204">
        <f>ROUND('[7]2027'!S59,2)</f>
        <v>5000</v>
      </c>
      <c r="T55" s="204">
        <f>ROUND('[7]2027'!T59,2)</f>
        <v>5000</v>
      </c>
      <c r="U55" s="204">
        <f>ROUND('[7]2027'!U59,2)</f>
        <v>0</v>
      </c>
      <c r="V55" s="204">
        <f>ROUND('[7]2027'!V59,2)</f>
        <v>41860.06</v>
      </c>
      <c r="W55" s="204">
        <f>ROUND('[7]2027'!W59,2)</f>
        <v>52621.38</v>
      </c>
      <c r="X55" s="204">
        <f>ROUND('[7]2027'!X59,2)</f>
        <v>51589.279999999999</v>
      </c>
      <c r="Y55" s="204">
        <f>ROUND('[7]2027'!Y59,2)</f>
        <v>49481.17</v>
      </c>
      <c r="Z55" s="204">
        <f>ROUND('[7]2027'!Z59,2)</f>
        <v>48134.29</v>
      </c>
      <c r="AA55" s="204">
        <f>ROUND('[7]2027'!AA59,2)</f>
        <v>51493.74</v>
      </c>
      <c r="AB55" s="204">
        <f>ROUND('[7]2027'!AB59,2)</f>
        <v>53585.03</v>
      </c>
      <c r="AC55" s="266">
        <f>SUM(E55:AB55)*D55+SUM(E56:AB56)*D56+SUM(E57:AB57)*D57+SUM(E58:AB58)*D58</f>
        <v>18451290.289999999</v>
      </c>
      <c r="AD55" s="19"/>
    </row>
    <row r="56" spans="2:31" ht="18.649999999999999" customHeight="1" x14ac:dyDescent="0.35">
      <c r="B56" s="264" t="s">
        <v>34</v>
      </c>
      <c r="C56" s="10" t="s">
        <v>30</v>
      </c>
      <c r="D56" s="118">
        <f>+'[7]2027'!D60</f>
        <v>3</v>
      </c>
      <c r="E56" s="205">
        <f>ROUND('[7]2027'!E60,2)</f>
        <v>27034.34</v>
      </c>
      <c r="F56" s="205">
        <f>ROUND('[7]2027'!F60,2)</f>
        <v>24847.56</v>
      </c>
      <c r="G56" s="205">
        <f>ROUND('[7]2027'!G60,2)</f>
        <v>22937.919999999998</v>
      </c>
      <c r="H56" s="205">
        <f>ROUND('[7]2027'!H60,2)</f>
        <v>21325.46</v>
      </c>
      <c r="I56" s="205">
        <f>ROUND('[7]2027'!I60,2)</f>
        <v>20822.21</v>
      </c>
      <c r="J56" s="205">
        <f>ROUND('[7]2027'!J60,2)</f>
        <v>20369.439999999999</v>
      </c>
      <c r="K56" s="205">
        <f>ROUND('[7]2027'!K60,2)</f>
        <v>22313.74</v>
      </c>
      <c r="L56" s="205">
        <f>ROUND('[7]2027'!L60,2)</f>
        <v>5000</v>
      </c>
      <c r="M56" s="205">
        <f>ROUND('[7]2027'!M60,2)</f>
        <v>5000</v>
      </c>
      <c r="N56" s="205">
        <f>ROUND('[7]2027'!N60,2)</f>
        <v>5000</v>
      </c>
      <c r="O56" s="205">
        <f>ROUND('[7]2027'!O60,2)</f>
        <v>5000</v>
      </c>
      <c r="P56" s="205">
        <f>ROUND('[7]2027'!P60,2)</f>
        <v>5000</v>
      </c>
      <c r="Q56" s="205">
        <f>ROUND('[7]2027'!Q60,2)</f>
        <v>5000</v>
      </c>
      <c r="R56" s="205">
        <f>ROUND('[7]2027'!R60,2)</f>
        <v>5000</v>
      </c>
      <c r="S56" s="205">
        <f>ROUND('[7]2027'!S60,2)</f>
        <v>5000</v>
      </c>
      <c r="T56" s="205">
        <f>ROUND('[7]2027'!T60,2)</f>
        <v>5000</v>
      </c>
      <c r="U56" s="205">
        <f>ROUND('[7]2027'!U60,2)</f>
        <v>41363.81</v>
      </c>
      <c r="V56" s="205">
        <f>ROUND('[7]2027'!V60,2)</f>
        <v>71927.27</v>
      </c>
      <c r="W56" s="205">
        <f>ROUND('[7]2027'!W60,2)</f>
        <v>67511.23</v>
      </c>
      <c r="X56" s="205">
        <f>ROUND('[7]2027'!X60,2)</f>
        <v>71042.17</v>
      </c>
      <c r="Y56" s="205">
        <f>ROUND('[7]2027'!Y60,2)</f>
        <v>72586.98</v>
      </c>
      <c r="Z56" s="205">
        <f>ROUND('[7]2027'!Z60,2)</f>
        <v>72210.679999999993</v>
      </c>
      <c r="AA56" s="205">
        <f>ROUND('[7]2027'!AA60,2)</f>
        <v>66661.47</v>
      </c>
      <c r="AB56" s="205">
        <f>ROUND('[7]2027'!AB60,2)</f>
        <v>59843.67</v>
      </c>
      <c r="AC56" s="262"/>
      <c r="AD56" s="19"/>
    </row>
    <row r="57" spans="2:31" ht="18.649999999999999" customHeight="1" x14ac:dyDescent="0.35">
      <c r="B57" s="264" t="s">
        <v>34</v>
      </c>
      <c r="C57" s="10" t="s">
        <v>31</v>
      </c>
      <c r="D57" s="118">
        <f>+'[7]2027'!D61</f>
        <v>4</v>
      </c>
      <c r="E57" s="205">
        <f>ROUND('[7]2027'!E61,2)</f>
        <v>27779.68</v>
      </c>
      <c r="F57" s="205">
        <f>ROUND('[7]2027'!F61,2)</f>
        <v>28801.05</v>
      </c>
      <c r="G57" s="205">
        <f>ROUND('[7]2027'!G61,2)</f>
        <v>28467.22</v>
      </c>
      <c r="H57" s="205">
        <f>ROUND('[7]2027'!H61,2)</f>
        <v>26554.84</v>
      </c>
      <c r="I57" s="205">
        <f>ROUND('[7]2027'!I61,2)</f>
        <v>24689.86</v>
      </c>
      <c r="J57" s="205">
        <f>ROUND('[7]2027'!J61,2)</f>
        <v>19837.77</v>
      </c>
      <c r="K57" s="205">
        <f>ROUND('[7]2027'!K61,2)</f>
        <v>12477.71</v>
      </c>
      <c r="L57" s="205">
        <f>ROUND('[7]2027'!L61,2)</f>
        <v>5000</v>
      </c>
      <c r="M57" s="205">
        <f>ROUND('[7]2027'!M61,2)</f>
        <v>5000</v>
      </c>
      <c r="N57" s="205">
        <f>ROUND('[7]2027'!N61,2)</f>
        <v>5000</v>
      </c>
      <c r="O57" s="205">
        <f>ROUND('[7]2027'!O61,2)</f>
        <v>5000</v>
      </c>
      <c r="P57" s="205">
        <f>ROUND('[7]2027'!P61,2)</f>
        <v>5000</v>
      </c>
      <c r="Q57" s="205">
        <f>ROUND('[7]2027'!Q61,2)</f>
        <v>5000</v>
      </c>
      <c r="R57" s="205">
        <f>ROUND('[7]2027'!R61,2)</f>
        <v>5000</v>
      </c>
      <c r="S57" s="205">
        <f>ROUND('[7]2027'!S61,2)</f>
        <v>5000</v>
      </c>
      <c r="T57" s="205">
        <f>ROUND('[7]2027'!T61,2)</f>
        <v>5000</v>
      </c>
      <c r="U57" s="205">
        <f>ROUND('[7]2027'!U61,2)</f>
        <v>5230.01</v>
      </c>
      <c r="V57" s="205">
        <f>ROUND('[7]2027'!V61,2)</f>
        <v>44182.27</v>
      </c>
      <c r="W57" s="205">
        <f>ROUND('[7]2027'!W61,2)</f>
        <v>51362.41</v>
      </c>
      <c r="X57" s="205">
        <f>ROUND('[7]2027'!X61,2)</f>
        <v>52773.29</v>
      </c>
      <c r="Y57" s="205">
        <f>ROUND('[7]2027'!Y61,2)</f>
        <v>54655.12</v>
      </c>
      <c r="Z57" s="205">
        <f>ROUND('[7]2027'!Z61,2)</f>
        <v>56812.66</v>
      </c>
      <c r="AA57" s="205">
        <f>ROUND('[7]2027'!AA61,2)</f>
        <v>56461.919999999998</v>
      </c>
      <c r="AB57" s="205">
        <f>ROUND('[7]2027'!AB61,2)</f>
        <v>55198.97</v>
      </c>
      <c r="AC57" s="262"/>
      <c r="AD57" s="19"/>
    </row>
    <row r="58" spans="2:31" ht="18.649999999999999" customHeight="1" thickBot="1" x14ac:dyDescent="0.4">
      <c r="B58" s="265" t="s">
        <v>34</v>
      </c>
      <c r="C58" s="12" t="s">
        <v>32</v>
      </c>
      <c r="D58" s="120">
        <f>+'[7]2027'!D62</f>
        <v>2</v>
      </c>
      <c r="E58" s="140">
        <f>ROUND('[7]2027'!E62,2)</f>
        <v>27779.68</v>
      </c>
      <c r="F58" s="140">
        <f>ROUND('[7]2027'!F62,2)</f>
        <v>28801.05</v>
      </c>
      <c r="G58" s="140">
        <f>ROUND('[7]2027'!G62,2)</f>
        <v>28467.22</v>
      </c>
      <c r="H58" s="140">
        <f>ROUND('[7]2027'!H62,2)</f>
        <v>26554.84</v>
      </c>
      <c r="I58" s="140">
        <f>ROUND('[7]2027'!I62,2)</f>
        <v>24689.86</v>
      </c>
      <c r="J58" s="140">
        <f>ROUND('[7]2027'!J62,2)</f>
        <v>19837.77</v>
      </c>
      <c r="K58" s="140">
        <f>ROUND('[7]2027'!K62,2)</f>
        <v>12477.71</v>
      </c>
      <c r="L58" s="140">
        <f>ROUND('[7]2027'!L62,2)</f>
        <v>5000</v>
      </c>
      <c r="M58" s="140">
        <f>ROUND('[7]2027'!M62,2)</f>
        <v>5000</v>
      </c>
      <c r="N58" s="140">
        <f>ROUND('[7]2027'!N62,2)</f>
        <v>5000</v>
      </c>
      <c r="O58" s="140">
        <f>ROUND('[7]2027'!O62,2)</f>
        <v>5000</v>
      </c>
      <c r="P58" s="140">
        <f>ROUND('[7]2027'!P62,2)</f>
        <v>5000</v>
      </c>
      <c r="Q58" s="140">
        <f>ROUND('[7]2027'!Q62,2)</f>
        <v>5000</v>
      </c>
      <c r="R58" s="140">
        <f>ROUND('[7]2027'!R62,2)</f>
        <v>5000</v>
      </c>
      <c r="S58" s="140">
        <f>ROUND('[7]2027'!S62,2)</f>
        <v>5000</v>
      </c>
      <c r="T58" s="140">
        <f>ROUND('[7]2027'!T62,2)</f>
        <v>5000</v>
      </c>
      <c r="U58" s="140">
        <f>ROUND('[7]2027'!U62,2)</f>
        <v>5230.01</v>
      </c>
      <c r="V58" s="140">
        <f>ROUND('[7]2027'!V62,2)</f>
        <v>44182.27</v>
      </c>
      <c r="W58" s="140">
        <f>ROUND('[7]2027'!W62,2)</f>
        <v>51362.41</v>
      </c>
      <c r="X58" s="140">
        <f>ROUND('[7]2027'!X62,2)</f>
        <v>52773.29</v>
      </c>
      <c r="Y58" s="140">
        <f>ROUND('[7]2027'!Y62,2)</f>
        <v>54655.12</v>
      </c>
      <c r="Z58" s="140">
        <f>ROUND('[7]2027'!Z62,2)</f>
        <v>56812.66</v>
      </c>
      <c r="AA58" s="140">
        <f>ROUND('[7]2027'!AA62,2)</f>
        <v>56461.919999999998</v>
      </c>
      <c r="AB58" s="140">
        <f>ROUND('[7]2027'!AB62,2)</f>
        <v>55198.97</v>
      </c>
      <c r="AC58" s="267"/>
      <c r="AD58" s="19"/>
    </row>
    <row r="59" spans="2:31" ht="18.649999999999999" customHeight="1" thickBot="1" x14ac:dyDescent="0.4"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279" t="s">
        <v>33</v>
      </c>
      <c r="AA59" s="280"/>
      <c r="AB59" s="281"/>
      <c r="AC59" s="195">
        <f>SUM(AC11:AC58)</f>
        <v>226855044.84999996</v>
      </c>
      <c r="AE59" s="19"/>
    </row>
  </sheetData>
  <mergeCells count="30">
    <mergeCell ref="B11:B14"/>
    <mergeCell ref="AC11:AC14"/>
    <mergeCell ref="B4:AC4"/>
    <mergeCell ref="B5:AC5"/>
    <mergeCell ref="B6:AC6"/>
    <mergeCell ref="B7:AC7"/>
    <mergeCell ref="B8:AC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</mergeCells>
  <phoneticPr fontId="23" type="noConversion"/>
  <conditionalFormatting sqref="E11:AB58">
    <cfRule type="cellIs" dxfId="13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2746-26E5-4805-9149-754ACC135FBA}">
  <sheetPr>
    <tabColor theme="3" tint="0.39997558519241921"/>
  </sheetPr>
  <dimension ref="B2:AX59"/>
  <sheetViews>
    <sheetView showGridLines="0" zoomScale="80" zoomScaleNormal="80" workbookViewId="0">
      <pane xSplit="4" ySplit="10" topLeftCell="G45" activePane="bottomRight" state="frozen"/>
      <selection activeCell="B27" sqref="B27"/>
      <selection pane="topRight" activeCell="B27" sqref="B27"/>
      <selection pane="bottomLeft" activeCell="B27" sqref="B27"/>
      <selection pane="bottomRight" activeCell="Q65" sqref="Q65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9.6328125" style="9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73" t="s">
        <v>139</v>
      </c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</row>
    <row r="5" spans="2:50" ht="28.5" customHeight="1" x14ac:dyDescent="0.35">
      <c r="B5" s="275" t="s">
        <v>0</v>
      </c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</row>
    <row r="6" spans="2:50" ht="18.649999999999999" customHeight="1" x14ac:dyDescent="0.35">
      <c r="B6" s="276" t="s">
        <v>132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</row>
    <row r="7" spans="2:50" ht="18.649999999999999" customHeight="1" x14ac:dyDescent="0.35">
      <c r="B7" s="278" t="s">
        <v>1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</row>
    <row r="8" spans="2:50" ht="18.649999999999999" customHeight="1" x14ac:dyDescent="0.35"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60">
        <v>46753</v>
      </c>
      <c r="C11" s="7" t="s">
        <v>29</v>
      </c>
      <c r="D11" s="117">
        <f>+'[7]2028'!D15</f>
        <v>20</v>
      </c>
      <c r="E11" s="112">
        <f>ROUND('[7]2028'!E15,2)</f>
        <v>14335.45</v>
      </c>
      <c r="F11" s="112">
        <f>ROUND('[7]2028'!F15,2)</f>
        <v>13558.5</v>
      </c>
      <c r="G11" s="112">
        <f>ROUND('[7]2028'!G15,2)</f>
        <v>12996.91</v>
      </c>
      <c r="H11" s="112">
        <f>ROUND('[7]2028'!H15,2)</f>
        <v>12604.26</v>
      </c>
      <c r="I11" s="112">
        <f>ROUND('[7]2028'!I15,2)</f>
        <v>12511.19</v>
      </c>
      <c r="J11" s="112">
        <f>ROUND('[7]2028'!J15,2)</f>
        <v>12816.61</v>
      </c>
      <c r="K11" s="112">
        <f>ROUND('[7]2028'!K15,2)</f>
        <v>12721.18</v>
      </c>
      <c r="L11" s="112">
        <f>ROUND('[7]2028'!L15,2)</f>
        <v>14225.45</v>
      </c>
      <c r="M11" s="112">
        <f>ROUND('[7]2028'!M15,2)</f>
        <v>15844.11</v>
      </c>
      <c r="N11" s="112">
        <f>ROUND('[7]2028'!N15,2)</f>
        <v>16781.47</v>
      </c>
      <c r="O11" s="112">
        <f>ROUND('[7]2028'!O15,2)</f>
        <v>17748.46</v>
      </c>
      <c r="P11" s="112">
        <f>ROUND('[7]2028'!P15,2)</f>
        <v>18436.150000000001</v>
      </c>
      <c r="Q11" s="112">
        <f>ROUND('[7]2028'!Q15,2)</f>
        <v>17923.87</v>
      </c>
      <c r="R11" s="112">
        <f>ROUND('[7]2028'!R15,2)</f>
        <v>18426.72</v>
      </c>
      <c r="S11" s="112">
        <f>ROUND('[7]2028'!S15,2)</f>
        <v>19265.34</v>
      </c>
      <c r="T11" s="112">
        <f>ROUND('[7]2028'!T15,2)</f>
        <v>19344.88</v>
      </c>
      <c r="U11" s="112">
        <f>ROUND('[7]2028'!U15,2)</f>
        <v>18944.439999999999</v>
      </c>
      <c r="V11" s="112">
        <f>ROUND('[7]2028'!V15,2)</f>
        <v>18183.150000000001</v>
      </c>
      <c r="W11" s="112">
        <f>ROUND('[7]2028'!W15,2)</f>
        <v>19262.54</v>
      </c>
      <c r="X11" s="112">
        <f>ROUND('[7]2028'!X15,2)</f>
        <v>19321.61</v>
      </c>
      <c r="Y11" s="112">
        <f>ROUND('[7]2028'!Y15,2)</f>
        <v>18864.97</v>
      </c>
      <c r="Z11" s="112">
        <f>ROUND('[7]2028'!Z15,2)</f>
        <v>18136.189999999999</v>
      </c>
      <c r="AA11" s="112">
        <f>ROUND('[7]2028'!AA15,2)</f>
        <v>16934.54</v>
      </c>
      <c r="AB11" s="112">
        <f>ROUND('[7]2028'!AB15,2)</f>
        <v>15585.32</v>
      </c>
      <c r="AC11" s="266">
        <f>SUM(E11:AB11)*D11+SUM(E12:AB12)*D12+SUM(E13:AB13)*D13+SUM(E14:AB14)*D14</f>
        <v>11889624.450000001</v>
      </c>
      <c r="AD11" s="19"/>
      <c r="AE11" s="111">
        <f>+AC11</f>
        <v>11889624.450000001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61"/>
      <c r="C12" s="10" t="s">
        <v>30</v>
      </c>
      <c r="D12" s="118">
        <f>+'[7]2028'!D16</f>
        <v>4</v>
      </c>
      <c r="E12" s="113">
        <f>ROUND('[7]2028'!E16,2)</f>
        <v>14443.47</v>
      </c>
      <c r="F12" s="113">
        <f>ROUND('[7]2028'!F16,2)</f>
        <v>13676.58</v>
      </c>
      <c r="G12" s="113">
        <f>ROUND('[7]2028'!G16,2)</f>
        <v>13108.41</v>
      </c>
      <c r="H12" s="113">
        <f>ROUND('[7]2028'!H16,2)</f>
        <v>12660.14</v>
      </c>
      <c r="I12" s="113">
        <f>ROUND('[7]2028'!I16,2)</f>
        <v>12542.61</v>
      </c>
      <c r="J12" s="113">
        <f>ROUND('[7]2028'!J16,2)</f>
        <v>12597.62</v>
      </c>
      <c r="K12" s="113">
        <f>ROUND('[7]2028'!K16,2)</f>
        <v>12272.08</v>
      </c>
      <c r="L12" s="113">
        <f>ROUND('[7]2028'!L16,2)</f>
        <v>13440.17</v>
      </c>
      <c r="M12" s="113">
        <f>ROUND('[7]2028'!M16,2)</f>
        <v>14982.92</v>
      </c>
      <c r="N12" s="113">
        <f>ROUND('[7]2028'!N16,2)</f>
        <v>16003.89</v>
      </c>
      <c r="O12" s="113">
        <f>ROUND('[7]2028'!O16,2)</f>
        <v>16844.509999999998</v>
      </c>
      <c r="P12" s="113">
        <f>ROUND('[7]2028'!P16,2)</f>
        <v>17371.419999999998</v>
      </c>
      <c r="Q12" s="113">
        <f>ROUND('[7]2028'!Q16,2)</f>
        <v>17125.2</v>
      </c>
      <c r="R12" s="113">
        <f>ROUND('[7]2028'!R16,2)</f>
        <v>16952.560000000001</v>
      </c>
      <c r="S12" s="113">
        <f>ROUND('[7]2028'!S16,2)</f>
        <v>17049.13</v>
      </c>
      <c r="T12" s="113">
        <f>ROUND('[7]2028'!T16,2)</f>
        <v>17043.7</v>
      </c>
      <c r="U12" s="113">
        <f>ROUND('[7]2028'!U16,2)</f>
        <v>16792.189999999999</v>
      </c>
      <c r="V12" s="113">
        <f>ROUND('[7]2028'!V16,2)</f>
        <v>16663.759999999998</v>
      </c>
      <c r="W12" s="113">
        <f>ROUND('[7]2028'!W16,2)</f>
        <v>18376.45</v>
      </c>
      <c r="X12" s="113">
        <f>ROUND('[7]2028'!X16,2)</f>
        <v>18560.439999999999</v>
      </c>
      <c r="Y12" s="113">
        <f>ROUND('[7]2028'!Y16,2)</f>
        <v>18047.439999999999</v>
      </c>
      <c r="Z12" s="113">
        <f>ROUND('[7]2028'!Z16,2)</f>
        <v>17408.560000000001</v>
      </c>
      <c r="AA12" s="113">
        <f>ROUND('[7]2028'!AA16,2)</f>
        <v>16540.87</v>
      </c>
      <c r="AB12" s="113">
        <f>ROUND('[7]2028'!AB16,2)</f>
        <v>15527.63</v>
      </c>
      <c r="AC12" s="262"/>
      <c r="AD12" s="19"/>
      <c r="AE12" s="111">
        <f>+AC15</f>
        <v>11132863.52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61"/>
      <c r="C13" s="10" t="s">
        <v>31</v>
      </c>
      <c r="D13" s="118">
        <f>+'[7]2028'!D17</f>
        <v>5</v>
      </c>
      <c r="E13" s="113">
        <f>ROUND('[7]2028'!E17,2)</f>
        <v>14604.42</v>
      </c>
      <c r="F13" s="113">
        <f>ROUND('[7]2028'!F17,2)</f>
        <v>13864.89</v>
      </c>
      <c r="G13" s="113">
        <f>ROUND('[7]2028'!G17,2)</f>
        <v>13265.13</v>
      </c>
      <c r="H13" s="113">
        <f>ROUND('[7]2028'!H17,2)</f>
        <v>12785.79</v>
      </c>
      <c r="I13" s="113">
        <f>ROUND('[7]2028'!I17,2)</f>
        <v>12542.12</v>
      </c>
      <c r="J13" s="113">
        <f>ROUND('[7]2028'!J17,2)</f>
        <v>12421.95</v>
      </c>
      <c r="K13" s="113">
        <f>ROUND('[7]2028'!K17,2)</f>
        <v>11781.38</v>
      </c>
      <c r="L13" s="113">
        <f>ROUND('[7]2028'!L17,2)</f>
        <v>12307.9</v>
      </c>
      <c r="M13" s="113">
        <f>ROUND('[7]2028'!M17,2)</f>
        <v>13187.38</v>
      </c>
      <c r="N13" s="113">
        <f>ROUND('[7]2028'!N17,2)</f>
        <v>14083.59</v>
      </c>
      <c r="O13" s="113">
        <f>ROUND('[7]2028'!O17,2)</f>
        <v>14634.77</v>
      </c>
      <c r="P13" s="113">
        <f>ROUND('[7]2028'!P17,2)</f>
        <v>15125.57</v>
      </c>
      <c r="Q13" s="113">
        <f>ROUND('[7]2028'!Q17,2)</f>
        <v>15417.8</v>
      </c>
      <c r="R13" s="113">
        <f>ROUND('[7]2028'!R17,2)</f>
        <v>15483.67</v>
      </c>
      <c r="S13" s="113">
        <f>ROUND('[7]2028'!S17,2)</f>
        <v>15526.61</v>
      </c>
      <c r="T13" s="113">
        <f>ROUND('[7]2028'!T17,2)</f>
        <v>15552.42</v>
      </c>
      <c r="U13" s="113">
        <f>ROUND('[7]2028'!U17,2)</f>
        <v>15461.36</v>
      </c>
      <c r="V13" s="113">
        <f>ROUND('[7]2028'!V17,2)</f>
        <v>15477.14</v>
      </c>
      <c r="W13" s="113">
        <f>ROUND('[7]2028'!W17,2)</f>
        <v>17351.64</v>
      </c>
      <c r="X13" s="113">
        <f>ROUND('[7]2028'!X17,2)</f>
        <v>17918.3</v>
      </c>
      <c r="Y13" s="113">
        <f>ROUND('[7]2028'!Y17,2)</f>
        <v>17853.259999999998</v>
      </c>
      <c r="Z13" s="113">
        <f>ROUND('[7]2028'!Z17,2)</f>
        <v>17359.95</v>
      </c>
      <c r="AA13" s="113">
        <f>ROUND('[7]2028'!AA17,2)</f>
        <v>16426.72</v>
      </c>
      <c r="AB13" s="113">
        <f>ROUND('[7]2028'!AB17,2)</f>
        <v>15284.99</v>
      </c>
      <c r="AC13" s="262"/>
      <c r="AD13" s="19"/>
      <c r="AE13" s="111">
        <f>+AC19</f>
        <v>12232067.659999998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61"/>
      <c r="C14" s="16" t="s">
        <v>32</v>
      </c>
      <c r="D14" s="119">
        <f>+'[7]2028'!D18</f>
        <v>2</v>
      </c>
      <c r="E14" s="114">
        <f>ROUND('[7]2028'!E18,2)</f>
        <v>14604.42</v>
      </c>
      <c r="F14" s="114">
        <f>ROUND('[7]2028'!F18,2)</f>
        <v>13864.89</v>
      </c>
      <c r="G14" s="114">
        <f>ROUND('[7]2028'!G18,2)</f>
        <v>13265.13</v>
      </c>
      <c r="H14" s="114">
        <f>ROUND('[7]2028'!H18,2)</f>
        <v>12785.79</v>
      </c>
      <c r="I14" s="114">
        <f>ROUND('[7]2028'!I18,2)</f>
        <v>12542.12</v>
      </c>
      <c r="J14" s="114">
        <f>ROUND('[7]2028'!J18,2)</f>
        <v>12421.95</v>
      </c>
      <c r="K14" s="114">
        <f>ROUND('[7]2028'!K18,2)</f>
        <v>11781.38</v>
      </c>
      <c r="L14" s="114">
        <f>ROUND('[7]2028'!L18,2)</f>
        <v>12307.9</v>
      </c>
      <c r="M14" s="114">
        <f>ROUND('[7]2028'!M18,2)</f>
        <v>13187.38</v>
      </c>
      <c r="N14" s="114">
        <f>ROUND('[7]2028'!N18,2)</f>
        <v>14083.59</v>
      </c>
      <c r="O14" s="114">
        <f>ROUND('[7]2028'!O18,2)</f>
        <v>14634.77</v>
      </c>
      <c r="P14" s="114">
        <f>ROUND('[7]2028'!P18,2)</f>
        <v>15125.57</v>
      </c>
      <c r="Q14" s="114">
        <f>ROUND('[7]2028'!Q18,2)</f>
        <v>15417.8</v>
      </c>
      <c r="R14" s="114">
        <f>ROUND('[7]2028'!R18,2)</f>
        <v>15483.67</v>
      </c>
      <c r="S14" s="114">
        <f>ROUND('[7]2028'!S18,2)</f>
        <v>15526.61</v>
      </c>
      <c r="T14" s="114">
        <f>ROUND('[7]2028'!T18,2)</f>
        <v>15552.42</v>
      </c>
      <c r="U14" s="114">
        <f>ROUND('[7]2028'!U18,2)</f>
        <v>15461.36</v>
      </c>
      <c r="V14" s="114">
        <f>ROUND('[7]2028'!V18,2)</f>
        <v>15477.14</v>
      </c>
      <c r="W14" s="114">
        <f>ROUND('[7]2028'!W18,2)</f>
        <v>17351.64</v>
      </c>
      <c r="X14" s="114">
        <f>ROUND('[7]2028'!X18,2)</f>
        <v>17918.3</v>
      </c>
      <c r="Y14" s="114">
        <f>ROUND('[7]2028'!Y18,2)</f>
        <v>17853.259999999998</v>
      </c>
      <c r="Z14" s="114">
        <f>ROUND('[7]2028'!Z18,2)</f>
        <v>17359.95</v>
      </c>
      <c r="AA14" s="114">
        <f>ROUND('[7]2028'!AA18,2)</f>
        <v>16426.72</v>
      </c>
      <c r="AB14" s="114">
        <f>ROUND('[7]2028'!AB18,2)</f>
        <v>15284.99</v>
      </c>
      <c r="AC14" s="262"/>
      <c r="AD14" s="19"/>
      <c r="AE14" s="111">
        <f>+AC23</f>
        <v>11558910.18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63">
        <v>46784</v>
      </c>
      <c r="C15" s="7" t="s">
        <v>29</v>
      </c>
      <c r="D15" s="117">
        <f>+'[7]2028'!D19</f>
        <v>21</v>
      </c>
      <c r="E15" s="112">
        <f>ROUND('[7]2028'!E19,2)</f>
        <v>14184.04</v>
      </c>
      <c r="F15" s="112">
        <f>ROUND('[7]2028'!F19,2)</f>
        <v>13435.56</v>
      </c>
      <c r="G15" s="112">
        <f>ROUND('[7]2028'!G19,2)</f>
        <v>12900.93</v>
      </c>
      <c r="H15" s="112">
        <f>ROUND('[7]2028'!H19,2)</f>
        <v>12550.96</v>
      </c>
      <c r="I15" s="112">
        <f>ROUND('[7]2028'!I19,2)</f>
        <v>12576.66</v>
      </c>
      <c r="J15" s="112">
        <f>ROUND('[7]2028'!J19,2)</f>
        <v>13275.2</v>
      </c>
      <c r="K15" s="112">
        <f>ROUND('[7]2028'!K19,2)</f>
        <v>13239.73</v>
      </c>
      <c r="L15" s="112">
        <f>ROUND('[7]2028'!L19,2)</f>
        <v>14606.55</v>
      </c>
      <c r="M15" s="112">
        <f>ROUND('[7]2028'!M19,2)</f>
        <v>15984.78</v>
      </c>
      <c r="N15" s="112">
        <f>ROUND('[7]2028'!N19,2)</f>
        <v>16661.57</v>
      </c>
      <c r="O15" s="112">
        <f>ROUND('[7]2028'!O19,2)</f>
        <v>17470.14</v>
      </c>
      <c r="P15" s="112">
        <f>ROUND('[7]2028'!P19,2)</f>
        <v>18012.61</v>
      </c>
      <c r="Q15" s="112">
        <f>ROUND('[7]2028'!Q19,2)</f>
        <v>17334.689999999999</v>
      </c>
      <c r="R15" s="112">
        <f>ROUND('[7]2028'!R19,2)</f>
        <v>17952.919999999998</v>
      </c>
      <c r="S15" s="112">
        <f>ROUND('[7]2028'!S19,2)</f>
        <v>18861.560000000001</v>
      </c>
      <c r="T15" s="112">
        <f>ROUND('[7]2028'!T19,2)</f>
        <v>18978.330000000002</v>
      </c>
      <c r="U15" s="112">
        <f>ROUND('[7]2028'!U19,2)</f>
        <v>18645.95</v>
      </c>
      <c r="V15" s="112">
        <f>ROUND('[7]2028'!V19,2)</f>
        <v>17851.88</v>
      </c>
      <c r="W15" s="112">
        <f>ROUND('[7]2028'!W19,2)</f>
        <v>18800.75</v>
      </c>
      <c r="X15" s="112">
        <f>ROUND('[7]2028'!X19,2)</f>
        <v>19105.04</v>
      </c>
      <c r="Y15" s="112">
        <f>ROUND('[7]2028'!Y19,2)</f>
        <v>18726.75</v>
      </c>
      <c r="Z15" s="112">
        <f>ROUND('[7]2028'!Z19,2)</f>
        <v>17911.240000000002</v>
      </c>
      <c r="AA15" s="112">
        <f>ROUND('[7]2028'!AA19,2)</f>
        <v>16582.07</v>
      </c>
      <c r="AB15" s="112">
        <f>ROUND('[7]2028'!AB19,2)</f>
        <v>15245.45</v>
      </c>
      <c r="AC15" s="266">
        <f>SUM(E15:AB15)*D15+SUM(E16:AB16)*D16+SUM(E17:AB17)*D17+SUM(E18:AB18)*D18</f>
        <v>11132863.52</v>
      </c>
      <c r="AD15" s="19"/>
      <c r="AE15" s="111">
        <f>+AC27</f>
        <v>11676150.889999997</v>
      </c>
    </row>
    <row r="16" spans="2:50" ht="18.649999999999999" customHeight="1" x14ac:dyDescent="0.35">
      <c r="B16" s="264" t="s">
        <v>34</v>
      </c>
      <c r="C16" s="10" t="s">
        <v>30</v>
      </c>
      <c r="D16" s="118">
        <f>+'[7]2028'!D20</f>
        <v>4</v>
      </c>
      <c r="E16" s="113">
        <f>ROUND('[7]2028'!E20,2)</f>
        <v>14229.27</v>
      </c>
      <c r="F16" s="113">
        <f>ROUND('[7]2028'!F20,2)</f>
        <v>13536.42</v>
      </c>
      <c r="G16" s="113">
        <f>ROUND('[7]2028'!G20,2)</f>
        <v>12934.24</v>
      </c>
      <c r="H16" s="113">
        <f>ROUND('[7]2028'!H20,2)</f>
        <v>12525.77</v>
      </c>
      <c r="I16" s="113">
        <f>ROUND('[7]2028'!I20,2)</f>
        <v>12369.81</v>
      </c>
      <c r="J16" s="113">
        <f>ROUND('[7]2028'!J20,2)</f>
        <v>12493.59</v>
      </c>
      <c r="K16" s="113">
        <f>ROUND('[7]2028'!K20,2)</f>
        <v>12367.64</v>
      </c>
      <c r="L16" s="113">
        <f>ROUND('[7]2028'!L20,2)</f>
        <v>13596.72</v>
      </c>
      <c r="M16" s="113">
        <f>ROUND('[7]2028'!M20,2)</f>
        <v>15074.51</v>
      </c>
      <c r="N16" s="113">
        <f>ROUND('[7]2028'!N20,2)</f>
        <v>16002.68</v>
      </c>
      <c r="O16" s="113">
        <f>ROUND('[7]2028'!O20,2)</f>
        <v>16761.580000000002</v>
      </c>
      <c r="P16" s="113">
        <f>ROUND('[7]2028'!P20,2)</f>
        <v>17264.23</v>
      </c>
      <c r="Q16" s="113">
        <f>ROUND('[7]2028'!Q20,2)</f>
        <v>16963.09</v>
      </c>
      <c r="R16" s="113">
        <f>ROUND('[7]2028'!R20,2)</f>
        <v>16765.18</v>
      </c>
      <c r="S16" s="113">
        <f>ROUND('[7]2028'!S20,2)</f>
        <v>16853.21</v>
      </c>
      <c r="T16" s="113">
        <f>ROUND('[7]2028'!T20,2)</f>
        <v>16851.099999999999</v>
      </c>
      <c r="U16" s="113">
        <f>ROUND('[7]2028'!U20,2)</f>
        <v>16595.27</v>
      </c>
      <c r="V16" s="113">
        <f>ROUND('[7]2028'!V20,2)</f>
        <v>16479.669999999998</v>
      </c>
      <c r="W16" s="113">
        <f>ROUND('[7]2028'!W20,2)</f>
        <v>18051.060000000001</v>
      </c>
      <c r="X16" s="113">
        <f>ROUND('[7]2028'!X20,2)</f>
        <v>18417.900000000001</v>
      </c>
      <c r="Y16" s="113">
        <f>ROUND('[7]2028'!Y20,2)</f>
        <v>17939.32</v>
      </c>
      <c r="Z16" s="113">
        <f>ROUND('[7]2028'!Z20,2)</f>
        <v>17292.96</v>
      </c>
      <c r="AA16" s="113">
        <f>ROUND('[7]2028'!AA20,2)</f>
        <v>16414.47</v>
      </c>
      <c r="AB16" s="113">
        <f>ROUND('[7]2028'!AB20,2)</f>
        <v>15381.22</v>
      </c>
      <c r="AC16" s="262"/>
      <c r="AD16" s="19"/>
      <c r="AE16" s="111">
        <f>+AC31</f>
        <v>10874815.080000002</v>
      </c>
    </row>
    <row r="17" spans="2:31" ht="18.649999999999999" customHeight="1" x14ac:dyDescent="0.35">
      <c r="B17" s="264" t="s">
        <v>34</v>
      </c>
      <c r="C17" s="10" t="s">
        <v>31</v>
      </c>
      <c r="D17" s="118">
        <f>+'[7]2028'!D21</f>
        <v>4</v>
      </c>
      <c r="E17" s="113">
        <f>ROUND('[7]2028'!E21,2)</f>
        <v>14450.46</v>
      </c>
      <c r="F17" s="113">
        <f>ROUND('[7]2028'!F21,2)</f>
        <v>13710.59</v>
      </c>
      <c r="G17" s="113">
        <f>ROUND('[7]2028'!G21,2)</f>
        <v>13138.23</v>
      </c>
      <c r="H17" s="113">
        <f>ROUND('[7]2028'!H21,2)</f>
        <v>12718.36</v>
      </c>
      <c r="I17" s="113">
        <f>ROUND('[7]2028'!I21,2)</f>
        <v>12452.44</v>
      </c>
      <c r="J17" s="113">
        <f>ROUND('[7]2028'!J21,2)</f>
        <v>12396.59</v>
      </c>
      <c r="K17" s="113">
        <f>ROUND('[7]2028'!K21,2)</f>
        <v>11850.28</v>
      </c>
      <c r="L17" s="113">
        <f>ROUND('[7]2028'!L21,2)</f>
        <v>12379.76</v>
      </c>
      <c r="M17" s="113">
        <f>ROUND('[7]2028'!M21,2)</f>
        <v>13246.74</v>
      </c>
      <c r="N17" s="113">
        <f>ROUND('[7]2028'!N21,2)</f>
        <v>14034.03</v>
      </c>
      <c r="O17" s="113">
        <f>ROUND('[7]2028'!O21,2)</f>
        <v>14608.19</v>
      </c>
      <c r="P17" s="113">
        <f>ROUND('[7]2028'!P21,2)</f>
        <v>15192.15</v>
      </c>
      <c r="Q17" s="113">
        <f>ROUND('[7]2028'!Q21,2)</f>
        <v>15527.07</v>
      </c>
      <c r="R17" s="113">
        <f>ROUND('[7]2028'!R21,2)</f>
        <v>15629.7</v>
      </c>
      <c r="S17" s="113">
        <f>ROUND('[7]2028'!S21,2)</f>
        <v>15722.59</v>
      </c>
      <c r="T17" s="113">
        <f>ROUND('[7]2028'!T21,2)</f>
        <v>15794.42</v>
      </c>
      <c r="U17" s="113">
        <f>ROUND('[7]2028'!U21,2)</f>
        <v>15690.81</v>
      </c>
      <c r="V17" s="113">
        <f>ROUND('[7]2028'!V21,2)</f>
        <v>15654.05</v>
      </c>
      <c r="W17" s="113">
        <f>ROUND('[7]2028'!W21,2)</f>
        <v>17405.34</v>
      </c>
      <c r="X17" s="113">
        <f>ROUND('[7]2028'!X21,2)</f>
        <v>18189.349999999999</v>
      </c>
      <c r="Y17" s="113">
        <f>ROUND('[7]2028'!Y21,2)</f>
        <v>18202.810000000001</v>
      </c>
      <c r="Z17" s="113">
        <f>ROUND('[7]2028'!Z21,2)</f>
        <v>17751.310000000001</v>
      </c>
      <c r="AA17" s="113">
        <f>ROUND('[7]2028'!AA21,2)</f>
        <v>16689.21</v>
      </c>
      <c r="AB17" s="113">
        <f>ROUND('[7]2028'!AB21,2)</f>
        <v>15419.85</v>
      </c>
      <c r="AC17" s="262"/>
      <c r="AD17" s="19"/>
      <c r="AE17" s="111">
        <f>+AC35</f>
        <v>11743794.080000002</v>
      </c>
    </row>
    <row r="18" spans="2:31" ht="18.649999999999999" customHeight="1" thickBot="1" x14ac:dyDescent="0.4">
      <c r="B18" s="265" t="s">
        <v>34</v>
      </c>
      <c r="C18" s="12" t="s">
        <v>32</v>
      </c>
      <c r="D18" s="120">
        <f>+'[7]2028'!D22</f>
        <v>0</v>
      </c>
      <c r="E18" s="115">
        <f>ROUND('[7]2028'!E22,2)</f>
        <v>0</v>
      </c>
      <c r="F18" s="115">
        <f>ROUND('[7]2028'!F22,2)</f>
        <v>0</v>
      </c>
      <c r="G18" s="115">
        <f>ROUND('[7]2028'!G22,2)</f>
        <v>0</v>
      </c>
      <c r="H18" s="115">
        <f>ROUND('[7]2028'!H22,2)</f>
        <v>0</v>
      </c>
      <c r="I18" s="115">
        <f>ROUND('[7]2028'!I22,2)</f>
        <v>0</v>
      </c>
      <c r="J18" s="115">
        <f>ROUND('[7]2028'!J22,2)</f>
        <v>0</v>
      </c>
      <c r="K18" s="115">
        <f>ROUND('[7]2028'!K22,2)</f>
        <v>0</v>
      </c>
      <c r="L18" s="115">
        <f>ROUND('[7]2028'!L22,2)</f>
        <v>0</v>
      </c>
      <c r="M18" s="115">
        <f>ROUND('[7]2028'!M22,2)</f>
        <v>0</v>
      </c>
      <c r="N18" s="115">
        <f>ROUND('[7]2028'!N22,2)</f>
        <v>0</v>
      </c>
      <c r="O18" s="115">
        <f>ROUND('[7]2028'!O22,2)</f>
        <v>0</v>
      </c>
      <c r="P18" s="115">
        <f>ROUND('[7]2028'!P22,2)</f>
        <v>0</v>
      </c>
      <c r="Q18" s="115">
        <f>ROUND('[7]2028'!Q22,2)</f>
        <v>0</v>
      </c>
      <c r="R18" s="115">
        <f>ROUND('[7]2028'!R22,2)</f>
        <v>0</v>
      </c>
      <c r="S18" s="115">
        <f>ROUND('[7]2028'!S22,2)</f>
        <v>0</v>
      </c>
      <c r="T18" s="115">
        <f>ROUND('[7]2028'!T22,2)</f>
        <v>0</v>
      </c>
      <c r="U18" s="115">
        <f>ROUND('[7]2028'!U22,2)</f>
        <v>0</v>
      </c>
      <c r="V18" s="115">
        <f>ROUND('[7]2028'!V22,2)</f>
        <v>0</v>
      </c>
      <c r="W18" s="115">
        <f>ROUND('[7]2028'!W22,2)</f>
        <v>0</v>
      </c>
      <c r="X18" s="115">
        <f>ROUND('[7]2028'!X22,2)</f>
        <v>0</v>
      </c>
      <c r="Y18" s="115">
        <f>ROUND('[7]2028'!Y22,2)</f>
        <v>0</v>
      </c>
      <c r="Z18" s="115">
        <f>ROUND('[7]2028'!Z22,2)</f>
        <v>0</v>
      </c>
      <c r="AA18" s="115">
        <f>ROUND('[7]2028'!AA22,2)</f>
        <v>0</v>
      </c>
      <c r="AB18" s="115">
        <f>ROUND('[7]2028'!AB22,2)</f>
        <v>0</v>
      </c>
      <c r="AC18" s="267"/>
      <c r="AD18" s="19"/>
      <c r="AE18" s="111">
        <f>+AC39</f>
        <v>11620125.890000001</v>
      </c>
    </row>
    <row r="19" spans="2:31" ht="18.649999999999999" customHeight="1" x14ac:dyDescent="0.35">
      <c r="B19" s="260">
        <v>46813</v>
      </c>
      <c r="C19" s="14" t="s">
        <v>29</v>
      </c>
      <c r="D19" s="121">
        <f>+'[7]2028'!D23</f>
        <v>22</v>
      </c>
      <c r="E19" s="116">
        <f>ROUND('[7]2028'!E23,2)</f>
        <v>14866.45</v>
      </c>
      <c r="F19" s="116">
        <f>ROUND('[7]2028'!F23,2)</f>
        <v>14080.79</v>
      </c>
      <c r="G19" s="116">
        <f>ROUND('[7]2028'!G23,2)</f>
        <v>13488.72</v>
      </c>
      <c r="H19" s="116">
        <f>ROUND('[7]2028'!H23,2)</f>
        <v>13051.76</v>
      </c>
      <c r="I19" s="116">
        <f>ROUND('[7]2028'!I23,2)</f>
        <v>12986.08</v>
      </c>
      <c r="J19" s="116">
        <f>ROUND('[7]2028'!J23,2)</f>
        <v>13461.58</v>
      </c>
      <c r="K19" s="116">
        <f>ROUND('[7]2028'!K23,2)</f>
        <v>13369.14</v>
      </c>
      <c r="L19" s="116">
        <f>ROUND('[7]2028'!L23,2)</f>
        <v>14901.61</v>
      </c>
      <c r="M19" s="116">
        <f>ROUND('[7]2028'!M23,2)</f>
        <v>16447.21</v>
      </c>
      <c r="N19" s="116">
        <f>ROUND('[7]2028'!N23,2)</f>
        <v>17256.11</v>
      </c>
      <c r="O19" s="116">
        <f>ROUND('[7]2028'!O23,2)</f>
        <v>18173.650000000001</v>
      </c>
      <c r="P19" s="116">
        <f>ROUND('[7]2028'!P23,2)</f>
        <v>18771.009999999998</v>
      </c>
      <c r="Q19" s="116">
        <f>ROUND('[7]2028'!Q23,2)</f>
        <v>18095.43</v>
      </c>
      <c r="R19" s="116">
        <f>ROUND('[7]2028'!R23,2)</f>
        <v>18816.57</v>
      </c>
      <c r="S19" s="116">
        <f>ROUND('[7]2028'!S23,2)</f>
        <v>19690.63</v>
      </c>
      <c r="T19" s="116">
        <f>ROUND('[7]2028'!T23,2)</f>
        <v>19784.55</v>
      </c>
      <c r="U19" s="116">
        <f>ROUND('[7]2028'!U23,2)</f>
        <v>19440.72</v>
      </c>
      <c r="V19" s="116">
        <f>ROUND('[7]2028'!V23,2)</f>
        <v>18610.29</v>
      </c>
      <c r="W19" s="116">
        <f>ROUND('[7]2028'!W23,2)</f>
        <v>19445.12</v>
      </c>
      <c r="X19" s="116">
        <f>ROUND('[7]2028'!X23,2)</f>
        <v>19688.169999999998</v>
      </c>
      <c r="Y19" s="116">
        <f>ROUND('[7]2028'!Y23,2)</f>
        <v>19334.21</v>
      </c>
      <c r="Z19" s="116">
        <f>ROUND('[7]2028'!Z23,2)</f>
        <v>18583.98</v>
      </c>
      <c r="AA19" s="116">
        <f>ROUND('[7]2028'!AA23,2)</f>
        <v>17410.259999999998</v>
      </c>
      <c r="AB19" s="116">
        <f>ROUND('[7]2028'!AB23,2)</f>
        <v>16089.97</v>
      </c>
      <c r="AC19" s="262">
        <f>SUM(E19:AB19)*D19+SUM(E20:AB20)*D20+SUM(E21:AB21)*D21+SUM(E22:AB22)*D22</f>
        <v>12232067.659999998</v>
      </c>
      <c r="AD19" s="19"/>
      <c r="AE19" s="111">
        <f>+AC43</f>
        <v>11452942.769999998</v>
      </c>
    </row>
    <row r="20" spans="2:31" ht="18.649999999999999" customHeight="1" x14ac:dyDescent="0.35">
      <c r="B20" s="261"/>
      <c r="C20" s="10" t="s">
        <v>30</v>
      </c>
      <c r="D20" s="118">
        <f>+'[7]2028'!D24</f>
        <v>4</v>
      </c>
      <c r="E20" s="113">
        <f>ROUND('[7]2028'!E24,2)</f>
        <v>14909.64</v>
      </c>
      <c r="F20" s="113">
        <f>ROUND('[7]2028'!F24,2)</f>
        <v>14099.04</v>
      </c>
      <c r="G20" s="113">
        <f>ROUND('[7]2028'!G24,2)</f>
        <v>13528.05</v>
      </c>
      <c r="H20" s="113">
        <f>ROUND('[7]2028'!H24,2)</f>
        <v>13076.19</v>
      </c>
      <c r="I20" s="113">
        <f>ROUND('[7]2028'!I24,2)</f>
        <v>12806.45</v>
      </c>
      <c r="J20" s="113">
        <f>ROUND('[7]2028'!J24,2)</f>
        <v>12765.21</v>
      </c>
      <c r="K20" s="113">
        <f>ROUND('[7]2028'!K24,2)</f>
        <v>12578.24</v>
      </c>
      <c r="L20" s="113">
        <f>ROUND('[7]2028'!L24,2)</f>
        <v>13781.54</v>
      </c>
      <c r="M20" s="113">
        <f>ROUND('[7]2028'!M24,2)</f>
        <v>15232.05</v>
      </c>
      <c r="N20" s="113">
        <f>ROUND('[7]2028'!N24,2)</f>
        <v>16140.39</v>
      </c>
      <c r="O20" s="113">
        <f>ROUND('[7]2028'!O24,2)</f>
        <v>16863.95</v>
      </c>
      <c r="P20" s="113">
        <f>ROUND('[7]2028'!P24,2)</f>
        <v>17326.52</v>
      </c>
      <c r="Q20" s="113">
        <f>ROUND('[7]2028'!Q24,2)</f>
        <v>17080.810000000001</v>
      </c>
      <c r="R20" s="113">
        <f>ROUND('[7]2028'!R24,2)</f>
        <v>16902.86</v>
      </c>
      <c r="S20" s="113">
        <f>ROUND('[7]2028'!S24,2)</f>
        <v>16801.21</v>
      </c>
      <c r="T20" s="113">
        <f>ROUND('[7]2028'!T24,2)</f>
        <v>17216.150000000001</v>
      </c>
      <c r="U20" s="113">
        <f>ROUND('[7]2028'!U24,2)</f>
        <v>16632.560000000001</v>
      </c>
      <c r="V20" s="113">
        <f>ROUND('[7]2028'!V24,2)</f>
        <v>16497.53</v>
      </c>
      <c r="W20" s="113">
        <f>ROUND('[7]2028'!W24,2)</f>
        <v>18224.77</v>
      </c>
      <c r="X20" s="113">
        <f>ROUND('[7]2028'!X24,2)</f>
        <v>18496.63</v>
      </c>
      <c r="Y20" s="113">
        <f>ROUND('[7]2028'!Y24,2)</f>
        <v>18047.45</v>
      </c>
      <c r="Z20" s="113">
        <f>ROUND('[7]2028'!Z24,2)</f>
        <v>17469.41</v>
      </c>
      <c r="AA20" s="113">
        <f>ROUND('[7]2028'!AA24,2)</f>
        <v>16702.740000000002</v>
      </c>
      <c r="AB20" s="113">
        <f>ROUND('[7]2028'!AB24,2)</f>
        <v>15728.32</v>
      </c>
      <c r="AC20" s="262"/>
      <c r="AD20" s="19"/>
      <c r="AE20" s="111">
        <f>+AC47</f>
        <v>11390912.459999999</v>
      </c>
    </row>
    <row r="21" spans="2:31" ht="18.649999999999999" customHeight="1" x14ac:dyDescent="0.35">
      <c r="B21" s="261"/>
      <c r="C21" s="10" t="s">
        <v>31</v>
      </c>
      <c r="D21" s="118">
        <f>+'[7]2028'!D25</f>
        <v>4</v>
      </c>
      <c r="E21" s="113">
        <f>ROUND('[7]2028'!E25,2)</f>
        <v>14790.22</v>
      </c>
      <c r="F21" s="113">
        <f>ROUND('[7]2028'!F25,2)</f>
        <v>14033.06</v>
      </c>
      <c r="G21" s="113">
        <f>ROUND('[7]2028'!G25,2)</f>
        <v>13357.21</v>
      </c>
      <c r="H21" s="113">
        <f>ROUND('[7]2028'!H25,2)</f>
        <v>12883.05</v>
      </c>
      <c r="I21" s="113">
        <f>ROUND('[7]2028'!I25,2)</f>
        <v>12663.17</v>
      </c>
      <c r="J21" s="113">
        <f>ROUND('[7]2028'!J25,2)</f>
        <v>12519.93</v>
      </c>
      <c r="K21" s="113">
        <f>ROUND('[7]2028'!K25,2)</f>
        <v>11908.29</v>
      </c>
      <c r="L21" s="113">
        <f>ROUND('[7]2028'!L25,2)</f>
        <v>12480.97</v>
      </c>
      <c r="M21" s="113">
        <f>ROUND('[7]2028'!M25,2)</f>
        <v>13310.72</v>
      </c>
      <c r="N21" s="113">
        <f>ROUND('[7]2028'!N25,2)</f>
        <v>14069.4</v>
      </c>
      <c r="O21" s="113">
        <f>ROUND('[7]2028'!O25,2)</f>
        <v>14644.55</v>
      </c>
      <c r="P21" s="113">
        <f>ROUND('[7]2028'!P25,2)</f>
        <v>15188.31</v>
      </c>
      <c r="Q21" s="113">
        <f>ROUND('[7]2028'!Q25,2)</f>
        <v>15461.45</v>
      </c>
      <c r="R21" s="113">
        <f>ROUND('[7]2028'!R25,2)</f>
        <v>15531.24</v>
      </c>
      <c r="S21" s="113">
        <f>ROUND('[7]2028'!S25,2)</f>
        <v>15611.11</v>
      </c>
      <c r="T21" s="113">
        <f>ROUND('[7]2028'!T25,2)</f>
        <v>15722.41</v>
      </c>
      <c r="U21" s="113">
        <f>ROUND('[7]2028'!U25,2)</f>
        <v>15528.13</v>
      </c>
      <c r="V21" s="113">
        <f>ROUND('[7]2028'!V25,2)</f>
        <v>15565.48</v>
      </c>
      <c r="W21" s="113">
        <f>ROUND('[7]2028'!W25,2)</f>
        <v>17241.46</v>
      </c>
      <c r="X21" s="113">
        <f>ROUND('[7]2028'!X25,2)</f>
        <v>17861.25</v>
      </c>
      <c r="Y21" s="113">
        <f>ROUND('[7]2028'!Y25,2)</f>
        <v>17829.16</v>
      </c>
      <c r="Z21" s="113">
        <f>ROUND('[7]2028'!Z25,2)</f>
        <v>17483.740000000002</v>
      </c>
      <c r="AA21" s="113">
        <f>ROUND('[7]2028'!AA25,2)</f>
        <v>16554.41</v>
      </c>
      <c r="AB21" s="113">
        <f>ROUND('[7]2028'!AB25,2)</f>
        <v>15335</v>
      </c>
      <c r="AC21" s="262"/>
      <c r="AD21" s="19"/>
      <c r="AE21" s="111">
        <f>+AC51</f>
        <v>11265844.259999998</v>
      </c>
    </row>
    <row r="22" spans="2:31" ht="18.649999999999999" customHeight="1" thickBot="1" x14ac:dyDescent="0.4">
      <c r="B22" s="261"/>
      <c r="C22" s="16" t="s">
        <v>32</v>
      </c>
      <c r="D22" s="119">
        <f>+'[7]2028'!D26</f>
        <v>1</v>
      </c>
      <c r="E22" s="114">
        <f>ROUND('[7]2028'!E26,2)</f>
        <v>14790.22</v>
      </c>
      <c r="F22" s="114">
        <f>ROUND('[7]2028'!F26,2)</f>
        <v>14033.06</v>
      </c>
      <c r="G22" s="114">
        <f>ROUND('[7]2028'!G26,2)</f>
        <v>13357.21</v>
      </c>
      <c r="H22" s="114">
        <f>ROUND('[7]2028'!H26,2)</f>
        <v>12883.05</v>
      </c>
      <c r="I22" s="114">
        <f>ROUND('[7]2028'!I26,2)</f>
        <v>12663.17</v>
      </c>
      <c r="J22" s="114">
        <f>ROUND('[7]2028'!J26,2)</f>
        <v>12519.93</v>
      </c>
      <c r="K22" s="114">
        <f>ROUND('[7]2028'!K26,2)</f>
        <v>11908.29</v>
      </c>
      <c r="L22" s="114">
        <f>ROUND('[7]2028'!L26,2)</f>
        <v>12480.97</v>
      </c>
      <c r="M22" s="114">
        <f>ROUND('[7]2028'!M26,2)</f>
        <v>13310.72</v>
      </c>
      <c r="N22" s="114">
        <f>ROUND('[7]2028'!N26,2)</f>
        <v>14069.4</v>
      </c>
      <c r="O22" s="114">
        <f>ROUND('[7]2028'!O26,2)</f>
        <v>14644.55</v>
      </c>
      <c r="P22" s="114">
        <f>ROUND('[7]2028'!P26,2)</f>
        <v>15188.31</v>
      </c>
      <c r="Q22" s="114">
        <f>ROUND('[7]2028'!Q26,2)</f>
        <v>15461.45</v>
      </c>
      <c r="R22" s="114">
        <f>ROUND('[7]2028'!R26,2)</f>
        <v>15531.24</v>
      </c>
      <c r="S22" s="114">
        <f>ROUND('[7]2028'!S26,2)</f>
        <v>15611.11</v>
      </c>
      <c r="T22" s="114">
        <f>ROUND('[7]2028'!T26,2)</f>
        <v>15722.41</v>
      </c>
      <c r="U22" s="114">
        <f>ROUND('[7]2028'!U26,2)</f>
        <v>15528.13</v>
      </c>
      <c r="V22" s="114">
        <f>ROUND('[7]2028'!V26,2)</f>
        <v>15565.48</v>
      </c>
      <c r="W22" s="114">
        <f>ROUND('[7]2028'!W26,2)</f>
        <v>17241.46</v>
      </c>
      <c r="X22" s="114">
        <f>ROUND('[7]2028'!X26,2)</f>
        <v>17861.25</v>
      </c>
      <c r="Y22" s="114">
        <f>ROUND('[7]2028'!Y26,2)</f>
        <v>17829.16</v>
      </c>
      <c r="Z22" s="114">
        <f>ROUND('[7]2028'!Z26,2)</f>
        <v>17483.740000000002</v>
      </c>
      <c r="AA22" s="114">
        <f>ROUND('[7]2028'!AA26,2)</f>
        <v>16554.41</v>
      </c>
      <c r="AB22" s="114">
        <f>ROUND('[7]2028'!AB26,2)</f>
        <v>15335</v>
      </c>
      <c r="AC22" s="262"/>
      <c r="AD22" s="19"/>
      <c r="AE22" s="111">
        <f>+AC55</f>
        <v>11538542.649999999</v>
      </c>
    </row>
    <row r="23" spans="2:31" ht="18.649999999999999" customHeight="1" x14ac:dyDescent="0.35">
      <c r="B23" s="263">
        <v>46844</v>
      </c>
      <c r="C23" s="7" t="s">
        <v>29</v>
      </c>
      <c r="D23" s="117">
        <f>+'[7]2028'!D27</f>
        <v>18</v>
      </c>
      <c r="E23" s="112">
        <f>ROUND('[7]2028'!E27,2)</f>
        <v>14600.06</v>
      </c>
      <c r="F23" s="112">
        <f>ROUND('[7]2028'!F27,2)</f>
        <v>13970.59</v>
      </c>
      <c r="G23" s="112">
        <f>ROUND('[7]2028'!G27,2)</f>
        <v>13353.61</v>
      </c>
      <c r="H23" s="112">
        <f>ROUND('[7]2028'!H27,2)</f>
        <v>13008.75</v>
      </c>
      <c r="I23" s="112">
        <f>ROUND('[7]2028'!I27,2)</f>
        <v>12926.36</v>
      </c>
      <c r="J23" s="112">
        <f>ROUND('[7]2028'!J27,2)</f>
        <v>12792.17</v>
      </c>
      <c r="K23" s="112">
        <f>ROUND('[7]2028'!K27,2)</f>
        <v>12836.58</v>
      </c>
      <c r="L23" s="112">
        <f>ROUND('[7]2028'!L27,2)</f>
        <v>14279.48</v>
      </c>
      <c r="M23" s="112">
        <f>ROUND('[7]2028'!M27,2)</f>
        <v>15917.26</v>
      </c>
      <c r="N23" s="112">
        <f>ROUND('[7]2028'!N27,2)</f>
        <v>16885</v>
      </c>
      <c r="O23" s="112">
        <f>ROUND('[7]2028'!O27,2)</f>
        <v>17689.5</v>
      </c>
      <c r="P23" s="112">
        <f>ROUND('[7]2028'!P27,2)</f>
        <v>18196.38</v>
      </c>
      <c r="Q23" s="112">
        <f>ROUND('[7]2028'!Q27,2)</f>
        <v>17858.21</v>
      </c>
      <c r="R23" s="112">
        <f>ROUND('[7]2028'!R27,2)</f>
        <v>17644.05</v>
      </c>
      <c r="S23" s="112">
        <f>ROUND('[7]2028'!S27,2)</f>
        <v>17766.45</v>
      </c>
      <c r="T23" s="112">
        <f>ROUND('[7]2028'!T27,2)</f>
        <v>17763.82</v>
      </c>
      <c r="U23" s="112">
        <f>ROUND('[7]2028'!U27,2)</f>
        <v>17484.45</v>
      </c>
      <c r="V23" s="112">
        <f>ROUND('[7]2028'!V27,2)</f>
        <v>17383.48</v>
      </c>
      <c r="W23" s="112">
        <f>ROUND('[7]2028'!W27,2)</f>
        <v>19146.990000000002</v>
      </c>
      <c r="X23" s="112">
        <f>ROUND('[7]2028'!X27,2)</f>
        <v>19299.34</v>
      </c>
      <c r="Y23" s="112">
        <f>ROUND('[7]2028'!Y27,2)</f>
        <v>18826.71</v>
      </c>
      <c r="Z23" s="112">
        <f>ROUND('[7]2028'!Z27,2)</f>
        <v>18172.669999999998</v>
      </c>
      <c r="AA23" s="112">
        <f>ROUND('[7]2028'!AA27,2)</f>
        <v>17278.82</v>
      </c>
      <c r="AB23" s="112">
        <f>ROUND('[7]2028'!AB27,2)</f>
        <v>16196.08</v>
      </c>
      <c r="AC23" s="266">
        <f>SUM(E23:AB23)*D23+SUM(E24:AB24)*D24+SUM(E25:AB25)*D25+SUM(E26:AB26)*D26</f>
        <v>11558910.18</v>
      </c>
      <c r="AD23" s="19"/>
      <c r="AE23" s="111">
        <f>SUM(AE11:AE22)</f>
        <v>138376593.88999999</v>
      </c>
    </row>
    <row r="24" spans="2:31" ht="18.649999999999999" customHeight="1" x14ac:dyDescent="0.35">
      <c r="B24" s="264" t="s">
        <v>34</v>
      </c>
      <c r="C24" s="10" t="s">
        <v>30</v>
      </c>
      <c r="D24" s="118">
        <f>+'[7]2028'!D28</f>
        <v>5</v>
      </c>
      <c r="E24" s="113">
        <f>ROUND('[7]2028'!E28,2)</f>
        <v>14096.16</v>
      </c>
      <c r="F24" s="113">
        <f>ROUND('[7]2028'!F28,2)</f>
        <v>13401.42</v>
      </c>
      <c r="G24" s="113">
        <f>ROUND('[7]2028'!G28,2)</f>
        <v>12873.7</v>
      </c>
      <c r="H24" s="113">
        <f>ROUND('[7]2028'!H28,2)</f>
        <v>12484.57</v>
      </c>
      <c r="I24" s="113">
        <f>ROUND('[7]2028'!I28,2)</f>
        <v>12496.23</v>
      </c>
      <c r="J24" s="113">
        <f>ROUND('[7]2028'!J28,2)</f>
        <v>12650.35</v>
      </c>
      <c r="K24" s="113">
        <f>ROUND('[7]2028'!K28,2)</f>
        <v>12934.58</v>
      </c>
      <c r="L24" s="113">
        <f>ROUND('[7]2028'!L28,2)</f>
        <v>14342.03</v>
      </c>
      <c r="M24" s="113">
        <f>ROUND('[7]2028'!M28,2)</f>
        <v>15788.31</v>
      </c>
      <c r="N24" s="113">
        <f>ROUND('[7]2028'!N28,2)</f>
        <v>16630.79</v>
      </c>
      <c r="O24" s="113">
        <f>ROUND('[7]2028'!O28,2)</f>
        <v>17386.349999999999</v>
      </c>
      <c r="P24" s="113">
        <f>ROUND('[7]2028'!P28,2)</f>
        <v>17907.939999999999</v>
      </c>
      <c r="Q24" s="113">
        <f>ROUND('[7]2028'!Q28,2)</f>
        <v>17418.02</v>
      </c>
      <c r="R24" s="113">
        <f>ROUND('[7]2028'!R28,2)</f>
        <v>17761.75</v>
      </c>
      <c r="S24" s="113">
        <f>ROUND('[7]2028'!S28,2)</f>
        <v>18353.63</v>
      </c>
      <c r="T24" s="113">
        <f>ROUND('[7]2028'!T28,2)</f>
        <v>18393.080000000002</v>
      </c>
      <c r="U24" s="113">
        <f>ROUND('[7]2028'!U28,2)</f>
        <v>18103.419999999998</v>
      </c>
      <c r="V24" s="113">
        <f>ROUND('[7]2028'!V28,2)</f>
        <v>17708.02</v>
      </c>
      <c r="W24" s="113">
        <f>ROUND('[7]2028'!W28,2)</f>
        <v>18928.330000000002</v>
      </c>
      <c r="X24" s="113">
        <f>ROUND('[7]2028'!X28,2)</f>
        <v>19091.97</v>
      </c>
      <c r="Y24" s="113">
        <f>ROUND('[7]2028'!Y28,2)</f>
        <v>18594.7</v>
      </c>
      <c r="Z24" s="113">
        <f>ROUND('[7]2028'!Z28,2)</f>
        <v>17779.2</v>
      </c>
      <c r="AA24" s="113">
        <f>ROUND('[7]2028'!AA28,2)</f>
        <v>16498.740000000002</v>
      </c>
      <c r="AB24" s="113">
        <f>ROUND('[7]2028'!AB28,2)</f>
        <v>15084.73</v>
      </c>
      <c r="AC24" s="262"/>
      <c r="AD24" s="19"/>
    </row>
    <row r="25" spans="2:31" ht="18.649999999999999" customHeight="1" x14ac:dyDescent="0.35">
      <c r="B25" s="264" t="s">
        <v>34</v>
      </c>
      <c r="C25" s="10" t="s">
        <v>31</v>
      </c>
      <c r="D25" s="118">
        <f>+'[7]2028'!D29</f>
        <v>5</v>
      </c>
      <c r="E25" s="113">
        <f>ROUND('[7]2028'!E29,2)</f>
        <v>15191.45</v>
      </c>
      <c r="F25" s="113">
        <f>ROUND('[7]2028'!F29,2)</f>
        <v>14422.2</v>
      </c>
      <c r="G25" s="113">
        <f>ROUND('[7]2028'!G29,2)</f>
        <v>13784.96</v>
      </c>
      <c r="H25" s="113">
        <f>ROUND('[7]2028'!H29,2)</f>
        <v>13350.27</v>
      </c>
      <c r="I25" s="113">
        <f>ROUND('[7]2028'!I29,2)</f>
        <v>13095.58</v>
      </c>
      <c r="J25" s="113">
        <f>ROUND('[7]2028'!J29,2)</f>
        <v>12707.22</v>
      </c>
      <c r="K25" s="113">
        <f>ROUND('[7]2028'!K29,2)</f>
        <v>12318.11</v>
      </c>
      <c r="L25" s="113">
        <f>ROUND('[7]2028'!L29,2)</f>
        <v>13008.15</v>
      </c>
      <c r="M25" s="113">
        <f>ROUND('[7]2028'!M29,2)</f>
        <v>13920.12</v>
      </c>
      <c r="N25" s="113">
        <f>ROUND('[7]2028'!N29,2)</f>
        <v>14742.44</v>
      </c>
      <c r="O25" s="113">
        <f>ROUND('[7]2028'!O29,2)</f>
        <v>15392.56</v>
      </c>
      <c r="P25" s="113">
        <f>ROUND('[7]2028'!P29,2)</f>
        <v>15923.05</v>
      </c>
      <c r="Q25" s="113">
        <f>ROUND('[7]2028'!Q29,2)</f>
        <v>16167.27</v>
      </c>
      <c r="R25" s="113">
        <f>ROUND('[7]2028'!R29,2)</f>
        <v>16212.41</v>
      </c>
      <c r="S25" s="113">
        <f>ROUND('[7]2028'!S29,2)</f>
        <v>16123.47</v>
      </c>
      <c r="T25" s="113">
        <f>ROUND('[7]2028'!T29,2)</f>
        <v>16051.77</v>
      </c>
      <c r="U25" s="113">
        <f>ROUND('[7]2028'!U29,2)</f>
        <v>15887.97</v>
      </c>
      <c r="V25" s="113">
        <f>ROUND('[7]2028'!V29,2)</f>
        <v>16039.75</v>
      </c>
      <c r="W25" s="113">
        <f>ROUND('[7]2028'!W29,2)</f>
        <v>17921.37</v>
      </c>
      <c r="X25" s="113">
        <f>ROUND('[7]2028'!X29,2)</f>
        <v>18460.169999999998</v>
      </c>
      <c r="Y25" s="113">
        <f>ROUND('[7]2028'!Y29,2)</f>
        <v>18335.48</v>
      </c>
      <c r="Z25" s="113">
        <f>ROUND('[7]2028'!Z29,2)</f>
        <v>17772.7</v>
      </c>
      <c r="AA25" s="113">
        <f>ROUND('[7]2028'!AA29,2)</f>
        <v>16688.810000000001</v>
      </c>
      <c r="AB25" s="113">
        <f>ROUND('[7]2028'!AB29,2)</f>
        <v>15395.22</v>
      </c>
      <c r="AC25" s="262"/>
      <c r="AD25" s="19"/>
    </row>
    <row r="26" spans="2:31" ht="18.649999999999999" customHeight="1" thickBot="1" x14ac:dyDescent="0.4">
      <c r="B26" s="265" t="s">
        <v>34</v>
      </c>
      <c r="C26" s="12" t="s">
        <v>32</v>
      </c>
      <c r="D26" s="120">
        <f>+'[7]2028'!D30</f>
        <v>2</v>
      </c>
      <c r="E26" s="115">
        <f>ROUND('[7]2028'!E30,2)</f>
        <v>15191.45</v>
      </c>
      <c r="F26" s="115">
        <f>ROUND('[7]2028'!F30,2)</f>
        <v>14422.2</v>
      </c>
      <c r="G26" s="115">
        <f>ROUND('[7]2028'!G30,2)</f>
        <v>13784.96</v>
      </c>
      <c r="H26" s="115">
        <f>ROUND('[7]2028'!H30,2)</f>
        <v>13350.27</v>
      </c>
      <c r="I26" s="115">
        <f>ROUND('[7]2028'!I30,2)</f>
        <v>13095.58</v>
      </c>
      <c r="J26" s="115">
        <f>ROUND('[7]2028'!J30,2)</f>
        <v>12707.22</v>
      </c>
      <c r="K26" s="115">
        <f>ROUND('[7]2028'!K30,2)</f>
        <v>12318.11</v>
      </c>
      <c r="L26" s="115">
        <f>ROUND('[7]2028'!L30,2)</f>
        <v>13008.15</v>
      </c>
      <c r="M26" s="115">
        <f>ROUND('[7]2028'!M30,2)</f>
        <v>13920.12</v>
      </c>
      <c r="N26" s="115">
        <f>ROUND('[7]2028'!N30,2)</f>
        <v>14742.44</v>
      </c>
      <c r="O26" s="115">
        <f>ROUND('[7]2028'!O30,2)</f>
        <v>15392.56</v>
      </c>
      <c r="P26" s="115">
        <f>ROUND('[7]2028'!P30,2)</f>
        <v>15923.05</v>
      </c>
      <c r="Q26" s="115">
        <f>ROUND('[7]2028'!Q30,2)</f>
        <v>16167.27</v>
      </c>
      <c r="R26" s="115">
        <f>ROUND('[7]2028'!R30,2)</f>
        <v>16212.41</v>
      </c>
      <c r="S26" s="115">
        <f>ROUND('[7]2028'!S30,2)</f>
        <v>16123.47</v>
      </c>
      <c r="T26" s="115">
        <f>ROUND('[7]2028'!T30,2)</f>
        <v>16051.77</v>
      </c>
      <c r="U26" s="115">
        <f>ROUND('[7]2028'!U30,2)</f>
        <v>15887.97</v>
      </c>
      <c r="V26" s="115">
        <f>ROUND('[7]2028'!V30,2)</f>
        <v>16039.75</v>
      </c>
      <c r="W26" s="115">
        <f>ROUND('[7]2028'!W30,2)</f>
        <v>17921.37</v>
      </c>
      <c r="X26" s="115">
        <f>ROUND('[7]2028'!X30,2)</f>
        <v>18460.169999999998</v>
      </c>
      <c r="Y26" s="115">
        <f>ROUND('[7]2028'!Y30,2)</f>
        <v>18335.48</v>
      </c>
      <c r="Z26" s="115">
        <f>ROUND('[7]2028'!Z30,2)</f>
        <v>17772.7</v>
      </c>
      <c r="AA26" s="115">
        <f>ROUND('[7]2028'!AA30,2)</f>
        <v>16688.810000000001</v>
      </c>
      <c r="AB26" s="115">
        <f>ROUND('[7]2028'!AB30,2)</f>
        <v>15395.22</v>
      </c>
      <c r="AC26" s="267"/>
      <c r="AD26" s="19"/>
    </row>
    <row r="27" spans="2:31" ht="18.649999999999999" customHeight="1" x14ac:dyDescent="0.35">
      <c r="B27" s="260">
        <v>46874</v>
      </c>
      <c r="C27" s="14" t="s">
        <v>29</v>
      </c>
      <c r="D27" s="121">
        <f>+'[7]2028'!D31</f>
        <v>21</v>
      </c>
      <c r="E27" s="116">
        <f>ROUND('[7]2028'!E31,2)</f>
        <v>14830.98</v>
      </c>
      <c r="F27" s="116">
        <f>ROUND('[7]2028'!F31,2)</f>
        <v>14059.26</v>
      </c>
      <c r="G27" s="116">
        <f>ROUND('[7]2028'!G31,2)</f>
        <v>13436.53</v>
      </c>
      <c r="H27" s="116">
        <f>ROUND('[7]2028'!H31,2)</f>
        <v>12903.95</v>
      </c>
      <c r="I27" s="116">
        <f>ROUND('[7]2028'!I31,2)</f>
        <v>12760.4</v>
      </c>
      <c r="J27" s="116">
        <f>ROUND('[7]2028'!J31,2)</f>
        <v>12558.29</v>
      </c>
      <c r="K27" s="116">
        <f>ROUND('[7]2028'!K31,2)</f>
        <v>12743.9</v>
      </c>
      <c r="L27" s="116">
        <f>ROUND('[7]2028'!L31,2)</f>
        <v>14114.64</v>
      </c>
      <c r="M27" s="116">
        <f>ROUND('[7]2028'!M31,2)</f>
        <v>15712.2</v>
      </c>
      <c r="N27" s="116">
        <f>ROUND('[7]2028'!N31,2)</f>
        <v>16593.580000000002</v>
      </c>
      <c r="O27" s="116">
        <f>ROUND('[7]2028'!O31,2)</f>
        <v>17153.02</v>
      </c>
      <c r="P27" s="116">
        <f>ROUND('[7]2028'!P31,2)</f>
        <v>17564.12</v>
      </c>
      <c r="Q27" s="116">
        <f>ROUND('[7]2028'!Q31,2)</f>
        <v>17262.38</v>
      </c>
      <c r="R27" s="116">
        <f>ROUND('[7]2028'!R31,2)</f>
        <v>16951.87</v>
      </c>
      <c r="S27" s="116">
        <f>ROUND('[7]2028'!S31,2)</f>
        <v>16940.46</v>
      </c>
      <c r="T27" s="116">
        <f>ROUND('[7]2028'!T31,2)</f>
        <v>16844.990000000002</v>
      </c>
      <c r="U27" s="116">
        <f>ROUND('[7]2028'!U31,2)</f>
        <v>16616.12</v>
      </c>
      <c r="V27" s="116">
        <f>ROUND('[7]2028'!V31,2)</f>
        <v>16718.02</v>
      </c>
      <c r="W27" s="116">
        <f>ROUND('[7]2028'!W31,2)</f>
        <v>18532.490000000002</v>
      </c>
      <c r="X27" s="116">
        <f>ROUND('[7]2028'!X31,2)</f>
        <v>18704.97</v>
      </c>
      <c r="Y27" s="116">
        <f>ROUND('[7]2028'!Y31,2)</f>
        <v>18102.66</v>
      </c>
      <c r="Z27" s="116">
        <f>ROUND('[7]2028'!Z31,2)</f>
        <v>17355.55</v>
      </c>
      <c r="AA27" s="116">
        <f>ROUND('[7]2028'!AA31,2)</f>
        <v>16373.06</v>
      </c>
      <c r="AB27" s="116">
        <f>ROUND('[7]2028'!AB31,2)</f>
        <v>15272.57</v>
      </c>
      <c r="AC27" s="262">
        <f>SUM(E27:AB27)*D27+SUM(E28:AB28)*D28+SUM(E29:AB29)*D29+SUM(E30:AB30)*D30</f>
        <v>11676150.889999997</v>
      </c>
      <c r="AD27" s="19"/>
    </row>
    <row r="28" spans="2:31" ht="18.649999999999999" customHeight="1" x14ac:dyDescent="0.35">
      <c r="B28" s="261"/>
      <c r="C28" s="10" t="s">
        <v>30</v>
      </c>
      <c r="D28" s="118">
        <f>+'[7]2028'!D32</f>
        <v>4</v>
      </c>
      <c r="E28" s="113">
        <f>ROUND('[7]2028'!E32,2)</f>
        <v>13672.6</v>
      </c>
      <c r="F28" s="113">
        <f>ROUND('[7]2028'!F32,2)</f>
        <v>12996.25</v>
      </c>
      <c r="G28" s="113">
        <f>ROUND('[7]2028'!G32,2)</f>
        <v>12501.23</v>
      </c>
      <c r="H28" s="113">
        <f>ROUND('[7]2028'!H32,2)</f>
        <v>12160.26</v>
      </c>
      <c r="I28" s="113">
        <f>ROUND('[7]2028'!I32,2)</f>
        <v>12116.51</v>
      </c>
      <c r="J28" s="113">
        <f>ROUND('[7]2028'!J32,2)</f>
        <v>12101.28</v>
      </c>
      <c r="K28" s="113">
        <f>ROUND('[7]2028'!K32,2)</f>
        <v>12285.6</v>
      </c>
      <c r="L28" s="113">
        <f>ROUND('[7]2028'!L32,2)</f>
        <v>13725.37</v>
      </c>
      <c r="M28" s="113">
        <f>ROUND('[7]2028'!M32,2)</f>
        <v>15133.19</v>
      </c>
      <c r="N28" s="113">
        <f>ROUND('[7]2028'!N32,2)</f>
        <v>15946.12</v>
      </c>
      <c r="O28" s="113">
        <f>ROUND('[7]2028'!O32,2)</f>
        <v>16740.27</v>
      </c>
      <c r="P28" s="113">
        <f>ROUND('[7]2028'!P32,2)</f>
        <v>17312.29</v>
      </c>
      <c r="Q28" s="113">
        <f>ROUND('[7]2028'!Q32,2)</f>
        <v>16934.62</v>
      </c>
      <c r="R28" s="113">
        <f>ROUND('[7]2028'!R32,2)</f>
        <v>17115.14</v>
      </c>
      <c r="S28" s="113">
        <f>ROUND('[7]2028'!S32,2)</f>
        <v>17565.64</v>
      </c>
      <c r="T28" s="113">
        <f>ROUND('[7]2028'!T32,2)</f>
        <v>17543.64</v>
      </c>
      <c r="U28" s="113">
        <f>ROUND('[7]2028'!U32,2)</f>
        <v>17290.93</v>
      </c>
      <c r="V28" s="113">
        <f>ROUND('[7]2028'!V32,2)</f>
        <v>16955.060000000001</v>
      </c>
      <c r="W28" s="113">
        <f>ROUND('[7]2028'!W32,2)</f>
        <v>18190.05</v>
      </c>
      <c r="X28" s="113">
        <f>ROUND('[7]2028'!X32,2)</f>
        <v>18532.810000000001</v>
      </c>
      <c r="Y28" s="113">
        <f>ROUND('[7]2028'!Y32,2)</f>
        <v>18028.07</v>
      </c>
      <c r="Z28" s="113">
        <f>ROUND('[7]2028'!Z32,2)</f>
        <v>17199.310000000001</v>
      </c>
      <c r="AA28" s="113">
        <f>ROUND('[7]2028'!AA32,2)</f>
        <v>15953.49</v>
      </c>
      <c r="AB28" s="113">
        <f>ROUND('[7]2028'!AB32,2)</f>
        <v>14654.23</v>
      </c>
      <c r="AC28" s="262"/>
      <c r="AD28" s="19"/>
    </row>
    <row r="29" spans="2:31" ht="18.649999999999999" customHeight="1" x14ac:dyDescent="0.35">
      <c r="B29" s="261"/>
      <c r="C29" s="10" t="s">
        <v>31</v>
      </c>
      <c r="D29" s="118">
        <f>+'[7]2028'!D33</f>
        <v>4</v>
      </c>
      <c r="E29" s="113">
        <f>ROUND('[7]2028'!E33,2)</f>
        <v>13662.53</v>
      </c>
      <c r="F29" s="113">
        <f>ROUND('[7]2028'!F33,2)</f>
        <v>13127.5</v>
      </c>
      <c r="G29" s="113">
        <f>ROUND('[7]2028'!G33,2)</f>
        <v>12578.81</v>
      </c>
      <c r="H29" s="113">
        <f>ROUND('[7]2028'!H33,2)</f>
        <v>12287.06</v>
      </c>
      <c r="I29" s="113">
        <f>ROUND('[7]2028'!I33,2)</f>
        <v>12193.48</v>
      </c>
      <c r="J29" s="113">
        <f>ROUND('[7]2028'!J33,2)</f>
        <v>11890.87</v>
      </c>
      <c r="K29" s="113">
        <f>ROUND('[7]2028'!K33,2)</f>
        <v>11841.42</v>
      </c>
      <c r="L29" s="113">
        <f>ROUND('[7]2028'!L33,2)</f>
        <v>12758.99</v>
      </c>
      <c r="M29" s="113">
        <f>ROUND('[7]2028'!M33,2)</f>
        <v>13822.91</v>
      </c>
      <c r="N29" s="113">
        <f>ROUND('[7]2028'!N33,2)</f>
        <v>14650.16</v>
      </c>
      <c r="O29" s="113">
        <f>ROUND('[7]2028'!O33,2)</f>
        <v>15279.07</v>
      </c>
      <c r="P29" s="113">
        <f>ROUND('[7]2028'!P33,2)</f>
        <v>16060.46</v>
      </c>
      <c r="Q29" s="113">
        <f>ROUND('[7]2028'!Q33,2)</f>
        <v>16498.2</v>
      </c>
      <c r="R29" s="113">
        <f>ROUND('[7]2028'!R33,2)</f>
        <v>16581.150000000001</v>
      </c>
      <c r="S29" s="113">
        <f>ROUND('[7]2028'!S33,2)</f>
        <v>16600.25</v>
      </c>
      <c r="T29" s="113">
        <f>ROUND('[7]2028'!T33,2)</f>
        <v>16632.79</v>
      </c>
      <c r="U29" s="113">
        <f>ROUND('[7]2028'!U33,2)</f>
        <v>16463.09</v>
      </c>
      <c r="V29" s="113">
        <f>ROUND('[7]2028'!V33,2)</f>
        <v>16467.38</v>
      </c>
      <c r="W29" s="113">
        <f>ROUND('[7]2028'!W33,2)</f>
        <v>18405.27</v>
      </c>
      <c r="X29" s="113">
        <f>ROUND('[7]2028'!X33,2)</f>
        <v>19103.849999999999</v>
      </c>
      <c r="Y29" s="113">
        <f>ROUND('[7]2028'!Y33,2)</f>
        <v>18987.53</v>
      </c>
      <c r="Z29" s="113">
        <f>ROUND('[7]2028'!Z33,2)</f>
        <v>18347.759999999998</v>
      </c>
      <c r="AA29" s="113">
        <f>ROUND('[7]2028'!AA33,2)</f>
        <v>17174.39</v>
      </c>
      <c r="AB29" s="113">
        <f>ROUND('[7]2028'!AB33,2)</f>
        <v>15803.22</v>
      </c>
      <c r="AC29" s="262"/>
      <c r="AD29" s="19"/>
    </row>
    <row r="30" spans="2:31" ht="18.649999999999999" customHeight="1" thickBot="1" x14ac:dyDescent="0.4">
      <c r="B30" s="261"/>
      <c r="C30" s="16" t="s">
        <v>32</v>
      </c>
      <c r="D30" s="119">
        <f>+'[7]2028'!D34</f>
        <v>2</v>
      </c>
      <c r="E30" s="114">
        <f>ROUND('[7]2028'!E34,2)</f>
        <v>13662.53</v>
      </c>
      <c r="F30" s="114">
        <f>ROUND('[7]2028'!F34,2)</f>
        <v>13127.5</v>
      </c>
      <c r="G30" s="114">
        <f>ROUND('[7]2028'!G34,2)</f>
        <v>12578.81</v>
      </c>
      <c r="H30" s="114">
        <f>ROUND('[7]2028'!H34,2)</f>
        <v>12287.06</v>
      </c>
      <c r="I30" s="114">
        <f>ROUND('[7]2028'!I34,2)</f>
        <v>12193.48</v>
      </c>
      <c r="J30" s="114">
        <f>ROUND('[7]2028'!J34,2)</f>
        <v>11890.87</v>
      </c>
      <c r="K30" s="114">
        <f>ROUND('[7]2028'!K34,2)</f>
        <v>11841.42</v>
      </c>
      <c r="L30" s="114">
        <f>ROUND('[7]2028'!L34,2)</f>
        <v>12758.99</v>
      </c>
      <c r="M30" s="114">
        <f>ROUND('[7]2028'!M34,2)</f>
        <v>13822.91</v>
      </c>
      <c r="N30" s="114">
        <f>ROUND('[7]2028'!N34,2)</f>
        <v>14650.16</v>
      </c>
      <c r="O30" s="114">
        <f>ROUND('[7]2028'!O34,2)</f>
        <v>15279.07</v>
      </c>
      <c r="P30" s="114">
        <f>ROUND('[7]2028'!P34,2)</f>
        <v>16060.46</v>
      </c>
      <c r="Q30" s="114">
        <f>ROUND('[7]2028'!Q34,2)</f>
        <v>16498.2</v>
      </c>
      <c r="R30" s="114">
        <f>ROUND('[7]2028'!R34,2)</f>
        <v>16581.150000000001</v>
      </c>
      <c r="S30" s="114">
        <f>ROUND('[7]2028'!S34,2)</f>
        <v>16600.25</v>
      </c>
      <c r="T30" s="114">
        <f>ROUND('[7]2028'!T34,2)</f>
        <v>16632.79</v>
      </c>
      <c r="U30" s="114">
        <f>ROUND('[7]2028'!U34,2)</f>
        <v>16463.09</v>
      </c>
      <c r="V30" s="114">
        <f>ROUND('[7]2028'!V34,2)</f>
        <v>16467.38</v>
      </c>
      <c r="W30" s="114">
        <f>ROUND('[7]2028'!W34,2)</f>
        <v>18405.27</v>
      </c>
      <c r="X30" s="114">
        <f>ROUND('[7]2028'!X34,2)</f>
        <v>19103.849999999999</v>
      </c>
      <c r="Y30" s="114">
        <f>ROUND('[7]2028'!Y34,2)</f>
        <v>18987.53</v>
      </c>
      <c r="Z30" s="114">
        <f>ROUND('[7]2028'!Z34,2)</f>
        <v>18347.759999999998</v>
      </c>
      <c r="AA30" s="114">
        <f>ROUND('[7]2028'!AA34,2)</f>
        <v>17174.39</v>
      </c>
      <c r="AB30" s="114">
        <f>ROUND('[7]2028'!AB34,2)</f>
        <v>15803.22</v>
      </c>
      <c r="AC30" s="262"/>
      <c r="AD30" s="19"/>
    </row>
    <row r="31" spans="2:31" ht="18.649999999999999" customHeight="1" x14ac:dyDescent="0.35">
      <c r="B31" s="263">
        <v>46905</v>
      </c>
      <c r="C31" s="7" t="s">
        <v>29</v>
      </c>
      <c r="D31" s="117">
        <f>+'[7]2028'!D35</f>
        <v>20</v>
      </c>
      <c r="E31" s="112">
        <f>ROUND('[7]2028'!E35,2)</f>
        <v>13392.92</v>
      </c>
      <c r="F31" s="112">
        <f>ROUND('[7]2028'!F35,2)</f>
        <v>12728.02</v>
      </c>
      <c r="G31" s="112">
        <f>ROUND('[7]2028'!G35,2)</f>
        <v>12236.77</v>
      </c>
      <c r="H31" s="112">
        <f>ROUND('[7]2028'!H35,2)</f>
        <v>11908.96</v>
      </c>
      <c r="I31" s="112">
        <f>ROUND('[7]2028'!I35,2)</f>
        <v>11821.39</v>
      </c>
      <c r="J31" s="112">
        <f>ROUND('[7]2028'!J35,2)</f>
        <v>11695.8</v>
      </c>
      <c r="K31" s="112">
        <f>ROUND('[7]2028'!K35,2)</f>
        <v>11890.95</v>
      </c>
      <c r="L31" s="112">
        <f>ROUND('[7]2028'!L35,2)</f>
        <v>13323.27</v>
      </c>
      <c r="M31" s="112">
        <f>ROUND('[7]2028'!M35,2)</f>
        <v>14898.2</v>
      </c>
      <c r="N31" s="112">
        <f>ROUND('[7]2028'!N35,2)</f>
        <v>15866.57</v>
      </c>
      <c r="O31" s="112">
        <f>ROUND('[7]2028'!O35,2)</f>
        <v>16708.07</v>
      </c>
      <c r="P31" s="112">
        <f>ROUND('[7]2028'!P35,2)</f>
        <v>17171.189999999999</v>
      </c>
      <c r="Q31" s="112">
        <f>ROUND('[7]2028'!Q35,2)</f>
        <v>16917.7</v>
      </c>
      <c r="R31" s="112">
        <f>ROUND('[7]2028'!R35,2)</f>
        <v>16627.22</v>
      </c>
      <c r="S31" s="112">
        <f>ROUND('[7]2028'!S35,2)</f>
        <v>16641.240000000002</v>
      </c>
      <c r="T31" s="112">
        <f>ROUND('[7]2028'!T35,2)</f>
        <v>16593.39</v>
      </c>
      <c r="U31" s="112">
        <f>ROUND('[7]2028'!U35,2)</f>
        <v>16425.28</v>
      </c>
      <c r="V31" s="112">
        <f>ROUND('[7]2028'!V35,2)</f>
        <v>16442.830000000002</v>
      </c>
      <c r="W31" s="112">
        <f>ROUND('[7]2028'!W35,2)</f>
        <v>17859.349999999999</v>
      </c>
      <c r="X31" s="112">
        <f>ROUND('[7]2028'!X35,2)</f>
        <v>18114.3</v>
      </c>
      <c r="Y31" s="112">
        <f>ROUND('[7]2028'!Y35,2)</f>
        <v>17483.150000000001</v>
      </c>
      <c r="Z31" s="112">
        <f>ROUND('[7]2028'!Z35,2)</f>
        <v>16762.810000000001</v>
      </c>
      <c r="AA31" s="112">
        <f>ROUND('[7]2028'!AA35,2)</f>
        <v>15873.8</v>
      </c>
      <c r="AB31" s="112">
        <f>ROUND('[7]2028'!AB35,2)</f>
        <v>14869.3</v>
      </c>
      <c r="AC31" s="266">
        <f>SUM(E31:AB31)*D31+SUM(E32:AB32)*D32+SUM(E33:AB33)*D33+SUM(E34:AB34)*D34</f>
        <v>10874815.080000002</v>
      </c>
      <c r="AD31" s="19"/>
    </row>
    <row r="32" spans="2:31" ht="18.649999999999999" customHeight="1" x14ac:dyDescent="0.35">
      <c r="B32" s="264" t="s">
        <v>34</v>
      </c>
      <c r="C32" s="10" t="s">
        <v>30</v>
      </c>
      <c r="D32" s="118">
        <f>+'[7]2028'!D36</f>
        <v>4</v>
      </c>
      <c r="E32" s="113">
        <f>ROUND('[7]2028'!E36,2)</f>
        <v>13792.16</v>
      </c>
      <c r="F32" s="113">
        <f>ROUND('[7]2028'!F36,2)</f>
        <v>13113.43</v>
      </c>
      <c r="G32" s="113">
        <f>ROUND('[7]2028'!G36,2)</f>
        <v>12597.68</v>
      </c>
      <c r="H32" s="113">
        <f>ROUND('[7]2028'!H36,2)</f>
        <v>12239.82</v>
      </c>
      <c r="I32" s="113">
        <f>ROUND('[7]2028'!I36,2)</f>
        <v>12197.7</v>
      </c>
      <c r="J32" s="113">
        <f>ROUND('[7]2028'!J36,2)</f>
        <v>12334.6</v>
      </c>
      <c r="K32" s="113">
        <f>ROUND('[7]2028'!K36,2)</f>
        <v>12418.31</v>
      </c>
      <c r="L32" s="113">
        <f>ROUND('[7]2028'!L36,2)</f>
        <v>13815.35</v>
      </c>
      <c r="M32" s="113">
        <f>ROUND('[7]2028'!M36,2)</f>
        <v>15291.23</v>
      </c>
      <c r="N32" s="113">
        <f>ROUND('[7]2028'!N36,2)</f>
        <v>16145.24</v>
      </c>
      <c r="O32" s="113">
        <f>ROUND('[7]2028'!O36,2)</f>
        <v>16951.099999999999</v>
      </c>
      <c r="P32" s="113">
        <f>ROUND('[7]2028'!P36,2)</f>
        <v>17477.02</v>
      </c>
      <c r="Q32" s="113">
        <f>ROUND('[7]2028'!Q36,2)</f>
        <v>17031.98</v>
      </c>
      <c r="R32" s="113">
        <f>ROUND('[7]2028'!R36,2)</f>
        <v>17441.68</v>
      </c>
      <c r="S32" s="113">
        <f>ROUND('[7]2028'!S36,2)</f>
        <v>18033.919999999998</v>
      </c>
      <c r="T32" s="113">
        <f>ROUND('[7]2028'!T36,2)</f>
        <v>18057.61</v>
      </c>
      <c r="U32" s="113">
        <f>ROUND('[7]2028'!U36,2)</f>
        <v>17721.509999999998</v>
      </c>
      <c r="V32" s="113">
        <f>ROUND('[7]2028'!V36,2)</f>
        <v>17139.04</v>
      </c>
      <c r="W32" s="113">
        <f>ROUND('[7]2028'!W36,2)</f>
        <v>18146.560000000001</v>
      </c>
      <c r="X32" s="113">
        <f>ROUND('[7]2028'!X36,2)</f>
        <v>18677.53</v>
      </c>
      <c r="Y32" s="113">
        <f>ROUND('[7]2028'!Y36,2)</f>
        <v>18251.599999999999</v>
      </c>
      <c r="Z32" s="113">
        <f>ROUND('[7]2028'!Z36,2)</f>
        <v>17478.05</v>
      </c>
      <c r="AA32" s="113">
        <f>ROUND('[7]2028'!AA36,2)</f>
        <v>16216.97</v>
      </c>
      <c r="AB32" s="113">
        <f>ROUND('[7]2028'!AB36,2)</f>
        <v>14897.3</v>
      </c>
      <c r="AC32" s="262"/>
      <c r="AD32" s="19"/>
    </row>
    <row r="33" spans="2:30" ht="18.649999999999999" customHeight="1" x14ac:dyDescent="0.35">
      <c r="B33" s="264" t="s">
        <v>34</v>
      </c>
      <c r="C33" s="10" t="s">
        <v>31</v>
      </c>
      <c r="D33" s="118">
        <f>+'[7]2028'!D37</f>
        <v>4</v>
      </c>
      <c r="E33" s="113">
        <f>ROUND('[7]2028'!E37,2)</f>
        <v>13128.2</v>
      </c>
      <c r="F33" s="113">
        <f>ROUND('[7]2028'!F37,2)</f>
        <v>12597.59</v>
      </c>
      <c r="G33" s="113">
        <f>ROUND('[7]2028'!G37,2)</f>
        <v>12164.01</v>
      </c>
      <c r="H33" s="113">
        <f>ROUND('[7]2028'!H37,2)</f>
        <v>11883.1</v>
      </c>
      <c r="I33" s="113">
        <f>ROUND('[7]2028'!I37,2)</f>
        <v>11771.04</v>
      </c>
      <c r="J33" s="113">
        <f>ROUND('[7]2028'!J37,2)</f>
        <v>11441.42</v>
      </c>
      <c r="K33" s="113">
        <f>ROUND('[7]2028'!K37,2)</f>
        <v>11290.88</v>
      </c>
      <c r="L33" s="113">
        <f>ROUND('[7]2028'!L37,2)</f>
        <v>12210.68</v>
      </c>
      <c r="M33" s="113">
        <f>ROUND('[7]2028'!M37,2)</f>
        <v>13274.32</v>
      </c>
      <c r="N33" s="113">
        <f>ROUND('[7]2028'!N37,2)</f>
        <v>13937.09</v>
      </c>
      <c r="O33" s="113">
        <f>ROUND('[7]2028'!O37,2)</f>
        <v>14723.06</v>
      </c>
      <c r="P33" s="113">
        <f>ROUND('[7]2028'!P37,2)</f>
        <v>15304.7</v>
      </c>
      <c r="Q33" s="113">
        <f>ROUND('[7]2028'!Q37,2)</f>
        <v>15601.35</v>
      </c>
      <c r="R33" s="113">
        <f>ROUND('[7]2028'!R37,2)</f>
        <v>15539.51</v>
      </c>
      <c r="S33" s="113">
        <f>ROUND('[7]2028'!S37,2)</f>
        <v>15410.25</v>
      </c>
      <c r="T33" s="113">
        <f>ROUND('[7]2028'!T37,2)</f>
        <v>15291.42</v>
      </c>
      <c r="U33" s="113">
        <f>ROUND('[7]2028'!U37,2)</f>
        <v>15174.48</v>
      </c>
      <c r="V33" s="113">
        <f>ROUND('[7]2028'!V37,2)</f>
        <v>15403.39</v>
      </c>
      <c r="W33" s="113">
        <f>ROUND('[7]2028'!W37,2)</f>
        <v>17262.88</v>
      </c>
      <c r="X33" s="113">
        <f>ROUND('[7]2028'!X37,2)</f>
        <v>17948.900000000001</v>
      </c>
      <c r="Y33" s="113">
        <f>ROUND('[7]2028'!Y37,2)</f>
        <v>17721.14</v>
      </c>
      <c r="Z33" s="113">
        <f>ROUND('[7]2028'!Z37,2)</f>
        <v>17066.38</v>
      </c>
      <c r="AA33" s="113">
        <f>ROUND('[7]2028'!AA37,2)</f>
        <v>15913.04</v>
      </c>
      <c r="AB33" s="113">
        <f>ROUND('[7]2028'!AB37,2)</f>
        <v>14590.49</v>
      </c>
      <c r="AC33" s="262"/>
      <c r="AD33" s="19"/>
    </row>
    <row r="34" spans="2:30" ht="18.649999999999999" customHeight="1" thickBot="1" x14ac:dyDescent="0.4">
      <c r="B34" s="265" t="s">
        <v>34</v>
      </c>
      <c r="C34" s="12" t="s">
        <v>32</v>
      </c>
      <c r="D34" s="120">
        <f>+'[7]2028'!D38</f>
        <v>2</v>
      </c>
      <c r="E34" s="115">
        <f>ROUND('[7]2028'!E38,2)</f>
        <v>13128.2</v>
      </c>
      <c r="F34" s="115">
        <f>ROUND('[7]2028'!F38,2)</f>
        <v>12597.59</v>
      </c>
      <c r="G34" s="115">
        <f>ROUND('[7]2028'!G38,2)</f>
        <v>12164.01</v>
      </c>
      <c r="H34" s="115">
        <f>ROUND('[7]2028'!H38,2)</f>
        <v>11883.1</v>
      </c>
      <c r="I34" s="115">
        <f>ROUND('[7]2028'!I38,2)</f>
        <v>11771.04</v>
      </c>
      <c r="J34" s="115">
        <f>ROUND('[7]2028'!J38,2)</f>
        <v>11441.42</v>
      </c>
      <c r="K34" s="115">
        <f>ROUND('[7]2028'!K38,2)</f>
        <v>11290.88</v>
      </c>
      <c r="L34" s="115">
        <f>ROUND('[7]2028'!L38,2)</f>
        <v>12210.68</v>
      </c>
      <c r="M34" s="115">
        <f>ROUND('[7]2028'!M38,2)</f>
        <v>13274.32</v>
      </c>
      <c r="N34" s="115">
        <f>ROUND('[7]2028'!N38,2)</f>
        <v>13937.09</v>
      </c>
      <c r="O34" s="115">
        <f>ROUND('[7]2028'!O38,2)</f>
        <v>14723.06</v>
      </c>
      <c r="P34" s="115">
        <f>ROUND('[7]2028'!P38,2)</f>
        <v>15304.7</v>
      </c>
      <c r="Q34" s="115">
        <f>ROUND('[7]2028'!Q38,2)</f>
        <v>15601.35</v>
      </c>
      <c r="R34" s="115">
        <f>ROUND('[7]2028'!R38,2)</f>
        <v>15539.51</v>
      </c>
      <c r="S34" s="115">
        <f>ROUND('[7]2028'!S38,2)</f>
        <v>15410.25</v>
      </c>
      <c r="T34" s="115">
        <f>ROUND('[7]2028'!T38,2)</f>
        <v>15291.42</v>
      </c>
      <c r="U34" s="115">
        <f>ROUND('[7]2028'!U38,2)</f>
        <v>15174.48</v>
      </c>
      <c r="V34" s="115">
        <f>ROUND('[7]2028'!V38,2)</f>
        <v>15403.39</v>
      </c>
      <c r="W34" s="115">
        <f>ROUND('[7]2028'!W38,2)</f>
        <v>17262.88</v>
      </c>
      <c r="X34" s="115">
        <f>ROUND('[7]2028'!X38,2)</f>
        <v>17948.900000000001</v>
      </c>
      <c r="Y34" s="115">
        <f>ROUND('[7]2028'!Y38,2)</f>
        <v>17721.14</v>
      </c>
      <c r="Z34" s="115">
        <f>ROUND('[7]2028'!Z38,2)</f>
        <v>17066.38</v>
      </c>
      <c r="AA34" s="115">
        <f>ROUND('[7]2028'!AA38,2)</f>
        <v>15913.04</v>
      </c>
      <c r="AB34" s="115">
        <f>ROUND('[7]2028'!AB38,2)</f>
        <v>14590.49</v>
      </c>
      <c r="AC34" s="267"/>
      <c r="AD34" s="19"/>
    </row>
    <row r="35" spans="2:30" ht="18.649999999999999" customHeight="1" x14ac:dyDescent="0.35">
      <c r="B35" s="260">
        <v>46935</v>
      </c>
      <c r="C35" s="14" t="s">
        <v>29</v>
      </c>
      <c r="D35" s="121">
        <f>+'[7]2028'!D39</f>
        <v>19</v>
      </c>
      <c r="E35" s="116">
        <f>ROUND('[7]2028'!E39,2)</f>
        <v>13794.23</v>
      </c>
      <c r="F35" s="116">
        <f>ROUND('[7]2028'!F39,2)</f>
        <v>13130.38</v>
      </c>
      <c r="G35" s="116">
        <f>ROUND('[7]2028'!G39,2)</f>
        <v>12692.76</v>
      </c>
      <c r="H35" s="116">
        <f>ROUND('[7]2028'!H39,2)</f>
        <v>12368.8</v>
      </c>
      <c r="I35" s="116">
        <f>ROUND('[7]2028'!I39,2)</f>
        <v>12318.55</v>
      </c>
      <c r="J35" s="116">
        <f>ROUND('[7]2028'!J39,2)</f>
        <v>12261.13</v>
      </c>
      <c r="K35" s="116">
        <f>ROUND('[7]2028'!K39,2)</f>
        <v>12374</v>
      </c>
      <c r="L35" s="116">
        <f>ROUND('[7]2028'!L39,2)</f>
        <v>13817.47</v>
      </c>
      <c r="M35" s="116">
        <f>ROUND('[7]2028'!M39,2)</f>
        <v>15496.8</v>
      </c>
      <c r="N35" s="116">
        <f>ROUND('[7]2028'!N39,2)</f>
        <v>16448.22</v>
      </c>
      <c r="O35" s="116">
        <f>ROUND('[7]2028'!O39,2)</f>
        <v>17304</v>
      </c>
      <c r="P35" s="116">
        <f>ROUND('[7]2028'!P39,2)</f>
        <v>17693.38</v>
      </c>
      <c r="Q35" s="116">
        <f>ROUND('[7]2028'!Q39,2)</f>
        <v>17462.560000000001</v>
      </c>
      <c r="R35" s="116">
        <f>ROUND('[7]2028'!R39,2)</f>
        <v>17220.400000000001</v>
      </c>
      <c r="S35" s="116">
        <f>ROUND('[7]2028'!S39,2)</f>
        <v>17248.62</v>
      </c>
      <c r="T35" s="116">
        <f>ROUND('[7]2028'!T39,2)</f>
        <v>17295.849999999999</v>
      </c>
      <c r="U35" s="116">
        <f>ROUND('[7]2028'!U39,2)</f>
        <v>17054.009999999998</v>
      </c>
      <c r="V35" s="116">
        <f>ROUND('[7]2028'!V39,2)</f>
        <v>17015.7</v>
      </c>
      <c r="W35" s="116">
        <f>ROUND('[7]2028'!W39,2)</f>
        <v>18456.919999999998</v>
      </c>
      <c r="X35" s="116">
        <f>ROUND('[7]2028'!X39,2)</f>
        <v>18947.38</v>
      </c>
      <c r="Y35" s="116">
        <f>ROUND('[7]2028'!Y39,2)</f>
        <v>18344.03</v>
      </c>
      <c r="Z35" s="116">
        <f>ROUND('[7]2028'!Z39,2)</f>
        <v>17530.689999999999</v>
      </c>
      <c r="AA35" s="116">
        <f>ROUND('[7]2028'!AA39,2)</f>
        <v>16495.849999999999</v>
      </c>
      <c r="AB35" s="116">
        <f>ROUND('[7]2028'!AB39,2)</f>
        <v>15393.39</v>
      </c>
      <c r="AC35" s="262">
        <f>SUM(E35:AB35)*D35+SUM(E36:AB36)*D36+SUM(E37:AB37)*D37+SUM(E38:AB38)*D38</f>
        <v>11743794.080000002</v>
      </c>
      <c r="AD35" s="19"/>
    </row>
    <row r="36" spans="2:30" ht="18.649999999999999" customHeight="1" x14ac:dyDescent="0.35">
      <c r="B36" s="261"/>
      <c r="C36" s="10" t="s">
        <v>30</v>
      </c>
      <c r="D36" s="118">
        <f>+'[7]2028'!D40</f>
        <v>5</v>
      </c>
      <c r="E36" s="113">
        <f>ROUND('[7]2028'!E40,2)</f>
        <v>14672.16</v>
      </c>
      <c r="F36" s="113">
        <f>ROUND('[7]2028'!F40,2)</f>
        <v>13903.72</v>
      </c>
      <c r="G36" s="113">
        <f>ROUND('[7]2028'!G40,2)</f>
        <v>13340.49</v>
      </c>
      <c r="H36" s="113">
        <f>ROUND('[7]2028'!H40,2)</f>
        <v>12943.11</v>
      </c>
      <c r="I36" s="113">
        <f>ROUND('[7]2028'!I40,2)</f>
        <v>12915.72</v>
      </c>
      <c r="J36" s="113">
        <f>ROUND('[7]2028'!J40,2)</f>
        <v>13152.3</v>
      </c>
      <c r="K36" s="113">
        <f>ROUND('[7]2028'!K40,2)</f>
        <v>13229.44</v>
      </c>
      <c r="L36" s="113">
        <f>ROUND('[7]2028'!L40,2)</f>
        <v>14671.95</v>
      </c>
      <c r="M36" s="113">
        <f>ROUND('[7]2028'!M40,2)</f>
        <v>16224.62</v>
      </c>
      <c r="N36" s="113">
        <f>ROUND('[7]2028'!N40,2)</f>
        <v>17107.05</v>
      </c>
      <c r="O36" s="113">
        <f>ROUND('[7]2028'!O40,2)</f>
        <v>17998.89</v>
      </c>
      <c r="P36" s="113">
        <f>ROUND('[7]2028'!P40,2)</f>
        <v>18642.46</v>
      </c>
      <c r="Q36" s="113">
        <f>ROUND('[7]2028'!Q40,2)</f>
        <v>18155.46</v>
      </c>
      <c r="R36" s="113">
        <f>ROUND('[7]2028'!R40,2)</f>
        <v>18519.38</v>
      </c>
      <c r="S36" s="113">
        <f>ROUND('[7]2028'!S40,2)</f>
        <v>19130.919999999998</v>
      </c>
      <c r="T36" s="113">
        <f>ROUND('[7]2028'!T40,2)</f>
        <v>19131.09</v>
      </c>
      <c r="U36" s="113">
        <f>ROUND('[7]2028'!U40,2)</f>
        <v>18766.07</v>
      </c>
      <c r="V36" s="113">
        <f>ROUND('[7]2028'!V40,2)</f>
        <v>18227.580000000002</v>
      </c>
      <c r="W36" s="113">
        <f>ROUND('[7]2028'!W40,2)</f>
        <v>19480.259999999998</v>
      </c>
      <c r="X36" s="113">
        <f>ROUND('[7]2028'!X40,2)</f>
        <v>19881.66</v>
      </c>
      <c r="Y36" s="113">
        <f>ROUND('[7]2028'!Y40,2)</f>
        <v>19461.400000000001</v>
      </c>
      <c r="Z36" s="113">
        <f>ROUND('[7]2028'!Z40,2)</f>
        <v>18633.8</v>
      </c>
      <c r="AA36" s="113">
        <f>ROUND('[7]2028'!AA40,2)</f>
        <v>17273.38</v>
      </c>
      <c r="AB36" s="113">
        <f>ROUND('[7]2028'!AB40,2)</f>
        <v>15808.92</v>
      </c>
      <c r="AC36" s="262"/>
      <c r="AD36" s="19"/>
    </row>
    <row r="37" spans="2:30" ht="18.649999999999999" customHeight="1" x14ac:dyDescent="0.35">
      <c r="B37" s="261"/>
      <c r="C37" s="10" t="s">
        <v>31</v>
      </c>
      <c r="D37" s="118">
        <f>+'[7]2028'!D41</f>
        <v>5</v>
      </c>
      <c r="E37" s="113">
        <f>ROUND('[7]2028'!E41,2)</f>
        <v>13839</v>
      </c>
      <c r="F37" s="113">
        <f>ROUND('[7]2028'!F41,2)</f>
        <v>13283.11</v>
      </c>
      <c r="G37" s="113">
        <f>ROUND('[7]2028'!G41,2)</f>
        <v>12812.55</v>
      </c>
      <c r="H37" s="113">
        <f>ROUND('[7]2028'!H41,2)</f>
        <v>12381.79</v>
      </c>
      <c r="I37" s="113">
        <f>ROUND('[7]2028'!I41,2)</f>
        <v>12237.17</v>
      </c>
      <c r="J37" s="113">
        <f>ROUND('[7]2028'!J41,2)</f>
        <v>12046.47</v>
      </c>
      <c r="K37" s="113">
        <f>ROUND('[7]2028'!K41,2)</f>
        <v>11816.88</v>
      </c>
      <c r="L37" s="113">
        <f>ROUND('[7]2028'!L41,2)</f>
        <v>12698.02</v>
      </c>
      <c r="M37" s="113">
        <f>ROUND('[7]2028'!M41,2)</f>
        <v>13849.5</v>
      </c>
      <c r="N37" s="113">
        <f>ROUND('[7]2028'!N41,2)</f>
        <v>14778.69</v>
      </c>
      <c r="O37" s="113">
        <f>ROUND('[7]2028'!O41,2)</f>
        <v>15445.11</v>
      </c>
      <c r="P37" s="113">
        <f>ROUND('[7]2028'!P41,2)</f>
        <v>15782.87</v>
      </c>
      <c r="Q37" s="113">
        <f>ROUND('[7]2028'!Q41,2)</f>
        <v>16362.38</v>
      </c>
      <c r="R37" s="113">
        <f>ROUND('[7]2028'!R41,2)</f>
        <v>16400.45</v>
      </c>
      <c r="S37" s="113">
        <f>ROUND('[7]2028'!S41,2)</f>
        <v>16371.33</v>
      </c>
      <c r="T37" s="113">
        <f>ROUND('[7]2028'!T41,2)</f>
        <v>16418.28</v>
      </c>
      <c r="U37" s="113">
        <f>ROUND('[7]2028'!U41,2)</f>
        <v>16290.05</v>
      </c>
      <c r="V37" s="113">
        <f>ROUND('[7]2028'!V41,2)</f>
        <v>16142.5</v>
      </c>
      <c r="W37" s="113">
        <f>ROUND('[7]2028'!W41,2)</f>
        <v>17839.759999999998</v>
      </c>
      <c r="X37" s="113">
        <f>ROUND('[7]2028'!X41,2)</f>
        <v>18818.37</v>
      </c>
      <c r="Y37" s="113">
        <f>ROUND('[7]2028'!Y41,2)</f>
        <v>18563.900000000001</v>
      </c>
      <c r="Z37" s="113">
        <f>ROUND('[7]2028'!Z41,2)</f>
        <v>17928.03</v>
      </c>
      <c r="AA37" s="113">
        <f>ROUND('[7]2028'!AA41,2)</f>
        <v>16852.580000000002</v>
      </c>
      <c r="AB37" s="113">
        <f>ROUND('[7]2028'!AB41,2)</f>
        <v>15655.16</v>
      </c>
      <c r="AC37" s="262"/>
      <c r="AD37" s="19"/>
    </row>
    <row r="38" spans="2:30" ht="18.649999999999999" customHeight="1" thickBot="1" x14ac:dyDescent="0.4">
      <c r="B38" s="261"/>
      <c r="C38" s="16" t="s">
        <v>32</v>
      </c>
      <c r="D38" s="119">
        <f>+'[7]2028'!D42</f>
        <v>2</v>
      </c>
      <c r="E38" s="114">
        <f>ROUND('[7]2028'!E42,2)</f>
        <v>13839</v>
      </c>
      <c r="F38" s="114">
        <f>ROUND('[7]2028'!F42,2)</f>
        <v>13283.11</v>
      </c>
      <c r="G38" s="114">
        <f>ROUND('[7]2028'!G42,2)</f>
        <v>12812.55</v>
      </c>
      <c r="H38" s="114">
        <f>ROUND('[7]2028'!H42,2)</f>
        <v>12381.79</v>
      </c>
      <c r="I38" s="114">
        <f>ROUND('[7]2028'!I42,2)</f>
        <v>12237.17</v>
      </c>
      <c r="J38" s="114">
        <f>ROUND('[7]2028'!J42,2)</f>
        <v>12046.47</v>
      </c>
      <c r="K38" s="114">
        <f>ROUND('[7]2028'!K42,2)</f>
        <v>11816.88</v>
      </c>
      <c r="L38" s="114">
        <f>ROUND('[7]2028'!L42,2)</f>
        <v>12698.02</v>
      </c>
      <c r="M38" s="114">
        <f>ROUND('[7]2028'!M42,2)</f>
        <v>13849.5</v>
      </c>
      <c r="N38" s="114">
        <f>ROUND('[7]2028'!N42,2)</f>
        <v>14778.69</v>
      </c>
      <c r="O38" s="114">
        <f>ROUND('[7]2028'!O42,2)</f>
        <v>15445.11</v>
      </c>
      <c r="P38" s="114">
        <f>ROUND('[7]2028'!P42,2)</f>
        <v>15782.87</v>
      </c>
      <c r="Q38" s="114">
        <f>ROUND('[7]2028'!Q42,2)</f>
        <v>16362.38</v>
      </c>
      <c r="R38" s="114">
        <f>ROUND('[7]2028'!R42,2)</f>
        <v>16400.45</v>
      </c>
      <c r="S38" s="114">
        <f>ROUND('[7]2028'!S42,2)</f>
        <v>16371.33</v>
      </c>
      <c r="T38" s="114">
        <f>ROUND('[7]2028'!T42,2)</f>
        <v>16418.28</v>
      </c>
      <c r="U38" s="114">
        <f>ROUND('[7]2028'!U42,2)</f>
        <v>16290.05</v>
      </c>
      <c r="V38" s="114">
        <f>ROUND('[7]2028'!V42,2)</f>
        <v>16142.5</v>
      </c>
      <c r="W38" s="114">
        <f>ROUND('[7]2028'!W42,2)</f>
        <v>17839.759999999998</v>
      </c>
      <c r="X38" s="114">
        <f>ROUND('[7]2028'!X42,2)</f>
        <v>18818.37</v>
      </c>
      <c r="Y38" s="114">
        <f>ROUND('[7]2028'!Y42,2)</f>
        <v>18563.900000000001</v>
      </c>
      <c r="Z38" s="114">
        <f>ROUND('[7]2028'!Z42,2)</f>
        <v>17928.03</v>
      </c>
      <c r="AA38" s="114">
        <f>ROUND('[7]2028'!AA42,2)</f>
        <v>16852.580000000002</v>
      </c>
      <c r="AB38" s="114">
        <f>ROUND('[7]2028'!AB42,2)</f>
        <v>15655.16</v>
      </c>
      <c r="AC38" s="262"/>
      <c r="AD38" s="19"/>
    </row>
    <row r="39" spans="2:30" ht="18.649999999999999" customHeight="1" x14ac:dyDescent="0.35">
      <c r="B39" s="263">
        <v>46966</v>
      </c>
      <c r="C39" s="7" t="s">
        <v>29</v>
      </c>
      <c r="D39" s="117">
        <f>+'[7]2028'!D43</f>
        <v>21</v>
      </c>
      <c r="E39" s="112">
        <f>ROUND('[7]2028'!E43,2)</f>
        <v>14268.24</v>
      </c>
      <c r="F39" s="112">
        <f>ROUND('[7]2028'!F43,2)</f>
        <v>13499.38</v>
      </c>
      <c r="G39" s="112">
        <f>ROUND('[7]2028'!G43,2)</f>
        <v>12925.72</v>
      </c>
      <c r="H39" s="112">
        <f>ROUND('[7]2028'!H43,2)</f>
        <v>12541.55</v>
      </c>
      <c r="I39" s="112">
        <f>ROUND('[7]2028'!I43,2)</f>
        <v>12400.44</v>
      </c>
      <c r="J39" s="112">
        <f>ROUND('[7]2028'!J43,2)</f>
        <v>12364.89</v>
      </c>
      <c r="K39" s="112">
        <f>ROUND('[7]2028'!K43,2)</f>
        <v>12405.5</v>
      </c>
      <c r="L39" s="112">
        <f>ROUND('[7]2028'!L43,2)</f>
        <v>13836.95</v>
      </c>
      <c r="M39" s="112">
        <f>ROUND('[7]2028'!M43,2)</f>
        <v>15448.68</v>
      </c>
      <c r="N39" s="112">
        <f>ROUND('[7]2028'!N43,2)</f>
        <v>16439.240000000002</v>
      </c>
      <c r="O39" s="112">
        <f>ROUND('[7]2028'!O43,2)</f>
        <v>17261.89</v>
      </c>
      <c r="P39" s="112">
        <f>ROUND('[7]2028'!P43,2)</f>
        <v>17786.68</v>
      </c>
      <c r="Q39" s="112">
        <f>ROUND('[7]2028'!Q43,2)</f>
        <v>17491.55</v>
      </c>
      <c r="R39" s="112">
        <f>ROUND('[7]2028'!R43,2)</f>
        <v>17242.29</v>
      </c>
      <c r="S39" s="112">
        <f>ROUND('[7]2028'!S43,2)</f>
        <v>17216.32</v>
      </c>
      <c r="T39" s="112">
        <f>ROUND('[7]2028'!T43,2)</f>
        <v>17075.84</v>
      </c>
      <c r="U39" s="112">
        <f>ROUND('[7]2028'!U43,2)</f>
        <v>16733.54</v>
      </c>
      <c r="V39" s="112">
        <f>ROUND('[7]2028'!V43,2)</f>
        <v>16711.349999999999</v>
      </c>
      <c r="W39" s="112">
        <f>ROUND('[7]2028'!W43,2)</f>
        <v>18226.43</v>
      </c>
      <c r="X39" s="112">
        <f>ROUND('[7]2028'!X43,2)</f>
        <v>18460.36</v>
      </c>
      <c r="Y39" s="112">
        <f>ROUND('[7]2028'!Y43,2)</f>
        <v>17919.37</v>
      </c>
      <c r="Z39" s="112">
        <f>ROUND('[7]2028'!Z43,2)</f>
        <v>17173.509999999998</v>
      </c>
      <c r="AA39" s="112">
        <f>ROUND('[7]2028'!AA43,2)</f>
        <v>16121.31</v>
      </c>
      <c r="AB39" s="112">
        <f>ROUND('[7]2028'!AB43,2)</f>
        <v>15000.8</v>
      </c>
      <c r="AC39" s="266">
        <f>SUM(E39:AB39)*D39+SUM(E40:AB40)*D40+SUM(E41:AB41)*D41+SUM(E42:AB42)*D42</f>
        <v>11620125.890000001</v>
      </c>
      <c r="AD39" s="19"/>
    </row>
    <row r="40" spans="2:30" ht="18.649999999999999" customHeight="1" x14ac:dyDescent="0.35">
      <c r="B40" s="264" t="s">
        <v>34</v>
      </c>
      <c r="C40" s="10" t="s">
        <v>30</v>
      </c>
      <c r="D40" s="118">
        <f>+'[7]2028'!D44</f>
        <v>4</v>
      </c>
      <c r="E40" s="113">
        <f>ROUND('[7]2028'!E44,2)</f>
        <v>14079.74</v>
      </c>
      <c r="F40" s="113">
        <f>ROUND('[7]2028'!F44,2)</f>
        <v>13380.87</v>
      </c>
      <c r="G40" s="113">
        <f>ROUND('[7]2028'!G44,2)</f>
        <v>12846.35</v>
      </c>
      <c r="H40" s="113">
        <f>ROUND('[7]2028'!H44,2)</f>
        <v>12469.41</v>
      </c>
      <c r="I40" s="113">
        <f>ROUND('[7]2028'!I44,2)</f>
        <v>12433.42</v>
      </c>
      <c r="J40" s="113">
        <f>ROUND('[7]2028'!J44,2)</f>
        <v>12636.83</v>
      </c>
      <c r="K40" s="113">
        <f>ROUND('[7]2028'!K44,2)</f>
        <v>12771.68</v>
      </c>
      <c r="L40" s="113">
        <f>ROUND('[7]2028'!L44,2)</f>
        <v>14228.7</v>
      </c>
      <c r="M40" s="113">
        <f>ROUND('[7]2028'!M44,2)</f>
        <v>15721.77</v>
      </c>
      <c r="N40" s="113">
        <f>ROUND('[7]2028'!N44,2)</f>
        <v>16567.57</v>
      </c>
      <c r="O40" s="113">
        <f>ROUND('[7]2028'!O44,2)</f>
        <v>17445.5</v>
      </c>
      <c r="P40" s="113">
        <f>ROUND('[7]2028'!P44,2)</f>
        <v>18039.53</v>
      </c>
      <c r="Q40" s="113">
        <f>ROUND('[7]2028'!Q44,2)</f>
        <v>17576.66</v>
      </c>
      <c r="R40" s="113">
        <f>ROUND('[7]2028'!R44,2)</f>
        <v>17992.349999999999</v>
      </c>
      <c r="S40" s="113">
        <f>ROUND('[7]2028'!S44,2)</f>
        <v>18617.189999999999</v>
      </c>
      <c r="T40" s="113">
        <f>ROUND('[7]2028'!T44,2)</f>
        <v>18630.43</v>
      </c>
      <c r="U40" s="113">
        <f>ROUND('[7]2028'!U44,2)</f>
        <v>18287.02</v>
      </c>
      <c r="V40" s="113">
        <f>ROUND('[7]2028'!V44,2)</f>
        <v>17979.650000000001</v>
      </c>
      <c r="W40" s="113">
        <f>ROUND('[7]2028'!W44,2)</f>
        <v>19300.32</v>
      </c>
      <c r="X40" s="113">
        <f>ROUND('[7]2028'!X44,2)</f>
        <v>19221.93</v>
      </c>
      <c r="Y40" s="113">
        <f>ROUND('[7]2028'!Y44,2)</f>
        <v>18725.87</v>
      </c>
      <c r="Z40" s="113">
        <f>ROUND('[7]2028'!Z44,2)</f>
        <v>17867.62</v>
      </c>
      <c r="AA40" s="113">
        <f>ROUND('[7]2028'!AA44,2)</f>
        <v>16499.71</v>
      </c>
      <c r="AB40" s="113">
        <f>ROUND('[7]2028'!AB44,2)</f>
        <v>15096.32</v>
      </c>
      <c r="AC40" s="262"/>
      <c r="AD40" s="19"/>
    </row>
    <row r="41" spans="2:30" ht="18.649999999999999" customHeight="1" x14ac:dyDescent="0.35">
      <c r="B41" s="264" t="s">
        <v>34</v>
      </c>
      <c r="C41" s="10" t="s">
        <v>31</v>
      </c>
      <c r="D41" s="118">
        <f>+'[7]2028'!D45</f>
        <v>4</v>
      </c>
      <c r="E41" s="113">
        <f>ROUND('[7]2028'!E45,2)</f>
        <v>14072.72</v>
      </c>
      <c r="F41" s="113">
        <f>ROUND('[7]2028'!F45,2)</f>
        <v>13339.31</v>
      </c>
      <c r="G41" s="113">
        <f>ROUND('[7]2028'!G45,2)</f>
        <v>12769.69</v>
      </c>
      <c r="H41" s="113">
        <f>ROUND('[7]2028'!H45,2)</f>
        <v>12357.7</v>
      </c>
      <c r="I41" s="113">
        <f>ROUND('[7]2028'!I45,2)</f>
        <v>12184.81</v>
      </c>
      <c r="J41" s="113">
        <f>ROUND('[7]2028'!J45,2)</f>
        <v>11951.85</v>
      </c>
      <c r="K41" s="113">
        <f>ROUND('[7]2028'!K45,2)</f>
        <v>11696.98</v>
      </c>
      <c r="L41" s="113">
        <f>ROUND('[7]2028'!L45,2)</f>
        <v>12547.91</v>
      </c>
      <c r="M41" s="113">
        <f>ROUND('[7]2028'!M45,2)</f>
        <v>13484.78</v>
      </c>
      <c r="N41" s="113">
        <f>ROUND('[7]2028'!N45,2)</f>
        <v>14329.12</v>
      </c>
      <c r="O41" s="113">
        <f>ROUND('[7]2028'!O45,2)</f>
        <v>15129.63</v>
      </c>
      <c r="P41" s="113">
        <f>ROUND('[7]2028'!P45,2)</f>
        <v>15814.58</v>
      </c>
      <c r="Q41" s="113">
        <f>ROUND('[7]2028'!Q45,2)</f>
        <v>16066.63</v>
      </c>
      <c r="R41" s="113">
        <f>ROUND('[7]2028'!R45,2)</f>
        <v>15989.51</v>
      </c>
      <c r="S41" s="113">
        <f>ROUND('[7]2028'!S45,2)</f>
        <v>15917.65</v>
      </c>
      <c r="T41" s="113">
        <f>ROUND('[7]2028'!T45,2)</f>
        <v>15968.38</v>
      </c>
      <c r="U41" s="113">
        <f>ROUND('[7]2028'!U45,2)</f>
        <v>15822.71</v>
      </c>
      <c r="V41" s="113">
        <f>ROUND('[7]2028'!V45,2)</f>
        <v>15804.81</v>
      </c>
      <c r="W41" s="113">
        <f>ROUND('[7]2028'!W45,2)</f>
        <v>17637.8</v>
      </c>
      <c r="X41" s="113">
        <f>ROUND('[7]2028'!X45,2)</f>
        <v>18631.490000000002</v>
      </c>
      <c r="Y41" s="113">
        <f>ROUND('[7]2028'!Y45,2)</f>
        <v>18532.13</v>
      </c>
      <c r="Z41" s="113">
        <f>ROUND('[7]2028'!Z45,2)</f>
        <v>17834.830000000002</v>
      </c>
      <c r="AA41" s="113">
        <f>ROUND('[7]2028'!AA45,2)</f>
        <v>16625.72</v>
      </c>
      <c r="AB41" s="113">
        <f>ROUND('[7]2028'!AB45,2)</f>
        <v>15301.21</v>
      </c>
      <c r="AC41" s="262"/>
      <c r="AD41" s="19"/>
    </row>
    <row r="42" spans="2:30" ht="18.649999999999999" customHeight="1" thickBot="1" x14ac:dyDescent="0.4">
      <c r="B42" s="265" t="s">
        <v>34</v>
      </c>
      <c r="C42" s="12" t="s">
        <v>32</v>
      </c>
      <c r="D42" s="120">
        <f>+'[7]2028'!D46</f>
        <v>2</v>
      </c>
      <c r="E42" s="115">
        <f>ROUND('[7]2028'!E46,2)</f>
        <v>14072.72</v>
      </c>
      <c r="F42" s="115">
        <f>ROUND('[7]2028'!F46,2)</f>
        <v>13339.31</v>
      </c>
      <c r="G42" s="115">
        <f>ROUND('[7]2028'!G46,2)</f>
        <v>12769.69</v>
      </c>
      <c r="H42" s="115">
        <f>ROUND('[7]2028'!H46,2)</f>
        <v>12357.7</v>
      </c>
      <c r="I42" s="115">
        <f>ROUND('[7]2028'!I46,2)</f>
        <v>12184.81</v>
      </c>
      <c r="J42" s="115">
        <f>ROUND('[7]2028'!J46,2)</f>
        <v>11951.85</v>
      </c>
      <c r="K42" s="115">
        <f>ROUND('[7]2028'!K46,2)</f>
        <v>11696.98</v>
      </c>
      <c r="L42" s="115">
        <f>ROUND('[7]2028'!L46,2)</f>
        <v>12547.91</v>
      </c>
      <c r="M42" s="115">
        <f>ROUND('[7]2028'!M46,2)</f>
        <v>13484.78</v>
      </c>
      <c r="N42" s="115">
        <f>ROUND('[7]2028'!N46,2)</f>
        <v>14329.12</v>
      </c>
      <c r="O42" s="115">
        <f>ROUND('[7]2028'!O46,2)</f>
        <v>15129.63</v>
      </c>
      <c r="P42" s="115">
        <f>ROUND('[7]2028'!P46,2)</f>
        <v>15814.58</v>
      </c>
      <c r="Q42" s="115">
        <f>ROUND('[7]2028'!Q46,2)</f>
        <v>16066.63</v>
      </c>
      <c r="R42" s="115">
        <f>ROUND('[7]2028'!R46,2)</f>
        <v>15989.51</v>
      </c>
      <c r="S42" s="115">
        <f>ROUND('[7]2028'!S46,2)</f>
        <v>15917.65</v>
      </c>
      <c r="T42" s="115">
        <f>ROUND('[7]2028'!T46,2)</f>
        <v>15968.38</v>
      </c>
      <c r="U42" s="115">
        <f>ROUND('[7]2028'!U46,2)</f>
        <v>15822.71</v>
      </c>
      <c r="V42" s="115">
        <f>ROUND('[7]2028'!V46,2)</f>
        <v>15804.81</v>
      </c>
      <c r="W42" s="115">
        <f>ROUND('[7]2028'!W46,2)</f>
        <v>17637.8</v>
      </c>
      <c r="X42" s="115">
        <f>ROUND('[7]2028'!X46,2)</f>
        <v>18631.490000000002</v>
      </c>
      <c r="Y42" s="115">
        <f>ROUND('[7]2028'!Y46,2)</f>
        <v>18532.13</v>
      </c>
      <c r="Z42" s="115">
        <f>ROUND('[7]2028'!Z46,2)</f>
        <v>17834.830000000002</v>
      </c>
      <c r="AA42" s="115">
        <f>ROUND('[7]2028'!AA46,2)</f>
        <v>16625.72</v>
      </c>
      <c r="AB42" s="115">
        <f>ROUND('[7]2028'!AB46,2)</f>
        <v>15301.21</v>
      </c>
      <c r="AC42" s="267"/>
      <c r="AD42" s="19"/>
    </row>
    <row r="43" spans="2:30" ht="18.649999999999999" customHeight="1" x14ac:dyDescent="0.35">
      <c r="B43" s="260">
        <v>46997</v>
      </c>
      <c r="C43" s="14" t="s">
        <v>29</v>
      </c>
      <c r="D43" s="121">
        <f>+'[7]2028'!D47</f>
        <v>21</v>
      </c>
      <c r="E43" s="116">
        <f>ROUND('[7]2028'!E47,2)</f>
        <v>14461.39</v>
      </c>
      <c r="F43" s="116">
        <f>ROUND('[7]2028'!F47,2)</f>
        <v>13723.29</v>
      </c>
      <c r="G43" s="116">
        <f>ROUND('[7]2028'!G47,2)</f>
        <v>13152.21</v>
      </c>
      <c r="H43" s="116">
        <f>ROUND('[7]2028'!H47,2)</f>
        <v>12747.65</v>
      </c>
      <c r="I43" s="116">
        <f>ROUND('[7]2028'!I47,2)</f>
        <v>12628.94</v>
      </c>
      <c r="J43" s="116">
        <f>ROUND('[7]2028'!J47,2)</f>
        <v>12465.9</v>
      </c>
      <c r="K43" s="116">
        <f>ROUND('[7]2028'!K47,2)</f>
        <v>12546.54</v>
      </c>
      <c r="L43" s="116">
        <f>ROUND('[7]2028'!L47,2)</f>
        <v>14038.64</v>
      </c>
      <c r="M43" s="116">
        <f>ROUND('[7]2028'!M47,2)</f>
        <v>15632.23</v>
      </c>
      <c r="N43" s="116">
        <f>ROUND('[7]2028'!N47,2)</f>
        <v>16551.259999999998</v>
      </c>
      <c r="O43" s="116">
        <f>ROUND('[7]2028'!O47,2)</f>
        <v>17334.240000000002</v>
      </c>
      <c r="P43" s="116">
        <f>ROUND('[7]2028'!P47,2)</f>
        <v>17722.939999999999</v>
      </c>
      <c r="Q43" s="116">
        <f>ROUND('[7]2028'!Q47,2)</f>
        <v>17386.86</v>
      </c>
      <c r="R43" s="116">
        <f>ROUND('[7]2028'!R47,2)</f>
        <v>17135.919999999998</v>
      </c>
      <c r="S43" s="116">
        <f>ROUND('[7]2028'!S47,2)</f>
        <v>17115.43</v>
      </c>
      <c r="T43" s="116">
        <f>ROUND('[7]2028'!T47,2)</f>
        <v>17086.02</v>
      </c>
      <c r="U43" s="116">
        <f>ROUND('[7]2028'!U47,2)</f>
        <v>16830.5</v>
      </c>
      <c r="V43" s="116">
        <f>ROUND('[7]2028'!V47,2)</f>
        <v>17027.63</v>
      </c>
      <c r="W43" s="116">
        <f>ROUND('[7]2028'!W47,2)</f>
        <v>18797.29</v>
      </c>
      <c r="X43" s="116">
        <f>ROUND('[7]2028'!X47,2)</f>
        <v>18617.919999999998</v>
      </c>
      <c r="Y43" s="116">
        <f>ROUND('[7]2028'!Y47,2)</f>
        <v>17971.78</v>
      </c>
      <c r="Z43" s="116">
        <f>ROUND('[7]2028'!Z47,2)</f>
        <v>17168.740000000002</v>
      </c>
      <c r="AA43" s="116">
        <f>ROUND('[7]2028'!AA47,2)</f>
        <v>16202.62</v>
      </c>
      <c r="AB43" s="116">
        <f>ROUND('[7]2028'!AB47,2)</f>
        <v>15137.54</v>
      </c>
      <c r="AC43" s="262">
        <f>SUM(E43:AB43)*D43+SUM(E44:AB44)*D44+SUM(E45:AB45)*D45+SUM(E46:AB46)*D46</f>
        <v>11452942.769999998</v>
      </c>
      <c r="AD43" s="19"/>
    </row>
    <row r="44" spans="2:30" ht="18.649999999999999" customHeight="1" x14ac:dyDescent="0.35">
      <c r="B44" s="261"/>
      <c r="C44" s="10" t="s">
        <v>30</v>
      </c>
      <c r="D44" s="118">
        <f>+'[7]2028'!D48</f>
        <v>5</v>
      </c>
      <c r="E44" s="113">
        <f>ROUND('[7]2028'!E48,2)</f>
        <v>13519.15</v>
      </c>
      <c r="F44" s="113">
        <f>ROUND('[7]2028'!F48,2)</f>
        <v>12838.76</v>
      </c>
      <c r="G44" s="113">
        <f>ROUND('[7]2028'!G48,2)</f>
        <v>12363.99</v>
      </c>
      <c r="H44" s="113">
        <f>ROUND('[7]2028'!H48,2)</f>
        <v>12014.02</v>
      </c>
      <c r="I44" s="113">
        <f>ROUND('[7]2028'!I48,2)</f>
        <v>12019.76</v>
      </c>
      <c r="J44" s="113">
        <f>ROUND('[7]2028'!J48,2)</f>
        <v>12218.96</v>
      </c>
      <c r="K44" s="113">
        <f>ROUND('[7]2028'!K48,2)</f>
        <v>12467.68</v>
      </c>
      <c r="L44" s="113">
        <f>ROUND('[7]2028'!L48,2)</f>
        <v>13988.74</v>
      </c>
      <c r="M44" s="113">
        <f>ROUND('[7]2028'!M48,2)</f>
        <v>15470.27</v>
      </c>
      <c r="N44" s="113">
        <f>ROUND('[7]2028'!N48,2)</f>
        <v>16278.76</v>
      </c>
      <c r="O44" s="113">
        <f>ROUND('[7]2028'!O48,2)</f>
        <v>17134.240000000002</v>
      </c>
      <c r="P44" s="113">
        <f>ROUND('[7]2028'!P48,2)</f>
        <v>17723.86</v>
      </c>
      <c r="Q44" s="113">
        <f>ROUND('[7]2028'!Q48,2)</f>
        <v>17216.310000000001</v>
      </c>
      <c r="R44" s="113">
        <f>ROUND('[7]2028'!R48,2)</f>
        <v>17603.5</v>
      </c>
      <c r="S44" s="113">
        <f>ROUND('[7]2028'!S48,2)</f>
        <v>18256.650000000001</v>
      </c>
      <c r="T44" s="113">
        <f>ROUND('[7]2028'!T48,2)</f>
        <v>18289.57</v>
      </c>
      <c r="U44" s="113">
        <f>ROUND('[7]2028'!U48,2)</f>
        <v>17911.07</v>
      </c>
      <c r="V44" s="113">
        <f>ROUND('[7]2028'!V48,2)</f>
        <v>17960.490000000002</v>
      </c>
      <c r="W44" s="113">
        <f>ROUND('[7]2028'!W48,2)</f>
        <v>19043.59</v>
      </c>
      <c r="X44" s="113">
        <f>ROUND('[7]2028'!X48,2)</f>
        <v>18720.13</v>
      </c>
      <c r="Y44" s="113">
        <f>ROUND('[7]2028'!Y48,2)</f>
        <v>18121.47</v>
      </c>
      <c r="Z44" s="113">
        <f>ROUND('[7]2028'!Z48,2)</f>
        <v>17239.96</v>
      </c>
      <c r="AA44" s="113">
        <f>ROUND('[7]2028'!AA48,2)</f>
        <v>15969.78</v>
      </c>
      <c r="AB44" s="113">
        <f>ROUND('[7]2028'!AB48,2)</f>
        <v>14650.1</v>
      </c>
      <c r="AC44" s="262"/>
      <c r="AD44" s="19"/>
    </row>
    <row r="45" spans="2:30" ht="18.649999999999999" customHeight="1" x14ac:dyDescent="0.35">
      <c r="B45" s="261"/>
      <c r="C45" s="10" t="s">
        <v>31</v>
      </c>
      <c r="D45" s="118">
        <f>+'[7]2028'!D49</f>
        <v>4</v>
      </c>
      <c r="E45" s="113">
        <f>ROUND('[7]2028'!E49,2)</f>
        <v>13931.27</v>
      </c>
      <c r="F45" s="113">
        <f>ROUND('[7]2028'!F49,2)</f>
        <v>13253.5</v>
      </c>
      <c r="G45" s="113">
        <f>ROUND('[7]2028'!G49,2)</f>
        <v>12751.78</v>
      </c>
      <c r="H45" s="113">
        <f>ROUND('[7]2028'!H49,2)</f>
        <v>12372.79</v>
      </c>
      <c r="I45" s="113">
        <f>ROUND('[7]2028'!I49,2)</f>
        <v>12392.62</v>
      </c>
      <c r="J45" s="113">
        <f>ROUND('[7]2028'!J49,2)</f>
        <v>12783.18</v>
      </c>
      <c r="K45" s="113">
        <f>ROUND('[7]2028'!K49,2)</f>
        <v>13029.27</v>
      </c>
      <c r="L45" s="113">
        <f>ROUND('[7]2028'!L49,2)</f>
        <v>14642.98</v>
      </c>
      <c r="M45" s="113">
        <f>ROUND('[7]2028'!M49,2)</f>
        <v>16240.78</v>
      </c>
      <c r="N45" s="113">
        <f>ROUND('[7]2028'!N49,2)</f>
        <v>17086.62</v>
      </c>
      <c r="O45" s="113">
        <f>ROUND('[7]2028'!O49,2)</f>
        <v>18049.46</v>
      </c>
      <c r="P45" s="113">
        <f>ROUND('[7]2028'!P49,2)</f>
        <v>18697.68</v>
      </c>
      <c r="Q45" s="113">
        <f>ROUND('[7]2028'!Q49,2)</f>
        <v>18039.560000000001</v>
      </c>
      <c r="R45" s="113">
        <f>ROUND('[7]2028'!R49,2)</f>
        <v>18677.48</v>
      </c>
      <c r="S45" s="113">
        <f>ROUND('[7]2028'!S49,2)</f>
        <v>19582.11</v>
      </c>
      <c r="T45" s="113">
        <f>ROUND('[7]2028'!T49,2)</f>
        <v>19606.64</v>
      </c>
      <c r="U45" s="113">
        <f>ROUND('[7]2028'!U49,2)</f>
        <v>19161.59</v>
      </c>
      <c r="V45" s="113">
        <f>ROUND('[7]2028'!V49,2)</f>
        <v>18608.310000000001</v>
      </c>
      <c r="W45" s="113">
        <f>ROUND('[7]2028'!W49,2)</f>
        <v>19696.11</v>
      </c>
      <c r="X45" s="113">
        <f>ROUND('[7]2028'!X49,2)</f>
        <v>19550.64</v>
      </c>
      <c r="Y45" s="113">
        <f>ROUND('[7]2028'!Y49,2)</f>
        <v>19046.28</v>
      </c>
      <c r="Z45" s="113">
        <f>ROUND('[7]2028'!Z49,2)</f>
        <v>18146.5</v>
      </c>
      <c r="AA45" s="113">
        <f>ROUND('[7]2028'!AA49,2)</f>
        <v>16659.34</v>
      </c>
      <c r="AB45" s="113">
        <f>ROUND('[7]2028'!AB49,2)</f>
        <v>15164.92</v>
      </c>
      <c r="AC45" s="262"/>
      <c r="AD45" s="19"/>
    </row>
    <row r="46" spans="2:30" ht="18.649999999999999" customHeight="1" thickBot="1" x14ac:dyDescent="0.4">
      <c r="B46" s="261"/>
      <c r="C46" s="16" t="s">
        <v>32</v>
      </c>
      <c r="D46" s="119">
        <f>+'[7]2028'!D50</f>
        <v>0</v>
      </c>
      <c r="E46" s="115">
        <f>ROUND('[7]2028'!E50,2)</f>
        <v>0</v>
      </c>
      <c r="F46" s="115">
        <f>ROUND('[7]2028'!F50,2)</f>
        <v>0</v>
      </c>
      <c r="G46" s="115">
        <f>ROUND('[7]2028'!G50,2)</f>
        <v>0</v>
      </c>
      <c r="H46" s="115">
        <f>ROUND('[7]2028'!H50,2)</f>
        <v>0</v>
      </c>
      <c r="I46" s="115">
        <f>ROUND('[7]2028'!I50,2)</f>
        <v>0</v>
      </c>
      <c r="J46" s="115">
        <f>ROUND('[7]2028'!J50,2)</f>
        <v>0</v>
      </c>
      <c r="K46" s="115">
        <f>ROUND('[7]2028'!K50,2)</f>
        <v>0</v>
      </c>
      <c r="L46" s="115">
        <f>ROUND('[7]2028'!L50,2)</f>
        <v>0</v>
      </c>
      <c r="M46" s="115">
        <f>ROUND('[7]2028'!M50,2)</f>
        <v>0</v>
      </c>
      <c r="N46" s="115">
        <f>ROUND('[7]2028'!N50,2)</f>
        <v>0</v>
      </c>
      <c r="O46" s="115">
        <f>ROUND('[7]2028'!O50,2)</f>
        <v>0</v>
      </c>
      <c r="P46" s="115">
        <f>ROUND('[7]2028'!P50,2)</f>
        <v>0</v>
      </c>
      <c r="Q46" s="115">
        <f>ROUND('[7]2028'!Q50,2)</f>
        <v>0</v>
      </c>
      <c r="R46" s="115">
        <f>ROUND('[7]2028'!R50,2)</f>
        <v>0</v>
      </c>
      <c r="S46" s="115">
        <f>ROUND('[7]2028'!S50,2)</f>
        <v>0</v>
      </c>
      <c r="T46" s="115">
        <f>ROUND('[7]2028'!T50,2)</f>
        <v>0</v>
      </c>
      <c r="U46" s="115">
        <f>ROUND('[7]2028'!U50,2)</f>
        <v>0</v>
      </c>
      <c r="V46" s="115">
        <f>ROUND('[7]2028'!V50,2)</f>
        <v>0</v>
      </c>
      <c r="W46" s="115">
        <f>ROUND('[7]2028'!W50,2)</f>
        <v>0</v>
      </c>
      <c r="X46" s="115">
        <f>ROUND('[7]2028'!X50,2)</f>
        <v>0</v>
      </c>
      <c r="Y46" s="115">
        <f>ROUND('[7]2028'!Y50,2)</f>
        <v>0</v>
      </c>
      <c r="Z46" s="115">
        <f>ROUND('[7]2028'!Z50,2)</f>
        <v>0</v>
      </c>
      <c r="AA46" s="115">
        <f>ROUND('[7]2028'!AA50,2)</f>
        <v>0</v>
      </c>
      <c r="AB46" s="115">
        <f>ROUND('[7]2028'!AB50,2)</f>
        <v>0</v>
      </c>
      <c r="AC46" s="262"/>
      <c r="AD46" s="19"/>
    </row>
    <row r="47" spans="2:30" ht="18.649999999999999" customHeight="1" x14ac:dyDescent="0.35">
      <c r="B47" s="263">
        <v>47027</v>
      </c>
      <c r="C47" s="7" t="s">
        <v>29</v>
      </c>
      <c r="D47" s="117">
        <f>+'[7]2028'!D51</f>
        <v>21</v>
      </c>
      <c r="E47" s="112">
        <f>ROUND('[7]2028'!E51,2)</f>
        <v>13942.35</v>
      </c>
      <c r="F47" s="112">
        <f>ROUND('[7]2028'!F51,2)</f>
        <v>13237.31</v>
      </c>
      <c r="G47" s="112">
        <f>ROUND('[7]2028'!G51,2)</f>
        <v>12676.14</v>
      </c>
      <c r="H47" s="112">
        <f>ROUND('[7]2028'!H51,2)</f>
        <v>12212.27</v>
      </c>
      <c r="I47" s="112">
        <f>ROUND('[7]2028'!I51,2)</f>
        <v>12036.27</v>
      </c>
      <c r="J47" s="112">
        <f>ROUND('[7]2028'!J51,2)</f>
        <v>11938.53</v>
      </c>
      <c r="K47" s="112">
        <f>ROUND('[7]2028'!K51,2)</f>
        <v>12190.54</v>
      </c>
      <c r="L47" s="112">
        <f>ROUND('[7]2028'!L51,2)</f>
        <v>13720.07</v>
      </c>
      <c r="M47" s="112">
        <f>ROUND('[7]2028'!M51,2)</f>
        <v>15283.43</v>
      </c>
      <c r="N47" s="112">
        <f>ROUND('[7]2028'!N51,2)</f>
        <v>16190.97</v>
      </c>
      <c r="O47" s="112">
        <f>ROUND('[7]2028'!O51,2)</f>
        <v>17027.39</v>
      </c>
      <c r="P47" s="112">
        <f>ROUND('[7]2028'!P51,2)</f>
        <v>17466.12</v>
      </c>
      <c r="Q47" s="112">
        <f>ROUND('[7]2028'!Q51,2)</f>
        <v>17155.7</v>
      </c>
      <c r="R47" s="112">
        <f>ROUND('[7]2028'!R51,2)</f>
        <v>16952.47</v>
      </c>
      <c r="S47" s="112">
        <f>ROUND('[7]2028'!S51,2)</f>
        <v>17022.27</v>
      </c>
      <c r="T47" s="112">
        <f>ROUND('[7]2028'!T51,2)</f>
        <v>16988.68</v>
      </c>
      <c r="U47" s="112">
        <f>ROUND('[7]2028'!U51,2)</f>
        <v>16770.21</v>
      </c>
      <c r="V47" s="112">
        <f>ROUND('[7]2028'!V51,2)</f>
        <v>17206.21</v>
      </c>
      <c r="W47" s="112">
        <f>ROUND('[7]2028'!W51,2)</f>
        <v>18774.84</v>
      </c>
      <c r="X47" s="112">
        <f>ROUND('[7]2028'!X51,2)</f>
        <v>18461.13</v>
      </c>
      <c r="Y47" s="112">
        <f>ROUND('[7]2028'!Y51,2)</f>
        <v>17807.97</v>
      </c>
      <c r="Z47" s="112">
        <f>ROUND('[7]2028'!Z51,2)</f>
        <v>16977.89</v>
      </c>
      <c r="AA47" s="112">
        <f>ROUND('[7]2028'!AA51,2)</f>
        <v>15987.85</v>
      </c>
      <c r="AB47" s="112">
        <f>ROUND('[7]2028'!AB51,2)</f>
        <v>14929.23</v>
      </c>
      <c r="AC47" s="266">
        <f>SUM(E47:AB47)*D47+SUM(E48:AB48)*D48+SUM(E49:AB49)*D49+SUM(E50:AB50)*D50</f>
        <v>11390912.459999999</v>
      </c>
      <c r="AD47" s="19"/>
    </row>
    <row r="48" spans="2:30" ht="18.649999999999999" customHeight="1" x14ac:dyDescent="0.35">
      <c r="B48" s="264" t="s">
        <v>34</v>
      </c>
      <c r="C48" s="10" t="s">
        <v>30</v>
      </c>
      <c r="D48" s="118">
        <f>+'[7]2028'!D52</f>
        <v>4</v>
      </c>
      <c r="E48" s="113">
        <f>ROUND('[7]2028'!E52,2)</f>
        <v>12958.9</v>
      </c>
      <c r="F48" s="113">
        <f>ROUND('[7]2028'!F52,2)</f>
        <v>12318.82</v>
      </c>
      <c r="G48" s="113">
        <f>ROUND('[7]2028'!G52,2)</f>
        <v>11845.23</v>
      </c>
      <c r="H48" s="113">
        <f>ROUND('[7]2028'!H52,2)</f>
        <v>11561.38</v>
      </c>
      <c r="I48" s="113">
        <f>ROUND('[7]2028'!I52,2)</f>
        <v>11601.09</v>
      </c>
      <c r="J48" s="113">
        <f>ROUND('[7]2028'!J52,2)</f>
        <v>11827.12</v>
      </c>
      <c r="K48" s="113">
        <f>ROUND('[7]2028'!K52,2)</f>
        <v>12041.47</v>
      </c>
      <c r="L48" s="113">
        <f>ROUND('[7]2028'!L52,2)</f>
        <v>13450.56</v>
      </c>
      <c r="M48" s="113">
        <f>ROUND('[7]2028'!M52,2)</f>
        <v>14857.24</v>
      </c>
      <c r="N48" s="113">
        <f>ROUND('[7]2028'!N52,2)</f>
        <v>15681.55</v>
      </c>
      <c r="O48" s="113">
        <f>ROUND('[7]2028'!O52,2)</f>
        <v>16437.900000000001</v>
      </c>
      <c r="P48" s="113">
        <f>ROUND('[7]2028'!P52,2)</f>
        <v>17002.060000000001</v>
      </c>
      <c r="Q48" s="113">
        <f>ROUND('[7]2028'!Q52,2)</f>
        <v>16523.62</v>
      </c>
      <c r="R48" s="113">
        <f>ROUND('[7]2028'!R52,2)</f>
        <v>16740.38</v>
      </c>
      <c r="S48" s="113">
        <f>ROUND('[7]2028'!S52,2)</f>
        <v>17234.060000000001</v>
      </c>
      <c r="T48" s="113">
        <f>ROUND('[7]2028'!T52,2)</f>
        <v>17280.98</v>
      </c>
      <c r="U48" s="113">
        <f>ROUND('[7]2028'!U52,2)</f>
        <v>17056.96</v>
      </c>
      <c r="V48" s="113">
        <f>ROUND('[7]2028'!V52,2)</f>
        <v>17366.849999999999</v>
      </c>
      <c r="W48" s="113">
        <f>ROUND('[7]2028'!W52,2)</f>
        <v>18565.349999999999</v>
      </c>
      <c r="X48" s="113">
        <f>ROUND('[7]2028'!X52,2)</f>
        <v>18204.47</v>
      </c>
      <c r="Y48" s="113">
        <f>ROUND('[7]2028'!Y52,2)</f>
        <v>17497.05</v>
      </c>
      <c r="Z48" s="113">
        <f>ROUND('[7]2028'!Z52,2)</f>
        <v>16523.060000000001</v>
      </c>
      <c r="AA48" s="113">
        <f>ROUND('[7]2028'!AA52,2)</f>
        <v>15253</v>
      </c>
      <c r="AB48" s="113">
        <f>ROUND('[7]2028'!AB52,2)</f>
        <v>13980.06</v>
      </c>
      <c r="AC48" s="262"/>
      <c r="AD48" s="19"/>
    </row>
    <row r="49" spans="2:31" ht="18.649999999999999" customHeight="1" x14ac:dyDescent="0.35">
      <c r="B49" s="264" t="s">
        <v>34</v>
      </c>
      <c r="C49" s="10" t="s">
        <v>31</v>
      </c>
      <c r="D49" s="118">
        <f>+'[7]2028'!D53</f>
        <v>5</v>
      </c>
      <c r="E49" s="113">
        <f>ROUND('[7]2028'!E53,2)</f>
        <v>13097.45</v>
      </c>
      <c r="F49" s="113">
        <f>ROUND('[7]2028'!F53,2)</f>
        <v>12542.94</v>
      </c>
      <c r="G49" s="113">
        <f>ROUND('[7]2028'!G53,2)</f>
        <v>12101.91</v>
      </c>
      <c r="H49" s="113">
        <f>ROUND('[7]2028'!H53,2)</f>
        <v>11830.5</v>
      </c>
      <c r="I49" s="113">
        <f>ROUND('[7]2028'!I53,2)</f>
        <v>11736.27</v>
      </c>
      <c r="J49" s="113">
        <f>ROUND('[7]2028'!J53,2)</f>
        <v>11551.3</v>
      </c>
      <c r="K49" s="113">
        <f>ROUND('[7]2028'!K53,2)</f>
        <v>11276.52</v>
      </c>
      <c r="L49" s="113">
        <f>ROUND('[7]2028'!L53,2)</f>
        <v>12162.99</v>
      </c>
      <c r="M49" s="113">
        <f>ROUND('[7]2028'!M53,2)</f>
        <v>12898.4</v>
      </c>
      <c r="N49" s="113">
        <f>ROUND('[7]2028'!N53,2)</f>
        <v>13923.37</v>
      </c>
      <c r="O49" s="113">
        <f>ROUND('[7]2028'!O53,2)</f>
        <v>14723.31</v>
      </c>
      <c r="P49" s="113">
        <f>ROUND('[7]2028'!P53,2)</f>
        <v>15355.99</v>
      </c>
      <c r="Q49" s="113">
        <f>ROUND('[7]2028'!Q53,2)</f>
        <v>15677.02</v>
      </c>
      <c r="R49" s="113">
        <f>ROUND('[7]2028'!R53,2)</f>
        <v>15683.67</v>
      </c>
      <c r="S49" s="113">
        <f>ROUND('[7]2028'!S53,2)</f>
        <v>15709.59</v>
      </c>
      <c r="T49" s="113">
        <f>ROUND('[7]2028'!T53,2)</f>
        <v>15749.15</v>
      </c>
      <c r="U49" s="113">
        <f>ROUND('[7]2028'!U53,2)</f>
        <v>15606.89</v>
      </c>
      <c r="V49" s="113">
        <f>ROUND('[7]2028'!V53,2)</f>
        <v>16269.81</v>
      </c>
      <c r="W49" s="113">
        <f>ROUND('[7]2028'!W53,2)</f>
        <v>18127.939999999999</v>
      </c>
      <c r="X49" s="113">
        <f>ROUND('[7]2028'!X53,2)</f>
        <v>18349.87</v>
      </c>
      <c r="Y49" s="113">
        <f>ROUND('[7]2028'!Y53,2)</f>
        <v>18061.580000000002</v>
      </c>
      <c r="Z49" s="113">
        <f>ROUND('[7]2028'!Z53,2)</f>
        <v>17380.05</v>
      </c>
      <c r="AA49" s="113">
        <f>ROUND('[7]2028'!AA53,2)</f>
        <v>16084.68</v>
      </c>
      <c r="AB49" s="113">
        <f>ROUND('[7]2028'!AB53,2)</f>
        <v>14699.33</v>
      </c>
      <c r="AC49" s="262"/>
      <c r="AD49" s="19"/>
    </row>
    <row r="50" spans="2:31" ht="18.649999999999999" customHeight="1" thickBot="1" x14ac:dyDescent="0.4">
      <c r="B50" s="265" t="s">
        <v>34</v>
      </c>
      <c r="C50" s="12" t="s">
        <v>32</v>
      </c>
      <c r="D50" s="120">
        <f>+'[7]2028'!D54</f>
        <v>1</v>
      </c>
      <c r="E50" s="115">
        <f>ROUND('[7]2028'!E54,2)</f>
        <v>13097.45</v>
      </c>
      <c r="F50" s="115">
        <f>ROUND('[7]2028'!F54,2)</f>
        <v>12542.94</v>
      </c>
      <c r="G50" s="115">
        <f>ROUND('[7]2028'!G54,2)</f>
        <v>12101.91</v>
      </c>
      <c r="H50" s="115">
        <f>ROUND('[7]2028'!H54,2)</f>
        <v>11830.5</v>
      </c>
      <c r="I50" s="115">
        <f>ROUND('[7]2028'!I54,2)</f>
        <v>11736.27</v>
      </c>
      <c r="J50" s="115">
        <f>ROUND('[7]2028'!J54,2)</f>
        <v>11551.3</v>
      </c>
      <c r="K50" s="115">
        <f>ROUND('[7]2028'!K54,2)</f>
        <v>11276.52</v>
      </c>
      <c r="L50" s="115">
        <f>ROUND('[7]2028'!L54,2)</f>
        <v>12162.99</v>
      </c>
      <c r="M50" s="115">
        <f>ROUND('[7]2028'!M54,2)</f>
        <v>12898.4</v>
      </c>
      <c r="N50" s="115">
        <f>ROUND('[7]2028'!N54,2)</f>
        <v>13923.37</v>
      </c>
      <c r="O50" s="115">
        <f>ROUND('[7]2028'!O54,2)</f>
        <v>14723.31</v>
      </c>
      <c r="P50" s="115">
        <f>ROUND('[7]2028'!P54,2)</f>
        <v>15355.99</v>
      </c>
      <c r="Q50" s="115">
        <f>ROUND('[7]2028'!Q54,2)</f>
        <v>15677.02</v>
      </c>
      <c r="R50" s="115">
        <f>ROUND('[7]2028'!R54,2)</f>
        <v>15683.67</v>
      </c>
      <c r="S50" s="115">
        <f>ROUND('[7]2028'!S54,2)</f>
        <v>15709.59</v>
      </c>
      <c r="T50" s="115">
        <f>ROUND('[7]2028'!T54,2)</f>
        <v>15749.15</v>
      </c>
      <c r="U50" s="115">
        <f>ROUND('[7]2028'!U54,2)</f>
        <v>15606.89</v>
      </c>
      <c r="V50" s="115">
        <f>ROUND('[7]2028'!V54,2)</f>
        <v>16269.81</v>
      </c>
      <c r="W50" s="115">
        <f>ROUND('[7]2028'!W54,2)</f>
        <v>18127.939999999999</v>
      </c>
      <c r="X50" s="115">
        <f>ROUND('[7]2028'!X54,2)</f>
        <v>18349.87</v>
      </c>
      <c r="Y50" s="115">
        <f>ROUND('[7]2028'!Y54,2)</f>
        <v>18061.580000000002</v>
      </c>
      <c r="Z50" s="115">
        <f>ROUND('[7]2028'!Z54,2)</f>
        <v>17380.05</v>
      </c>
      <c r="AA50" s="115">
        <f>ROUND('[7]2028'!AA54,2)</f>
        <v>16084.68</v>
      </c>
      <c r="AB50" s="115">
        <f>ROUND('[7]2028'!AB54,2)</f>
        <v>14699.33</v>
      </c>
      <c r="AC50" s="267"/>
      <c r="AD50" s="19"/>
    </row>
    <row r="51" spans="2:31" ht="18.649999999999999" customHeight="1" x14ac:dyDescent="0.35">
      <c r="B51" s="260">
        <v>47058</v>
      </c>
      <c r="C51" s="14" t="s">
        <v>29</v>
      </c>
      <c r="D51" s="121">
        <f>+'[7]2028'!D55</f>
        <v>20</v>
      </c>
      <c r="E51" s="116">
        <f>ROUND('[7]2028'!E55,2)</f>
        <v>13758.56</v>
      </c>
      <c r="F51" s="116">
        <f>ROUND('[7]2028'!F55,2)</f>
        <v>13085.49</v>
      </c>
      <c r="G51" s="116">
        <f>ROUND('[7]2028'!G55,2)</f>
        <v>12599.34</v>
      </c>
      <c r="H51" s="116">
        <f>ROUND('[7]2028'!H55,2)</f>
        <v>12281.05</v>
      </c>
      <c r="I51" s="116">
        <f>ROUND('[7]2028'!I55,2)</f>
        <v>12283.89</v>
      </c>
      <c r="J51" s="116">
        <f>ROUND('[7]2028'!J55,2)</f>
        <v>12386.08</v>
      </c>
      <c r="K51" s="116">
        <f>ROUND('[7]2028'!K55,2)</f>
        <v>12471.78</v>
      </c>
      <c r="L51" s="116">
        <f>ROUND('[7]2028'!L55,2)</f>
        <v>14035.78</v>
      </c>
      <c r="M51" s="116">
        <f>ROUND('[7]2028'!M55,2)</f>
        <v>15705.05</v>
      </c>
      <c r="N51" s="116">
        <f>ROUND('[7]2028'!N55,2)</f>
        <v>16767.830000000002</v>
      </c>
      <c r="O51" s="116">
        <f>ROUND('[7]2028'!O55,2)</f>
        <v>17570.27</v>
      </c>
      <c r="P51" s="116">
        <f>ROUND('[7]2028'!P55,2)</f>
        <v>17991.169999999998</v>
      </c>
      <c r="Q51" s="116">
        <f>ROUND('[7]2028'!Q55,2)</f>
        <v>17630.07</v>
      </c>
      <c r="R51" s="116">
        <f>ROUND('[7]2028'!R55,2)</f>
        <v>17322.810000000001</v>
      </c>
      <c r="S51" s="116">
        <f>ROUND('[7]2028'!S55,2)</f>
        <v>17279.8</v>
      </c>
      <c r="T51" s="116">
        <f>ROUND('[7]2028'!T55,2)</f>
        <v>17238.66</v>
      </c>
      <c r="U51" s="116">
        <f>ROUND('[7]2028'!U55,2)</f>
        <v>17062.189999999999</v>
      </c>
      <c r="V51" s="116">
        <f>ROUND('[7]2028'!V55,2)</f>
        <v>17631.05</v>
      </c>
      <c r="W51" s="116">
        <f>ROUND('[7]2028'!W55,2)</f>
        <v>19187.849999999999</v>
      </c>
      <c r="X51" s="116">
        <f>ROUND('[7]2028'!X55,2)</f>
        <v>18783.79</v>
      </c>
      <c r="Y51" s="116">
        <f>ROUND('[7]2028'!Y55,2)</f>
        <v>18021.73</v>
      </c>
      <c r="Z51" s="116">
        <f>ROUND('[7]2028'!Z55,2)</f>
        <v>17159.599999999999</v>
      </c>
      <c r="AA51" s="116">
        <f>ROUND('[7]2028'!AA55,2)</f>
        <v>16092.05</v>
      </c>
      <c r="AB51" s="116">
        <f>ROUND('[7]2028'!AB55,2)</f>
        <v>14934.2</v>
      </c>
      <c r="AC51" s="262">
        <f>SUM(E51:AB51)*D51+SUM(E52:AB52)*D52+SUM(E53:AB53)*D53+SUM(E54:AB54)*D54</f>
        <v>11265844.259999998</v>
      </c>
      <c r="AD51" s="19"/>
    </row>
    <row r="52" spans="2:31" ht="18.649999999999999" customHeight="1" x14ac:dyDescent="0.35">
      <c r="B52" s="261"/>
      <c r="C52" s="10" t="s">
        <v>30</v>
      </c>
      <c r="D52" s="118">
        <f>+'[7]2028'!D56</f>
        <v>4</v>
      </c>
      <c r="E52" s="113">
        <f>ROUND('[7]2028'!E56,2)</f>
        <v>14994.16</v>
      </c>
      <c r="F52" s="113">
        <f>ROUND('[7]2028'!F56,2)</f>
        <v>14235.2</v>
      </c>
      <c r="G52" s="113">
        <f>ROUND('[7]2028'!G56,2)</f>
        <v>13674.38</v>
      </c>
      <c r="H52" s="113">
        <f>ROUND('[7]2028'!H56,2)</f>
        <v>13288.62</v>
      </c>
      <c r="I52" s="113">
        <f>ROUND('[7]2028'!I56,2)</f>
        <v>13206.93</v>
      </c>
      <c r="J52" s="113">
        <f>ROUND('[7]2028'!J56,2)</f>
        <v>13298.69</v>
      </c>
      <c r="K52" s="113">
        <f>ROUND('[7]2028'!K56,2)</f>
        <v>13227.31</v>
      </c>
      <c r="L52" s="113">
        <f>ROUND('[7]2028'!L56,2)</f>
        <v>14734.28</v>
      </c>
      <c r="M52" s="113">
        <f>ROUND('[7]2028'!M56,2)</f>
        <v>16301.19</v>
      </c>
      <c r="N52" s="113">
        <f>ROUND('[7]2028'!N56,2)</f>
        <v>17209.2</v>
      </c>
      <c r="O52" s="113">
        <f>ROUND('[7]2028'!O56,2)</f>
        <v>18010.560000000001</v>
      </c>
      <c r="P52" s="113">
        <f>ROUND('[7]2028'!P56,2)</f>
        <v>18635.52</v>
      </c>
      <c r="Q52" s="113">
        <f>ROUND('[7]2028'!Q56,2)</f>
        <v>18233.68</v>
      </c>
      <c r="R52" s="113">
        <f>ROUND('[7]2028'!R56,2)</f>
        <v>18423.64</v>
      </c>
      <c r="S52" s="113">
        <f>ROUND('[7]2028'!S56,2)</f>
        <v>18950.07</v>
      </c>
      <c r="T52" s="113">
        <f>ROUND('[7]2028'!T56,2)</f>
        <v>18979.8</v>
      </c>
      <c r="U52" s="113">
        <f>ROUND('[7]2028'!U56,2)</f>
        <v>18678.990000000002</v>
      </c>
      <c r="V52" s="113">
        <f>ROUND('[7]2028'!V56,2)</f>
        <v>18727.53</v>
      </c>
      <c r="W52" s="113">
        <f>ROUND('[7]2028'!W56,2)</f>
        <v>20302.189999999999</v>
      </c>
      <c r="X52" s="113">
        <f>ROUND('[7]2028'!X56,2)</f>
        <v>19976.77</v>
      </c>
      <c r="Y52" s="113">
        <f>ROUND('[7]2028'!Y56,2)</f>
        <v>19332.419999999998</v>
      </c>
      <c r="Z52" s="113">
        <f>ROUND('[7]2028'!Z56,2)</f>
        <v>18478.53</v>
      </c>
      <c r="AA52" s="113">
        <f>ROUND('[7]2028'!AA56,2)</f>
        <v>17333.599999999999</v>
      </c>
      <c r="AB52" s="113">
        <f>ROUND('[7]2028'!AB56,2)</f>
        <v>16047.54</v>
      </c>
      <c r="AC52" s="262"/>
      <c r="AD52" s="19"/>
    </row>
    <row r="53" spans="2:31" ht="18.649999999999999" customHeight="1" x14ac:dyDescent="0.35">
      <c r="B53" s="261"/>
      <c r="C53" s="10" t="s">
        <v>31</v>
      </c>
      <c r="D53" s="118">
        <f>+'[7]2028'!D57</f>
        <v>4</v>
      </c>
      <c r="E53" s="113">
        <f>ROUND('[7]2028'!E57,2)</f>
        <v>13826.15</v>
      </c>
      <c r="F53" s="113">
        <f>ROUND('[7]2028'!F57,2)</f>
        <v>13091.54</v>
      </c>
      <c r="G53" s="113">
        <f>ROUND('[7]2028'!G57,2)</f>
        <v>12533.89</v>
      </c>
      <c r="H53" s="113">
        <f>ROUND('[7]2028'!H57,2)</f>
        <v>12105.57</v>
      </c>
      <c r="I53" s="113">
        <f>ROUND('[7]2028'!I57,2)</f>
        <v>11960.45</v>
      </c>
      <c r="J53" s="113">
        <f>ROUND('[7]2028'!J57,2)</f>
        <v>11778.05</v>
      </c>
      <c r="K53" s="113">
        <f>ROUND('[7]2028'!K57,2)</f>
        <v>11447.47</v>
      </c>
      <c r="L53" s="113">
        <f>ROUND('[7]2028'!L57,2)</f>
        <v>12201.49</v>
      </c>
      <c r="M53" s="113">
        <f>ROUND('[7]2028'!M57,2)</f>
        <v>13106.83</v>
      </c>
      <c r="N53" s="113">
        <f>ROUND('[7]2028'!N57,2)</f>
        <v>13813.59</v>
      </c>
      <c r="O53" s="113">
        <f>ROUND('[7]2028'!O57,2)</f>
        <v>14392.52</v>
      </c>
      <c r="P53" s="113">
        <f>ROUND('[7]2028'!P57,2)</f>
        <v>14905.67</v>
      </c>
      <c r="Q53" s="113">
        <f>ROUND('[7]2028'!Q57,2)</f>
        <v>15065.8</v>
      </c>
      <c r="R53" s="113">
        <f>ROUND('[7]2028'!R57,2)</f>
        <v>15142.17</v>
      </c>
      <c r="S53" s="113">
        <f>ROUND('[7]2028'!S57,2)</f>
        <v>14924.56</v>
      </c>
      <c r="T53" s="113">
        <f>ROUND('[7]2028'!T57,2)</f>
        <v>14939.82</v>
      </c>
      <c r="U53" s="113">
        <f>ROUND('[7]2028'!U57,2)</f>
        <v>14976.07</v>
      </c>
      <c r="V53" s="113">
        <f>ROUND('[7]2028'!V57,2)</f>
        <v>15918.89</v>
      </c>
      <c r="W53" s="113">
        <f>ROUND('[7]2028'!W57,2)</f>
        <v>17762.849999999999</v>
      </c>
      <c r="X53" s="113">
        <f>ROUND('[7]2028'!X57,2)</f>
        <v>17828.7</v>
      </c>
      <c r="Y53" s="113">
        <f>ROUND('[7]2028'!Y57,2)</f>
        <v>17274.18</v>
      </c>
      <c r="Z53" s="113">
        <f>ROUND('[7]2028'!Z57,2)</f>
        <v>16237.95</v>
      </c>
      <c r="AA53" s="113">
        <f>ROUND('[7]2028'!AA57,2)</f>
        <v>14926.87</v>
      </c>
      <c r="AB53" s="113">
        <f>ROUND('[7]2028'!AB57,2)</f>
        <v>13692.13</v>
      </c>
      <c r="AC53" s="262"/>
      <c r="AD53" s="19"/>
    </row>
    <row r="54" spans="2:31" ht="18.649999999999999" customHeight="1" thickBot="1" x14ac:dyDescent="0.4">
      <c r="B54" s="261"/>
      <c r="C54" s="16" t="s">
        <v>32</v>
      </c>
      <c r="D54" s="119">
        <f>+'[7]2028'!D58</f>
        <v>2</v>
      </c>
      <c r="E54" s="114">
        <f>ROUND('[7]2028'!E58,2)</f>
        <v>13826.15</v>
      </c>
      <c r="F54" s="114">
        <f>ROUND('[7]2028'!F58,2)</f>
        <v>13091.54</v>
      </c>
      <c r="G54" s="114">
        <f>ROUND('[7]2028'!G58,2)</f>
        <v>12533.89</v>
      </c>
      <c r="H54" s="114">
        <f>ROUND('[7]2028'!H58,2)</f>
        <v>12105.57</v>
      </c>
      <c r="I54" s="114">
        <f>ROUND('[7]2028'!I58,2)</f>
        <v>11960.45</v>
      </c>
      <c r="J54" s="114">
        <f>ROUND('[7]2028'!J58,2)</f>
        <v>11778.05</v>
      </c>
      <c r="K54" s="114">
        <f>ROUND('[7]2028'!K58,2)</f>
        <v>11447.47</v>
      </c>
      <c r="L54" s="114">
        <f>ROUND('[7]2028'!L58,2)</f>
        <v>12201.49</v>
      </c>
      <c r="M54" s="114">
        <f>ROUND('[7]2028'!M58,2)</f>
        <v>13106.83</v>
      </c>
      <c r="N54" s="114">
        <f>ROUND('[7]2028'!N58,2)</f>
        <v>13813.59</v>
      </c>
      <c r="O54" s="114">
        <f>ROUND('[7]2028'!O58,2)</f>
        <v>14392.52</v>
      </c>
      <c r="P54" s="114">
        <f>ROUND('[7]2028'!P58,2)</f>
        <v>14905.67</v>
      </c>
      <c r="Q54" s="114">
        <f>ROUND('[7]2028'!Q58,2)</f>
        <v>15065.8</v>
      </c>
      <c r="R54" s="114">
        <f>ROUND('[7]2028'!R58,2)</f>
        <v>15142.17</v>
      </c>
      <c r="S54" s="114">
        <f>ROUND('[7]2028'!S58,2)</f>
        <v>14924.56</v>
      </c>
      <c r="T54" s="114">
        <f>ROUND('[7]2028'!T58,2)</f>
        <v>14939.82</v>
      </c>
      <c r="U54" s="114">
        <f>ROUND('[7]2028'!U58,2)</f>
        <v>14976.07</v>
      </c>
      <c r="V54" s="114">
        <f>ROUND('[7]2028'!V58,2)</f>
        <v>15918.89</v>
      </c>
      <c r="W54" s="114">
        <f>ROUND('[7]2028'!W58,2)</f>
        <v>17762.849999999999</v>
      </c>
      <c r="X54" s="114">
        <f>ROUND('[7]2028'!X58,2)</f>
        <v>17828.7</v>
      </c>
      <c r="Y54" s="114">
        <f>ROUND('[7]2028'!Y58,2)</f>
        <v>17274.18</v>
      </c>
      <c r="Z54" s="114">
        <f>ROUND('[7]2028'!Z58,2)</f>
        <v>16237.95</v>
      </c>
      <c r="AA54" s="114">
        <f>ROUND('[7]2028'!AA58,2)</f>
        <v>14926.87</v>
      </c>
      <c r="AB54" s="114">
        <f>ROUND('[7]2028'!AB58,2)</f>
        <v>13692.13</v>
      </c>
      <c r="AC54" s="262"/>
      <c r="AD54" s="19"/>
    </row>
    <row r="55" spans="2:31" ht="18.649999999999999" customHeight="1" x14ac:dyDescent="0.35">
      <c r="B55" s="263">
        <v>47088</v>
      </c>
      <c r="C55" s="7" t="s">
        <v>29</v>
      </c>
      <c r="D55" s="117">
        <f>+'[7]2028'!D59</f>
        <v>19</v>
      </c>
      <c r="E55" s="112">
        <f>ROUND('[7]2028'!E59,2)</f>
        <v>14595.21</v>
      </c>
      <c r="F55" s="112">
        <f>ROUND('[7]2028'!F59,2)</f>
        <v>13824.96</v>
      </c>
      <c r="G55" s="112">
        <f>ROUND('[7]2028'!G59,2)</f>
        <v>13242.75</v>
      </c>
      <c r="H55" s="112">
        <f>ROUND('[7]2028'!H59,2)</f>
        <v>12838.06</v>
      </c>
      <c r="I55" s="112">
        <f>ROUND('[7]2028'!I59,2)</f>
        <v>12749.14</v>
      </c>
      <c r="J55" s="112">
        <f>ROUND('[7]2028'!J59,2)</f>
        <v>12813.9</v>
      </c>
      <c r="K55" s="112">
        <f>ROUND('[7]2028'!K59,2)</f>
        <v>12665.37</v>
      </c>
      <c r="L55" s="112">
        <f>ROUND('[7]2028'!L59,2)</f>
        <v>14023.99</v>
      </c>
      <c r="M55" s="112">
        <f>ROUND('[7]2028'!M59,2)</f>
        <v>15506.77</v>
      </c>
      <c r="N55" s="112">
        <f>ROUND('[7]2028'!N59,2)</f>
        <v>16444.919999999998</v>
      </c>
      <c r="O55" s="112">
        <f>ROUND('[7]2028'!O59,2)</f>
        <v>17135.419999999998</v>
      </c>
      <c r="P55" s="112">
        <f>ROUND('[7]2028'!P59,2)</f>
        <v>17549.759999999998</v>
      </c>
      <c r="Q55" s="112">
        <f>ROUND('[7]2028'!Q59,2)</f>
        <v>17170.04</v>
      </c>
      <c r="R55" s="112">
        <f>ROUND('[7]2028'!R59,2)</f>
        <v>16897.68</v>
      </c>
      <c r="S55" s="112">
        <f>ROUND('[7]2028'!S59,2)</f>
        <v>16938.75</v>
      </c>
      <c r="T55" s="112">
        <f>ROUND('[7]2028'!T59,2)</f>
        <v>16926.95</v>
      </c>
      <c r="U55" s="112">
        <f>ROUND('[7]2028'!U59,2)</f>
        <v>16717.11</v>
      </c>
      <c r="V55" s="112">
        <f>ROUND('[7]2028'!V59,2)</f>
        <v>17165.45</v>
      </c>
      <c r="W55" s="112">
        <f>ROUND('[7]2028'!W59,2)</f>
        <v>18903.87</v>
      </c>
      <c r="X55" s="112">
        <f>ROUND('[7]2028'!X59,2)</f>
        <v>18491.95</v>
      </c>
      <c r="Y55" s="112">
        <f>ROUND('[7]2028'!Y59,2)</f>
        <v>17696.73</v>
      </c>
      <c r="Z55" s="112">
        <f>ROUND('[7]2028'!Z59,2)</f>
        <v>16825.73</v>
      </c>
      <c r="AA55" s="112">
        <f>ROUND('[7]2028'!AA59,2)</f>
        <v>15980.86</v>
      </c>
      <c r="AB55" s="112">
        <f>ROUND('[7]2028'!AB59,2)</f>
        <v>15034.11</v>
      </c>
      <c r="AC55" s="266">
        <f>SUM(E55:AB55)*D55+SUM(E56:AB56)*D56+SUM(E57:AB57)*D57+SUM(E58:AB58)*D58</f>
        <v>11538542.649999999</v>
      </c>
      <c r="AD55" s="19"/>
    </row>
    <row r="56" spans="2:31" ht="18.649999999999999" customHeight="1" x14ac:dyDescent="0.35">
      <c r="B56" s="264" t="s">
        <v>34</v>
      </c>
      <c r="C56" s="10" t="s">
        <v>30</v>
      </c>
      <c r="D56" s="118">
        <f>+'[7]2028'!D60</f>
        <v>5</v>
      </c>
      <c r="E56" s="113">
        <f>ROUND('[7]2028'!E60,2)</f>
        <v>14325.07</v>
      </c>
      <c r="F56" s="113">
        <f>ROUND('[7]2028'!F60,2)</f>
        <v>13601.85</v>
      </c>
      <c r="G56" s="113">
        <f>ROUND('[7]2028'!G60,2)</f>
        <v>13058.71</v>
      </c>
      <c r="H56" s="113">
        <f>ROUND('[7]2028'!H60,2)</f>
        <v>12681.54</v>
      </c>
      <c r="I56" s="113">
        <f>ROUND('[7]2028'!I60,2)</f>
        <v>12640.16</v>
      </c>
      <c r="J56" s="113">
        <f>ROUND('[7]2028'!J60,2)</f>
        <v>12843.99</v>
      </c>
      <c r="K56" s="113">
        <f>ROUND('[7]2028'!K60,2)</f>
        <v>12898.59</v>
      </c>
      <c r="L56" s="113">
        <f>ROUND('[7]2028'!L60,2)</f>
        <v>14313.66</v>
      </c>
      <c r="M56" s="113">
        <f>ROUND('[7]2028'!M60,2)</f>
        <v>15780.81</v>
      </c>
      <c r="N56" s="113">
        <f>ROUND('[7]2028'!N60,2)</f>
        <v>16628.73</v>
      </c>
      <c r="O56" s="113">
        <f>ROUND('[7]2028'!O60,2)</f>
        <v>17457.38</v>
      </c>
      <c r="P56" s="113">
        <f>ROUND('[7]2028'!P60,2)</f>
        <v>18039.669999999998</v>
      </c>
      <c r="Q56" s="113">
        <f>ROUND('[7]2028'!Q60,2)</f>
        <v>17585.57</v>
      </c>
      <c r="R56" s="113">
        <f>ROUND('[7]2028'!R60,2)</f>
        <v>17934.650000000001</v>
      </c>
      <c r="S56" s="113">
        <f>ROUND('[7]2028'!S60,2)</f>
        <v>18525.46</v>
      </c>
      <c r="T56" s="113">
        <f>ROUND('[7]2028'!T60,2)</f>
        <v>18566.84</v>
      </c>
      <c r="U56" s="113">
        <f>ROUND('[7]2028'!U60,2)</f>
        <v>18247.57</v>
      </c>
      <c r="V56" s="113">
        <f>ROUND('[7]2028'!V60,2)</f>
        <v>17919.189999999999</v>
      </c>
      <c r="W56" s="113">
        <f>ROUND('[7]2028'!W60,2)</f>
        <v>19162.53</v>
      </c>
      <c r="X56" s="113">
        <f>ROUND('[7]2028'!X60,2)</f>
        <v>19277.79</v>
      </c>
      <c r="Y56" s="113">
        <f>ROUND('[7]2028'!Y60,2)</f>
        <v>18792.490000000002</v>
      </c>
      <c r="Z56" s="113">
        <f>ROUND('[7]2028'!Z60,2)</f>
        <v>17977.849999999999</v>
      </c>
      <c r="AA56" s="113">
        <f>ROUND('[7]2028'!AA60,2)</f>
        <v>16729.66</v>
      </c>
      <c r="AB56" s="113">
        <f>ROUND('[7]2028'!AB60,2)</f>
        <v>15394.79</v>
      </c>
      <c r="AC56" s="262"/>
      <c r="AD56" s="19"/>
    </row>
    <row r="57" spans="2:31" ht="18.649999999999999" customHeight="1" x14ac:dyDescent="0.35">
      <c r="B57" s="264" t="s">
        <v>34</v>
      </c>
      <c r="C57" s="10" t="s">
        <v>31</v>
      </c>
      <c r="D57" s="118">
        <f>+'[7]2028'!D61</f>
        <v>5</v>
      </c>
      <c r="E57" s="113">
        <f>ROUND('[7]2028'!E61,2)</f>
        <v>14239.28</v>
      </c>
      <c r="F57" s="113">
        <f>ROUND('[7]2028'!F61,2)</f>
        <v>13797.68</v>
      </c>
      <c r="G57" s="113">
        <f>ROUND('[7]2028'!G61,2)</f>
        <v>13380.02</v>
      </c>
      <c r="H57" s="113">
        <f>ROUND('[7]2028'!H61,2)</f>
        <v>12979.67</v>
      </c>
      <c r="I57" s="113">
        <f>ROUND('[7]2028'!I61,2)</f>
        <v>12748.89</v>
      </c>
      <c r="J57" s="113">
        <f>ROUND('[7]2028'!J61,2)</f>
        <v>12415.1</v>
      </c>
      <c r="K57" s="113">
        <f>ROUND('[7]2028'!K61,2)</f>
        <v>11643.96</v>
      </c>
      <c r="L57" s="113">
        <f>ROUND('[7]2028'!L61,2)</f>
        <v>12030.8</v>
      </c>
      <c r="M57" s="113">
        <f>ROUND('[7]2028'!M61,2)</f>
        <v>12659.73</v>
      </c>
      <c r="N57" s="113">
        <f>ROUND('[7]2028'!N61,2)</f>
        <v>13250.21</v>
      </c>
      <c r="O57" s="113">
        <f>ROUND('[7]2028'!O61,2)</f>
        <v>13800.69</v>
      </c>
      <c r="P57" s="113">
        <f>ROUND('[7]2028'!P61,2)</f>
        <v>14268.58</v>
      </c>
      <c r="Q57" s="113">
        <f>ROUND('[7]2028'!Q61,2)</f>
        <v>14524.31</v>
      </c>
      <c r="R57" s="113">
        <f>ROUND('[7]2028'!R61,2)</f>
        <v>14535.62</v>
      </c>
      <c r="S57" s="113">
        <f>ROUND('[7]2028'!S61,2)</f>
        <v>14469.85</v>
      </c>
      <c r="T57" s="113">
        <f>ROUND('[7]2028'!T61,2)</f>
        <v>14549.84</v>
      </c>
      <c r="U57" s="113">
        <f>ROUND('[7]2028'!U61,2)</f>
        <v>14543.06</v>
      </c>
      <c r="V57" s="113">
        <f>ROUND('[7]2028'!V61,2)</f>
        <v>15013.14</v>
      </c>
      <c r="W57" s="113">
        <f>ROUND('[7]2028'!W61,2)</f>
        <v>17104.29</v>
      </c>
      <c r="X57" s="113">
        <f>ROUND('[7]2028'!X61,2)</f>
        <v>17262.46</v>
      </c>
      <c r="Y57" s="113">
        <f>ROUND('[7]2028'!Y61,2)</f>
        <v>17043.79</v>
      </c>
      <c r="Z57" s="113">
        <f>ROUND('[7]2028'!Z61,2)</f>
        <v>16525.57</v>
      </c>
      <c r="AA57" s="113">
        <f>ROUND('[7]2028'!AA61,2)</f>
        <v>15671.47</v>
      </c>
      <c r="AB57" s="113">
        <f>ROUND('[7]2028'!AB61,2)</f>
        <v>14680.53</v>
      </c>
      <c r="AC57" s="262"/>
      <c r="AD57" s="19"/>
    </row>
    <row r="58" spans="2:31" ht="18.649999999999999" customHeight="1" thickBot="1" x14ac:dyDescent="0.4">
      <c r="B58" s="265" t="s">
        <v>34</v>
      </c>
      <c r="C58" s="12" t="s">
        <v>32</v>
      </c>
      <c r="D58" s="120">
        <f>+'[7]2028'!D62</f>
        <v>2</v>
      </c>
      <c r="E58" s="115">
        <f>ROUND('[7]2028'!E62,2)</f>
        <v>14239.28</v>
      </c>
      <c r="F58" s="115">
        <f>ROUND('[7]2028'!F62,2)</f>
        <v>13797.68</v>
      </c>
      <c r="G58" s="115">
        <f>ROUND('[7]2028'!G62,2)</f>
        <v>13380.02</v>
      </c>
      <c r="H58" s="115">
        <f>ROUND('[7]2028'!H62,2)</f>
        <v>12979.67</v>
      </c>
      <c r="I58" s="115">
        <f>ROUND('[7]2028'!I62,2)</f>
        <v>12748.89</v>
      </c>
      <c r="J58" s="115">
        <f>ROUND('[7]2028'!J62,2)</f>
        <v>12415.1</v>
      </c>
      <c r="K58" s="115">
        <f>ROUND('[7]2028'!K62,2)</f>
        <v>11643.96</v>
      </c>
      <c r="L58" s="115">
        <f>ROUND('[7]2028'!L62,2)</f>
        <v>12030.8</v>
      </c>
      <c r="M58" s="115">
        <f>ROUND('[7]2028'!M62,2)</f>
        <v>12659.73</v>
      </c>
      <c r="N58" s="115">
        <f>ROUND('[7]2028'!N62,2)</f>
        <v>13250.21</v>
      </c>
      <c r="O58" s="115">
        <f>ROUND('[7]2028'!O62,2)</f>
        <v>13800.69</v>
      </c>
      <c r="P58" s="115">
        <f>ROUND('[7]2028'!P62,2)</f>
        <v>14268.58</v>
      </c>
      <c r="Q58" s="115">
        <f>ROUND('[7]2028'!Q62,2)</f>
        <v>14524.31</v>
      </c>
      <c r="R58" s="115">
        <f>ROUND('[7]2028'!R62,2)</f>
        <v>14535.62</v>
      </c>
      <c r="S58" s="115">
        <f>ROUND('[7]2028'!S62,2)</f>
        <v>14469.85</v>
      </c>
      <c r="T58" s="115">
        <f>ROUND('[7]2028'!T62,2)</f>
        <v>14549.84</v>
      </c>
      <c r="U58" s="115">
        <f>ROUND('[7]2028'!U62,2)</f>
        <v>14543.06</v>
      </c>
      <c r="V58" s="115">
        <f>ROUND('[7]2028'!V62,2)</f>
        <v>15013.14</v>
      </c>
      <c r="W58" s="115">
        <f>ROUND('[7]2028'!W62,2)</f>
        <v>17104.29</v>
      </c>
      <c r="X58" s="115">
        <f>ROUND('[7]2028'!X62,2)</f>
        <v>17262.46</v>
      </c>
      <c r="Y58" s="115">
        <f>ROUND('[7]2028'!Y62,2)</f>
        <v>17043.79</v>
      </c>
      <c r="Z58" s="115">
        <f>ROUND('[7]2028'!Z62,2)</f>
        <v>16525.57</v>
      </c>
      <c r="AA58" s="115">
        <f>ROUND('[7]2028'!AA62,2)</f>
        <v>15671.47</v>
      </c>
      <c r="AB58" s="115">
        <f>ROUND('[7]2028'!AB62,2)</f>
        <v>14680.53</v>
      </c>
      <c r="AC58" s="267"/>
      <c r="AD58" s="19"/>
    </row>
    <row r="59" spans="2:31" ht="18.649999999999999" customHeight="1" thickBot="1" x14ac:dyDescent="0.4">
      <c r="Z59" s="268" t="s">
        <v>33</v>
      </c>
      <c r="AA59" s="269"/>
      <c r="AB59" s="270"/>
      <c r="AC59" s="195">
        <f>SUM(AC11:AC58)</f>
        <v>138376593.88999999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12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81A-4A58-4EF7-993A-23A3229C32F3}">
  <sheetPr>
    <tabColor theme="3" tint="0.39997558519241921"/>
  </sheetPr>
  <dimension ref="B2:BJ601"/>
  <sheetViews>
    <sheetView showGridLines="0" zoomScale="80" zoomScaleNormal="80" workbookViewId="0">
      <pane xSplit="4" ySplit="10" topLeftCell="E566" activePane="bottomRight" state="frozen"/>
      <selection activeCell="V654" sqref="V654"/>
      <selection pane="topRight" activeCell="V654" sqref="V654"/>
      <selection pane="bottomLeft" activeCell="V654" sqref="V654"/>
      <selection pane="bottomRight" activeCell="B7" sqref="B7:AC7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5" width="9.7265625" style="133" customWidth="1"/>
    <col min="6" max="28" width="11" style="18" customWidth="1"/>
    <col min="29" max="29" width="17.26953125" style="196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73" t="s">
        <v>140</v>
      </c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</row>
    <row r="5" spans="2:62" ht="28.5" customHeight="1" x14ac:dyDescent="0.35">
      <c r="B5" s="275" t="s">
        <v>0</v>
      </c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</row>
    <row r="6" spans="2:62" ht="18.649999999999999" customHeight="1" x14ac:dyDescent="0.35">
      <c r="B6" s="288" t="s">
        <v>132</v>
      </c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</row>
    <row r="7" spans="2:62" ht="18.649999999999999" customHeight="1" x14ac:dyDescent="0.35">
      <c r="B7" s="278" t="s">
        <v>1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</row>
    <row r="8" spans="2:62" ht="18.649999999999999" customHeight="1" x14ac:dyDescent="0.35"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BE8" s="9">
        <v>1000</v>
      </c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39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197" t="s">
        <v>48</v>
      </c>
      <c r="AF10" s="68" t="s">
        <v>51</v>
      </c>
      <c r="AG10" s="68" t="s">
        <v>5</v>
      </c>
      <c r="AH10" s="68" t="s">
        <v>6</v>
      </c>
      <c r="AI10" s="68" t="s">
        <v>7</v>
      </c>
      <c r="AJ10" s="68" t="s">
        <v>8</v>
      </c>
      <c r="AK10" s="68" t="s">
        <v>9</v>
      </c>
      <c r="AL10" s="68" t="s">
        <v>10</v>
      </c>
      <c r="AM10" s="68" t="s">
        <v>11</v>
      </c>
      <c r="AN10" s="68" t="s">
        <v>12</v>
      </c>
      <c r="AO10" s="68" t="s">
        <v>13</v>
      </c>
      <c r="AP10" s="68" t="s">
        <v>14</v>
      </c>
      <c r="AQ10" s="68" t="s">
        <v>15</v>
      </c>
      <c r="AR10" s="68" t="s">
        <v>16</v>
      </c>
      <c r="AS10" s="68" t="s">
        <v>17</v>
      </c>
      <c r="AT10" s="68" t="s">
        <v>18</v>
      </c>
      <c r="AU10" s="68" t="s">
        <v>19</v>
      </c>
      <c r="AV10" s="68" t="s">
        <v>20</v>
      </c>
      <c r="AW10" s="68" t="s">
        <v>21</v>
      </c>
      <c r="AX10" s="68" t="s">
        <v>22</v>
      </c>
      <c r="AY10" s="68" t="s">
        <v>23</v>
      </c>
      <c r="AZ10" s="68" t="s">
        <v>24</v>
      </c>
      <c r="BA10" s="68" t="s">
        <v>25</v>
      </c>
      <c r="BB10" s="68" t="s">
        <v>26</v>
      </c>
      <c r="BC10" s="68" t="s">
        <v>27</v>
      </c>
      <c r="BD10" s="68" t="s">
        <v>28</v>
      </c>
      <c r="BE10" s="69" t="s">
        <v>52</v>
      </c>
      <c r="BF10" s="69" t="s">
        <v>53</v>
      </c>
      <c r="BH10" s="66" t="s">
        <v>57</v>
      </c>
      <c r="BI10" s="67" t="e">
        <f>(+#REF!)/1000</f>
        <v>#REF!</v>
      </c>
      <c r="BJ10" s="66" t="s">
        <v>56</v>
      </c>
    </row>
    <row r="11" spans="2:62" ht="18.649999999999999" hidden="1" customHeight="1" x14ac:dyDescent="0.35">
      <c r="B11" s="260">
        <v>47119</v>
      </c>
      <c r="C11" s="7" t="s">
        <v>29</v>
      </c>
      <c r="D11" s="54">
        <f>+'[7]2029'!D15</f>
        <v>21</v>
      </c>
      <c r="E11" s="134">
        <f>ROUND('[7]2029'!E15,2)</f>
        <v>11367.97</v>
      </c>
      <c r="F11" s="134">
        <f>ROUND('[7]2029'!F15,2)</f>
        <v>10751.85</v>
      </c>
      <c r="G11" s="134">
        <f>ROUND('[7]2029'!G15,2)</f>
        <v>10306.51</v>
      </c>
      <c r="H11" s="134">
        <f>ROUND('[7]2029'!H15,2)</f>
        <v>9995.14</v>
      </c>
      <c r="I11" s="134">
        <f>ROUND('[7]2029'!I15,2)</f>
        <v>9921.34</v>
      </c>
      <c r="J11" s="134">
        <f>ROUND('[7]2029'!J15,2)</f>
        <v>10163.530000000001</v>
      </c>
      <c r="K11" s="134">
        <f>ROUND('[7]2029'!K15,2)</f>
        <v>10087.86</v>
      </c>
      <c r="L11" s="134">
        <f>ROUND('[7]2029'!L15,2)</f>
        <v>11280.74</v>
      </c>
      <c r="M11" s="134">
        <f>ROUND('[7]2029'!M15,2)</f>
        <v>12564.33</v>
      </c>
      <c r="N11" s="134">
        <f>ROUND('[7]2029'!N15,2)</f>
        <v>13307.66</v>
      </c>
      <c r="O11" s="134">
        <f>ROUND('[7]2029'!O15,2)</f>
        <v>14074.48</v>
      </c>
      <c r="P11" s="134">
        <f>ROUND('[7]2029'!P15,2)</f>
        <v>14619.81</v>
      </c>
      <c r="Q11" s="134">
        <f>ROUND('[7]2029'!Q15,2)</f>
        <v>14213.58</v>
      </c>
      <c r="R11" s="134">
        <f>ROUND('[7]2029'!R15,2)</f>
        <v>14612.33</v>
      </c>
      <c r="S11" s="134">
        <f>ROUND('[7]2029'!S15,2)</f>
        <v>15277.36</v>
      </c>
      <c r="T11" s="134">
        <f>ROUND('[7]2029'!T15,2)</f>
        <v>15340.43</v>
      </c>
      <c r="U11" s="134">
        <f>ROUND('[7]2029'!U15,2)</f>
        <v>15022.89</v>
      </c>
      <c r="V11" s="134">
        <f>ROUND('[7]2029'!V15,2)</f>
        <v>14419.19</v>
      </c>
      <c r="W11" s="134">
        <f>ROUND('[7]2029'!W15,2)</f>
        <v>15275.14</v>
      </c>
      <c r="X11" s="134">
        <f>ROUND('[7]2029'!X15,2)</f>
        <v>15321.98</v>
      </c>
      <c r="Y11" s="134">
        <f>ROUND('[7]2029'!Y15,2)</f>
        <v>14959.86</v>
      </c>
      <c r="Z11" s="134">
        <f>ROUND('[7]2029'!Z15,2)</f>
        <v>14381.95</v>
      </c>
      <c r="AA11" s="134">
        <f>ROUND('[7]2029'!AA15,2)</f>
        <v>13429.04</v>
      </c>
      <c r="AB11" s="134">
        <f>ROUND('[7]2029'!AB15,2)</f>
        <v>12359.11</v>
      </c>
      <c r="AC11" s="283">
        <f>SUM(E11:AB11)*D11+SUM(E12:AB12)*D12+SUM(E13:AB13)*D13+SUM(E14:AB14)*D14</f>
        <v>9459407.620000001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hidden="1" customHeight="1" x14ac:dyDescent="0.35">
      <c r="B12" s="261"/>
      <c r="C12" s="10" t="s">
        <v>30</v>
      </c>
      <c r="D12" s="11">
        <f>+'[7]2029'!D16</f>
        <v>4</v>
      </c>
      <c r="E12" s="135">
        <f>ROUND('[7]2029'!E16,2)</f>
        <v>11453.63</v>
      </c>
      <c r="F12" s="135">
        <f>ROUND('[7]2029'!F16,2)</f>
        <v>10845.49</v>
      </c>
      <c r="G12" s="135">
        <f>ROUND('[7]2029'!G16,2)</f>
        <v>10394.93</v>
      </c>
      <c r="H12" s="135">
        <f>ROUND('[7]2029'!H16,2)</f>
        <v>10039.459999999999</v>
      </c>
      <c r="I12" s="135">
        <f>ROUND('[7]2029'!I16,2)</f>
        <v>9946.25</v>
      </c>
      <c r="J12" s="135">
        <f>ROUND('[7]2029'!J16,2)</f>
        <v>9989.8700000000008</v>
      </c>
      <c r="K12" s="135">
        <f>ROUND('[7]2029'!K16,2)</f>
        <v>9731.7199999999993</v>
      </c>
      <c r="L12" s="135">
        <f>ROUND('[7]2029'!L16,2)</f>
        <v>10658.02</v>
      </c>
      <c r="M12" s="135">
        <f>ROUND('[7]2029'!M16,2)</f>
        <v>11881.41</v>
      </c>
      <c r="N12" s="135">
        <f>ROUND('[7]2029'!N16,2)</f>
        <v>12691.04</v>
      </c>
      <c r="O12" s="135">
        <f>ROUND('[7]2029'!O16,2)</f>
        <v>13357.65</v>
      </c>
      <c r="P12" s="135">
        <f>ROUND('[7]2029'!P16,2)</f>
        <v>13775.49</v>
      </c>
      <c r="Q12" s="135">
        <f>ROUND('[7]2029'!Q16,2)</f>
        <v>13580.23</v>
      </c>
      <c r="R12" s="135">
        <f>ROUND('[7]2029'!R16,2)</f>
        <v>13443.33</v>
      </c>
      <c r="S12" s="135">
        <f>ROUND('[7]2029'!S16,2)</f>
        <v>13519.91</v>
      </c>
      <c r="T12" s="135">
        <f>ROUND('[7]2029'!T16,2)</f>
        <v>13515.6</v>
      </c>
      <c r="U12" s="135">
        <f>ROUND('[7]2029'!U16,2)</f>
        <v>13316.16</v>
      </c>
      <c r="V12" s="135">
        <f>ROUND('[7]2029'!V16,2)</f>
        <v>13214.32</v>
      </c>
      <c r="W12" s="135">
        <f>ROUND('[7]2029'!W16,2)</f>
        <v>14572.47</v>
      </c>
      <c r="X12" s="135">
        <f>ROUND('[7]2029'!X16,2)</f>
        <v>14718.38</v>
      </c>
      <c r="Y12" s="135">
        <f>ROUND('[7]2029'!Y16,2)</f>
        <v>14311.57</v>
      </c>
      <c r="Z12" s="135">
        <f>ROUND('[7]2029'!Z16,2)</f>
        <v>13804.94</v>
      </c>
      <c r="AA12" s="135">
        <f>ROUND('[7]2029'!AA16,2)</f>
        <v>13116.86</v>
      </c>
      <c r="AB12" s="135">
        <f>ROUND('[7]2029'!AB16,2)</f>
        <v>12313.36</v>
      </c>
      <c r="AC12" s="282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BG12" s="193">
        <f>+AC59/1000</f>
        <v>110228.70368999999</v>
      </c>
    </row>
    <row r="13" spans="2:62" ht="18.649999999999999" hidden="1" customHeight="1" x14ac:dyDescent="0.35">
      <c r="B13" s="261"/>
      <c r="C13" s="10" t="s">
        <v>31</v>
      </c>
      <c r="D13" s="11">
        <f>+'[7]2029'!D17</f>
        <v>4</v>
      </c>
      <c r="E13" s="135">
        <f>ROUND('[7]2029'!E17,2)</f>
        <v>11581.27</v>
      </c>
      <c r="F13" s="135">
        <f>ROUND('[7]2029'!F17,2)</f>
        <v>10994.81</v>
      </c>
      <c r="G13" s="135">
        <f>ROUND('[7]2029'!G17,2)</f>
        <v>10519.21</v>
      </c>
      <c r="H13" s="135">
        <f>ROUND('[7]2029'!H17,2)</f>
        <v>10139.09</v>
      </c>
      <c r="I13" s="135">
        <f>ROUND('[7]2029'!I17,2)</f>
        <v>9945.86</v>
      </c>
      <c r="J13" s="135">
        <f>ROUND('[7]2029'!J17,2)</f>
        <v>9850.57</v>
      </c>
      <c r="K13" s="135">
        <f>ROUND('[7]2029'!K17,2)</f>
        <v>9342.6</v>
      </c>
      <c r="L13" s="135">
        <f>ROUND('[7]2029'!L17,2)</f>
        <v>9760.1299999999992</v>
      </c>
      <c r="M13" s="135">
        <f>ROUND('[7]2029'!M17,2)</f>
        <v>10457.549999999999</v>
      </c>
      <c r="N13" s="135">
        <f>ROUND('[7]2029'!N17,2)</f>
        <v>11168.25</v>
      </c>
      <c r="O13" s="135">
        <f>ROUND('[7]2029'!O17,2)</f>
        <v>11605.33</v>
      </c>
      <c r="P13" s="135">
        <f>ROUND('[7]2029'!P17,2)</f>
        <v>11994.54</v>
      </c>
      <c r="Q13" s="135">
        <f>ROUND('[7]2029'!Q17,2)</f>
        <v>12226.27</v>
      </c>
      <c r="R13" s="135">
        <f>ROUND('[7]2029'!R17,2)</f>
        <v>12278.51</v>
      </c>
      <c r="S13" s="135">
        <f>ROUND('[7]2029'!S17,2)</f>
        <v>12312.56</v>
      </c>
      <c r="T13" s="135">
        <f>ROUND('[7]2029'!T17,2)</f>
        <v>12333.02</v>
      </c>
      <c r="U13" s="135">
        <f>ROUND('[7]2029'!U17,2)</f>
        <v>12260.81</v>
      </c>
      <c r="V13" s="135">
        <f>ROUND('[7]2029'!V17,2)</f>
        <v>12273.33</v>
      </c>
      <c r="W13" s="135">
        <f>ROUND('[7]2029'!W17,2)</f>
        <v>13759.8</v>
      </c>
      <c r="X13" s="135">
        <f>ROUND('[7]2029'!X17,2)</f>
        <v>14209.16</v>
      </c>
      <c r="Y13" s="135">
        <f>ROUND('[7]2029'!Y17,2)</f>
        <v>14157.58</v>
      </c>
      <c r="Z13" s="135">
        <f>ROUND('[7]2029'!Z17,2)</f>
        <v>13766.39</v>
      </c>
      <c r="AA13" s="135">
        <f>ROUND('[7]2029'!AA17,2)</f>
        <v>13026.34</v>
      </c>
      <c r="AB13" s="135">
        <f>ROUND('[7]2029'!AB17,2)</f>
        <v>12120.95</v>
      </c>
      <c r="AC13" s="282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BG13" s="194">
        <f>(+AC108)/1000</f>
        <v>223404.02000999998</v>
      </c>
    </row>
    <row r="14" spans="2:62" ht="18.649999999999999" hidden="1" customHeight="1" thickBot="1" x14ac:dyDescent="0.4">
      <c r="B14" s="261"/>
      <c r="C14" s="16" t="s">
        <v>32</v>
      </c>
      <c r="D14" s="17">
        <f>+'[7]2029'!D18</f>
        <v>2</v>
      </c>
      <c r="E14" s="136">
        <f>ROUND('[7]2029'!E18,2)</f>
        <v>11581.27</v>
      </c>
      <c r="F14" s="136">
        <f>ROUND('[7]2029'!F18,2)</f>
        <v>10994.81</v>
      </c>
      <c r="G14" s="136">
        <f>ROUND('[7]2029'!G18,2)</f>
        <v>10519.21</v>
      </c>
      <c r="H14" s="136">
        <f>ROUND('[7]2029'!H18,2)</f>
        <v>10139.09</v>
      </c>
      <c r="I14" s="136">
        <f>ROUND('[7]2029'!I18,2)</f>
        <v>9945.86</v>
      </c>
      <c r="J14" s="136">
        <f>ROUND('[7]2029'!J18,2)</f>
        <v>9850.57</v>
      </c>
      <c r="K14" s="136">
        <f>ROUND('[7]2029'!K18,2)</f>
        <v>9342.6</v>
      </c>
      <c r="L14" s="136">
        <f>ROUND('[7]2029'!L18,2)</f>
        <v>9760.1299999999992</v>
      </c>
      <c r="M14" s="136">
        <f>ROUND('[7]2029'!M18,2)</f>
        <v>10457.549999999999</v>
      </c>
      <c r="N14" s="136">
        <f>ROUND('[7]2029'!N18,2)</f>
        <v>11168.25</v>
      </c>
      <c r="O14" s="136">
        <f>ROUND('[7]2029'!O18,2)</f>
        <v>11605.33</v>
      </c>
      <c r="P14" s="136">
        <f>ROUND('[7]2029'!P18,2)</f>
        <v>11994.54</v>
      </c>
      <c r="Q14" s="136">
        <f>ROUND('[7]2029'!Q18,2)</f>
        <v>12226.27</v>
      </c>
      <c r="R14" s="136">
        <f>ROUND('[7]2029'!R18,2)</f>
        <v>12278.51</v>
      </c>
      <c r="S14" s="136">
        <f>ROUND('[7]2029'!S18,2)</f>
        <v>12312.56</v>
      </c>
      <c r="T14" s="136">
        <f>ROUND('[7]2029'!T18,2)</f>
        <v>12333.02</v>
      </c>
      <c r="U14" s="136">
        <f>ROUND('[7]2029'!U18,2)</f>
        <v>12260.81</v>
      </c>
      <c r="V14" s="136">
        <f>ROUND('[7]2029'!V18,2)</f>
        <v>12273.33</v>
      </c>
      <c r="W14" s="136">
        <f>ROUND('[7]2029'!W18,2)</f>
        <v>13759.8</v>
      </c>
      <c r="X14" s="136">
        <f>ROUND('[7]2029'!X18,2)</f>
        <v>14209.16</v>
      </c>
      <c r="Y14" s="136">
        <f>ROUND('[7]2029'!Y18,2)</f>
        <v>14157.58</v>
      </c>
      <c r="Z14" s="136">
        <f>ROUND('[7]2029'!Z18,2)</f>
        <v>13766.39</v>
      </c>
      <c r="AA14" s="136">
        <f>ROUND('[7]2029'!AA18,2)</f>
        <v>13026.34</v>
      </c>
      <c r="AB14" s="136">
        <f>ROUND('[7]2029'!AB18,2)</f>
        <v>12120.95</v>
      </c>
      <c r="AC14" s="282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BG14" s="194">
        <f>(+AC157)/1000</f>
        <v>250799.20489000002</v>
      </c>
    </row>
    <row r="15" spans="2:62" ht="18.649999999999999" hidden="1" customHeight="1" x14ac:dyDescent="0.35">
      <c r="B15" s="263">
        <v>47150</v>
      </c>
      <c r="C15" s="7" t="s">
        <v>29</v>
      </c>
      <c r="D15" s="8">
        <f>+'[7]2029'!D19</f>
        <v>20</v>
      </c>
      <c r="E15" s="134">
        <f>ROUND('[7]2029'!E19,2)</f>
        <v>11710.62</v>
      </c>
      <c r="F15" s="134">
        <f>ROUND('[7]2029'!F19,2)</f>
        <v>11092.66</v>
      </c>
      <c r="G15" s="134">
        <f>ROUND('[7]2029'!G19,2)</f>
        <v>10651.26</v>
      </c>
      <c r="H15" s="134">
        <f>ROUND('[7]2029'!H19,2)</f>
        <v>10362.32</v>
      </c>
      <c r="I15" s="134">
        <f>ROUND('[7]2029'!I19,2)</f>
        <v>10383.530000000001</v>
      </c>
      <c r="J15" s="134">
        <f>ROUND('[7]2029'!J19,2)</f>
        <v>10960.26</v>
      </c>
      <c r="K15" s="134">
        <f>ROUND('[7]2029'!K19,2)</f>
        <v>10930.98</v>
      </c>
      <c r="L15" s="134">
        <f>ROUND('[7]2029'!L19,2)</f>
        <v>12059.45</v>
      </c>
      <c r="M15" s="134">
        <f>ROUND('[7]2029'!M19,2)</f>
        <v>13197.34</v>
      </c>
      <c r="N15" s="134">
        <f>ROUND('[7]2029'!N19,2)</f>
        <v>13756.12</v>
      </c>
      <c r="O15" s="134">
        <f>ROUND('[7]2029'!O19,2)</f>
        <v>14423.68</v>
      </c>
      <c r="P15" s="134">
        <f>ROUND('[7]2029'!P19,2)</f>
        <v>14871.56</v>
      </c>
      <c r="Q15" s="134">
        <f>ROUND('[7]2029'!Q19,2)</f>
        <v>14311.86</v>
      </c>
      <c r="R15" s="134">
        <f>ROUND('[7]2029'!R19,2)</f>
        <v>14822.28</v>
      </c>
      <c r="S15" s="134">
        <f>ROUND('[7]2029'!S19,2)</f>
        <v>15572.47</v>
      </c>
      <c r="T15" s="134">
        <f>ROUND('[7]2029'!T19,2)</f>
        <v>15668.88</v>
      </c>
      <c r="U15" s="134">
        <f>ROUND('[7]2029'!U19,2)</f>
        <v>15394.46</v>
      </c>
      <c r="V15" s="134">
        <f>ROUND('[7]2029'!V19,2)</f>
        <v>14738.86</v>
      </c>
      <c r="W15" s="134">
        <f>ROUND('[7]2029'!W19,2)</f>
        <v>15522.26</v>
      </c>
      <c r="X15" s="134">
        <f>ROUND('[7]2029'!X19,2)</f>
        <v>15773.49</v>
      </c>
      <c r="Y15" s="134">
        <f>ROUND('[7]2029'!Y19,2)</f>
        <v>15461.17</v>
      </c>
      <c r="Z15" s="134">
        <f>ROUND('[7]2029'!Z19,2)</f>
        <v>14787.87</v>
      </c>
      <c r="AA15" s="134">
        <f>ROUND('[7]2029'!AA19,2)</f>
        <v>13690.48</v>
      </c>
      <c r="AB15" s="134">
        <f>ROUND('[7]2029'!AB19,2)</f>
        <v>12586.94</v>
      </c>
      <c r="AC15" s="283">
        <f>SUM(E15:AB15)*D15+SUM(E16:AB16)*D16+SUM(E17:AB17)*D17+SUM(E18:AB18)*D18</f>
        <v>8868777.3599999994</v>
      </c>
      <c r="AD15" s="19"/>
      <c r="BG15" s="194">
        <f>(+AC206)/1000</f>
        <v>261226.30040000001</v>
      </c>
    </row>
    <row r="16" spans="2:62" ht="18.649999999999999" hidden="1" customHeight="1" x14ac:dyDescent="0.35">
      <c r="B16" s="264" t="s">
        <v>34</v>
      </c>
      <c r="C16" s="10" t="s">
        <v>30</v>
      </c>
      <c r="D16" s="11">
        <f>+'[7]2029'!D20</f>
        <v>4</v>
      </c>
      <c r="E16" s="135">
        <f>ROUND('[7]2029'!E20,2)</f>
        <v>11747.96</v>
      </c>
      <c r="F16" s="135">
        <f>ROUND('[7]2029'!F20,2)</f>
        <v>11175.93</v>
      </c>
      <c r="G16" s="135">
        <f>ROUND('[7]2029'!G20,2)</f>
        <v>10678.76</v>
      </c>
      <c r="H16" s="135">
        <f>ROUND('[7]2029'!H20,2)</f>
        <v>10341.52</v>
      </c>
      <c r="I16" s="135">
        <f>ROUND('[7]2029'!I20,2)</f>
        <v>10212.76</v>
      </c>
      <c r="J16" s="135">
        <f>ROUND('[7]2029'!J20,2)</f>
        <v>10314.950000000001</v>
      </c>
      <c r="K16" s="135">
        <f>ROUND('[7]2029'!K20,2)</f>
        <v>10210.959999999999</v>
      </c>
      <c r="L16" s="135">
        <f>ROUND('[7]2029'!L20,2)</f>
        <v>11225.72</v>
      </c>
      <c r="M16" s="135">
        <f>ROUND('[7]2029'!M20,2)</f>
        <v>12445.8</v>
      </c>
      <c r="N16" s="135">
        <f>ROUND('[7]2029'!N20,2)</f>
        <v>13212.12</v>
      </c>
      <c r="O16" s="135">
        <f>ROUND('[7]2029'!O20,2)</f>
        <v>13838.69</v>
      </c>
      <c r="P16" s="135">
        <f>ROUND('[7]2029'!P20,2)</f>
        <v>14253.69</v>
      </c>
      <c r="Q16" s="135">
        <f>ROUND('[7]2029'!Q20,2)</f>
        <v>14005.06</v>
      </c>
      <c r="R16" s="135">
        <f>ROUND('[7]2029'!R20,2)</f>
        <v>13841.66</v>
      </c>
      <c r="S16" s="135">
        <f>ROUND('[7]2029'!S20,2)</f>
        <v>13914.34</v>
      </c>
      <c r="T16" s="135">
        <f>ROUND('[7]2029'!T20,2)</f>
        <v>13912.59</v>
      </c>
      <c r="U16" s="135">
        <f>ROUND('[7]2029'!U20,2)</f>
        <v>13701.37</v>
      </c>
      <c r="V16" s="135">
        <f>ROUND('[7]2029'!V20,2)</f>
        <v>13605.94</v>
      </c>
      <c r="W16" s="135">
        <f>ROUND('[7]2029'!W20,2)</f>
        <v>14903.3</v>
      </c>
      <c r="X16" s="135">
        <f>ROUND('[7]2029'!X20,2)</f>
        <v>15206.17</v>
      </c>
      <c r="Y16" s="135">
        <f>ROUND('[7]2029'!Y20,2)</f>
        <v>14811.05</v>
      </c>
      <c r="Z16" s="135">
        <f>ROUND('[7]2029'!Z20,2)</f>
        <v>14277.4</v>
      </c>
      <c r="AA16" s="135">
        <f>ROUND('[7]2029'!AA20,2)</f>
        <v>13552.1</v>
      </c>
      <c r="AB16" s="135">
        <f>ROUND('[7]2029'!AB20,2)</f>
        <v>12699.03</v>
      </c>
      <c r="AC16" s="282"/>
      <c r="AD16" s="19"/>
      <c r="BG16" s="194">
        <f>(+AC255)/1000</f>
        <v>262855.12989000004</v>
      </c>
    </row>
    <row r="17" spans="2:59" ht="18.649999999999999" hidden="1" customHeight="1" x14ac:dyDescent="0.35">
      <c r="B17" s="264" t="s">
        <v>34</v>
      </c>
      <c r="C17" s="10" t="s">
        <v>31</v>
      </c>
      <c r="D17" s="11">
        <f>+'[7]2029'!D21</f>
        <v>4</v>
      </c>
      <c r="E17" s="135">
        <f>ROUND('[7]2029'!E21,2)</f>
        <v>11930.58</v>
      </c>
      <c r="F17" s="135">
        <f>ROUND('[7]2029'!F21,2)</f>
        <v>11319.72</v>
      </c>
      <c r="G17" s="135">
        <f>ROUND('[7]2029'!G21,2)</f>
        <v>10847.18</v>
      </c>
      <c r="H17" s="135">
        <f>ROUND('[7]2029'!H21,2)</f>
        <v>10500.53</v>
      </c>
      <c r="I17" s="135">
        <f>ROUND('[7]2029'!I21,2)</f>
        <v>10280.98</v>
      </c>
      <c r="J17" s="135">
        <f>ROUND('[7]2029'!J21,2)</f>
        <v>10234.86</v>
      </c>
      <c r="K17" s="135">
        <f>ROUND('[7]2029'!K21,2)</f>
        <v>9783.82</v>
      </c>
      <c r="L17" s="135">
        <f>ROUND('[7]2029'!L21,2)</f>
        <v>10220.969999999999</v>
      </c>
      <c r="M17" s="135">
        <f>ROUND('[7]2029'!M21,2)</f>
        <v>10936.77</v>
      </c>
      <c r="N17" s="135">
        <f>ROUND('[7]2029'!N21,2)</f>
        <v>11586.77</v>
      </c>
      <c r="O17" s="135">
        <f>ROUND('[7]2029'!O21,2)</f>
        <v>12060.81</v>
      </c>
      <c r="P17" s="135">
        <f>ROUND('[7]2029'!P21,2)</f>
        <v>12542.94</v>
      </c>
      <c r="Q17" s="135">
        <f>ROUND('[7]2029'!Q21,2)</f>
        <v>12819.45</v>
      </c>
      <c r="R17" s="135">
        <f>ROUND('[7]2029'!R21,2)</f>
        <v>12904.18</v>
      </c>
      <c r="S17" s="135">
        <f>ROUND('[7]2029'!S21,2)</f>
        <v>12980.87</v>
      </c>
      <c r="T17" s="135">
        <f>ROUND('[7]2029'!T21,2)</f>
        <v>13040.18</v>
      </c>
      <c r="U17" s="135">
        <f>ROUND('[7]2029'!U21,2)</f>
        <v>12954.64</v>
      </c>
      <c r="V17" s="135">
        <f>ROUND('[7]2029'!V21,2)</f>
        <v>12924.29</v>
      </c>
      <c r="W17" s="135">
        <f>ROUND('[7]2029'!W21,2)</f>
        <v>14370.18</v>
      </c>
      <c r="X17" s="135">
        <f>ROUND('[7]2029'!X21,2)</f>
        <v>15017.48</v>
      </c>
      <c r="Y17" s="135">
        <f>ROUND('[7]2029'!Y21,2)</f>
        <v>15028.59</v>
      </c>
      <c r="Z17" s="135">
        <f>ROUND('[7]2029'!Z21,2)</f>
        <v>14655.83</v>
      </c>
      <c r="AA17" s="135">
        <f>ROUND('[7]2029'!AA21,2)</f>
        <v>13778.93</v>
      </c>
      <c r="AB17" s="135">
        <f>ROUND('[7]2029'!AB21,2)</f>
        <v>12730.92</v>
      </c>
      <c r="AC17" s="282"/>
      <c r="AD17" s="19"/>
      <c r="BG17" s="194">
        <f>(+AC304)/1000</f>
        <v>283441.35628999997</v>
      </c>
    </row>
    <row r="18" spans="2:59" ht="18.649999999999999" hidden="1" customHeight="1" thickBot="1" x14ac:dyDescent="0.4">
      <c r="B18" s="265" t="s">
        <v>34</v>
      </c>
      <c r="C18" s="12" t="s">
        <v>32</v>
      </c>
      <c r="D18" s="13">
        <f>+'[7]2029'!D22</f>
        <v>0</v>
      </c>
      <c r="E18" s="199">
        <f>ROUND('[7]2029'!E22,2)</f>
        <v>0</v>
      </c>
      <c r="F18" s="115">
        <f>ROUND('[7]2029'!F22,2)</f>
        <v>0</v>
      </c>
      <c r="G18" s="115">
        <f>ROUND('[7]2029'!G22,2)</f>
        <v>0</v>
      </c>
      <c r="H18" s="115">
        <f>ROUND('[7]2029'!H22,2)</f>
        <v>0</v>
      </c>
      <c r="I18" s="115">
        <f>ROUND('[7]2029'!I22,2)</f>
        <v>0</v>
      </c>
      <c r="J18" s="115">
        <f>ROUND('[7]2029'!J22,2)</f>
        <v>0</v>
      </c>
      <c r="K18" s="115">
        <f>ROUND('[7]2029'!K22,2)</f>
        <v>0</v>
      </c>
      <c r="L18" s="115">
        <f>ROUND('[7]2029'!L22,2)</f>
        <v>0</v>
      </c>
      <c r="M18" s="115">
        <f>ROUND('[7]2029'!M22,2)</f>
        <v>0</v>
      </c>
      <c r="N18" s="115">
        <f>ROUND('[7]2029'!N22,2)</f>
        <v>0</v>
      </c>
      <c r="O18" s="115">
        <f>ROUND('[7]2029'!O22,2)</f>
        <v>0</v>
      </c>
      <c r="P18" s="115">
        <f>ROUND('[7]2029'!P22,2)</f>
        <v>0</v>
      </c>
      <c r="Q18" s="115">
        <f>ROUND('[7]2029'!Q22,2)</f>
        <v>0</v>
      </c>
      <c r="R18" s="115">
        <f>ROUND('[7]2029'!R22,2)</f>
        <v>0</v>
      </c>
      <c r="S18" s="115">
        <f>ROUND('[7]2029'!S22,2)</f>
        <v>0</v>
      </c>
      <c r="T18" s="115">
        <f>ROUND('[7]2029'!T22,2)</f>
        <v>0</v>
      </c>
      <c r="U18" s="115">
        <f>ROUND('[7]2029'!U22,2)</f>
        <v>0</v>
      </c>
      <c r="V18" s="115">
        <f>ROUND('[7]2029'!V22,2)</f>
        <v>0</v>
      </c>
      <c r="W18" s="115">
        <f>ROUND('[7]2029'!W22,2)</f>
        <v>0</v>
      </c>
      <c r="X18" s="115">
        <f>ROUND('[7]2029'!X22,2)</f>
        <v>0</v>
      </c>
      <c r="Y18" s="115">
        <f>ROUND('[7]2029'!Y22,2)</f>
        <v>0</v>
      </c>
      <c r="Z18" s="115">
        <f>ROUND('[7]2029'!Z22,2)</f>
        <v>0</v>
      </c>
      <c r="AA18" s="115">
        <f>ROUND('[7]2029'!AA22,2)</f>
        <v>0</v>
      </c>
      <c r="AB18" s="115">
        <f>ROUND('[7]2029'!AB22,2)</f>
        <v>0</v>
      </c>
      <c r="AC18" s="284"/>
      <c r="AD18" s="19"/>
      <c r="BG18" s="194">
        <f>(+AC353)/1000</f>
        <v>287929.18605999998</v>
      </c>
    </row>
    <row r="19" spans="2:59" ht="18.649999999999999" hidden="1" customHeight="1" x14ac:dyDescent="0.35">
      <c r="B19" s="260">
        <v>47178</v>
      </c>
      <c r="C19" s="14" t="s">
        <v>29</v>
      </c>
      <c r="D19" s="15">
        <f>+'[7]2029'!D23</f>
        <v>19</v>
      </c>
      <c r="E19" s="137">
        <f>ROUND('[7]2029'!E23,2)</f>
        <v>11949.54</v>
      </c>
      <c r="F19" s="137">
        <f>ROUND('[7]2029'!F23,2)</f>
        <v>11318.04</v>
      </c>
      <c r="G19" s="137">
        <f>ROUND('[7]2029'!G23,2)</f>
        <v>10842.13</v>
      </c>
      <c r="H19" s="137">
        <f>ROUND('[7]2029'!H23,2)</f>
        <v>10490.91</v>
      </c>
      <c r="I19" s="137">
        <f>ROUND('[7]2029'!I23,2)</f>
        <v>10438.120000000001</v>
      </c>
      <c r="J19" s="137">
        <f>ROUND('[7]2029'!J23,2)</f>
        <v>10820.32</v>
      </c>
      <c r="K19" s="137">
        <f>ROUND('[7]2029'!K23,2)</f>
        <v>10746.01</v>
      </c>
      <c r="L19" s="137">
        <f>ROUND('[7]2029'!L23,2)</f>
        <v>11977.8</v>
      </c>
      <c r="M19" s="137">
        <f>ROUND('[7]2029'!M23,2)</f>
        <v>13220.14</v>
      </c>
      <c r="N19" s="137">
        <f>ROUND('[7]2029'!N23,2)</f>
        <v>13870.33</v>
      </c>
      <c r="O19" s="137">
        <f>ROUND('[7]2029'!O23,2)</f>
        <v>14607.85</v>
      </c>
      <c r="P19" s="137">
        <f>ROUND('[7]2029'!P23,2)</f>
        <v>15088</v>
      </c>
      <c r="Q19" s="137">
        <f>ROUND('[7]2029'!Q23,2)</f>
        <v>14544.97</v>
      </c>
      <c r="R19" s="137">
        <f>ROUND('[7]2029'!R23,2)</f>
        <v>15124.62</v>
      </c>
      <c r="S19" s="137">
        <f>ROUND('[7]2029'!S23,2)</f>
        <v>15827.18</v>
      </c>
      <c r="T19" s="137">
        <f>ROUND('[7]2029'!T23,2)</f>
        <v>15902.68</v>
      </c>
      <c r="U19" s="137">
        <f>ROUND('[7]2029'!U23,2)</f>
        <v>15626.31</v>
      </c>
      <c r="V19" s="137">
        <f>ROUND('[7]2029'!V23,2)</f>
        <v>14958.81</v>
      </c>
      <c r="W19" s="137">
        <f>ROUND('[7]2029'!W23,2)</f>
        <v>15629.84</v>
      </c>
      <c r="X19" s="137">
        <f>ROUND('[7]2029'!X23,2)</f>
        <v>15825.2</v>
      </c>
      <c r="Y19" s="137">
        <f>ROUND('[7]2029'!Y23,2)</f>
        <v>15540.69</v>
      </c>
      <c r="Z19" s="137">
        <f>ROUND('[7]2029'!Z23,2)</f>
        <v>14937.66</v>
      </c>
      <c r="AA19" s="137">
        <f>ROUND('[7]2029'!AA23,2)</f>
        <v>13994.24</v>
      </c>
      <c r="AB19" s="137">
        <f>ROUND('[7]2029'!AB23,2)</f>
        <v>12932.99</v>
      </c>
      <c r="AC19" s="282">
        <f>SUM(E19:AB19)*D19+SUM(E20:AB20)*D20+SUM(E21:AB21)*D21+SUM(E22:AB22)*D22</f>
        <v>9732794.5399999991</v>
      </c>
      <c r="AD19" s="19"/>
      <c r="BG19" s="194">
        <f>(+AC402)/1000</f>
        <v>339240.26897999999</v>
      </c>
    </row>
    <row r="20" spans="2:59" ht="18.649999999999999" hidden="1" customHeight="1" x14ac:dyDescent="0.35">
      <c r="B20" s="261"/>
      <c r="C20" s="10" t="s">
        <v>30</v>
      </c>
      <c r="D20" s="11">
        <f>+'[7]2029'!D24</f>
        <v>5</v>
      </c>
      <c r="E20" s="135">
        <f>ROUND('[7]2029'!E24,2)</f>
        <v>11984.25</v>
      </c>
      <c r="F20" s="135">
        <f>ROUND('[7]2029'!F24,2)</f>
        <v>11332.7</v>
      </c>
      <c r="G20" s="135">
        <f>ROUND('[7]2029'!G24,2)</f>
        <v>10873.75</v>
      </c>
      <c r="H20" s="135">
        <f>ROUND('[7]2029'!H24,2)</f>
        <v>10510.54</v>
      </c>
      <c r="I20" s="135">
        <f>ROUND('[7]2029'!I24,2)</f>
        <v>10293.73</v>
      </c>
      <c r="J20" s="135">
        <f>ROUND('[7]2029'!J24,2)</f>
        <v>10260.58</v>
      </c>
      <c r="K20" s="135">
        <f>ROUND('[7]2029'!K24,2)</f>
        <v>10110.290000000001</v>
      </c>
      <c r="L20" s="135">
        <f>ROUND('[7]2029'!L24,2)</f>
        <v>11077.5</v>
      </c>
      <c r="M20" s="135">
        <f>ROUND('[7]2029'!M24,2)</f>
        <v>12243.41</v>
      </c>
      <c r="N20" s="135">
        <f>ROUND('[7]2029'!N24,2)</f>
        <v>12973.52</v>
      </c>
      <c r="O20" s="135">
        <f>ROUND('[7]2029'!O24,2)</f>
        <v>13555.12</v>
      </c>
      <c r="P20" s="135">
        <f>ROUND('[7]2029'!P24,2)</f>
        <v>13926.93</v>
      </c>
      <c r="Q20" s="135">
        <f>ROUND('[7]2029'!Q24,2)</f>
        <v>13729.43</v>
      </c>
      <c r="R20" s="135">
        <f>ROUND('[7]2029'!R24,2)</f>
        <v>13586.39</v>
      </c>
      <c r="S20" s="135">
        <f>ROUND('[7]2029'!S24,2)</f>
        <v>13504.68</v>
      </c>
      <c r="T20" s="135">
        <f>ROUND('[7]2029'!T24,2)</f>
        <v>13838.21</v>
      </c>
      <c r="U20" s="135">
        <f>ROUND('[7]2029'!U24,2)</f>
        <v>13369.13</v>
      </c>
      <c r="V20" s="135">
        <f>ROUND('[7]2029'!V24,2)</f>
        <v>13260.59</v>
      </c>
      <c r="W20" s="135">
        <f>ROUND('[7]2029'!W24,2)</f>
        <v>14648.94</v>
      </c>
      <c r="X20" s="135">
        <f>ROUND('[7]2029'!X24,2)</f>
        <v>14867.45</v>
      </c>
      <c r="Y20" s="135">
        <f>ROUND('[7]2029'!Y24,2)</f>
        <v>14506.41</v>
      </c>
      <c r="Z20" s="135">
        <f>ROUND('[7]2029'!Z24,2)</f>
        <v>14041.78</v>
      </c>
      <c r="AA20" s="135">
        <f>ROUND('[7]2029'!AA24,2)</f>
        <v>13425.54</v>
      </c>
      <c r="AB20" s="135">
        <f>ROUND('[7]2029'!AB24,2)</f>
        <v>12642.31</v>
      </c>
      <c r="AC20" s="282"/>
      <c r="AD20" s="19"/>
      <c r="BG20" s="79">
        <f>+AC451/1000</f>
        <v>347827.67595</v>
      </c>
    </row>
    <row r="21" spans="2:59" ht="18.649999999999999" hidden="1" customHeight="1" x14ac:dyDescent="0.35">
      <c r="B21" s="261"/>
      <c r="C21" s="10" t="s">
        <v>31</v>
      </c>
      <c r="D21" s="11">
        <f>+'[7]2029'!D25</f>
        <v>4</v>
      </c>
      <c r="E21" s="135">
        <f>ROUND('[7]2029'!E25,2)</f>
        <v>11888.26</v>
      </c>
      <c r="F21" s="135">
        <f>ROUND('[7]2029'!F25,2)</f>
        <v>11279.66</v>
      </c>
      <c r="G21" s="135">
        <f>ROUND('[7]2029'!G25,2)</f>
        <v>10736.42</v>
      </c>
      <c r="H21" s="135">
        <f>ROUND('[7]2029'!H25,2)</f>
        <v>10355.299999999999</v>
      </c>
      <c r="I21" s="135">
        <f>ROUND('[7]2029'!I25,2)</f>
        <v>10178.56</v>
      </c>
      <c r="J21" s="135">
        <f>ROUND('[7]2029'!J25,2)</f>
        <v>10063.43</v>
      </c>
      <c r="K21" s="135">
        <f>ROUND('[7]2029'!K25,2)</f>
        <v>9571.7999999999993</v>
      </c>
      <c r="L21" s="135">
        <f>ROUND('[7]2029'!L25,2)</f>
        <v>10032.11</v>
      </c>
      <c r="M21" s="135">
        <f>ROUND('[7]2029'!M25,2)</f>
        <v>10699.05</v>
      </c>
      <c r="N21" s="135">
        <f>ROUND('[7]2029'!N25,2)</f>
        <v>11308.88</v>
      </c>
      <c r="O21" s="135">
        <f>ROUND('[7]2029'!O25,2)</f>
        <v>11771.18</v>
      </c>
      <c r="P21" s="135">
        <f>ROUND('[7]2029'!P25,2)</f>
        <v>12208.25</v>
      </c>
      <c r="Q21" s="135">
        <f>ROUND('[7]2029'!Q25,2)</f>
        <v>12427.8</v>
      </c>
      <c r="R21" s="135">
        <f>ROUND('[7]2029'!R25,2)</f>
        <v>12483.89</v>
      </c>
      <c r="S21" s="135">
        <f>ROUND('[7]2029'!S25,2)</f>
        <v>12548.1</v>
      </c>
      <c r="T21" s="135">
        <f>ROUND('[7]2029'!T25,2)</f>
        <v>12637.56</v>
      </c>
      <c r="U21" s="135">
        <f>ROUND('[7]2029'!U25,2)</f>
        <v>12481.39</v>
      </c>
      <c r="V21" s="135">
        <f>ROUND('[7]2029'!V25,2)</f>
        <v>12511.42</v>
      </c>
      <c r="W21" s="135">
        <f>ROUND('[7]2029'!W25,2)</f>
        <v>13858.55</v>
      </c>
      <c r="X21" s="135">
        <f>ROUND('[7]2029'!X25,2)</f>
        <v>14356.74</v>
      </c>
      <c r="Y21" s="135">
        <f>ROUND('[7]2029'!Y25,2)</f>
        <v>14330.94</v>
      </c>
      <c r="Z21" s="135">
        <f>ROUND('[7]2029'!Z25,2)</f>
        <v>14053.3</v>
      </c>
      <c r="AA21" s="135">
        <f>ROUND('[7]2029'!AA25,2)</f>
        <v>13306.31</v>
      </c>
      <c r="AB21" s="135">
        <f>ROUND('[7]2029'!AB25,2)</f>
        <v>12326.16</v>
      </c>
      <c r="AC21" s="282"/>
      <c r="AD21" s="19"/>
      <c r="BG21" s="194">
        <f>(+AC500)/1000</f>
        <v>355874.77457999997</v>
      </c>
    </row>
    <row r="22" spans="2:59" ht="18.649999999999999" hidden="1" customHeight="1" thickBot="1" x14ac:dyDescent="0.4">
      <c r="B22" s="261"/>
      <c r="C22" s="16" t="s">
        <v>32</v>
      </c>
      <c r="D22" s="17">
        <f>+'[7]2029'!D26</f>
        <v>3</v>
      </c>
      <c r="E22" s="136">
        <f>ROUND('[7]2029'!E26,2)</f>
        <v>11888.26</v>
      </c>
      <c r="F22" s="136">
        <f>ROUND('[7]2029'!F26,2)</f>
        <v>11279.66</v>
      </c>
      <c r="G22" s="136">
        <f>ROUND('[7]2029'!G26,2)</f>
        <v>10736.42</v>
      </c>
      <c r="H22" s="136">
        <f>ROUND('[7]2029'!H26,2)</f>
        <v>10355.299999999999</v>
      </c>
      <c r="I22" s="136">
        <f>ROUND('[7]2029'!I26,2)</f>
        <v>10178.56</v>
      </c>
      <c r="J22" s="136">
        <f>ROUND('[7]2029'!J26,2)</f>
        <v>10063.43</v>
      </c>
      <c r="K22" s="136">
        <f>ROUND('[7]2029'!K26,2)</f>
        <v>9571.7999999999993</v>
      </c>
      <c r="L22" s="136">
        <f>ROUND('[7]2029'!L26,2)</f>
        <v>10032.11</v>
      </c>
      <c r="M22" s="136">
        <f>ROUND('[7]2029'!M26,2)</f>
        <v>10699.05</v>
      </c>
      <c r="N22" s="136">
        <f>ROUND('[7]2029'!N26,2)</f>
        <v>11308.88</v>
      </c>
      <c r="O22" s="136">
        <f>ROUND('[7]2029'!O26,2)</f>
        <v>11771.18</v>
      </c>
      <c r="P22" s="136">
        <f>ROUND('[7]2029'!P26,2)</f>
        <v>12208.25</v>
      </c>
      <c r="Q22" s="136">
        <f>ROUND('[7]2029'!Q26,2)</f>
        <v>12427.8</v>
      </c>
      <c r="R22" s="136">
        <f>ROUND('[7]2029'!R26,2)</f>
        <v>12483.89</v>
      </c>
      <c r="S22" s="136">
        <f>ROUND('[7]2029'!S26,2)</f>
        <v>12548.1</v>
      </c>
      <c r="T22" s="136">
        <f>ROUND('[7]2029'!T26,2)</f>
        <v>12637.56</v>
      </c>
      <c r="U22" s="136">
        <f>ROUND('[7]2029'!U26,2)</f>
        <v>12481.39</v>
      </c>
      <c r="V22" s="136">
        <f>ROUND('[7]2029'!V26,2)</f>
        <v>12511.42</v>
      </c>
      <c r="W22" s="136">
        <f>ROUND('[7]2029'!W26,2)</f>
        <v>13858.55</v>
      </c>
      <c r="X22" s="136">
        <f>ROUND('[7]2029'!X26,2)</f>
        <v>14356.74</v>
      </c>
      <c r="Y22" s="136">
        <f>ROUND('[7]2029'!Y26,2)</f>
        <v>14330.94</v>
      </c>
      <c r="Z22" s="136">
        <f>ROUND('[7]2029'!Z26,2)</f>
        <v>14053.3</v>
      </c>
      <c r="AA22" s="136">
        <f>ROUND('[7]2029'!AA26,2)</f>
        <v>13306.31</v>
      </c>
      <c r="AB22" s="136">
        <f>ROUND('[7]2029'!AB26,2)</f>
        <v>12326.16</v>
      </c>
      <c r="AC22" s="282"/>
      <c r="AD22" s="19"/>
      <c r="BG22" s="194">
        <f>(+AC549)/1000</f>
        <v>363922.43</v>
      </c>
    </row>
    <row r="23" spans="2:59" ht="18.649999999999999" hidden="1" customHeight="1" x14ac:dyDescent="0.35">
      <c r="B23" s="263">
        <v>47209</v>
      </c>
      <c r="C23" s="7" t="s">
        <v>29</v>
      </c>
      <c r="D23" s="8">
        <f>+'[7]2029'!D27</f>
        <v>21</v>
      </c>
      <c r="E23" s="134">
        <f>ROUND('[7]2029'!E27,2)</f>
        <v>11584.34</v>
      </c>
      <c r="F23" s="134">
        <f>ROUND('[7]2029'!F27,2)</f>
        <v>11084.89</v>
      </c>
      <c r="G23" s="134">
        <f>ROUND('[7]2029'!G27,2)</f>
        <v>10595.35</v>
      </c>
      <c r="H23" s="134">
        <f>ROUND('[7]2029'!H27,2)</f>
        <v>10321.73</v>
      </c>
      <c r="I23" s="134">
        <f>ROUND('[7]2029'!I27,2)</f>
        <v>10256.35</v>
      </c>
      <c r="J23" s="134">
        <f>ROUND('[7]2029'!J27,2)</f>
        <v>10149.879999999999</v>
      </c>
      <c r="K23" s="134">
        <f>ROUND('[7]2029'!K27,2)</f>
        <v>10185.11</v>
      </c>
      <c r="L23" s="134">
        <f>ROUND('[7]2029'!L27,2)</f>
        <v>11329.98</v>
      </c>
      <c r="M23" s="134">
        <f>ROUND('[7]2029'!M27,2)</f>
        <v>12629.47</v>
      </c>
      <c r="N23" s="134">
        <f>ROUND('[7]2029'!N27,2)</f>
        <v>13397.31</v>
      </c>
      <c r="O23" s="134">
        <f>ROUND('[7]2029'!O27,2)</f>
        <v>14035.64</v>
      </c>
      <c r="P23" s="134">
        <f>ROUND('[7]2029'!P27,2)</f>
        <v>14437.82</v>
      </c>
      <c r="Q23" s="134">
        <f>ROUND('[7]2029'!Q27,2)</f>
        <v>14169.5</v>
      </c>
      <c r="R23" s="134">
        <f>ROUND('[7]2029'!R27,2)</f>
        <v>13999.58</v>
      </c>
      <c r="S23" s="134">
        <f>ROUND('[7]2029'!S27,2)</f>
        <v>14096.7</v>
      </c>
      <c r="T23" s="134">
        <f>ROUND('[7]2029'!T27,2)</f>
        <v>14094.61</v>
      </c>
      <c r="U23" s="134">
        <f>ROUND('[7]2029'!U27,2)</f>
        <v>13872.94</v>
      </c>
      <c r="V23" s="134">
        <f>ROUND('[7]2029'!V27,2)</f>
        <v>13792.83</v>
      </c>
      <c r="W23" s="134">
        <f>ROUND('[7]2029'!W27,2)</f>
        <v>15192.08</v>
      </c>
      <c r="X23" s="134">
        <f>ROUND('[7]2029'!X27,2)</f>
        <v>15312.96</v>
      </c>
      <c r="Y23" s="134">
        <f>ROUND('[7]2029'!Y27,2)</f>
        <v>14937.95</v>
      </c>
      <c r="Z23" s="134">
        <f>ROUND('[7]2029'!Z27,2)</f>
        <v>14419.01</v>
      </c>
      <c r="AA23" s="134">
        <f>ROUND('[7]2029'!AA27,2)</f>
        <v>13709.79</v>
      </c>
      <c r="AB23" s="134">
        <f>ROUND('[7]2029'!AB27,2)</f>
        <v>12850.69</v>
      </c>
      <c r="AC23" s="283">
        <f>SUM(E23:AB23)*D23+SUM(E24:AB24)*D24+SUM(E25:AB25)*D25+SUM(E26:AB26)*D26</f>
        <v>9210470.6899999976</v>
      </c>
      <c r="AD23" s="19"/>
      <c r="BG23" s="194">
        <f>(+AC598)/1000</f>
        <v>387247.49307999999</v>
      </c>
    </row>
    <row r="24" spans="2:59" ht="18.649999999999999" hidden="1" customHeight="1" x14ac:dyDescent="0.35">
      <c r="B24" s="264" t="s">
        <v>34</v>
      </c>
      <c r="C24" s="10" t="s">
        <v>30</v>
      </c>
      <c r="D24" s="11">
        <f>+'[7]2029'!D28</f>
        <v>4</v>
      </c>
      <c r="E24" s="135">
        <f>ROUND('[7]2029'!E28,2)</f>
        <v>11184.52</v>
      </c>
      <c r="F24" s="135">
        <f>ROUND('[7]2029'!F28,2)</f>
        <v>10633.29</v>
      </c>
      <c r="G24" s="135">
        <f>ROUND('[7]2029'!G28,2)</f>
        <v>10214.57</v>
      </c>
      <c r="H24" s="135">
        <f>ROUND('[7]2029'!H28,2)</f>
        <v>9905.82</v>
      </c>
      <c r="I24" s="135">
        <f>ROUND('[7]2029'!I28,2)</f>
        <v>9915.07</v>
      </c>
      <c r="J24" s="135">
        <f>ROUND('[7]2029'!J28,2)</f>
        <v>10037.35</v>
      </c>
      <c r="K24" s="135">
        <f>ROUND('[7]2029'!K28,2)</f>
        <v>10262.870000000001</v>
      </c>
      <c r="L24" s="135">
        <f>ROUND('[7]2029'!L28,2)</f>
        <v>11379.61</v>
      </c>
      <c r="M24" s="135">
        <f>ROUND('[7]2029'!M28,2)</f>
        <v>12527.15</v>
      </c>
      <c r="N24" s="135">
        <f>ROUND('[7]2029'!N28,2)</f>
        <v>13195.61</v>
      </c>
      <c r="O24" s="135">
        <f>ROUND('[7]2029'!O28,2)</f>
        <v>13795.11</v>
      </c>
      <c r="P24" s="135">
        <f>ROUND('[7]2029'!P28,2)</f>
        <v>14208.96</v>
      </c>
      <c r="Q24" s="135">
        <f>ROUND('[7]2029'!Q28,2)</f>
        <v>13820.24</v>
      </c>
      <c r="R24" s="135">
        <f>ROUND('[7]2029'!R28,2)</f>
        <v>14092.96</v>
      </c>
      <c r="S24" s="135">
        <f>ROUND('[7]2029'!S28,2)</f>
        <v>14562.59</v>
      </c>
      <c r="T24" s="135">
        <f>ROUND('[7]2029'!T28,2)</f>
        <v>14593.89</v>
      </c>
      <c r="U24" s="135">
        <f>ROUND('[7]2029'!U28,2)</f>
        <v>14364.06</v>
      </c>
      <c r="V24" s="135">
        <f>ROUND('[7]2029'!V28,2)</f>
        <v>14050.33</v>
      </c>
      <c r="W24" s="135">
        <f>ROUND('[7]2029'!W28,2)</f>
        <v>15018.59</v>
      </c>
      <c r="X24" s="135">
        <f>ROUND('[7]2029'!X28,2)</f>
        <v>15148.42</v>
      </c>
      <c r="Y24" s="135">
        <f>ROUND('[7]2029'!Y28,2)</f>
        <v>14753.86</v>
      </c>
      <c r="Z24" s="135">
        <f>ROUND('[7]2029'!Z28,2)</f>
        <v>14106.81</v>
      </c>
      <c r="AA24" s="135">
        <f>ROUND('[7]2029'!AA28,2)</f>
        <v>13090.84</v>
      </c>
      <c r="AB24" s="135">
        <f>ROUND('[7]2029'!AB28,2)</f>
        <v>11968.9</v>
      </c>
      <c r="AC24" s="282"/>
      <c r="AD24" s="19"/>
    </row>
    <row r="25" spans="2:59" ht="18.649999999999999" hidden="1" customHeight="1" x14ac:dyDescent="0.35">
      <c r="B25" s="264" t="s">
        <v>34</v>
      </c>
      <c r="C25" s="10" t="s">
        <v>31</v>
      </c>
      <c r="D25" s="11">
        <f>+'[7]2029'!D29</f>
        <v>5</v>
      </c>
      <c r="E25" s="135">
        <f>ROUND('[7]2029'!E29,2)</f>
        <v>12053.57</v>
      </c>
      <c r="F25" s="135">
        <f>ROUND('[7]2029'!F29,2)</f>
        <v>11443.22</v>
      </c>
      <c r="G25" s="135">
        <f>ROUND('[7]2029'!G29,2)</f>
        <v>10937.6</v>
      </c>
      <c r="H25" s="135">
        <f>ROUND('[7]2029'!H29,2)</f>
        <v>10592.7</v>
      </c>
      <c r="I25" s="135">
        <f>ROUND('[7]2029'!I29,2)</f>
        <v>10390.620000000001</v>
      </c>
      <c r="J25" s="135">
        <f>ROUND('[7]2029'!J29,2)</f>
        <v>10082.48</v>
      </c>
      <c r="K25" s="135">
        <f>ROUND('[7]2029'!K29,2)</f>
        <v>9773.74</v>
      </c>
      <c r="L25" s="135">
        <f>ROUND('[7]2029'!L29,2)</f>
        <v>10321.25</v>
      </c>
      <c r="M25" s="135">
        <f>ROUND('[7]2029'!M29,2)</f>
        <v>11044.84</v>
      </c>
      <c r="N25" s="135">
        <f>ROUND('[7]2029'!N29,2)</f>
        <v>11697.31</v>
      </c>
      <c r="O25" s="135">
        <f>ROUND('[7]2029'!O29,2)</f>
        <v>12213.14</v>
      </c>
      <c r="P25" s="135">
        <f>ROUND('[7]2029'!P29,2)</f>
        <v>12634.06</v>
      </c>
      <c r="Q25" s="135">
        <f>ROUND('[7]2029'!Q29,2)</f>
        <v>12827.84</v>
      </c>
      <c r="R25" s="135">
        <f>ROUND('[7]2029'!R29,2)</f>
        <v>12863.65</v>
      </c>
      <c r="S25" s="135">
        <f>ROUND('[7]2029'!S29,2)</f>
        <v>12793.08</v>
      </c>
      <c r="T25" s="135">
        <f>ROUND('[7]2029'!T29,2)</f>
        <v>12736.19</v>
      </c>
      <c r="U25" s="135">
        <f>ROUND('[7]2029'!U29,2)</f>
        <v>12606.23</v>
      </c>
      <c r="V25" s="135">
        <f>ROUND('[7]2029'!V29,2)</f>
        <v>12726.65</v>
      </c>
      <c r="W25" s="135">
        <f>ROUND('[7]2029'!W29,2)</f>
        <v>14219.61</v>
      </c>
      <c r="X25" s="135">
        <f>ROUND('[7]2029'!X29,2)</f>
        <v>14647.12</v>
      </c>
      <c r="Y25" s="135">
        <f>ROUND('[7]2029'!Y29,2)</f>
        <v>14548.19</v>
      </c>
      <c r="Z25" s="135">
        <f>ROUND('[7]2029'!Z29,2)</f>
        <v>14101.66</v>
      </c>
      <c r="AA25" s="135">
        <f>ROUND('[7]2029'!AA29,2)</f>
        <v>13241.65</v>
      </c>
      <c r="AB25" s="135">
        <f>ROUND('[7]2029'!AB29,2)</f>
        <v>12215.26</v>
      </c>
      <c r="AC25" s="282"/>
      <c r="AD25" s="19"/>
      <c r="BG25" s="194">
        <f>+AC599/1000</f>
        <v>3473996.5438200003</v>
      </c>
    </row>
    <row r="26" spans="2:59" ht="18.649999999999999" hidden="1" customHeight="1" thickBot="1" x14ac:dyDescent="0.4">
      <c r="B26" s="265" t="s">
        <v>34</v>
      </c>
      <c r="C26" s="12" t="s">
        <v>32</v>
      </c>
      <c r="D26" s="13">
        <f>+'[7]2029'!D30</f>
        <v>0</v>
      </c>
      <c r="E26" s="199">
        <f>ROUND('[7]2029'!E30,2)</f>
        <v>0</v>
      </c>
      <c r="F26" s="115">
        <f>ROUND('[7]2029'!F30,2)</f>
        <v>0</v>
      </c>
      <c r="G26" s="115">
        <f>ROUND('[7]2029'!G30,2)</f>
        <v>0</v>
      </c>
      <c r="H26" s="115">
        <f>ROUND('[7]2029'!H30,2)</f>
        <v>0</v>
      </c>
      <c r="I26" s="115">
        <f>ROUND('[7]2029'!I30,2)</f>
        <v>0</v>
      </c>
      <c r="J26" s="115">
        <f>ROUND('[7]2029'!J30,2)</f>
        <v>0</v>
      </c>
      <c r="K26" s="115">
        <f>ROUND('[7]2029'!K30,2)</f>
        <v>0</v>
      </c>
      <c r="L26" s="115">
        <f>ROUND('[7]2029'!L30,2)</f>
        <v>0</v>
      </c>
      <c r="M26" s="115">
        <f>ROUND('[7]2029'!M30,2)</f>
        <v>0</v>
      </c>
      <c r="N26" s="115">
        <f>ROUND('[7]2029'!N30,2)</f>
        <v>0</v>
      </c>
      <c r="O26" s="115">
        <f>ROUND('[7]2029'!O30,2)</f>
        <v>0</v>
      </c>
      <c r="P26" s="115">
        <f>ROUND('[7]2029'!P30,2)</f>
        <v>0</v>
      </c>
      <c r="Q26" s="115">
        <f>ROUND('[7]2029'!Q30,2)</f>
        <v>0</v>
      </c>
      <c r="R26" s="115">
        <f>ROUND('[7]2029'!R30,2)</f>
        <v>0</v>
      </c>
      <c r="S26" s="115">
        <f>ROUND('[7]2029'!S30,2)</f>
        <v>0</v>
      </c>
      <c r="T26" s="115">
        <f>ROUND('[7]2029'!T30,2)</f>
        <v>0</v>
      </c>
      <c r="U26" s="115">
        <f>ROUND('[7]2029'!U30,2)</f>
        <v>0</v>
      </c>
      <c r="V26" s="115">
        <f>ROUND('[7]2029'!V30,2)</f>
        <v>0</v>
      </c>
      <c r="W26" s="115">
        <f>ROUND('[7]2029'!W30,2)</f>
        <v>0</v>
      </c>
      <c r="X26" s="115">
        <f>ROUND('[7]2029'!X30,2)</f>
        <v>0</v>
      </c>
      <c r="Y26" s="115">
        <f>ROUND('[7]2029'!Y30,2)</f>
        <v>0</v>
      </c>
      <c r="Z26" s="115">
        <f>ROUND('[7]2029'!Z30,2)</f>
        <v>0</v>
      </c>
      <c r="AA26" s="115">
        <f>ROUND('[7]2029'!AA30,2)</f>
        <v>0</v>
      </c>
      <c r="AB26" s="115">
        <f>ROUND('[7]2029'!AB30,2)</f>
        <v>0</v>
      </c>
      <c r="AC26" s="284"/>
      <c r="AD26" s="19"/>
      <c r="BG26" s="9">
        <v>1000</v>
      </c>
    </row>
    <row r="27" spans="2:59" ht="18.649999999999999" hidden="1" customHeight="1" x14ac:dyDescent="0.35">
      <c r="B27" s="260">
        <v>47239</v>
      </c>
      <c r="C27" s="14" t="s">
        <v>29</v>
      </c>
      <c r="D27" s="15">
        <f>+'[7]2029'!D31</f>
        <v>21</v>
      </c>
      <c r="E27" s="137">
        <f>ROUND('[7]2029'!E31,2)</f>
        <v>11812.4</v>
      </c>
      <c r="F27" s="137">
        <f>ROUND('[7]2029'!F31,2)</f>
        <v>11197.75</v>
      </c>
      <c r="G27" s="137">
        <f>ROUND('[7]2029'!G31,2)</f>
        <v>10701.77</v>
      </c>
      <c r="H27" s="137">
        <f>ROUND('[7]2029'!H31,2)</f>
        <v>10277.59</v>
      </c>
      <c r="I27" s="137">
        <f>ROUND('[7]2029'!I31,2)</f>
        <v>10163.25</v>
      </c>
      <c r="J27" s="137">
        <f>ROUND('[7]2029'!J31,2)</f>
        <v>10002.280000000001</v>
      </c>
      <c r="K27" s="137">
        <f>ROUND('[7]2029'!K31,2)</f>
        <v>10150.11</v>
      </c>
      <c r="L27" s="137">
        <f>ROUND('[7]2029'!L31,2)</f>
        <v>11241.86</v>
      </c>
      <c r="M27" s="137">
        <f>ROUND('[7]2029'!M31,2)</f>
        <v>12514.26</v>
      </c>
      <c r="N27" s="137">
        <f>ROUND('[7]2029'!N31,2)</f>
        <v>13216.26</v>
      </c>
      <c r="O27" s="137">
        <f>ROUND('[7]2029'!O31,2)</f>
        <v>13661.83</v>
      </c>
      <c r="P27" s="137">
        <f>ROUND('[7]2029'!P31,2)</f>
        <v>13989.26</v>
      </c>
      <c r="Q27" s="137">
        <f>ROUND('[7]2029'!Q31,2)</f>
        <v>13748.93</v>
      </c>
      <c r="R27" s="137">
        <f>ROUND('[7]2029'!R31,2)</f>
        <v>13501.63</v>
      </c>
      <c r="S27" s="137">
        <f>ROUND('[7]2029'!S31,2)</f>
        <v>13492.54</v>
      </c>
      <c r="T27" s="137">
        <f>ROUND('[7]2029'!T31,2)</f>
        <v>13416.5</v>
      </c>
      <c r="U27" s="137">
        <f>ROUND('[7]2029'!U31,2)</f>
        <v>13234.21</v>
      </c>
      <c r="V27" s="137">
        <f>ROUND('[7]2029'!V31,2)</f>
        <v>13315.37</v>
      </c>
      <c r="W27" s="137">
        <f>ROUND('[7]2029'!W31,2)</f>
        <v>14760.54</v>
      </c>
      <c r="X27" s="137">
        <f>ROUND('[7]2029'!X31,2)</f>
        <v>14897.92</v>
      </c>
      <c r="Y27" s="137">
        <f>ROUND('[7]2029'!Y31,2)</f>
        <v>14418.19</v>
      </c>
      <c r="Z27" s="137">
        <f>ROUND('[7]2029'!Z31,2)</f>
        <v>13823.14</v>
      </c>
      <c r="AA27" s="137">
        <f>ROUND('[7]2029'!AA31,2)</f>
        <v>13040.62</v>
      </c>
      <c r="AB27" s="137">
        <f>ROUND('[7]2029'!AB31,2)</f>
        <v>12164.11</v>
      </c>
      <c r="AC27" s="282">
        <f>SUM(E27:AB27)*D27+SUM(E28:AB28)*D28+SUM(E29:AB29)*D29+SUM(E30:AB30)*D30</f>
        <v>9299682.0999999996</v>
      </c>
      <c r="AD27" s="19"/>
    </row>
    <row r="28" spans="2:59" ht="18.649999999999999" hidden="1" customHeight="1" x14ac:dyDescent="0.35">
      <c r="B28" s="261"/>
      <c r="C28" s="10" t="s">
        <v>30</v>
      </c>
      <c r="D28" s="11">
        <f>+'[7]2029'!D32</f>
        <v>4</v>
      </c>
      <c r="E28" s="135">
        <f>ROUND('[7]2029'!E32,2)</f>
        <v>10889.79</v>
      </c>
      <c r="F28" s="135">
        <f>ROUND('[7]2029'!F32,2)</f>
        <v>10351.1</v>
      </c>
      <c r="G28" s="135">
        <f>ROUND('[7]2029'!G32,2)</f>
        <v>9956.83</v>
      </c>
      <c r="H28" s="135">
        <f>ROUND('[7]2029'!H32,2)</f>
        <v>9685.26</v>
      </c>
      <c r="I28" s="135">
        <f>ROUND('[7]2029'!I32,2)</f>
        <v>9650.42</v>
      </c>
      <c r="J28" s="135">
        <f>ROUND('[7]2029'!J32,2)</f>
        <v>9638.2800000000007</v>
      </c>
      <c r="K28" s="135">
        <f>ROUND('[7]2029'!K32,2)</f>
        <v>9785.09</v>
      </c>
      <c r="L28" s="135">
        <f>ROUND('[7]2029'!L32,2)</f>
        <v>10931.82</v>
      </c>
      <c r="M28" s="135">
        <f>ROUND('[7]2029'!M32,2)</f>
        <v>12053.1</v>
      </c>
      <c r="N28" s="135">
        <f>ROUND('[7]2029'!N32,2)</f>
        <v>12700.58</v>
      </c>
      <c r="O28" s="135">
        <f>ROUND('[7]2029'!O32,2)</f>
        <v>13333.1</v>
      </c>
      <c r="P28" s="135">
        <f>ROUND('[7]2029'!P32,2)</f>
        <v>13788.69</v>
      </c>
      <c r="Q28" s="135">
        <f>ROUND('[7]2029'!Q32,2)</f>
        <v>13487.88</v>
      </c>
      <c r="R28" s="135">
        <f>ROUND('[7]2029'!R32,2)</f>
        <v>13631.66</v>
      </c>
      <c r="S28" s="135">
        <f>ROUND('[7]2029'!S32,2)</f>
        <v>13990.47</v>
      </c>
      <c r="T28" s="135">
        <f>ROUND('[7]2029'!T32,2)</f>
        <v>13972.95</v>
      </c>
      <c r="U28" s="135">
        <f>ROUND('[7]2029'!U32,2)</f>
        <v>13771.68</v>
      </c>
      <c r="V28" s="135">
        <f>ROUND('[7]2029'!V32,2)</f>
        <v>13504.16</v>
      </c>
      <c r="W28" s="135">
        <f>ROUND('[7]2029'!W32,2)</f>
        <v>14487.8</v>
      </c>
      <c r="X28" s="135">
        <f>ROUND('[7]2029'!X32,2)</f>
        <v>14760.79</v>
      </c>
      <c r="Y28" s="135">
        <f>ROUND('[7]2029'!Y32,2)</f>
        <v>14358.78</v>
      </c>
      <c r="Z28" s="135">
        <f>ROUND('[7]2029'!Z32,2)</f>
        <v>13698.71</v>
      </c>
      <c r="AA28" s="135">
        <f>ROUND('[7]2029'!AA32,2)</f>
        <v>12706.45</v>
      </c>
      <c r="AB28" s="135">
        <f>ROUND('[7]2029'!AB32,2)</f>
        <v>11671.63</v>
      </c>
      <c r="AC28" s="282"/>
      <c r="AD28" s="19"/>
    </row>
    <row r="29" spans="2:59" ht="18.649999999999999" hidden="1" customHeight="1" x14ac:dyDescent="0.35">
      <c r="B29" s="261"/>
      <c r="C29" s="10" t="s">
        <v>31</v>
      </c>
      <c r="D29" s="11">
        <f>+'[7]2029'!D33</f>
        <v>4</v>
      </c>
      <c r="E29" s="135">
        <f>ROUND('[7]2029'!E33,2)</f>
        <v>10881.77</v>
      </c>
      <c r="F29" s="135">
        <f>ROUND('[7]2029'!F33,2)</f>
        <v>10455.64</v>
      </c>
      <c r="G29" s="135">
        <f>ROUND('[7]2029'!G33,2)</f>
        <v>10018.620000000001</v>
      </c>
      <c r="H29" s="135">
        <f>ROUND('[7]2029'!H33,2)</f>
        <v>9786.25</v>
      </c>
      <c r="I29" s="135">
        <f>ROUND('[7]2029'!I33,2)</f>
        <v>9711.7199999999993</v>
      </c>
      <c r="J29" s="135">
        <f>ROUND('[7]2029'!J33,2)</f>
        <v>9470.7000000000007</v>
      </c>
      <c r="K29" s="135">
        <f>ROUND('[7]2029'!K33,2)</f>
        <v>9431.31</v>
      </c>
      <c r="L29" s="135">
        <f>ROUND('[7]2029'!L33,2)</f>
        <v>10162.129999999999</v>
      </c>
      <c r="M29" s="135">
        <f>ROUND('[7]2029'!M33,2)</f>
        <v>11009.51</v>
      </c>
      <c r="N29" s="135">
        <f>ROUND('[7]2029'!N33,2)</f>
        <v>11668.39</v>
      </c>
      <c r="O29" s="135">
        <f>ROUND('[7]2029'!O33,2)</f>
        <v>12169.29</v>
      </c>
      <c r="P29" s="135">
        <f>ROUND('[7]2029'!P33,2)</f>
        <v>12791.64</v>
      </c>
      <c r="Q29" s="135">
        <f>ROUND('[7]2029'!Q33,2)</f>
        <v>13140.29</v>
      </c>
      <c r="R29" s="135">
        <f>ROUND('[7]2029'!R33,2)</f>
        <v>13206.36</v>
      </c>
      <c r="S29" s="135">
        <f>ROUND('[7]2029'!S33,2)</f>
        <v>13221.57</v>
      </c>
      <c r="T29" s="135">
        <f>ROUND('[7]2029'!T33,2)</f>
        <v>13247.49</v>
      </c>
      <c r="U29" s="135">
        <f>ROUND('[7]2029'!U33,2)</f>
        <v>13112.33</v>
      </c>
      <c r="V29" s="135">
        <f>ROUND('[7]2029'!V33,2)</f>
        <v>13115.74</v>
      </c>
      <c r="W29" s="135">
        <f>ROUND('[7]2029'!W33,2)</f>
        <v>14659.21</v>
      </c>
      <c r="X29" s="135">
        <f>ROUND('[7]2029'!X33,2)</f>
        <v>15215.61</v>
      </c>
      <c r="Y29" s="135">
        <f>ROUND('[7]2029'!Y33,2)</f>
        <v>15122.97</v>
      </c>
      <c r="Z29" s="135">
        <f>ROUND('[7]2029'!Z33,2)</f>
        <v>14613.4</v>
      </c>
      <c r="AA29" s="135">
        <f>ROUND('[7]2029'!AA33,2)</f>
        <v>13678.85</v>
      </c>
      <c r="AB29" s="135">
        <f>ROUND('[7]2029'!AB33,2)</f>
        <v>12586.76</v>
      </c>
      <c r="AC29" s="282"/>
      <c r="AD29" s="19"/>
    </row>
    <row r="30" spans="2:59" ht="18.649999999999999" hidden="1" customHeight="1" thickBot="1" x14ac:dyDescent="0.4">
      <c r="B30" s="261"/>
      <c r="C30" s="16" t="s">
        <v>32</v>
      </c>
      <c r="D30" s="17">
        <f>+'[7]2029'!D34</f>
        <v>2</v>
      </c>
      <c r="E30" s="136">
        <f>ROUND('[7]2029'!E34,2)</f>
        <v>10881.77</v>
      </c>
      <c r="F30" s="136">
        <f>ROUND('[7]2029'!F34,2)</f>
        <v>10455.64</v>
      </c>
      <c r="G30" s="136">
        <f>ROUND('[7]2029'!G34,2)</f>
        <v>10018.620000000001</v>
      </c>
      <c r="H30" s="136">
        <f>ROUND('[7]2029'!H34,2)</f>
        <v>9786.25</v>
      </c>
      <c r="I30" s="136">
        <f>ROUND('[7]2029'!I34,2)</f>
        <v>9711.7199999999993</v>
      </c>
      <c r="J30" s="136">
        <f>ROUND('[7]2029'!J34,2)</f>
        <v>9470.7000000000007</v>
      </c>
      <c r="K30" s="136">
        <f>ROUND('[7]2029'!K34,2)</f>
        <v>9431.31</v>
      </c>
      <c r="L30" s="136">
        <f>ROUND('[7]2029'!L34,2)</f>
        <v>10162.129999999999</v>
      </c>
      <c r="M30" s="136">
        <f>ROUND('[7]2029'!M34,2)</f>
        <v>11009.51</v>
      </c>
      <c r="N30" s="136">
        <f>ROUND('[7]2029'!N34,2)</f>
        <v>11668.39</v>
      </c>
      <c r="O30" s="136">
        <f>ROUND('[7]2029'!O34,2)</f>
        <v>12169.29</v>
      </c>
      <c r="P30" s="136">
        <f>ROUND('[7]2029'!P34,2)</f>
        <v>12791.64</v>
      </c>
      <c r="Q30" s="136">
        <f>ROUND('[7]2029'!Q34,2)</f>
        <v>13140.29</v>
      </c>
      <c r="R30" s="136">
        <f>ROUND('[7]2029'!R34,2)</f>
        <v>13206.36</v>
      </c>
      <c r="S30" s="136">
        <f>ROUND('[7]2029'!S34,2)</f>
        <v>13221.57</v>
      </c>
      <c r="T30" s="136">
        <f>ROUND('[7]2029'!T34,2)</f>
        <v>13247.49</v>
      </c>
      <c r="U30" s="136">
        <f>ROUND('[7]2029'!U34,2)</f>
        <v>13112.33</v>
      </c>
      <c r="V30" s="136">
        <f>ROUND('[7]2029'!V34,2)</f>
        <v>13115.74</v>
      </c>
      <c r="W30" s="136">
        <f>ROUND('[7]2029'!W34,2)</f>
        <v>14659.21</v>
      </c>
      <c r="X30" s="136">
        <f>ROUND('[7]2029'!X34,2)</f>
        <v>15215.61</v>
      </c>
      <c r="Y30" s="136">
        <f>ROUND('[7]2029'!Y34,2)</f>
        <v>15122.97</v>
      </c>
      <c r="Z30" s="136">
        <f>ROUND('[7]2029'!Z34,2)</f>
        <v>14613.4</v>
      </c>
      <c r="AA30" s="136">
        <f>ROUND('[7]2029'!AA34,2)</f>
        <v>13678.85</v>
      </c>
      <c r="AB30" s="136">
        <f>ROUND('[7]2029'!AB34,2)</f>
        <v>12586.76</v>
      </c>
      <c r="AC30" s="282"/>
      <c r="AD30" s="19"/>
    </row>
    <row r="31" spans="2:59" ht="18.649999999999999" hidden="1" customHeight="1" x14ac:dyDescent="0.35">
      <c r="B31" s="263">
        <v>47270</v>
      </c>
      <c r="C31" s="7" t="s">
        <v>29</v>
      </c>
      <c r="D31" s="8">
        <f>+'[7]2029'!D35</f>
        <v>19</v>
      </c>
      <c r="E31" s="134">
        <f>ROUND('[7]2029'!E35,2)</f>
        <v>10667.66</v>
      </c>
      <c r="F31" s="134">
        <f>ROUND('[7]2029'!F35,2)</f>
        <v>10138.06</v>
      </c>
      <c r="G31" s="134">
        <f>ROUND('[7]2029'!G35,2)</f>
        <v>9746.7800000000007</v>
      </c>
      <c r="H31" s="134">
        <f>ROUND('[7]2029'!H35,2)</f>
        <v>9485.67</v>
      </c>
      <c r="I31" s="134">
        <f>ROUND('[7]2029'!I35,2)</f>
        <v>9415.92</v>
      </c>
      <c r="J31" s="134">
        <f>ROUND('[7]2029'!J35,2)</f>
        <v>9315.8799999999992</v>
      </c>
      <c r="K31" s="134">
        <f>ROUND('[7]2029'!K35,2)</f>
        <v>9471.32</v>
      </c>
      <c r="L31" s="134">
        <f>ROUND('[7]2029'!L35,2)</f>
        <v>10612.19</v>
      </c>
      <c r="M31" s="134">
        <f>ROUND('[7]2029'!M35,2)</f>
        <v>11866.64</v>
      </c>
      <c r="N31" s="134">
        <f>ROUND('[7]2029'!N35,2)</f>
        <v>12637.96</v>
      </c>
      <c r="O31" s="134">
        <f>ROUND('[7]2029'!O35,2)</f>
        <v>13308.23</v>
      </c>
      <c r="P31" s="134">
        <f>ROUND('[7]2029'!P35,2)</f>
        <v>13677.12</v>
      </c>
      <c r="Q31" s="134">
        <f>ROUND('[7]2029'!Q35,2)</f>
        <v>13475.2</v>
      </c>
      <c r="R31" s="134">
        <f>ROUND('[7]2029'!R35,2)</f>
        <v>13243.83</v>
      </c>
      <c r="S31" s="134">
        <f>ROUND('[7]2029'!S35,2)</f>
        <v>13255</v>
      </c>
      <c r="T31" s="134">
        <f>ROUND('[7]2029'!T35,2)</f>
        <v>13216.89</v>
      </c>
      <c r="U31" s="134">
        <f>ROUND('[7]2029'!U35,2)</f>
        <v>13082.99</v>
      </c>
      <c r="V31" s="134">
        <f>ROUND('[7]2029'!V35,2)</f>
        <v>13096.96</v>
      </c>
      <c r="W31" s="134">
        <f>ROUND('[7]2029'!W35,2)</f>
        <v>14225.25</v>
      </c>
      <c r="X31" s="134">
        <f>ROUND('[7]2029'!X35,2)</f>
        <v>14428.31</v>
      </c>
      <c r="Y31" s="134">
        <f>ROUND('[7]2029'!Y35,2)</f>
        <v>13925.6</v>
      </c>
      <c r="Z31" s="134">
        <f>ROUND('[7]2029'!Z35,2)</f>
        <v>13351.84</v>
      </c>
      <c r="AA31" s="134">
        <f>ROUND('[7]2029'!AA35,2)</f>
        <v>12643.72</v>
      </c>
      <c r="AB31" s="134">
        <f>ROUND('[7]2029'!AB35,2)</f>
        <v>11843.62</v>
      </c>
      <c r="AC31" s="283">
        <f>SUM(E31:AB31)*D31+SUM(E32:AB32)*D32+SUM(E33:AB33)*D33+SUM(E34:AB34)*D34</f>
        <v>8672481.3499999996</v>
      </c>
      <c r="AD31" s="19"/>
    </row>
    <row r="32" spans="2:59" ht="18.649999999999999" hidden="1" customHeight="1" x14ac:dyDescent="0.35">
      <c r="B32" s="264" t="s">
        <v>34</v>
      </c>
      <c r="C32" s="10" t="s">
        <v>30</v>
      </c>
      <c r="D32" s="11">
        <f>+'[7]2029'!D36</f>
        <v>5</v>
      </c>
      <c r="E32" s="135">
        <f>ROUND('[7]2029'!E36,2)</f>
        <v>10985.66</v>
      </c>
      <c r="F32" s="135">
        <f>ROUND('[7]2029'!F36,2)</f>
        <v>10445.040000000001</v>
      </c>
      <c r="G32" s="135">
        <f>ROUND('[7]2029'!G36,2)</f>
        <v>10034.24</v>
      </c>
      <c r="H32" s="135">
        <f>ROUND('[7]2029'!H36,2)</f>
        <v>9749.2000000000007</v>
      </c>
      <c r="I32" s="135">
        <f>ROUND('[7]2029'!I36,2)</f>
        <v>9715.66</v>
      </c>
      <c r="J32" s="135">
        <f>ROUND('[7]2029'!J36,2)</f>
        <v>9824.7000000000007</v>
      </c>
      <c r="K32" s="135">
        <f>ROUND('[7]2029'!K36,2)</f>
        <v>9891.3799999999992</v>
      </c>
      <c r="L32" s="135">
        <f>ROUND('[7]2029'!L36,2)</f>
        <v>11004.13</v>
      </c>
      <c r="M32" s="135">
        <f>ROUND('[7]2029'!M36,2)</f>
        <v>12179.7</v>
      </c>
      <c r="N32" s="135">
        <f>ROUND('[7]2029'!N36,2)</f>
        <v>12859.93</v>
      </c>
      <c r="O32" s="135">
        <f>ROUND('[7]2029'!O36,2)</f>
        <v>13501.81</v>
      </c>
      <c r="P32" s="135">
        <f>ROUND('[7]2029'!P36,2)</f>
        <v>13920.71</v>
      </c>
      <c r="Q32" s="135">
        <f>ROUND('[7]2029'!Q36,2)</f>
        <v>13566.23</v>
      </c>
      <c r="R32" s="135">
        <f>ROUND('[7]2029'!R36,2)</f>
        <v>13892.57</v>
      </c>
      <c r="S32" s="135">
        <f>ROUND('[7]2029'!S36,2)</f>
        <v>14364.29</v>
      </c>
      <c r="T32" s="135">
        <f>ROUND('[7]2029'!T36,2)</f>
        <v>14383.16</v>
      </c>
      <c r="U32" s="135">
        <f>ROUND('[7]2029'!U36,2)</f>
        <v>14115.45</v>
      </c>
      <c r="V32" s="135">
        <f>ROUND('[7]2029'!V36,2)</f>
        <v>13651.5</v>
      </c>
      <c r="W32" s="135">
        <f>ROUND('[7]2029'!W36,2)</f>
        <v>14454.01</v>
      </c>
      <c r="X32" s="135">
        <f>ROUND('[7]2029'!X36,2)</f>
        <v>14876.94</v>
      </c>
      <c r="Y32" s="135">
        <f>ROUND('[7]2029'!Y36,2)</f>
        <v>14537.68</v>
      </c>
      <c r="Z32" s="135">
        <f>ROUND('[7]2029'!Z36,2)</f>
        <v>13921.53</v>
      </c>
      <c r="AA32" s="135">
        <f>ROUND('[7]2029'!AA36,2)</f>
        <v>12917.06</v>
      </c>
      <c r="AB32" s="135">
        <f>ROUND('[7]2029'!AB36,2)</f>
        <v>11865.93</v>
      </c>
      <c r="AC32" s="282"/>
      <c r="AD32" s="19"/>
    </row>
    <row r="33" spans="2:30" ht="18.649999999999999" hidden="1" customHeight="1" x14ac:dyDescent="0.35">
      <c r="B33" s="264" t="s">
        <v>34</v>
      </c>
      <c r="C33" s="10" t="s">
        <v>31</v>
      </c>
      <c r="D33" s="11">
        <f>+'[7]2029'!D37</f>
        <v>4</v>
      </c>
      <c r="E33" s="135">
        <f>ROUND('[7]2029'!E37,2)</f>
        <v>10456.81</v>
      </c>
      <c r="F33" s="135">
        <f>ROUND('[7]2029'!F37,2)</f>
        <v>10034.17</v>
      </c>
      <c r="G33" s="135">
        <f>ROUND('[7]2029'!G37,2)</f>
        <v>9688.82</v>
      </c>
      <c r="H33" s="135">
        <f>ROUND('[7]2029'!H37,2)</f>
        <v>9465.07</v>
      </c>
      <c r="I33" s="135">
        <f>ROUND('[7]2029'!I37,2)</f>
        <v>9375.81</v>
      </c>
      <c r="J33" s="135">
        <f>ROUND('[7]2029'!J37,2)</f>
        <v>9113.27</v>
      </c>
      <c r="K33" s="135">
        <f>ROUND('[7]2029'!K37,2)</f>
        <v>8993.36</v>
      </c>
      <c r="L33" s="135">
        <f>ROUND('[7]2029'!L37,2)</f>
        <v>9725.99</v>
      </c>
      <c r="M33" s="135">
        <f>ROUND('[7]2029'!M37,2)</f>
        <v>10573.2</v>
      </c>
      <c r="N33" s="135">
        <f>ROUND('[7]2029'!N37,2)</f>
        <v>11101.1</v>
      </c>
      <c r="O33" s="135">
        <f>ROUND('[7]2029'!O37,2)</f>
        <v>11727.14</v>
      </c>
      <c r="P33" s="135">
        <f>ROUND('[7]2029'!P37,2)</f>
        <v>12190.43</v>
      </c>
      <c r="Q33" s="135">
        <f>ROUND('[7]2029'!Q37,2)</f>
        <v>12426.71</v>
      </c>
      <c r="R33" s="135">
        <f>ROUND('[7]2029'!R37,2)</f>
        <v>12377.46</v>
      </c>
      <c r="S33" s="135">
        <f>ROUND('[7]2029'!S37,2)</f>
        <v>12274.5</v>
      </c>
      <c r="T33" s="135">
        <f>ROUND('[7]2029'!T37,2)</f>
        <v>12179.85</v>
      </c>
      <c r="U33" s="135">
        <f>ROUND('[7]2029'!U37,2)</f>
        <v>12086.7</v>
      </c>
      <c r="V33" s="135">
        <f>ROUND('[7]2029'!V37,2)</f>
        <v>12269.03</v>
      </c>
      <c r="W33" s="135">
        <f>ROUND('[7]2029'!W37,2)</f>
        <v>13750.15</v>
      </c>
      <c r="X33" s="135">
        <f>ROUND('[7]2029'!X37,2)</f>
        <v>14296.57</v>
      </c>
      <c r="Y33" s="135">
        <f>ROUND('[7]2029'!Y37,2)</f>
        <v>14115.15</v>
      </c>
      <c r="Z33" s="135">
        <f>ROUND('[7]2029'!Z37,2)</f>
        <v>13593.63</v>
      </c>
      <c r="AA33" s="135">
        <f>ROUND('[7]2029'!AA37,2)</f>
        <v>12674.98</v>
      </c>
      <c r="AB33" s="135">
        <f>ROUND('[7]2029'!AB37,2)</f>
        <v>11621.54</v>
      </c>
      <c r="AC33" s="282"/>
      <c r="AD33" s="19"/>
    </row>
    <row r="34" spans="2:30" ht="18.649999999999999" hidden="1" customHeight="1" thickBot="1" x14ac:dyDescent="0.4">
      <c r="B34" s="265" t="s">
        <v>34</v>
      </c>
      <c r="C34" s="12" t="s">
        <v>32</v>
      </c>
      <c r="D34" s="13">
        <f>+'[7]2029'!D38</f>
        <v>2</v>
      </c>
      <c r="E34" s="132">
        <f>ROUND('[7]2029'!E38,2)</f>
        <v>10456.81</v>
      </c>
      <c r="F34" s="132">
        <f>ROUND('[7]2029'!F38,2)</f>
        <v>10034.17</v>
      </c>
      <c r="G34" s="132">
        <f>ROUND('[7]2029'!G38,2)</f>
        <v>9688.82</v>
      </c>
      <c r="H34" s="132">
        <f>ROUND('[7]2029'!H38,2)</f>
        <v>9465.07</v>
      </c>
      <c r="I34" s="132">
        <f>ROUND('[7]2029'!I38,2)</f>
        <v>9375.81</v>
      </c>
      <c r="J34" s="132">
        <f>ROUND('[7]2029'!J38,2)</f>
        <v>9113.27</v>
      </c>
      <c r="K34" s="132">
        <f>ROUND('[7]2029'!K38,2)</f>
        <v>8993.36</v>
      </c>
      <c r="L34" s="132">
        <f>ROUND('[7]2029'!L38,2)</f>
        <v>9725.99</v>
      </c>
      <c r="M34" s="132">
        <f>ROUND('[7]2029'!M38,2)</f>
        <v>10573.2</v>
      </c>
      <c r="N34" s="132">
        <f>ROUND('[7]2029'!N38,2)</f>
        <v>11101.1</v>
      </c>
      <c r="O34" s="132">
        <f>ROUND('[7]2029'!O38,2)</f>
        <v>11727.14</v>
      </c>
      <c r="P34" s="132">
        <f>ROUND('[7]2029'!P38,2)</f>
        <v>12190.43</v>
      </c>
      <c r="Q34" s="132">
        <f>ROUND('[7]2029'!Q38,2)</f>
        <v>12426.71</v>
      </c>
      <c r="R34" s="132">
        <f>ROUND('[7]2029'!R38,2)</f>
        <v>12377.46</v>
      </c>
      <c r="S34" s="132">
        <f>ROUND('[7]2029'!S38,2)</f>
        <v>12274.5</v>
      </c>
      <c r="T34" s="132">
        <f>ROUND('[7]2029'!T38,2)</f>
        <v>12179.85</v>
      </c>
      <c r="U34" s="132">
        <f>ROUND('[7]2029'!U38,2)</f>
        <v>12086.7</v>
      </c>
      <c r="V34" s="132">
        <f>ROUND('[7]2029'!V38,2)</f>
        <v>12269.03</v>
      </c>
      <c r="W34" s="132">
        <f>ROUND('[7]2029'!W38,2)</f>
        <v>13750.15</v>
      </c>
      <c r="X34" s="132">
        <f>ROUND('[7]2029'!X38,2)</f>
        <v>14296.57</v>
      </c>
      <c r="Y34" s="132">
        <f>ROUND('[7]2029'!Y38,2)</f>
        <v>14115.15</v>
      </c>
      <c r="Z34" s="132">
        <f>ROUND('[7]2029'!Z38,2)</f>
        <v>13593.63</v>
      </c>
      <c r="AA34" s="132">
        <f>ROUND('[7]2029'!AA38,2)</f>
        <v>12674.98</v>
      </c>
      <c r="AB34" s="132">
        <f>ROUND('[7]2029'!AB38,2)</f>
        <v>11621.54</v>
      </c>
      <c r="AC34" s="284"/>
      <c r="AD34" s="19"/>
    </row>
    <row r="35" spans="2:30" ht="18.649999999999999" hidden="1" customHeight="1" x14ac:dyDescent="0.35">
      <c r="B35" s="260">
        <v>47300</v>
      </c>
      <c r="C35" s="14" t="s">
        <v>29</v>
      </c>
      <c r="D35" s="15">
        <f>+'[7]2029'!D39</f>
        <v>20</v>
      </c>
      <c r="E35" s="137">
        <f>ROUND('[7]2029'!E39,2)</f>
        <v>11006.34</v>
      </c>
      <c r="F35" s="137">
        <f>ROUND('[7]2029'!F39,2)</f>
        <v>10476.65</v>
      </c>
      <c r="G35" s="137">
        <f>ROUND('[7]2029'!G39,2)</f>
        <v>10127.48</v>
      </c>
      <c r="H35" s="137">
        <f>ROUND('[7]2029'!H39,2)</f>
        <v>9868.99</v>
      </c>
      <c r="I35" s="137">
        <f>ROUND('[7]2029'!I39,2)</f>
        <v>9828.9</v>
      </c>
      <c r="J35" s="137">
        <f>ROUND('[7]2029'!J39,2)</f>
        <v>9783.09</v>
      </c>
      <c r="K35" s="137">
        <f>ROUND('[7]2029'!K39,2)</f>
        <v>9873.15</v>
      </c>
      <c r="L35" s="137">
        <f>ROUND('[7]2029'!L39,2)</f>
        <v>11024.88</v>
      </c>
      <c r="M35" s="137">
        <f>ROUND('[7]2029'!M39,2)</f>
        <v>12364.81</v>
      </c>
      <c r="N35" s="137">
        <f>ROUND('[7]2029'!N39,2)</f>
        <v>13123.94</v>
      </c>
      <c r="O35" s="137">
        <f>ROUND('[7]2029'!O39,2)</f>
        <v>13806.76</v>
      </c>
      <c r="P35" s="137">
        <f>ROUND('[7]2029'!P39,2)</f>
        <v>14117.45</v>
      </c>
      <c r="Q35" s="137">
        <f>ROUND('[7]2029'!Q39,2)</f>
        <v>13933.28</v>
      </c>
      <c r="R35" s="137">
        <f>ROUND('[7]2029'!R39,2)</f>
        <v>13740.06</v>
      </c>
      <c r="S35" s="137">
        <f>ROUND('[7]2029'!S39,2)</f>
        <v>13762.58</v>
      </c>
      <c r="T35" s="137">
        <f>ROUND('[7]2029'!T39,2)</f>
        <v>13800.26</v>
      </c>
      <c r="U35" s="137">
        <f>ROUND('[7]2029'!U39,2)</f>
        <v>13607.3</v>
      </c>
      <c r="V35" s="137">
        <f>ROUND('[7]2029'!V39,2)</f>
        <v>13576.73</v>
      </c>
      <c r="W35" s="137">
        <f>ROUND('[7]2029'!W39,2)</f>
        <v>14726.68</v>
      </c>
      <c r="X35" s="137">
        <f>ROUND('[7]2029'!X39,2)</f>
        <v>15118.01</v>
      </c>
      <c r="Y35" s="137">
        <f>ROUND('[7]2029'!Y39,2)</f>
        <v>14636.6</v>
      </c>
      <c r="Z35" s="137">
        <f>ROUND('[7]2029'!Z39,2)</f>
        <v>13987.64</v>
      </c>
      <c r="AA35" s="137">
        <f>ROUND('[7]2029'!AA39,2)</f>
        <v>13161.95</v>
      </c>
      <c r="AB35" s="137">
        <f>ROUND('[7]2029'!AB39,2)</f>
        <v>12282.3</v>
      </c>
      <c r="AC35" s="282">
        <f>SUM(E35:AB35)*D35+SUM(E36:AB36)*D36+SUM(E37:AB37)*D37+SUM(E38:AB38)*D38</f>
        <v>9351870.8100000005</v>
      </c>
      <c r="AD35" s="19"/>
    </row>
    <row r="36" spans="2:30" ht="18.649999999999999" hidden="1" customHeight="1" x14ac:dyDescent="0.35">
      <c r="B36" s="261"/>
      <c r="C36" s="10" t="s">
        <v>30</v>
      </c>
      <c r="D36" s="11">
        <f>+'[7]2029'!D40</f>
        <v>4</v>
      </c>
      <c r="E36" s="135">
        <f>ROUND('[7]2029'!E40,2)</f>
        <v>11706.83</v>
      </c>
      <c r="F36" s="135">
        <f>ROUND('[7]2029'!F40,2)</f>
        <v>11093.7</v>
      </c>
      <c r="G36" s="135">
        <f>ROUND('[7]2029'!G40,2)</f>
        <v>10644.31</v>
      </c>
      <c r="H36" s="135">
        <f>ROUND('[7]2029'!H40,2)</f>
        <v>10327.24</v>
      </c>
      <c r="I36" s="135">
        <f>ROUND('[7]2029'!I40,2)</f>
        <v>10305.379999999999</v>
      </c>
      <c r="J36" s="135">
        <f>ROUND('[7]2029'!J40,2)</f>
        <v>10494.15</v>
      </c>
      <c r="K36" s="135">
        <f>ROUND('[7]2029'!K40,2)</f>
        <v>10555.7</v>
      </c>
      <c r="L36" s="135">
        <f>ROUND('[7]2029'!L40,2)</f>
        <v>11706.66</v>
      </c>
      <c r="M36" s="135">
        <f>ROUND('[7]2029'!M40,2)</f>
        <v>12945.53</v>
      </c>
      <c r="N36" s="135">
        <f>ROUND('[7]2029'!N40,2)</f>
        <v>13649.62</v>
      </c>
      <c r="O36" s="135">
        <f>ROUND('[7]2029'!O40,2)</f>
        <v>14361.21</v>
      </c>
      <c r="P36" s="135">
        <f>ROUND('[7]2029'!P40,2)</f>
        <v>14874.72</v>
      </c>
      <c r="Q36" s="135">
        <f>ROUND('[7]2029'!Q40,2)</f>
        <v>14486.14</v>
      </c>
      <c r="R36" s="135">
        <f>ROUND('[7]2029'!R40,2)</f>
        <v>14776.51</v>
      </c>
      <c r="S36" s="135">
        <f>ROUND('[7]2029'!S40,2)</f>
        <v>15264.45</v>
      </c>
      <c r="T36" s="135">
        <f>ROUND('[7]2029'!T40,2)</f>
        <v>15264.59</v>
      </c>
      <c r="U36" s="135">
        <f>ROUND('[7]2029'!U40,2)</f>
        <v>14973.34</v>
      </c>
      <c r="V36" s="135">
        <f>ROUND('[7]2029'!V40,2)</f>
        <v>14543.68</v>
      </c>
      <c r="W36" s="135">
        <f>ROUND('[7]2029'!W40,2)</f>
        <v>15543.19</v>
      </c>
      <c r="X36" s="135">
        <f>ROUND('[7]2029'!X40,2)</f>
        <v>15863.47</v>
      </c>
      <c r="Y36" s="135">
        <f>ROUND('[7]2029'!Y40,2)</f>
        <v>15528.14</v>
      </c>
      <c r="Z36" s="135">
        <f>ROUND('[7]2029'!Z40,2)</f>
        <v>14867.8</v>
      </c>
      <c r="AA36" s="135">
        <f>ROUND('[7]2029'!AA40,2)</f>
        <v>13782.34</v>
      </c>
      <c r="AB36" s="135">
        <f>ROUND('[7]2029'!AB40,2)</f>
        <v>12613.85</v>
      </c>
      <c r="AC36" s="282"/>
      <c r="AD36" s="19"/>
    </row>
    <row r="37" spans="2:30" ht="18.649999999999999" hidden="1" customHeight="1" x14ac:dyDescent="0.35">
      <c r="B37" s="261"/>
      <c r="C37" s="10" t="s">
        <v>31</v>
      </c>
      <c r="D37" s="11">
        <f>+'[7]2029'!D41</f>
        <v>5</v>
      </c>
      <c r="E37" s="135">
        <f>ROUND('[7]2029'!E41,2)</f>
        <v>11042.06</v>
      </c>
      <c r="F37" s="135">
        <f>ROUND('[7]2029'!F41,2)</f>
        <v>10598.52</v>
      </c>
      <c r="G37" s="135">
        <f>ROUND('[7]2029'!G41,2)</f>
        <v>10223.06</v>
      </c>
      <c r="H37" s="135">
        <f>ROUND('[7]2029'!H41,2)</f>
        <v>9879.36</v>
      </c>
      <c r="I37" s="135">
        <f>ROUND('[7]2029'!I41,2)</f>
        <v>9763.9699999999993</v>
      </c>
      <c r="J37" s="135">
        <f>ROUND('[7]2029'!J41,2)</f>
        <v>9611.81</v>
      </c>
      <c r="K37" s="135">
        <f>ROUND('[7]2029'!K41,2)</f>
        <v>9428.6299999999992</v>
      </c>
      <c r="L37" s="135">
        <f>ROUND('[7]2029'!L41,2)</f>
        <v>10131.68</v>
      </c>
      <c r="M37" s="135">
        <f>ROUND('[7]2029'!M41,2)</f>
        <v>11050.44</v>
      </c>
      <c r="N37" s="135">
        <f>ROUND('[7]2029'!N41,2)</f>
        <v>11791.84</v>
      </c>
      <c r="O37" s="135">
        <f>ROUND('[7]2029'!O41,2)</f>
        <v>12323.57</v>
      </c>
      <c r="P37" s="135">
        <f>ROUND('[7]2029'!P41,2)</f>
        <v>12593.06</v>
      </c>
      <c r="Q37" s="135">
        <f>ROUND('[7]2029'!Q41,2)</f>
        <v>13055.45</v>
      </c>
      <c r="R37" s="135">
        <f>ROUND('[7]2029'!R41,2)</f>
        <v>13085.83</v>
      </c>
      <c r="S37" s="135">
        <f>ROUND('[7]2029'!S41,2)</f>
        <v>13062.59</v>
      </c>
      <c r="T37" s="135">
        <f>ROUND('[7]2029'!T41,2)</f>
        <v>13100.05</v>
      </c>
      <c r="U37" s="135">
        <f>ROUND('[7]2029'!U41,2)</f>
        <v>12997.74</v>
      </c>
      <c r="V37" s="135">
        <f>ROUND('[7]2029'!V41,2)</f>
        <v>12880.01</v>
      </c>
      <c r="W37" s="135">
        <f>ROUND('[7]2029'!W41,2)</f>
        <v>14234.25</v>
      </c>
      <c r="X37" s="135">
        <f>ROUND('[7]2029'!X41,2)</f>
        <v>15015.07</v>
      </c>
      <c r="Y37" s="135">
        <f>ROUND('[7]2029'!Y41,2)</f>
        <v>14812.03</v>
      </c>
      <c r="Z37" s="135">
        <f>ROUND('[7]2029'!Z41,2)</f>
        <v>14304.67</v>
      </c>
      <c r="AA37" s="135">
        <f>ROUND('[7]2029'!AA41,2)</f>
        <v>13446.58</v>
      </c>
      <c r="AB37" s="135">
        <f>ROUND('[7]2029'!AB41,2)</f>
        <v>12491.16</v>
      </c>
      <c r="AC37" s="282"/>
      <c r="AD37" s="19"/>
    </row>
    <row r="38" spans="2:30" ht="18.649999999999999" hidden="1" customHeight="1" thickBot="1" x14ac:dyDescent="0.4">
      <c r="B38" s="261"/>
      <c r="C38" s="16" t="s">
        <v>32</v>
      </c>
      <c r="D38" s="17">
        <f>+'[7]2029'!D42</f>
        <v>2</v>
      </c>
      <c r="E38" s="136">
        <f>ROUND('[7]2029'!E42,2)</f>
        <v>11042.06</v>
      </c>
      <c r="F38" s="136">
        <f>ROUND('[7]2029'!F42,2)</f>
        <v>10598.52</v>
      </c>
      <c r="G38" s="136">
        <f>ROUND('[7]2029'!G42,2)</f>
        <v>10223.06</v>
      </c>
      <c r="H38" s="136">
        <f>ROUND('[7]2029'!H42,2)</f>
        <v>9879.36</v>
      </c>
      <c r="I38" s="136">
        <f>ROUND('[7]2029'!I42,2)</f>
        <v>9763.9699999999993</v>
      </c>
      <c r="J38" s="136">
        <f>ROUND('[7]2029'!J42,2)</f>
        <v>9611.81</v>
      </c>
      <c r="K38" s="136">
        <f>ROUND('[7]2029'!K42,2)</f>
        <v>9428.6299999999992</v>
      </c>
      <c r="L38" s="136">
        <f>ROUND('[7]2029'!L42,2)</f>
        <v>10131.68</v>
      </c>
      <c r="M38" s="136">
        <f>ROUND('[7]2029'!M42,2)</f>
        <v>11050.44</v>
      </c>
      <c r="N38" s="136">
        <f>ROUND('[7]2029'!N42,2)</f>
        <v>11791.84</v>
      </c>
      <c r="O38" s="136">
        <f>ROUND('[7]2029'!O42,2)</f>
        <v>12323.57</v>
      </c>
      <c r="P38" s="136">
        <f>ROUND('[7]2029'!P42,2)</f>
        <v>12593.06</v>
      </c>
      <c r="Q38" s="136">
        <f>ROUND('[7]2029'!Q42,2)</f>
        <v>13055.45</v>
      </c>
      <c r="R38" s="136">
        <f>ROUND('[7]2029'!R42,2)</f>
        <v>13085.83</v>
      </c>
      <c r="S38" s="136">
        <f>ROUND('[7]2029'!S42,2)</f>
        <v>13062.59</v>
      </c>
      <c r="T38" s="136">
        <f>ROUND('[7]2029'!T42,2)</f>
        <v>13100.05</v>
      </c>
      <c r="U38" s="136">
        <f>ROUND('[7]2029'!U42,2)</f>
        <v>12997.74</v>
      </c>
      <c r="V38" s="136">
        <f>ROUND('[7]2029'!V42,2)</f>
        <v>12880.01</v>
      </c>
      <c r="W38" s="136">
        <f>ROUND('[7]2029'!W42,2)</f>
        <v>14234.25</v>
      </c>
      <c r="X38" s="136">
        <f>ROUND('[7]2029'!X42,2)</f>
        <v>15015.07</v>
      </c>
      <c r="Y38" s="136">
        <f>ROUND('[7]2029'!Y42,2)</f>
        <v>14812.03</v>
      </c>
      <c r="Z38" s="136">
        <f>ROUND('[7]2029'!Z42,2)</f>
        <v>14304.67</v>
      </c>
      <c r="AA38" s="136">
        <f>ROUND('[7]2029'!AA42,2)</f>
        <v>13446.58</v>
      </c>
      <c r="AB38" s="136">
        <f>ROUND('[7]2029'!AB42,2)</f>
        <v>12491.16</v>
      </c>
      <c r="AC38" s="282"/>
      <c r="AD38" s="19"/>
    </row>
    <row r="39" spans="2:30" ht="18.649999999999999" hidden="1" customHeight="1" x14ac:dyDescent="0.35">
      <c r="B39" s="263">
        <v>47331</v>
      </c>
      <c r="C39" s="7" t="s">
        <v>29</v>
      </c>
      <c r="D39" s="8">
        <f>+'[7]2029'!D43</f>
        <v>21</v>
      </c>
      <c r="E39" s="134">
        <f>ROUND('[7]2029'!E43,2)</f>
        <v>11366.68</v>
      </c>
      <c r="F39" s="134">
        <f>ROUND('[7]2029'!F43,2)</f>
        <v>10754.17</v>
      </c>
      <c r="G39" s="134">
        <f>ROUND('[7]2029'!G43,2)</f>
        <v>10297.17</v>
      </c>
      <c r="H39" s="134">
        <f>ROUND('[7]2029'!H43,2)</f>
        <v>9991.1299999999992</v>
      </c>
      <c r="I39" s="134">
        <f>ROUND('[7]2029'!I43,2)</f>
        <v>9878.7099999999991</v>
      </c>
      <c r="J39" s="134">
        <f>ROUND('[7]2029'!J43,2)</f>
        <v>9850.39</v>
      </c>
      <c r="K39" s="134">
        <f>ROUND('[7]2029'!K43,2)</f>
        <v>9882.74</v>
      </c>
      <c r="L39" s="134">
        <f>ROUND('[7]2029'!L43,2)</f>
        <v>11023.09</v>
      </c>
      <c r="M39" s="134">
        <f>ROUND('[7]2029'!M43,2)</f>
        <v>12307.07</v>
      </c>
      <c r="N39" s="134">
        <f>ROUND('[7]2029'!N43,2)</f>
        <v>13096.19</v>
      </c>
      <c r="O39" s="134">
        <f>ROUND('[7]2029'!O43,2)</f>
        <v>13751.55</v>
      </c>
      <c r="P39" s="134">
        <f>ROUND('[7]2029'!P43,2)</f>
        <v>14169.62</v>
      </c>
      <c r="Q39" s="134">
        <f>ROUND('[7]2029'!Q43,2)</f>
        <v>13934.5</v>
      </c>
      <c r="R39" s="134">
        <f>ROUND('[7]2029'!R43,2)</f>
        <v>13735.93</v>
      </c>
      <c r="S39" s="134">
        <f>ROUND('[7]2029'!S43,2)</f>
        <v>13715.25</v>
      </c>
      <c r="T39" s="134">
        <f>ROUND('[7]2029'!T43,2)</f>
        <v>13603.33</v>
      </c>
      <c r="U39" s="134">
        <f>ROUND('[7]2029'!U43,2)</f>
        <v>13330.64</v>
      </c>
      <c r="V39" s="134">
        <f>ROUND('[7]2029'!V43,2)</f>
        <v>13312.96</v>
      </c>
      <c r="W39" s="134">
        <f>ROUND('[7]2029'!W43,2)</f>
        <v>14519.94</v>
      </c>
      <c r="X39" s="134">
        <f>ROUND('[7]2029'!X43,2)</f>
        <v>14706.3</v>
      </c>
      <c r="Y39" s="134">
        <f>ROUND('[7]2029'!Y43,2)</f>
        <v>14275.32</v>
      </c>
      <c r="Z39" s="134">
        <f>ROUND('[7]2029'!Z43,2)</f>
        <v>13681.14</v>
      </c>
      <c r="AA39" s="134">
        <f>ROUND('[7]2029'!AA43,2)</f>
        <v>12842.91</v>
      </c>
      <c r="AB39" s="134">
        <f>ROUND('[7]2029'!AB43,2)</f>
        <v>11950.26</v>
      </c>
      <c r="AC39" s="283">
        <f>SUM(E39:AB39)*D39+SUM(E40:AB40)*D40+SUM(E41:AB41)*D41+SUM(E42:AB42)*D42</f>
        <v>9257080.2699999996</v>
      </c>
      <c r="AD39" s="19"/>
    </row>
    <row r="40" spans="2:30" ht="18.649999999999999" hidden="1" customHeight="1" x14ac:dyDescent="0.35">
      <c r="B40" s="264" t="s">
        <v>34</v>
      </c>
      <c r="C40" s="10" t="s">
        <v>30</v>
      </c>
      <c r="D40" s="11">
        <f>+'[7]2029'!D44</f>
        <v>4</v>
      </c>
      <c r="E40" s="135">
        <f>ROUND('[7]2029'!E44,2)</f>
        <v>11216.51</v>
      </c>
      <c r="F40" s="135">
        <f>ROUND('[7]2029'!F44,2)</f>
        <v>10659.76</v>
      </c>
      <c r="G40" s="135">
        <f>ROUND('[7]2029'!G44,2)</f>
        <v>10233.94</v>
      </c>
      <c r="H40" s="135">
        <f>ROUND('[7]2029'!H44,2)</f>
        <v>9933.66</v>
      </c>
      <c r="I40" s="135">
        <f>ROUND('[7]2029'!I44,2)</f>
        <v>9904.99</v>
      </c>
      <c r="J40" s="135">
        <f>ROUND('[7]2029'!J44,2)</f>
        <v>10067.030000000001</v>
      </c>
      <c r="K40" s="135">
        <f>ROUND('[7]2029'!K44,2)</f>
        <v>10174.450000000001</v>
      </c>
      <c r="L40" s="135">
        <f>ROUND('[7]2029'!L44,2)</f>
        <v>11335.18</v>
      </c>
      <c r="M40" s="135">
        <f>ROUND('[7]2029'!M44,2)</f>
        <v>12524.63</v>
      </c>
      <c r="N40" s="135">
        <f>ROUND('[7]2029'!N44,2)</f>
        <v>13198.42</v>
      </c>
      <c r="O40" s="135">
        <f>ROUND('[7]2029'!O44,2)</f>
        <v>13897.82</v>
      </c>
      <c r="P40" s="135">
        <f>ROUND('[7]2029'!P44,2)</f>
        <v>14371.05</v>
      </c>
      <c r="Q40" s="135">
        <f>ROUND('[7]2029'!Q44,2)</f>
        <v>14002.3</v>
      </c>
      <c r="R40" s="135">
        <f>ROUND('[7]2029'!R44,2)</f>
        <v>14333.46</v>
      </c>
      <c r="S40" s="135">
        <f>ROUND('[7]2029'!S44,2)</f>
        <v>14831.24</v>
      </c>
      <c r="T40" s="135">
        <f>ROUND('[7]2029'!T44,2)</f>
        <v>14841.78</v>
      </c>
      <c r="U40" s="135">
        <f>ROUND('[7]2029'!U44,2)</f>
        <v>14568.21</v>
      </c>
      <c r="V40" s="135">
        <f>ROUND('[7]2029'!V44,2)</f>
        <v>14323.35</v>
      </c>
      <c r="W40" s="135">
        <f>ROUND('[7]2029'!W44,2)</f>
        <v>15375.45</v>
      </c>
      <c r="X40" s="135">
        <f>ROUND('[7]2029'!X44,2)</f>
        <v>15313</v>
      </c>
      <c r="Y40" s="135">
        <f>ROUND('[7]2029'!Y44,2)</f>
        <v>14917.82</v>
      </c>
      <c r="Z40" s="135">
        <f>ROUND('[7]2029'!Z44,2)</f>
        <v>14234.1</v>
      </c>
      <c r="AA40" s="135">
        <f>ROUND('[7]2029'!AA44,2)</f>
        <v>13144.37</v>
      </c>
      <c r="AB40" s="135">
        <f>ROUND('[7]2029'!AB44,2)</f>
        <v>12026.37</v>
      </c>
      <c r="AC40" s="282"/>
      <c r="AD40" s="19"/>
    </row>
    <row r="41" spans="2:30" ht="18.649999999999999" hidden="1" customHeight="1" x14ac:dyDescent="0.35">
      <c r="B41" s="264" t="s">
        <v>34</v>
      </c>
      <c r="C41" s="10" t="s">
        <v>31</v>
      </c>
      <c r="D41" s="11">
        <f>+'[7]2029'!D45</f>
        <v>4</v>
      </c>
      <c r="E41" s="135">
        <f>ROUND('[7]2029'!E45,2)</f>
        <v>11210.92</v>
      </c>
      <c r="F41" s="135">
        <f>ROUND('[7]2029'!F45,2)</f>
        <v>10626.65</v>
      </c>
      <c r="G41" s="135">
        <f>ROUND('[7]2029'!G45,2)</f>
        <v>10172.870000000001</v>
      </c>
      <c r="H41" s="135">
        <f>ROUND('[7]2029'!H45,2)</f>
        <v>9844.67</v>
      </c>
      <c r="I41" s="135">
        <f>ROUND('[7]2029'!I45,2)</f>
        <v>9706.93</v>
      </c>
      <c r="J41" s="135">
        <f>ROUND('[7]2029'!J45,2)</f>
        <v>9521.35</v>
      </c>
      <c r="K41" s="135">
        <f>ROUND('[7]2029'!K45,2)</f>
        <v>9318.2999999999993</v>
      </c>
      <c r="L41" s="135">
        <f>ROUND('[7]2029'!L45,2)</f>
        <v>9996.19</v>
      </c>
      <c r="M41" s="135">
        <f>ROUND('[7]2029'!M45,2)</f>
        <v>10742.54</v>
      </c>
      <c r="N41" s="135">
        <f>ROUND('[7]2029'!N45,2)</f>
        <v>11415.18</v>
      </c>
      <c r="O41" s="135">
        <f>ROUND('[7]2029'!O45,2)</f>
        <v>12052.9</v>
      </c>
      <c r="P41" s="135">
        <f>ROUND('[7]2029'!P45,2)</f>
        <v>12598.56</v>
      </c>
      <c r="Q41" s="135">
        <f>ROUND('[7]2029'!Q45,2)</f>
        <v>12799.35</v>
      </c>
      <c r="R41" s="135">
        <f>ROUND('[7]2029'!R45,2)</f>
        <v>12737.92</v>
      </c>
      <c r="S41" s="135">
        <f>ROUND('[7]2029'!S45,2)</f>
        <v>12680.67</v>
      </c>
      <c r="T41" s="135">
        <f>ROUND('[7]2029'!T45,2)</f>
        <v>12721.08</v>
      </c>
      <c r="U41" s="135">
        <f>ROUND('[7]2029'!U45,2)</f>
        <v>12605.04</v>
      </c>
      <c r="V41" s="135">
        <f>ROUND('[7]2029'!V45,2)</f>
        <v>12590.78</v>
      </c>
      <c r="W41" s="135">
        <f>ROUND('[7]2029'!W45,2)</f>
        <v>14051.01</v>
      </c>
      <c r="X41" s="135">
        <f>ROUND('[7]2029'!X45,2)</f>
        <v>14842.63</v>
      </c>
      <c r="Y41" s="135">
        <f>ROUND('[7]2029'!Y45,2)</f>
        <v>14763.47</v>
      </c>
      <c r="Z41" s="135">
        <f>ROUND('[7]2029'!Z45,2)</f>
        <v>14207.97</v>
      </c>
      <c r="AA41" s="135">
        <f>ROUND('[7]2029'!AA45,2)</f>
        <v>13244.75</v>
      </c>
      <c r="AB41" s="135">
        <f>ROUND('[7]2029'!AB45,2)</f>
        <v>12189.59</v>
      </c>
      <c r="AC41" s="282"/>
      <c r="AD41" s="19"/>
    </row>
    <row r="42" spans="2:30" ht="18.649999999999999" hidden="1" customHeight="1" thickBot="1" x14ac:dyDescent="0.4">
      <c r="B42" s="265" t="s">
        <v>34</v>
      </c>
      <c r="C42" s="12" t="s">
        <v>32</v>
      </c>
      <c r="D42" s="13">
        <f>+'[7]2029'!D46</f>
        <v>2</v>
      </c>
      <c r="E42" s="132">
        <f>ROUND('[7]2029'!E46,2)</f>
        <v>11210.92</v>
      </c>
      <c r="F42" s="132">
        <f>ROUND('[7]2029'!F46,2)</f>
        <v>10626.65</v>
      </c>
      <c r="G42" s="132">
        <f>ROUND('[7]2029'!G46,2)</f>
        <v>10172.870000000001</v>
      </c>
      <c r="H42" s="132">
        <f>ROUND('[7]2029'!H46,2)</f>
        <v>9844.67</v>
      </c>
      <c r="I42" s="132">
        <f>ROUND('[7]2029'!I46,2)</f>
        <v>9706.93</v>
      </c>
      <c r="J42" s="132">
        <f>ROUND('[7]2029'!J46,2)</f>
        <v>9521.35</v>
      </c>
      <c r="K42" s="132">
        <f>ROUND('[7]2029'!K46,2)</f>
        <v>9318.2999999999993</v>
      </c>
      <c r="L42" s="132">
        <f>ROUND('[7]2029'!L46,2)</f>
        <v>9996.19</v>
      </c>
      <c r="M42" s="132">
        <f>ROUND('[7]2029'!M46,2)</f>
        <v>10742.54</v>
      </c>
      <c r="N42" s="132">
        <f>ROUND('[7]2029'!N46,2)</f>
        <v>11415.18</v>
      </c>
      <c r="O42" s="132">
        <f>ROUND('[7]2029'!O46,2)</f>
        <v>12052.9</v>
      </c>
      <c r="P42" s="132">
        <f>ROUND('[7]2029'!P46,2)</f>
        <v>12598.56</v>
      </c>
      <c r="Q42" s="132">
        <f>ROUND('[7]2029'!Q46,2)</f>
        <v>12799.35</v>
      </c>
      <c r="R42" s="132">
        <f>ROUND('[7]2029'!R46,2)</f>
        <v>12737.92</v>
      </c>
      <c r="S42" s="132">
        <f>ROUND('[7]2029'!S46,2)</f>
        <v>12680.67</v>
      </c>
      <c r="T42" s="132">
        <f>ROUND('[7]2029'!T46,2)</f>
        <v>12721.08</v>
      </c>
      <c r="U42" s="132">
        <f>ROUND('[7]2029'!U46,2)</f>
        <v>12605.04</v>
      </c>
      <c r="V42" s="132">
        <f>ROUND('[7]2029'!V46,2)</f>
        <v>12590.78</v>
      </c>
      <c r="W42" s="132">
        <f>ROUND('[7]2029'!W46,2)</f>
        <v>14051.01</v>
      </c>
      <c r="X42" s="132">
        <f>ROUND('[7]2029'!X46,2)</f>
        <v>14842.63</v>
      </c>
      <c r="Y42" s="132">
        <f>ROUND('[7]2029'!Y46,2)</f>
        <v>14763.47</v>
      </c>
      <c r="Z42" s="132">
        <f>ROUND('[7]2029'!Z46,2)</f>
        <v>14207.97</v>
      </c>
      <c r="AA42" s="132">
        <f>ROUND('[7]2029'!AA46,2)</f>
        <v>13244.75</v>
      </c>
      <c r="AB42" s="132">
        <f>ROUND('[7]2029'!AB46,2)</f>
        <v>12189.59</v>
      </c>
      <c r="AC42" s="284"/>
      <c r="AD42" s="19"/>
    </row>
    <row r="43" spans="2:30" ht="18.649999999999999" hidden="1" customHeight="1" x14ac:dyDescent="0.35">
      <c r="B43" s="260">
        <v>47362</v>
      </c>
      <c r="C43" s="14" t="s">
        <v>29</v>
      </c>
      <c r="D43" s="15">
        <f>+'[7]2029'!D47</f>
        <v>20</v>
      </c>
      <c r="E43" s="137">
        <f>ROUND('[7]2029'!E47,2)</f>
        <v>11504.24</v>
      </c>
      <c r="F43" s="137">
        <f>ROUND('[7]2029'!F47,2)</f>
        <v>10917.08</v>
      </c>
      <c r="G43" s="137">
        <f>ROUND('[7]2029'!G47,2)</f>
        <v>10462.780000000001</v>
      </c>
      <c r="H43" s="137">
        <f>ROUND('[7]2029'!H47,2)</f>
        <v>10140.94</v>
      </c>
      <c r="I43" s="137">
        <f>ROUND('[7]2029'!I47,2)</f>
        <v>10046.51</v>
      </c>
      <c r="J43" s="137">
        <f>ROUND('[7]2029'!J47,2)</f>
        <v>9916.81</v>
      </c>
      <c r="K43" s="137">
        <f>ROUND('[7]2029'!K47,2)</f>
        <v>9980.9599999999991</v>
      </c>
      <c r="L43" s="137">
        <f>ROUND('[7]2029'!L47,2)</f>
        <v>11167.94</v>
      </c>
      <c r="M43" s="137">
        <f>ROUND('[7]2029'!M47,2)</f>
        <v>12435.66</v>
      </c>
      <c r="N43" s="137">
        <f>ROUND('[7]2029'!N47,2)</f>
        <v>13166.77</v>
      </c>
      <c r="O43" s="137">
        <f>ROUND('[7]2029'!O47,2)</f>
        <v>13789.64</v>
      </c>
      <c r="P43" s="137">
        <f>ROUND('[7]2029'!P47,2)</f>
        <v>14098.86</v>
      </c>
      <c r="Q43" s="137">
        <f>ROUND('[7]2029'!Q47,2)</f>
        <v>13831.5</v>
      </c>
      <c r="R43" s="137">
        <f>ROUND('[7]2029'!R47,2)</f>
        <v>13631.87</v>
      </c>
      <c r="S43" s="137">
        <f>ROUND('[7]2029'!S47,2)</f>
        <v>13615.58</v>
      </c>
      <c r="T43" s="137">
        <f>ROUND('[7]2029'!T47,2)</f>
        <v>13592.17</v>
      </c>
      <c r="U43" s="137">
        <f>ROUND('[7]2029'!U47,2)</f>
        <v>13388.9</v>
      </c>
      <c r="V43" s="137">
        <f>ROUND('[7]2029'!V47,2)</f>
        <v>13545.72</v>
      </c>
      <c r="W43" s="137">
        <f>ROUND('[7]2029'!W47,2)</f>
        <v>14953.52</v>
      </c>
      <c r="X43" s="137">
        <f>ROUND('[7]2029'!X47,2)</f>
        <v>14810.82</v>
      </c>
      <c r="Y43" s="137">
        <f>ROUND('[7]2029'!Y47,2)</f>
        <v>14296.81</v>
      </c>
      <c r="Z43" s="137">
        <f>ROUND('[7]2029'!Z47,2)</f>
        <v>13657.98</v>
      </c>
      <c r="AA43" s="137">
        <f>ROUND('[7]2029'!AA47,2)</f>
        <v>12889.42</v>
      </c>
      <c r="AB43" s="137">
        <f>ROUND('[7]2029'!AB47,2)</f>
        <v>12042.13</v>
      </c>
      <c r="AC43" s="282">
        <f>SUM(E43:AB43)*D43+SUM(E44:AB44)*D44+SUM(E45:AB45)*D45+SUM(E46:AB46)*D46</f>
        <v>9125052.6999999993</v>
      </c>
      <c r="AD43" s="19"/>
    </row>
    <row r="44" spans="2:30" ht="18.649999999999999" hidden="1" customHeight="1" x14ac:dyDescent="0.35">
      <c r="B44" s="261"/>
      <c r="C44" s="10" t="s">
        <v>30</v>
      </c>
      <c r="D44" s="11">
        <f>+'[7]2029'!D48</f>
        <v>5</v>
      </c>
      <c r="E44" s="135">
        <f>ROUND('[7]2029'!E48,2)</f>
        <v>10754.68</v>
      </c>
      <c r="F44" s="135">
        <f>ROUND('[7]2029'!F48,2)</f>
        <v>10213.42</v>
      </c>
      <c r="G44" s="135">
        <f>ROUND('[7]2029'!G48,2)</f>
        <v>9835.73</v>
      </c>
      <c r="H44" s="135">
        <f>ROUND('[7]2029'!H48,2)</f>
        <v>9557.33</v>
      </c>
      <c r="I44" s="135">
        <f>ROUND('[7]2029'!I48,2)</f>
        <v>9561.89</v>
      </c>
      <c r="J44" s="135">
        <f>ROUND('[7]2029'!J48,2)</f>
        <v>9720.36</v>
      </c>
      <c r="K44" s="135">
        <f>ROUND('[7]2029'!K48,2)</f>
        <v>9918.2199999999993</v>
      </c>
      <c r="L44" s="135">
        <f>ROUND('[7]2029'!L48,2)</f>
        <v>11128.24</v>
      </c>
      <c r="M44" s="135">
        <f>ROUND('[7]2029'!M48,2)</f>
        <v>12306.82</v>
      </c>
      <c r="N44" s="135">
        <f>ROUND('[7]2029'!N48,2)</f>
        <v>12949.99</v>
      </c>
      <c r="O44" s="135">
        <f>ROUND('[7]2029'!O48,2)</f>
        <v>13630.54</v>
      </c>
      <c r="P44" s="135">
        <f>ROUND('[7]2029'!P48,2)</f>
        <v>14099.58</v>
      </c>
      <c r="Q44" s="135">
        <f>ROUND('[7]2029'!Q48,2)</f>
        <v>13695.82</v>
      </c>
      <c r="R44" s="135">
        <f>ROUND('[7]2029'!R48,2)</f>
        <v>14003.83</v>
      </c>
      <c r="S44" s="135">
        <f>ROUND('[7]2029'!S48,2)</f>
        <v>14523.43</v>
      </c>
      <c r="T44" s="135">
        <f>ROUND('[7]2029'!T48,2)</f>
        <v>14549.62</v>
      </c>
      <c r="U44" s="135">
        <f>ROUND('[7]2029'!U48,2)</f>
        <v>14248.51</v>
      </c>
      <c r="V44" s="135">
        <f>ROUND('[7]2029'!V48,2)</f>
        <v>14287.83</v>
      </c>
      <c r="W44" s="135">
        <f>ROUND('[7]2029'!W48,2)</f>
        <v>15149.45</v>
      </c>
      <c r="X44" s="135">
        <f>ROUND('[7]2029'!X48,2)</f>
        <v>14892.14</v>
      </c>
      <c r="Y44" s="135">
        <f>ROUND('[7]2029'!Y48,2)</f>
        <v>14415.89</v>
      </c>
      <c r="Z44" s="135">
        <f>ROUND('[7]2029'!Z48,2)</f>
        <v>13714.64</v>
      </c>
      <c r="AA44" s="135">
        <f>ROUND('[7]2029'!AA48,2)</f>
        <v>12704.19</v>
      </c>
      <c r="AB44" s="135">
        <f>ROUND('[7]2029'!AB48,2)</f>
        <v>11654.37</v>
      </c>
      <c r="AC44" s="282"/>
      <c r="AD44" s="19"/>
    </row>
    <row r="45" spans="2:30" ht="18.649999999999999" hidden="1" customHeight="1" x14ac:dyDescent="0.35">
      <c r="B45" s="261"/>
      <c r="C45" s="10" t="s">
        <v>31</v>
      </c>
      <c r="D45" s="11">
        <f>+'[7]2029'!D49</f>
        <v>5</v>
      </c>
      <c r="E45" s="135">
        <f>ROUND('[7]2029'!E49,2)</f>
        <v>11082.53</v>
      </c>
      <c r="F45" s="135">
        <f>ROUND('[7]2029'!F49,2)</f>
        <v>10543.35</v>
      </c>
      <c r="G45" s="135">
        <f>ROUND('[7]2029'!G49,2)</f>
        <v>10144.219999999999</v>
      </c>
      <c r="H45" s="135">
        <f>ROUND('[7]2029'!H49,2)</f>
        <v>9842.74</v>
      </c>
      <c r="I45" s="135">
        <f>ROUND('[7]2029'!I49,2)</f>
        <v>9858.51</v>
      </c>
      <c r="J45" s="135">
        <f>ROUND('[7]2029'!J49,2)</f>
        <v>10169.200000000001</v>
      </c>
      <c r="K45" s="135">
        <f>ROUND('[7]2029'!K49,2)</f>
        <v>10364.969999999999</v>
      </c>
      <c r="L45" s="135">
        <f>ROUND('[7]2029'!L49,2)</f>
        <v>11648.7</v>
      </c>
      <c r="M45" s="135">
        <f>ROUND('[7]2029'!M49,2)</f>
        <v>12919.77</v>
      </c>
      <c r="N45" s="135">
        <f>ROUND('[7]2029'!N49,2)</f>
        <v>13592.65</v>
      </c>
      <c r="O45" s="135">
        <f>ROUND('[7]2029'!O49,2)</f>
        <v>14358.61</v>
      </c>
      <c r="P45" s="135">
        <f>ROUND('[7]2029'!P49,2)</f>
        <v>14874.27</v>
      </c>
      <c r="Q45" s="135">
        <f>ROUND('[7]2029'!Q49,2)</f>
        <v>14350.73</v>
      </c>
      <c r="R45" s="135">
        <f>ROUND('[7]2029'!R49,2)</f>
        <v>14858.21</v>
      </c>
      <c r="S45" s="135">
        <f>ROUND('[7]2029'!S49,2)</f>
        <v>15577.85</v>
      </c>
      <c r="T45" s="135">
        <f>ROUND('[7]2029'!T49,2)</f>
        <v>15597.37</v>
      </c>
      <c r="U45" s="135">
        <f>ROUND('[7]2029'!U49,2)</f>
        <v>15243.32</v>
      </c>
      <c r="V45" s="135">
        <f>ROUND('[7]2029'!V49,2)</f>
        <v>14803.18</v>
      </c>
      <c r="W45" s="135">
        <f>ROUND('[7]2029'!W49,2)</f>
        <v>15668.54</v>
      </c>
      <c r="X45" s="135">
        <f>ROUND('[7]2029'!X49,2)</f>
        <v>15552.81</v>
      </c>
      <c r="Y45" s="135">
        <f>ROUND('[7]2029'!Y49,2)</f>
        <v>15151.59</v>
      </c>
      <c r="Z45" s="135">
        <f>ROUND('[7]2029'!Z49,2)</f>
        <v>14435.81</v>
      </c>
      <c r="AA45" s="135">
        <f>ROUND('[7]2029'!AA49,2)</f>
        <v>13252.74</v>
      </c>
      <c r="AB45" s="135">
        <f>ROUND('[7]2029'!AB49,2)</f>
        <v>12063.91</v>
      </c>
      <c r="AC45" s="282"/>
      <c r="AD45" s="19"/>
    </row>
    <row r="46" spans="2:30" ht="18.649999999999999" hidden="1" customHeight="1" thickBot="1" x14ac:dyDescent="0.4">
      <c r="B46" s="261"/>
      <c r="C46" s="16" t="s">
        <v>32</v>
      </c>
      <c r="D46" s="17">
        <f>+'[7]2029'!D50</f>
        <v>0</v>
      </c>
      <c r="E46" s="199">
        <f>ROUND('[7]2029'!E50,2)</f>
        <v>0</v>
      </c>
      <c r="F46" s="199">
        <f>ROUND('[7]2029'!F50,2)</f>
        <v>0</v>
      </c>
      <c r="G46" s="199">
        <f>ROUND('[7]2029'!G50,2)</f>
        <v>0</v>
      </c>
      <c r="H46" s="199">
        <f>ROUND('[7]2029'!H50,2)</f>
        <v>0</v>
      </c>
      <c r="I46" s="199">
        <f>ROUND('[7]2029'!I50,2)</f>
        <v>0</v>
      </c>
      <c r="J46" s="199">
        <f>ROUND('[7]2029'!J50,2)</f>
        <v>0</v>
      </c>
      <c r="K46" s="199">
        <f>ROUND('[7]2029'!K50,2)</f>
        <v>0</v>
      </c>
      <c r="L46" s="199">
        <f>ROUND('[7]2029'!L50,2)</f>
        <v>0</v>
      </c>
      <c r="M46" s="199">
        <f>ROUND('[7]2029'!M50,2)</f>
        <v>0</v>
      </c>
      <c r="N46" s="199">
        <f>ROUND('[7]2029'!N50,2)</f>
        <v>0</v>
      </c>
      <c r="O46" s="199">
        <f>ROUND('[7]2029'!O50,2)</f>
        <v>0</v>
      </c>
      <c r="P46" s="199">
        <f>ROUND('[7]2029'!P50,2)</f>
        <v>0</v>
      </c>
      <c r="Q46" s="199">
        <f>ROUND('[7]2029'!Q50,2)</f>
        <v>0</v>
      </c>
      <c r="R46" s="199">
        <f>ROUND('[7]2029'!R50,2)</f>
        <v>0</v>
      </c>
      <c r="S46" s="199">
        <f>ROUND('[7]2029'!S50,2)</f>
        <v>0</v>
      </c>
      <c r="T46" s="199">
        <f>ROUND('[7]2029'!T50,2)</f>
        <v>0</v>
      </c>
      <c r="U46" s="199">
        <f>ROUND('[7]2029'!U50,2)</f>
        <v>0</v>
      </c>
      <c r="V46" s="199">
        <f>ROUND('[7]2029'!V50,2)</f>
        <v>0</v>
      </c>
      <c r="W46" s="199">
        <f>ROUND('[7]2029'!W50,2)</f>
        <v>0</v>
      </c>
      <c r="X46" s="199">
        <f>ROUND('[7]2029'!X50,2)</f>
        <v>0</v>
      </c>
      <c r="Y46" s="199">
        <f>ROUND('[7]2029'!Y50,2)</f>
        <v>0</v>
      </c>
      <c r="Z46" s="199">
        <f>ROUND('[7]2029'!Z50,2)</f>
        <v>0</v>
      </c>
      <c r="AA46" s="199">
        <f>ROUND('[7]2029'!AA50,2)</f>
        <v>0</v>
      </c>
      <c r="AB46" s="199">
        <f>ROUND('[7]2029'!AB50,2)</f>
        <v>0</v>
      </c>
      <c r="AC46" s="282"/>
      <c r="AD46" s="19"/>
    </row>
    <row r="47" spans="2:30" ht="18.649999999999999" hidden="1" customHeight="1" x14ac:dyDescent="0.35">
      <c r="B47" s="263">
        <v>47392</v>
      </c>
      <c r="C47" s="7" t="s">
        <v>29</v>
      </c>
      <c r="D47" s="8">
        <f>+'[7]2029'!D51</f>
        <v>22</v>
      </c>
      <c r="E47" s="134">
        <f>ROUND('[7]2029'!E51,2)</f>
        <v>11089.87</v>
      </c>
      <c r="F47" s="134">
        <f>ROUND('[7]2029'!F51,2)</f>
        <v>10529.08</v>
      </c>
      <c r="G47" s="134">
        <f>ROUND('[7]2029'!G51,2)</f>
        <v>10082.719999999999</v>
      </c>
      <c r="H47" s="134">
        <f>ROUND('[7]2029'!H51,2)</f>
        <v>9713.76</v>
      </c>
      <c r="I47" s="134">
        <f>ROUND('[7]2029'!I51,2)</f>
        <v>9573.76</v>
      </c>
      <c r="J47" s="134">
        <f>ROUND('[7]2029'!J51,2)</f>
        <v>9496.01</v>
      </c>
      <c r="K47" s="134">
        <f>ROUND('[7]2029'!K51,2)</f>
        <v>9696.4599999999991</v>
      </c>
      <c r="L47" s="134">
        <f>ROUND('[7]2029'!L51,2)</f>
        <v>10913.07</v>
      </c>
      <c r="M47" s="134">
        <f>ROUND('[7]2029'!M51,2)</f>
        <v>12156.58</v>
      </c>
      <c r="N47" s="134">
        <f>ROUND('[7]2029'!N51,2)</f>
        <v>12878.45</v>
      </c>
      <c r="O47" s="134">
        <f>ROUND('[7]2029'!O51,2)</f>
        <v>13543.74</v>
      </c>
      <c r="P47" s="134">
        <f>ROUND('[7]2029'!P51,2)</f>
        <v>13892.71</v>
      </c>
      <c r="Q47" s="134">
        <f>ROUND('[7]2029'!Q51,2)</f>
        <v>13645.8</v>
      </c>
      <c r="R47" s="134">
        <f>ROUND('[7]2029'!R51,2)</f>
        <v>13484.15</v>
      </c>
      <c r="S47" s="134">
        <f>ROUND('[7]2029'!S51,2)</f>
        <v>13539.67</v>
      </c>
      <c r="T47" s="134">
        <f>ROUND('[7]2029'!T51,2)</f>
        <v>13512.95</v>
      </c>
      <c r="U47" s="134">
        <f>ROUND('[7]2029'!U51,2)</f>
        <v>13339.18</v>
      </c>
      <c r="V47" s="134">
        <f>ROUND('[7]2029'!V51,2)</f>
        <v>13685.98</v>
      </c>
      <c r="W47" s="134">
        <f>ROUND('[7]2029'!W51,2)</f>
        <v>14933.68</v>
      </c>
      <c r="X47" s="134">
        <f>ROUND('[7]2029'!X51,2)</f>
        <v>14684.16</v>
      </c>
      <c r="Y47" s="134">
        <f>ROUND('[7]2029'!Y51,2)</f>
        <v>14164.63</v>
      </c>
      <c r="Z47" s="134">
        <f>ROUND('[7]2029'!Z51,2)</f>
        <v>13504.37</v>
      </c>
      <c r="AA47" s="134">
        <f>ROUND('[7]2029'!AA51,2)</f>
        <v>12716.89</v>
      </c>
      <c r="AB47" s="134">
        <f>ROUND('[7]2029'!AB51,2)</f>
        <v>11874.85</v>
      </c>
      <c r="AC47" s="283">
        <f>SUM(E47:AB47)*D47+SUM(E48:AB48)*D48+SUM(E49:AB49)*D49+SUM(E50:AB50)*D50</f>
        <v>9078218.3399999999</v>
      </c>
      <c r="AD47" s="19"/>
    </row>
    <row r="48" spans="2:30" ht="18.649999999999999" hidden="1" customHeight="1" x14ac:dyDescent="0.35">
      <c r="B48" s="264" t="s">
        <v>34</v>
      </c>
      <c r="C48" s="10" t="s">
        <v>30</v>
      </c>
      <c r="D48" s="11">
        <f>+'[7]2029'!D52</f>
        <v>4</v>
      </c>
      <c r="E48" s="135">
        <f>ROUND('[7]2029'!E52,2)</f>
        <v>10307.629999999999</v>
      </c>
      <c r="F48" s="135">
        <f>ROUND('[7]2029'!F52,2)</f>
        <v>9798.5</v>
      </c>
      <c r="G48" s="135">
        <f>ROUND('[7]2029'!G52,2)</f>
        <v>9421.81</v>
      </c>
      <c r="H48" s="135">
        <f>ROUND('[7]2029'!H52,2)</f>
        <v>9196.0300000000007</v>
      </c>
      <c r="I48" s="135">
        <f>ROUND('[7]2029'!I52,2)</f>
        <v>9227.61</v>
      </c>
      <c r="J48" s="135">
        <f>ROUND('[7]2029'!J52,2)</f>
        <v>9407.4</v>
      </c>
      <c r="K48" s="135">
        <f>ROUND('[7]2029'!K52,2)</f>
        <v>9577.89</v>
      </c>
      <c r="L48" s="135">
        <f>ROUND('[7]2029'!L52,2)</f>
        <v>10698.7</v>
      </c>
      <c r="M48" s="135">
        <f>ROUND('[7]2029'!M52,2)</f>
        <v>11817.59</v>
      </c>
      <c r="N48" s="135">
        <f>ROUND('[7]2029'!N52,2)</f>
        <v>12473.25</v>
      </c>
      <c r="O48" s="135">
        <f>ROUND('[7]2029'!O52,2)</f>
        <v>13074.85</v>
      </c>
      <c r="P48" s="135">
        <f>ROUND('[7]2029'!P52,2)</f>
        <v>13523.6</v>
      </c>
      <c r="Q48" s="135">
        <f>ROUND('[7]2029'!Q52,2)</f>
        <v>13143.04</v>
      </c>
      <c r="R48" s="135">
        <f>ROUND('[7]2029'!R52,2)</f>
        <v>13315.45</v>
      </c>
      <c r="S48" s="135">
        <f>ROUND('[7]2029'!S52,2)</f>
        <v>13708.13</v>
      </c>
      <c r="T48" s="135">
        <f>ROUND('[7]2029'!T52,2)</f>
        <v>13745.45</v>
      </c>
      <c r="U48" s="135">
        <f>ROUND('[7]2029'!U52,2)</f>
        <v>13567.26</v>
      </c>
      <c r="V48" s="135">
        <f>ROUND('[7]2029'!V52,2)</f>
        <v>13813.75</v>
      </c>
      <c r="W48" s="135">
        <f>ROUND('[7]2029'!W52,2)</f>
        <v>14767.05</v>
      </c>
      <c r="X48" s="135">
        <f>ROUND('[7]2029'!X52,2)</f>
        <v>14480</v>
      </c>
      <c r="Y48" s="135">
        <f>ROUND('[7]2029'!Y52,2)</f>
        <v>13917.32</v>
      </c>
      <c r="Z48" s="135">
        <f>ROUND('[7]2029'!Z52,2)</f>
        <v>13142.6</v>
      </c>
      <c r="AA48" s="135">
        <f>ROUND('[7]2029'!AA52,2)</f>
        <v>12132.37</v>
      </c>
      <c r="AB48" s="135">
        <f>ROUND('[7]2029'!AB52,2)</f>
        <v>11119.87</v>
      </c>
      <c r="AC48" s="282"/>
      <c r="AD48" s="19"/>
    </row>
    <row r="49" spans="2:50" ht="18.649999999999999" hidden="1" customHeight="1" x14ac:dyDescent="0.35">
      <c r="B49" s="264" t="s">
        <v>34</v>
      </c>
      <c r="C49" s="10" t="s">
        <v>31</v>
      </c>
      <c r="D49" s="11">
        <f>+'[7]2029'!D53</f>
        <v>4</v>
      </c>
      <c r="E49" s="135">
        <f>ROUND('[7]2029'!E53,2)</f>
        <v>10417.83</v>
      </c>
      <c r="F49" s="135">
        <f>ROUND('[7]2029'!F53,2)</f>
        <v>9976.77</v>
      </c>
      <c r="G49" s="135">
        <f>ROUND('[7]2029'!G53,2)</f>
        <v>9625.9699999999993</v>
      </c>
      <c r="H49" s="135">
        <f>ROUND('[7]2029'!H53,2)</f>
        <v>9410.09</v>
      </c>
      <c r="I49" s="135">
        <f>ROUND('[7]2029'!I53,2)</f>
        <v>9335.1299999999992</v>
      </c>
      <c r="J49" s="135">
        <f>ROUND('[7]2029'!J53,2)</f>
        <v>9188.01</v>
      </c>
      <c r="K49" s="135">
        <f>ROUND('[7]2029'!K53,2)</f>
        <v>8969.4500000000007</v>
      </c>
      <c r="L49" s="135">
        <f>ROUND('[7]2029'!L53,2)</f>
        <v>9674.5499999999993</v>
      </c>
      <c r="M49" s="135">
        <f>ROUND('[7]2029'!M53,2)</f>
        <v>10259.51</v>
      </c>
      <c r="N49" s="135">
        <f>ROUND('[7]2029'!N53,2)</f>
        <v>11074.78</v>
      </c>
      <c r="O49" s="135">
        <f>ROUND('[7]2029'!O53,2)</f>
        <v>11711.05</v>
      </c>
      <c r="P49" s="135">
        <f>ROUND('[7]2029'!P53,2)</f>
        <v>12214.29</v>
      </c>
      <c r="Q49" s="135">
        <f>ROUND('[7]2029'!Q53,2)</f>
        <v>12469.64</v>
      </c>
      <c r="R49" s="135">
        <f>ROUND('[7]2029'!R53,2)</f>
        <v>12474.93</v>
      </c>
      <c r="S49" s="135">
        <f>ROUND('[7]2029'!S53,2)</f>
        <v>12495.55</v>
      </c>
      <c r="T49" s="135">
        <f>ROUND('[7]2029'!T53,2)</f>
        <v>12527.02</v>
      </c>
      <c r="U49" s="135">
        <f>ROUND('[7]2029'!U53,2)</f>
        <v>12413.86</v>
      </c>
      <c r="V49" s="135">
        <f>ROUND('[7]2029'!V53,2)</f>
        <v>12941.16</v>
      </c>
      <c r="W49" s="135">
        <f>ROUND('[7]2029'!W53,2)</f>
        <v>14419.13</v>
      </c>
      <c r="X49" s="135">
        <f>ROUND('[7]2029'!X53,2)</f>
        <v>14595.66</v>
      </c>
      <c r="Y49" s="135">
        <f>ROUND('[7]2029'!Y53,2)</f>
        <v>14366.35</v>
      </c>
      <c r="Z49" s="135">
        <f>ROUND('[7]2029'!Z53,2)</f>
        <v>13824.25</v>
      </c>
      <c r="AA49" s="135">
        <f>ROUND('[7]2029'!AA53,2)</f>
        <v>12793.9</v>
      </c>
      <c r="AB49" s="135">
        <f>ROUND('[7]2029'!AB53,2)</f>
        <v>11691.98</v>
      </c>
      <c r="AC49" s="282"/>
      <c r="AD49" s="19"/>
    </row>
    <row r="50" spans="2:50" ht="18.649999999999999" hidden="1" customHeight="1" thickBot="1" x14ac:dyDescent="0.4">
      <c r="B50" s="265" t="s">
        <v>34</v>
      </c>
      <c r="C50" s="12" t="s">
        <v>32</v>
      </c>
      <c r="D50" s="13">
        <f>+'[7]2029'!D54</f>
        <v>1</v>
      </c>
      <c r="E50" s="132">
        <f>ROUND('[7]2029'!E54,2)</f>
        <v>10417.83</v>
      </c>
      <c r="F50" s="132">
        <f>ROUND('[7]2029'!F54,2)</f>
        <v>9976.77</v>
      </c>
      <c r="G50" s="132">
        <f>ROUND('[7]2029'!G54,2)</f>
        <v>9625.9699999999993</v>
      </c>
      <c r="H50" s="132">
        <f>ROUND('[7]2029'!H54,2)</f>
        <v>9410.09</v>
      </c>
      <c r="I50" s="132">
        <f>ROUND('[7]2029'!I54,2)</f>
        <v>9335.1299999999992</v>
      </c>
      <c r="J50" s="132">
        <f>ROUND('[7]2029'!J54,2)</f>
        <v>9188.01</v>
      </c>
      <c r="K50" s="132">
        <f>ROUND('[7]2029'!K54,2)</f>
        <v>8969.4500000000007</v>
      </c>
      <c r="L50" s="132">
        <f>ROUND('[7]2029'!L54,2)</f>
        <v>9674.5499999999993</v>
      </c>
      <c r="M50" s="132">
        <f>ROUND('[7]2029'!M54,2)</f>
        <v>10259.51</v>
      </c>
      <c r="N50" s="132">
        <f>ROUND('[7]2029'!N54,2)</f>
        <v>11074.78</v>
      </c>
      <c r="O50" s="132">
        <f>ROUND('[7]2029'!O54,2)</f>
        <v>11711.05</v>
      </c>
      <c r="P50" s="132">
        <f>ROUND('[7]2029'!P54,2)</f>
        <v>12214.29</v>
      </c>
      <c r="Q50" s="132">
        <f>ROUND('[7]2029'!Q54,2)</f>
        <v>12469.64</v>
      </c>
      <c r="R50" s="132">
        <f>ROUND('[7]2029'!R54,2)</f>
        <v>12474.93</v>
      </c>
      <c r="S50" s="132">
        <f>ROUND('[7]2029'!S54,2)</f>
        <v>12495.55</v>
      </c>
      <c r="T50" s="132">
        <f>ROUND('[7]2029'!T54,2)</f>
        <v>12527.02</v>
      </c>
      <c r="U50" s="132">
        <f>ROUND('[7]2029'!U54,2)</f>
        <v>12413.86</v>
      </c>
      <c r="V50" s="132">
        <f>ROUND('[7]2029'!V54,2)</f>
        <v>12941.16</v>
      </c>
      <c r="W50" s="132">
        <f>ROUND('[7]2029'!W54,2)</f>
        <v>14419.13</v>
      </c>
      <c r="X50" s="132">
        <f>ROUND('[7]2029'!X54,2)</f>
        <v>14595.66</v>
      </c>
      <c r="Y50" s="132">
        <f>ROUND('[7]2029'!Y54,2)</f>
        <v>14366.35</v>
      </c>
      <c r="Z50" s="132">
        <f>ROUND('[7]2029'!Z54,2)</f>
        <v>13824.25</v>
      </c>
      <c r="AA50" s="132">
        <f>ROUND('[7]2029'!AA54,2)</f>
        <v>12793.9</v>
      </c>
      <c r="AB50" s="132">
        <f>ROUND('[7]2029'!AB54,2)</f>
        <v>11691.98</v>
      </c>
      <c r="AC50" s="284"/>
      <c r="AD50" s="19"/>
    </row>
    <row r="51" spans="2:50" ht="18.649999999999999" hidden="1" customHeight="1" x14ac:dyDescent="0.35">
      <c r="B51" s="260">
        <v>47423</v>
      </c>
      <c r="C51" s="14" t="s">
        <v>29</v>
      </c>
      <c r="D51" s="15">
        <f>+'[7]2029'!D55</f>
        <v>20</v>
      </c>
      <c r="E51" s="137">
        <f>ROUND('[7]2029'!E55,2)</f>
        <v>10965.55</v>
      </c>
      <c r="F51" s="137">
        <f>ROUND('[7]2029'!F55,2)</f>
        <v>10429.11</v>
      </c>
      <c r="G51" s="137">
        <f>ROUND('[7]2029'!G55,2)</f>
        <v>10041.66</v>
      </c>
      <c r="H51" s="137">
        <f>ROUND('[7]2029'!H55,2)</f>
        <v>9787.98</v>
      </c>
      <c r="I51" s="137">
        <f>ROUND('[7]2029'!I55,2)</f>
        <v>9790.24</v>
      </c>
      <c r="J51" s="137">
        <f>ROUND('[7]2029'!J55,2)</f>
        <v>9871.68</v>
      </c>
      <c r="K51" s="137">
        <f>ROUND('[7]2029'!K55,2)</f>
        <v>9939.99</v>
      </c>
      <c r="L51" s="137">
        <f>ROUND('[7]2029'!L55,2)</f>
        <v>11186.49</v>
      </c>
      <c r="M51" s="137">
        <f>ROUND('[7]2029'!M55,2)</f>
        <v>12516.9</v>
      </c>
      <c r="N51" s="137">
        <f>ROUND('[7]2029'!N55,2)</f>
        <v>13363.93</v>
      </c>
      <c r="O51" s="137">
        <f>ROUND('[7]2029'!O55,2)</f>
        <v>14003.48</v>
      </c>
      <c r="P51" s="137">
        <f>ROUND('[7]2029'!P55,2)</f>
        <v>14338.93</v>
      </c>
      <c r="Q51" s="137">
        <f>ROUND('[7]2029'!Q55,2)</f>
        <v>14051.14</v>
      </c>
      <c r="R51" s="137">
        <f>ROUND('[7]2029'!R55,2)</f>
        <v>13806.25</v>
      </c>
      <c r="S51" s="137">
        <f>ROUND('[7]2029'!S55,2)</f>
        <v>13771.98</v>
      </c>
      <c r="T51" s="137">
        <f>ROUND('[7]2029'!T55,2)</f>
        <v>13739.19</v>
      </c>
      <c r="U51" s="137">
        <f>ROUND('[7]2029'!U55,2)</f>
        <v>13598.53</v>
      </c>
      <c r="V51" s="137">
        <f>ROUND('[7]2029'!V55,2)</f>
        <v>14051.92</v>
      </c>
      <c r="W51" s="137">
        <f>ROUND('[7]2029'!W55,2)</f>
        <v>15292.68</v>
      </c>
      <c r="X51" s="137">
        <f>ROUND('[7]2029'!X55,2)</f>
        <v>14970.65</v>
      </c>
      <c r="Y51" s="137">
        <f>ROUND('[7]2029'!Y55,2)</f>
        <v>14363.29</v>
      </c>
      <c r="Z51" s="137">
        <f>ROUND('[7]2029'!Z55,2)</f>
        <v>13676.17</v>
      </c>
      <c r="AA51" s="137">
        <f>ROUND('[7]2029'!AA55,2)</f>
        <v>12825.34</v>
      </c>
      <c r="AB51" s="137">
        <f>ROUND('[7]2029'!AB55,2)</f>
        <v>11902.54</v>
      </c>
      <c r="AC51" s="282">
        <f>SUM(E51:AB51)*D51+SUM(E52:AB52)*D52+SUM(E53:AB53)*D53+SUM(E54:AB54)*D54</f>
        <v>8978859.8600000013</v>
      </c>
      <c r="AD51" s="19"/>
    </row>
    <row r="52" spans="2:50" ht="18.649999999999999" hidden="1" customHeight="1" x14ac:dyDescent="0.35">
      <c r="B52" s="261"/>
      <c r="C52" s="10" t="s">
        <v>30</v>
      </c>
      <c r="D52" s="11">
        <f>+'[7]2029'!D56</f>
        <v>4</v>
      </c>
      <c r="E52" s="135">
        <f>ROUND('[7]2029'!E56,2)</f>
        <v>11950.33</v>
      </c>
      <c r="F52" s="135">
        <f>ROUND('[7]2029'!F56,2)</f>
        <v>11345.43</v>
      </c>
      <c r="G52" s="135">
        <f>ROUND('[7]2029'!G56,2)</f>
        <v>10898.46</v>
      </c>
      <c r="H52" s="135">
        <f>ROUND('[7]2029'!H56,2)</f>
        <v>10591.01</v>
      </c>
      <c r="I52" s="135">
        <f>ROUND('[7]2029'!I56,2)</f>
        <v>10525.9</v>
      </c>
      <c r="J52" s="135">
        <f>ROUND('[7]2029'!J56,2)</f>
        <v>10599.04</v>
      </c>
      <c r="K52" s="135">
        <f>ROUND('[7]2029'!K56,2)</f>
        <v>10542.15</v>
      </c>
      <c r="L52" s="135">
        <f>ROUND('[7]2029'!L56,2)</f>
        <v>11743.2</v>
      </c>
      <c r="M52" s="135">
        <f>ROUND('[7]2029'!M56,2)</f>
        <v>12992.02</v>
      </c>
      <c r="N52" s="135">
        <f>ROUND('[7]2029'!N56,2)</f>
        <v>13715.7</v>
      </c>
      <c r="O52" s="135">
        <f>ROUND('[7]2029'!O56,2)</f>
        <v>14354.39</v>
      </c>
      <c r="P52" s="135">
        <f>ROUND('[7]2029'!P56,2)</f>
        <v>14852.48</v>
      </c>
      <c r="Q52" s="135">
        <f>ROUND('[7]2029'!Q56,2)</f>
        <v>14532.22</v>
      </c>
      <c r="R52" s="135">
        <f>ROUND('[7]2029'!R56,2)</f>
        <v>14683.61</v>
      </c>
      <c r="S52" s="135">
        <f>ROUND('[7]2029'!S56,2)</f>
        <v>15103.18</v>
      </c>
      <c r="T52" s="135">
        <f>ROUND('[7]2029'!T56,2)</f>
        <v>15126.87</v>
      </c>
      <c r="U52" s="135">
        <f>ROUND('[7]2029'!U56,2)</f>
        <v>14887.13</v>
      </c>
      <c r="V52" s="135">
        <f>ROUND('[7]2029'!V56,2)</f>
        <v>14925.81</v>
      </c>
      <c r="W52" s="135">
        <f>ROUND('[7]2029'!W56,2)</f>
        <v>16180.82</v>
      </c>
      <c r="X52" s="135">
        <f>ROUND('[7]2029'!X56,2)</f>
        <v>15921.46</v>
      </c>
      <c r="Y52" s="135">
        <f>ROUND('[7]2029'!Y56,2)</f>
        <v>15407.91</v>
      </c>
      <c r="Z52" s="135">
        <f>ROUND('[7]2029'!Z56,2)</f>
        <v>14727.36</v>
      </c>
      <c r="AA52" s="135">
        <f>ROUND('[7]2029'!AA56,2)</f>
        <v>13814.85</v>
      </c>
      <c r="AB52" s="135">
        <f>ROUND('[7]2029'!AB56,2)</f>
        <v>12789.86</v>
      </c>
      <c r="AC52" s="282"/>
      <c r="AD52" s="19"/>
    </row>
    <row r="53" spans="2:50" ht="18.649999999999999" hidden="1" customHeight="1" x14ac:dyDescent="0.35">
      <c r="B53" s="261"/>
      <c r="C53" s="10" t="s">
        <v>31</v>
      </c>
      <c r="D53" s="11">
        <f>+'[7]2029'!D57</f>
        <v>4</v>
      </c>
      <c r="E53" s="135">
        <f>ROUND('[7]2029'!E57,2)</f>
        <v>11019.42</v>
      </c>
      <c r="F53" s="135">
        <f>ROUND('[7]2029'!F57,2)</f>
        <v>10433.94</v>
      </c>
      <c r="G53" s="135">
        <f>ROUND('[7]2029'!G57,2)</f>
        <v>9989.49</v>
      </c>
      <c r="H53" s="135">
        <f>ROUND('[7]2029'!H57,2)</f>
        <v>9648.1200000000008</v>
      </c>
      <c r="I53" s="135">
        <f>ROUND('[7]2029'!I57,2)</f>
        <v>9532.4599999999991</v>
      </c>
      <c r="J53" s="135">
        <f>ROUND('[7]2029'!J57,2)</f>
        <v>9387.09</v>
      </c>
      <c r="K53" s="135">
        <f>ROUND('[7]2029'!K57,2)</f>
        <v>9123.6200000000008</v>
      </c>
      <c r="L53" s="135">
        <f>ROUND('[7]2029'!L57,2)</f>
        <v>9724.57</v>
      </c>
      <c r="M53" s="135">
        <f>ROUND('[7]2029'!M57,2)</f>
        <v>10446.120000000001</v>
      </c>
      <c r="N53" s="135">
        <f>ROUND('[7]2029'!N57,2)</f>
        <v>11009.41</v>
      </c>
      <c r="O53" s="135">
        <f>ROUND('[7]2029'!O57,2)</f>
        <v>11470.81</v>
      </c>
      <c r="P53" s="135">
        <f>ROUND('[7]2029'!P57,2)</f>
        <v>11879.8</v>
      </c>
      <c r="Q53" s="135">
        <f>ROUND('[7]2029'!Q57,2)</f>
        <v>12007.42</v>
      </c>
      <c r="R53" s="135">
        <f>ROUND('[7]2029'!R57,2)</f>
        <v>12068.28</v>
      </c>
      <c r="S53" s="135">
        <f>ROUND('[7]2029'!S57,2)</f>
        <v>11894.85</v>
      </c>
      <c r="T53" s="135">
        <f>ROUND('[7]2029'!T57,2)</f>
        <v>11907.01</v>
      </c>
      <c r="U53" s="135">
        <f>ROUND('[7]2029'!U57,2)</f>
        <v>11935.9</v>
      </c>
      <c r="V53" s="135">
        <f>ROUND('[7]2029'!V57,2)</f>
        <v>12687.33</v>
      </c>
      <c r="W53" s="135">
        <f>ROUND('[7]2029'!W57,2)</f>
        <v>14156.96</v>
      </c>
      <c r="X53" s="135">
        <f>ROUND('[7]2029'!X57,2)</f>
        <v>14209.44</v>
      </c>
      <c r="Y53" s="135">
        <f>ROUND('[7]2029'!Y57,2)</f>
        <v>13767.49</v>
      </c>
      <c r="Z53" s="135">
        <f>ROUND('[7]2029'!Z57,2)</f>
        <v>12941.62</v>
      </c>
      <c r="AA53" s="135">
        <f>ROUND('[7]2029'!AA57,2)</f>
        <v>11896.69</v>
      </c>
      <c r="AB53" s="135">
        <f>ROUND('[7]2029'!AB57,2)</f>
        <v>10912.61</v>
      </c>
      <c r="AC53" s="282"/>
      <c r="AD53" s="19"/>
    </row>
    <row r="54" spans="2:50" ht="18.649999999999999" hidden="1" customHeight="1" thickBot="1" x14ac:dyDescent="0.4">
      <c r="B54" s="261"/>
      <c r="C54" s="16" t="s">
        <v>32</v>
      </c>
      <c r="D54" s="17">
        <f>+'[7]2029'!D58</f>
        <v>2</v>
      </c>
      <c r="E54" s="136">
        <f>ROUND('[7]2029'!E58,2)</f>
        <v>11019.42</v>
      </c>
      <c r="F54" s="136">
        <f>ROUND('[7]2029'!F58,2)</f>
        <v>10433.94</v>
      </c>
      <c r="G54" s="136">
        <f>ROUND('[7]2029'!G58,2)</f>
        <v>9989.49</v>
      </c>
      <c r="H54" s="136">
        <f>ROUND('[7]2029'!H58,2)</f>
        <v>9648.1200000000008</v>
      </c>
      <c r="I54" s="136">
        <f>ROUND('[7]2029'!I58,2)</f>
        <v>9532.4599999999991</v>
      </c>
      <c r="J54" s="136">
        <f>ROUND('[7]2029'!J58,2)</f>
        <v>9387.09</v>
      </c>
      <c r="K54" s="136">
        <f>ROUND('[7]2029'!K58,2)</f>
        <v>9123.6200000000008</v>
      </c>
      <c r="L54" s="136">
        <f>ROUND('[7]2029'!L58,2)</f>
        <v>9724.57</v>
      </c>
      <c r="M54" s="136">
        <f>ROUND('[7]2029'!M58,2)</f>
        <v>10446.120000000001</v>
      </c>
      <c r="N54" s="136">
        <f>ROUND('[7]2029'!N58,2)</f>
        <v>11009.41</v>
      </c>
      <c r="O54" s="136">
        <f>ROUND('[7]2029'!O58,2)</f>
        <v>11470.81</v>
      </c>
      <c r="P54" s="136">
        <f>ROUND('[7]2029'!P58,2)</f>
        <v>11879.8</v>
      </c>
      <c r="Q54" s="136">
        <f>ROUND('[7]2029'!Q58,2)</f>
        <v>12007.42</v>
      </c>
      <c r="R54" s="136">
        <f>ROUND('[7]2029'!R58,2)</f>
        <v>12068.28</v>
      </c>
      <c r="S54" s="136">
        <f>ROUND('[7]2029'!S58,2)</f>
        <v>11894.85</v>
      </c>
      <c r="T54" s="136">
        <f>ROUND('[7]2029'!T58,2)</f>
        <v>11907.01</v>
      </c>
      <c r="U54" s="136">
        <f>ROUND('[7]2029'!U58,2)</f>
        <v>11935.9</v>
      </c>
      <c r="V54" s="136">
        <f>ROUND('[7]2029'!V58,2)</f>
        <v>12687.33</v>
      </c>
      <c r="W54" s="136">
        <f>ROUND('[7]2029'!W58,2)</f>
        <v>14156.96</v>
      </c>
      <c r="X54" s="136">
        <f>ROUND('[7]2029'!X58,2)</f>
        <v>14209.44</v>
      </c>
      <c r="Y54" s="136">
        <f>ROUND('[7]2029'!Y58,2)</f>
        <v>13767.49</v>
      </c>
      <c r="Z54" s="136">
        <f>ROUND('[7]2029'!Z58,2)</f>
        <v>12941.62</v>
      </c>
      <c r="AA54" s="136">
        <f>ROUND('[7]2029'!AA58,2)</f>
        <v>11896.69</v>
      </c>
      <c r="AB54" s="136">
        <f>ROUND('[7]2029'!AB58,2)</f>
        <v>10912.61</v>
      </c>
      <c r="AC54" s="282"/>
      <c r="AD54" s="19"/>
    </row>
    <row r="55" spans="2:50" ht="18.649999999999999" hidden="1" customHeight="1" x14ac:dyDescent="0.35">
      <c r="B55" s="263">
        <v>47453</v>
      </c>
      <c r="C55" s="7" t="s">
        <v>29</v>
      </c>
      <c r="D55" s="8">
        <f>+'[7]2029'!D59</f>
        <v>20</v>
      </c>
      <c r="E55" s="134">
        <f>ROUND('[7]2029'!E59,2)</f>
        <v>11641.94</v>
      </c>
      <c r="F55" s="134">
        <f>ROUND('[7]2029'!F59,2)</f>
        <v>11027.55</v>
      </c>
      <c r="G55" s="134">
        <f>ROUND('[7]2029'!G59,2)</f>
        <v>10563.14</v>
      </c>
      <c r="H55" s="134">
        <f>ROUND('[7]2029'!H59,2)</f>
        <v>10240.34</v>
      </c>
      <c r="I55" s="134">
        <f>ROUND('[7]2029'!I59,2)</f>
        <v>10169.41</v>
      </c>
      <c r="J55" s="134">
        <f>ROUND('[7]2029'!J59,2)</f>
        <v>10221.07</v>
      </c>
      <c r="K55" s="134">
        <f>ROUND('[7]2029'!K59,2)</f>
        <v>10102.6</v>
      </c>
      <c r="L55" s="134">
        <f>ROUND('[7]2029'!L59,2)</f>
        <v>11186.31</v>
      </c>
      <c r="M55" s="134">
        <f>ROUND('[7]2029'!M59,2)</f>
        <v>12369.05</v>
      </c>
      <c r="N55" s="134">
        <f>ROUND('[7]2029'!N59,2)</f>
        <v>13117.38</v>
      </c>
      <c r="O55" s="134">
        <f>ROUND('[7]2029'!O59,2)</f>
        <v>13668.15</v>
      </c>
      <c r="P55" s="134">
        <f>ROUND('[7]2029'!P59,2)</f>
        <v>13998.65</v>
      </c>
      <c r="Q55" s="134">
        <f>ROUND('[7]2029'!Q59,2)</f>
        <v>13695.77</v>
      </c>
      <c r="R55" s="134">
        <f>ROUND('[7]2029'!R59,2)</f>
        <v>13478.52</v>
      </c>
      <c r="S55" s="134">
        <f>ROUND('[7]2029'!S59,2)</f>
        <v>13511.28</v>
      </c>
      <c r="T55" s="134">
        <f>ROUND('[7]2029'!T59,2)</f>
        <v>13501.86</v>
      </c>
      <c r="U55" s="134">
        <f>ROUND('[7]2029'!U59,2)</f>
        <v>13334.48</v>
      </c>
      <c r="V55" s="134">
        <f>ROUND('[7]2029'!V59,2)</f>
        <v>13692.1</v>
      </c>
      <c r="W55" s="134">
        <f>ROUND('[7]2029'!W59,2)</f>
        <v>15078.76</v>
      </c>
      <c r="X55" s="134">
        <f>ROUND('[7]2029'!X59,2)</f>
        <v>14750.19</v>
      </c>
      <c r="Y55" s="134">
        <f>ROUND('[7]2029'!Y59,2)</f>
        <v>14115.88</v>
      </c>
      <c r="Z55" s="134">
        <f>ROUND('[7]2029'!Z59,2)</f>
        <v>13421.13</v>
      </c>
      <c r="AA55" s="134">
        <f>ROUND('[7]2029'!AA59,2)</f>
        <v>12747.21</v>
      </c>
      <c r="AB55" s="134">
        <f>ROUND('[7]2029'!AB59,2)</f>
        <v>11992.03</v>
      </c>
      <c r="AC55" s="283">
        <f>SUM(E55:AB55)*D55+SUM(E56:AB56)*D56+SUM(E57:AB57)*D57+SUM(E58:AB58)*D58</f>
        <v>9194008.0500000007</v>
      </c>
      <c r="AD55" s="19"/>
    </row>
    <row r="56" spans="2:50" ht="18.649999999999999" hidden="1" customHeight="1" x14ac:dyDescent="0.35">
      <c r="B56" s="264" t="s">
        <v>34</v>
      </c>
      <c r="C56" s="10" t="s">
        <v>30</v>
      </c>
      <c r="D56" s="11">
        <f>+'[7]2029'!D60</f>
        <v>4</v>
      </c>
      <c r="E56" s="135">
        <f>ROUND('[7]2029'!E60,2)</f>
        <v>11426.47</v>
      </c>
      <c r="F56" s="135">
        <f>ROUND('[7]2029'!F60,2)</f>
        <v>10849.58</v>
      </c>
      <c r="G56" s="135">
        <f>ROUND('[7]2029'!G60,2)</f>
        <v>10416.34</v>
      </c>
      <c r="H56" s="135">
        <f>ROUND('[7]2029'!H60,2)</f>
        <v>10115.49</v>
      </c>
      <c r="I56" s="135">
        <f>ROUND('[7]2029'!I60,2)</f>
        <v>10082.49</v>
      </c>
      <c r="J56" s="135">
        <f>ROUND('[7]2029'!J60,2)</f>
        <v>10245.07</v>
      </c>
      <c r="K56" s="135">
        <f>ROUND('[7]2029'!K60,2)</f>
        <v>10288.629999999999</v>
      </c>
      <c r="L56" s="135">
        <f>ROUND('[7]2029'!L60,2)</f>
        <v>11417.36</v>
      </c>
      <c r="M56" s="135">
        <f>ROUND('[7]2029'!M60,2)</f>
        <v>12587.64</v>
      </c>
      <c r="N56" s="135">
        <f>ROUND('[7]2029'!N60,2)</f>
        <v>13263.99</v>
      </c>
      <c r="O56" s="135">
        <f>ROUND('[7]2029'!O60,2)</f>
        <v>13924.96</v>
      </c>
      <c r="P56" s="135">
        <f>ROUND('[7]2029'!P60,2)</f>
        <v>14389.43</v>
      </c>
      <c r="Q56" s="135">
        <f>ROUND('[7]2029'!Q60,2)</f>
        <v>14027.22</v>
      </c>
      <c r="R56" s="135">
        <f>ROUND('[7]2029'!R60,2)</f>
        <v>14305.67</v>
      </c>
      <c r="S56" s="135">
        <f>ROUND('[7]2029'!S60,2)</f>
        <v>14776.93</v>
      </c>
      <c r="T56" s="135">
        <f>ROUND('[7]2029'!T60,2)</f>
        <v>14809.94</v>
      </c>
      <c r="U56" s="135">
        <f>ROUND('[7]2029'!U60,2)</f>
        <v>14555.26</v>
      </c>
      <c r="V56" s="135">
        <f>ROUND('[7]2029'!V60,2)</f>
        <v>14293.33</v>
      </c>
      <c r="W56" s="135">
        <f>ROUND('[7]2029'!W60,2)</f>
        <v>15285.09</v>
      </c>
      <c r="X56" s="135">
        <f>ROUND('[7]2029'!X60,2)</f>
        <v>15377.03</v>
      </c>
      <c r="Y56" s="135">
        <f>ROUND('[7]2029'!Y60,2)</f>
        <v>14989.92</v>
      </c>
      <c r="Z56" s="135">
        <f>ROUND('[7]2029'!Z60,2)</f>
        <v>14340.12</v>
      </c>
      <c r="AA56" s="135">
        <f>ROUND('[7]2029'!AA60,2)</f>
        <v>13344.49</v>
      </c>
      <c r="AB56" s="135">
        <f>ROUND('[7]2029'!AB60,2)</f>
        <v>12279.73</v>
      </c>
      <c r="AC56" s="282"/>
      <c r="AD56" s="19"/>
    </row>
    <row r="57" spans="2:50" ht="18.649999999999999" hidden="1" customHeight="1" x14ac:dyDescent="0.35">
      <c r="B57" s="264" t="s">
        <v>34</v>
      </c>
      <c r="C57" s="10" t="s">
        <v>31</v>
      </c>
      <c r="D57" s="11">
        <f>+'[7]2029'!D61</f>
        <v>5</v>
      </c>
      <c r="E57" s="135">
        <f>ROUND('[7]2029'!E61,2)</f>
        <v>11358.04</v>
      </c>
      <c r="F57" s="135">
        <f>ROUND('[7]2029'!F61,2)</f>
        <v>11005.79</v>
      </c>
      <c r="G57" s="135">
        <f>ROUND('[7]2029'!G61,2)</f>
        <v>10672.64</v>
      </c>
      <c r="H57" s="135">
        <f>ROUND('[7]2029'!H61,2)</f>
        <v>10353.299999999999</v>
      </c>
      <c r="I57" s="135">
        <f>ROUND('[7]2029'!I61,2)</f>
        <v>10169.219999999999</v>
      </c>
      <c r="J57" s="135">
        <f>ROUND('[7]2029'!J61,2)</f>
        <v>9902.9699999999993</v>
      </c>
      <c r="K57" s="135">
        <f>ROUND('[7]2029'!K61,2)</f>
        <v>9287.86</v>
      </c>
      <c r="L57" s="135">
        <f>ROUND('[7]2029'!L61,2)</f>
        <v>9596.42</v>
      </c>
      <c r="M57" s="135">
        <f>ROUND('[7]2029'!M61,2)</f>
        <v>10098.09</v>
      </c>
      <c r="N57" s="135">
        <f>ROUND('[7]2029'!N61,2)</f>
        <v>10569.1</v>
      </c>
      <c r="O57" s="135">
        <f>ROUND('[7]2029'!O61,2)</f>
        <v>11008.19</v>
      </c>
      <c r="P57" s="135">
        <f>ROUND('[7]2029'!P61,2)</f>
        <v>11381.4</v>
      </c>
      <c r="Q57" s="135">
        <f>ROUND('[7]2029'!Q61,2)</f>
        <v>11585.39</v>
      </c>
      <c r="R57" s="135">
        <f>ROUND('[7]2029'!R61,2)</f>
        <v>11594.41</v>
      </c>
      <c r="S57" s="135">
        <f>ROUND('[7]2029'!S61,2)</f>
        <v>11541.95</v>
      </c>
      <c r="T57" s="135">
        <f>ROUND('[7]2029'!T61,2)</f>
        <v>11605.76</v>
      </c>
      <c r="U57" s="135">
        <f>ROUND('[7]2029'!U61,2)</f>
        <v>11600.34</v>
      </c>
      <c r="V57" s="135">
        <f>ROUND('[7]2029'!V61,2)</f>
        <v>11975.31</v>
      </c>
      <c r="W57" s="135">
        <f>ROUND('[7]2029'!W61,2)</f>
        <v>13643.33</v>
      </c>
      <c r="X57" s="135">
        <f>ROUND('[7]2029'!X61,2)</f>
        <v>13769.49</v>
      </c>
      <c r="Y57" s="135">
        <f>ROUND('[7]2029'!Y61,2)</f>
        <v>13595.06</v>
      </c>
      <c r="Z57" s="135">
        <f>ROUND('[7]2029'!Z61,2)</f>
        <v>13181.7</v>
      </c>
      <c r="AA57" s="135">
        <f>ROUND('[7]2029'!AA61,2)</f>
        <v>12500.43</v>
      </c>
      <c r="AB57" s="135">
        <f>ROUND('[7]2029'!AB61,2)</f>
        <v>11710</v>
      </c>
      <c r="AC57" s="282"/>
      <c r="AD57" s="19"/>
    </row>
    <row r="58" spans="2:50" ht="18.649999999999999" hidden="1" customHeight="1" thickBot="1" x14ac:dyDescent="0.4">
      <c r="B58" s="265" t="s">
        <v>34</v>
      </c>
      <c r="C58" s="12" t="s">
        <v>32</v>
      </c>
      <c r="D58" s="13">
        <f>+'[7]2029'!D62</f>
        <v>2</v>
      </c>
      <c r="E58" s="132">
        <f>ROUND('[7]2029'!E62,2)</f>
        <v>11358.04</v>
      </c>
      <c r="F58" s="132">
        <f>ROUND('[7]2029'!F62,2)</f>
        <v>11005.79</v>
      </c>
      <c r="G58" s="132">
        <f>ROUND('[7]2029'!G62,2)</f>
        <v>10672.64</v>
      </c>
      <c r="H58" s="132">
        <f>ROUND('[7]2029'!H62,2)</f>
        <v>10353.299999999999</v>
      </c>
      <c r="I58" s="132">
        <f>ROUND('[7]2029'!I62,2)</f>
        <v>10169.219999999999</v>
      </c>
      <c r="J58" s="132">
        <f>ROUND('[7]2029'!J62,2)</f>
        <v>9902.9699999999993</v>
      </c>
      <c r="K58" s="132">
        <f>ROUND('[7]2029'!K62,2)</f>
        <v>9287.86</v>
      </c>
      <c r="L58" s="132">
        <f>ROUND('[7]2029'!L62,2)</f>
        <v>9596.42</v>
      </c>
      <c r="M58" s="132">
        <f>ROUND('[7]2029'!M62,2)</f>
        <v>10098.09</v>
      </c>
      <c r="N58" s="132">
        <f>ROUND('[7]2029'!N62,2)</f>
        <v>10569.1</v>
      </c>
      <c r="O58" s="132">
        <f>ROUND('[7]2029'!O62,2)</f>
        <v>11008.19</v>
      </c>
      <c r="P58" s="132">
        <f>ROUND('[7]2029'!P62,2)</f>
        <v>11381.4</v>
      </c>
      <c r="Q58" s="132">
        <f>ROUND('[7]2029'!Q62,2)</f>
        <v>11585.39</v>
      </c>
      <c r="R58" s="132">
        <f>ROUND('[7]2029'!R62,2)</f>
        <v>11594.41</v>
      </c>
      <c r="S58" s="132">
        <f>ROUND('[7]2029'!S62,2)</f>
        <v>11541.95</v>
      </c>
      <c r="T58" s="132">
        <f>ROUND('[7]2029'!T62,2)</f>
        <v>11605.76</v>
      </c>
      <c r="U58" s="132">
        <f>ROUND('[7]2029'!U62,2)</f>
        <v>11600.34</v>
      </c>
      <c r="V58" s="132">
        <f>ROUND('[7]2029'!V62,2)</f>
        <v>11975.31</v>
      </c>
      <c r="W58" s="132">
        <f>ROUND('[7]2029'!W62,2)</f>
        <v>13643.33</v>
      </c>
      <c r="X58" s="132">
        <f>ROUND('[7]2029'!X62,2)</f>
        <v>13769.49</v>
      </c>
      <c r="Y58" s="132">
        <f>ROUND('[7]2029'!Y62,2)</f>
        <v>13595.06</v>
      </c>
      <c r="Z58" s="132">
        <f>ROUND('[7]2029'!Z62,2)</f>
        <v>13181.7</v>
      </c>
      <c r="AA58" s="132">
        <f>ROUND('[7]2029'!AA62,2)</f>
        <v>12500.43</v>
      </c>
      <c r="AB58" s="132">
        <f>ROUND('[7]2029'!AB62,2)</f>
        <v>11710</v>
      </c>
      <c r="AC58" s="284"/>
      <c r="AD58" s="19"/>
    </row>
    <row r="59" spans="2:50" ht="18.649999999999999" hidden="1" customHeight="1" thickBot="1" x14ac:dyDescent="0.4"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285" t="s">
        <v>33</v>
      </c>
      <c r="AA59" s="286"/>
      <c r="AB59" s="287"/>
      <c r="AC59" s="198">
        <f>SUM(AC11:AC58)</f>
        <v>110228703.69</v>
      </c>
      <c r="AD59" s="18"/>
      <c r="AE59" s="19"/>
    </row>
    <row r="60" spans="2:50" ht="18.649999999999999" hidden="1" customHeight="1" x14ac:dyDescent="0.35">
      <c r="B60" s="260">
        <v>47484</v>
      </c>
      <c r="C60" s="7" t="s">
        <v>29</v>
      </c>
      <c r="D60" s="54">
        <f>+'[7]2030'!D15</f>
        <v>21</v>
      </c>
      <c r="E60" s="134">
        <f>ROUND('[7]2030'!E15,2)</f>
        <v>23012.44</v>
      </c>
      <c r="F60" s="134">
        <f>ROUND('[7]2030'!F15,2)</f>
        <v>21765.22</v>
      </c>
      <c r="G60" s="134">
        <f>ROUND('[7]2030'!G15,2)</f>
        <v>20863.7</v>
      </c>
      <c r="H60" s="134">
        <f>ROUND('[7]2030'!H15,2)</f>
        <v>20233.400000000001</v>
      </c>
      <c r="I60" s="134">
        <f>ROUND('[7]2030'!I15,2)</f>
        <v>20084</v>
      </c>
      <c r="J60" s="134">
        <f>ROUND('[7]2030'!J15,2)</f>
        <v>20574.28</v>
      </c>
      <c r="K60" s="134">
        <f>ROUND('[7]2030'!K15,2)</f>
        <v>20421.080000000002</v>
      </c>
      <c r="L60" s="134">
        <f>ROUND('[7]2030'!L15,2)</f>
        <v>22835.86</v>
      </c>
      <c r="M60" s="134">
        <f>ROUND('[7]2030'!M15,2)</f>
        <v>25434.27</v>
      </c>
      <c r="N60" s="134">
        <f>ROUND('[7]2030'!N15,2)</f>
        <v>26939</v>
      </c>
      <c r="O60" s="134">
        <f>ROUND('[7]2030'!O15,2)</f>
        <v>28491.29</v>
      </c>
      <c r="P60" s="134">
        <f>ROUND('[7]2030'!P15,2)</f>
        <v>29595.22</v>
      </c>
      <c r="Q60" s="134">
        <f>ROUND('[7]2030'!Q15,2)</f>
        <v>28772.87</v>
      </c>
      <c r="R60" s="134">
        <f>ROUND('[7]2030'!R15,2)</f>
        <v>29580.080000000002</v>
      </c>
      <c r="S60" s="134">
        <f>ROUND('[7]2030'!S15,2)</f>
        <v>30926.3</v>
      </c>
      <c r="T60" s="134">
        <f>ROUND('[7]2030'!T15,2)</f>
        <v>31053.99</v>
      </c>
      <c r="U60" s="134">
        <f>ROUND('[7]2030'!U15,2)</f>
        <v>30411.18</v>
      </c>
      <c r="V60" s="134">
        <f>ROUND('[7]2030'!V15,2)</f>
        <v>29189.1</v>
      </c>
      <c r="W60" s="134">
        <f>ROUND('[7]2030'!W15,2)</f>
        <v>30921.82</v>
      </c>
      <c r="X60" s="134">
        <f>ROUND('[7]2030'!X15,2)</f>
        <v>31016.639999999999</v>
      </c>
      <c r="Y60" s="134">
        <f>ROUND('[7]2030'!Y15,2)</f>
        <v>30283.599999999999</v>
      </c>
      <c r="Z60" s="134">
        <f>ROUND('[7]2030'!Z15,2)</f>
        <v>29113.7</v>
      </c>
      <c r="AA60" s="134">
        <f>ROUND('[7]2030'!AA15,2)</f>
        <v>27184.720000000001</v>
      </c>
      <c r="AB60" s="134">
        <f>ROUND('[7]2030'!AB15,2)</f>
        <v>25018.83</v>
      </c>
      <c r="AC60" s="283">
        <f>SUM(E60:AB60)*D60+SUM(E61:AB61)*D61+SUM(E62:AB62)*D62+SUM(E63:AB63)*D63</f>
        <v>19148897.189999994</v>
      </c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</row>
    <row r="61" spans="2:50" ht="18.649999999999999" hidden="1" customHeight="1" x14ac:dyDescent="0.35">
      <c r="B61" s="261"/>
      <c r="C61" s="10" t="s">
        <v>30</v>
      </c>
      <c r="D61" s="11">
        <f>+'[7]2030'!D16</f>
        <v>4</v>
      </c>
      <c r="E61" s="135">
        <f>ROUND('[7]2030'!E16,2)</f>
        <v>23185.85</v>
      </c>
      <c r="F61" s="135">
        <f>ROUND('[7]2030'!F16,2)</f>
        <v>21954.77</v>
      </c>
      <c r="G61" s="135">
        <f>ROUND('[7]2030'!G16,2)</f>
        <v>21042.7</v>
      </c>
      <c r="H61" s="135">
        <f>ROUND('[7]2030'!H16,2)</f>
        <v>20323.099999999999</v>
      </c>
      <c r="I61" s="135">
        <f>ROUND('[7]2030'!I16,2)</f>
        <v>20134.43</v>
      </c>
      <c r="J61" s="135">
        <f>ROUND('[7]2030'!J16,2)</f>
        <v>20222.73</v>
      </c>
      <c r="K61" s="135">
        <f>ROUND('[7]2030'!K16,2)</f>
        <v>19700.150000000001</v>
      </c>
      <c r="L61" s="135">
        <f>ROUND('[7]2030'!L16,2)</f>
        <v>21575.27</v>
      </c>
      <c r="M61" s="135">
        <f>ROUND('[7]2030'!M16,2)</f>
        <v>24051.82</v>
      </c>
      <c r="N61" s="135">
        <f>ROUND('[7]2030'!N16,2)</f>
        <v>25690.76</v>
      </c>
      <c r="O61" s="135">
        <f>ROUND('[7]2030'!O16,2)</f>
        <v>27040.19</v>
      </c>
      <c r="P61" s="135">
        <f>ROUND('[7]2030'!P16,2)</f>
        <v>27886.04</v>
      </c>
      <c r="Q61" s="135">
        <f>ROUND('[7]2030'!Q16,2)</f>
        <v>27490.78</v>
      </c>
      <c r="R61" s="135">
        <f>ROUND('[7]2030'!R16,2)</f>
        <v>27213.65</v>
      </c>
      <c r="S61" s="135">
        <f>ROUND('[7]2030'!S16,2)</f>
        <v>27368.67</v>
      </c>
      <c r="T61" s="135">
        <f>ROUND('[7]2030'!T16,2)</f>
        <v>27359.95</v>
      </c>
      <c r="U61" s="135">
        <f>ROUND('[7]2030'!U16,2)</f>
        <v>26956.2</v>
      </c>
      <c r="V61" s="135">
        <f>ROUND('[7]2030'!V16,2)</f>
        <v>26750.05</v>
      </c>
      <c r="W61" s="135">
        <f>ROUND('[7]2030'!W16,2)</f>
        <v>29499.39</v>
      </c>
      <c r="X61" s="135">
        <f>ROUND('[7]2030'!X16,2)</f>
        <v>29794.75</v>
      </c>
      <c r="Y61" s="135">
        <f>ROUND('[7]2030'!Y16,2)</f>
        <v>28971.23</v>
      </c>
      <c r="Z61" s="135">
        <f>ROUND('[7]2030'!Z16,2)</f>
        <v>27945.66</v>
      </c>
      <c r="AA61" s="135">
        <f>ROUND('[7]2030'!AA16,2)</f>
        <v>26552.77</v>
      </c>
      <c r="AB61" s="135">
        <f>ROUND('[7]2030'!AB16,2)</f>
        <v>24926.23</v>
      </c>
      <c r="AC61" s="282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2:50" ht="18.649999999999999" hidden="1" customHeight="1" x14ac:dyDescent="0.35">
      <c r="B62" s="261"/>
      <c r="C62" s="10" t="s">
        <v>31</v>
      </c>
      <c r="D62" s="11">
        <f>+'[7]2030'!D17</f>
        <v>4</v>
      </c>
      <c r="E62" s="135">
        <f>ROUND('[7]2030'!E17,2)</f>
        <v>23444.22</v>
      </c>
      <c r="F62" s="135">
        <f>ROUND('[7]2030'!F17,2)</f>
        <v>22257.06</v>
      </c>
      <c r="G62" s="135">
        <f>ROUND('[7]2030'!G17,2)</f>
        <v>21294.29</v>
      </c>
      <c r="H62" s="135">
        <f>ROUND('[7]2030'!H17,2)</f>
        <v>20524.8</v>
      </c>
      <c r="I62" s="135">
        <f>ROUND('[7]2030'!I17,2)</f>
        <v>20133.64</v>
      </c>
      <c r="J62" s="135">
        <f>ROUND('[7]2030'!J17,2)</f>
        <v>19940.73</v>
      </c>
      <c r="K62" s="135">
        <f>ROUND('[7]2030'!K17,2)</f>
        <v>18912.439999999999</v>
      </c>
      <c r="L62" s="135">
        <f>ROUND('[7]2030'!L17,2)</f>
        <v>19757.66</v>
      </c>
      <c r="M62" s="135">
        <f>ROUND('[7]2030'!M17,2)</f>
        <v>21169.46</v>
      </c>
      <c r="N62" s="135">
        <f>ROUND('[7]2030'!N17,2)</f>
        <v>22608.14</v>
      </c>
      <c r="O62" s="135">
        <f>ROUND('[7]2030'!O17,2)</f>
        <v>23492.93</v>
      </c>
      <c r="P62" s="135">
        <f>ROUND('[7]2030'!P17,2)</f>
        <v>24280.82</v>
      </c>
      <c r="Q62" s="135">
        <f>ROUND('[7]2030'!Q17,2)</f>
        <v>24749.919999999998</v>
      </c>
      <c r="R62" s="135">
        <f>ROUND('[7]2030'!R17,2)</f>
        <v>24855.67</v>
      </c>
      <c r="S62" s="135">
        <f>ROUND('[7]2030'!S17,2)</f>
        <v>24924.59</v>
      </c>
      <c r="T62" s="135">
        <f>ROUND('[7]2030'!T17,2)</f>
        <v>24966.02</v>
      </c>
      <c r="U62" s="135">
        <f>ROUND('[7]2030'!U17,2)</f>
        <v>24819.85</v>
      </c>
      <c r="V62" s="135">
        <f>ROUND('[7]2030'!V17,2)</f>
        <v>24845.19</v>
      </c>
      <c r="W62" s="135">
        <f>ROUND('[7]2030'!W17,2)</f>
        <v>27854.28</v>
      </c>
      <c r="X62" s="135">
        <f>ROUND('[7]2030'!X17,2)</f>
        <v>28763.94</v>
      </c>
      <c r="Y62" s="135">
        <f>ROUND('[7]2030'!Y17,2)</f>
        <v>28659.52</v>
      </c>
      <c r="Z62" s="135">
        <f>ROUND('[7]2030'!Z17,2)</f>
        <v>27867.63</v>
      </c>
      <c r="AA62" s="135">
        <f>ROUND('[7]2030'!AA17,2)</f>
        <v>26369.52</v>
      </c>
      <c r="AB62" s="135">
        <f>ROUND('[7]2030'!AB17,2)</f>
        <v>24536.720000000001</v>
      </c>
      <c r="AC62" s="282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2:50" ht="18.649999999999999" hidden="1" customHeight="1" thickBot="1" x14ac:dyDescent="0.4">
      <c r="B63" s="261"/>
      <c r="C63" s="16" t="s">
        <v>32</v>
      </c>
      <c r="D63" s="17">
        <f>+'[7]2030'!D18</f>
        <v>2</v>
      </c>
      <c r="E63" s="136">
        <f>ROUND('[7]2030'!E18,2)</f>
        <v>23444.22</v>
      </c>
      <c r="F63" s="136">
        <f>ROUND('[7]2030'!F18,2)</f>
        <v>22257.06</v>
      </c>
      <c r="G63" s="136">
        <f>ROUND('[7]2030'!G18,2)</f>
        <v>21294.29</v>
      </c>
      <c r="H63" s="136">
        <f>ROUND('[7]2030'!H18,2)</f>
        <v>20524.8</v>
      </c>
      <c r="I63" s="136">
        <f>ROUND('[7]2030'!I18,2)</f>
        <v>20133.64</v>
      </c>
      <c r="J63" s="136">
        <f>ROUND('[7]2030'!J18,2)</f>
        <v>19940.73</v>
      </c>
      <c r="K63" s="136">
        <f>ROUND('[7]2030'!K18,2)</f>
        <v>18912.439999999999</v>
      </c>
      <c r="L63" s="136">
        <f>ROUND('[7]2030'!L18,2)</f>
        <v>19757.66</v>
      </c>
      <c r="M63" s="136">
        <f>ROUND('[7]2030'!M18,2)</f>
        <v>21169.46</v>
      </c>
      <c r="N63" s="136">
        <f>ROUND('[7]2030'!N18,2)</f>
        <v>22608.14</v>
      </c>
      <c r="O63" s="136">
        <f>ROUND('[7]2030'!O18,2)</f>
        <v>23492.93</v>
      </c>
      <c r="P63" s="136">
        <f>ROUND('[7]2030'!P18,2)</f>
        <v>24280.82</v>
      </c>
      <c r="Q63" s="136">
        <f>ROUND('[7]2030'!Q18,2)</f>
        <v>24749.919999999998</v>
      </c>
      <c r="R63" s="136">
        <f>ROUND('[7]2030'!R18,2)</f>
        <v>24855.67</v>
      </c>
      <c r="S63" s="136">
        <f>ROUND('[7]2030'!S18,2)</f>
        <v>24924.59</v>
      </c>
      <c r="T63" s="136">
        <f>ROUND('[7]2030'!T18,2)</f>
        <v>24966.02</v>
      </c>
      <c r="U63" s="136">
        <f>ROUND('[7]2030'!U18,2)</f>
        <v>24819.85</v>
      </c>
      <c r="V63" s="136">
        <f>ROUND('[7]2030'!V18,2)</f>
        <v>24845.19</v>
      </c>
      <c r="W63" s="136">
        <f>ROUND('[7]2030'!W18,2)</f>
        <v>27854.28</v>
      </c>
      <c r="X63" s="136">
        <f>ROUND('[7]2030'!X18,2)</f>
        <v>28763.94</v>
      </c>
      <c r="Y63" s="136">
        <f>ROUND('[7]2030'!Y18,2)</f>
        <v>28659.52</v>
      </c>
      <c r="Z63" s="136">
        <f>ROUND('[7]2030'!Z18,2)</f>
        <v>27867.63</v>
      </c>
      <c r="AA63" s="136">
        <f>ROUND('[7]2030'!AA18,2)</f>
        <v>26369.52</v>
      </c>
      <c r="AB63" s="136">
        <f>ROUND('[7]2030'!AB18,2)</f>
        <v>24536.720000000001</v>
      </c>
      <c r="AC63" s="282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2:50" ht="18.649999999999999" hidden="1" customHeight="1" x14ac:dyDescent="0.35">
      <c r="B64" s="263">
        <v>47515</v>
      </c>
      <c r="C64" s="7" t="s">
        <v>29</v>
      </c>
      <c r="D64" s="8">
        <f>+'[7]2030'!D19</f>
        <v>20</v>
      </c>
      <c r="E64" s="134">
        <f>ROUND('[7]2030'!E19,2)</f>
        <v>23735.58</v>
      </c>
      <c r="F64" s="134">
        <f>ROUND('[7]2030'!F19,2)</f>
        <v>22483.08</v>
      </c>
      <c r="G64" s="134">
        <f>ROUND('[7]2030'!G19,2)</f>
        <v>21588.43</v>
      </c>
      <c r="H64" s="134">
        <f>ROUND('[7]2030'!H19,2)</f>
        <v>21002.79</v>
      </c>
      <c r="I64" s="134">
        <f>ROUND('[7]2030'!I19,2)</f>
        <v>21045.79</v>
      </c>
      <c r="J64" s="134">
        <f>ROUND('[7]2030'!J19,2)</f>
        <v>22214.73</v>
      </c>
      <c r="K64" s="134">
        <f>ROUND('[7]2030'!K19,2)</f>
        <v>22155.38</v>
      </c>
      <c r="L64" s="134">
        <f>ROUND('[7]2030'!L19,2)</f>
        <v>24442.61</v>
      </c>
      <c r="M64" s="134">
        <f>ROUND('[7]2030'!M19,2)</f>
        <v>26748.94</v>
      </c>
      <c r="N64" s="134">
        <f>ROUND('[7]2030'!N19,2)</f>
        <v>27881.49</v>
      </c>
      <c r="O64" s="134">
        <f>ROUND('[7]2030'!O19,2)</f>
        <v>29234.54</v>
      </c>
      <c r="P64" s="134">
        <f>ROUND('[7]2030'!P19,2)</f>
        <v>30142.32</v>
      </c>
      <c r="Q64" s="134">
        <f>ROUND('[7]2030'!Q19,2)</f>
        <v>29007.89</v>
      </c>
      <c r="R64" s="134">
        <f>ROUND('[7]2030'!R19,2)</f>
        <v>30042.43</v>
      </c>
      <c r="S64" s="134">
        <f>ROUND('[7]2030'!S19,2)</f>
        <v>31562.94</v>
      </c>
      <c r="T64" s="134">
        <f>ROUND('[7]2030'!T19,2)</f>
        <v>31758.36</v>
      </c>
      <c r="U64" s="134">
        <f>ROUND('[7]2030'!U19,2)</f>
        <v>31202.16</v>
      </c>
      <c r="V64" s="134">
        <f>ROUND('[7]2030'!V19,2)</f>
        <v>29873.35</v>
      </c>
      <c r="W64" s="134">
        <f>ROUND('[7]2030'!W19,2)</f>
        <v>31461.18</v>
      </c>
      <c r="X64" s="134">
        <f>ROUND('[7]2030'!X19,2)</f>
        <v>31970.39</v>
      </c>
      <c r="Y64" s="134">
        <f>ROUND('[7]2030'!Y19,2)</f>
        <v>31337.360000000001</v>
      </c>
      <c r="Z64" s="134">
        <f>ROUND('[7]2030'!Z19,2)</f>
        <v>29972.69</v>
      </c>
      <c r="AA64" s="134">
        <f>ROUND('[7]2030'!AA19,2)</f>
        <v>27748.45</v>
      </c>
      <c r="AB64" s="134">
        <f>ROUND('[7]2030'!AB19,2)</f>
        <v>25511.75</v>
      </c>
      <c r="AC64" s="283">
        <f>SUM(E64:AB64)*D64+SUM(E65:AB65)*D65+SUM(E66:AB66)*D66+SUM(E67:AB67)*D67</f>
        <v>17975618.919999994</v>
      </c>
      <c r="AD64" s="19"/>
    </row>
    <row r="65" spans="2:30" ht="18.649999999999999" hidden="1" customHeight="1" x14ac:dyDescent="0.35">
      <c r="B65" s="264" t="s">
        <v>34</v>
      </c>
      <c r="C65" s="10" t="s">
        <v>30</v>
      </c>
      <c r="D65" s="11">
        <f>+'[7]2030'!D20</f>
        <v>4</v>
      </c>
      <c r="E65" s="135">
        <f>ROUND('[7]2030'!E20,2)</f>
        <v>23811.27</v>
      </c>
      <c r="F65" s="135">
        <f>ROUND('[7]2030'!F20,2)</f>
        <v>22651.86</v>
      </c>
      <c r="G65" s="135">
        <f>ROUND('[7]2030'!G20,2)</f>
        <v>21644.17</v>
      </c>
      <c r="H65" s="135">
        <f>ROUND('[7]2030'!H20,2)</f>
        <v>20960.64</v>
      </c>
      <c r="I65" s="135">
        <f>ROUND('[7]2030'!I20,2)</f>
        <v>20699.66</v>
      </c>
      <c r="J65" s="135">
        <f>ROUND('[7]2030'!J20,2)</f>
        <v>20906.79</v>
      </c>
      <c r="K65" s="135">
        <f>ROUND('[7]2030'!K20,2)</f>
        <v>20696.009999999998</v>
      </c>
      <c r="L65" s="135">
        <f>ROUND('[7]2030'!L20,2)</f>
        <v>22752.77</v>
      </c>
      <c r="M65" s="135">
        <f>ROUND('[7]2030'!M20,2)</f>
        <v>25225.69</v>
      </c>
      <c r="N65" s="135">
        <f>ROUND('[7]2030'!N20,2)</f>
        <v>26778.9</v>
      </c>
      <c r="O65" s="135">
        <f>ROUND('[7]2030'!O20,2)</f>
        <v>28048.84</v>
      </c>
      <c r="P65" s="135">
        <f>ROUND('[7]2030'!P20,2)</f>
        <v>28889.98</v>
      </c>
      <c r="Q65" s="135">
        <f>ROUND('[7]2030'!Q20,2)</f>
        <v>28386.05</v>
      </c>
      <c r="R65" s="135">
        <f>ROUND('[7]2030'!R20,2)</f>
        <v>28054.880000000001</v>
      </c>
      <c r="S65" s="135">
        <f>ROUND('[7]2030'!S20,2)</f>
        <v>28202.18</v>
      </c>
      <c r="T65" s="135">
        <f>ROUND('[7]2030'!T20,2)</f>
        <v>28198.639999999999</v>
      </c>
      <c r="U65" s="135">
        <f>ROUND('[7]2030'!U20,2)</f>
        <v>27770.54</v>
      </c>
      <c r="V65" s="135">
        <f>ROUND('[7]2030'!V20,2)</f>
        <v>27577.1</v>
      </c>
      <c r="W65" s="135">
        <f>ROUND('[7]2030'!W20,2)</f>
        <v>30206.66</v>
      </c>
      <c r="X65" s="135">
        <f>ROUND('[7]2030'!X20,2)</f>
        <v>30820.53</v>
      </c>
      <c r="Y65" s="135">
        <f>ROUND('[7]2030'!Y20,2)</f>
        <v>30019.67</v>
      </c>
      <c r="Z65" s="135">
        <f>ROUND('[7]2030'!Z20,2)</f>
        <v>28938.05</v>
      </c>
      <c r="AA65" s="135">
        <f>ROUND('[7]2030'!AA20,2)</f>
        <v>27467.99</v>
      </c>
      <c r="AB65" s="135">
        <f>ROUND('[7]2030'!AB20,2)</f>
        <v>25738.94</v>
      </c>
      <c r="AC65" s="282"/>
      <c r="AD65" s="19"/>
    </row>
    <row r="66" spans="2:30" ht="18.649999999999999" hidden="1" customHeight="1" x14ac:dyDescent="0.35">
      <c r="B66" s="264" t="s">
        <v>34</v>
      </c>
      <c r="C66" s="10" t="s">
        <v>31</v>
      </c>
      <c r="D66" s="11">
        <f>+'[7]2030'!D21</f>
        <v>4</v>
      </c>
      <c r="E66" s="135">
        <f>ROUND('[7]2030'!E21,2)</f>
        <v>24181.42</v>
      </c>
      <c r="F66" s="135">
        <f>ROUND('[7]2030'!F21,2)</f>
        <v>22943.31</v>
      </c>
      <c r="G66" s="135">
        <f>ROUND('[7]2030'!G21,2)</f>
        <v>21985.53</v>
      </c>
      <c r="H66" s="135">
        <f>ROUND('[7]2030'!H21,2)</f>
        <v>21282.92</v>
      </c>
      <c r="I66" s="135">
        <f>ROUND('[7]2030'!I21,2)</f>
        <v>20837.93</v>
      </c>
      <c r="J66" s="135">
        <f>ROUND('[7]2030'!J21,2)</f>
        <v>20744.46</v>
      </c>
      <c r="K66" s="135">
        <f>ROUND('[7]2030'!K21,2)</f>
        <v>19830.27</v>
      </c>
      <c r="L66" s="135">
        <f>ROUND('[7]2030'!L21,2)</f>
        <v>20716.3</v>
      </c>
      <c r="M66" s="135">
        <f>ROUND('[7]2030'!M21,2)</f>
        <v>22167.11</v>
      </c>
      <c r="N66" s="135">
        <f>ROUND('[7]2030'!N21,2)</f>
        <v>23484.560000000001</v>
      </c>
      <c r="O66" s="135">
        <f>ROUND('[7]2030'!O21,2)</f>
        <v>24445.360000000001</v>
      </c>
      <c r="P66" s="135">
        <f>ROUND('[7]2030'!P21,2)</f>
        <v>25422.560000000001</v>
      </c>
      <c r="Q66" s="135">
        <f>ROUND('[7]2030'!Q21,2)</f>
        <v>25983.02</v>
      </c>
      <c r="R66" s="135">
        <f>ROUND('[7]2030'!R21,2)</f>
        <v>26154.76</v>
      </c>
      <c r="S66" s="135">
        <f>ROUND('[7]2030'!S21,2)</f>
        <v>26310.2</v>
      </c>
      <c r="T66" s="135">
        <f>ROUND('[7]2030'!T21,2)</f>
        <v>26430.39</v>
      </c>
      <c r="U66" s="135">
        <f>ROUND('[7]2030'!U21,2)</f>
        <v>26257.02</v>
      </c>
      <c r="V66" s="135">
        <f>ROUND('[7]2030'!V21,2)</f>
        <v>26195.5</v>
      </c>
      <c r="W66" s="135">
        <f>ROUND('[7]2030'!W21,2)</f>
        <v>29126.11</v>
      </c>
      <c r="X66" s="135">
        <f>ROUND('[7]2030'!X21,2)</f>
        <v>30438.07</v>
      </c>
      <c r="Y66" s="135">
        <f>ROUND('[7]2030'!Y21,2)</f>
        <v>30460.59</v>
      </c>
      <c r="Z66" s="135">
        <f>ROUND('[7]2030'!Z21,2)</f>
        <v>29705.06</v>
      </c>
      <c r="AA66" s="135">
        <f>ROUND('[7]2030'!AA21,2)</f>
        <v>27927.73</v>
      </c>
      <c r="AB66" s="135">
        <f>ROUND('[7]2030'!AB21,2)</f>
        <v>25803.59</v>
      </c>
      <c r="AC66" s="282"/>
      <c r="AD66" s="19"/>
    </row>
    <row r="67" spans="2:30" ht="18.649999999999999" hidden="1" customHeight="1" thickBot="1" x14ac:dyDescent="0.4">
      <c r="B67" s="265" t="s">
        <v>34</v>
      </c>
      <c r="C67" s="12" t="s">
        <v>32</v>
      </c>
      <c r="D67" s="13">
        <f>+'[7]2030'!D22</f>
        <v>0</v>
      </c>
      <c r="E67" s="199">
        <f>ROUND('[7]2030'!E22,2)</f>
        <v>0</v>
      </c>
      <c r="F67" s="115">
        <f>ROUND('[7]2030'!F22,2)</f>
        <v>0</v>
      </c>
      <c r="G67" s="115">
        <f>ROUND('[7]2030'!G22,2)</f>
        <v>0</v>
      </c>
      <c r="H67" s="115">
        <f>ROUND('[7]2030'!H22,2)</f>
        <v>0</v>
      </c>
      <c r="I67" s="115">
        <f>ROUND('[7]2030'!I22,2)</f>
        <v>0</v>
      </c>
      <c r="J67" s="115">
        <f>ROUND('[7]2030'!J22,2)</f>
        <v>0</v>
      </c>
      <c r="K67" s="115">
        <f>ROUND('[7]2030'!K22,2)</f>
        <v>0</v>
      </c>
      <c r="L67" s="115">
        <f>ROUND('[7]2030'!L22,2)</f>
        <v>0</v>
      </c>
      <c r="M67" s="115">
        <f>ROUND('[7]2030'!M22,2)</f>
        <v>0</v>
      </c>
      <c r="N67" s="115">
        <f>ROUND('[7]2030'!N22,2)</f>
        <v>0</v>
      </c>
      <c r="O67" s="115">
        <f>ROUND('[7]2030'!O22,2)</f>
        <v>0</v>
      </c>
      <c r="P67" s="115">
        <f>ROUND('[7]2030'!P22,2)</f>
        <v>0</v>
      </c>
      <c r="Q67" s="115">
        <f>ROUND('[7]2030'!Q22,2)</f>
        <v>0</v>
      </c>
      <c r="R67" s="115">
        <f>ROUND('[7]2030'!R22,2)</f>
        <v>0</v>
      </c>
      <c r="S67" s="115">
        <f>ROUND('[7]2030'!S22,2)</f>
        <v>0</v>
      </c>
      <c r="T67" s="115">
        <f>ROUND('[7]2030'!T22,2)</f>
        <v>0</v>
      </c>
      <c r="U67" s="115">
        <f>ROUND('[7]2030'!U22,2)</f>
        <v>0</v>
      </c>
      <c r="V67" s="115">
        <f>ROUND('[7]2030'!V22,2)</f>
        <v>0</v>
      </c>
      <c r="W67" s="115">
        <f>ROUND('[7]2030'!W22,2)</f>
        <v>0</v>
      </c>
      <c r="X67" s="115">
        <f>ROUND('[7]2030'!X22,2)</f>
        <v>0</v>
      </c>
      <c r="Y67" s="115">
        <f>ROUND('[7]2030'!Y22,2)</f>
        <v>0</v>
      </c>
      <c r="Z67" s="115">
        <f>ROUND('[7]2030'!Z22,2)</f>
        <v>0</v>
      </c>
      <c r="AA67" s="115">
        <f>ROUND('[7]2030'!AA22,2)</f>
        <v>0</v>
      </c>
      <c r="AB67" s="115">
        <f>ROUND('[7]2030'!AB22,2)</f>
        <v>0</v>
      </c>
      <c r="AC67" s="284"/>
      <c r="AD67" s="19"/>
    </row>
    <row r="68" spans="2:30" ht="18.649999999999999" hidden="1" customHeight="1" x14ac:dyDescent="0.35">
      <c r="B68" s="260">
        <v>47543</v>
      </c>
      <c r="C68" s="14" t="s">
        <v>29</v>
      </c>
      <c r="D68" s="15">
        <f>+'[7]2030'!D23</f>
        <v>20</v>
      </c>
      <c r="E68" s="137">
        <f>ROUND('[7]2030'!E23,2)</f>
        <v>24095.919999999998</v>
      </c>
      <c r="F68" s="137">
        <f>ROUND('[7]2030'!F23,2)</f>
        <v>22822.51</v>
      </c>
      <c r="G68" s="137">
        <f>ROUND('[7]2030'!G23,2)</f>
        <v>21862.87</v>
      </c>
      <c r="H68" s="137">
        <f>ROUND('[7]2030'!H23,2)</f>
        <v>21154.63</v>
      </c>
      <c r="I68" s="137">
        <f>ROUND('[7]2030'!I23,2)</f>
        <v>21048.18</v>
      </c>
      <c r="J68" s="137">
        <f>ROUND('[7]2030'!J23,2)</f>
        <v>21818.880000000001</v>
      </c>
      <c r="K68" s="137">
        <f>ROUND('[7]2030'!K23,2)</f>
        <v>21669.040000000001</v>
      </c>
      <c r="L68" s="137">
        <f>ROUND('[7]2030'!L23,2)</f>
        <v>24152.91</v>
      </c>
      <c r="M68" s="137">
        <f>ROUND('[7]2030'!M23,2)</f>
        <v>26658.05</v>
      </c>
      <c r="N68" s="137">
        <f>ROUND('[7]2030'!N23,2)</f>
        <v>27969.15</v>
      </c>
      <c r="O68" s="137">
        <f>ROUND('[7]2030'!O23,2)</f>
        <v>29456.32</v>
      </c>
      <c r="P68" s="137">
        <f>ROUND('[7]2030'!P23,2)</f>
        <v>30424.53</v>
      </c>
      <c r="Q68" s="137">
        <f>ROUND('[7]2030'!Q23,2)</f>
        <v>29329.54</v>
      </c>
      <c r="R68" s="137">
        <f>ROUND('[7]2030'!R23,2)</f>
        <v>30498.37</v>
      </c>
      <c r="S68" s="137">
        <f>ROUND('[7]2030'!S23,2)</f>
        <v>31915.08</v>
      </c>
      <c r="T68" s="137">
        <f>ROUND('[7]2030'!T23,2)</f>
        <v>32067.31</v>
      </c>
      <c r="U68" s="137">
        <f>ROUND('[7]2030'!U23,2)</f>
        <v>31510.02</v>
      </c>
      <c r="V68" s="137">
        <f>ROUND('[7]2030'!V23,2)</f>
        <v>30164.03</v>
      </c>
      <c r="W68" s="137">
        <f>ROUND('[7]2030'!W23,2)</f>
        <v>31517.15</v>
      </c>
      <c r="X68" s="137">
        <f>ROUND('[7]2030'!X23,2)</f>
        <v>31911.08</v>
      </c>
      <c r="Y68" s="137">
        <f>ROUND('[7]2030'!Y23,2)</f>
        <v>31337.37</v>
      </c>
      <c r="Z68" s="137">
        <f>ROUND('[7]2030'!Z23,2)</f>
        <v>30121.39</v>
      </c>
      <c r="AA68" s="137">
        <f>ROUND('[7]2030'!AA23,2)</f>
        <v>28219</v>
      </c>
      <c r="AB68" s="137">
        <f>ROUND('[7]2030'!AB23,2)</f>
        <v>26079.03</v>
      </c>
      <c r="AC68" s="282">
        <f>SUM(E68:AB68)*D68+SUM(E69:AB69)*D69+SUM(E70:AB70)*D70+SUM(E71:AB71)*D71</f>
        <v>19704151.129999995</v>
      </c>
      <c r="AD68" s="19"/>
    </row>
    <row r="69" spans="2:30" ht="18.649999999999999" hidden="1" customHeight="1" x14ac:dyDescent="0.35">
      <c r="B69" s="261"/>
      <c r="C69" s="10" t="s">
        <v>30</v>
      </c>
      <c r="D69" s="11">
        <f>+'[7]2030'!D24</f>
        <v>5</v>
      </c>
      <c r="E69" s="135">
        <f>ROUND('[7]2030'!E24,2)</f>
        <v>24165.919999999998</v>
      </c>
      <c r="F69" s="135">
        <f>ROUND('[7]2030'!F24,2)</f>
        <v>22852.080000000002</v>
      </c>
      <c r="G69" s="135">
        <f>ROUND('[7]2030'!G24,2)</f>
        <v>21926.61</v>
      </c>
      <c r="H69" s="135">
        <f>ROUND('[7]2030'!H24,2)</f>
        <v>21194.22</v>
      </c>
      <c r="I69" s="135">
        <f>ROUND('[7]2030'!I24,2)</f>
        <v>20757.02</v>
      </c>
      <c r="J69" s="135">
        <f>ROUND('[7]2030'!J24,2)</f>
        <v>20690.18</v>
      </c>
      <c r="K69" s="135">
        <f>ROUND('[7]2030'!K24,2)</f>
        <v>20387.13</v>
      </c>
      <c r="L69" s="135">
        <f>ROUND('[7]2030'!L24,2)</f>
        <v>22337.48</v>
      </c>
      <c r="M69" s="135">
        <f>ROUND('[7]2030'!M24,2)</f>
        <v>24688.49</v>
      </c>
      <c r="N69" s="135">
        <f>ROUND('[7]2030'!N24,2)</f>
        <v>26160.75</v>
      </c>
      <c r="O69" s="135">
        <f>ROUND('[7]2030'!O24,2)</f>
        <v>27333.53</v>
      </c>
      <c r="P69" s="135">
        <f>ROUND('[7]2030'!P24,2)</f>
        <v>28083.27</v>
      </c>
      <c r="Q69" s="135">
        <f>ROUND('[7]2030'!Q24,2)</f>
        <v>27685.02</v>
      </c>
      <c r="R69" s="135">
        <f>ROUND('[7]2030'!R24,2)</f>
        <v>27396.58</v>
      </c>
      <c r="S69" s="135">
        <f>ROUND('[7]2030'!S24,2)</f>
        <v>27231.82</v>
      </c>
      <c r="T69" s="135">
        <f>ROUND('[7]2030'!T24,2)</f>
        <v>27904.37</v>
      </c>
      <c r="U69" s="135">
        <f>ROUND('[7]2030'!U24,2)</f>
        <v>26958.48</v>
      </c>
      <c r="V69" s="135">
        <f>ROUND('[7]2030'!V24,2)</f>
        <v>26739.61</v>
      </c>
      <c r="W69" s="135">
        <f>ROUND('[7]2030'!W24,2)</f>
        <v>29539.18</v>
      </c>
      <c r="X69" s="135">
        <f>ROUND('[7]2030'!X24,2)</f>
        <v>29979.81</v>
      </c>
      <c r="Y69" s="135">
        <f>ROUND('[7]2030'!Y24,2)</f>
        <v>29251.77</v>
      </c>
      <c r="Z69" s="135">
        <f>ROUND('[7]2030'!Z24,2)</f>
        <v>28314.87</v>
      </c>
      <c r="AA69" s="135">
        <f>ROUND('[7]2030'!AA24,2)</f>
        <v>27072.23</v>
      </c>
      <c r="AB69" s="135">
        <f>ROUND('[7]2030'!AB24,2)</f>
        <v>25492.87</v>
      </c>
      <c r="AC69" s="282"/>
      <c r="AD69" s="19"/>
    </row>
    <row r="70" spans="2:30" ht="18.649999999999999" hidden="1" customHeight="1" x14ac:dyDescent="0.35">
      <c r="B70" s="261"/>
      <c r="C70" s="10" t="s">
        <v>31</v>
      </c>
      <c r="D70" s="11">
        <f>+'[7]2030'!D25</f>
        <v>5</v>
      </c>
      <c r="E70" s="135">
        <f>ROUND('[7]2030'!E25,2)</f>
        <v>23972.36</v>
      </c>
      <c r="F70" s="135">
        <f>ROUND('[7]2030'!F25,2)</f>
        <v>22745.13</v>
      </c>
      <c r="G70" s="135">
        <f>ROUND('[7]2030'!G25,2)</f>
        <v>21649.7</v>
      </c>
      <c r="H70" s="135">
        <f>ROUND('[7]2030'!H25,2)</f>
        <v>20881.169999999998</v>
      </c>
      <c r="I70" s="135">
        <f>ROUND('[7]2030'!I25,2)</f>
        <v>20524.79</v>
      </c>
      <c r="J70" s="135">
        <f>ROUND('[7]2030'!J25,2)</f>
        <v>20292.63</v>
      </c>
      <c r="K70" s="135">
        <f>ROUND('[7]2030'!K25,2)</f>
        <v>19301.27</v>
      </c>
      <c r="L70" s="135">
        <f>ROUND('[7]2030'!L25,2)</f>
        <v>20229.47</v>
      </c>
      <c r="M70" s="135">
        <f>ROUND('[7]2030'!M25,2)</f>
        <v>21574.35</v>
      </c>
      <c r="N70" s="135">
        <f>ROUND('[7]2030'!N25,2)</f>
        <v>22804.04</v>
      </c>
      <c r="O70" s="135">
        <f>ROUND('[7]2030'!O25,2)</f>
        <v>23736.27</v>
      </c>
      <c r="P70" s="135">
        <f>ROUND('[7]2030'!P25,2)</f>
        <v>24617.599999999999</v>
      </c>
      <c r="Q70" s="135">
        <f>ROUND('[7]2030'!Q25,2)</f>
        <v>25060.31</v>
      </c>
      <c r="R70" s="135">
        <f>ROUND('[7]2030'!R25,2)</f>
        <v>25173.43</v>
      </c>
      <c r="S70" s="135">
        <f>ROUND('[7]2030'!S25,2)</f>
        <v>25302.89</v>
      </c>
      <c r="T70" s="135">
        <f>ROUND('[7]2030'!T25,2)</f>
        <v>25483.279999999999</v>
      </c>
      <c r="U70" s="135">
        <f>ROUND('[7]2030'!U25,2)</f>
        <v>25168.38</v>
      </c>
      <c r="V70" s="135">
        <f>ROUND('[7]2030'!V25,2)</f>
        <v>25228.93</v>
      </c>
      <c r="W70" s="135">
        <f>ROUND('[7]2030'!W25,2)</f>
        <v>27945.39</v>
      </c>
      <c r="X70" s="135">
        <f>ROUND('[7]2030'!X25,2)</f>
        <v>28949.97</v>
      </c>
      <c r="Y70" s="135">
        <f>ROUND('[7]2030'!Y25,2)</f>
        <v>28897.95</v>
      </c>
      <c r="Z70" s="135">
        <f>ROUND('[7]2030'!Z25,2)</f>
        <v>28338.1</v>
      </c>
      <c r="AA70" s="135">
        <f>ROUND('[7]2030'!AA25,2)</f>
        <v>26831.81</v>
      </c>
      <c r="AB70" s="135">
        <f>ROUND('[7]2030'!AB25,2)</f>
        <v>24855.360000000001</v>
      </c>
      <c r="AC70" s="282"/>
      <c r="AD70" s="19"/>
    </row>
    <row r="71" spans="2:30" ht="18.649999999999999" hidden="1" customHeight="1" thickBot="1" x14ac:dyDescent="0.4">
      <c r="B71" s="261"/>
      <c r="C71" s="16" t="s">
        <v>32</v>
      </c>
      <c r="D71" s="17">
        <f>+'[7]2030'!D26</f>
        <v>1</v>
      </c>
      <c r="E71" s="136">
        <f>ROUND('[7]2030'!E26,2)</f>
        <v>23972.36</v>
      </c>
      <c r="F71" s="136">
        <f>ROUND('[7]2030'!F26,2)</f>
        <v>22745.13</v>
      </c>
      <c r="G71" s="136">
        <f>ROUND('[7]2030'!G26,2)</f>
        <v>21649.7</v>
      </c>
      <c r="H71" s="136">
        <f>ROUND('[7]2030'!H26,2)</f>
        <v>20881.169999999998</v>
      </c>
      <c r="I71" s="136">
        <f>ROUND('[7]2030'!I26,2)</f>
        <v>20524.79</v>
      </c>
      <c r="J71" s="136">
        <f>ROUND('[7]2030'!J26,2)</f>
        <v>20292.63</v>
      </c>
      <c r="K71" s="136">
        <f>ROUND('[7]2030'!K26,2)</f>
        <v>19301.27</v>
      </c>
      <c r="L71" s="136">
        <f>ROUND('[7]2030'!L26,2)</f>
        <v>20229.47</v>
      </c>
      <c r="M71" s="136">
        <f>ROUND('[7]2030'!M26,2)</f>
        <v>21574.35</v>
      </c>
      <c r="N71" s="136">
        <f>ROUND('[7]2030'!N26,2)</f>
        <v>22804.04</v>
      </c>
      <c r="O71" s="136">
        <f>ROUND('[7]2030'!O26,2)</f>
        <v>23736.27</v>
      </c>
      <c r="P71" s="136">
        <f>ROUND('[7]2030'!P26,2)</f>
        <v>24617.599999999999</v>
      </c>
      <c r="Q71" s="136">
        <f>ROUND('[7]2030'!Q26,2)</f>
        <v>25060.31</v>
      </c>
      <c r="R71" s="136">
        <f>ROUND('[7]2030'!R26,2)</f>
        <v>25173.43</v>
      </c>
      <c r="S71" s="136">
        <f>ROUND('[7]2030'!S26,2)</f>
        <v>25302.89</v>
      </c>
      <c r="T71" s="136">
        <f>ROUND('[7]2030'!T26,2)</f>
        <v>25483.279999999999</v>
      </c>
      <c r="U71" s="136">
        <f>ROUND('[7]2030'!U26,2)</f>
        <v>25168.38</v>
      </c>
      <c r="V71" s="136">
        <f>ROUND('[7]2030'!V26,2)</f>
        <v>25228.93</v>
      </c>
      <c r="W71" s="136">
        <f>ROUND('[7]2030'!W26,2)</f>
        <v>27945.39</v>
      </c>
      <c r="X71" s="136">
        <f>ROUND('[7]2030'!X26,2)</f>
        <v>28949.97</v>
      </c>
      <c r="Y71" s="136">
        <f>ROUND('[7]2030'!Y26,2)</f>
        <v>28897.95</v>
      </c>
      <c r="Z71" s="136">
        <f>ROUND('[7]2030'!Z26,2)</f>
        <v>28338.1</v>
      </c>
      <c r="AA71" s="136">
        <f>ROUND('[7]2030'!AA26,2)</f>
        <v>26831.81</v>
      </c>
      <c r="AB71" s="136">
        <f>ROUND('[7]2030'!AB26,2)</f>
        <v>24855.360000000001</v>
      </c>
      <c r="AC71" s="282"/>
      <c r="AD71" s="19"/>
    </row>
    <row r="72" spans="2:30" ht="18.649999999999999" hidden="1" customHeight="1" x14ac:dyDescent="0.35">
      <c r="B72" s="263">
        <v>47574</v>
      </c>
      <c r="C72" s="7" t="s">
        <v>29</v>
      </c>
      <c r="D72" s="8">
        <f>+'[7]2030'!D27</f>
        <v>20</v>
      </c>
      <c r="E72" s="134">
        <f>ROUND('[7]2030'!E27,2)</f>
        <v>23530.59</v>
      </c>
      <c r="F72" s="134">
        <f>ROUND('[7]2030'!F27,2)</f>
        <v>22516.09</v>
      </c>
      <c r="G72" s="134">
        <f>ROUND('[7]2030'!G27,2)</f>
        <v>21521.71</v>
      </c>
      <c r="H72" s="134">
        <f>ROUND('[7]2030'!H27,2)</f>
        <v>20965.919999999998</v>
      </c>
      <c r="I72" s="134">
        <f>ROUND('[7]2030'!I27,2)</f>
        <v>20833.12</v>
      </c>
      <c r="J72" s="134">
        <f>ROUND('[7]2030'!J27,2)</f>
        <v>20616.849999999999</v>
      </c>
      <c r="K72" s="134">
        <f>ROUND('[7]2030'!K27,2)</f>
        <v>20688.419999999998</v>
      </c>
      <c r="L72" s="134">
        <f>ROUND('[7]2030'!L27,2)</f>
        <v>23013.93</v>
      </c>
      <c r="M72" s="134">
        <f>ROUND('[7]2030'!M27,2)</f>
        <v>25653.5</v>
      </c>
      <c r="N72" s="134">
        <f>ROUND('[7]2030'!N27,2)</f>
        <v>27213.18</v>
      </c>
      <c r="O72" s="134">
        <f>ROUND('[7]2030'!O27,2)</f>
        <v>28509.78</v>
      </c>
      <c r="P72" s="134">
        <f>ROUND('[7]2030'!P27,2)</f>
        <v>29326.69</v>
      </c>
      <c r="Q72" s="134">
        <f>ROUND('[7]2030'!Q27,2)</f>
        <v>28781.68</v>
      </c>
      <c r="R72" s="134">
        <f>ROUND('[7]2030'!R27,2)</f>
        <v>28436.52</v>
      </c>
      <c r="S72" s="134">
        <f>ROUND('[7]2030'!S27,2)</f>
        <v>28633.8</v>
      </c>
      <c r="T72" s="134">
        <f>ROUND('[7]2030'!T27,2)</f>
        <v>28629.55</v>
      </c>
      <c r="U72" s="134">
        <f>ROUND('[7]2030'!U27,2)</f>
        <v>28179.3</v>
      </c>
      <c r="V72" s="134">
        <f>ROUND('[7]2030'!V27,2)</f>
        <v>28016.560000000001</v>
      </c>
      <c r="W72" s="134">
        <f>ROUND('[7]2030'!W27,2)</f>
        <v>30858.78</v>
      </c>
      <c r="X72" s="134">
        <f>ROUND('[7]2030'!X27,2)</f>
        <v>31104.32</v>
      </c>
      <c r="Y72" s="134">
        <f>ROUND('[7]2030'!Y27,2)</f>
        <v>30342.58</v>
      </c>
      <c r="Z72" s="134">
        <f>ROUND('[7]2030'!Z27,2)</f>
        <v>29288.48</v>
      </c>
      <c r="AA72" s="134">
        <f>ROUND('[7]2030'!AA27,2)</f>
        <v>27847.89</v>
      </c>
      <c r="AB72" s="134">
        <f>ROUND('[7]2030'!AB27,2)</f>
        <v>26102.85</v>
      </c>
      <c r="AC72" s="283">
        <f>SUM(E72:AB72)*D72+SUM(E73:AB73)*D73+SUM(E74:AB74)*D74+SUM(E75:AB75)*D75</f>
        <v>18672644.779999997</v>
      </c>
      <c r="AD72" s="19"/>
    </row>
    <row r="73" spans="2:30" ht="18.649999999999999" hidden="1" customHeight="1" x14ac:dyDescent="0.35">
      <c r="B73" s="264" t="s">
        <v>34</v>
      </c>
      <c r="C73" s="10" t="s">
        <v>30</v>
      </c>
      <c r="D73" s="11">
        <f>+'[7]2030'!D28</f>
        <v>4</v>
      </c>
      <c r="E73" s="135">
        <f>ROUND('[7]2030'!E28,2)</f>
        <v>22718.46</v>
      </c>
      <c r="F73" s="135">
        <f>ROUND('[7]2030'!F28,2)</f>
        <v>21598.77</v>
      </c>
      <c r="G73" s="135">
        <f>ROUND('[7]2030'!G28,2)</f>
        <v>20748.25</v>
      </c>
      <c r="H73" s="135">
        <f>ROUND('[7]2030'!H28,2)</f>
        <v>20121.11</v>
      </c>
      <c r="I73" s="135">
        <f>ROUND('[7]2030'!I28,2)</f>
        <v>20139.900000000001</v>
      </c>
      <c r="J73" s="135">
        <f>ROUND('[7]2030'!J28,2)</f>
        <v>20388.28</v>
      </c>
      <c r="K73" s="135">
        <f>ROUND('[7]2030'!K28,2)</f>
        <v>20846.37</v>
      </c>
      <c r="L73" s="135">
        <f>ROUND('[7]2030'!L28,2)</f>
        <v>23114.73</v>
      </c>
      <c r="M73" s="135">
        <f>ROUND('[7]2030'!M28,2)</f>
        <v>25445.67</v>
      </c>
      <c r="N73" s="135">
        <f>ROUND('[7]2030'!N28,2)</f>
        <v>26803.48</v>
      </c>
      <c r="O73" s="135">
        <f>ROUND('[7]2030'!O28,2)</f>
        <v>28021.200000000001</v>
      </c>
      <c r="P73" s="135">
        <f>ROUND('[7]2030'!P28,2)</f>
        <v>28861.82</v>
      </c>
      <c r="Q73" s="135">
        <f>ROUND('[7]2030'!Q28,2)</f>
        <v>28072.240000000002</v>
      </c>
      <c r="R73" s="135">
        <f>ROUND('[7]2030'!R28,2)</f>
        <v>28626.21</v>
      </c>
      <c r="S73" s="135">
        <f>ROUND('[7]2030'!S28,2)</f>
        <v>29580.14</v>
      </c>
      <c r="T73" s="135">
        <f>ROUND('[7]2030'!T28,2)</f>
        <v>29643.72</v>
      </c>
      <c r="U73" s="135">
        <f>ROUND('[7]2030'!U28,2)</f>
        <v>29176.87</v>
      </c>
      <c r="V73" s="135">
        <f>ROUND('[7]2030'!V28,2)</f>
        <v>28539.61</v>
      </c>
      <c r="W73" s="135">
        <f>ROUND('[7]2030'!W28,2)</f>
        <v>30506.37</v>
      </c>
      <c r="X73" s="135">
        <f>ROUND('[7]2030'!X28,2)</f>
        <v>30770.11</v>
      </c>
      <c r="Y73" s="135">
        <f>ROUND('[7]2030'!Y28,2)</f>
        <v>29968.66</v>
      </c>
      <c r="Z73" s="135">
        <f>ROUND('[7]2030'!Z28,2)</f>
        <v>28654.34</v>
      </c>
      <c r="AA73" s="135">
        <f>ROUND('[7]2030'!AA28,2)</f>
        <v>26590.66</v>
      </c>
      <c r="AB73" s="135">
        <f>ROUND('[7]2030'!AB28,2)</f>
        <v>24311.73</v>
      </c>
      <c r="AC73" s="282"/>
      <c r="AD73" s="19"/>
    </row>
    <row r="74" spans="2:30" ht="18.649999999999999" hidden="1" customHeight="1" x14ac:dyDescent="0.35">
      <c r="B74" s="264" t="s">
        <v>34</v>
      </c>
      <c r="C74" s="10" t="s">
        <v>31</v>
      </c>
      <c r="D74" s="11">
        <f>+'[7]2030'!D29</f>
        <v>4</v>
      </c>
      <c r="E74" s="135">
        <f>ROUND('[7]2030'!E29,2)</f>
        <v>24483.72</v>
      </c>
      <c r="F74" s="135">
        <f>ROUND('[7]2030'!F29,2)</f>
        <v>23243.94</v>
      </c>
      <c r="G74" s="135">
        <f>ROUND('[7]2030'!G29,2)</f>
        <v>22216.91</v>
      </c>
      <c r="H74" s="135">
        <f>ROUND('[7]2030'!H29,2)</f>
        <v>21516.33</v>
      </c>
      <c r="I74" s="135">
        <f>ROUND('[7]2030'!I29,2)</f>
        <v>21105.85</v>
      </c>
      <c r="J74" s="135">
        <f>ROUND('[7]2030'!J29,2)</f>
        <v>20479.939999999999</v>
      </c>
      <c r="K74" s="135">
        <f>ROUND('[7]2030'!K29,2)</f>
        <v>19852.82</v>
      </c>
      <c r="L74" s="135">
        <f>ROUND('[7]2030'!L29,2)</f>
        <v>20964.95</v>
      </c>
      <c r="M74" s="135">
        <f>ROUND('[7]2030'!M29,2)</f>
        <v>22434.74</v>
      </c>
      <c r="N74" s="135">
        <f>ROUND('[7]2030'!N29,2)</f>
        <v>23760.06</v>
      </c>
      <c r="O74" s="135">
        <f>ROUND('[7]2030'!O29,2)</f>
        <v>24807.85</v>
      </c>
      <c r="P74" s="135">
        <f>ROUND('[7]2030'!P29,2)</f>
        <v>25662.82</v>
      </c>
      <c r="Q74" s="135">
        <f>ROUND('[7]2030'!Q29,2)</f>
        <v>26056.43</v>
      </c>
      <c r="R74" s="135">
        <f>ROUND('[7]2030'!R29,2)</f>
        <v>26129.18</v>
      </c>
      <c r="S74" s="135">
        <f>ROUND('[7]2030'!S29,2)</f>
        <v>25985.83</v>
      </c>
      <c r="T74" s="135">
        <f>ROUND('[7]2030'!T29,2)</f>
        <v>25870.27</v>
      </c>
      <c r="U74" s="135">
        <f>ROUND('[7]2030'!U29,2)</f>
        <v>25606.29</v>
      </c>
      <c r="V74" s="135">
        <f>ROUND('[7]2030'!V29,2)</f>
        <v>25850.91</v>
      </c>
      <c r="W74" s="135">
        <f>ROUND('[7]2030'!W29,2)</f>
        <v>28883.47</v>
      </c>
      <c r="X74" s="135">
        <f>ROUND('[7]2030'!X29,2)</f>
        <v>29751.85</v>
      </c>
      <c r="Y74" s="135">
        <f>ROUND('[7]2030'!Y29,2)</f>
        <v>29550.880000000001</v>
      </c>
      <c r="Z74" s="135">
        <f>ROUND('[7]2030'!Z29,2)</f>
        <v>28643.87</v>
      </c>
      <c r="AA74" s="135">
        <f>ROUND('[7]2030'!AA29,2)</f>
        <v>26896.99</v>
      </c>
      <c r="AB74" s="135">
        <f>ROUND('[7]2030'!AB29,2)</f>
        <v>24812.13</v>
      </c>
      <c r="AC74" s="282"/>
      <c r="AD74" s="19"/>
    </row>
    <row r="75" spans="2:30" ht="18.649999999999999" hidden="1" customHeight="1" thickBot="1" x14ac:dyDescent="0.4">
      <c r="B75" s="265" t="s">
        <v>34</v>
      </c>
      <c r="C75" s="12" t="s">
        <v>32</v>
      </c>
      <c r="D75" s="13">
        <f>+'[7]2030'!D30</f>
        <v>2</v>
      </c>
      <c r="E75" s="132">
        <f>ROUND('[7]2030'!E30,2)</f>
        <v>24483.72</v>
      </c>
      <c r="F75" s="132">
        <f>ROUND('[7]2030'!F30,2)</f>
        <v>23243.94</v>
      </c>
      <c r="G75" s="132">
        <f>ROUND('[7]2030'!G30,2)</f>
        <v>22216.91</v>
      </c>
      <c r="H75" s="132">
        <f>ROUND('[7]2030'!H30,2)</f>
        <v>21516.33</v>
      </c>
      <c r="I75" s="132">
        <f>ROUND('[7]2030'!I30,2)</f>
        <v>21105.85</v>
      </c>
      <c r="J75" s="132">
        <f>ROUND('[7]2030'!J30,2)</f>
        <v>20479.939999999999</v>
      </c>
      <c r="K75" s="132">
        <f>ROUND('[7]2030'!K30,2)</f>
        <v>19852.82</v>
      </c>
      <c r="L75" s="132">
        <f>ROUND('[7]2030'!L30,2)</f>
        <v>20964.95</v>
      </c>
      <c r="M75" s="132">
        <f>ROUND('[7]2030'!M30,2)</f>
        <v>22434.74</v>
      </c>
      <c r="N75" s="132">
        <f>ROUND('[7]2030'!N30,2)</f>
        <v>23760.06</v>
      </c>
      <c r="O75" s="132">
        <f>ROUND('[7]2030'!O30,2)</f>
        <v>24807.85</v>
      </c>
      <c r="P75" s="132">
        <f>ROUND('[7]2030'!P30,2)</f>
        <v>25662.82</v>
      </c>
      <c r="Q75" s="132">
        <f>ROUND('[7]2030'!Q30,2)</f>
        <v>26056.43</v>
      </c>
      <c r="R75" s="132">
        <f>ROUND('[7]2030'!R30,2)</f>
        <v>26129.18</v>
      </c>
      <c r="S75" s="132">
        <f>ROUND('[7]2030'!S30,2)</f>
        <v>25985.83</v>
      </c>
      <c r="T75" s="132">
        <f>ROUND('[7]2030'!T30,2)</f>
        <v>25870.27</v>
      </c>
      <c r="U75" s="132">
        <f>ROUND('[7]2030'!U30,2)</f>
        <v>25606.29</v>
      </c>
      <c r="V75" s="132">
        <f>ROUND('[7]2030'!V30,2)</f>
        <v>25850.91</v>
      </c>
      <c r="W75" s="132">
        <f>ROUND('[7]2030'!W30,2)</f>
        <v>28883.47</v>
      </c>
      <c r="X75" s="132">
        <f>ROUND('[7]2030'!X30,2)</f>
        <v>29751.85</v>
      </c>
      <c r="Y75" s="132">
        <f>ROUND('[7]2030'!Y30,2)</f>
        <v>29550.880000000001</v>
      </c>
      <c r="Z75" s="132">
        <f>ROUND('[7]2030'!Z30,2)</f>
        <v>28643.87</v>
      </c>
      <c r="AA75" s="132">
        <f>ROUND('[7]2030'!AA30,2)</f>
        <v>26896.99</v>
      </c>
      <c r="AB75" s="132">
        <f>ROUND('[7]2030'!AB30,2)</f>
        <v>24812.13</v>
      </c>
      <c r="AC75" s="284"/>
      <c r="AD75" s="19"/>
    </row>
    <row r="76" spans="2:30" ht="18.649999999999999" hidden="1" customHeight="1" x14ac:dyDescent="0.35">
      <c r="B76" s="260">
        <v>47604</v>
      </c>
      <c r="C76" s="14" t="s">
        <v>29</v>
      </c>
      <c r="D76" s="15">
        <f>+'[7]2030'!D31</f>
        <v>22</v>
      </c>
      <c r="E76" s="137">
        <f>ROUND('[7]2030'!E31,2)</f>
        <v>23910.81</v>
      </c>
      <c r="F76" s="137">
        <f>ROUND('[7]2030'!F31,2)</f>
        <v>22666.62</v>
      </c>
      <c r="G76" s="137">
        <f>ROUND('[7]2030'!G31,2)</f>
        <v>21662.639999999999</v>
      </c>
      <c r="H76" s="137">
        <f>ROUND('[7]2030'!H31,2)</f>
        <v>20804.02</v>
      </c>
      <c r="I76" s="137">
        <f>ROUND('[7]2030'!I31,2)</f>
        <v>20572.57</v>
      </c>
      <c r="J76" s="137">
        <f>ROUND('[7]2030'!J31,2)</f>
        <v>20246.73</v>
      </c>
      <c r="K76" s="137">
        <f>ROUND('[7]2030'!K31,2)</f>
        <v>20545.98</v>
      </c>
      <c r="L76" s="137">
        <f>ROUND('[7]2030'!L31,2)</f>
        <v>22755.9</v>
      </c>
      <c r="M76" s="137">
        <f>ROUND('[7]2030'!M31,2)</f>
        <v>25331.52</v>
      </c>
      <c r="N76" s="137">
        <f>ROUND('[7]2030'!N31,2)</f>
        <v>26752.51</v>
      </c>
      <c r="O76" s="137">
        <f>ROUND('[7]2030'!O31,2)</f>
        <v>27654.45</v>
      </c>
      <c r="P76" s="137">
        <f>ROUND('[7]2030'!P31,2)</f>
        <v>28317.23</v>
      </c>
      <c r="Q76" s="137">
        <f>ROUND('[7]2030'!Q31,2)</f>
        <v>27830.75</v>
      </c>
      <c r="R76" s="137">
        <f>ROUND('[7]2030'!R31,2)</f>
        <v>27330.15</v>
      </c>
      <c r="S76" s="137">
        <f>ROUND('[7]2030'!S31,2)</f>
        <v>27311.75</v>
      </c>
      <c r="T76" s="137">
        <f>ROUND('[7]2030'!T31,2)</f>
        <v>27157.83</v>
      </c>
      <c r="U76" s="137">
        <f>ROUND('[7]2030'!U31,2)</f>
        <v>26788.85</v>
      </c>
      <c r="V76" s="137">
        <f>ROUND('[7]2030'!V31,2)</f>
        <v>26953.13</v>
      </c>
      <c r="W76" s="137">
        <f>ROUND('[7]2030'!W31,2)</f>
        <v>29878.46</v>
      </c>
      <c r="X76" s="137">
        <f>ROUND('[7]2030'!X31,2)</f>
        <v>30156.53</v>
      </c>
      <c r="Y76" s="137">
        <f>ROUND('[7]2030'!Y31,2)</f>
        <v>29185.48</v>
      </c>
      <c r="Z76" s="137">
        <f>ROUND('[7]2030'!Z31,2)</f>
        <v>27980.97</v>
      </c>
      <c r="AA76" s="137">
        <f>ROUND('[7]2030'!AA31,2)</f>
        <v>26396.98</v>
      </c>
      <c r="AB76" s="137">
        <f>ROUND('[7]2030'!AB31,2)</f>
        <v>24622.74</v>
      </c>
      <c r="AC76" s="282">
        <f>SUM(E76:AB76)*D76+SUM(E77:AB77)*D77+SUM(E78:AB78)*D78+SUM(E79:AB79)*D79</f>
        <v>18845304.66</v>
      </c>
      <c r="AD76" s="19"/>
    </row>
    <row r="77" spans="2:30" ht="18.649999999999999" hidden="1" customHeight="1" x14ac:dyDescent="0.35">
      <c r="B77" s="261"/>
      <c r="C77" s="10" t="s">
        <v>30</v>
      </c>
      <c r="D77" s="11">
        <f>+'[7]2030'!D32</f>
        <v>4</v>
      </c>
      <c r="E77" s="135">
        <f>ROUND('[7]2030'!E32,2)</f>
        <v>22043.24</v>
      </c>
      <c r="F77" s="135">
        <f>ROUND('[7]2030'!F32,2)</f>
        <v>20952.82</v>
      </c>
      <c r="G77" s="135">
        <f>ROUND('[7]2030'!G32,2)</f>
        <v>20154.740000000002</v>
      </c>
      <c r="H77" s="135">
        <f>ROUND('[7]2030'!H32,2)</f>
        <v>19605.02</v>
      </c>
      <c r="I77" s="135">
        <f>ROUND('[7]2030'!I32,2)</f>
        <v>19534.490000000002</v>
      </c>
      <c r="J77" s="135">
        <f>ROUND('[7]2030'!J32,2)</f>
        <v>19509.93</v>
      </c>
      <c r="K77" s="135">
        <f>ROUND('[7]2030'!K32,2)</f>
        <v>19807.09</v>
      </c>
      <c r="L77" s="135">
        <f>ROUND('[7]2030'!L32,2)</f>
        <v>22128.33</v>
      </c>
      <c r="M77" s="135">
        <f>ROUND('[7]2030'!M32,2)</f>
        <v>24398.03</v>
      </c>
      <c r="N77" s="135">
        <f>ROUND('[7]2030'!N32,2)</f>
        <v>25708.66</v>
      </c>
      <c r="O77" s="135">
        <f>ROUND('[7]2030'!O32,2)</f>
        <v>26989.01</v>
      </c>
      <c r="P77" s="135">
        <f>ROUND('[7]2030'!P32,2)</f>
        <v>27911.23</v>
      </c>
      <c r="Q77" s="135">
        <f>ROUND('[7]2030'!Q32,2)</f>
        <v>27302.33</v>
      </c>
      <c r="R77" s="135">
        <f>ROUND('[7]2030'!R32,2)</f>
        <v>27593.38</v>
      </c>
      <c r="S77" s="135">
        <f>ROUND('[7]2030'!S32,2)</f>
        <v>28319.68</v>
      </c>
      <c r="T77" s="135">
        <f>ROUND('[7]2030'!T32,2)</f>
        <v>28284.21</v>
      </c>
      <c r="U77" s="135">
        <f>ROUND('[7]2030'!U32,2)</f>
        <v>27876.79</v>
      </c>
      <c r="V77" s="135">
        <f>ROUND('[7]2030'!V32,2)</f>
        <v>27335.29</v>
      </c>
      <c r="W77" s="135">
        <f>ROUND('[7]2030'!W32,2)</f>
        <v>29326.37</v>
      </c>
      <c r="X77" s="135">
        <f>ROUND('[7]2030'!X32,2)</f>
        <v>29878.97</v>
      </c>
      <c r="Y77" s="135">
        <f>ROUND('[7]2030'!Y32,2)</f>
        <v>29065.22</v>
      </c>
      <c r="Z77" s="135">
        <f>ROUND('[7]2030'!Z32,2)</f>
        <v>27729.08</v>
      </c>
      <c r="AA77" s="135">
        <f>ROUND('[7]2030'!AA32,2)</f>
        <v>25720.54</v>
      </c>
      <c r="AB77" s="135">
        <f>ROUND('[7]2030'!AB32,2)</f>
        <v>23625.84</v>
      </c>
      <c r="AC77" s="282"/>
      <c r="AD77" s="19"/>
    </row>
    <row r="78" spans="2:30" ht="18.649999999999999" hidden="1" customHeight="1" x14ac:dyDescent="0.35">
      <c r="B78" s="261"/>
      <c r="C78" s="10" t="s">
        <v>31</v>
      </c>
      <c r="D78" s="11">
        <f>+'[7]2030'!D33</f>
        <v>4</v>
      </c>
      <c r="E78" s="135">
        <f>ROUND('[7]2030'!E33,2)</f>
        <v>22027</v>
      </c>
      <c r="F78" s="135">
        <f>ROUND('[7]2030'!F33,2)</f>
        <v>21164.43</v>
      </c>
      <c r="G78" s="135">
        <f>ROUND('[7]2030'!G33,2)</f>
        <v>20279.810000000001</v>
      </c>
      <c r="H78" s="135">
        <f>ROUND('[7]2030'!H33,2)</f>
        <v>19809.45</v>
      </c>
      <c r="I78" s="135">
        <f>ROUND('[7]2030'!I33,2)</f>
        <v>19658.580000000002</v>
      </c>
      <c r="J78" s="135">
        <f>ROUND('[7]2030'!J33,2)</f>
        <v>19170.689999999999</v>
      </c>
      <c r="K78" s="135">
        <f>ROUND('[7]2030'!K33,2)</f>
        <v>19090.98</v>
      </c>
      <c r="L78" s="135">
        <f>ROUND('[7]2030'!L33,2)</f>
        <v>20570.3</v>
      </c>
      <c r="M78" s="135">
        <f>ROUND('[7]2030'!M33,2)</f>
        <v>22285.57</v>
      </c>
      <c r="N78" s="135">
        <f>ROUND('[7]2030'!N33,2)</f>
        <v>23619.279999999999</v>
      </c>
      <c r="O78" s="135">
        <f>ROUND('[7]2030'!O33,2)</f>
        <v>24633.23</v>
      </c>
      <c r="P78" s="135">
        <f>ROUND('[7]2030'!P33,2)</f>
        <v>25892.99</v>
      </c>
      <c r="Q78" s="135">
        <f>ROUND('[7]2030'!Q33,2)</f>
        <v>26598.73</v>
      </c>
      <c r="R78" s="135">
        <f>ROUND('[7]2030'!R33,2)</f>
        <v>26732.46</v>
      </c>
      <c r="S78" s="135">
        <f>ROUND('[7]2030'!S33,2)</f>
        <v>26763.26</v>
      </c>
      <c r="T78" s="135">
        <f>ROUND('[7]2030'!T33,2)</f>
        <v>26815.72</v>
      </c>
      <c r="U78" s="135">
        <f>ROUND('[7]2030'!U33,2)</f>
        <v>26542.12</v>
      </c>
      <c r="V78" s="135">
        <f>ROUND('[7]2030'!V33,2)</f>
        <v>26549.040000000001</v>
      </c>
      <c r="W78" s="135">
        <f>ROUND('[7]2030'!W33,2)</f>
        <v>29673.35</v>
      </c>
      <c r="X78" s="135">
        <f>ROUND('[7]2030'!X33,2)</f>
        <v>30799.61</v>
      </c>
      <c r="Y78" s="135">
        <f>ROUND('[7]2030'!Y33,2)</f>
        <v>30612.080000000002</v>
      </c>
      <c r="Z78" s="135">
        <f>ROUND('[7]2030'!Z33,2)</f>
        <v>29580.63</v>
      </c>
      <c r="AA78" s="135">
        <f>ROUND('[7]2030'!AA33,2)</f>
        <v>27688.89</v>
      </c>
      <c r="AB78" s="135">
        <f>ROUND('[7]2030'!AB33,2)</f>
        <v>25478.26</v>
      </c>
      <c r="AC78" s="282"/>
      <c r="AD78" s="19"/>
    </row>
    <row r="79" spans="2:30" ht="18.649999999999999" hidden="1" customHeight="1" thickBot="1" x14ac:dyDescent="0.4">
      <c r="B79" s="261"/>
      <c r="C79" s="16" t="s">
        <v>32</v>
      </c>
      <c r="D79" s="17">
        <f>+'[7]2030'!D34</f>
        <v>1</v>
      </c>
      <c r="E79" s="136">
        <f>ROUND('[7]2030'!E34,2)</f>
        <v>22027</v>
      </c>
      <c r="F79" s="136">
        <f>ROUND('[7]2030'!F34,2)</f>
        <v>21164.43</v>
      </c>
      <c r="G79" s="136">
        <f>ROUND('[7]2030'!G34,2)</f>
        <v>20279.810000000001</v>
      </c>
      <c r="H79" s="136">
        <f>ROUND('[7]2030'!H34,2)</f>
        <v>19809.45</v>
      </c>
      <c r="I79" s="136">
        <f>ROUND('[7]2030'!I34,2)</f>
        <v>19658.580000000002</v>
      </c>
      <c r="J79" s="136">
        <f>ROUND('[7]2030'!J34,2)</f>
        <v>19170.689999999999</v>
      </c>
      <c r="K79" s="136">
        <f>ROUND('[7]2030'!K34,2)</f>
        <v>19090.98</v>
      </c>
      <c r="L79" s="136">
        <f>ROUND('[7]2030'!L34,2)</f>
        <v>20570.3</v>
      </c>
      <c r="M79" s="136">
        <f>ROUND('[7]2030'!M34,2)</f>
        <v>22285.57</v>
      </c>
      <c r="N79" s="136">
        <f>ROUND('[7]2030'!N34,2)</f>
        <v>23619.279999999999</v>
      </c>
      <c r="O79" s="136">
        <f>ROUND('[7]2030'!O34,2)</f>
        <v>24633.23</v>
      </c>
      <c r="P79" s="136">
        <f>ROUND('[7]2030'!P34,2)</f>
        <v>25892.99</v>
      </c>
      <c r="Q79" s="136">
        <f>ROUND('[7]2030'!Q34,2)</f>
        <v>26598.73</v>
      </c>
      <c r="R79" s="136">
        <f>ROUND('[7]2030'!R34,2)</f>
        <v>26732.46</v>
      </c>
      <c r="S79" s="136">
        <f>ROUND('[7]2030'!S34,2)</f>
        <v>26763.26</v>
      </c>
      <c r="T79" s="136">
        <f>ROUND('[7]2030'!T34,2)</f>
        <v>26815.72</v>
      </c>
      <c r="U79" s="136">
        <f>ROUND('[7]2030'!U34,2)</f>
        <v>26542.12</v>
      </c>
      <c r="V79" s="136">
        <f>ROUND('[7]2030'!V34,2)</f>
        <v>26549.040000000001</v>
      </c>
      <c r="W79" s="136">
        <f>ROUND('[7]2030'!W34,2)</f>
        <v>29673.35</v>
      </c>
      <c r="X79" s="136">
        <f>ROUND('[7]2030'!X34,2)</f>
        <v>30799.61</v>
      </c>
      <c r="Y79" s="136">
        <f>ROUND('[7]2030'!Y34,2)</f>
        <v>30612.080000000002</v>
      </c>
      <c r="Z79" s="136">
        <f>ROUND('[7]2030'!Z34,2)</f>
        <v>29580.63</v>
      </c>
      <c r="AA79" s="136">
        <f>ROUND('[7]2030'!AA34,2)</f>
        <v>27688.89</v>
      </c>
      <c r="AB79" s="136">
        <f>ROUND('[7]2030'!AB34,2)</f>
        <v>25478.26</v>
      </c>
      <c r="AC79" s="282"/>
      <c r="AD79" s="19"/>
    </row>
    <row r="80" spans="2:30" ht="18.649999999999999" hidden="1" customHeight="1" x14ac:dyDescent="0.35">
      <c r="B80" s="263">
        <v>47635</v>
      </c>
      <c r="C80" s="7" t="s">
        <v>29</v>
      </c>
      <c r="D80" s="8">
        <f>+'[7]2030'!D35</f>
        <v>18</v>
      </c>
      <c r="E80" s="134">
        <f>ROUND('[7]2030'!E35,2)</f>
        <v>21678.959999999999</v>
      </c>
      <c r="F80" s="134">
        <f>ROUND('[7]2030'!F35,2)</f>
        <v>20602.71</v>
      </c>
      <c r="G80" s="134">
        <f>ROUND('[7]2030'!G35,2)</f>
        <v>19807.53</v>
      </c>
      <c r="H80" s="134">
        <f>ROUND('[7]2030'!H35,2)</f>
        <v>19276.900000000001</v>
      </c>
      <c r="I80" s="134">
        <f>ROUND('[7]2030'!I35,2)</f>
        <v>19135.150000000001</v>
      </c>
      <c r="J80" s="134">
        <f>ROUND('[7]2030'!J35,2)</f>
        <v>18931.849999999999</v>
      </c>
      <c r="K80" s="134">
        <f>ROUND('[7]2030'!K35,2)</f>
        <v>19247.75</v>
      </c>
      <c r="L80" s="134">
        <f>ROUND('[7]2030'!L35,2)</f>
        <v>21566.22</v>
      </c>
      <c r="M80" s="134">
        <f>ROUND('[7]2030'!M35,2)</f>
        <v>24115.54</v>
      </c>
      <c r="N80" s="134">
        <f>ROUND('[7]2030'!N35,2)</f>
        <v>25683.03</v>
      </c>
      <c r="O80" s="134">
        <f>ROUND('[7]2030'!O35,2)</f>
        <v>27045.17</v>
      </c>
      <c r="P80" s="134">
        <f>ROUND('[7]2030'!P35,2)</f>
        <v>27794.82</v>
      </c>
      <c r="Q80" s="134">
        <f>ROUND('[7]2030'!Q35,2)</f>
        <v>27384.48</v>
      </c>
      <c r="R80" s="134">
        <f>ROUND('[7]2030'!R35,2)</f>
        <v>26914.29</v>
      </c>
      <c r="S80" s="134">
        <f>ROUND('[7]2030'!S35,2)</f>
        <v>26936.99</v>
      </c>
      <c r="T80" s="134">
        <f>ROUND('[7]2030'!T35,2)</f>
        <v>26859.54</v>
      </c>
      <c r="U80" s="134">
        <f>ROUND('[7]2030'!U35,2)</f>
        <v>26587.42</v>
      </c>
      <c r="V80" s="134">
        <f>ROUND('[7]2030'!V35,2)</f>
        <v>26615.82</v>
      </c>
      <c r="W80" s="134">
        <f>ROUND('[7]2030'!W35,2)</f>
        <v>28908.73</v>
      </c>
      <c r="X80" s="134">
        <f>ROUND('[7]2030'!X35,2)</f>
        <v>29321.41</v>
      </c>
      <c r="Y80" s="134">
        <f>ROUND('[7]2030'!Y35,2)</f>
        <v>28299.78</v>
      </c>
      <c r="Z80" s="134">
        <f>ROUND('[7]2030'!Z35,2)</f>
        <v>27133.78</v>
      </c>
      <c r="AA80" s="134">
        <f>ROUND('[7]2030'!AA35,2)</f>
        <v>25694.73</v>
      </c>
      <c r="AB80" s="134">
        <f>ROUND('[7]2030'!AB35,2)</f>
        <v>24068.76</v>
      </c>
      <c r="AC80" s="283">
        <f>SUM(E80:AB80)*D80+SUM(E81:AB81)*D81+SUM(E82:AB82)*D82+SUM(E83:AB83)*D83</f>
        <v>17595836.659999996</v>
      </c>
      <c r="AD80" s="19"/>
    </row>
    <row r="81" spans="2:30" ht="18.649999999999999" hidden="1" customHeight="1" x14ac:dyDescent="0.35">
      <c r="B81" s="264" t="s">
        <v>34</v>
      </c>
      <c r="C81" s="10" t="s">
        <v>30</v>
      </c>
      <c r="D81" s="11">
        <f>+'[7]2030'!D36</f>
        <v>5</v>
      </c>
      <c r="E81" s="135">
        <f>ROUND('[7]2030'!E36,2)</f>
        <v>22325.200000000001</v>
      </c>
      <c r="F81" s="135">
        <f>ROUND('[7]2030'!F36,2)</f>
        <v>21226.560000000001</v>
      </c>
      <c r="G81" s="135">
        <f>ROUND('[7]2030'!G36,2)</f>
        <v>20391.72</v>
      </c>
      <c r="H81" s="135">
        <f>ROUND('[7]2030'!H36,2)</f>
        <v>19812.45</v>
      </c>
      <c r="I81" s="135">
        <f>ROUND('[7]2030'!I36,2)</f>
        <v>19744.28</v>
      </c>
      <c r="J81" s="135">
        <f>ROUND('[7]2030'!J36,2)</f>
        <v>19965.88</v>
      </c>
      <c r="K81" s="135">
        <f>ROUND('[7]2030'!K36,2)</f>
        <v>20101.38</v>
      </c>
      <c r="L81" s="135">
        <f>ROUND('[7]2030'!L36,2)</f>
        <v>22362.74</v>
      </c>
      <c r="M81" s="135">
        <f>ROUND('[7]2030'!M36,2)</f>
        <v>24751.74</v>
      </c>
      <c r="N81" s="135">
        <f>ROUND('[7]2030'!N36,2)</f>
        <v>26134.12</v>
      </c>
      <c r="O81" s="135">
        <f>ROUND('[7]2030'!O36,2)</f>
        <v>27438.560000000001</v>
      </c>
      <c r="P81" s="135">
        <f>ROUND('[7]2030'!P36,2)</f>
        <v>28289.85</v>
      </c>
      <c r="Q81" s="135">
        <f>ROUND('[7]2030'!Q36,2)</f>
        <v>27569.48</v>
      </c>
      <c r="R81" s="135">
        <f>ROUND('[7]2030'!R36,2)</f>
        <v>28232.65</v>
      </c>
      <c r="S81" s="135">
        <f>ROUND('[7]2030'!S36,2)</f>
        <v>29191.3</v>
      </c>
      <c r="T81" s="135">
        <f>ROUND('[7]2030'!T36,2)</f>
        <v>29229.64</v>
      </c>
      <c r="U81" s="135">
        <f>ROUND('[7]2030'!U36,2)</f>
        <v>28685.61</v>
      </c>
      <c r="V81" s="135">
        <f>ROUND('[7]2030'!V36,2)</f>
        <v>27742.77</v>
      </c>
      <c r="W81" s="135">
        <f>ROUND('[7]2030'!W36,2)</f>
        <v>29373.63</v>
      </c>
      <c r="X81" s="135">
        <f>ROUND('[7]2030'!X36,2)</f>
        <v>30233.11</v>
      </c>
      <c r="Y81" s="135">
        <f>ROUND('[7]2030'!Y36,2)</f>
        <v>29543.66</v>
      </c>
      <c r="Z81" s="135">
        <f>ROUND('[7]2030'!Z36,2)</f>
        <v>28291.51</v>
      </c>
      <c r="AA81" s="135">
        <f>ROUND('[7]2030'!AA36,2)</f>
        <v>26250.22</v>
      </c>
      <c r="AB81" s="135">
        <f>ROUND('[7]2030'!AB36,2)</f>
        <v>24114.1</v>
      </c>
      <c r="AC81" s="282"/>
      <c r="AD81" s="19"/>
    </row>
    <row r="82" spans="2:30" ht="18.649999999999999" hidden="1" customHeight="1" x14ac:dyDescent="0.35">
      <c r="B82" s="264" t="s">
        <v>34</v>
      </c>
      <c r="C82" s="10" t="s">
        <v>31</v>
      </c>
      <c r="D82" s="11">
        <f>+'[7]2030'!D37</f>
        <v>5</v>
      </c>
      <c r="E82" s="135">
        <f>ROUND('[7]2030'!E37,2)</f>
        <v>21250.47</v>
      </c>
      <c r="F82" s="135">
        <f>ROUND('[7]2030'!F37,2)</f>
        <v>20391.580000000002</v>
      </c>
      <c r="G82" s="135">
        <f>ROUND('[7]2030'!G37,2)</f>
        <v>19689.75</v>
      </c>
      <c r="H82" s="135">
        <f>ROUND('[7]2030'!H37,2)</f>
        <v>19235.03</v>
      </c>
      <c r="I82" s="135">
        <f>ROUND('[7]2030'!I37,2)</f>
        <v>19053.650000000001</v>
      </c>
      <c r="J82" s="135">
        <f>ROUND('[7]2030'!J37,2)</f>
        <v>18520.099999999999</v>
      </c>
      <c r="K82" s="135">
        <f>ROUND('[7]2030'!K37,2)</f>
        <v>18276.419999999998</v>
      </c>
      <c r="L82" s="135">
        <f>ROUND('[7]2030'!L37,2)</f>
        <v>19765.29</v>
      </c>
      <c r="M82" s="135">
        <f>ROUND('[7]2030'!M37,2)</f>
        <v>21486.99</v>
      </c>
      <c r="N82" s="135">
        <f>ROUND('[7]2030'!N37,2)</f>
        <v>22559.81</v>
      </c>
      <c r="O82" s="135">
        <f>ROUND('[7]2030'!O37,2)</f>
        <v>23832.04</v>
      </c>
      <c r="P82" s="135">
        <f>ROUND('[7]2030'!P37,2)</f>
        <v>24773.55</v>
      </c>
      <c r="Q82" s="135">
        <f>ROUND('[7]2030'!Q37,2)</f>
        <v>25253.73</v>
      </c>
      <c r="R82" s="135">
        <f>ROUND('[7]2030'!R37,2)</f>
        <v>25153.63</v>
      </c>
      <c r="S82" s="135">
        <f>ROUND('[7]2030'!S37,2)</f>
        <v>24944.400000000001</v>
      </c>
      <c r="T82" s="135">
        <f>ROUND('[7]2030'!T37,2)</f>
        <v>24752.05</v>
      </c>
      <c r="U82" s="135">
        <f>ROUND('[7]2030'!U37,2)</f>
        <v>24562.76</v>
      </c>
      <c r="V82" s="135">
        <f>ROUND('[7]2030'!V37,2)</f>
        <v>24933.29</v>
      </c>
      <c r="W82" s="135">
        <f>ROUND('[7]2030'!W37,2)</f>
        <v>27943.24</v>
      </c>
      <c r="X82" s="135">
        <f>ROUND('[7]2030'!X37,2)</f>
        <v>29053.68</v>
      </c>
      <c r="Y82" s="135">
        <f>ROUND('[7]2030'!Y37,2)</f>
        <v>28685</v>
      </c>
      <c r="Z82" s="135">
        <f>ROUND('[7]2030'!Z37,2)</f>
        <v>27625.16</v>
      </c>
      <c r="AA82" s="135">
        <f>ROUND('[7]2030'!AA37,2)</f>
        <v>25758.26</v>
      </c>
      <c r="AB82" s="135">
        <f>ROUND('[7]2030'!AB37,2)</f>
        <v>23617.46</v>
      </c>
      <c r="AC82" s="282"/>
      <c r="AD82" s="19"/>
    </row>
    <row r="83" spans="2:30" ht="18.649999999999999" hidden="1" customHeight="1" thickBot="1" x14ac:dyDescent="0.4">
      <c r="B83" s="265" t="s">
        <v>34</v>
      </c>
      <c r="C83" s="12" t="s">
        <v>32</v>
      </c>
      <c r="D83" s="13">
        <f>+'[7]2030'!D38</f>
        <v>2</v>
      </c>
      <c r="E83" s="132">
        <f>ROUND('[7]2030'!E38,2)</f>
        <v>21250.47</v>
      </c>
      <c r="F83" s="132">
        <f>ROUND('[7]2030'!F38,2)</f>
        <v>20391.580000000002</v>
      </c>
      <c r="G83" s="132">
        <f>ROUND('[7]2030'!G38,2)</f>
        <v>19689.75</v>
      </c>
      <c r="H83" s="132">
        <f>ROUND('[7]2030'!H38,2)</f>
        <v>19235.03</v>
      </c>
      <c r="I83" s="132">
        <f>ROUND('[7]2030'!I38,2)</f>
        <v>19053.650000000001</v>
      </c>
      <c r="J83" s="132">
        <f>ROUND('[7]2030'!J38,2)</f>
        <v>18520.099999999999</v>
      </c>
      <c r="K83" s="132">
        <f>ROUND('[7]2030'!K38,2)</f>
        <v>18276.419999999998</v>
      </c>
      <c r="L83" s="132">
        <f>ROUND('[7]2030'!L38,2)</f>
        <v>19765.29</v>
      </c>
      <c r="M83" s="132">
        <f>ROUND('[7]2030'!M38,2)</f>
        <v>21486.99</v>
      </c>
      <c r="N83" s="132">
        <f>ROUND('[7]2030'!N38,2)</f>
        <v>22559.81</v>
      </c>
      <c r="O83" s="132">
        <f>ROUND('[7]2030'!O38,2)</f>
        <v>23832.04</v>
      </c>
      <c r="P83" s="132">
        <f>ROUND('[7]2030'!P38,2)</f>
        <v>24773.55</v>
      </c>
      <c r="Q83" s="132">
        <f>ROUND('[7]2030'!Q38,2)</f>
        <v>25253.73</v>
      </c>
      <c r="R83" s="132">
        <f>ROUND('[7]2030'!R38,2)</f>
        <v>25153.63</v>
      </c>
      <c r="S83" s="132">
        <f>ROUND('[7]2030'!S38,2)</f>
        <v>24944.400000000001</v>
      </c>
      <c r="T83" s="132">
        <f>ROUND('[7]2030'!T38,2)</f>
        <v>24752.05</v>
      </c>
      <c r="U83" s="132">
        <f>ROUND('[7]2030'!U38,2)</f>
        <v>24562.76</v>
      </c>
      <c r="V83" s="132">
        <f>ROUND('[7]2030'!V38,2)</f>
        <v>24933.29</v>
      </c>
      <c r="W83" s="132">
        <f>ROUND('[7]2030'!W38,2)</f>
        <v>27943.24</v>
      </c>
      <c r="X83" s="132">
        <f>ROUND('[7]2030'!X38,2)</f>
        <v>29053.68</v>
      </c>
      <c r="Y83" s="132">
        <f>ROUND('[7]2030'!Y38,2)</f>
        <v>28685</v>
      </c>
      <c r="Z83" s="132">
        <f>ROUND('[7]2030'!Z38,2)</f>
        <v>27625.16</v>
      </c>
      <c r="AA83" s="132">
        <f>ROUND('[7]2030'!AA38,2)</f>
        <v>25758.26</v>
      </c>
      <c r="AB83" s="132">
        <f>ROUND('[7]2030'!AB38,2)</f>
        <v>23617.46</v>
      </c>
      <c r="AC83" s="284"/>
      <c r="AD83" s="19"/>
    </row>
    <row r="84" spans="2:30" ht="18.649999999999999" hidden="1" customHeight="1" x14ac:dyDescent="0.35">
      <c r="B84" s="260">
        <v>47665</v>
      </c>
      <c r="C84" s="14" t="s">
        <v>29</v>
      </c>
      <c r="D84" s="15">
        <f>+'[7]2030'!D39</f>
        <v>22</v>
      </c>
      <c r="E84" s="137">
        <f>ROUND('[7]2030'!E39,2)</f>
        <v>22318.07</v>
      </c>
      <c r="F84" s="137">
        <f>ROUND('[7]2030'!F39,2)</f>
        <v>21244.01</v>
      </c>
      <c r="G84" s="137">
        <f>ROUND('[7]2030'!G39,2)</f>
        <v>20535.97</v>
      </c>
      <c r="H84" s="137">
        <f>ROUND('[7]2030'!H39,2)</f>
        <v>20011.830000000002</v>
      </c>
      <c r="I84" s="137">
        <f>ROUND('[7]2030'!I39,2)</f>
        <v>19930.53</v>
      </c>
      <c r="J84" s="137">
        <f>ROUND('[7]2030'!J39,2)</f>
        <v>19837.63</v>
      </c>
      <c r="K84" s="137">
        <f>ROUND('[7]2030'!K39,2)</f>
        <v>20020.25</v>
      </c>
      <c r="L84" s="137">
        <f>ROUND('[7]2030'!L39,2)</f>
        <v>22355.68</v>
      </c>
      <c r="M84" s="137">
        <f>ROUND('[7]2030'!M39,2)</f>
        <v>25072.71</v>
      </c>
      <c r="N84" s="137">
        <f>ROUND('[7]2030'!N39,2)</f>
        <v>26612.04</v>
      </c>
      <c r="O84" s="137">
        <f>ROUND('[7]2030'!O39,2)</f>
        <v>27996.63</v>
      </c>
      <c r="P84" s="137">
        <f>ROUND('[7]2030'!P39,2)</f>
        <v>28626.62</v>
      </c>
      <c r="Q84" s="137">
        <f>ROUND('[7]2030'!Q39,2)</f>
        <v>28253.18</v>
      </c>
      <c r="R84" s="137">
        <f>ROUND('[7]2030'!R39,2)</f>
        <v>27861.37</v>
      </c>
      <c r="S84" s="137">
        <f>ROUND('[7]2030'!S39,2)</f>
        <v>27907.03</v>
      </c>
      <c r="T84" s="137">
        <f>ROUND('[7]2030'!T39,2)</f>
        <v>27983.439999999999</v>
      </c>
      <c r="U84" s="137">
        <f>ROUND('[7]2030'!U39,2)</f>
        <v>27592.17</v>
      </c>
      <c r="V84" s="137">
        <f>ROUND('[7]2030'!V39,2)</f>
        <v>27530.18</v>
      </c>
      <c r="W84" s="137">
        <f>ROUND('[7]2030'!W39,2)</f>
        <v>29861.98</v>
      </c>
      <c r="X84" s="137">
        <f>ROUND('[7]2030'!X39,2)</f>
        <v>30655.51</v>
      </c>
      <c r="Y84" s="137">
        <f>ROUND('[7]2030'!Y39,2)</f>
        <v>29679.32</v>
      </c>
      <c r="Z84" s="137">
        <f>ROUND('[7]2030'!Z39,2)</f>
        <v>28363.39</v>
      </c>
      <c r="AA84" s="137">
        <f>ROUND('[7]2030'!AA39,2)</f>
        <v>26689.11</v>
      </c>
      <c r="AB84" s="137">
        <f>ROUND('[7]2030'!AB39,2)</f>
        <v>24905.4</v>
      </c>
      <c r="AC84" s="282">
        <f>SUM(E84:AB84)*D84+SUM(E85:AB85)*D85+SUM(E86:AB86)*D86+SUM(E87:AB87)*D87</f>
        <v>18947771.57</v>
      </c>
      <c r="AD84" s="19"/>
    </row>
    <row r="85" spans="2:30" ht="18.649999999999999" hidden="1" customHeight="1" x14ac:dyDescent="0.35">
      <c r="B85" s="261"/>
      <c r="C85" s="10" t="s">
        <v>30</v>
      </c>
      <c r="D85" s="11">
        <f>+'[7]2030'!D40</f>
        <v>3</v>
      </c>
      <c r="E85" s="135">
        <f>ROUND('[7]2030'!E40,2)</f>
        <v>23738.5</v>
      </c>
      <c r="F85" s="135">
        <f>ROUND('[7]2030'!F40,2)</f>
        <v>22495.21</v>
      </c>
      <c r="G85" s="135">
        <f>ROUND('[7]2030'!G40,2)</f>
        <v>21583.96</v>
      </c>
      <c r="H85" s="135">
        <f>ROUND('[7]2030'!H40,2)</f>
        <v>20941.03</v>
      </c>
      <c r="I85" s="135">
        <f>ROUND('[7]2030'!I40,2)</f>
        <v>20896.7</v>
      </c>
      <c r="J85" s="135">
        <f>ROUND('[7]2030'!J40,2)</f>
        <v>21279.48</v>
      </c>
      <c r="K85" s="135">
        <f>ROUND('[7]2030'!K40,2)</f>
        <v>21404.29</v>
      </c>
      <c r="L85" s="135">
        <f>ROUND('[7]2030'!L40,2)</f>
        <v>23738.15</v>
      </c>
      <c r="M85" s="135">
        <f>ROUND('[7]2030'!M40,2)</f>
        <v>26250.27</v>
      </c>
      <c r="N85" s="135">
        <f>ROUND('[7]2030'!N40,2)</f>
        <v>27677.98</v>
      </c>
      <c r="O85" s="135">
        <f>ROUND('[7]2030'!O40,2)</f>
        <v>29120.91</v>
      </c>
      <c r="P85" s="135">
        <f>ROUND('[7]2030'!P40,2)</f>
        <v>30162.17</v>
      </c>
      <c r="Q85" s="135">
        <f>ROUND('[7]2030'!Q40,2)</f>
        <v>29374.23</v>
      </c>
      <c r="R85" s="135">
        <f>ROUND('[7]2030'!R40,2)</f>
        <v>29963.02</v>
      </c>
      <c r="S85" s="135">
        <f>ROUND('[7]2030'!S40,2)</f>
        <v>30952.45</v>
      </c>
      <c r="T85" s="135">
        <f>ROUND('[7]2030'!T40,2)</f>
        <v>30952.74</v>
      </c>
      <c r="U85" s="135">
        <f>ROUND('[7]2030'!U40,2)</f>
        <v>30362.15</v>
      </c>
      <c r="V85" s="135">
        <f>ROUND('[7]2030'!V40,2)</f>
        <v>29490.92</v>
      </c>
      <c r="W85" s="135">
        <f>ROUND('[7]2030'!W40,2)</f>
        <v>31517.66</v>
      </c>
      <c r="X85" s="135">
        <f>ROUND('[7]2030'!X40,2)</f>
        <v>32167.1</v>
      </c>
      <c r="Y85" s="135">
        <f>ROUND('[7]2030'!Y40,2)</f>
        <v>31487.15</v>
      </c>
      <c r="Z85" s="135">
        <f>ROUND('[7]2030'!Z40,2)</f>
        <v>30148.15</v>
      </c>
      <c r="AA85" s="135">
        <f>ROUND('[7]2030'!AA40,2)</f>
        <v>27947.1</v>
      </c>
      <c r="AB85" s="135">
        <f>ROUND('[7]2030'!AB40,2)</f>
        <v>25577.69</v>
      </c>
      <c r="AC85" s="282"/>
      <c r="AD85" s="19"/>
    </row>
    <row r="86" spans="2:30" ht="18.649999999999999" hidden="1" customHeight="1" x14ac:dyDescent="0.35">
      <c r="B86" s="261"/>
      <c r="C86" s="10" t="s">
        <v>31</v>
      </c>
      <c r="D86" s="11">
        <f>+'[7]2030'!D41</f>
        <v>4</v>
      </c>
      <c r="E86" s="135">
        <f>ROUND('[7]2030'!E41,2)</f>
        <v>22390.51</v>
      </c>
      <c r="F86" s="135">
        <f>ROUND('[7]2030'!F41,2)</f>
        <v>21491.11</v>
      </c>
      <c r="G86" s="135">
        <f>ROUND('[7]2030'!G41,2)</f>
        <v>20729.79</v>
      </c>
      <c r="H86" s="135">
        <f>ROUND('[7]2030'!H41,2)</f>
        <v>20032.849999999999</v>
      </c>
      <c r="I86" s="135">
        <f>ROUND('[7]2030'!I41,2)</f>
        <v>19798.86</v>
      </c>
      <c r="J86" s="135">
        <f>ROUND('[7]2030'!J41,2)</f>
        <v>19490.330000000002</v>
      </c>
      <c r="K86" s="135">
        <f>ROUND('[7]2030'!K41,2)</f>
        <v>19118.87</v>
      </c>
      <c r="L86" s="135">
        <f>ROUND('[7]2030'!L41,2)</f>
        <v>20544.490000000002</v>
      </c>
      <c r="M86" s="135">
        <f>ROUND('[7]2030'!M41,2)</f>
        <v>22407.5</v>
      </c>
      <c r="N86" s="135">
        <f>ROUND('[7]2030'!N41,2)</f>
        <v>23910.87</v>
      </c>
      <c r="O86" s="135">
        <f>ROUND('[7]2030'!O41,2)</f>
        <v>24989.09</v>
      </c>
      <c r="P86" s="135">
        <f>ROUND('[7]2030'!P41,2)</f>
        <v>25535.55</v>
      </c>
      <c r="Q86" s="135">
        <f>ROUND('[7]2030'!Q41,2)</f>
        <v>26473.16</v>
      </c>
      <c r="R86" s="135">
        <f>ROUND('[7]2030'!R41,2)</f>
        <v>26534.75</v>
      </c>
      <c r="S86" s="135">
        <f>ROUND('[7]2030'!S41,2)</f>
        <v>26487.64</v>
      </c>
      <c r="T86" s="135">
        <f>ROUND('[7]2030'!T41,2)</f>
        <v>26563.599999999999</v>
      </c>
      <c r="U86" s="135">
        <f>ROUND('[7]2030'!U41,2)</f>
        <v>26356.14</v>
      </c>
      <c r="V86" s="135">
        <f>ROUND('[7]2030'!V41,2)</f>
        <v>26117.4</v>
      </c>
      <c r="W86" s="135">
        <f>ROUND('[7]2030'!W41,2)</f>
        <v>28863.46</v>
      </c>
      <c r="X86" s="135">
        <f>ROUND('[7]2030'!X41,2)</f>
        <v>30446.77</v>
      </c>
      <c r="Y86" s="135">
        <f>ROUND('[7]2030'!Y41,2)</f>
        <v>30035.05</v>
      </c>
      <c r="Z86" s="135">
        <f>ROUND('[7]2030'!Z41,2)</f>
        <v>29006.26</v>
      </c>
      <c r="AA86" s="135">
        <f>ROUND('[7]2030'!AA41,2)</f>
        <v>27266.27</v>
      </c>
      <c r="AB86" s="135">
        <f>ROUND('[7]2030'!AB41,2)</f>
        <v>25328.92</v>
      </c>
      <c r="AC86" s="282"/>
      <c r="AD86" s="19"/>
    </row>
    <row r="87" spans="2:30" ht="18.649999999999999" hidden="1" customHeight="1" thickBot="1" x14ac:dyDescent="0.4">
      <c r="B87" s="261"/>
      <c r="C87" s="16" t="s">
        <v>32</v>
      </c>
      <c r="D87" s="17">
        <f>+'[7]2030'!D42</f>
        <v>2</v>
      </c>
      <c r="E87" s="136">
        <f>ROUND('[7]2030'!E42,2)</f>
        <v>22390.51</v>
      </c>
      <c r="F87" s="136">
        <f>ROUND('[7]2030'!F42,2)</f>
        <v>21491.11</v>
      </c>
      <c r="G87" s="136">
        <f>ROUND('[7]2030'!G42,2)</f>
        <v>20729.79</v>
      </c>
      <c r="H87" s="136">
        <f>ROUND('[7]2030'!H42,2)</f>
        <v>20032.849999999999</v>
      </c>
      <c r="I87" s="136">
        <f>ROUND('[7]2030'!I42,2)</f>
        <v>19798.86</v>
      </c>
      <c r="J87" s="136">
        <f>ROUND('[7]2030'!J42,2)</f>
        <v>19490.330000000002</v>
      </c>
      <c r="K87" s="136">
        <f>ROUND('[7]2030'!K42,2)</f>
        <v>19118.87</v>
      </c>
      <c r="L87" s="136">
        <f>ROUND('[7]2030'!L42,2)</f>
        <v>20544.490000000002</v>
      </c>
      <c r="M87" s="136">
        <f>ROUND('[7]2030'!M42,2)</f>
        <v>22407.5</v>
      </c>
      <c r="N87" s="136">
        <f>ROUND('[7]2030'!N42,2)</f>
        <v>23910.87</v>
      </c>
      <c r="O87" s="136">
        <f>ROUND('[7]2030'!O42,2)</f>
        <v>24989.09</v>
      </c>
      <c r="P87" s="136">
        <f>ROUND('[7]2030'!P42,2)</f>
        <v>25535.55</v>
      </c>
      <c r="Q87" s="136">
        <f>ROUND('[7]2030'!Q42,2)</f>
        <v>26473.16</v>
      </c>
      <c r="R87" s="136">
        <f>ROUND('[7]2030'!R42,2)</f>
        <v>26534.75</v>
      </c>
      <c r="S87" s="136">
        <f>ROUND('[7]2030'!S42,2)</f>
        <v>26487.64</v>
      </c>
      <c r="T87" s="136">
        <f>ROUND('[7]2030'!T42,2)</f>
        <v>26563.599999999999</v>
      </c>
      <c r="U87" s="136">
        <f>ROUND('[7]2030'!U42,2)</f>
        <v>26356.14</v>
      </c>
      <c r="V87" s="136">
        <f>ROUND('[7]2030'!V42,2)</f>
        <v>26117.4</v>
      </c>
      <c r="W87" s="136">
        <f>ROUND('[7]2030'!W42,2)</f>
        <v>28863.46</v>
      </c>
      <c r="X87" s="136">
        <f>ROUND('[7]2030'!X42,2)</f>
        <v>30446.77</v>
      </c>
      <c r="Y87" s="136">
        <f>ROUND('[7]2030'!Y42,2)</f>
        <v>30035.05</v>
      </c>
      <c r="Z87" s="136">
        <f>ROUND('[7]2030'!Z42,2)</f>
        <v>29006.26</v>
      </c>
      <c r="AA87" s="136">
        <f>ROUND('[7]2030'!AA42,2)</f>
        <v>27266.27</v>
      </c>
      <c r="AB87" s="136">
        <f>ROUND('[7]2030'!AB42,2)</f>
        <v>25328.92</v>
      </c>
      <c r="AC87" s="282"/>
      <c r="AD87" s="19"/>
    </row>
    <row r="88" spans="2:30" ht="18.649999999999999" hidden="1" customHeight="1" x14ac:dyDescent="0.35">
      <c r="B88" s="263">
        <v>47696</v>
      </c>
      <c r="C88" s="7" t="s">
        <v>29</v>
      </c>
      <c r="D88" s="8">
        <f>+'[7]2030'!D43</f>
        <v>20</v>
      </c>
      <c r="E88" s="134">
        <f>ROUND('[7]2030'!E43,2)</f>
        <v>23015.31</v>
      </c>
      <c r="F88" s="134">
        <f>ROUND('[7]2030'!F43,2)</f>
        <v>21775.1</v>
      </c>
      <c r="G88" s="134">
        <f>ROUND('[7]2030'!G43,2)</f>
        <v>20849.759999999998</v>
      </c>
      <c r="H88" s="134">
        <f>ROUND('[7]2030'!H43,2)</f>
        <v>20230.07</v>
      </c>
      <c r="I88" s="134">
        <f>ROUND('[7]2030'!I43,2)</f>
        <v>20002.45</v>
      </c>
      <c r="J88" s="134">
        <f>ROUND('[7]2030'!J43,2)</f>
        <v>19945.11</v>
      </c>
      <c r="K88" s="134">
        <f>ROUND('[7]2030'!K43,2)</f>
        <v>20010.61</v>
      </c>
      <c r="L88" s="134">
        <f>ROUND('[7]2030'!L43,2)</f>
        <v>22319.599999999999</v>
      </c>
      <c r="M88" s="134">
        <f>ROUND('[7]2030'!M43,2)</f>
        <v>24919.4</v>
      </c>
      <c r="N88" s="134">
        <f>ROUND('[7]2030'!N43,2)</f>
        <v>26517.22</v>
      </c>
      <c r="O88" s="134">
        <f>ROUND('[7]2030'!O43,2)</f>
        <v>27844.19</v>
      </c>
      <c r="P88" s="134">
        <f>ROUND('[7]2030'!P43,2)</f>
        <v>28690.7</v>
      </c>
      <c r="Q88" s="134">
        <f>ROUND('[7]2030'!Q43,2)</f>
        <v>28214.639999999999</v>
      </c>
      <c r="R88" s="134">
        <f>ROUND('[7]2030'!R43,2)</f>
        <v>27812.57</v>
      </c>
      <c r="S88" s="134">
        <f>ROUND('[7]2030'!S43,2)</f>
        <v>27770.69</v>
      </c>
      <c r="T88" s="134">
        <f>ROUND('[7]2030'!T43,2)</f>
        <v>27544.080000000002</v>
      </c>
      <c r="U88" s="134">
        <f>ROUND('[7]2030'!U43,2)</f>
        <v>26991.94</v>
      </c>
      <c r="V88" s="134">
        <f>ROUND('[7]2030'!V43,2)</f>
        <v>26956.14</v>
      </c>
      <c r="W88" s="134">
        <f>ROUND('[7]2030'!W43,2)</f>
        <v>29400.04</v>
      </c>
      <c r="X88" s="134">
        <f>ROUND('[7]2030'!X43,2)</f>
        <v>29777.38</v>
      </c>
      <c r="Y88" s="134">
        <f>ROUND('[7]2030'!Y43,2)</f>
        <v>28904.74</v>
      </c>
      <c r="Z88" s="134">
        <f>ROUND('[7]2030'!Z43,2)</f>
        <v>27701.62</v>
      </c>
      <c r="AA88" s="134">
        <f>ROUND('[7]2030'!AA43,2)</f>
        <v>26004.38</v>
      </c>
      <c r="AB88" s="134">
        <f>ROUND('[7]2030'!AB43,2)</f>
        <v>24196.95</v>
      </c>
      <c r="AC88" s="283">
        <f>SUM(E88:AB88)*D88+SUM(E89:AB89)*D89+SUM(E90:AB90)*D90+SUM(E91:AB91)*D91</f>
        <v>18762913.309999999</v>
      </c>
      <c r="AD88" s="19"/>
    </row>
    <row r="89" spans="2:30" ht="18.649999999999999" hidden="1" customHeight="1" x14ac:dyDescent="0.35">
      <c r="B89" s="264" t="s">
        <v>34</v>
      </c>
      <c r="C89" s="10" t="s">
        <v>30</v>
      </c>
      <c r="D89" s="11">
        <f>+'[7]2030'!D44</f>
        <v>5</v>
      </c>
      <c r="E89" s="135">
        <f>ROUND('[7]2030'!E44,2)</f>
        <v>22711.24</v>
      </c>
      <c r="F89" s="135">
        <f>ROUND('[7]2030'!F44,2)</f>
        <v>21583.93</v>
      </c>
      <c r="G89" s="135">
        <f>ROUND('[7]2030'!G44,2)</f>
        <v>20721.73</v>
      </c>
      <c r="H89" s="135">
        <f>ROUND('[7]2030'!H44,2)</f>
        <v>20113.71</v>
      </c>
      <c r="I89" s="135">
        <f>ROUND('[7]2030'!I44,2)</f>
        <v>20055.66</v>
      </c>
      <c r="J89" s="135">
        <f>ROUND('[7]2030'!J44,2)</f>
        <v>20383.759999999998</v>
      </c>
      <c r="K89" s="135">
        <f>ROUND('[7]2030'!K44,2)</f>
        <v>20601.27</v>
      </c>
      <c r="L89" s="135">
        <f>ROUND('[7]2030'!L44,2)</f>
        <v>22951.52</v>
      </c>
      <c r="M89" s="135">
        <f>ROUND('[7]2030'!M44,2)</f>
        <v>25359.91</v>
      </c>
      <c r="N89" s="135">
        <f>ROUND('[7]2030'!N44,2)</f>
        <v>26724.21</v>
      </c>
      <c r="O89" s="135">
        <f>ROUND('[7]2030'!O44,2)</f>
        <v>28140.36</v>
      </c>
      <c r="P89" s="135">
        <f>ROUND('[7]2030'!P44,2)</f>
        <v>29098.560000000001</v>
      </c>
      <c r="Q89" s="135">
        <f>ROUND('[7]2030'!Q44,2)</f>
        <v>28351.919999999998</v>
      </c>
      <c r="R89" s="135">
        <f>ROUND('[7]2030'!R44,2)</f>
        <v>29022.45</v>
      </c>
      <c r="S89" s="135">
        <f>ROUND('[7]2030'!S44,2)</f>
        <v>30030.35</v>
      </c>
      <c r="T89" s="135">
        <f>ROUND('[7]2030'!T44,2)</f>
        <v>30051.71</v>
      </c>
      <c r="U89" s="135">
        <f>ROUND('[7]2030'!U44,2)</f>
        <v>29497.759999999998</v>
      </c>
      <c r="V89" s="135">
        <f>ROUND('[7]2030'!V44,2)</f>
        <v>29001.97</v>
      </c>
      <c r="W89" s="135">
        <f>ROUND('[7]2030'!W44,2)</f>
        <v>31132.27</v>
      </c>
      <c r="X89" s="135">
        <f>ROUND('[7]2030'!X44,2)</f>
        <v>31005.82</v>
      </c>
      <c r="Y89" s="135">
        <f>ROUND('[7]2030'!Y44,2)</f>
        <v>30205.66</v>
      </c>
      <c r="Z89" s="135">
        <f>ROUND('[7]2030'!Z44,2)</f>
        <v>28821.26</v>
      </c>
      <c r="AA89" s="135">
        <f>ROUND('[7]2030'!AA44,2)</f>
        <v>26614.77</v>
      </c>
      <c r="AB89" s="135">
        <f>ROUND('[7]2030'!AB44,2)</f>
        <v>24351.03</v>
      </c>
      <c r="AC89" s="282"/>
      <c r="AD89" s="19"/>
    </row>
    <row r="90" spans="2:30" ht="18.649999999999999" hidden="1" customHeight="1" x14ac:dyDescent="0.35">
      <c r="B90" s="264" t="s">
        <v>34</v>
      </c>
      <c r="C90" s="10" t="s">
        <v>31</v>
      </c>
      <c r="D90" s="11">
        <f>+'[7]2030'!D45</f>
        <v>4</v>
      </c>
      <c r="E90" s="135">
        <f>ROUND('[7]2030'!E45,2)</f>
        <v>22699.919999999998</v>
      </c>
      <c r="F90" s="135">
        <f>ROUND('[7]2030'!F45,2)</f>
        <v>21516.89</v>
      </c>
      <c r="G90" s="135">
        <f>ROUND('[7]2030'!G45,2)</f>
        <v>20598.080000000002</v>
      </c>
      <c r="H90" s="135">
        <f>ROUND('[7]2030'!H45,2)</f>
        <v>19933.52</v>
      </c>
      <c r="I90" s="135">
        <f>ROUND('[7]2030'!I45,2)</f>
        <v>19654.64</v>
      </c>
      <c r="J90" s="135">
        <f>ROUND('[7]2030'!J45,2)</f>
        <v>19278.86</v>
      </c>
      <c r="K90" s="135">
        <f>ROUND('[7]2030'!K45,2)</f>
        <v>18867.740000000002</v>
      </c>
      <c r="L90" s="135">
        <f>ROUND('[7]2030'!L45,2)</f>
        <v>20240.330000000002</v>
      </c>
      <c r="M90" s="135">
        <f>ROUND('[7]2030'!M45,2)</f>
        <v>21751.54</v>
      </c>
      <c r="N90" s="135">
        <f>ROUND('[7]2030'!N45,2)</f>
        <v>23113.5</v>
      </c>
      <c r="O90" s="135">
        <f>ROUND('[7]2030'!O45,2)</f>
        <v>24404.77</v>
      </c>
      <c r="P90" s="135">
        <f>ROUND('[7]2030'!P45,2)</f>
        <v>25509.62</v>
      </c>
      <c r="Q90" s="135">
        <f>ROUND('[7]2030'!Q45,2)</f>
        <v>25916.19</v>
      </c>
      <c r="R90" s="135">
        <f>ROUND('[7]2030'!R45,2)</f>
        <v>25791.79</v>
      </c>
      <c r="S90" s="135">
        <f>ROUND('[7]2030'!S45,2)</f>
        <v>25675.88</v>
      </c>
      <c r="T90" s="135">
        <f>ROUND('[7]2030'!T45,2)</f>
        <v>25757.7</v>
      </c>
      <c r="U90" s="135">
        <f>ROUND('[7]2030'!U45,2)</f>
        <v>25522.73</v>
      </c>
      <c r="V90" s="135">
        <f>ROUND('[7]2030'!V45,2)</f>
        <v>25493.85</v>
      </c>
      <c r="W90" s="135">
        <f>ROUND('[7]2030'!W45,2)</f>
        <v>28450.55</v>
      </c>
      <c r="X90" s="135">
        <f>ROUND('[7]2030'!X45,2)</f>
        <v>30053.42</v>
      </c>
      <c r="Y90" s="135">
        <f>ROUND('[7]2030'!Y45,2)</f>
        <v>29893.14</v>
      </c>
      <c r="Z90" s="135">
        <f>ROUND('[7]2030'!Z45,2)</f>
        <v>28768.36</v>
      </c>
      <c r="AA90" s="135">
        <f>ROUND('[7]2030'!AA45,2)</f>
        <v>26818.02</v>
      </c>
      <c r="AB90" s="135">
        <f>ROUND('[7]2030'!AB45,2)</f>
        <v>24681.52</v>
      </c>
      <c r="AC90" s="282"/>
      <c r="AD90" s="19"/>
    </row>
    <row r="91" spans="2:30" ht="18.649999999999999" hidden="1" customHeight="1" thickBot="1" x14ac:dyDescent="0.4">
      <c r="B91" s="265" t="s">
        <v>34</v>
      </c>
      <c r="C91" s="12" t="s">
        <v>32</v>
      </c>
      <c r="D91" s="13">
        <f>+'[7]2030'!D46</f>
        <v>2</v>
      </c>
      <c r="E91" s="132">
        <f>ROUND('[7]2030'!E46,2)</f>
        <v>22699.919999999998</v>
      </c>
      <c r="F91" s="132">
        <f>ROUND('[7]2030'!F46,2)</f>
        <v>21516.89</v>
      </c>
      <c r="G91" s="132">
        <f>ROUND('[7]2030'!G46,2)</f>
        <v>20598.080000000002</v>
      </c>
      <c r="H91" s="132">
        <f>ROUND('[7]2030'!H46,2)</f>
        <v>19933.52</v>
      </c>
      <c r="I91" s="132">
        <f>ROUND('[7]2030'!I46,2)</f>
        <v>19654.64</v>
      </c>
      <c r="J91" s="132">
        <f>ROUND('[7]2030'!J46,2)</f>
        <v>19278.86</v>
      </c>
      <c r="K91" s="132">
        <f>ROUND('[7]2030'!K46,2)</f>
        <v>18867.740000000002</v>
      </c>
      <c r="L91" s="132">
        <f>ROUND('[7]2030'!L46,2)</f>
        <v>20240.330000000002</v>
      </c>
      <c r="M91" s="132">
        <f>ROUND('[7]2030'!M46,2)</f>
        <v>21751.54</v>
      </c>
      <c r="N91" s="132">
        <f>ROUND('[7]2030'!N46,2)</f>
        <v>23113.5</v>
      </c>
      <c r="O91" s="132">
        <f>ROUND('[7]2030'!O46,2)</f>
        <v>24404.77</v>
      </c>
      <c r="P91" s="132">
        <f>ROUND('[7]2030'!P46,2)</f>
        <v>25509.62</v>
      </c>
      <c r="Q91" s="132">
        <f>ROUND('[7]2030'!Q46,2)</f>
        <v>25916.19</v>
      </c>
      <c r="R91" s="132">
        <f>ROUND('[7]2030'!R46,2)</f>
        <v>25791.79</v>
      </c>
      <c r="S91" s="132">
        <f>ROUND('[7]2030'!S46,2)</f>
        <v>25675.88</v>
      </c>
      <c r="T91" s="132">
        <f>ROUND('[7]2030'!T46,2)</f>
        <v>25757.7</v>
      </c>
      <c r="U91" s="132">
        <f>ROUND('[7]2030'!U46,2)</f>
        <v>25522.73</v>
      </c>
      <c r="V91" s="132">
        <f>ROUND('[7]2030'!V46,2)</f>
        <v>25493.85</v>
      </c>
      <c r="W91" s="132">
        <f>ROUND('[7]2030'!W46,2)</f>
        <v>28450.55</v>
      </c>
      <c r="X91" s="132">
        <f>ROUND('[7]2030'!X46,2)</f>
        <v>30053.42</v>
      </c>
      <c r="Y91" s="132">
        <f>ROUND('[7]2030'!Y46,2)</f>
        <v>29893.14</v>
      </c>
      <c r="Z91" s="132">
        <f>ROUND('[7]2030'!Z46,2)</f>
        <v>28768.36</v>
      </c>
      <c r="AA91" s="132">
        <f>ROUND('[7]2030'!AA46,2)</f>
        <v>26818.02</v>
      </c>
      <c r="AB91" s="132">
        <f>ROUND('[7]2030'!AB46,2)</f>
        <v>24681.52</v>
      </c>
      <c r="AC91" s="284"/>
      <c r="AD91" s="19"/>
    </row>
    <row r="92" spans="2:30" ht="18.649999999999999" hidden="1" customHeight="1" x14ac:dyDescent="0.35">
      <c r="B92" s="260">
        <v>47727</v>
      </c>
      <c r="C92" s="14" t="s">
        <v>29</v>
      </c>
      <c r="D92" s="15">
        <f>+'[7]2030'!D47</f>
        <v>21</v>
      </c>
      <c r="E92" s="137">
        <f>ROUND('[7]2030'!E47,2)</f>
        <v>23319.52</v>
      </c>
      <c r="F92" s="137">
        <f>ROUND('[7]2030'!F47,2)</f>
        <v>22129.32</v>
      </c>
      <c r="G92" s="137">
        <f>ROUND('[7]2030'!G47,2)</f>
        <v>21208.44</v>
      </c>
      <c r="H92" s="137">
        <f>ROUND('[7]2030'!H47,2)</f>
        <v>20556.060000000001</v>
      </c>
      <c r="I92" s="137">
        <f>ROUND('[7]2030'!I47,2)</f>
        <v>20364.64</v>
      </c>
      <c r="J92" s="137">
        <f>ROUND('[7]2030'!J47,2)</f>
        <v>20101.73</v>
      </c>
      <c r="K92" s="137">
        <f>ROUND('[7]2030'!K47,2)</f>
        <v>20231.77</v>
      </c>
      <c r="L92" s="137">
        <f>ROUND('[7]2030'!L47,2)</f>
        <v>22637.83</v>
      </c>
      <c r="M92" s="137">
        <f>ROUND('[7]2030'!M47,2)</f>
        <v>25207.55</v>
      </c>
      <c r="N92" s="137">
        <f>ROUND('[7]2030'!N47,2)</f>
        <v>26689.52</v>
      </c>
      <c r="O92" s="137">
        <f>ROUND('[7]2030'!O47,2)</f>
        <v>27952.11</v>
      </c>
      <c r="P92" s="137">
        <f>ROUND('[7]2030'!P47,2)</f>
        <v>28578.91</v>
      </c>
      <c r="Q92" s="137">
        <f>ROUND('[7]2030'!Q47,2)</f>
        <v>28036.959999999999</v>
      </c>
      <c r="R92" s="137">
        <f>ROUND('[7]2030'!R47,2)</f>
        <v>27632.3</v>
      </c>
      <c r="S92" s="137">
        <f>ROUND('[7]2030'!S47,2)</f>
        <v>27599.27</v>
      </c>
      <c r="T92" s="137">
        <f>ROUND('[7]2030'!T47,2)</f>
        <v>27551.83</v>
      </c>
      <c r="U92" s="137">
        <f>ROUND('[7]2030'!U47,2)</f>
        <v>27139.8</v>
      </c>
      <c r="V92" s="137">
        <f>ROUND('[7]2030'!V47,2)</f>
        <v>27457.68</v>
      </c>
      <c r="W92" s="137">
        <f>ROUND('[7]2030'!W47,2)</f>
        <v>30311.33</v>
      </c>
      <c r="X92" s="137">
        <f>ROUND('[7]2030'!X47,2)</f>
        <v>30022.080000000002</v>
      </c>
      <c r="Y92" s="137">
        <f>ROUND('[7]2030'!Y47,2)</f>
        <v>28980.16</v>
      </c>
      <c r="Z92" s="137">
        <f>ROUND('[7]2030'!Z47,2)</f>
        <v>27685.22</v>
      </c>
      <c r="AA92" s="137">
        <f>ROUND('[7]2030'!AA47,2)</f>
        <v>26127.33</v>
      </c>
      <c r="AB92" s="137">
        <f>ROUND('[7]2030'!AB47,2)</f>
        <v>24409.85</v>
      </c>
      <c r="AC92" s="282">
        <f>SUM(E92:AB92)*D92+SUM(E93:AB93)*D93+SUM(E94:AB94)*D94+SUM(E95:AB95)*D95</f>
        <v>18497564.18</v>
      </c>
      <c r="AD92" s="19"/>
    </row>
    <row r="93" spans="2:30" ht="18.649999999999999" hidden="1" customHeight="1" x14ac:dyDescent="0.35">
      <c r="B93" s="261"/>
      <c r="C93" s="10" t="s">
        <v>30</v>
      </c>
      <c r="D93" s="11">
        <f>+'[7]2030'!D48</f>
        <v>4</v>
      </c>
      <c r="E93" s="135">
        <f>ROUND('[7]2030'!E48,2)</f>
        <v>21800.14</v>
      </c>
      <c r="F93" s="135">
        <f>ROUND('[7]2030'!F48,2)</f>
        <v>20702.98</v>
      </c>
      <c r="G93" s="135">
        <f>ROUND('[7]2030'!G48,2)</f>
        <v>19937.39</v>
      </c>
      <c r="H93" s="135">
        <f>ROUND('[7]2030'!H48,2)</f>
        <v>19373.05</v>
      </c>
      <c r="I93" s="135">
        <f>ROUND('[7]2030'!I48,2)</f>
        <v>19382.310000000001</v>
      </c>
      <c r="J93" s="135">
        <f>ROUND('[7]2030'!J48,2)</f>
        <v>19703.53</v>
      </c>
      <c r="K93" s="135">
        <f>ROUND('[7]2030'!K48,2)</f>
        <v>20104.59</v>
      </c>
      <c r="L93" s="135">
        <f>ROUND('[7]2030'!L48,2)</f>
        <v>22557.360000000001</v>
      </c>
      <c r="M93" s="135">
        <f>ROUND('[7]2030'!M48,2)</f>
        <v>24946.38</v>
      </c>
      <c r="N93" s="135">
        <f>ROUND('[7]2030'!N48,2)</f>
        <v>26250.11</v>
      </c>
      <c r="O93" s="135">
        <f>ROUND('[7]2030'!O48,2)</f>
        <v>27629.599999999999</v>
      </c>
      <c r="P93" s="135">
        <f>ROUND('[7]2030'!P48,2)</f>
        <v>28580.38</v>
      </c>
      <c r="Q93" s="135">
        <f>ROUND('[7]2030'!Q48,2)</f>
        <v>27761.94</v>
      </c>
      <c r="R93" s="135">
        <f>ROUND('[7]2030'!R48,2)</f>
        <v>28386.29</v>
      </c>
      <c r="S93" s="135">
        <f>ROUND('[7]2030'!S48,2)</f>
        <v>29439.52</v>
      </c>
      <c r="T93" s="135">
        <f>ROUND('[7]2030'!T48,2)</f>
        <v>29492.62</v>
      </c>
      <c r="U93" s="135">
        <f>ROUND('[7]2030'!U48,2)</f>
        <v>28882.26</v>
      </c>
      <c r="V93" s="135">
        <f>ROUND('[7]2030'!V48,2)</f>
        <v>28961.96</v>
      </c>
      <c r="W93" s="135">
        <f>ROUND('[7]2030'!W48,2)</f>
        <v>30708.49</v>
      </c>
      <c r="X93" s="135">
        <f>ROUND('[7]2030'!X48,2)</f>
        <v>30186.91</v>
      </c>
      <c r="Y93" s="135">
        <f>ROUND('[7]2030'!Y48,2)</f>
        <v>29221.54</v>
      </c>
      <c r="Z93" s="135">
        <f>ROUND('[7]2030'!Z48,2)</f>
        <v>27800.080000000002</v>
      </c>
      <c r="AA93" s="135">
        <f>ROUND('[7]2030'!AA48,2)</f>
        <v>25751.87</v>
      </c>
      <c r="AB93" s="135">
        <f>ROUND('[7]2030'!AB48,2)</f>
        <v>23623.83</v>
      </c>
      <c r="AC93" s="282"/>
      <c r="AD93" s="19"/>
    </row>
    <row r="94" spans="2:30" ht="18.649999999999999" hidden="1" customHeight="1" x14ac:dyDescent="0.35">
      <c r="B94" s="261"/>
      <c r="C94" s="10" t="s">
        <v>31</v>
      </c>
      <c r="D94" s="11">
        <f>+'[7]2030'!D49</f>
        <v>5</v>
      </c>
      <c r="E94" s="135">
        <f>ROUND('[7]2030'!E49,2)</f>
        <v>22464.7</v>
      </c>
      <c r="F94" s="135">
        <f>ROUND('[7]2030'!F49,2)</f>
        <v>21371.77</v>
      </c>
      <c r="G94" s="135">
        <f>ROUND('[7]2030'!G49,2)</f>
        <v>20562.71</v>
      </c>
      <c r="H94" s="135">
        <f>ROUND('[7]2030'!H49,2)</f>
        <v>19951.59</v>
      </c>
      <c r="I94" s="135">
        <f>ROUND('[7]2030'!I49,2)</f>
        <v>19983.55</v>
      </c>
      <c r="J94" s="135">
        <f>ROUND('[7]2030'!J49,2)</f>
        <v>20613.349999999999</v>
      </c>
      <c r="K94" s="135">
        <f>ROUND('[7]2030'!K49,2)</f>
        <v>21010.18</v>
      </c>
      <c r="L94" s="135">
        <f>ROUND('[7]2030'!L49,2)</f>
        <v>23612.35</v>
      </c>
      <c r="M94" s="135">
        <f>ROUND('[7]2030'!M49,2)</f>
        <v>26188.86</v>
      </c>
      <c r="N94" s="135">
        <f>ROUND('[7]2030'!N49,2)</f>
        <v>27552.799999999999</v>
      </c>
      <c r="O94" s="135">
        <f>ROUND('[7]2030'!O49,2)</f>
        <v>29105.42</v>
      </c>
      <c r="P94" s="135">
        <f>ROUND('[7]2030'!P49,2)</f>
        <v>30150.7</v>
      </c>
      <c r="Q94" s="135">
        <f>ROUND('[7]2030'!Q49,2)</f>
        <v>29089.47</v>
      </c>
      <c r="R94" s="135">
        <f>ROUND('[7]2030'!R49,2)</f>
        <v>30118.14</v>
      </c>
      <c r="S94" s="135">
        <f>ROUND('[7]2030'!S49,2)</f>
        <v>31576.880000000001</v>
      </c>
      <c r="T94" s="135">
        <f>ROUND('[7]2030'!T49,2)</f>
        <v>31616.44</v>
      </c>
      <c r="U94" s="135">
        <f>ROUND('[7]2030'!U49,2)</f>
        <v>30898.78</v>
      </c>
      <c r="V94" s="135">
        <f>ROUND('[7]2030'!V49,2)</f>
        <v>30006.59</v>
      </c>
      <c r="W94" s="135">
        <f>ROUND('[7]2030'!W49,2)</f>
        <v>31760.7</v>
      </c>
      <c r="X94" s="135">
        <f>ROUND('[7]2030'!X49,2)</f>
        <v>31526.13</v>
      </c>
      <c r="Y94" s="135">
        <f>ROUND('[7]2030'!Y49,2)</f>
        <v>30712.84</v>
      </c>
      <c r="Z94" s="135">
        <f>ROUND('[7]2030'!Z49,2)</f>
        <v>29261.91</v>
      </c>
      <c r="AA94" s="135">
        <f>ROUND('[7]2030'!AA49,2)</f>
        <v>26863.8</v>
      </c>
      <c r="AB94" s="135">
        <f>ROUND('[7]2030'!AB49,2)</f>
        <v>24453.99</v>
      </c>
      <c r="AC94" s="282"/>
      <c r="AD94" s="19"/>
    </row>
    <row r="95" spans="2:30" ht="18.649999999999999" hidden="1" customHeight="1" thickBot="1" x14ac:dyDescent="0.4">
      <c r="B95" s="261"/>
      <c r="C95" s="16" t="s">
        <v>32</v>
      </c>
      <c r="D95" s="17">
        <f>+'[7]2030'!D50</f>
        <v>0</v>
      </c>
      <c r="E95" s="199">
        <f>ROUND('[7]2030'!E50,2)</f>
        <v>0</v>
      </c>
      <c r="F95" s="115">
        <f>ROUND('[7]2030'!F50,2)</f>
        <v>0</v>
      </c>
      <c r="G95" s="115">
        <f>ROUND('[7]2030'!G50,2)</f>
        <v>0</v>
      </c>
      <c r="H95" s="115">
        <f>ROUND('[7]2030'!H50,2)</f>
        <v>0</v>
      </c>
      <c r="I95" s="115">
        <f>ROUND('[7]2030'!I50,2)</f>
        <v>0</v>
      </c>
      <c r="J95" s="115">
        <f>ROUND('[7]2030'!J50,2)</f>
        <v>0</v>
      </c>
      <c r="K95" s="115">
        <f>ROUND('[7]2030'!K50,2)</f>
        <v>0</v>
      </c>
      <c r="L95" s="115">
        <f>ROUND('[7]2030'!L50,2)</f>
        <v>0</v>
      </c>
      <c r="M95" s="115">
        <f>ROUND('[7]2030'!M50,2)</f>
        <v>0</v>
      </c>
      <c r="N95" s="115">
        <f>ROUND('[7]2030'!N50,2)</f>
        <v>0</v>
      </c>
      <c r="O95" s="115">
        <f>ROUND('[7]2030'!O50,2)</f>
        <v>0</v>
      </c>
      <c r="P95" s="115">
        <f>ROUND('[7]2030'!P50,2)</f>
        <v>0</v>
      </c>
      <c r="Q95" s="115">
        <f>ROUND('[7]2030'!Q50,2)</f>
        <v>0</v>
      </c>
      <c r="R95" s="115">
        <f>ROUND('[7]2030'!R50,2)</f>
        <v>0</v>
      </c>
      <c r="S95" s="115">
        <f>ROUND('[7]2030'!S50,2)</f>
        <v>0</v>
      </c>
      <c r="T95" s="115">
        <f>ROUND('[7]2030'!T50,2)</f>
        <v>0</v>
      </c>
      <c r="U95" s="115">
        <f>ROUND('[7]2030'!U50,2)</f>
        <v>0</v>
      </c>
      <c r="V95" s="115">
        <f>ROUND('[7]2030'!V50,2)</f>
        <v>0</v>
      </c>
      <c r="W95" s="115">
        <f>ROUND('[7]2030'!W50,2)</f>
        <v>0</v>
      </c>
      <c r="X95" s="115">
        <f>ROUND('[7]2030'!X50,2)</f>
        <v>0</v>
      </c>
      <c r="Y95" s="115">
        <f>ROUND('[7]2030'!Y50,2)</f>
        <v>0</v>
      </c>
      <c r="Z95" s="115">
        <f>ROUND('[7]2030'!Z50,2)</f>
        <v>0</v>
      </c>
      <c r="AA95" s="115">
        <f>ROUND('[7]2030'!AA50,2)</f>
        <v>0</v>
      </c>
      <c r="AB95" s="115">
        <f>ROUND('[7]2030'!AB50,2)</f>
        <v>0</v>
      </c>
      <c r="AC95" s="282"/>
      <c r="AD95" s="19"/>
    </row>
    <row r="96" spans="2:30" ht="18.649999999999999" hidden="1" customHeight="1" x14ac:dyDescent="0.35">
      <c r="B96" s="263">
        <v>47757</v>
      </c>
      <c r="C96" s="7" t="s">
        <v>29</v>
      </c>
      <c r="D96" s="8">
        <f>+'[7]2030'!D51</f>
        <v>22</v>
      </c>
      <c r="E96" s="134">
        <f>ROUND('[7]2030'!E51,2)</f>
        <v>22486.65</v>
      </c>
      <c r="F96" s="134">
        <f>ROUND('[7]2030'!F51,2)</f>
        <v>21349.55</v>
      </c>
      <c r="G96" s="134">
        <f>ROUND('[7]2030'!G51,2)</f>
        <v>20444.47</v>
      </c>
      <c r="H96" s="134">
        <f>ROUND('[7]2030'!H51,2)</f>
        <v>19696.34</v>
      </c>
      <c r="I96" s="134">
        <f>ROUND('[7]2030'!I51,2)</f>
        <v>19412.46</v>
      </c>
      <c r="J96" s="134">
        <f>ROUND('[7]2030'!J51,2)</f>
        <v>19254.830000000002</v>
      </c>
      <c r="K96" s="134">
        <f>ROUND('[7]2030'!K51,2)</f>
        <v>19661.27</v>
      </c>
      <c r="L96" s="134">
        <f>ROUND('[7]2030'!L51,2)</f>
        <v>22128.15</v>
      </c>
      <c r="M96" s="134">
        <f>ROUND('[7]2030'!M51,2)</f>
        <v>24649.59</v>
      </c>
      <c r="N96" s="134">
        <f>ROUND('[7]2030'!N51,2)</f>
        <v>26113.3</v>
      </c>
      <c r="O96" s="134">
        <f>ROUND('[7]2030'!O51,2)</f>
        <v>27462.3</v>
      </c>
      <c r="P96" s="134">
        <f>ROUND('[7]2030'!P51,2)</f>
        <v>28169.9</v>
      </c>
      <c r="Q96" s="134">
        <f>ROUND('[7]2030'!Q51,2)</f>
        <v>27669.25</v>
      </c>
      <c r="R96" s="134">
        <f>ROUND('[7]2030'!R51,2)</f>
        <v>27341.47</v>
      </c>
      <c r="S96" s="134">
        <f>ROUND('[7]2030'!S51,2)</f>
        <v>27454.05</v>
      </c>
      <c r="T96" s="134">
        <f>ROUND('[7]2030'!T51,2)</f>
        <v>27399.87</v>
      </c>
      <c r="U96" s="134">
        <f>ROUND('[7]2030'!U51,2)</f>
        <v>27047.52</v>
      </c>
      <c r="V96" s="134">
        <f>ROUND('[7]2030'!V51,2)</f>
        <v>27750.71</v>
      </c>
      <c r="W96" s="134">
        <f>ROUND('[7]2030'!W51,2)</f>
        <v>30280.65</v>
      </c>
      <c r="X96" s="134">
        <f>ROUND('[7]2030'!X51,2)</f>
        <v>29774.69</v>
      </c>
      <c r="Y96" s="134">
        <f>ROUND('[7]2030'!Y51,2)</f>
        <v>28721.25</v>
      </c>
      <c r="Z96" s="134">
        <f>ROUND('[7]2030'!Z51,2)</f>
        <v>27382.47</v>
      </c>
      <c r="AA96" s="134">
        <f>ROUND('[7]2030'!AA51,2)</f>
        <v>25785.7</v>
      </c>
      <c r="AB96" s="134">
        <f>ROUND('[7]2030'!AB51,2)</f>
        <v>24078.33</v>
      </c>
      <c r="AC96" s="283">
        <f>SUM(E96:AB96)*D96+SUM(E97:AB97)*D97+SUM(E98:AB98)*D98+SUM(E99:AB99)*D99</f>
        <v>18407672.490000002</v>
      </c>
      <c r="AD96" s="19"/>
    </row>
    <row r="97" spans="2:50" ht="18.649999999999999" hidden="1" customHeight="1" x14ac:dyDescent="0.35">
      <c r="B97" s="264" t="s">
        <v>34</v>
      </c>
      <c r="C97" s="10" t="s">
        <v>30</v>
      </c>
      <c r="D97" s="11">
        <f>+'[7]2030'!D52</f>
        <v>4</v>
      </c>
      <c r="E97" s="135">
        <f>ROUND('[7]2030'!E52,2)</f>
        <v>20900.509999999998</v>
      </c>
      <c r="F97" s="135">
        <f>ROUND('[7]2030'!F52,2)</f>
        <v>19868.18</v>
      </c>
      <c r="G97" s="135">
        <f>ROUND('[7]2030'!G52,2)</f>
        <v>19104.36</v>
      </c>
      <c r="H97" s="135">
        <f>ROUND('[7]2030'!H52,2)</f>
        <v>18646.560000000001</v>
      </c>
      <c r="I97" s="135">
        <f>ROUND('[7]2030'!I52,2)</f>
        <v>18710.59</v>
      </c>
      <c r="J97" s="135">
        <f>ROUND('[7]2030'!J52,2)</f>
        <v>19075.150000000001</v>
      </c>
      <c r="K97" s="135">
        <f>ROUND('[7]2030'!K52,2)</f>
        <v>19420.849999999999</v>
      </c>
      <c r="L97" s="135">
        <f>ROUND('[7]2030'!L52,2)</f>
        <v>21693.48</v>
      </c>
      <c r="M97" s="135">
        <f>ROUND('[7]2030'!M52,2)</f>
        <v>23962.22</v>
      </c>
      <c r="N97" s="135">
        <f>ROUND('[7]2030'!N52,2)</f>
        <v>25291.69</v>
      </c>
      <c r="O97" s="135">
        <f>ROUND('[7]2030'!O52,2)</f>
        <v>26511.55</v>
      </c>
      <c r="P97" s="135">
        <f>ROUND('[7]2030'!P52,2)</f>
        <v>27421.45</v>
      </c>
      <c r="Q97" s="135">
        <f>ROUND('[7]2030'!Q52,2)</f>
        <v>26649.81</v>
      </c>
      <c r="R97" s="135">
        <f>ROUND('[7]2030'!R52,2)</f>
        <v>26999.4</v>
      </c>
      <c r="S97" s="135">
        <f>ROUND('[7]2030'!S52,2)</f>
        <v>27795.62</v>
      </c>
      <c r="T97" s="135">
        <f>ROUND('[7]2030'!T52,2)</f>
        <v>27871.3</v>
      </c>
      <c r="U97" s="135">
        <f>ROUND('[7]2030'!U52,2)</f>
        <v>27509.99</v>
      </c>
      <c r="V97" s="135">
        <f>ROUND('[7]2030'!V52,2)</f>
        <v>28009.8</v>
      </c>
      <c r="W97" s="135">
        <f>ROUND('[7]2030'!W52,2)</f>
        <v>29942.77</v>
      </c>
      <c r="X97" s="135">
        <f>ROUND('[7]2030'!X52,2)</f>
        <v>29360.74</v>
      </c>
      <c r="Y97" s="135">
        <f>ROUND('[7]2030'!Y52,2)</f>
        <v>28219.79</v>
      </c>
      <c r="Z97" s="135">
        <f>ROUND('[7]2030'!Z52,2)</f>
        <v>26648.91</v>
      </c>
      <c r="AA97" s="135">
        <f>ROUND('[7]2030'!AA52,2)</f>
        <v>24600.51</v>
      </c>
      <c r="AB97" s="135">
        <f>ROUND('[7]2030'!AB52,2)</f>
        <v>22547.47</v>
      </c>
      <c r="AC97" s="282"/>
      <c r="AD97" s="19"/>
    </row>
    <row r="98" spans="2:50" ht="18.649999999999999" hidden="1" customHeight="1" x14ac:dyDescent="0.35">
      <c r="B98" s="264" t="s">
        <v>34</v>
      </c>
      <c r="C98" s="10" t="s">
        <v>31</v>
      </c>
      <c r="D98" s="11">
        <f>+'[7]2030'!D53</f>
        <v>4</v>
      </c>
      <c r="E98" s="135">
        <f>ROUND('[7]2030'!E53,2)</f>
        <v>21123.97</v>
      </c>
      <c r="F98" s="135">
        <f>ROUND('[7]2030'!F53,2)</f>
        <v>20229.64</v>
      </c>
      <c r="G98" s="135">
        <f>ROUND('[7]2030'!G53,2)</f>
        <v>19518.330000000002</v>
      </c>
      <c r="H98" s="135">
        <f>ROUND('[7]2030'!H53,2)</f>
        <v>19080.59</v>
      </c>
      <c r="I98" s="135">
        <f>ROUND('[7]2030'!I53,2)</f>
        <v>18928.61</v>
      </c>
      <c r="J98" s="135">
        <f>ROUND('[7]2030'!J53,2)</f>
        <v>18630.3</v>
      </c>
      <c r="K98" s="135">
        <f>ROUND('[7]2030'!K53,2)</f>
        <v>18187.12</v>
      </c>
      <c r="L98" s="135">
        <f>ROUND('[7]2030'!L53,2)</f>
        <v>19616.84</v>
      </c>
      <c r="M98" s="135">
        <f>ROUND('[7]2030'!M53,2)</f>
        <v>20802.939999999999</v>
      </c>
      <c r="N98" s="135">
        <f>ROUND('[7]2030'!N53,2)</f>
        <v>22456.04</v>
      </c>
      <c r="O98" s="135">
        <f>ROUND('[7]2030'!O53,2)</f>
        <v>23746.21</v>
      </c>
      <c r="P98" s="135">
        <f>ROUND('[7]2030'!P53,2)</f>
        <v>24766.61</v>
      </c>
      <c r="Q98" s="135">
        <f>ROUND('[7]2030'!Q53,2)</f>
        <v>25284.38</v>
      </c>
      <c r="R98" s="135">
        <f>ROUND('[7]2030'!R53,2)</f>
        <v>25295.11</v>
      </c>
      <c r="S98" s="135">
        <f>ROUND('[7]2030'!S53,2)</f>
        <v>25336.91</v>
      </c>
      <c r="T98" s="135">
        <f>ROUND('[7]2030'!T53,2)</f>
        <v>25400.71</v>
      </c>
      <c r="U98" s="135">
        <f>ROUND('[7]2030'!U53,2)</f>
        <v>25171.279999999999</v>
      </c>
      <c r="V98" s="135">
        <f>ROUND('[7]2030'!V53,2)</f>
        <v>26240.46</v>
      </c>
      <c r="W98" s="135">
        <f>ROUND('[7]2030'!W53,2)</f>
        <v>29237.3</v>
      </c>
      <c r="X98" s="135">
        <f>ROUND('[7]2030'!X53,2)</f>
        <v>29595.24</v>
      </c>
      <c r="Y98" s="135">
        <f>ROUND('[7]2030'!Y53,2)</f>
        <v>29130.28</v>
      </c>
      <c r="Z98" s="135">
        <f>ROUND('[7]2030'!Z53,2)</f>
        <v>28031.09</v>
      </c>
      <c r="AA98" s="135">
        <f>ROUND('[7]2030'!AA53,2)</f>
        <v>25941.86</v>
      </c>
      <c r="AB98" s="135">
        <f>ROUND('[7]2030'!AB53,2)</f>
        <v>23707.53</v>
      </c>
      <c r="AC98" s="282"/>
      <c r="AD98" s="19"/>
    </row>
    <row r="99" spans="2:50" ht="18.649999999999999" hidden="1" customHeight="1" thickBot="1" x14ac:dyDescent="0.4">
      <c r="B99" s="265" t="s">
        <v>34</v>
      </c>
      <c r="C99" s="12" t="s">
        <v>32</v>
      </c>
      <c r="D99" s="13">
        <f>+'[7]2030'!D54</f>
        <v>1</v>
      </c>
      <c r="E99" s="132">
        <f>ROUND('[7]2030'!E54,2)</f>
        <v>21123.97</v>
      </c>
      <c r="F99" s="132">
        <f>ROUND('[7]2030'!F54,2)</f>
        <v>20229.64</v>
      </c>
      <c r="G99" s="132">
        <f>ROUND('[7]2030'!G54,2)</f>
        <v>19518.330000000002</v>
      </c>
      <c r="H99" s="132">
        <f>ROUND('[7]2030'!H54,2)</f>
        <v>19080.59</v>
      </c>
      <c r="I99" s="132">
        <f>ROUND('[7]2030'!I54,2)</f>
        <v>18928.61</v>
      </c>
      <c r="J99" s="132">
        <f>ROUND('[7]2030'!J54,2)</f>
        <v>18630.3</v>
      </c>
      <c r="K99" s="132">
        <f>ROUND('[7]2030'!K54,2)</f>
        <v>18187.12</v>
      </c>
      <c r="L99" s="132">
        <f>ROUND('[7]2030'!L54,2)</f>
        <v>19616.84</v>
      </c>
      <c r="M99" s="132">
        <f>ROUND('[7]2030'!M54,2)</f>
        <v>20802.939999999999</v>
      </c>
      <c r="N99" s="132">
        <f>ROUND('[7]2030'!N54,2)</f>
        <v>22456.04</v>
      </c>
      <c r="O99" s="132">
        <f>ROUND('[7]2030'!O54,2)</f>
        <v>23746.21</v>
      </c>
      <c r="P99" s="132">
        <f>ROUND('[7]2030'!P54,2)</f>
        <v>24766.61</v>
      </c>
      <c r="Q99" s="132">
        <f>ROUND('[7]2030'!Q54,2)</f>
        <v>25284.38</v>
      </c>
      <c r="R99" s="132">
        <f>ROUND('[7]2030'!R54,2)</f>
        <v>25295.11</v>
      </c>
      <c r="S99" s="132">
        <f>ROUND('[7]2030'!S54,2)</f>
        <v>25336.91</v>
      </c>
      <c r="T99" s="132">
        <f>ROUND('[7]2030'!T54,2)</f>
        <v>25400.71</v>
      </c>
      <c r="U99" s="132">
        <f>ROUND('[7]2030'!U54,2)</f>
        <v>25171.279999999999</v>
      </c>
      <c r="V99" s="132">
        <f>ROUND('[7]2030'!V54,2)</f>
        <v>26240.46</v>
      </c>
      <c r="W99" s="132">
        <f>ROUND('[7]2030'!W54,2)</f>
        <v>29237.3</v>
      </c>
      <c r="X99" s="132">
        <f>ROUND('[7]2030'!X54,2)</f>
        <v>29595.24</v>
      </c>
      <c r="Y99" s="132">
        <f>ROUND('[7]2030'!Y54,2)</f>
        <v>29130.28</v>
      </c>
      <c r="Z99" s="132">
        <f>ROUND('[7]2030'!Z54,2)</f>
        <v>28031.09</v>
      </c>
      <c r="AA99" s="132">
        <f>ROUND('[7]2030'!AA54,2)</f>
        <v>25941.86</v>
      </c>
      <c r="AB99" s="132">
        <f>ROUND('[7]2030'!AB54,2)</f>
        <v>23707.53</v>
      </c>
      <c r="AC99" s="284"/>
      <c r="AD99" s="19"/>
    </row>
    <row r="100" spans="2:50" ht="18.649999999999999" hidden="1" customHeight="1" x14ac:dyDescent="0.35">
      <c r="B100" s="260">
        <v>47788</v>
      </c>
      <c r="C100" s="14" t="s">
        <v>29</v>
      </c>
      <c r="D100" s="15">
        <f>+'[7]2030'!D55</f>
        <v>19</v>
      </c>
      <c r="E100" s="137">
        <f>ROUND('[7]2030'!E55,2)</f>
        <v>22186.09</v>
      </c>
      <c r="F100" s="137">
        <f>ROUND('[7]2030'!F55,2)</f>
        <v>21100.74</v>
      </c>
      <c r="G100" s="137">
        <f>ROUND('[7]2030'!G55,2)</f>
        <v>20316.810000000001</v>
      </c>
      <c r="H100" s="137">
        <f>ROUND('[7]2030'!H55,2)</f>
        <v>19803.560000000001</v>
      </c>
      <c r="I100" s="137">
        <f>ROUND('[7]2030'!I55,2)</f>
        <v>19808.14</v>
      </c>
      <c r="J100" s="137">
        <f>ROUND('[7]2030'!J55,2)</f>
        <v>19972.919999999998</v>
      </c>
      <c r="K100" s="137">
        <f>ROUND('[7]2030'!K55,2)</f>
        <v>20111.11</v>
      </c>
      <c r="L100" s="137">
        <f>ROUND('[7]2030'!L55,2)</f>
        <v>22633.11</v>
      </c>
      <c r="M100" s="137">
        <f>ROUND('[7]2030'!M55,2)</f>
        <v>25324.87</v>
      </c>
      <c r="N100" s="137">
        <f>ROUND('[7]2030'!N55,2)</f>
        <v>27038.62</v>
      </c>
      <c r="O100" s="137">
        <f>ROUND('[7]2030'!O55,2)</f>
        <v>28332.59</v>
      </c>
      <c r="P100" s="137">
        <f>ROUND('[7]2030'!P55,2)</f>
        <v>29011.3</v>
      </c>
      <c r="Q100" s="137">
        <f>ROUND('[7]2030'!Q55,2)</f>
        <v>28429.01</v>
      </c>
      <c r="R100" s="137">
        <f>ROUND('[7]2030'!R55,2)</f>
        <v>27933.54</v>
      </c>
      <c r="S100" s="137">
        <f>ROUND('[7]2030'!S55,2)</f>
        <v>27864.2</v>
      </c>
      <c r="T100" s="137">
        <f>ROUND('[7]2030'!T55,2)</f>
        <v>27797.86</v>
      </c>
      <c r="U100" s="137">
        <f>ROUND('[7]2030'!U55,2)</f>
        <v>27513.279999999999</v>
      </c>
      <c r="V100" s="137">
        <f>ROUND('[7]2030'!V55,2)</f>
        <v>28430.6</v>
      </c>
      <c r="W100" s="137">
        <f>ROUND('[7]2030'!W55,2)</f>
        <v>30940.98</v>
      </c>
      <c r="X100" s="137">
        <f>ROUND('[7]2030'!X55,2)</f>
        <v>30289.42</v>
      </c>
      <c r="Y100" s="137">
        <f>ROUND('[7]2030'!Y55,2)</f>
        <v>29060.58</v>
      </c>
      <c r="Z100" s="137">
        <f>ROUND('[7]2030'!Z55,2)</f>
        <v>27670.36</v>
      </c>
      <c r="AA100" s="137">
        <f>ROUND('[7]2030'!AA55,2)</f>
        <v>25948.9</v>
      </c>
      <c r="AB100" s="137">
        <f>ROUND('[7]2030'!AB55,2)</f>
        <v>24081.85</v>
      </c>
      <c r="AC100" s="282">
        <f>SUM(E100:AB100)*D100+SUM(E101:AB101)*D101+SUM(E102:AB102)*D102+SUM(E103:AB103)*D103</f>
        <v>18206824.219999999</v>
      </c>
      <c r="AD100" s="19"/>
    </row>
    <row r="101" spans="2:50" ht="18.649999999999999" hidden="1" customHeight="1" x14ac:dyDescent="0.35">
      <c r="B101" s="261"/>
      <c r="C101" s="10" t="s">
        <v>30</v>
      </c>
      <c r="D101" s="11">
        <f>+'[7]2030'!D56</f>
        <v>5</v>
      </c>
      <c r="E101" s="135">
        <f>ROUND('[7]2030'!E56,2)</f>
        <v>24178.54</v>
      </c>
      <c r="F101" s="135">
        <f>ROUND('[7]2030'!F56,2)</f>
        <v>22954.68</v>
      </c>
      <c r="G101" s="135">
        <f>ROUND('[7]2030'!G56,2)</f>
        <v>22050.35</v>
      </c>
      <c r="H101" s="135">
        <f>ROUND('[7]2030'!H56,2)</f>
        <v>21428.3</v>
      </c>
      <c r="I101" s="135">
        <f>ROUND('[7]2030'!I56,2)</f>
        <v>21296.57</v>
      </c>
      <c r="J101" s="135">
        <f>ROUND('[7]2030'!J56,2)</f>
        <v>21444.54</v>
      </c>
      <c r="K101" s="135">
        <f>ROUND('[7]2030'!K56,2)</f>
        <v>21329.43</v>
      </c>
      <c r="L101" s="135">
        <f>ROUND('[7]2030'!L56,2)</f>
        <v>23759.46</v>
      </c>
      <c r="M101" s="135">
        <f>ROUND('[7]2030'!M56,2)</f>
        <v>26286.16</v>
      </c>
      <c r="N101" s="135">
        <f>ROUND('[7]2030'!N56,2)</f>
        <v>27750.35</v>
      </c>
      <c r="O101" s="135">
        <f>ROUND('[7]2030'!O56,2)</f>
        <v>29042.560000000001</v>
      </c>
      <c r="P101" s="135">
        <f>ROUND('[7]2030'!P56,2)</f>
        <v>30050.34</v>
      </c>
      <c r="Q101" s="135">
        <f>ROUND('[7]2030'!Q56,2)</f>
        <v>29402.36</v>
      </c>
      <c r="R101" s="135">
        <f>ROUND('[7]2030'!R56,2)</f>
        <v>29708.67</v>
      </c>
      <c r="S101" s="135">
        <f>ROUND('[7]2030'!S56,2)</f>
        <v>30557.56</v>
      </c>
      <c r="T101" s="135">
        <f>ROUND('[7]2030'!T56,2)</f>
        <v>30605.49</v>
      </c>
      <c r="U101" s="135">
        <f>ROUND('[7]2030'!U56,2)</f>
        <v>30120.43</v>
      </c>
      <c r="V101" s="135">
        <f>ROUND('[7]2030'!V56,2)</f>
        <v>30198.7</v>
      </c>
      <c r="W101" s="135">
        <f>ROUND('[7]2030'!W56,2)</f>
        <v>32737.89</v>
      </c>
      <c r="X101" s="135">
        <f>ROUND('[7]2030'!X56,2)</f>
        <v>32213.14</v>
      </c>
      <c r="Y101" s="135">
        <f>ROUND('[7]2030'!Y56,2)</f>
        <v>31174.11</v>
      </c>
      <c r="Z101" s="135">
        <f>ROUND('[7]2030'!Z56,2)</f>
        <v>29797.19</v>
      </c>
      <c r="AA101" s="135">
        <f>ROUND('[7]2030'!AA56,2)</f>
        <v>27950.95</v>
      </c>
      <c r="AB101" s="135">
        <f>ROUND('[7]2030'!AB56,2)</f>
        <v>25877.13</v>
      </c>
      <c r="AC101" s="282"/>
      <c r="AD101" s="19"/>
    </row>
    <row r="102" spans="2:50" ht="18.649999999999999" hidden="1" customHeight="1" x14ac:dyDescent="0.35">
      <c r="B102" s="261"/>
      <c r="C102" s="10" t="s">
        <v>31</v>
      </c>
      <c r="D102" s="11">
        <f>+'[7]2030'!D57</f>
        <v>4</v>
      </c>
      <c r="E102" s="135">
        <f>ROUND('[7]2030'!E57,2)</f>
        <v>22295.08</v>
      </c>
      <c r="F102" s="135">
        <f>ROUND('[7]2030'!F57,2)</f>
        <v>21110.5</v>
      </c>
      <c r="G102" s="135">
        <f>ROUND('[7]2030'!G57,2)</f>
        <v>20211.28</v>
      </c>
      <c r="H102" s="135">
        <f>ROUND('[7]2030'!H57,2)</f>
        <v>19520.599999999999</v>
      </c>
      <c r="I102" s="135">
        <f>ROUND('[7]2030'!I57,2)</f>
        <v>19286.580000000002</v>
      </c>
      <c r="J102" s="135">
        <f>ROUND('[7]2030'!J57,2)</f>
        <v>18992.46</v>
      </c>
      <c r="K102" s="135">
        <f>ROUND('[7]2030'!K57,2)</f>
        <v>18459.39</v>
      </c>
      <c r="L102" s="135">
        <f>ROUND('[7]2030'!L57,2)</f>
        <v>19675.27</v>
      </c>
      <c r="M102" s="135">
        <f>ROUND('[7]2030'!M57,2)</f>
        <v>21135.15</v>
      </c>
      <c r="N102" s="135">
        <f>ROUND('[7]2030'!N57,2)</f>
        <v>22274.83</v>
      </c>
      <c r="O102" s="135">
        <f>ROUND('[7]2030'!O57,2)</f>
        <v>23208.36</v>
      </c>
      <c r="P102" s="135">
        <f>ROUND('[7]2030'!P57,2)</f>
        <v>24035.84</v>
      </c>
      <c r="Q102" s="135">
        <f>ROUND('[7]2030'!Q57,2)</f>
        <v>24294.05</v>
      </c>
      <c r="R102" s="135">
        <f>ROUND('[7]2030'!R57,2)</f>
        <v>24417.19</v>
      </c>
      <c r="S102" s="135">
        <f>ROUND('[7]2030'!S57,2)</f>
        <v>24066.3</v>
      </c>
      <c r="T102" s="135">
        <f>ROUND('[7]2030'!T57,2)</f>
        <v>24090.9</v>
      </c>
      <c r="U102" s="135">
        <f>ROUND('[7]2030'!U57,2)</f>
        <v>24149.360000000001</v>
      </c>
      <c r="V102" s="135">
        <f>ROUND('[7]2030'!V57,2)</f>
        <v>25669.69</v>
      </c>
      <c r="W102" s="135">
        <f>ROUND('[7]2030'!W57,2)</f>
        <v>28643.119999999999</v>
      </c>
      <c r="X102" s="135">
        <f>ROUND('[7]2030'!X57,2)</f>
        <v>28749.3</v>
      </c>
      <c r="Y102" s="135">
        <f>ROUND('[7]2030'!Y57,2)</f>
        <v>27855.13</v>
      </c>
      <c r="Z102" s="135">
        <f>ROUND('[7]2030'!Z57,2)</f>
        <v>26184.18</v>
      </c>
      <c r="AA102" s="135">
        <f>ROUND('[7]2030'!AA57,2)</f>
        <v>24070.03</v>
      </c>
      <c r="AB102" s="135">
        <f>ROUND('[7]2030'!AB57,2)</f>
        <v>22078.97</v>
      </c>
      <c r="AC102" s="282"/>
      <c r="AD102" s="19"/>
    </row>
    <row r="103" spans="2:50" ht="18.649999999999999" hidden="1" customHeight="1" thickBot="1" x14ac:dyDescent="0.4">
      <c r="B103" s="261"/>
      <c r="C103" s="16" t="s">
        <v>32</v>
      </c>
      <c r="D103" s="17">
        <f>+'[7]2030'!D58</f>
        <v>2</v>
      </c>
      <c r="E103" s="136">
        <f>ROUND('[7]2030'!E58,2)</f>
        <v>22295.08</v>
      </c>
      <c r="F103" s="136">
        <f>ROUND('[7]2030'!F58,2)</f>
        <v>21110.5</v>
      </c>
      <c r="G103" s="136">
        <f>ROUND('[7]2030'!G58,2)</f>
        <v>20211.28</v>
      </c>
      <c r="H103" s="136">
        <f>ROUND('[7]2030'!H58,2)</f>
        <v>19520.599999999999</v>
      </c>
      <c r="I103" s="136">
        <f>ROUND('[7]2030'!I58,2)</f>
        <v>19286.580000000002</v>
      </c>
      <c r="J103" s="136">
        <f>ROUND('[7]2030'!J58,2)</f>
        <v>18992.46</v>
      </c>
      <c r="K103" s="136">
        <f>ROUND('[7]2030'!K58,2)</f>
        <v>18459.39</v>
      </c>
      <c r="L103" s="136">
        <f>ROUND('[7]2030'!L58,2)</f>
        <v>19675.27</v>
      </c>
      <c r="M103" s="136">
        <f>ROUND('[7]2030'!M58,2)</f>
        <v>21135.15</v>
      </c>
      <c r="N103" s="136">
        <f>ROUND('[7]2030'!N58,2)</f>
        <v>22274.83</v>
      </c>
      <c r="O103" s="136">
        <f>ROUND('[7]2030'!O58,2)</f>
        <v>23208.36</v>
      </c>
      <c r="P103" s="136">
        <f>ROUND('[7]2030'!P58,2)</f>
        <v>24035.84</v>
      </c>
      <c r="Q103" s="136">
        <f>ROUND('[7]2030'!Q58,2)</f>
        <v>24294.05</v>
      </c>
      <c r="R103" s="136">
        <f>ROUND('[7]2030'!R58,2)</f>
        <v>24417.19</v>
      </c>
      <c r="S103" s="136">
        <f>ROUND('[7]2030'!S58,2)</f>
        <v>24066.3</v>
      </c>
      <c r="T103" s="136">
        <f>ROUND('[7]2030'!T58,2)</f>
        <v>24090.9</v>
      </c>
      <c r="U103" s="136">
        <f>ROUND('[7]2030'!U58,2)</f>
        <v>24149.360000000001</v>
      </c>
      <c r="V103" s="136">
        <f>ROUND('[7]2030'!V58,2)</f>
        <v>25669.69</v>
      </c>
      <c r="W103" s="136">
        <f>ROUND('[7]2030'!W58,2)</f>
        <v>28643.119999999999</v>
      </c>
      <c r="X103" s="136">
        <f>ROUND('[7]2030'!X58,2)</f>
        <v>28749.3</v>
      </c>
      <c r="Y103" s="136">
        <f>ROUND('[7]2030'!Y58,2)</f>
        <v>27855.13</v>
      </c>
      <c r="Z103" s="136">
        <f>ROUND('[7]2030'!Z58,2)</f>
        <v>26184.18</v>
      </c>
      <c r="AA103" s="136">
        <f>ROUND('[7]2030'!AA58,2)</f>
        <v>24070.03</v>
      </c>
      <c r="AB103" s="136">
        <f>ROUND('[7]2030'!AB58,2)</f>
        <v>22078.97</v>
      </c>
      <c r="AC103" s="282"/>
      <c r="AD103" s="19"/>
    </row>
    <row r="104" spans="2:50" ht="18.649999999999999" hidden="1" customHeight="1" x14ac:dyDescent="0.35">
      <c r="B104" s="263">
        <v>47818</v>
      </c>
      <c r="C104" s="7" t="s">
        <v>29</v>
      </c>
      <c r="D104" s="8">
        <f>+'[7]2030'!D59</f>
        <v>21</v>
      </c>
      <c r="E104" s="134">
        <f>ROUND('[7]2030'!E59,2)</f>
        <v>23530.01</v>
      </c>
      <c r="F104" s="134">
        <f>ROUND('[7]2030'!F59,2)</f>
        <v>22288.240000000002</v>
      </c>
      <c r="G104" s="134">
        <f>ROUND('[7]2030'!G59,2)</f>
        <v>21349.61</v>
      </c>
      <c r="H104" s="134">
        <f>ROUND('[7]2030'!H59,2)</f>
        <v>20697.18</v>
      </c>
      <c r="I104" s="134">
        <f>ROUND('[7]2030'!I59,2)</f>
        <v>20553.830000000002</v>
      </c>
      <c r="J104" s="134">
        <f>ROUND('[7]2030'!J59,2)</f>
        <v>20658.23</v>
      </c>
      <c r="K104" s="134">
        <f>ROUND('[7]2030'!K59,2)</f>
        <v>20418.78</v>
      </c>
      <c r="L104" s="134">
        <f>ROUND('[7]2030'!L59,2)</f>
        <v>22609.11</v>
      </c>
      <c r="M104" s="134">
        <f>ROUND('[7]2030'!M59,2)</f>
        <v>24999.61</v>
      </c>
      <c r="N104" s="134">
        <f>ROUND('[7]2030'!N59,2)</f>
        <v>26512.07</v>
      </c>
      <c r="O104" s="134">
        <f>ROUND('[7]2030'!O59,2)</f>
        <v>27625.27</v>
      </c>
      <c r="P104" s="134">
        <f>ROUND('[7]2030'!P59,2)</f>
        <v>28293.26</v>
      </c>
      <c r="Q104" s="134">
        <f>ROUND('[7]2030'!Q59,2)</f>
        <v>27681.09</v>
      </c>
      <c r="R104" s="134">
        <f>ROUND('[7]2030'!R59,2)</f>
        <v>27242</v>
      </c>
      <c r="S104" s="134">
        <f>ROUND('[7]2030'!S59,2)</f>
        <v>27308.21</v>
      </c>
      <c r="T104" s="134">
        <f>ROUND('[7]2030'!T59,2)</f>
        <v>27289.18</v>
      </c>
      <c r="U104" s="134">
        <f>ROUND('[7]2030'!U59,2)</f>
        <v>26950.880000000001</v>
      </c>
      <c r="V104" s="134">
        <f>ROUND('[7]2030'!V59,2)</f>
        <v>27673.68</v>
      </c>
      <c r="W104" s="134">
        <f>ROUND('[7]2030'!W59,2)</f>
        <v>30476.32</v>
      </c>
      <c r="X104" s="134">
        <f>ROUND('[7]2030'!X59,2)</f>
        <v>29812.23</v>
      </c>
      <c r="Y104" s="134">
        <f>ROUND('[7]2030'!Y59,2)</f>
        <v>28530.2</v>
      </c>
      <c r="Z104" s="134">
        <f>ROUND('[7]2030'!Z59,2)</f>
        <v>27125.99</v>
      </c>
      <c r="AA104" s="134">
        <f>ROUND('[7]2030'!AA59,2)</f>
        <v>25763.919999999998</v>
      </c>
      <c r="AB104" s="134">
        <f>ROUND('[7]2030'!AB59,2)</f>
        <v>24237.599999999999</v>
      </c>
      <c r="AC104" s="283">
        <f>SUM(E104:AB104)*D104+SUM(E105:AB105)*D105+SUM(E106:AB106)*D106+SUM(E107:AB107)*D107</f>
        <v>18638820.899999999</v>
      </c>
      <c r="AD104" s="19"/>
    </row>
    <row r="105" spans="2:50" ht="18.649999999999999" hidden="1" customHeight="1" x14ac:dyDescent="0.35">
      <c r="B105" s="264" t="s">
        <v>34</v>
      </c>
      <c r="C105" s="10" t="s">
        <v>30</v>
      </c>
      <c r="D105" s="11">
        <f>+'[7]2030'!D60</f>
        <v>4</v>
      </c>
      <c r="E105" s="135">
        <f>ROUND('[7]2030'!E60,2)</f>
        <v>23094.51</v>
      </c>
      <c r="F105" s="135">
        <f>ROUND('[7]2030'!F60,2)</f>
        <v>21928.54</v>
      </c>
      <c r="G105" s="135">
        <f>ROUND('[7]2030'!G60,2)</f>
        <v>21052.9</v>
      </c>
      <c r="H105" s="135">
        <f>ROUND('[7]2030'!H60,2)</f>
        <v>20444.84</v>
      </c>
      <c r="I105" s="135">
        <f>ROUND('[7]2030'!I60,2)</f>
        <v>20378.13</v>
      </c>
      <c r="J105" s="135">
        <f>ROUND('[7]2030'!J60,2)</f>
        <v>20706.75</v>
      </c>
      <c r="K105" s="135">
        <f>ROUND('[7]2030'!K60,2)</f>
        <v>20794.77</v>
      </c>
      <c r="L105" s="135">
        <f>ROUND('[7]2030'!L60,2)</f>
        <v>23076.11</v>
      </c>
      <c r="M105" s="135">
        <f>ROUND('[7]2030'!M60,2)</f>
        <v>25441.4</v>
      </c>
      <c r="N105" s="135">
        <f>ROUND('[7]2030'!N60,2)</f>
        <v>26808.41</v>
      </c>
      <c r="O105" s="135">
        <f>ROUND('[7]2030'!O60,2)</f>
        <v>28144.32</v>
      </c>
      <c r="P105" s="135">
        <f>ROUND('[7]2030'!P60,2)</f>
        <v>29083.08</v>
      </c>
      <c r="Q105" s="135">
        <f>ROUND('[7]2030'!Q60,2)</f>
        <v>28351</v>
      </c>
      <c r="R105" s="135">
        <f>ROUND('[7]2030'!R60,2)</f>
        <v>28913.78</v>
      </c>
      <c r="S105" s="135">
        <f>ROUND('[7]2030'!S60,2)</f>
        <v>29866.26</v>
      </c>
      <c r="T105" s="135">
        <f>ROUND('[7]2030'!T60,2)</f>
        <v>29932.98</v>
      </c>
      <c r="U105" s="135">
        <f>ROUND('[7]2030'!U60,2)</f>
        <v>29418.25</v>
      </c>
      <c r="V105" s="135">
        <f>ROUND('[7]2030'!V60,2)</f>
        <v>28888.85</v>
      </c>
      <c r="W105" s="135">
        <f>ROUND('[7]2030'!W60,2)</f>
        <v>30893.33</v>
      </c>
      <c r="X105" s="135">
        <f>ROUND('[7]2030'!X60,2)</f>
        <v>31079.15</v>
      </c>
      <c r="Y105" s="135">
        <f>ROUND('[7]2030'!Y60,2)</f>
        <v>30296.76</v>
      </c>
      <c r="Z105" s="135">
        <f>ROUND('[7]2030'!Z60,2)</f>
        <v>28983.41</v>
      </c>
      <c r="AA105" s="135">
        <f>ROUND('[7]2030'!AA60,2)</f>
        <v>26971.11</v>
      </c>
      <c r="AB105" s="135">
        <f>ROUND('[7]2030'!AB60,2)</f>
        <v>24819.08</v>
      </c>
      <c r="AC105" s="282"/>
      <c r="AD105" s="19"/>
    </row>
    <row r="106" spans="2:50" ht="18.649999999999999" hidden="1" customHeight="1" x14ac:dyDescent="0.35">
      <c r="B106" s="264" t="s">
        <v>34</v>
      </c>
      <c r="C106" s="10" t="s">
        <v>31</v>
      </c>
      <c r="D106" s="11">
        <f>+'[7]2030'!D61</f>
        <v>4</v>
      </c>
      <c r="E106" s="135">
        <f>ROUND('[7]2030'!E61,2)</f>
        <v>22956.2</v>
      </c>
      <c r="F106" s="135">
        <f>ROUND('[7]2030'!F61,2)</f>
        <v>22244.26</v>
      </c>
      <c r="G106" s="135">
        <f>ROUND('[7]2030'!G61,2)</f>
        <v>21570.92</v>
      </c>
      <c r="H106" s="135">
        <f>ROUND('[7]2030'!H61,2)</f>
        <v>20925.48</v>
      </c>
      <c r="I106" s="135">
        <f>ROUND('[7]2030'!I61,2)</f>
        <v>20553.43</v>
      </c>
      <c r="J106" s="135">
        <f>ROUND('[7]2030'!J61,2)</f>
        <v>20015.3</v>
      </c>
      <c r="K106" s="135">
        <f>ROUND('[7]2030'!K61,2)</f>
        <v>18772.080000000002</v>
      </c>
      <c r="L106" s="135">
        <f>ROUND('[7]2030'!L61,2)</f>
        <v>19395.73</v>
      </c>
      <c r="M106" s="135">
        <f>ROUND('[7]2030'!M61,2)</f>
        <v>20409.68</v>
      </c>
      <c r="N106" s="135">
        <f>ROUND('[7]2030'!N61,2)</f>
        <v>21361.64</v>
      </c>
      <c r="O106" s="135">
        <f>ROUND('[7]2030'!O61,2)</f>
        <v>22249.11</v>
      </c>
      <c r="P106" s="135">
        <f>ROUND('[7]2030'!P61,2)</f>
        <v>23003.43</v>
      </c>
      <c r="Q106" s="135">
        <f>ROUND('[7]2030'!Q61,2)</f>
        <v>23415.72</v>
      </c>
      <c r="R106" s="135">
        <f>ROUND('[7]2030'!R61,2)</f>
        <v>23433.94</v>
      </c>
      <c r="S106" s="135">
        <f>ROUND('[7]2030'!S61,2)</f>
        <v>23327.91</v>
      </c>
      <c r="T106" s="135">
        <f>ROUND('[7]2030'!T61,2)</f>
        <v>23456.880000000001</v>
      </c>
      <c r="U106" s="135">
        <f>ROUND('[7]2030'!U61,2)</f>
        <v>23445.93</v>
      </c>
      <c r="V106" s="135">
        <f>ROUND('[7]2030'!V61,2)</f>
        <v>24203.79</v>
      </c>
      <c r="W106" s="135">
        <f>ROUND('[7]2030'!W61,2)</f>
        <v>27575.09</v>
      </c>
      <c r="X106" s="135">
        <f>ROUND('[7]2030'!X61,2)</f>
        <v>27830.080000000002</v>
      </c>
      <c r="Y106" s="135">
        <f>ROUND('[7]2030'!Y61,2)</f>
        <v>27477.54</v>
      </c>
      <c r="Z106" s="135">
        <f>ROUND('[7]2030'!Z61,2)</f>
        <v>26642.09</v>
      </c>
      <c r="AA106" s="135">
        <f>ROUND('[7]2030'!AA61,2)</f>
        <v>25265.13</v>
      </c>
      <c r="AB106" s="135">
        <f>ROUND('[7]2030'!AB61,2)</f>
        <v>23667.56</v>
      </c>
      <c r="AC106" s="282"/>
      <c r="AD106" s="19"/>
    </row>
    <row r="107" spans="2:50" ht="18.649999999999999" hidden="1" customHeight="1" thickBot="1" x14ac:dyDescent="0.4">
      <c r="B107" s="265" t="s">
        <v>34</v>
      </c>
      <c r="C107" s="12" t="s">
        <v>32</v>
      </c>
      <c r="D107" s="13">
        <f>+'[7]2030'!D62</f>
        <v>2</v>
      </c>
      <c r="E107" s="132">
        <f>ROUND('[7]2030'!E62,2)</f>
        <v>22956.2</v>
      </c>
      <c r="F107" s="132">
        <f>ROUND('[7]2030'!F62,2)</f>
        <v>22244.26</v>
      </c>
      <c r="G107" s="132">
        <f>ROUND('[7]2030'!G62,2)</f>
        <v>21570.92</v>
      </c>
      <c r="H107" s="132">
        <f>ROUND('[7]2030'!H62,2)</f>
        <v>20925.48</v>
      </c>
      <c r="I107" s="132">
        <f>ROUND('[7]2030'!I62,2)</f>
        <v>20553.43</v>
      </c>
      <c r="J107" s="132">
        <f>ROUND('[7]2030'!J62,2)</f>
        <v>20015.3</v>
      </c>
      <c r="K107" s="132">
        <f>ROUND('[7]2030'!K62,2)</f>
        <v>18772.080000000002</v>
      </c>
      <c r="L107" s="132">
        <f>ROUND('[7]2030'!L62,2)</f>
        <v>19395.73</v>
      </c>
      <c r="M107" s="132">
        <f>ROUND('[7]2030'!M62,2)</f>
        <v>20409.68</v>
      </c>
      <c r="N107" s="132">
        <f>ROUND('[7]2030'!N62,2)</f>
        <v>21361.64</v>
      </c>
      <c r="O107" s="132">
        <f>ROUND('[7]2030'!O62,2)</f>
        <v>22249.11</v>
      </c>
      <c r="P107" s="132">
        <f>ROUND('[7]2030'!P62,2)</f>
        <v>23003.43</v>
      </c>
      <c r="Q107" s="132">
        <f>ROUND('[7]2030'!Q62,2)</f>
        <v>23415.72</v>
      </c>
      <c r="R107" s="132">
        <f>ROUND('[7]2030'!R62,2)</f>
        <v>23433.94</v>
      </c>
      <c r="S107" s="132">
        <f>ROUND('[7]2030'!S62,2)</f>
        <v>23327.91</v>
      </c>
      <c r="T107" s="132">
        <f>ROUND('[7]2030'!T62,2)</f>
        <v>23456.880000000001</v>
      </c>
      <c r="U107" s="132">
        <f>ROUND('[7]2030'!U62,2)</f>
        <v>23445.93</v>
      </c>
      <c r="V107" s="132">
        <f>ROUND('[7]2030'!V62,2)</f>
        <v>24203.79</v>
      </c>
      <c r="W107" s="132">
        <f>ROUND('[7]2030'!W62,2)</f>
        <v>27575.09</v>
      </c>
      <c r="X107" s="132">
        <f>ROUND('[7]2030'!X62,2)</f>
        <v>27830.080000000002</v>
      </c>
      <c r="Y107" s="132">
        <f>ROUND('[7]2030'!Y62,2)</f>
        <v>27477.54</v>
      </c>
      <c r="Z107" s="132">
        <f>ROUND('[7]2030'!Z62,2)</f>
        <v>26642.09</v>
      </c>
      <c r="AA107" s="132">
        <f>ROUND('[7]2030'!AA62,2)</f>
        <v>25265.13</v>
      </c>
      <c r="AB107" s="132">
        <f>ROUND('[7]2030'!AB62,2)</f>
        <v>23667.56</v>
      </c>
      <c r="AC107" s="284"/>
      <c r="AD107" s="19"/>
    </row>
    <row r="108" spans="2:50" ht="18.649999999999999" hidden="1" customHeight="1" thickBot="1" x14ac:dyDescent="0.4"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285" t="s">
        <v>33</v>
      </c>
      <c r="AA108" s="286"/>
      <c r="AB108" s="287"/>
      <c r="AC108" s="198">
        <f>SUM(AC60:AC107)</f>
        <v>223404020.00999999</v>
      </c>
      <c r="AD108" s="18"/>
      <c r="AE108" s="19"/>
    </row>
    <row r="109" spans="2:50" ht="18.649999999999999" hidden="1" customHeight="1" x14ac:dyDescent="0.35">
      <c r="B109" s="260">
        <v>47849</v>
      </c>
      <c r="C109" s="7" t="s">
        <v>29</v>
      </c>
      <c r="D109" s="54">
        <f>+'[7]2031'!D15</f>
        <v>21</v>
      </c>
      <c r="E109" s="134">
        <f>ROUND('[7]2031'!E15,2)</f>
        <v>25841.93</v>
      </c>
      <c r="F109" s="134">
        <f>ROUND('[7]2031'!F15,2)</f>
        <v>24441.360000000001</v>
      </c>
      <c r="G109" s="134">
        <f>ROUND('[7]2031'!G15,2)</f>
        <v>23428.99</v>
      </c>
      <c r="H109" s="134">
        <f>ROUND('[7]2031'!H15,2)</f>
        <v>22721.19</v>
      </c>
      <c r="I109" s="134">
        <f>ROUND('[7]2031'!I15,2)</f>
        <v>22553.42</v>
      </c>
      <c r="J109" s="134">
        <f>ROUND('[7]2031'!J15,2)</f>
        <v>23103.98</v>
      </c>
      <c r="K109" s="134">
        <f>ROUND('[7]2031'!K15,2)</f>
        <v>22931.95</v>
      </c>
      <c r="L109" s="134">
        <f>ROUND('[7]2031'!L15,2)</f>
        <v>25643.64</v>
      </c>
      <c r="M109" s="134">
        <f>ROUND('[7]2031'!M15,2)</f>
        <v>28561.54</v>
      </c>
      <c r="N109" s="134">
        <f>ROUND('[7]2031'!N15,2)</f>
        <v>30251.27</v>
      </c>
      <c r="O109" s="134">
        <f>ROUND('[7]2031'!O15,2)</f>
        <v>31994.43</v>
      </c>
      <c r="P109" s="134">
        <f>ROUND('[7]2031'!P15,2)</f>
        <v>33234.089999999997</v>
      </c>
      <c r="Q109" s="134">
        <f>ROUND('[7]2031'!Q15,2)</f>
        <v>32310.63</v>
      </c>
      <c r="R109" s="134">
        <f>ROUND('[7]2031'!R15,2)</f>
        <v>33217.089999999997</v>
      </c>
      <c r="S109" s="134">
        <f>ROUND('[7]2031'!S15,2)</f>
        <v>34728.839999999997</v>
      </c>
      <c r="T109" s="134">
        <f>ROUND('[7]2031'!T15,2)</f>
        <v>34872.22</v>
      </c>
      <c r="U109" s="134">
        <f>ROUND('[7]2031'!U15,2)</f>
        <v>34150.379999999997</v>
      </c>
      <c r="V109" s="134">
        <f>ROUND('[7]2031'!V15,2)</f>
        <v>32778.03</v>
      </c>
      <c r="W109" s="134">
        <f>ROUND('[7]2031'!W15,2)</f>
        <v>34723.800000000003</v>
      </c>
      <c r="X109" s="134">
        <f>ROUND('[7]2031'!X15,2)</f>
        <v>34830.28</v>
      </c>
      <c r="Y109" s="134">
        <f>ROUND('[7]2031'!Y15,2)</f>
        <v>34007.11</v>
      </c>
      <c r="Z109" s="134">
        <f>ROUND('[7]2031'!Z15,2)</f>
        <v>32693.37</v>
      </c>
      <c r="AA109" s="134">
        <f>ROUND('[7]2031'!AA15,2)</f>
        <v>30527.21</v>
      </c>
      <c r="AB109" s="134">
        <f>ROUND('[7]2031'!AB15,2)</f>
        <v>28095.02</v>
      </c>
      <c r="AC109" s="283">
        <f>SUM(E109:AB109)*D109+SUM(E110:AB110)*D110+SUM(E111:AB111)*D111+SUM(E112:AB112)*D112</f>
        <v>21503344.190000001</v>
      </c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</row>
    <row r="110" spans="2:50" ht="18.649999999999999" hidden="1" customHeight="1" x14ac:dyDescent="0.35">
      <c r="B110" s="261"/>
      <c r="C110" s="10" t="s">
        <v>30</v>
      </c>
      <c r="D110" s="11">
        <f>+'[7]2031'!D16</f>
        <v>4</v>
      </c>
      <c r="E110" s="135">
        <f>ROUND('[7]2031'!E16,2)</f>
        <v>26036.66</v>
      </c>
      <c r="F110" s="135">
        <f>ROUND('[7]2031'!F16,2)</f>
        <v>24654.22</v>
      </c>
      <c r="G110" s="135">
        <f>ROUND('[7]2031'!G16,2)</f>
        <v>23630</v>
      </c>
      <c r="H110" s="135">
        <f>ROUND('[7]2031'!H16,2)</f>
        <v>22821.919999999998</v>
      </c>
      <c r="I110" s="135">
        <f>ROUND('[7]2031'!I16,2)</f>
        <v>22610.05</v>
      </c>
      <c r="J110" s="135">
        <f>ROUND('[7]2031'!J16,2)</f>
        <v>22709.21</v>
      </c>
      <c r="K110" s="135">
        <f>ROUND('[7]2031'!K16,2)</f>
        <v>22122.38</v>
      </c>
      <c r="L110" s="135">
        <f>ROUND('[7]2031'!L16,2)</f>
        <v>24228.06</v>
      </c>
      <c r="M110" s="135">
        <f>ROUND('[7]2031'!M16,2)</f>
        <v>27009.1</v>
      </c>
      <c r="N110" s="135">
        <f>ROUND('[7]2031'!N16,2)</f>
        <v>28849.56</v>
      </c>
      <c r="O110" s="135">
        <f>ROUND('[7]2031'!O16,2)</f>
        <v>30364.91</v>
      </c>
      <c r="P110" s="135">
        <f>ROUND('[7]2031'!P16,2)</f>
        <v>31314.75</v>
      </c>
      <c r="Q110" s="135">
        <f>ROUND('[7]2031'!Q16,2)</f>
        <v>30870.9</v>
      </c>
      <c r="R110" s="135">
        <f>ROUND('[7]2031'!R16,2)</f>
        <v>30559.69</v>
      </c>
      <c r="S110" s="135">
        <f>ROUND('[7]2031'!S16,2)</f>
        <v>30733.77</v>
      </c>
      <c r="T110" s="135">
        <f>ROUND('[7]2031'!T16,2)</f>
        <v>30723.98</v>
      </c>
      <c r="U110" s="135">
        <f>ROUND('[7]2031'!U16,2)</f>
        <v>30270.59</v>
      </c>
      <c r="V110" s="135">
        <f>ROUND('[7]2031'!V16,2)</f>
        <v>30039.09</v>
      </c>
      <c r="W110" s="135">
        <f>ROUND('[7]2031'!W16,2)</f>
        <v>33126.480000000003</v>
      </c>
      <c r="X110" s="135">
        <f>ROUND('[7]2031'!X16,2)</f>
        <v>33458.15</v>
      </c>
      <c r="Y110" s="135">
        <f>ROUND('[7]2031'!Y16,2)</f>
        <v>32533.38</v>
      </c>
      <c r="Z110" s="135">
        <f>ROUND('[7]2031'!Z16,2)</f>
        <v>31381.71</v>
      </c>
      <c r="AA110" s="135">
        <f>ROUND('[7]2031'!AA16,2)</f>
        <v>29817.55</v>
      </c>
      <c r="AB110" s="135">
        <f>ROUND('[7]2031'!AB16,2)</f>
        <v>27991.02</v>
      </c>
      <c r="AC110" s="282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</row>
    <row r="111" spans="2:50" ht="18.649999999999999" hidden="1" customHeight="1" x14ac:dyDescent="0.35">
      <c r="B111" s="261"/>
      <c r="C111" s="10" t="s">
        <v>31</v>
      </c>
      <c r="D111" s="11">
        <f>+'[7]2031'!D17</f>
        <v>4</v>
      </c>
      <c r="E111" s="135">
        <f>ROUND('[7]2031'!E17,2)</f>
        <v>26326.799999999999</v>
      </c>
      <c r="F111" s="135">
        <f>ROUND('[7]2031'!F17,2)</f>
        <v>24993.66</v>
      </c>
      <c r="G111" s="135">
        <f>ROUND('[7]2031'!G17,2)</f>
        <v>23912.52</v>
      </c>
      <c r="H111" s="135">
        <f>ROUND('[7]2031'!H17,2)</f>
        <v>23048.42</v>
      </c>
      <c r="I111" s="135">
        <f>ROUND('[7]2031'!I17,2)</f>
        <v>22609.17</v>
      </c>
      <c r="J111" s="135">
        <f>ROUND('[7]2031'!J17,2)</f>
        <v>22392.54</v>
      </c>
      <c r="K111" s="135">
        <f>ROUND('[7]2031'!K17,2)</f>
        <v>21237.82</v>
      </c>
      <c r="L111" s="135">
        <f>ROUND('[7]2031'!L17,2)</f>
        <v>22186.959999999999</v>
      </c>
      <c r="M111" s="135">
        <f>ROUND('[7]2031'!M17,2)</f>
        <v>23772.35</v>
      </c>
      <c r="N111" s="135">
        <f>ROUND('[7]2031'!N17,2)</f>
        <v>25387.91</v>
      </c>
      <c r="O111" s="135">
        <f>ROUND('[7]2031'!O17,2)</f>
        <v>26381.5</v>
      </c>
      <c r="P111" s="135">
        <f>ROUND('[7]2031'!P17,2)</f>
        <v>27266.26</v>
      </c>
      <c r="Q111" s="135">
        <f>ROUND('[7]2031'!Q17,2)</f>
        <v>27793.03</v>
      </c>
      <c r="R111" s="135">
        <f>ROUND('[7]2031'!R17,2)</f>
        <v>27911.79</v>
      </c>
      <c r="S111" s="135">
        <f>ROUND('[7]2031'!S17,2)</f>
        <v>27989.19</v>
      </c>
      <c r="T111" s="135">
        <f>ROUND('[7]2031'!T17,2)</f>
        <v>28035.71</v>
      </c>
      <c r="U111" s="135">
        <f>ROUND('[7]2031'!U17,2)</f>
        <v>27871.56</v>
      </c>
      <c r="V111" s="135">
        <f>ROUND('[7]2031'!V17,2)</f>
        <v>27900.02</v>
      </c>
      <c r="W111" s="135">
        <f>ROUND('[7]2031'!W17,2)</f>
        <v>31279.1</v>
      </c>
      <c r="X111" s="135">
        <f>ROUND('[7]2031'!X17,2)</f>
        <v>32300.6</v>
      </c>
      <c r="Y111" s="135">
        <f>ROUND('[7]2031'!Y17,2)</f>
        <v>32183.35</v>
      </c>
      <c r="Z111" s="135">
        <f>ROUND('[7]2031'!Z17,2)</f>
        <v>31294.080000000002</v>
      </c>
      <c r="AA111" s="135">
        <f>ROUND('[7]2031'!AA17,2)</f>
        <v>29611.78</v>
      </c>
      <c r="AB111" s="135">
        <f>ROUND('[7]2031'!AB17,2)</f>
        <v>27553.63</v>
      </c>
      <c r="AC111" s="282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</row>
    <row r="112" spans="2:50" ht="18.649999999999999" hidden="1" customHeight="1" thickBot="1" x14ac:dyDescent="0.4">
      <c r="B112" s="261"/>
      <c r="C112" s="16" t="s">
        <v>32</v>
      </c>
      <c r="D112" s="17">
        <f>+'[7]2031'!D18</f>
        <v>2</v>
      </c>
      <c r="E112" s="136">
        <f>ROUND('[7]2031'!E18,2)</f>
        <v>26326.799999999999</v>
      </c>
      <c r="F112" s="136">
        <f>ROUND('[7]2031'!F18,2)</f>
        <v>24993.66</v>
      </c>
      <c r="G112" s="136">
        <f>ROUND('[7]2031'!G18,2)</f>
        <v>23912.52</v>
      </c>
      <c r="H112" s="136">
        <f>ROUND('[7]2031'!H18,2)</f>
        <v>23048.42</v>
      </c>
      <c r="I112" s="136">
        <f>ROUND('[7]2031'!I18,2)</f>
        <v>22609.17</v>
      </c>
      <c r="J112" s="136">
        <f>ROUND('[7]2031'!J18,2)</f>
        <v>22392.54</v>
      </c>
      <c r="K112" s="136">
        <f>ROUND('[7]2031'!K18,2)</f>
        <v>21237.82</v>
      </c>
      <c r="L112" s="136">
        <f>ROUND('[7]2031'!L18,2)</f>
        <v>22186.959999999999</v>
      </c>
      <c r="M112" s="136">
        <f>ROUND('[7]2031'!M18,2)</f>
        <v>23772.35</v>
      </c>
      <c r="N112" s="136">
        <f>ROUND('[7]2031'!N18,2)</f>
        <v>25387.91</v>
      </c>
      <c r="O112" s="136">
        <f>ROUND('[7]2031'!O18,2)</f>
        <v>26381.5</v>
      </c>
      <c r="P112" s="136">
        <f>ROUND('[7]2031'!P18,2)</f>
        <v>27266.26</v>
      </c>
      <c r="Q112" s="136">
        <f>ROUND('[7]2031'!Q18,2)</f>
        <v>27793.03</v>
      </c>
      <c r="R112" s="136">
        <f>ROUND('[7]2031'!R18,2)</f>
        <v>27911.79</v>
      </c>
      <c r="S112" s="136">
        <f>ROUND('[7]2031'!S18,2)</f>
        <v>27989.19</v>
      </c>
      <c r="T112" s="136">
        <f>ROUND('[7]2031'!T18,2)</f>
        <v>28035.71</v>
      </c>
      <c r="U112" s="136">
        <f>ROUND('[7]2031'!U18,2)</f>
        <v>27871.56</v>
      </c>
      <c r="V112" s="136">
        <f>ROUND('[7]2031'!V18,2)</f>
        <v>27900.02</v>
      </c>
      <c r="W112" s="136">
        <f>ROUND('[7]2031'!W18,2)</f>
        <v>31279.1</v>
      </c>
      <c r="X112" s="136">
        <f>ROUND('[7]2031'!X18,2)</f>
        <v>32300.6</v>
      </c>
      <c r="Y112" s="136">
        <f>ROUND('[7]2031'!Y18,2)</f>
        <v>32183.35</v>
      </c>
      <c r="Z112" s="136">
        <f>ROUND('[7]2031'!Z18,2)</f>
        <v>31294.080000000002</v>
      </c>
      <c r="AA112" s="136">
        <f>ROUND('[7]2031'!AA18,2)</f>
        <v>29611.78</v>
      </c>
      <c r="AB112" s="136">
        <f>ROUND('[7]2031'!AB18,2)</f>
        <v>27553.63</v>
      </c>
      <c r="AC112" s="282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</row>
    <row r="113" spans="2:30" ht="18.649999999999999" hidden="1" customHeight="1" x14ac:dyDescent="0.35">
      <c r="B113" s="263">
        <v>47880</v>
      </c>
      <c r="C113" s="7" t="s">
        <v>29</v>
      </c>
      <c r="D113" s="8">
        <f>+'[7]2031'!D19</f>
        <v>20</v>
      </c>
      <c r="E113" s="134">
        <f>ROUND('[7]2031'!E19,2)</f>
        <v>26678.39</v>
      </c>
      <c r="F113" s="134">
        <f>ROUND('[7]2031'!F19,2)</f>
        <v>25270.59</v>
      </c>
      <c r="G113" s="134">
        <f>ROUND('[7]2031'!G19,2)</f>
        <v>24265.02</v>
      </c>
      <c r="H113" s="134">
        <f>ROUND('[7]2031'!H19,2)</f>
        <v>23606.78</v>
      </c>
      <c r="I113" s="134">
        <f>ROUND('[7]2031'!I19,2)</f>
        <v>23655.11</v>
      </c>
      <c r="J113" s="134">
        <f>ROUND('[7]2031'!J19,2)</f>
        <v>24968.98</v>
      </c>
      <c r="K113" s="134">
        <f>ROUND('[7]2031'!K19,2)</f>
        <v>24902.27</v>
      </c>
      <c r="L113" s="134">
        <f>ROUND('[7]2031'!L19,2)</f>
        <v>27473.08</v>
      </c>
      <c r="M113" s="134">
        <f>ROUND('[7]2031'!M19,2)</f>
        <v>30065.35</v>
      </c>
      <c r="N113" s="134">
        <f>ROUND('[7]2031'!N19,2)</f>
        <v>31338.32</v>
      </c>
      <c r="O113" s="134">
        <f>ROUND('[7]2031'!O19,2)</f>
        <v>32859.129999999997</v>
      </c>
      <c r="P113" s="134">
        <f>ROUND('[7]2031'!P19,2)</f>
        <v>33879.46</v>
      </c>
      <c r="Q113" s="134">
        <f>ROUND('[7]2031'!Q19,2)</f>
        <v>32604.37</v>
      </c>
      <c r="R113" s="134">
        <f>ROUND('[7]2031'!R19,2)</f>
        <v>33767.18</v>
      </c>
      <c r="S113" s="134">
        <f>ROUND('[7]2031'!S19,2)</f>
        <v>35476.21</v>
      </c>
      <c r="T113" s="134">
        <f>ROUND('[7]2031'!T19,2)</f>
        <v>35695.86</v>
      </c>
      <c r="U113" s="134">
        <f>ROUND('[7]2031'!U19,2)</f>
        <v>35070.69</v>
      </c>
      <c r="V113" s="134">
        <f>ROUND('[7]2031'!V19,2)</f>
        <v>33577.14</v>
      </c>
      <c r="W113" s="134">
        <f>ROUND('[7]2031'!W19,2)</f>
        <v>35361.839999999997</v>
      </c>
      <c r="X113" s="134">
        <f>ROUND('[7]2031'!X19,2)</f>
        <v>35934.17</v>
      </c>
      <c r="Y113" s="134">
        <f>ROUND('[7]2031'!Y19,2)</f>
        <v>35222.660000000003</v>
      </c>
      <c r="Z113" s="134">
        <f>ROUND('[7]2031'!Z19,2)</f>
        <v>33688.79</v>
      </c>
      <c r="AA113" s="134">
        <f>ROUND('[7]2031'!AA19,2)</f>
        <v>31188.78</v>
      </c>
      <c r="AB113" s="134">
        <f>ROUND('[7]2031'!AB19,2)</f>
        <v>28674.77</v>
      </c>
      <c r="AC113" s="283">
        <f>SUM(E113:AB113)*D113+SUM(E114:AB114)*D114+SUM(E115:AB115)*D115+SUM(E116:AB116)*D116</f>
        <v>20204289.399999999</v>
      </c>
      <c r="AD113" s="19"/>
    </row>
    <row r="114" spans="2:30" ht="18.649999999999999" hidden="1" customHeight="1" x14ac:dyDescent="0.35">
      <c r="B114" s="264" t="s">
        <v>34</v>
      </c>
      <c r="C114" s="10" t="s">
        <v>30</v>
      </c>
      <c r="D114" s="11">
        <f>+'[7]2031'!D20</f>
        <v>4</v>
      </c>
      <c r="E114" s="135">
        <f>ROUND('[7]2031'!E20,2)</f>
        <v>26763.47</v>
      </c>
      <c r="F114" s="135">
        <f>ROUND('[7]2031'!F20,2)</f>
        <v>25460.31</v>
      </c>
      <c r="G114" s="135">
        <f>ROUND('[7]2031'!G20,2)</f>
        <v>24327.68</v>
      </c>
      <c r="H114" s="135">
        <f>ROUND('[7]2031'!H20,2)</f>
        <v>23559.4</v>
      </c>
      <c r="I114" s="135">
        <f>ROUND('[7]2031'!I20,2)</f>
        <v>23266.06</v>
      </c>
      <c r="J114" s="135">
        <f>ROUND('[7]2031'!J20,2)</f>
        <v>23498.87</v>
      </c>
      <c r="K114" s="135">
        <f>ROUND('[7]2031'!K20,2)</f>
        <v>23261.97</v>
      </c>
      <c r="L114" s="135">
        <f>ROUND('[7]2031'!L20,2)</f>
        <v>25573.73</v>
      </c>
      <c r="M114" s="135">
        <f>ROUND('[7]2031'!M20,2)</f>
        <v>28353.25</v>
      </c>
      <c r="N114" s="135">
        <f>ROUND('[7]2031'!N20,2)</f>
        <v>30099.02</v>
      </c>
      <c r="O114" s="135">
        <f>ROUND('[7]2031'!O20,2)</f>
        <v>31526.42</v>
      </c>
      <c r="P114" s="135">
        <f>ROUND('[7]2031'!P20,2)</f>
        <v>32471.85</v>
      </c>
      <c r="Q114" s="135">
        <f>ROUND('[7]2031'!Q20,2)</f>
        <v>31905.439999999999</v>
      </c>
      <c r="R114" s="135">
        <f>ROUND('[7]2031'!R20,2)</f>
        <v>31533.200000000001</v>
      </c>
      <c r="S114" s="135">
        <f>ROUND('[7]2031'!S20,2)</f>
        <v>31698.77</v>
      </c>
      <c r="T114" s="135">
        <f>ROUND('[7]2031'!T20,2)</f>
        <v>31694.799999999999</v>
      </c>
      <c r="U114" s="135">
        <f>ROUND('[7]2031'!U20,2)</f>
        <v>31213.61</v>
      </c>
      <c r="V114" s="135">
        <f>ROUND('[7]2031'!V20,2)</f>
        <v>30996.19</v>
      </c>
      <c r="W114" s="135">
        <f>ROUND('[7]2031'!W20,2)</f>
        <v>33951.769999999997</v>
      </c>
      <c r="X114" s="135">
        <f>ROUND('[7]2031'!X20,2)</f>
        <v>34641.75</v>
      </c>
      <c r="Y114" s="135">
        <f>ROUND('[7]2031'!Y20,2)</f>
        <v>33741.599999999999</v>
      </c>
      <c r="Z114" s="135">
        <f>ROUND('[7]2031'!Z20,2)</f>
        <v>32525.87</v>
      </c>
      <c r="AA114" s="135">
        <f>ROUND('[7]2031'!AA20,2)</f>
        <v>30873.55</v>
      </c>
      <c r="AB114" s="135">
        <f>ROUND('[7]2031'!AB20,2)</f>
        <v>28930.13</v>
      </c>
      <c r="AC114" s="282"/>
      <c r="AD114" s="19"/>
    </row>
    <row r="115" spans="2:30" ht="18.649999999999999" hidden="1" customHeight="1" x14ac:dyDescent="0.35">
      <c r="B115" s="264" t="s">
        <v>34</v>
      </c>
      <c r="C115" s="10" t="s">
        <v>31</v>
      </c>
      <c r="D115" s="11">
        <f>+'[7]2031'!D21</f>
        <v>4</v>
      </c>
      <c r="E115" s="135">
        <f>ROUND('[7]2031'!E21,2)</f>
        <v>27179.5</v>
      </c>
      <c r="F115" s="135">
        <f>ROUND('[7]2031'!F21,2)</f>
        <v>25787.89</v>
      </c>
      <c r="G115" s="135">
        <f>ROUND('[7]2031'!G21,2)</f>
        <v>24711.360000000001</v>
      </c>
      <c r="H115" s="135">
        <f>ROUND('[7]2031'!H21,2)</f>
        <v>23921.64</v>
      </c>
      <c r="I115" s="135">
        <f>ROUND('[7]2031'!I21,2)</f>
        <v>23421.48</v>
      </c>
      <c r="J115" s="135">
        <f>ROUND('[7]2031'!J21,2)</f>
        <v>23316.42</v>
      </c>
      <c r="K115" s="135">
        <f>ROUND('[7]2031'!K21,2)</f>
        <v>22288.89</v>
      </c>
      <c r="L115" s="135">
        <f>ROUND('[7]2031'!L21,2)</f>
        <v>23284.77</v>
      </c>
      <c r="M115" s="135">
        <f>ROUND('[7]2031'!M21,2)</f>
        <v>24915.45</v>
      </c>
      <c r="N115" s="135">
        <f>ROUND('[7]2031'!N21,2)</f>
        <v>26396.240000000002</v>
      </c>
      <c r="O115" s="135">
        <f>ROUND('[7]2031'!O21,2)</f>
        <v>27476.17</v>
      </c>
      <c r="P115" s="135">
        <f>ROUND('[7]2031'!P21,2)</f>
        <v>28574.53</v>
      </c>
      <c r="Q115" s="135">
        <f>ROUND('[7]2031'!Q21,2)</f>
        <v>29204.47</v>
      </c>
      <c r="R115" s="135">
        <f>ROUND('[7]2031'!R21,2)</f>
        <v>29397.5</v>
      </c>
      <c r="S115" s="135">
        <f>ROUND('[7]2031'!S21,2)</f>
        <v>29572.21</v>
      </c>
      <c r="T115" s="135">
        <f>ROUND('[7]2031'!T21,2)</f>
        <v>29707.31</v>
      </c>
      <c r="U115" s="135">
        <f>ROUND('[7]2031'!U21,2)</f>
        <v>29512.44</v>
      </c>
      <c r="V115" s="135">
        <f>ROUND('[7]2031'!V21,2)</f>
        <v>29443.3</v>
      </c>
      <c r="W115" s="135">
        <f>ROUND('[7]2031'!W21,2)</f>
        <v>32737.25</v>
      </c>
      <c r="X115" s="135">
        <f>ROUND('[7]2031'!X21,2)</f>
        <v>34211.870000000003</v>
      </c>
      <c r="Y115" s="135">
        <f>ROUND('[7]2031'!Y21,2)</f>
        <v>34237.19</v>
      </c>
      <c r="Z115" s="135">
        <f>ROUND('[7]2031'!Z21,2)</f>
        <v>33387.980000000003</v>
      </c>
      <c r="AA115" s="135">
        <f>ROUND('[7]2031'!AA21,2)</f>
        <v>31390.29</v>
      </c>
      <c r="AB115" s="135">
        <f>ROUND('[7]2031'!AB21,2)</f>
        <v>29002.79</v>
      </c>
      <c r="AC115" s="282"/>
      <c r="AD115" s="19"/>
    </row>
    <row r="116" spans="2:30" ht="18.649999999999999" hidden="1" customHeight="1" thickBot="1" x14ac:dyDescent="0.4">
      <c r="B116" s="265" t="s">
        <v>34</v>
      </c>
      <c r="C116" s="12" t="s">
        <v>32</v>
      </c>
      <c r="D116" s="13">
        <f>+'[7]2031'!D22</f>
        <v>0</v>
      </c>
      <c r="E116" s="199">
        <f>ROUND('[7]2031'!E22,2)</f>
        <v>0</v>
      </c>
      <c r="F116" s="115">
        <f>ROUND('[7]2031'!F22,2)</f>
        <v>0</v>
      </c>
      <c r="G116" s="115">
        <f>ROUND('[7]2031'!G22,2)</f>
        <v>0</v>
      </c>
      <c r="H116" s="115">
        <f>ROUND('[7]2031'!H22,2)</f>
        <v>0</v>
      </c>
      <c r="I116" s="115">
        <f>ROUND('[7]2031'!I22,2)</f>
        <v>0</v>
      </c>
      <c r="J116" s="115">
        <f>ROUND('[7]2031'!J22,2)</f>
        <v>0</v>
      </c>
      <c r="K116" s="115">
        <f>ROUND('[7]2031'!K22,2)</f>
        <v>0</v>
      </c>
      <c r="L116" s="115">
        <f>ROUND('[7]2031'!L22,2)</f>
        <v>0</v>
      </c>
      <c r="M116" s="115">
        <f>ROUND('[7]2031'!M22,2)</f>
        <v>0</v>
      </c>
      <c r="N116" s="115">
        <f>ROUND('[7]2031'!N22,2)</f>
        <v>0</v>
      </c>
      <c r="O116" s="115">
        <f>ROUND('[7]2031'!O22,2)</f>
        <v>0</v>
      </c>
      <c r="P116" s="115">
        <f>ROUND('[7]2031'!P22,2)</f>
        <v>0</v>
      </c>
      <c r="Q116" s="115">
        <f>ROUND('[7]2031'!Q22,2)</f>
        <v>0</v>
      </c>
      <c r="R116" s="115">
        <f>ROUND('[7]2031'!R22,2)</f>
        <v>0</v>
      </c>
      <c r="S116" s="115">
        <f>ROUND('[7]2031'!S22,2)</f>
        <v>0</v>
      </c>
      <c r="T116" s="115">
        <f>ROUND('[7]2031'!T22,2)</f>
        <v>0</v>
      </c>
      <c r="U116" s="115">
        <f>ROUND('[7]2031'!U22,2)</f>
        <v>0</v>
      </c>
      <c r="V116" s="115">
        <f>ROUND('[7]2031'!V22,2)</f>
        <v>0</v>
      </c>
      <c r="W116" s="115">
        <f>ROUND('[7]2031'!W22,2)</f>
        <v>0</v>
      </c>
      <c r="X116" s="115">
        <f>ROUND('[7]2031'!X22,2)</f>
        <v>0</v>
      </c>
      <c r="Y116" s="115">
        <f>ROUND('[7]2031'!Y22,2)</f>
        <v>0</v>
      </c>
      <c r="Z116" s="115">
        <f>ROUND('[7]2031'!Z22,2)</f>
        <v>0</v>
      </c>
      <c r="AA116" s="115">
        <f>ROUND('[7]2031'!AA22,2)</f>
        <v>0</v>
      </c>
      <c r="AB116" s="115">
        <f>ROUND('[7]2031'!AB22,2)</f>
        <v>0</v>
      </c>
      <c r="AC116" s="284"/>
      <c r="AD116" s="19"/>
    </row>
    <row r="117" spans="2:30" ht="18.649999999999999" hidden="1" customHeight="1" x14ac:dyDescent="0.35">
      <c r="B117" s="260">
        <v>47908</v>
      </c>
      <c r="C117" s="14" t="s">
        <v>29</v>
      </c>
      <c r="D117" s="15">
        <f>+'[7]2031'!D23</f>
        <v>20</v>
      </c>
      <c r="E117" s="137">
        <f>ROUND('[7]2031'!E23,2)</f>
        <v>27047.98</v>
      </c>
      <c r="F117" s="137">
        <f>ROUND('[7]2031'!F23,2)</f>
        <v>25618.560000000001</v>
      </c>
      <c r="G117" s="137">
        <f>ROUND('[7]2031'!G23,2)</f>
        <v>24541.35</v>
      </c>
      <c r="H117" s="137">
        <f>ROUND('[7]2031'!H23,2)</f>
        <v>23746.34</v>
      </c>
      <c r="I117" s="137">
        <f>ROUND('[7]2031'!I23,2)</f>
        <v>23626.85</v>
      </c>
      <c r="J117" s="137">
        <f>ROUND('[7]2031'!J23,2)</f>
        <v>24491.97</v>
      </c>
      <c r="K117" s="137">
        <f>ROUND('[7]2031'!K23,2)</f>
        <v>24323.77</v>
      </c>
      <c r="L117" s="137">
        <f>ROUND('[7]2031'!L23,2)</f>
        <v>27111.95</v>
      </c>
      <c r="M117" s="137">
        <f>ROUND('[7]2031'!M23,2)</f>
        <v>29924</v>
      </c>
      <c r="N117" s="137">
        <f>ROUND('[7]2031'!N23,2)</f>
        <v>31395.73</v>
      </c>
      <c r="O117" s="137">
        <f>ROUND('[7]2031'!O23,2)</f>
        <v>33065.1</v>
      </c>
      <c r="P117" s="137">
        <f>ROUND('[7]2031'!P23,2)</f>
        <v>34151.93</v>
      </c>
      <c r="Q117" s="137">
        <f>ROUND('[7]2031'!Q23,2)</f>
        <v>32922.78</v>
      </c>
      <c r="R117" s="137">
        <f>ROUND('[7]2031'!R23,2)</f>
        <v>34234.81</v>
      </c>
      <c r="S117" s="137">
        <f>ROUND('[7]2031'!S23,2)</f>
        <v>35825.089999999997</v>
      </c>
      <c r="T117" s="137">
        <f>ROUND('[7]2031'!T23,2)</f>
        <v>35995.96</v>
      </c>
      <c r="U117" s="137">
        <f>ROUND('[7]2031'!U23,2)</f>
        <v>35370.400000000001</v>
      </c>
      <c r="V117" s="137">
        <f>ROUND('[7]2031'!V23,2)</f>
        <v>33859.51</v>
      </c>
      <c r="W117" s="137">
        <f>ROUND('[7]2031'!W23,2)</f>
        <v>35378.400000000001</v>
      </c>
      <c r="X117" s="137">
        <f>ROUND('[7]2031'!X23,2)</f>
        <v>35820.6</v>
      </c>
      <c r="Y117" s="137">
        <f>ROUND('[7]2031'!Y23,2)</f>
        <v>35176.6</v>
      </c>
      <c r="Z117" s="137">
        <f>ROUND('[7]2031'!Z23,2)</f>
        <v>33811.64</v>
      </c>
      <c r="AA117" s="137">
        <f>ROUND('[7]2031'!AA23,2)</f>
        <v>31676.18</v>
      </c>
      <c r="AB117" s="137">
        <f>ROUND('[7]2031'!AB23,2)</f>
        <v>29274.04</v>
      </c>
      <c r="AC117" s="282">
        <f>SUM(E117:AB117)*D117+SUM(E118:AB118)*D118+SUM(E119:AB119)*D119+SUM(E120:AB120)*D120</f>
        <v>22118161.210000001</v>
      </c>
      <c r="AD117" s="19"/>
    </row>
    <row r="118" spans="2:30" ht="18.649999999999999" hidden="1" customHeight="1" x14ac:dyDescent="0.35">
      <c r="B118" s="261"/>
      <c r="C118" s="10" t="s">
        <v>30</v>
      </c>
      <c r="D118" s="11">
        <f>+'[7]2031'!D24</f>
        <v>5</v>
      </c>
      <c r="E118" s="135">
        <f>ROUND('[7]2031'!E24,2)</f>
        <v>27126.55</v>
      </c>
      <c r="F118" s="135">
        <f>ROUND('[7]2031'!F24,2)</f>
        <v>25651.75</v>
      </c>
      <c r="G118" s="135">
        <f>ROUND('[7]2031'!G24,2)</f>
        <v>24612.9</v>
      </c>
      <c r="H118" s="135">
        <f>ROUND('[7]2031'!H24,2)</f>
        <v>23790.79</v>
      </c>
      <c r="I118" s="135">
        <f>ROUND('[7]2031'!I24,2)</f>
        <v>23300.02</v>
      </c>
      <c r="J118" s="135">
        <f>ROUND('[7]2031'!J24,2)</f>
        <v>23225</v>
      </c>
      <c r="K118" s="135">
        <f>ROUND('[7]2031'!K24,2)</f>
        <v>22884.81</v>
      </c>
      <c r="L118" s="135">
        <f>ROUND('[7]2031'!L24,2)</f>
        <v>25074.11</v>
      </c>
      <c r="M118" s="135">
        <f>ROUND('[7]2031'!M24,2)</f>
        <v>27713.15</v>
      </c>
      <c r="N118" s="135">
        <f>ROUND('[7]2031'!N24,2)</f>
        <v>29365.78</v>
      </c>
      <c r="O118" s="135">
        <f>ROUND('[7]2031'!O24,2)</f>
        <v>30682.23</v>
      </c>
      <c r="P118" s="135">
        <f>ROUND('[7]2031'!P24,2)</f>
        <v>31523.83</v>
      </c>
      <c r="Q118" s="135">
        <f>ROUND('[7]2031'!Q24,2)</f>
        <v>31076.78</v>
      </c>
      <c r="R118" s="135">
        <f>ROUND('[7]2031'!R24,2)</f>
        <v>30753.01</v>
      </c>
      <c r="S118" s="135">
        <f>ROUND('[7]2031'!S24,2)</f>
        <v>30568.07</v>
      </c>
      <c r="T118" s="135">
        <f>ROUND('[7]2031'!T24,2)</f>
        <v>31323.02</v>
      </c>
      <c r="U118" s="135">
        <f>ROUND('[7]2031'!U24,2)</f>
        <v>30261.24</v>
      </c>
      <c r="V118" s="135">
        <f>ROUND('[7]2031'!V24,2)</f>
        <v>30015.56</v>
      </c>
      <c r="W118" s="135">
        <f>ROUND('[7]2031'!W24,2)</f>
        <v>33158.1</v>
      </c>
      <c r="X118" s="135">
        <f>ROUND('[7]2031'!X24,2)</f>
        <v>33652.720000000001</v>
      </c>
      <c r="Y118" s="135">
        <f>ROUND('[7]2031'!Y24,2)</f>
        <v>32835.480000000003</v>
      </c>
      <c r="Z118" s="135">
        <f>ROUND('[7]2031'!Z24,2)</f>
        <v>31783.8</v>
      </c>
      <c r="AA118" s="135">
        <f>ROUND('[7]2031'!AA24,2)</f>
        <v>30388.92</v>
      </c>
      <c r="AB118" s="135">
        <f>ROUND('[7]2031'!AB24,2)</f>
        <v>28616.07</v>
      </c>
      <c r="AC118" s="282"/>
      <c r="AD118" s="19"/>
    </row>
    <row r="119" spans="2:30" ht="18.649999999999999" hidden="1" customHeight="1" x14ac:dyDescent="0.35">
      <c r="B119" s="261"/>
      <c r="C119" s="10" t="s">
        <v>31</v>
      </c>
      <c r="D119" s="11">
        <f>+'[7]2031'!D25</f>
        <v>5</v>
      </c>
      <c r="E119" s="135">
        <f>ROUND('[7]2031'!E25,2)</f>
        <v>26909.279999999999</v>
      </c>
      <c r="F119" s="135">
        <f>ROUND('[7]2031'!F25,2)</f>
        <v>25531.7</v>
      </c>
      <c r="G119" s="135">
        <f>ROUND('[7]2031'!G25,2)</f>
        <v>24302.07</v>
      </c>
      <c r="H119" s="135">
        <f>ROUND('[7]2031'!H25,2)</f>
        <v>23439.38</v>
      </c>
      <c r="I119" s="135">
        <f>ROUND('[7]2031'!I25,2)</f>
        <v>23039.34</v>
      </c>
      <c r="J119" s="135">
        <f>ROUND('[7]2031'!J25,2)</f>
        <v>22778.73</v>
      </c>
      <c r="K119" s="135">
        <f>ROUND('[7]2031'!K25,2)</f>
        <v>21665.919999999998</v>
      </c>
      <c r="L119" s="135">
        <f>ROUND('[7]2031'!L25,2)</f>
        <v>22707.84</v>
      </c>
      <c r="M119" s="135">
        <f>ROUND('[7]2031'!M25,2)</f>
        <v>24217.48</v>
      </c>
      <c r="N119" s="135">
        <f>ROUND('[7]2031'!N25,2)</f>
        <v>25597.83</v>
      </c>
      <c r="O119" s="135">
        <f>ROUND('[7]2031'!O25,2)</f>
        <v>26644.26</v>
      </c>
      <c r="P119" s="135">
        <f>ROUND('[7]2031'!P25,2)</f>
        <v>27633.57</v>
      </c>
      <c r="Q119" s="135">
        <f>ROUND('[7]2031'!Q25,2)</f>
        <v>28130.52</v>
      </c>
      <c r="R119" s="135">
        <f>ROUND('[7]2031'!R25,2)</f>
        <v>28257.5</v>
      </c>
      <c r="S119" s="135">
        <f>ROUND('[7]2031'!S25,2)</f>
        <v>28402.82</v>
      </c>
      <c r="T119" s="135">
        <f>ROUND('[7]2031'!T25,2)</f>
        <v>28605.31</v>
      </c>
      <c r="U119" s="135">
        <f>ROUND('[7]2031'!U25,2)</f>
        <v>28251.83</v>
      </c>
      <c r="V119" s="135">
        <f>ROUND('[7]2031'!V25,2)</f>
        <v>28319.8</v>
      </c>
      <c r="W119" s="135">
        <f>ROUND('[7]2031'!W25,2)</f>
        <v>31369.06</v>
      </c>
      <c r="X119" s="135">
        <f>ROUND('[7]2031'!X25,2)</f>
        <v>32496.71</v>
      </c>
      <c r="Y119" s="135">
        <f>ROUND('[7]2031'!Y25,2)</f>
        <v>32438.32</v>
      </c>
      <c r="Z119" s="135">
        <f>ROUND('[7]2031'!Z25,2)</f>
        <v>31809.88</v>
      </c>
      <c r="AA119" s="135">
        <f>ROUND('[7]2031'!AA25,2)</f>
        <v>30119.05</v>
      </c>
      <c r="AB119" s="135">
        <f>ROUND('[7]2031'!AB25,2)</f>
        <v>27900.46</v>
      </c>
      <c r="AC119" s="282"/>
      <c r="AD119" s="19"/>
    </row>
    <row r="120" spans="2:30" ht="18.649999999999999" hidden="1" customHeight="1" thickBot="1" x14ac:dyDescent="0.4">
      <c r="B120" s="261"/>
      <c r="C120" s="16" t="s">
        <v>32</v>
      </c>
      <c r="D120" s="17">
        <f>+'[7]2031'!D26</f>
        <v>1</v>
      </c>
      <c r="E120" s="136">
        <f>ROUND('[7]2031'!E26,2)</f>
        <v>26909.279999999999</v>
      </c>
      <c r="F120" s="136">
        <f>ROUND('[7]2031'!F26,2)</f>
        <v>25531.7</v>
      </c>
      <c r="G120" s="136">
        <f>ROUND('[7]2031'!G26,2)</f>
        <v>24302.07</v>
      </c>
      <c r="H120" s="136">
        <f>ROUND('[7]2031'!H26,2)</f>
        <v>23439.38</v>
      </c>
      <c r="I120" s="136">
        <f>ROUND('[7]2031'!I26,2)</f>
        <v>23039.34</v>
      </c>
      <c r="J120" s="136">
        <f>ROUND('[7]2031'!J26,2)</f>
        <v>22778.73</v>
      </c>
      <c r="K120" s="136">
        <f>ROUND('[7]2031'!K26,2)</f>
        <v>21665.919999999998</v>
      </c>
      <c r="L120" s="136">
        <f>ROUND('[7]2031'!L26,2)</f>
        <v>22707.84</v>
      </c>
      <c r="M120" s="136">
        <f>ROUND('[7]2031'!M26,2)</f>
        <v>24217.48</v>
      </c>
      <c r="N120" s="136">
        <f>ROUND('[7]2031'!N26,2)</f>
        <v>25597.83</v>
      </c>
      <c r="O120" s="136">
        <f>ROUND('[7]2031'!O26,2)</f>
        <v>26644.26</v>
      </c>
      <c r="P120" s="136">
        <f>ROUND('[7]2031'!P26,2)</f>
        <v>27633.57</v>
      </c>
      <c r="Q120" s="136">
        <f>ROUND('[7]2031'!Q26,2)</f>
        <v>28130.52</v>
      </c>
      <c r="R120" s="136">
        <f>ROUND('[7]2031'!R26,2)</f>
        <v>28257.5</v>
      </c>
      <c r="S120" s="136">
        <f>ROUND('[7]2031'!S26,2)</f>
        <v>28402.82</v>
      </c>
      <c r="T120" s="136">
        <f>ROUND('[7]2031'!T26,2)</f>
        <v>28605.31</v>
      </c>
      <c r="U120" s="136">
        <f>ROUND('[7]2031'!U26,2)</f>
        <v>28251.83</v>
      </c>
      <c r="V120" s="136">
        <f>ROUND('[7]2031'!V26,2)</f>
        <v>28319.8</v>
      </c>
      <c r="W120" s="136">
        <f>ROUND('[7]2031'!W26,2)</f>
        <v>31369.06</v>
      </c>
      <c r="X120" s="136">
        <f>ROUND('[7]2031'!X26,2)</f>
        <v>32496.71</v>
      </c>
      <c r="Y120" s="136">
        <f>ROUND('[7]2031'!Y26,2)</f>
        <v>32438.32</v>
      </c>
      <c r="Z120" s="136">
        <f>ROUND('[7]2031'!Z26,2)</f>
        <v>31809.88</v>
      </c>
      <c r="AA120" s="136">
        <f>ROUND('[7]2031'!AA26,2)</f>
        <v>30119.05</v>
      </c>
      <c r="AB120" s="136">
        <f>ROUND('[7]2031'!AB26,2)</f>
        <v>27900.46</v>
      </c>
      <c r="AC120" s="282"/>
      <c r="AD120" s="19"/>
    </row>
    <row r="121" spans="2:30" ht="18.649999999999999" hidden="1" customHeight="1" x14ac:dyDescent="0.35">
      <c r="B121" s="263">
        <v>47939</v>
      </c>
      <c r="C121" s="7" t="s">
        <v>29</v>
      </c>
      <c r="D121" s="8">
        <f>+'[7]2031'!D27</f>
        <v>20</v>
      </c>
      <c r="E121" s="134">
        <f>ROUND('[7]2031'!E27,2)</f>
        <v>26440.92</v>
      </c>
      <c r="F121" s="134">
        <f>ROUND('[7]2031'!F27,2)</f>
        <v>25300.94</v>
      </c>
      <c r="G121" s="134">
        <f>ROUND('[7]2031'!G27,2)</f>
        <v>24183.57</v>
      </c>
      <c r="H121" s="134">
        <f>ROUND('[7]2031'!H27,2)</f>
        <v>23559.040000000001</v>
      </c>
      <c r="I121" s="134">
        <f>ROUND('[7]2031'!I27,2)</f>
        <v>23409.81</v>
      </c>
      <c r="J121" s="134">
        <f>ROUND('[7]2031'!J27,2)</f>
        <v>23166.79</v>
      </c>
      <c r="K121" s="134">
        <f>ROUND('[7]2031'!K27,2)</f>
        <v>23247.22</v>
      </c>
      <c r="L121" s="134">
        <f>ROUND('[7]2031'!L27,2)</f>
        <v>25860.35</v>
      </c>
      <c r="M121" s="134">
        <f>ROUND('[7]2031'!M27,2)</f>
        <v>28826.39</v>
      </c>
      <c r="N121" s="134">
        <f>ROUND('[7]2031'!N27,2)</f>
        <v>30578.97</v>
      </c>
      <c r="O121" s="134">
        <f>ROUND('[7]2031'!O27,2)</f>
        <v>32035.94</v>
      </c>
      <c r="P121" s="134">
        <f>ROUND('[7]2031'!P27,2)</f>
        <v>32953.9</v>
      </c>
      <c r="Q121" s="134">
        <f>ROUND('[7]2031'!Q27,2)</f>
        <v>32341.47</v>
      </c>
      <c r="R121" s="134">
        <f>ROUND('[7]2031'!R27,2)</f>
        <v>31953.62</v>
      </c>
      <c r="S121" s="134">
        <f>ROUND('[7]2031'!S27,2)</f>
        <v>32175.3</v>
      </c>
      <c r="T121" s="134">
        <f>ROUND('[7]2031'!T27,2)</f>
        <v>32170.53</v>
      </c>
      <c r="U121" s="134">
        <f>ROUND('[7]2031'!U27,2)</f>
        <v>31664.59</v>
      </c>
      <c r="V121" s="134">
        <f>ROUND('[7]2031'!V27,2)</f>
        <v>31481.72</v>
      </c>
      <c r="W121" s="134">
        <f>ROUND('[7]2031'!W27,2)</f>
        <v>34675.47</v>
      </c>
      <c r="X121" s="134">
        <f>ROUND('[7]2031'!X27,2)</f>
        <v>34951.379999999997</v>
      </c>
      <c r="Y121" s="134">
        <f>ROUND('[7]2031'!Y27,2)</f>
        <v>34095.43</v>
      </c>
      <c r="Z121" s="134">
        <f>ROUND('[7]2031'!Z27,2)</f>
        <v>32910.959999999999</v>
      </c>
      <c r="AA121" s="134">
        <f>ROUND('[7]2031'!AA27,2)</f>
        <v>31292.2</v>
      </c>
      <c r="AB121" s="134">
        <f>ROUND('[7]2031'!AB27,2)</f>
        <v>29331.32</v>
      </c>
      <c r="AC121" s="283">
        <f>SUM(E121:AB121)*D121+SUM(E122:AB122)*D122+SUM(E123:AB123)*D123+SUM(E124:AB124)*D124</f>
        <v>20982126.259999998</v>
      </c>
      <c r="AD121" s="19"/>
    </row>
    <row r="122" spans="2:30" ht="18.649999999999999" hidden="1" customHeight="1" x14ac:dyDescent="0.35">
      <c r="B122" s="264" t="s">
        <v>34</v>
      </c>
      <c r="C122" s="10" t="s">
        <v>30</v>
      </c>
      <c r="D122" s="11">
        <f>+'[7]2031'!D28</f>
        <v>4</v>
      </c>
      <c r="E122" s="135">
        <f>ROUND('[7]2031'!E28,2)</f>
        <v>25528.34</v>
      </c>
      <c r="F122" s="135">
        <f>ROUND('[7]2031'!F28,2)</f>
        <v>24270.17</v>
      </c>
      <c r="G122" s="135">
        <f>ROUND('[7]2031'!G28,2)</f>
        <v>23314.45</v>
      </c>
      <c r="H122" s="135">
        <f>ROUND('[7]2031'!H28,2)</f>
        <v>22609.74</v>
      </c>
      <c r="I122" s="135">
        <f>ROUND('[7]2031'!I28,2)</f>
        <v>22630.85</v>
      </c>
      <c r="J122" s="135">
        <f>ROUND('[7]2031'!J28,2)</f>
        <v>22909.96</v>
      </c>
      <c r="K122" s="135">
        <f>ROUND('[7]2031'!K28,2)</f>
        <v>23424.71</v>
      </c>
      <c r="L122" s="135">
        <f>ROUND('[7]2031'!L28,2)</f>
        <v>25973.62</v>
      </c>
      <c r="M122" s="135">
        <f>ROUND('[7]2031'!M28,2)</f>
        <v>28592.86</v>
      </c>
      <c r="N122" s="135">
        <f>ROUND('[7]2031'!N28,2)</f>
        <v>30118.6</v>
      </c>
      <c r="O122" s="135">
        <f>ROUND('[7]2031'!O28,2)</f>
        <v>31486.93</v>
      </c>
      <c r="P122" s="135">
        <f>ROUND('[7]2031'!P28,2)</f>
        <v>32431.53</v>
      </c>
      <c r="Q122" s="135">
        <f>ROUND('[7]2031'!Q28,2)</f>
        <v>31544.29</v>
      </c>
      <c r="R122" s="135">
        <f>ROUND('[7]2031'!R28,2)</f>
        <v>32166.78</v>
      </c>
      <c r="S122" s="135">
        <f>ROUND('[7]2031'!S28,2)</f>
        <v>33238.69</v>
      </c>
      <c r="T122" s="135">
        <f>ROUND('[7]2031'!T28,2)</f>
        <v>33310.129999999997</v>
      </c>
      <c r="U122" s="135">
        <f>ROUND('[7]2031'!U28,2)</f>
        <v>32785.54</v>
      </c>
      <c r="V122" s="135">
        <f>ROUND('[7]2031'!V28,2)</f>
        <v>32069.47</v>
      </c>
      <c r="W122" s="135">
        <f>ROUND('[7]2031'!W28,2)</f>
        <v>34279.480000000003</v>
      </c>
      <c r="X122" s="135">
        <f>ROUND('[7]2031'!X28,2)</f>
        <v>34575.839999999997</v>
      </c>
      <c r="Y122" s="135">
        <f>ROUND('[7]2031'!Y28,2)</f>
        <v>33675.26</v>
      </c>
      <c r="Z122" s="135">
        <f>ROUND('[7]2031'!Z28,2)</f>
        <v>32198.39</v>
      </c>
      <c r="AA122" s="135">
        <f>ROUND('[7]2031'!AA28,2)</f>
        <v>29879.46</v>
      </c>
      <c r="AB122" s="135">
        <f>ROUND('[7]2031'!AB28,2)</f>
        <v>27318.67</v>
      </c>
      <c r="AC122" s="282"/>
      <c r="AD122" s="19"/>
    </row>
    <row r="123" spans="2:30" ht="18.649999999999999" hidden="1" customHeight="1" x14ac:dyDescent="0.35">
      <c r="B123" s="264" t="s">
        <v>34</v>
      </c>
      <c r="C123" s="10" t="s">
        <v>31</v>
      </c>
      <c r="D123" s="11">
        <f>+'[7]2031'!D29</f>
        <v>4</v>
      </c>
      <c r="E123" s="135">
        <f>ROUND('[7]2031'!E29,2)</f>
        <v>27511.93</v>
      </c>
      <c r="F123" s="135">
        <f>ROUND('[7]2031'!F29,2)</f>
        <v>26118.81</v>
      </c>
      <c r="G123" s="135">
        <f>ROUND('[7]2031'!G29,2)</f>
        <v>24964.76</v>
      </c>
      <c r="H123" s="135">
        <f>ROUND('[7]2031'!H29,2)</f>
        <v>24177.52</v>
      </c>
      <c r="I123" s="135">
        <f>ROUND('[7]2031'!I29,2)</f>
        <v>23716.28</v>
      </c>
      <c r="J123" s="135">
        <f>ROUND('[7]2031'!J29,2)</f>
        <v>23012.959999999999</v>
      </c>
      <c r="K123" s="135">
        <f>ROUND('[7]2031'!K29,2)</f>
        <v>22308.27</v>
      </c>
      <c r="L123" s="135">
        <f>ROUND('[7]2031'!L29,2)</f>
        <v>23557.95</v>
      </c>
      <c r="M123" s="135">
        <f>ROUND('[7]2031'!M29,2)</f>
        <v>25209.53</v>
      </c>
      <c r="N123" s="135">
        <f>ROUND('[7]2031'!N29,2)</f>
        <v>26698.77</v>
      </c>
      <c r="O123" s="135">
        <f>ROUND('[7]2031'!O29,2)</f>
        <v>27876.15</v>
      </c>
      <c r="P123" s="135">
        <f>ROUND('[7]2031'!P29,2)</f>
        <v>28836.87</v>
      </c>
      <c r="Q123" s="135">
        <f>ROUND('[7]2031'!Q29,2)</f>
        <v>29279.16</v>
      </c>
      <c r="R123" s="135">
        <f>ROUND('[7]2031'!R29,2)</f>
        <v>29360.9</v>
      </c>
      <c r="S123" s="135">
        <f>ROUND('[7]2031'!S29,2)</f>
        <v>29199.83</v>
      </c>
      <c r="T123" s="135">
        <f>ROUND('[7]2031'!T29,2)</f>
        <v>29069.98</v>
      </c>
      <c r="U123" s="135">
        <f>ROUND('[7]2031'!U29,2)</f>
        <v>28773.34</v>
      </c>
      <c r="V123" s="135">
        <f>ROUND('[7]2031'!V29,2)</f>
        <v>29048.21</v>
      </c>
      <c r="W123" s="135">
        <f>ROUND('[7]2031'!W29,2)</f>
        <v>32455.85</v>
      </c>
      <c r="X123" s="135">
        <f>ROUND('[7]2031'!X29,2)</f>
        <v>33431.629999999997</v>
      </c>
      <c r="Y123" s="135">
        <f>ROUND('[7]2031'!Y29,2)</f>
        <v>33205.81</v>
      </c>
      <c r="Z123" s="135">
        <f>ROUND('[7]2031'!Z29,2)</f>
        <v>32186.62</v>
      </c>
      <c r="AA123" s="135">
        <f>ROUND('[7]2031'!AA29,2)</f>
        <v>30223.68</v>
      </c>
      <c r="AB123" s="135">
        <f>ROUND('[7]2031'!AB29,2)</f>
        <v>27880.959999999999</v>
      </c>
      <c r="AC123" s="282"/>
      <c r="AD123" s="19"/>
    </row>
    <row r="124" spans="2:30" ht="18.649999999999999" hidden="1" customHeight="1" thickBot="1" x14ac:dyDescent="0.4">
      <c r="B124" s="265" t="s">
        <v>34</v>
      </c>
      <c r="C124" s="12" t="s">
        <v>32</v>
      </c>
      <c r="D124" s="13">
        <f>+'[7]2031'!D30</f>
        <v>2</v>
      </c>
      <c r="E124" s="132">
        <f>ROUND('[7]2031'!E30,2)</f>
        <v>27511.93</v>
      </c>
      <c r="F124" s="132">
        <f>ROUND('[7]2031'!F30,2)</f>
        <v>26118.81</v>
      </c>
      <c r="G124" s="132">
        <f>ROUND('[7]2031'!G30,2)</f>
        <v>24964.76</v>
      </c>
      <c r="H124" s="132">
        <f>ROUND('[7]2031'!H30,2)</f>
        <v>24177.52</v>
      </c>
      <c r="I124" s="132">
        <f>ROUND('[7]2031'!I30,2)</f>
        <v>23716.28</v>
      </c>
      <c r="J124" s="132">
        <f>ROUND('[7]2031'!J30,2)</f>
        <v>23012.959999999999</v>
      </c>
      <c r="K124" s="132">
        <f>ROUND('[7]2031'!K30,2)</f>
        <v>22308.27</v>
      </c>
      <c r="L124" s="132">
        <f>ROUND('[7]2031'!L30,2)</f>
        <v>23557.95</v>
      </c>
      <c r="M124" s="132">
        <f>ROUND('[7]2031'!M30,2)</f>
        <v>25209.53</v>
      </c>
      <c r="N124" s="132">
        <f>ROUND('[7]2031'!N30,2)</f>
        <v>26698.77</v>
      </c>
      <c r="O124" s="132">
        <f>ROUND('[7]2031'!O30,2)</f>
        <v>27876.15</v>
      </c>
      <c r="P124" s="132">
        <f>ROUND('[7]2031'!P30,2)</f>
        <v>28836.87</v>
      </c>
      <c r="Q124" s="132">
        <f>ROUND('[7]2031'!Q30,2)</f>
        <v>29279.16</v>
      </c>
      <c r="R124" s="132">
        <f>ROUND('[7]2031'!R30,2)</f>
        <v>29360.9</v>
      </c>
      <c r="S124" s="132">
        <f>ROUND('[7]2031'!S30,2)</f>
        <v>29199.83</v>
      </c>
      <c r="T124" s="132">
        <f>ROUND('[7]2031'!T30,2)</f>
        <v>29069.98</v>
      </c>
      <c r="U124" s="132">
        <f>ROUND('[7]2031'!U30,2)</f>
        <v>28773.34</v>
      </c>
      <c r="V124" s="132">
        <f>ROUND('[7]2031'!V30,2)</f>
        <v>29048.21</v>
      </c>
      <c r="W124" s="132">
        <f>ROUND('[7]2031'!W30,2)</f>
        <v>32455.85</v>
      </c>
      <c r="X124" s="132">
        <f>ROUND('[7]2031'!X30,2)</f>
        <v>33431.629999999997</v>
      </c>
      <c r="Y124" s="132">
        <f>ROUND('[7]2031'!Y30,2)</f>
        <v>33205.81</v>
      </c>
      <c r="Z124" s="132">
        <f>ROUND('[7]2031'!Z30,2)</f>
        <v>32186.62</v>
      </c>
      <c r="AA124" s="132">
        <f>ROUND('[7]2031'!AA30,2)</f>
        <v>30223.68</v>
      </c>
      <c r="AB124" s="132">
        <f>ROUND('[7]2031'!AB30,2)</f>
        <v>27880.959999999999</v>
      </c>
      <c r="AC124" s="284"/>
      <c r="AD124" s="19"/>
    </row>
    <row r="125" spans="2:30" ht="18.649999999999999" hidden="1" customHeight="1" x14ac:dyDescent="0.35">
      <c r="B125" s="260">
        <v>47969</v>
      </c>
      <c r="C125" s="14" t="s">
        <v>29</v>
      </c>
      <c r="D125" s="15">
        <f>+'[7]2031'!D31</f>
        <v>20</v>
      </c>
      <c r="E125" s="137">
        <f>ROUND('[7]2031'!E31,2)</f>
        <v>26897.040000000001</v>
      </c>
      <c r="F125" s="137">
        <f>ROUND('[7]2031'!F31,2)</f>
        <v>25497.47</v>
      </c>
      <c r="G125" s="137">
        <f>ROUND('[7]2031'!G31,2)</f>
        <v>24368.1</v>
      </c>
      <c r="H125" s="137">
        <f>ROUND('[7]2031'!H31,2)</f>
        <v>23402.240000000002</v>
      </c>
      <c r="I125" s="137">
        <f>ROUND('[7]2031'!I31,2)</f>
        <v>23141.89</v>
      </c>
      <c r="J125" s="137">
        <f>ROUND('[7]2031'!J31,2)</f>
        <v>22775.360000000001</v>
      </c>
      <c r="K125" s="137">
        <f>ROUND('[7]2031'!K31,2)</f>
        <v>23111.97</v>
      </c>
      <c r="L125" s="137">
        <f>ROUND('[7]2031'!L31,2)</f>
        <v>25597.9</v>
      </c>
      <c r="M125" s="137">
        <f>ROUND('[7]2031'!M31,2)</f>
        <v>28495.19</v>
      </c>
      <c r="N125" s="137">
        <f>ROUND('[7]2031'!N31,2)</f>
        <v>30093.64</v>
      </c>
      <c r="O125" s="137">
        <f>ROUND('[7]2031'!O31,2)</f>
        <v>31108.22</v>
      </c>
      <c r="P125" s="137">
        <f>ROUND('[7]2031'!P31,2)</f>
        <v>31853.79</v>
      </c>
      <c r="Q125" s="137">
        <f>ROUND('[7]2031'!Q31,2)</f>
        <v>31306.55</v>
      </c>
      <c r="R125" s="137">
        <f>ROUND('[7]2031'!R31,2)</f>
        <v>30743.43</v>
      </c>
      <c r="S125" s="137">
        <f>ROUND('[7]2031'!S31,2)</f>
        <v>30722.74</v>
      </c>
      <c r="T125" s="137">
        <f>ROUND('[7]2031'!T31,2)</f>
        <v>30549.59</v>
      </c>
      <c r="U125" s="137">
        <f>ROUND('[7]2031'!U31,2)</f>
        <v>30134.52</v>
      </c>
      <c r="V125" s="137">
        <f>ROUND('[7]2031'!V31,2)</f>
        <v>30319.32</v>
      </c>
      <c r="W125" s="137">
        <f>ROUND('[7]2031'!W31,2)</f>
        <v>33609.99</v>
      </c>
      <c r="X125" s="137">
        <f>ROUND('[7]2031'!X31,2)</f>
        <v>33922.800000000003</v>
      </c>
      <c r="Y125" s="137">
        <f>ROUND('[7]2031'!Y31,2)</f>
        <v>32830.47</v>
      </c>
      <c r="Z125" s="137">
        <f>ROUND('[7]2031'!Z31,2)</f>
        <v>31475.53</v>
      </c>
      <c r="AA125" s="137">
        <f>ROUND('[7]2031'!AA31,2)</f>
        <v>29693.71</v>
      </c>
      <c r="AB125" s="137">
        <f>ROUND('[7]2031'!AB31,2)</f>
        <v>27697.89</v>
      </c>
      <c r="AC125" s="282">
        <f>SUM(E125:AB125)*D125+SUM(E126:AB126)*D126+SUM(E127:AB127)*D127+SUM(E128:AB128)*D128</f>
        <v>21162017.400000002</v>
      </c>
      <c r="AD125" s="19"/>
    </row>
    <row r="126" spans="2:30" ht="18.649999999999999" hidden="1" customHeight="1" x14ac:dyDescent="0.35">
      <c r="B126" s="261"/>
      <c r="C126" s="10" t="s">
        <v>30</v>
      </c>
      <c r="D126" s="11">
        <f>+'[7]2031'!D32</f>
        <v>5</v>
      </c>
      <c r="E126" s="135">
        <f>ROUND('[7]2031'!E32,2)</f>
        <v>24796.23</v>
      </c>
      <c r="F126" s="135">
        <f>ROUND('[7]2031'!F32,2)</f>
        <v>23569.63</v>
      </c>
      <c r="G126" s="135">
        <f>ROUND('[7]2031'!G32,2)</f>
        <v>22671.87</v>
      </c>
      <c r="H126" s="135">
        <f>ROUND('[7]2031'!H32,2)</f>
        <v>22053.51</v>
      </c>
      <c r="I126" s="135">
        <f>ROUND('[7]2031'!I32,2)</f>
        <v>21974.16</v>
      </c>
      <c r="J126" s="135">
        <f>ROUND('[7]2031'!J32,2)</f>
        <v>21946.54</v>
      </c>
      <c r="K126" s="135">
        <f>ROUND('[7]2031'!K32,2)</f>
        <v>22280.81</v>
      </c>
      <c r="L126" s="135">
        <f>ROUND('[7]2031'!L32,2)</f>
        <v>24891.95</v>
      </c>
      <c r="M126" s="135">
        <f>ROUND('[7]2031'!M32,2)</f>
        <v>27445.11</v>
      </c>
      <c r="N126" s="135">
        <f>ROUND('[7]2031'!N32,2)</f>
        <v>28919.43</v>
      </c>
      <c r="O126" s="135">
        <f>ROUND('[7]2031'!O32,2)</f>
        <v>30359.68</v>
      </c>
      <c r="P126" s="135">
        <f>ROUND('[7]2031'!P32,2)</f>
        <v>31397.08</v>
      </c>
      <c r="Q126" s="135">
        <f>ROUND('[7]2031'!Q32,2)</f>
        <v>30712.13</v>
      </c>
      <c r="R126" s="135">
        <f>ROUND('[7]2031'!R32,2)</f>
        <v>31039.53</v>
      </c>
      <c r="S126" s="135">
        <f>ROUND('[7]2031'!S32,2)</f>
        <v>31856.54</v>
      </c>
      <c r="T126" s="135">
        <f>ROUND('[7]2031'!T32,2)</f>
        <v>31816.639999999999</v>
      </c>
      <c r="U126" s="135">
        <f>ROUND('[7]2031'!U32,2)</f>
        <v>31358.34</v>
      </c>
      <c r="V126" s="135">
        <f>ROUND('[7]2031'!V32,2)</f>
        <v>30749.21</v>
      </c>
      <c r="W126" s="135">
        <f>ROUND('[7]2031'!W32,2)</f>
        <v>32988.959999999999</v>
      </c>
      <c r="X126" s="135">
        <f>ROUND('[7]2031'!X32,2)</f>
        <v>33610.57</v>
      </c>
      <c r="Y126" s="135">
        <f>ROUND('[7]2031'!Y32,2)</f>
        <v>32695.19</v>
      </c>
      <c r="Z126" s="135">
        <f>ROUND('[7]2031'!Z32,2)</f>
        <v>31192.18</v>
      </c>
      <c r="AA126" s="135">
        <f>ROUND('[7]2031'!AA32,2)</f>
        <v>28932.799999999999</v>
      </c>
      <c r="AB126" s="135">
        <f>ROUND('[7]2031'!AB32,2)</f>
        <v>26576.49</v>
      </c>
      <c r="AC126" s="282"/>
      <c r="AD126" s="19"/>
    </row>
    <row r="127" spans="2:30" ht="18.649999999999999" hidden="1" customHeight="1" x14ac:dyDescent="0.35">
      <c r="B127" s="261"/>
      <c r="C127" s="10" t="s">
        <v>31</v>
      </c>
      <c r="D127" s="11">
        <f>+'[7]2031'!D33</f>
        <v>4</v>
      </c>
      <c r="E127" s="135">
        <f>ROUND('[7]2031'!E33,2)</f>
        <v>24777.96</v>
      </c>
      <c r="F127" s="135">
        <f>ROUND('[7]2031'!F33,2)</f>
        <v>23807.66</v>
      </c>
      <c r="G127" s="135">
        <f>ROUND('[7]2031'!G33,2)</f>
        <v>22812.57</v>
      </c>
      <c r="H127" s="135">
        <f>ROUND('[7]2031'!H33,2)</f>
        <v>22283.47</v>
      </c>
      <c r="I127" s="135">
        <f>ROUND('[7]2031'!I33,2)</f>
        <v>22113.75</v>
      </c>
      <c r="J127" s="135">
        <f>ROUND('[7]2031'!J33,2)</f>
        <v>21564.93</v>
      </c>
      <c r="K127" s="135">
        <f>ROUND('[7]2031'!K33,2)</f>
        <v>21475.26</v>
      </c>
      <c r="L127" s="135">
        <f>ROUND('[7]2031'!L33,2)</f>
        <v>23139.34</v>
      </c>
      <c r="M127" s="135">
        <f>ROUND('[7]2031'!M33,2)</f>
        <v>25068.83</v>
      </c>
      <c r="N127" s="135">
        <f>ROUND('[7]2031'!N33,2)</f>
        <v>26569.11</v>
      </c>
      <c r="O127" s="135">
        <f>ROUND('[7]2031'!O33,2)</f>
        <v>27709.68</v>
      </c>
      <c r="P127" s="135">
        <f>ROUND('[7]2031'!P33,2)</f>
        <v>29126.78</v>
      </c>
      <c r="Q127" s="135">
        <f>ROUND('[7]2031'!Q33,2)</f>
        <v>29920.66</v>
      </c>
      <c r="R127" s="135">
        <f>ROUND('[7]2031'!R33,2)</f>
        <v>30071.09</v>
      </c>
      <c r="S127" s="135">
        <f>ROUND('[7]2031'!S33,2)</f>
        <v>30105.74</v>
      </c>
      <c r="T127" s="135">
        <f>ROUND('[7]2031'!T33,2)</f>
        <v>30164.75</v>
      </c>
      <c r="U127" s="135">
        <f>ROUND('[7]2031'!U33,2)</f>
        <v>29856.99</v>
      </c>
      <c r="V127" s="135">
        <f>ROUND('[7]2031'!V33,2)</f>
        <v>29864.77</v>
      </c>
      <c r="W127" s="135">
        <f>ROUND('[7]2031'!W33,2)</f>
        <v>33379.269999999997</v>
      </c>
      <c r="X127" s="135">
        <f>ROUND('[7]2031'!X33,2)</f>
        <v>34646.19</v>
      </c>
      <c r="Y127" s="135">
        <f>ROUND('[7]2031'!Y33,2)</f>
        <v>34435.25</v>
      </c>
      <c r="Z127" s="135">
        <f>ROUND('[7]2031'!Z33,2)</f>
        <v>33274.97</v>
      </c>
      <c r="AA127" s="135">
        <f>ROUND('[7]2031'!AA33,2)</f>
        <v>31146.97</v>
      </c>
      <c r="AB127" s="135">
        <f>ROUND('[7]2031'!AB33,2)</f>
        <v>28660.26</v>
      </c>
      <c r="AC127" s="282"/>
      <c r="AD127" s="19"/>
    </row>
    <row r="128" spans="2:30" ht="18.649999999999999" hidden="1" customHeight="1" thickBot="1" x14ac:dyDescent="0.4">
      <c r="B128" s="261"/>
      <c r="C128" s="16" t="s">
        <v>32</v>
      </c>
      <c r="D128" s="17">
        <f>+'[7]2031'!D34</f>
        <v>2</v>
      </c>
      <c r="E128" s="136">
        <f>ROUND('[7]2031'!E34,2)</f>
        <v>24777.96</v>
      </c>
      <c r="F128" s="136">
        <f>ROUND('[7]2031'!F34,2)</f>
        <v>23807.66</v>
      </c>
      <c r="G128" s="136">
        <f>ROUND('[7]2031'!G34,2)</f>
        <v>22812.57</v>
      </c>
      <c r="H128" s="136">
        <f>ROUND('[7]2031'!H34,2)</f>
        <v>22283.47</v>
      </c>
      <c r="I128" s="136">
        <f>ROUND('[7]2031'!I34,2)</f>
        <v>22113.75</v>
      </c>
      <c r="J128" s="136">
        <f>ROUND('[7]2031'!J34,2)</f>
        <v>21564.93</v>
      </c>
      <c r="K128" s="136">
        <f>ROUND('[7]2031'!K34,2)</f>
        <v>21475.26</v>
      </c>
      <c r="L128" s="136">
        <f>ROUND('[7]2031'!L34,2)</f>
        <v>23139.34</v>
      </c>
      <c r="M128" s="136">
        <f>ROUND('[7]2031'!M34,2)</f>
        <v>25068.83</v>
      </c>
      <c r="N128" s="136">
        <f>ROUND('[7]2031'!N34,2)</f>
        <v>26569.11</v>
      </c>
      <c r="O128" s="136">
        <f>ROUND('[7]2031'!O34,2)</f>
        <v>27709.68</v>
      </c>
      <c r="P128" s="136">
        <f>ROUND('[7]2031'!P34,2)</f>
        <v>29126.78</v>
      </c>
      <c r="Q128" s="136">
        <f>ROUND('[7]2031'!Q34,2)</f>
        <v>29920.66</v>
      </c>
      <c r="R128" s="136">
        <f>ROUND('[7]2031'!R34,2)</f>
        <v>30071.09</v>
      </c>
      <c r="S128" s="136">
        <f>ROUND('[7]2031'!S34,2)</f>
        <v>30105.74</v>
      </c>
      <c r="T128" s="136">
        <f>ROUND('[7]2031'!T34,2)</f>
        <v>30164.75</v>
      </c>
      <c r="U128" s="136">
        <f>ROUND('[7]2031'!U34,2)</f>
        <v>29856.99</v>
      </c>
      <c r="V128" s="136">
        <f>ROUND('[7]2031'!V34,2)</f>
        <v>29864.77</v>
      </c>
      <c r="W128" s="136">
        <f>ROUND('[7]2031'!W34,2)</f>
        <v>33379.269999999997</v>
      </c>
      <c r="X128" s="136">
        <f>ROUND('[7]2031'!X34,2)</f>
        <v>34646.19</v>
      </c>
      <c r="Y128" s="136">
        <f>ROUND('[7]2031'!Y34,2)</f>
        <v>34435.25</v>
      </c>
      <c r="Z128" s="136">
        <f>ROUND('[7]2031'!Z34,2)</f>
        <v>33274.97</v>
      </c>
      <c r="AA128" s="136">
        <f>ROUND('[7]2031'!AA34,2)</f>
        <v>31146.97</v>
      </c>
      <c r="AB128" s="136">
        <f>ROUND('[7]2031'!AB34,2)</f>
        <v>28660.26</v>
      </c>
      <c r="AC128" s="282"/>
      <c r="AD128" s="19"/>
    </row>
    <row r="129" spans="2:30" ht="18.649999999999999" hidden="1" customHeight="1" x14ac:dyDescent="0.35">
      <c r="B129" s="263">
        <v>48000</v>
      </c>
      <c r="C129" s="7" t="s">
        <v>29</v>
      </c>
      <c r="D129" s="8">
        <f>+'[7]2031'!D35</f>
        <v>18</v>
      </c>
      <c r="E129" s="134">
        <f>ROUND('[7]2031'!E35,2)</f>
        <v>24433.08</v>
      </c>
      <c r="F129" s="134">
        <f>ROUND('[7]2031'!F35,2)</f>
        <v>23220.1</v>
      </c>
      <c r="G129" s="134">
        <f>ROUND('[7]2031'!G35,2)</f>
        <v>22323.9</v>
      </c>
      <c r="H129" s="134">
        <f>ROUND('[7]2031'!H35,2)</f>
        <v>21725.86</v>
      </c>
      <c r="I129" s="134">
        <f>ROUND('[7]2031'!I35,2)</f>
        <v>21566.11</v>
      </c>
      <c r="J129" s="134">
        <f>ROUND('[7]2031'!J35,2)</f>
        <v>21336.98</v>
      </c>
      <c r="K129" s="134">
        <f>ROUND('[7]2031'!K35,2)</f>
        <v>21693</v>
      </c>
      <c r="L129" s="134">
        <f>ROUND('[7]2031'!L35,2)</f>
        <v>24306.02</v>
      </c>
      <c r="M129" s="134">
        <f>ROUND('[7]2031'!M35,2)</f>
        <v>27179.21</v>
      </c>
      <c r="N129" s="134">
        <f>ROUND('[7]2031'!N35,2)</f>
        <v>28945.84</v>
      </c>
      <c r="O129" s="134">
        <f>ROUND('[7]2031'!O35,2)</f>
        <v>30481.02</v>
      </c>
      <c r="P129" s="134">
        <f>ROUND('[7]2031'!P35,2)</f>
        <v>31325.9</v>
      </c>
      <c r="Q129" s="134">
        <f>ROUND('[7]2031'!Q35,2)</f>
        <v>30863.439999999999</v>
      </c>
      <c r="R129" s="134">
        <f>ROUND('[7]2031'!R35,2)</f>
        <v>30333.51</v>
      </c>
      <c r="S129" s="134">
        <f>ROUND('[7]2031'!S35,2)</f>
        <v>30359.1</v>
      </c>
      <c r="T129" s="134">
        <f>ROUND('[7]2031'!T35,2)</f>
        <v>30271.81</v>
      </c>
      <c r="U129" s="134">
        <f>ROUND('[7]2031'!U35,2)</f>
        <v>29965.119999999999</v>
      </c>
      <c r="V129" s="134">
        <f>ROUND('[7]2031'!V35,2)</f>
        <v>29997.119999999999</v>
      </c>
      <c r="W129" s="134">
        <f>ROUND('[7]2031'!W35,2)</f>
        <v>32581.33</v>
      </c>
      <c r="X129" s="134">
        <f>ROUND('[7]2031'!X35,2)</f>
        <v>33046.43</v>
      </c>
      <c r="Y129" s="134">
        <f>ROUND('[7]2031'!Y35,2)</f>
        <v>31895.02</v>
      </c>
      <c r="Z129" s="134">
        <f>ROUND('[7]2031'!Z35,2)</f>
        <v>30580.89</v>
      </c>
      <c r="AA129" s="134">
        <f>ROUND('[7]2031'!AA35,2)</f>
        <v>28959.02</v>
      </c>
      <c r="AB129" s="134">
        <f>ROUND('[7]2031'!AB35,2)</f>
        <v>27126.49</v>
      </c>
      <c r="AC129" s="283">
        <f>SUM(E129:AB129)*D129+SUM(E130:AB130)*D130+SUM(E131:AB131)*D131+SUM(E132:AB132)*D132</f>
        <v>19775011.079999998</v>
      </c>
      <c r="AD129" s="19"/>
    </row>
    <row r="130" spans="2:30" ht="18.649999999999999" hidden="1" customHeight="1" x14ac:dyDescent="0.35">
      <c r="B130" s="264" t="s">
        <v>34</v>
      </c>
      <c r="C130" s="10" t="s">
        <v>30</v>
      </c>
      <c r="D130" s="11">
        <f>+'[7]2031'!D36</f>
        <v>4</v>
      </c>
      <c r="E130" s="135">
        <f>ROUND('[7]2031'!E36,2)</f>
        <v>25161.43</v>
      </c>
      <c r="F130" s="135">
        <f>ROUND('[7]2031'!F36,2)</f>
        <v>23923.200000000001</v>
      </c>
      <c r="G130" s="135">
        <f>ROUND('[7]2031'!G36,2)</f>
        <v>22982.31</v>
      </c>
      <c r="H130" s="135">
        <f>ROUND('[7]2031'!H36,2)</f>
        <v>22329.45</v>
      </c>
      <c r="I130" s="135">
        <f>ROUND('[7]2031'!I36,2)</f>
        <v>22252.62</v>
      </c>
      <c r="J130" s="135">
        <f>ROUND('[7]2031'!J36,2)</f>
        <v>22502.36</v>
      </c>
      <c r="K130" s="135">
        <f>ROUND('[7]2031'!K36,2)</f>
        <v>22655.09</v>
      </c>
      <c r="L130" s="135">
        <f>ROUND('[7]2031'!L36,2)</f>
        <v>25203.73</v>
      </c>
      <c r="M130" s="135">
        <f>ROUND('[7]2031'!M36,2)</f>
        <v>27896.23</v>
      </c>
      <c r="N130" s="135">
        <f>ROUND('[7]2031'!N36,2)</f>
        <v>29454.23</v>
      </c>
      <c r="O130" s="135">
        <f>ROUND('[7]2031'!O36,2)</f>
        <v>30924.38</v>
      </c>
      <c r="P130" s="135">
        <f>ROUND('[7]2031'!P36,2)</f>
        <v>31883.83</v>
      </c>
      <c r="Q130" s="135">
        <f>ROUND('[7]2031'!Q36,2)</f>
        <v>31071.94</v>
      </c>
      <c r="R130" s="135">
        <f>ROUND('[7]2031'!R36,2)</f>
        <v>31819.37</v>
      </c>
      <c r="S130" s="135">
        <f>ROUND('[7]2031'!S36,2)</f>
        <v>32899.800000000003</v>
      </c>
      <c r="T130" s="135">
        <f>ROUND('[7]2031'!T36,2)</f>
        <v>32943.01</v>
      </c>
      <c r="U130" s="135">
        <f>ROUND('[7]2031'!U36,2)</f>
        <v>32329.86</v>
      </c>
      <c r="V130" s="135">
        <f>ROUND('[7]2031'!V36,2)</f>
        <v>31267.24</v>
      </c>
      <c r="W130" s="135">
        <f>ROUND('[7]2031'!W36,2)</f>
        <v>33105.29</v>
      </c>
      <c r="X130" s="135">
        <f>ROUND('[7]2031'!X36,2)</f>
        <v>34073.96</v>
      </c>
      <c r="Y130" s="135">
        <f>ROUND('[7]2031'!Y36,2)</f>
        <v>33296.93</v>
      </c>
      <c r="Z130" s="135">
        <f>ROUND('[7]2031'!Z36,2)</f>
        <v>31885.7</v>
      </c>
      <c r="AA130" s="135">
        <f>ROUND('[7]2031'!AA36,2)</f>
        <v>29585.08</v>
      </c>
      <c r="AB130" s="135">
        <f>ROUND('[7]2031'!AB36,2)</f>
        <v>27177.58</v>
      </c>
      <c r="AC130" s="282"/>
      <c r="AD130" s="19"/>
    </row>
    <row r="131" spans="2:30" ht="18.649999999999999" hidden="1" customHeight="1" x14ac:dyDescent="0.35">
      <c r="B131" s="264" t="s">
        <v>34</v>
      </c>
      <c r="C131" s="10" t="s">
        <v>31</v>
      </c>
      <c r="D131" s="11">
        <f>+'[7]2031'!D37</f>
        <v>5</v>
      </c>
      <c r="E131" s="135">
        <f>ROUND('[7]2031'!E37,2)</f>
        <v>23950.16</v>
      </c>
      <c r="F131" s="135">
        <f>ROUND('[7]2031'!F37,2)</f>
        <v>22982.15</v>
      </c>
      <c r="G131" s="135">
        <f>ROUND('[7]2031'!G37,2)</f>
        <v>22191.16</v>
      </c>
      <c r="H131" s="135">
        <f>ROUND('[7]2031'!H37,2)</f>
        <v>21678.67</v>
      </c>
      <c r="I131" s="135">
        <f>ROUND('[7]2031'!I37,2)</f>
        <v>21474.25</v>
      </c>
      <c r="J131" s="135">
        <f>ROUND('[7]2031'!J37,2)</f>
        <v>20872.919999999998</v>
      </c>
      <c r="K131" s="135">
        <f>ROUND('[7]2031'!K37,2)</f>
        <v>20598.28</v>
      </c>
      <c r="L131" s="135">
        <f>ROUND('[7]2031'!L37,2)</f>
        <v>22276.3</v>
      </c>
      <c r="M131" s="135">
        <f>ROUND('[7]2031'!M37,2)</f>
        <v>24216.73</v>
      </c>
      <c r="N131" s="135">
        <f>ROUND('[7]2031'!N37,2)</f>
        <v>25425.84</v>
      </c>
      <c r="O131" s="135">
        <f>ROUND('[7]2031'!O37,2)</f>
        <v>26859.7</v>
      </c>
      <c r="P131" s="135">
        <f>ROUND('[7]2031'!P37,2)</f>
        <v>27920.81</v>
      </c>
      <c r="Q131" s="135">
        <f>ROUND('[7]2031'!Q37,2)</f>
        <v>28462</v>
      </c>
      <c r="R131" s="135">
        <f>ROUND('[7]2031'!R37,2)</f>
        <v>28349.18</v>
      </c>
      <c r="S131" s="135">
        <f>ROUND('[7]2031'!S37,2)</f>
        <v>28113.37</v>
      </c>
      <c r="T131" s="135">
        <f>ROUND('[7]2031'!T37,2)</f>
        <v>27896.58</v>
      </c>
      <c r="U131" s="135">
        <f>ROUND('[7]2031'!U37,2)</f>
        <v>27683.24</v>
      </c>
      <c r="V131" s="135">
        <f>ROUND('[7]2031'!V37,2)</f>
        <v>28100.85</v>
      </c>
      <c r="W131" s="135">
        <f>ROUND('[7]2031'!W37,2)</f>
        <v>31493.18</v>
      </c>
      <c r="X131" s="135">
        <f>ROUND('[7]2031'!X37,2)</f>
        <v>32744.69</v>
      </c>
      <c r="Y131" s="135">
        <f>ROUND('[7]2031'!Y37,2)</f>
        <v>32329.18</v>
      </c>
      <c r="Z131" s="135">
        <f>ROUND('[7]2031'!Z37,2)</f>
        <v>31134.69</v>
      </c>
      <c r="AA131" s="135">
        <f>ROUND('[7]2031'!AA37,2)</f>
        <v>29030.62</v>
      </c>
      <c r="AB131" s="135">
        <f>ROUND('[7]2031'!AB37,2)</f>
        <v>26617.85</v>
      </c>
      <c r="AC131" s="282"/>
      <c r="AD131" s="19"/>
    </row>
    <row r="132" spans="2:30" ht="18.649999999999999" hidden="1" customHeight="1" thickBot="1" x14ac:dyDescent="0.4">
      <c r="B132" s="265" t="s">
        <v>34</v>
      </c>
      <c r="C132" s="12" t="s">
        <v>32</v>
      </c>
      <c r="D132" s="13">
        <f>+'[7]2031'!D38</f>
        <v>3</v>
      </c>
      <c r="E132" s="132">
        <f>ROUND('[7]2031'!E38,2)</f>
        <v>23950.16</v>
      </c>
      <c r="F132" s="132">
        <f>ROUND('[7]2031'!F38,2)</f>
        <v>22982.15</v>
      </c>
      <c r="G132" s="132">
        <f>ROUND('[7]2031'!G38,2)</f>
        <v>22191.16</v>
      </c>
      <c r="H132" s="132">
        <f>ROUND('[7]2031'!H38,2)</f>
        <v>21678.67</v>
      </c>
      <c r="I132" s="132">
        <f>ROUND('[7]2031'!I38,2)</f>
        <v>21474.25</v>
      </c>
      <c r="J132" s="132">
        <f>ROUND('[7]2031'!J38,2)</f>
        <v>20872.919999999998</v>
      </c>
      <c r="K132" s="132">
        <f>ROUND('[7]2031'!K38,2)</f>
        <v>20598.28</v>
      </c>
      <c r="L132" s="132">
        <f>ROUND('[7]2031'!L38,2)</f>
        <v>22276.3</v>
      </c>
      <c r="M132" s="132">
        <f>ROUND('[7]2031'!M38,2)</f>
        <v>24216.73</v>
      </c>
      <c r="N132" s="132">
        <f>ROUND('[7]2031'!N38,2)</f>
        <v>25425.84</v>
      </c>
      <c r="O132" s="132">
        <f>ROUND('[7]2031'!O38,2)</f>
        <v>26859.7</v>
      </c>
      <c r="P132" s="132">
        <f>ROUND('[7]2031'!P38,2)</f>
        <v>27920.81</v>
      </c>
      <c r="Q132" s="132">
        <f>ROUND('[7]2031'!Q38,2)</f>
        <v>28462</v>
      </c>
      <c r="R132" s="132">
        <f>ROUND('[7]2031'!R38,2)</f>
        <v>28349.18</v>
      </c>
      <c r="S132" s="132">
        <f>ROUND('[7]2031'!S38,2)</f>
        <v>28113.37</v>
      </c>
      <c r="T132" s="132">
        <f>ROUND('[7]2031'!T38,2)</f>
        <v>27896.58</v>
      </c>
      <c r="U132" s="132">
        <f>ROUND('[7]2031'!U38,2)</f>
        <v>27683.24</v>
      </c>
      <c r="V132" s="132">
        <f>ROUND('[7]2031'!V38,2)</f>
        <v>28100.85</v>
      </c>
      <c r="W132" s="132">
        <f>ROUND('[7]2031'!W38,2)</f>
        <v>31493.18</v>
      </c>
      <c r="X132" s="132">
        <f>ROUND('[7]2031'!X38,2)</f>
        <v>32744.69</v>
      </c>
      <c r="Y132" s="132">
        <f>ROUND('[7]2031'!Y38,2)</f>
        <v>32329.18</v>
      </c>
      <c r="Z132" s="132">
        <f>ROUND('[7]2031'!Z38,2)</f>
        <v>31134.69</v>
      </c>
      <c r="AA132" s="132">
        <f>ROUND('[7]2031'!AA38,2)</f>
        <v>29030.62</v>
      </c>
      <c r="AB132" s="132">
        <f>ROUND('[7]2031'!AB38,2)</f>
        <v>26617.85</v>
      </c>
      <c r="AC132" s="284"/>
      <c r="AD132" s="19"/>
    </row>
    <row r="133" spans="2:30" ht="18.649999999999999" hidden="1" customHeight="1" x14ac:dyDescent="0.35">
      <c r="B133" s="260">
        <v>48030</v>
      </c>
      <c r="C133" s="14" t="s">
        <v>29</v>
      </c>
      <c r="D133" s="15">
        <f>+'[7]2031'!D39</f>
        <v>23</v>
      </c>
      <c r="E133" s="137">
        <f>ROUND('[7]2031'!E39,2)</f>
        <v>24937.91</v>
      </c>
      <c r="F133" s="137">
        <f>ROUND('[7]2031'!F39,2)</f>
        <v>23737.77</v>
      </c>
      <c r="G133" s="137">
        <f>ROUND('[7]2031'!G39,2)</f>
        <v>22946.62</v>
      </c>
      <c r="H133" s="137">
        <f>ROUND('[7]2031'!H39,2)</f>
        <v>22360.94</v>
      </c>
      <c r="I133" s="137">
        <f>ROUND('[7]2031'!I39,2)</f>
        <v>22270.1</v>
      </c>
      <c r="J133" s="137">
        <f>ROUND('[7]2031'!J39,2)</f>
        <v>22166.3</v>
      </c>
      <c r="K133" s="137">
        <f>ROUND('[7]2031'!K39,2)</f>
        <v>22370.36</v>
      </c>
      <c r="L133" s="137">
        <f>ROUND('[7]2031'!L39,2)</f>
        <v>24979.93</v>
      </c>
      <c r="M133" s="137">
        <f>ROUND('[7]2031'!M39,2)</f>
        <v>28015.91</v>
      </c>
      <c r="N133" s="137">
        <f>ROUND('[7]2031'!N39,2)</f>
        <v>29735.93</v>
      </c>
      <c r="O133" s="137">
        <f>ROUND('[7]2031'!O39,2)</f>
        <v>31283.05</v>
      </c>
      <c r="P133" s="137">
        <f>ROUND('[7]2031'!P39,2)</f>
        <v>31986.99</v>
      </c>
      <c r="Q133" s="137">
        <f>ROUND('[7]2031'!Q39,2)</f>
        <v>31569.72</v>
      </c>
      <c r="R133" s="137">
        <f>ROUND('[7]2031'!R39,2)</f>
        <v>31131.91</v>
      </c>
      <c r="S133" s="137">
        <f>ROUND('[7]2031'!S39,2)</f>
        <v>31182.94</v>
      </c>
      <c r="T133" s="137">
        <f>ROUND('[7]2031'!T39,2)</f>
        <v>31268.32</v>
      </c>
      <c r="U133" s="137">
        <f>ROUND('[7]2031'!U39,2)</f>
        <v>30831.11</v>
      </c>
      <c r="V133" s="137">
        <f>ROUND('[7]2031'!V39,2)</f>
        <v>30761.85</v>
      </c>
      <c r="W133" s="137">
        <f>ROUND('[7]2031'!W39,2)</f>
        <v>33367.370000000003</v>
      </c>
      <c r="X133" s="137">
        <f>ROUND('[7]2031'!X39,2)</f>
        <v>34254.050000000003</v>
      </c>
      <c r="Y133" s="137">
        <f>ROUND('[7]2031'!Y39,2)</f>
        <v>33163.269999999997</v>
      </c>
      <c r="Z133" s="137">
        <f>ROUND('[7]2031'!Z39,2)</f>
        <v>31692.87</v>
      </c>
      <c r="AA133" s="137">
        <f>ROUND('[7]2031'!AA39,2)</f>
        <v>29822.05</v>
      </c>
      <c r="AB133" s="137">
        <f>ROUND('[7]2031'!AB39,2)</f>
        <v>27828.959999999999</v>
      </c>
      <c r="AC133" s="282">
        <f>SUM(E133:AB133)*D133+SUM(E134:AB134)*D134+SUM(E135:AB135)*D135+SUM(E136:AB136)*D136</f>
        <v>21262753.170000002</v>
      </c>
      <c r="AD133" s="19"/>
    </row>
    <row r="134" spans="2:30" ht="18.649999999999999" hidden="1" customHeight="1" x14ac:dyDescent="0.35">
      <c r="B134" s="261"/>
      <c r="C134" s="10" t="s">
        <v>30</v>
      </c>
      <c r="D134" s="11">
        <f>+'[7]2031'!D40</f>
        <v>4</v>
      </c>
      <c r="E134" s="135">
        <f>ROUND('[7]2031'!E40,2)</f>
        <v>26525.07</v>
      </c>
      <c r="F134" s="135">
        <f>ROUND('[7]2031'!F40,2)</f>
        <v>25135.85</v>
      </c>
      <c r="G134" s="135">
        <f>ROUND('[7]2031'!G40,2)</f>
        <v>24117.63</v>
      </c>
      <c r="H134" s="135">
        <f>ROUND('[7]2031'!H40,2)</f>
        <v>23399.22</v>
      </c>
      <c r="I134" s="135">
        <f>ROUND('[7]2031'!I40,2)</f>
        <v>23349.69</v>
      </c>
      <c r="J134" s="135">
        <f>ROUND('[7]2031'!J40,2)</f>
        <v>23777.41</v>
      </c>
      <c r="K134" s="135">
        <f>ROUND('[7]2031'!K40,2)</f>
        <v>23916.86</v>
      </c>
      <c r="L134" s="135">
        <f>ROUND('[7]2031'!L40,2)</f>
        <v>26524.69</v>
      </c>
      <c r="M134" s="135">
        <f>ROUND('[7]2031'!M40,2)</f>
        <v>29331.69</v>
      </c>
      <c r="N134" s="135">
        <f>ROUND('[7]2031'!N40,2)</f>
        <v>30927</v>
      </c>
      <c r="O134" s="135">
        <f>ROUND('[7]2031'!O40,2)</f>
        <v>32539.31</v>
      </c>
      <c r="P134" s="135">
        <f>ROUND('[7]2031'!P40,2)</f>
        <v>33702.800000000003</v>
      </c>
      <c r="Q134" s="135">
        <f>ROUND('[7]2031'!Q40,2)</f>
        <v>32822.370000000003</v>
      </c>
      <c r="R134" s="135">
        <f>ROUND('[7]2031'!R40,2)</f>
        <v>33480.28</v>
      </c>
      <c r="S134" s="135">
        <f>ROUND('[7]2031'!S40,2)</f>
        <v>34585.85</v>
      </c>
      <c r="T134" s="135">
        <f>ROUND('[7]2031'!T40,2)</f>
        <v>34586.17</v>
      </c>
      <c r="U134" s="135">
        <f>ROUND('[7]2031'!U40,2)</f>
        <v>33926.26</v>
      </c>
      <c r="V134" s="135">
        <f>ROUND('[7]2031'!V40,2)</f>
        <v>32952.75</v>
      </c>
      <c r="W134" s="135">
        <f>ROUND('[7]2031'!W40,2)</f>
        <v>35217.4</v>
      </c>
      <c r="X134" s="135">
        <f>ROUND('[7]2031'!X40,2)</f>
        <v>35943.08</v>
      </c>
      <c r="Y134" s="135">
        <f>ROUND('[7]2031'!Y40,2)</f>
        <v>35183.31</v>
      </c>
      <c r="Z134" s="135">
        <f>ROUND('[7]2031'!Z40,2)</f>
        <v>33687.129999999997</v>
      </c>
      <c r="AA134" s="135">
        <f>ROUND('[7]2031'!AA40,2)</f>
        <v>31227.71</v>
      </c>
      <c r="AB134" s="135">
        <f>ROUND('[7]2031'!AB40,2)</f>
        <v>28580.17</v>
      </c>
      <c r="AC134" s="282"/>
      <c r="AD134" s="19"/>
    </row>
    <row r="135" spans="2:30" ht="18.649999999999999" hidden="1" customHeight="1" x14ac:dyDescent="0.35">
      <c r="B135" s="261"/>
      <c r="C135" s="10" t="s">
        <v>31</v>
      </c>
      <c r="D135" s="11">
        <f>+'[7]2031'!D41</f>
        <v>3</v>
      </c>
      <c r="E135" s="135">
        <f>ROUND('[7]2031'!E41,2)</f>
        <v>25018.86</v>
      </c>
      <c r="F135" s="135">
        <f>ROUND('[7]2031'!F41,2)</f>
        <v>24013.88</v>
      </c>
      <c r="G135" s="135">
        <f>ROUND('[7]2031'!G41,2)</f>
        <v>23163.18</v>
      </c>
      <c r="H135" s="135">
        <f>ROUND('[7]2031'!H41,2)</f>
        <v>22384.43</v>
      </c>
      <c r="I135" s="135">
        <f>ROUND('[7]2031'!I41,2)</f>
        <v>22122.98</v>
      </c>
      <c r="J135" s="135">
        <f>ROUND('[7]2031'!J41,2)</f>
        <v>21778.23</v>
      </c>
      <c r="K135" s="135">
        <f>ROUND('[7]2031'!K41,2)</f>
        <v>21363.17</v>
      </c>
      <c r="L135" s="135">
        <f>ROUND('[7]2031'!L41,2)</f>
        <v>22956.13</v>
      </c>
      <c r="M135" s="135">
        <f>ROUND('[7]2031'!M41,2)</f>
        <v>25037.84</v>
      </c>
      <c r="N135" s="135">
        <f>ROUND('[7]2031'!N41,2)</f>
        <v>26717.68</v>
      </c>
      <c r="O135" s="135">
        <f>ROUND('[7]2031'!O41,2)</f>
        <v>27922.46</v>
      </c>
      <c r="P135" s="135">
        <f>ROUND('[7]2031'!P41,2)</f>
        <v>28533.08</v>
      </c>
      <c r="Q135" s="135">
        <f>ROUND('[7]2031'!Q41,2)</f>
        <v>29580.75</v>
      </c>
      <c r="R135" s="135">
        <f>ROUND('[7]2031'!R41,2)</f>
        <v>29649.57</v>
      </c>
      <c r="S135" s="135">
        <f>ROUND('[7]2031'!S41,2)</f>
        <v>29596.93</v>
      </c>
      <c r="T135" s="135">
        <f>ROUND('[7]2031'!T41,2)</f>
        <v>29681.81</v>
      </c>
      <c r="U135" s="135">
        <f>ROUND('[7]2031'!U41,2)</f>
        <v>29449.99</v>
      </c>
      <c r="V135" s="135">
        <f>ROUND('[7]2031'!V41,2)</f>
        <v>29183.23</v>
      </c>
      <c r="W135" s="135">
        <f>ROUND('[7]2031'!W41,2)</f>
        <v>32251.64</v>
      </c>
      <c r="X135" s="135">
        <f>ROUND('[7]2031'!X41,2)</f>
        <v>34020.81</v>
      </c>
      <c r="Y135" s="135">
        <f>ROUND('[7]2031'!Y41,2)</f>
        <v>33560.76</v>
      </c>
      <c r="Z135" s="135">
        <f>ROUND('[7]2031'!Z41,2)</f>
        <v>32411.21</v>
      </c>
      <c r="AA135" s="135">
        <f>ROUND('[7]2031'!AA41,2)</f>
        <v>30466.959999999999</v>
      </c>
      <c r="AB135" s="135">
        <f>ROUND('[7]2031'!AB41,2)</f>
        <v>28302.19</v>
      </c>
      <c r="AC135" s="282"/>
      <c r="AD135" s="19"/>
    </row>
    <row r="136" spans="2:30" ht="18.649999999999999" hidden="1" customHeight="1" thickBot="1" x14ac:dyDescent="0.4">
      <c r="B136" s="261"/>
      <c r="C136" s="16" t="s">
        <v>32</v>
      </c>
      <c r="D136" s="17">
        <f>+'[7]2031'!D42</f>
        <v>1</v>
      </c>
      <c r="E136" s="136">
        <f>ROUND('[7]2031'!E42,2)</f>
        <v>25018.86</v>
      </c>
      <c r="F136" s="136">
        <f>ROUND('[7]2031'!F42,2)</f>
        <v>24013.88</v>
      </c>
      <c r="G136" s="136">
        <f>ROUND('[7]2031'!G42,2)</f>
        <v>23163.18</v>
      </c>
      <c r="H136" s="136">
        <f>ROUND('[7]2031'!H42,2)</f>
        <v>22384.43</v>
      </c>
      <c r="I136" s="136">
        <f>ROUND('[7]2031'!I42,2)</f>
        <v>22122.98</v>
      </c>
      <c r="J136" s="136">
        <f>ROUND('[7]2031'!J42,2)</f>
        <v>21778.23</v>
      </c>
      <c r="K136" s="136">
        <f>ROUND('[7]2031'!K42,2)</f>
        <v>21363.17</v>
      </c>
      <c r="L136" s="136">
        <f>ROUND('[7]2031'!L42,2)</f>
        <v>22956.13</v>
      </c>
      <c r="M136" s="136">
        <f>ROUND('[7]2031'!M42,2)</f>
        <v>25037.84</v>
      </c>
      <c r="N136" s="136">
        <f>ROUND('[7]2031'!N42,2)</f>
        <v>26717.68</v>
      </c>
      <c r="O136" s="136">
        <f>ROUND('[7]2031'!O42,2)</f>
        <v>27922.46</v>
      </c>
      <c r="P136" s="136">
        <f>ROUND('[7]2031'!P42,2)</f>
        <v>28533.08</v>
      </c>
      <c r="Q136" s="136">
        <f>ROUND('[7]2031'!Q42,2)</f>
        <v>29580.75</v>
      </c>
      <c r="R136" s="136">
        <f>ROUND('[7]2031'!R42,2)</f>
        <v>29649.57</v>
      </c>
      <c r="S136" s="136">
        <f>ROUND('[7]2031'!S42,2)</f>
        <v>29596.93</v>
      </c>
      <c r="T136" s="136">
        <f>ROUND('[7]2031'!T42,2)</f>
        <v>29681.81</v>
      </c>
      <c r="U136" s="136">
        <f>ROUND('[7]2031'!U42,2)</f>
        <v>29449.99</v>
      </c>
      <c r="V136" s="136">
        <f>ROUND('[7]2031'!V42,2)</f>
        <v>29183.23</v>
      </c>
      <c r="W136" s="136">
        <f>ROUND('[7]2031'!W42,2)</f>
        <v>32251.64</v>
      </c>
      <c r="X136" s="136">
        <f>ROUND('[7]2031'!X42,2)</f>
        <v>34020.81</v>
      </c>
      <c r="Y136" s="136">
        <f>ROUND('[7]2031'!Y42,2)</f>
        <v>33560.76</v>
      </c>
      <c r="Z136" s="136">
        <f>ROUND('[7]2031'!Z42,2)</f>
        <v>32411.21</v>
      </c>
      <c r="AA136" s="136">
        <f>ROUND('[7]2031'!AA42,2)</f>
        <v>30466.959999999999</v>
      </c>
      <c r="AB136" s="136">
        <f>ROUND('[7]2031'!AB42,2)</f>
        <v>28302.19</v>
      </c>
      <c r="AC136" s="282"/>
      <c r="AD136" s="19"/>
    </row>
    <row r="137" spans="2:30" ht="18.649999999999999" hidden="1" customHeight="1" x14ac:dyDescent="0.35">
      <c r="B137" s="263">
        <v>48061</v>
      </c>
      <c r="C137" s="7" t="s">
        <v>29</v>
      </c>
      <c r="D137" s="8">
        <f>+'[7]2031'!D43</f>
        <v>19</v>
      </c>
      <c r="E137" s="134">
        <f>ROUND('[7]2031'!E43,2)</f>
        <v>25866.87</v>
      </c>
      <c r="F137" s="134">
        <f>ROUND('[7]2031'!F43,2)</f>
        <v>24473</v>
      </c>
      <c r="G137" s="134">
        <f>ROUND('[7]2031'!G43,2)</f>
        <v>23433.02</v>
      </c>
      <c r="H137" s="134">
        <f>ROUND('[7]2031'!H43,2)</f>
        <v>22736.55</v>
      </c>
      <c r="I137" s="134">
        <f>ROUND('[7]2031'!I43,2)</f>
        <v>22480.73</v>
      </c>
      <c r="J137" s="134">
        <f>ROUND('[7]2031'!J43,2)</f>
        <v>22416.28</v>
      </c>
      <c r="K137" s="134">
        <f>ROUND('[7]2031'!K43,2)</f>
        <v>22489.9</v>
      </c>
      <c r="L137" s="134">
        <f>ROUND('[7]2031'!L43,2)</f>
        <v>25084.97</v>
      </c>
      <c r="M137" s="134">
        <f>ROUND('[7]2031'!M43,2)</f>
        <v>28006.880000000001</v>
      </c>
      <c r="N137" s="134">
        <f>ROUND('[7]2031'!N43,2)</f>
        <v>29802.67</v>
      </c>
      <c r="O137" s="134">
        <f>ROUND('[7]2031'!O43,2)</f>
        <v>31294.05</v>
      </c>
      <c r="P137" s="134">
        <f>ROUND('[7]2031'!P43,2)</f>
        <v>32245.439999999999</v>
      </c>
      <c r="Q137" s="134">
        <f>ROUND('[7]2031'!Q43,2)</f>
        <v>31710.400000000001</v>
      </c>
      <c r="R137" s="134">
        <f>ROUND('[7]2031'!R43,2)</f>
        <v>31258.51</v>
      </c>
      <c r="S137" s="134">
        <f>ROUND('[7]2031'!S43,2)</f>
        <v>31211.439999999999</v>
      </c>
      <c r="T137" s="134">
        <f>ROUND('[7]2031'!T43,2)</f>
        <v>30956.75</v>
      </c>
      <c r="U137" s="134">
        <f>ROUND('[7]2031'!U43,2)</f>
        <v>30336.2</v>
      </c>
      <c r="V137" s="134">
        <f>ROUND('[7]2031'!V43,2)</f>
        <v>30295.97</v>
      </c>
      <c r="W137" s="134">
        <f>ROUND('[7]2031'!W43,2)</f>
        <v>33042.660000000003</v>
      </c>
      <c r="X137" s="134">
        <f>ROUND('[7]2031'!X43,2)</f>
        <v>33466.75</v>
      </c>
      <c r="Y137" s="134">
        <f>ROUND('[7]2031'!Y43,2)</f>
        <v>32485.99</v>
      </c>
      <c r="Z137" s="134">
        <f>ROUND('[7]2031'!Z43,2)</f>
        <v>31133.81</v>
      </c>
      <c r="AA137" s="134">
        <f>ROUND('[7]2031'!AA43,2)</f>
        <v>29226.29</v>
      </c>
      <c r="AB137" s="134">
        <f>ROUND('[7]2031'!AB43,2)</f>
        <v>27194.91</v>
      </c>
      <c r="AC137" s="283">
        <f>SUM(E137:AB137)*D137+SUM(E138:AB138)*D138+SUM(E139:AB139)*D139+SUM(E140:AB140)*D140</f>
        <v>21057264.150000002</v>
      </c>
      <c r="AD137" s="19"/>
    </row>
    <row r="138" spans="2:30" ht="18.649999999999999" hidden="1" customHeight="1" x14ac:dyDescent="0.35">
      <c r="B138" s="264" t="s">
        <v>34</v>
      </c>
      <c r="C138" s="10" t="s">
        <v>30</v>
      </c>
      <c r="D138" s="11">
        <f>+'[7]2031'!D44</f>
        <v>5</v>
      </c>
      <c r="E138" s="135">
        <f>ROUND('[7]2031'!E44,2)</f>
        <v>25525.13</v>
      </c>
      <c r="F138" s="135">
        <f>ROUND('[7]2031'!F44,2)</f>
        <v>24258.14</v>
      </c>
      <c r="G138" s="135">
        <f>ROUND('[7]2031'!G44,2)</f>
        <v>23289.119999999999</v>
      </c>
      <c r="H138" s="135">
        <f>ROUND('[7]2031'!H44,2)</f>
        <v>22605.77</v>
      </c>
      <c r="I138" s="135">
        <f>ROUND('[7]2031'!I44,2)</f>
        <v>22540.53</v>
      </c>
      <c r="J138" s="135">
        <f>ROUND('[7]2031'!J44,2)</f>
        <v>22909.279999999999</v>
      </c>
      <c r="K138" s="135">
        <f>ROUND('[7]2031'!K44,2)</f>
        <v>23153.74</v>
      </c>
      <c r="L138" s="135">
        <f>ROUND('[7]2031'!L44,2)</f>
        <v>25795.18</v>
      </c>
      <c r="M138" s="135">
        <f>ROUND('[7]2031'!M44,2)</f>
        <v>28501.97</v>
      </c>
      <c r="N138" s="135">
        <f>ROUND('[7]2031'!N44,2)</f>
        <v>30035.31</v>
      </c>
      <c r="O138" s="135">
        <f>ROUND('[7]2031'!O44,2)</f>
        <v>31626.91</v>
      </c>
      <c r="P138" s="135">
        <f>ROUND('[7]2031'!P44,2)</f>
        <v>32703.83</v>
      </c>
      <c r="Q138" s="135">
        <f>ROUND('[7]2031'!Q44,2)</f>
        <v>31864.69</v>
      </c>
      <c r="R138" s="135">
        <f>ROUND('[7]2031'!R44,2)</f>
        <v>32618.29</v>
      </c>
      <c r="S138" s="135">
        <f>ROUND('[7]2031'!S44,2)</f>
        <v>33751.07</v>
      </c>
      <c r="T138" s="135">
        <f>ROUND('[7]2031'!T44,2)</f>
        <v>33775.07</v>
      </c>
      <c r="U138" s="135">
        <f>ROUND('[7]2031'!U44,2)</f>
        <v>33152.49</v>
      </c>
      <c r="V138" s="135">
        <f>ROUND('[7]2031'!V44,2)</f>
        <v>32595.279999999999</v>
      </c>
      <c r="W138" s="135">
        <f>ROUND('[7]2031'!W44,2)</f>
        <v>34989.51</v>
      </c>
      <c r="X138" s="135">
        <f>ROUND('[7]2031'!X44,2)</f>
        <v>34847.39</v>
      </c>
      <c r="Y138" s="135">
        <f>ROUND('[7]2031'!Y44,2)</f>
        <v>33948.1</v>
      </c>
      <c r="Z138" s="135">
        <f>ROUND('[7]2031'!Z44,2)</f>
        <v>32392.17</v>
      </c>
      <c r="AA138" s="135">
        <f>ROUND('[7]2031'!AA44,2)</f>
        <v>29912.3</v>
      </c>
      <c r="AB138" s="135">
        <f>ROUND('[7]2031'!AB44,2)</f>
        <v>27368.09</v>
      </c>
      <c r="AC138" s="282"/>
      <c r="AD138" s="19"/>
    </row>
    <row r="139" spans="2:30" ht="18.649999999999999" hidden="1" customHeight="1" x14ac:dyDescent="0.35">
      <c r="B139" s="264" t="s">
        <v>34</v>
      </c>
      <c r="C139" s="10" t="s">
        <v>31</v>
      </c>
      <c r="D139" s="11">
        <f>+'[7]2031'!D45</f>
        <v>5</v>
      </c>
      <c r="E139" s="135">
        <f>ROUND('[7]2031'!E45,2)</f>
        <v>25512.41</v>
      </c>
      <c r="F139" s="135">
        <f>ROUND('[7]2031'!F45,2)</f>
        <v>24182.81</v>
      </c>
      <c r="G139" s="135">
        <f>ROUND('[7]2031'!G45,2)</f>
        <v>23150.15</v>
      </c>
      <c r="H139" s="135">
        <f>ROUND('[7]2031'!H45,2)</f>
        <v>22403.26</v>
      </c>
      <c r="I139" s="135">
        <f>ROUND('[7]2031'!I45,2)</f>
        <v>22089.82</v>
      </c>
      <c r="J139" s="135">
        <f>ROUND('[7]2031'!J45,2)</f>
        <v>21667.49</v>
      </c>
      <c r="K139" s="135">
        <f>ROUND('[7]2031'!K45,2)</f>
        <v>21205.42</v>
      </c>
      <c r="L139" s="135">
        <f>ROUND('[7]2031'!L45,2)</f>
        <v>22748.080000000002</v>
      </c>
      <c r="M139" s="135">
        <f>ROUND('[7]2031'!M45,2)</f>
        <v>24446.52</v>
      </c>
      <c r="N139" s="135">
        <f>ROUND('[7]2031'!N45,2)</f>
        <v>25977.23</v>
      </c>
      <c r="O139" s="135">
        <f>ROUND('[7]2031'!O45,2)</f>
        <v>27428.48</v>
      </c>
      <c r="P139" s="135">
        <f>ROUND('[7]2031'!P45,2)</f>
        <v>28670.23</v>
      </c>
      <c r="Q139" s="135">
        <f>ROUND('[7]2031'!Q45,2)</f>
        <v>29127.16</v>
      </c>
      <c r="R139" s="135">
        <f>ROUND('[7]2031'!R45,2)</f>
        <v>28987.360000000001</v>
      </c>
      <c r="S139" s="135">
        <f>ROUND('[7]2031'!S45,2)</f>
        <v>28857.08</v>
      </c>
      <c r="T139" s="135">
        <f>ROUND('[7]2031'!T45,2)</f>
        <v>28949.040000000001</v>
      </c>
      <c r="U139" s="135">
        <f>ROUND('[7]2031'!U45,2)</f>
        <v>28684.959999999999</v>
      </c>
      <c r="V139" s="135">
        <f>ROUND('[7]2031'!V45,2)</f>
        <v>28652.51</v>
      </c>
      <c r="W139" s="135">
        <f>ROUND('[7]2031'!W45,2)</f>
        <v>31975.53</v>
      </c>
      <c r="X139" s="135">
        <f>ROUND('[7]2031'!X45,2)</f>
        <v>33777</v>
      </c>
      <c r="Y139" s="135">
        <f>ROUND('[7]2031'!Y45,2)</f>
        <v>33596.85</v>
      </c>
      <c r="Z139" s="135">
        <f>ROUND('[7]2031'!Z45,2)</f>
        <v>32332.720000000001</v>
      </c>
      <c r="AA139" s="135">
        <f>ROUND('[7]2031'!AA45,2)</f>
        <v>30140.73</v>
      </c>
      <c r="AB139" s="135">
        <f>ROUND('[7]2031'!AB45,2)</f>
        <v>27739.53</v>
      </c>
      <c r="AC139" s="282"/>
      <c r="AD139" s="19"/>
    </row>
    <row r="140" spans="2:30" ht="18.649999999999999" hidden="1" customHeight="1" thickBot="1" x14ac:dyDescent="0.4">
      <c r="B140" s="265" t="s">
        <v>34</v>
      </c>
      <c r="C140" s="12" t="s">
        <v>32</v>
      </c>
      <c r="D140" s="13">
        <f>+'[7]2031'!D46</f>
        <v>2</v>
      </c>
      <c r="E140" s="132">
        <f>ROUND('[7]2031'!E46,2)</f>
        <v>25512.41</v>
      </c>
      <c r="F140" s="132">
        <f>ROUND('[7]2031'!F46,2)</f>
        <v>24182.81</v>
      </c>
      <c r="G140" s="132">
        <f>ROUND('[7]2031'!G46,2)</f>
        <v>23150.15</v>
      </c>
      <c r="H140" s="132">
        <f>ROUND('[7]2031'!H46,2)</f>
        <v>22403.26</v>
      </c>
      <c r="I140" s="132">
        <f>ROUND('[7]2031'!I46,2)</f>
        <v>22089.82</v>
      </c>
      <c r="J140" s="132">
        <f>ROUND('[7]2031'!J46,2)</f>
        <v>21667.49</v>
      </c>
      <c r="K140" s="132">
        <f>ROUND('[7]2031'!K46,2)</f>
        <v>21205.42</v>
      </c>
      <c r="L140" s="132">
        <f>ROUND('[7]2031'!L46,2)</f>
        <v>22748.080000000002</v>
      </c>
      <c r="M140" s="132">
        <f>ROUND('[7]2031'!M46,2)</f>
        <v>24446.52</v>
      </c>
      <c r="N140" s="132">
        <f>ROUND('[7]2031'!N46,2)</f>
        <v>25977.23</v>
      </c>
      <c r="O140" s="132">
        <f>ROUND('[7]2031'!O46,2)</f>
        <v>27428.48</v>
      </c>
      <c r="P140" s="132">
        <f>ROUND('[7]2031'!P46,2)</f>
        <v>28670.23</v>
      </c>
      <c r="Q140" s="132">
        <f>ROUND('[7]2031'!Q46,2)</f>
        <v>29127.16</v>
      </c>
      <c r="R140" s="132">
        <f>ROUND('[7]2031'!R46,2)</f>
        <v>28987.360000000001</v>
      </c>
      <c r="S140" s="132">
        <f>ROUND('[7]2031'!S46,2)</f>
        <v>28857.08</v>
      </c>
      <c r="T140" s="132">
        <f>ROUND('[7]2031'!T46,2)</f>
        <v>28949.040000000001</v>
      </c>
      <c r="U140" s="132">
        <f>ROUND('[7]2031'!U46,2)</f>
        <v>28684.959999999999</v>
      </c>
      <c r="V140" s="132">
        <f>ROUND('[7]2031'!V46,2)</f>
        <v>28652.51</v>
      </c>
      <c r="W140" s="132">
        <f>ROUND('[7]2031'!W46,2)</f>
        <v>31975.53</v>
      </c>
      <c r="X140" s="132">
        <f>ROUND('[7]2031'!X46,2)</f>
        <v>33777</v>
      </c>
      <c r="Y140" s="132">
        <f>ROUND('[7]2031'!Y46,2)</f>
        <v>33596.85</v>
      </c>
      <c r="Z140" s="132">
        <f>ROUND('[7]2031'!Z46,2)</f>
        <v>32332.720000000001</v>
      </c>
      <c r="AA140" s="132">
        <f>ROUND('[7]2031'!AA46,2)</f>
        <v>30140.73</v>
      </c>
      <c r="AB140" s="132">
        <f>ROUND('[7]2031'!AB46,2)</f>
        <v>27739.53</v>
      </c>
      <c r="AC140" s="284"/>
      <c r="AD140" s="19"/>
    </row>
    <row r="141" spans="2:30" ht="18.649999999999999" hidden="1" customHeight="1" x14ac:dyDescent="0.35">
      <c r="B141" s="260">
        <v>48092</v>
      </c>
      <c r="C141" s="14" t="s">
        <v>29</v>
      </c>
      <c r="D141" s="15">
        <f>+'[7]2031'!D47</f>
        <v>22</v>
      </c>
      <c r="E141" s="137">
        <f>ROUND('[7]2031'!E47,2)</f>
        <v>26206.87</v>
      </c>
      <c r="F141" s="137">
        <f>ROUND('[7]2031'!F47,2)</f>
        <v>24869.3</v>
      </c>
      <c r="G141" s="137">
        <f>ROUND('[7]2031'!G47,2)</f>
        <v>23834.400000000001</v>
      </c>
      <c r="H141" s="137">
        <f>ROUND('[7]2031'!H47,2)</f>
        <v>23101.24</v>
      </c>
      <c r="I141" s="137">
        <f>ROUND('[7]2031'!I47,2)</f>
        <v>22886.12</v>
      </c>
      <c r="J141" s="137">
        <f>ROUND('[7]2031'!J47,2)</f>
        <v>22590.67</v>
      </c>
      <c r="K141" s="137">
        <f>ROUND('[7]2031'!K47,2)</f>
        <v>22736.799999999999</v>
      </c>
      <c r="L141" s="137">
        <f>ROUND('[7]2031'!L47,2)</f>
        <v>25440.78</v>
      </c>
      <c r="M141" s="137">
        <f>ROUND('[7]2031'!M47,2)</f>
        <v>28328.67</v>
      </c>
      <c r="N141" s="137">
        <f>ROUND('[7]2031'!N47,2)</f>
        <v>29994.14</v>
      </c>
      <c r="O141" s="137">
        <f>ROUND('[7]2031'!O47,2)</f>
        <v>31413.05</v>
      </c>
      <c r="P141" s="137">
        <f>ROUND('[7]2031'!P47,2)</f>
        <v>32117.46</v>
      </c>
      <c r="Q141" s="137">
        <f>ROUND('[7]2031'!Q47,2)</f>
        <v>31508.41</v>
      </c>
      <c r="R141" s="137">
        <f>ROUND('[7]2031'!R47,2)</f>
        <v>31053.65</v>
      </c>
      <c r="S141" s="137">
        <f>ROUND('[7]2031'!S47,2)</f>
        <v>31016.53</v>
      </c>
      <c r="T141" s="137">
        <f>ROUND('[7]2031'!T47,2)</f>
        <v>30963.22</v>
      </c>
      <c r="U141" s="137">
        <f>ROUND('[7]2031'!U47,2)</f>
        <v>30500.17</v>
      </c>
      <c r="V141" s="137">
        <f>ROUND('[7]2031'!V47,2)</f>
        <v>30857.41</v>
      </c>
      <c r="W141" s="137">
        <f>ROUND('[7]2031'!W47,2)</f>
        <v>34064.39</v>
      </c>
      <c r="X141" s="137">
        <f>ROUND('[7]2031'!X47,2)</f>
        <v>33739.32</v>
      </c>
      <c r="Y141" s="137">
        <f>ROUND('[7]2031'!Y47,2)</f>
        <v>32568.39</v>
      </c>
      <c r="Z141" s="137">
        <f>ROUND('[7]2031'!Z47,2)</f>
        <v>31113.119999999999</v>
      </c>
      <c r="AA141" s="137">
        <f>ROUND('[7]2031'!AA47,2)</f>
        <v>29362.33</v>
      </c>
      <c r="AB141" s="137">
        <f>ROUND('[7]2031'!AB47,2)</f>
        <v>27432.2</v>
      </c>
      <c r="AC141" s="282">
        <f>SUM(E141:AB141)*D141+SUM(E142:AB142)*D142+SUM(E143:AB143)*D143+SUM(E144:AB144)*D144</f>
        <v>20755821.319999997</v>
      </c>
      <c r="AD141" s="19"/>
    </row>
    <row r="142" spans="2:30" ht="18.649999999999999" hidden="1" customHeight="1" x14ac:dyDescent="0.35">
      <c r="B142" s="261"/>
      <c r="C142" s="10" t="s">
        <v>30</v>
      </c>
      <c r="D142" s="11">
        <f>+'[7]2031'!D48</f>
        <v>4</v>
      </c>
      <c r="E142" s="135">
        <f>ROUND('[7]2031'!E48,2)</f>
        <v>24499.360000000001</v>
      </c>
      <c r="F142" s="135">
        <f>ROUND('[7]2031'!F48,2)</f>
        <v>23266.36</v>
      </c>
      <c r="G142" s="135">
        <f>ROUND('[7]2031'!G48,2)</f>
        <v>22405.97</v>
      </c>
      <c r="H142" s="135">
        <f>ROUND('[7]2031'!H48,2)</f>
        <v>21771.759999999998</v>
      </c>
      <c r="I142" s="135">
        <f>ROUND('[7]2031'!I48,2)</f>
        <v>21782.17</v>
      </c>
      <c r="J142" s="135">
        <f>ROUND('[7]2031'!J48,2)</f>
        <v>22143.16</v>
      </c>
      <c r="K142" s="135">
        <f>ROUND('[7]2031'!K48,2)</f>
        <v>22593.88</v>
      </c>
      <c r="L142" s="135">
        <f>ROUND('[7]2031'!L48,2)</f>
        <v>25350.34</v>
      </c>
      <c r="M142" s="135">
        <f>ROUND('[7]2031'!M48,2)</f>
        <v>28035.16</v>
      </c>
      <c r="N142" s="135">
        <f>ROUND('[7]2031'!N48,2)</f>
        <v>29500.32</v>
      </c>
      <c r="O142" s="135">
        <f>ROUND('[7]2031'!O48,2)</f>
        <v>31050.62</v>
      </c>
      <c r="P142" s="135">
        <f>ROUND('[7]2031'!P48,2)</f>
        <v>32119.11</v>
      </c>
      <c r="Q142" s="135">
        <f>ROUND('[7]2031'!Q48,2)</f>
        <v>31199.33</v>
      </c>
      <c r="R142" s="135">
        <f>ROUND('[7]2031'!R48,2)</f>
        <v>31900.99</v>
      </c>
      <c r="S142" s="135">
        <f>ROUND('[7]2031'!S48,2)</f>
        <v>33084.629999999997</v>
      </c>
      <c r="T142" s="135">
        <f>ROUND('[7]2031'!T48,2)</f>
        <v>33144.300000000003</v>
      </c>
      <c r="U142" s="135">
        <f>ROUND('[7]2031'!U48,2)</f>
        <v>32458.37</v>
      </c>
      <c r="V142" s="135">
        <f>ROUND('[7]2031'!V48,2)</f>
        <v>32547.94</v>
      </c>
      <c r="W142" s="135">
        <f>ROUND('[7]2031'!W48,2)</f>
        <v>34510.720000000001</v>
      </c>
      <c r="X142" s="135">
        <f>ROUND('[7]2031'!X48,2)</f>
        <v>33924.559999999998</v>
      </c>
      <c r="Y142" s="135">
        <f>ROUND('[7]2031'!Y48,2)</f>
        <v>32839.660000000003</v>
      </c>
      <c r="Z142" s="135">
        <f>ROUND('[7]2031'!Z48,2)</f>
        <v>31242.2</v>
      </c>
      <c r="AA142" s="135">
        <f>ROUND('[7]2031'!AA48,2)</f>
        <v>28940.39</v>
      </c>
      <c r="AB142" s="135">
        <f>ROUND('[7]2031'!AB48,2)</f>
        <v>26548.86</v>
      </c>
      <c r="AC142" s="282"/>
      <c r="AD142" s="19"/>
    </row>
    <row r="143" spans="2:30" ht="18.649999999999999" hidden="1" customHeight="1" x14ac:dyDescent="0.35">
      <c r="B143" s="261"/>
      <c r="C143" s="10" t="s">
        <v>31</v>
      </c>
      <c r="D143" s="11">
        <f>+'[7]2031'!D49</f>
        <v>4</v>
      </c>
      <c r="E143" s="135">
        <f>ROUND('[7]2031'!E49,2)</f>
        <v>25246.21</v>
      </c>
      <c r="F143" s="135">
        <f>ROUND('[7]2031'!F49,2)</f>
        <v>24017.95</v>
      </c>
      <c r="G143" s="135">
        <f>ROUND('[7]2031'!G49,2)</f>
        <v>23108.720000000001</v>
      </c>
      <c r="H143" s="135">
        <f>ROUND('[7]2031'!H49,2)</f>
        <v>22421.94</v>
      </c>
      <c r="I143" s="135">
        <f>ROUND('[7]2031'!I49,2)</f>
        <v>22457.86</v>
      </c>
      <c r="J143" s="135">
        <f>ROUND('[7]2031'!J49,2)</f>
        <v>23165.64</v>
      </c>
      <c r="K143" s="135">
        <f>ROUND('[7]2031'!K49,2)</f>
        <v>23611.599999999999</v>
      </c>
      <c r="L143" s="135">
        <f>ROUND('[7]2031'!L49,2)</f>
        <v>26535.95</v>
      </c>
      <c r="M143" s="135">
        <f>ROUND('[7]2031'!M49,2)</f>
        <v>29431.48</v>
      </c>
      <c r="N143" s="135">
        <f>ROUND('[7]2031'!N49,2)</f>
        <v>30964.31</v>
      </c>
      <c r="O143" s="135">
        <f>ROUND('[7]2031'!O49,2)</f>
        <v>32709.17</v>
      </c>
      <c r="P143" s="135">
        <f>ROUND('[7]2031'!P49,2)</f>
        <v>33883.86</v>
      </c>
      <c r="Q143" s="135">
        <f>ROUND('[7]2031'!Q49,2)</f>
        <v>32691.23</v>
      </c>
      <c r="R143" s="135">
        <f>ROUND('[7]2031'!R49,2)</f>
        <v>33847.269999999997</v>
      </c>
      <c r="S143" s="135">
        <f>ROUND('[7]2031'!S49,2)</f>
        <v>35486.629999999997</v>
      </c>
      <c r="T143" s="135">
        <f>ROUND('[7]2031'!T49,2)</f>
        <v>35531.089999999997</v>
      </c>
      <c r="U143" s="135">
        <f>ROUND('[7]2031'!U49,2)</f>
        <v>34724.57</v>
      </c>
      <c r="V143" s="135">
        <f>ROUND('[7]2031'!V49,2)</f>
        <v>33721.910000000003</v>
      </c>
      <c r="W143" s="135">
        <f>ROUND('[7]2031'!W49,2)</f>
        <v>35693.22</v>
      </c>
      <c r="X143" s="135">
        <f>ROUND('[7]2031'!X49,2)</f>
        <v>35429.599999999999</v>
      </c>
      <c r="Y143" s="135">
        <f>ROUND('[7]2031'!Y49,2)</f>
        <v>34515.61</v>
      </c>
      <c r="Z143" s="135">
        <f>ROUND('[7]2031'!Z49,2)</f>
        <v>32885.03</v>
      </c>
      <c r="AA143" s="135">
        <f>ROUND('[7]2031'!AA49,2)</f>
        <v>30189.99</v>
      </c>
      <c r="AB143" s="135">
        <f>ROUND('[7]2031'!AB49,2)</f>
        <v>27481.81</v>
      </c>
      <c r="AC143" s="282"/>
      <c r="AD143" s="19"/>
    </row>
    <row r="144" spans="2:30" ht="18.649999999999999" hidden="1" customHeight="1" thickBot="1" x14ac:dyDescent="0.4">
      <c r="B144" s="261"/>
      <c r="C144" s="16" t="s">
        <v>32</v>
      </c>
      <c r="D144" s="17">
        <f>+'[7]2031'!D50</f>
        <v>0</v>
      </c>
      <c r="E144" s="199">
        <f>ROUND('[7]2031'!E50,2)</f>
        <v>0</v>
      </c>
      <c r="F144" s="115">
        <f>ROUND('[7]2031'!F50,2)</f>
        <v>0</v>
      </c>
      <c r="G144" s="115">
        <f>ROUND('[7]2031'!G50,2)</f>
        <v>0</v>
      </c>
      <c r="H144" s="115">
        <f>ROUND('[7]2031'!H50,2)</f>
        <v>0</v>
      </c>
      <c r="I144" s="115">
        <f>ROUND('[7]2031'!I50,2)</f>
        <v>0</v>
      </c>
      <c r="J144" s="115">
        <f>ROUND('[7]2031'!J50,2)</f>
        <v>0</v>
      </c>
      <c r="K144" s="115">
        <f>ROUND('[7]2031'!K50,2)</f>
        <v>0</v>
      </c>
      <c r="L144" s="115">
        <f>ROUND('[7]2031'!L50,2)</f>
        <v>0</v>
      </c>
      <c r="M144" s="115">
        <f>ROUND('[7]2031'!M50,2)</f>
        <v>0</v>
      </c>
      <c r="N144" s="115">
        <f>ROUND('[7]2031'!N50,2)</f>
        <v>0</v>
      </c>
      <c r="O144" s="115">
        <f>ROUND('[7]2031'!O50,2)</f>
        <v>0</v>
      </c>
      <c r="P144" s="115">
        <f>ROUND('[7]2031'!P50,2)</f>
        <v>0</v>
      </c>
      <c r="Q144" s="115">
        <f>ROUND('[7]2031'!Q50,2)</f>
        <v>0</v>
      </c>
      <c r="R144" s="115">
        <f>ROUND('[7]2031'!R50,2)</f>
        <v>0</v>
      </c>
      <c r="S144" s="115">
        <f>ROUND('[7]2031'!S50,2)</f>
        <v>0</v>
      </c>
      <c r="T144" s="115">
        <f>ROUND('[7]2031'!T50,2)</f>
        <v>0</v>
      </c>
      <c r="U144" s="115">
        <f>ROUND('[7]2031'!U50,2)</f>
        <v>0</v>
      </c>
      <c r="V144" s="115">
        <f>ROUND('[7]2031'!V50,2)</f>
        <v>0</v>
      </c>
      <c r="W144" s="115">
        <f>ROUND('[7]2031'!W50,2)</f>
        <v>0</v>
      </c>
      <c r="X144" s="115">
        <f>ROUND('[7]2031'!X50,2)</f>
        <v>0</v>
      </c>
      <c r="Y144" s="115">
        <f>ROUND('[7]2031'!Y50,2)</f>
        <v>0</v>
      </c>
      <c r="Z144" s="115">
        <f>ROUND('[7]2031'!Z50,2)</f>
        <v>0</v>
      </c>
      <c r="AA144" s="115">
        <f>ROUND('[7]2031'!AA50,2)</f>
        <v>0</v>
      </c>
      <c r="AB144" s="115">
        <f>ROUND('[7]2031'!AB50,2)</f>
        <v>0</v>
      </c>
      <c r="AC144" s="282"/>
      <c r="AD144" s="19"/>
    </row>
    <row r="145" spans="2:50" ht="18.649999999999999" hidden="1" customHeight="1" x14ac:dyDescent="0.35">
      <c r="B145" s="263">
        <v>48122</v>
      </c>
      <c r="C145" s="7" t="s">
        <v>29</v>
      </c>
      <c r="D145" s="8">
        <f>+'[7]2031'!D51</f>
        <v>22</v>
      </c>
      <c r="E145" s="134">
        <f>ROUND('[7]2031'!E51,2)</f>
        <v>25231.59</v>
      </c>
      <c r="F145" s="134">
        <f>ROUND('[7]2031'!F51,2)</f>
        <v>23955.68</v>
      </c>
      <c r="G145" s="134">
        <f>ROUND('[7]2031'!G51,2)</f>
        <v>22940.12</v>
      </c>
      <c r="H145" s="134">
        <f>ROUND('[7]2031'!H51,2)</f>
        <v>22100.66</v>
      </c>
      <c r="I145" s="134">
        <f>ROUND('[7]2031'!I51,2)</f>
        <v>21782.14</v>
      </c>
      <c r="J145" s="134">
        <f>ROUND('[7]2031'!J51,2)</f>
        <v>21605.26</v>
      </c>
      <c r="K145" s="134">
        <f>ROUND('[7]2031'!K51,2)</f>
        <v>22061.32</v>
      </c>
      <c r="L145" s="134">
        <f>ROUND('[7]2031'!L51,2)</f>
        <v>24829.33</v>
      </c>
      <c r="M145" s="134">
        <f>ROUND('[7]2031'!M51,2)</f>
        <v>27658.560000000001</v>
      </c>
      <c r="N145" s="134">
        <f>ROUND('[7]2031'!N51,2)</f>
        <v>29300.94</v>
      </c>
      <c r="O145" s="134">
        <f>ROUND('[7]2031'!O51,2)</f>
        <v>30814.61</v>
      </c>
      <c r="P145" s="134">
        <f>ROUND('[7]2031'!P51,2)</f>
        <v>31608.59</v>
      </c>
      <c r="Q145" s="134">
        <f>ROUND('[7]2031'!Q51,2)</f>
        <v>31046.83</v>
      </c>
      <c r="R145" s="134">
        <f>ROUND('[7]2031'!R51,2)</f>
        <v>30679.040000000001</v>
      </c>
      <c r="S145" s="134">
        <f>ROUND('[7]2031'!S51,2)</f>
        <v>30805.360000000001</v>
      </c>
      <c r="T145" s="134">
        <f>ROUND('[7]2031'!T51,2)</f>
        <v>30744.57</v>
      </c>
      <c r="U145" s="134">
        <f>ROUND('[7]2031'!U51,2)</f>
        <v>30349.200000000001</v>
      </c>
      <c r="V145" s="134">
        <f>ROUND('[7]2031'!V51,2)</f>
        <v>31138.23</v>
      </c>
      <c r="W145" s="134">
        <f>ROUND('[7]2031'!W51,2)</f>
        <v>33977</v>
      </c>
      <c r="X145" s="134">
        <f>ROUND('[7]2031'!X51,2)</f>
        <v>33409.279999999999</v>
      </c>
      <c r="Y145" s="134">
        <f>ROUND('[7]2031'!Y51,2)</f>
        <v>32227.25</v>
      </c>
      <c r="Z145" s="134">
        <f>ROUND('[7]2031'!Z51,2)</f>
        <v>30725.040000000001</v>
      </c>
      <c r="AA145" s="134">
        <f>ROUND('[7]2031'!AA51,2)</f>
        <v>28933.360000000001</v>
      </c>
      <c r="AB145" s="134">
        <f>ROUND('[7]2031'!AB51,2)</f>
        <v>27017.56</v>
      </c>
      <c r="AC145" s="283">
        <f>SUM(E145:AB145)*D145+SUM(E146:AB146)*D146+SUM(E147:AB147)*D147+SUM(E148:AB148)*D148</f>
        <v>20654692.330000002</v>
      </c>
      <c r="AD145" s="19"/>
    </row>
    <row r="146" spans="2:50" ht="18.649999999999999" hidden="1" customHeight="1" x14ac:dyDescent="0.35">
      <c r="B146" s="264" t="s">
        <v>34</v>
      </c>
      <c r="C146" s="10" t="s">
        <v>30</v>
      </c>
      <c r="D146" s="11">
        <f>+'[7]2031'!D52</f>
        <v>4</v>
      </c>
      <c r="E146" s="135">
        <f>ROUND('[7]2031'!E52,2)</f>
        <v>23451.84</v>
      </c>
      <c r="F146" s="135">
        <f>ROUND('[7]2031'!F52,2)</f>
        <v>22293.48</v>
      </c>
      <c r="G146" s="135">
        <f>ROUND('[7]2031'!G52,2)</f>
        <v>21436.42</v>
      </c>
      <c r="H146" s="135">
        <f>ROUND('[7]2031'!H52,2)</f>
        <v>20922.740000000002</v>
      </c>
      <c r="I146" s="135">
        <f>ROUND('[7]2031'!I52,2)</f>
        <v>20994.59</v>
      </c>
      <c r="J146" s="135">
        <f>ROUND('[7]2031'!J52,2)</f>
        <v>21403.65</v>
      </c>
      <c r="K146" s="135">
        <f>ROUND('[7]2031'!K52,2)</f>
        <v>21791.55</v>
      </c>
      <c r="L146" s="135">
        <f>ROUND('[7]2031'!L52,2)</f>
        <v>24341.599999999999</v>
      </c>
      <c r="M146" s="135">
        <f>ROUND('[7]2031'!M52,2)</f>
        <v>26887.29</v>
      </c>
      <c r="N146" s="135">
        <f>ROUND('[7]2031'!N52,2)</f>
        <v>28379.040000000001</v>
      </c>
      <c r="O146" s="135">
        <f>ROUND('[7]2031'!O52,2)</f>
        <v>29747.81</v>
      </c>
      <c r="P146" s="135">
        <f>ROUND('[7]2031'!P52,2)</f>
        <v>30768.78</v>
      </c>
      <c r="Q146" s="135">
        <f>ROUND('[7]2031'!Q52,2)</f>
        <v>29902.94</v>
      </c>
      <c r="R146" s="135">
        <f>ROUND('[7]2031'!R52,2)</f>
        <v>30295.21</v>
      </c>
      <c r="S146" s="135">
        <f>ROUND('[7]2031'!S52,2)</f>
        <v>31188.63</v>
      </c>
      <c r="T146" s="135">
        <f>ROUND('[7]2031'!T52,2)</f>
        <v>31273.54</v>
      </c>
      <c r="U146" s="135">
        <f>ROUND('[7]2031'!U52,2)</f>
        <v>30868.13</v>
      </c>
      <c r="V146" s="135">
        <f>ROUND('[7]2031'!V52,2)</f>
        <v>31428.95</v>
      </c>
      <c r="W146" s="135">
        <f>ROUND('[7]2031'!W52,2)</f>
        <v>33597.870000000003</v>
      </c>
      <c r="X146" s="135">
        <f>ROUND('[7]2031'!X52,2)</f>
        <v>32944.79</v>
      </c>
      <c r="Y146" s="135">
        <f>ROUND('[7]2031'!Y52,2)</f>
        <v>31664.57</v>
      </c>
      <c r="Z146" s="135">
        <f>ROUND('[7]2031'!Z52,2)</f>
        <v>29901.93</v>
      </c>
      <c r="AA146" s="135">
        <f>ROUND('[7]2031'!AA52,2)</f>
        <v>27603.48</v>
      </c>
      <c r="AB146" s="135">
        <f>ROUND('[7]2031'!AB52,2)</f>
        <v>25299.83</v>
      </c>
      <c r="AC146" s="282"/>
      <c r="AD146" s="19"/>
    </row>
    <row r="147" spans="2:50" ht="18.649999999999999" hidden="1" customHeight="1" x14ac:dyDescent="0.35">
      <c r="B147" s="264" t="s">
        <v>34</v>
      </c>
      <c r="C147" s="10" t="s">
        <v>31</v>
      </c>
      <c r="D147" s="11">
        <f>+'[7]2031'!D53</f>
        <v>4</v>
      </c>
      <c r="E147" s="135">
        <f>ROUND('[7]2031'!E53,2)</f>
        <v>23702.57</v>
      </c>
      <c r="F147" s="135">
        <f>ROUND('[7]2031'!F53,2)</f>
        <v>22699.07</v>
      </c>
      <c r="G147" s="135">
        <f>ROUND('[7]2031'!G53,2)</f>
        <v>21900.93</v>
      </c>
      <c r="H147" s="135">
        <f>ROUND('[7]2031'!H53,2)</f>
        <v>21409.759999999998</v>
      </c>
      <c r="I147" s="135">
        <f>ROUND('[7]2031'!I53,2)</f>
        <v>21239.23</v>
      </c>
      <c r="J147" s="135">
        <f>ROUND('[7]2031'!J53,2)</f>
        <v>20904.5</v>
      </c>
      <c r="K147" s="135">
        <f>ROUND('[7]2031'!K53,2)</f>
        <v>20407.21</v>
      </c>
      <c r="L147" s="135">
        <f>ROUND('[7]2031'!L53,2)</f>
        <v>22011.47</v>
      </c>
      <c r="M147" s="135">
        <f>ROUND('[7]2031'!M53,2)</f>
        <v>23342.35</v>
      </c>
      <c r="N147" s="135">
        <f>ROUND('[7]2031'!N53,2)</f>
        <v>25197.25</v>
      </c>
      <c r="O147" s="135">
        <f>ROUND('[7]2031'!O53,2)</f>
        <v>26644.9</v>
      </c>
      <c r="P147" s="135">
        <f>ROUND('[7]2031'!P53,2)</f>
        <v>27789.87</v>
      </c>
      <c r="Q147" s="135">
        <f>ROUND('[7]2031'!Q53,2)</f>
        <v>28370.84</v>
      </c>
      <c r="R147" s="135">
        <f>ROUND('[7]2031'!R53,2)</f>
        <v>28382.87</v>
      </c>
      <c r="S147" s="135">
        <f>ROUND('[7]2031'!S53,2)</f>
        <v>28429.78</v>
      </c>
      <c r="T147" s="135">
        <f>ROUND('[7]2031'!T53,2)</f>
        <v>28501.37</v>
      </c>
      <c r="U147" s="135">
        <f>ROUND('[7]2031'!U53,2)</f>
        <v>28243.93</v>
      </c>
      <c r="V147" s="135">
        <f>ROUND('[7]2031'!V53,2)</f>
        <v>29443.62</v>
      </c>
      <c r="W147" s="135">
        <f>ROUND('[7]2031'!W53,2)</f>
        <v>32806.29</v>
      </c>
      <c r="X147" s="135">
        <f>ROUND('[7]2031'!X53,2)</f>
        <v>33207.93</v>
      </c>
      <c r="Y147" s="135">
        <f>ROUND('[7]2031'!Y53,2)</f>
        <v>32686.2</v>
      </c>
      <c r="Z147" s="135">
        <f>ROUND('[7]2031'!Z53,2)</f>
        <v>31452.83</v>
      </c>
      <c r="AA147" s="135">
        <f>ROUND('[7]2031'!AA53,2)</f>
        <v>29108.58</v>
      </c>
      <c r="AB147" s="135">
        <f>ROUND('[7]2031'!AB53,2)</f>
        <v>26601.5</v>
      </c>
      <c r="AC147" s="282"/>
      <c r="AD147" s="19"/>
    </row>
    <row r="148" spans="2:50" ht="18.649999999999999" hidden="1" customHeight="1" thickBot="1" x14ac:dyDescent="0.4">
      <c r="B148" s="265" t="s">
        <v>34</v>
      </c>
      <c r="C148" s="12" t="s">
        <v>32</v>
      </c>
      <c r="D148" s="13">
        <f>+'[7]2031'!D54</f>
        <v>1</v>
      </c>
      <c r="E148" s="132">
        <f>ROUND('[7]2031'!E54,2)</f>
        <v>23702.57</v>
      </c>
      <c r="F148" s="132">
        <f>ROUND('[7]2031'!F54,2)</f>
        <v>22699.07</v>
      </c>
      <c r="G148" s="132">
        <f>ROUND('[7]2031'!G54,2)</f>
        <v>21900.93</v>
      </c>
      <c r="H148" s="132">
        <f>ROUND('[7]2031'!H54,2)</f>
        <v>21409.759999999998</v>
      </c>
      <c r="I148" s="132">
        <f>ROUND('[7]2031'!I54,2)</f>
        <v>21239.23</v>
      </c>
      <c r="J148" s="132">
        <f>ROUND('[7]2031'!J54,2)</f>
        <v>20904.5</v>
      </c>
      <c r="K148" s="132">
        <f>ROUND('[7]2031'!K54,2)</f>
        <v>20407.21</v>
      </c>
      <c r="L148" s="132">
        <f>ROUND('[7]2031'!L54,2)</f>
        <v>22011.47</v>
      </c>
      <c r="M148" s="132">
        <f>ROUND('[7]2031'!M54,2)</f>
        <v>23342.35</v>
      </c>
      <c r="N148" s="132">
        <f>ROUND('[7]2031'!N54,2)</f>
        <v>25197.25</v>
      </c>
      <c r="O148" s="132">
        <f>ROUND('[7]2031'!O54,2)</f>
        <v>26644.9</v>
      </c>
      <c r="P148" s="132">
        <f>ROUND('[7]2031'!P54,2)</f>
        <v>27789.87</v>
      </c>
      <c r="Q148" s="132">
        <f>ROUND('[7]2031'!Q54,2)</f>
        <v>28370.84</v>
      </c>
      <c r="R148" s="132">
        <f>ROUND('[7]2031'!R54,2)</f>
        <v>28382.87</v>
      </c>
      <c r="S148" s="132">
        <f>ROUND('[7]2031'!S54,2)</f>
        <v>28429.78</v>
      </c>
      <c r="T148" s="132">
        <f>ROUND('[7]2031'!T54,2)</f>
        <v>28501.37</v>
      </c>
      <c r="U148" s="132">
        <f>ROUND('[7]2031'!U54,2)</f>
        <v>28243.93</v>
      </c>
      <c r="V148" s="132">
        <f>ROUND('[7]2031'!V54,2)</f>
        <v>29443.62</v>
      </c>
      <c r="W148" s="132">
        <f>ROUND('[7]2031'!W54,2)</f>
        <v>32806.29</v>
      </c>
      <c r="X148" s="132">
        <f>ROUND('[7]2031'!X54,2)</f>
        <v>33207.93</v>
      </c>
      <c r="Y148" s="132">
        <f>ROUND('[7]2031'!Y54,2)</f>
        <v>32686.2</v>
      </c>
      <c r="Z148" s="132">
        <f>ROUND('[7]2031'!Z54,2)</f>
        <v>31452.83</v>
      </c>
      <c r="AA148" s="132">
        <f>ROUND('[7]2031'!AA54,2)</f>
        <v>29108.58</v>
      </c>
      <c r="AB148" s="132">
        <f>ROUND('[7]2031'!AB54,2)</f>
        <v>26601.5</v>
      </c>
      <c r="AC148" s="284"/>
      <c r="AD148" s="19"/>
    </row>
    <row r="149" spans="2:50" ht="18.649999999999999" hidden="1" customHeight="1" x14ac:dyDescent="0.35">
      <c r="B149" s="260">
        <v>48153</v>
      </c>
      <c r="C149" s="14" t="s">
        <v>29</v>
      </c>
      <c r="D149" s="15">
        <f>+'[7]2031'!D55</f>
        <v>18</v>
      </c>
      <c r="E149" s="137">
        <f>ROUND('[7]2031'!E55,2)</f>
        <v>24966.080000000002</v>
      </c>
      <c r="F149" s="137">
        <f>ROUND('[7]2031'!F55,2)</f>
        <v>23744.73</v>
      </c>
      <c r="G149" s="137">
        <f>ROUND('[7]2031'!G55,2)</f>
        <v>22862.58</v>
      </c>
      <c r="H149" s="137">
        <f>ROUND('[7]2031'!H55,2)</f>
        <v>22285.01</v>
      </c>
      <c r="I149" s="137">
        <f>ROUND('[7]2031'!I55,2)</f>
        <v>22290.17</v>
      </c>
      <c r="J149" s="137">
        <f>ROUND('[7]2031'!J55,2)</f>
        <v>22475.59</v>
      </c>
      <c r="K149" s="137">
        <f>ROUND('[7]2031'!K55,2)</f>
        <v>22631.1</v>
      </c>
      <c r="L149" s="137">
        <f>ROUND('[7]2031'!L55,2)</f>
        <v>25469.11</v>
      </c>
      <c r="M149" s="137">
        <f>ROUND('[7]2031'!M55,2)</f>
        <v>28498.16</v>
      </c>
      <c r="N149" s="137">
        <f>ROUND('[7]2031'!N55,2)</f>
        <v>30426.65</v>
      </c>
      <c r="O149" s="137">
        <f>ROUND('[7]2031'!O55,2)</f>
        <v>31882.75</v>
      </c>
      <c r="P149" s="137">
        <f>ROUND('[7]2031'!P55,2)</f>
        <v>32646.51</v>
      </c>
      <c r="Q149" s="137">
        <f>ROUND('[7]2031'!Q55,2)</f>
        <v>31991.26</v>
      </c>
      <c r="R149" s="137">
        <f>ROUND('[7]2031'!R55,2)</f>
        <v>31433.71</v>
      </c>
      <c r="S149" s="137">
        <f>ROUND('[7]2031'!S55,2)</f>
        <v>31355.67</v>
      </c>
      <c r="T149" s="137">
        <f>ROUND('[7]2031'!T55,2)</f>
        <v>31281.02</v>
      </c>
      <c r="U149" s="137">
        <f>ROUND('[7]2031'!U55,2)</f>
        <v>30960.79</v>
      </c>
      <c r="V149" s="137">
        <f>ROUND('[7]2031'!V55,2)</f>
        <v>31993.05</v>
      </c>
      <c r="W149" s="137">
        <f>ROUND('[7]2031'!W55,2)</f>
        <v>34817.980000000003</v>
      </c>
      <c r="X149" s="137">
        <f>ROUND('[7]2031'!X55,2)</f>
        <v>34084.78</v>
      </c>
      <c r="Y149" s="137">
        <f>ROUND('[7]2031'!Y55,2)</f>
        <v>32701.97</v>
      </c>
      <c r="Z149" s="137">
        <f>ROUND('[7]2031'!Z55,2)</f>
        <v>31137.55</v>
      </c>
      <c r="AA149" s="137">
        <f>ROUND('[7]2031'!AA55,2)</f>
        <v>29200.39</v>
      </c>
      <c r="AB149" s="137">
        <f>ROUND('[7]2031'!AB55,2)</f>
        <v>27099.38</v>
      </c>
      <c r="AC149" s="282">
        <f>SUM(E149:AB149)*D149+SUM(E150:AB150)*D150+SUM(E151:AB151)*D151+SUM(E152:AB152)*D152</f>
        <v>20423914.000000004</v>
      </c>
      <c r="AD149" s="19"/>
    </row>
    <row r="150" spans="2:50" ht="18.649999999999999" hidden="1" customHeight="1" x14ac:dyDescent="0.35">
      <c r="B150" s="261"/>
      <c r="C150" s="10" t="s">
        <v>30</v>
      </c>
      <c r="D150" s="11">
        <f>+'[7]2031'!D56</f>
        <v>5</v>
      </c>
      <c r="E150" s="135">
        <f>ROUND('[7]2031'!E56,2)</f>
        <v>27208.19</v>
      </c>
      <c r="F150" s="135">
        <f>ROUND('[7]2031'!F56,2)</f>
        <v>25830.98</v>
      </c>
      <c r="G150" s="135">
        <f>ROUND('[7]2031'!G56,2)</f>
        <v>24813.33</v>
      </c>
      <c r="H150" s="135">
        <f>ROUND('[7]2031'!H56,2)</f>
        <v>24113.34</v>
      </c>
      <c r="I150" s="135">
        <f>ROUND('[7]2031'!I56,2)</f>
        <v>23965.1</v>
      </c>
      <c r="J150" s="135">
        <f>ROUND('[7]2031'!J56,2)</f>
        <v>24131.61</v>
      </c>
      <c r="K150" s="135">
        <f>ROUND('[7]2031'!K56,2)</f>
        <v>24002.080000000002</v>
      </c>
      <c r="L150" s="135">
        <f>ROUND('[7]2031'!L56,2)</f>
        <v>26736.6</v>
      </c>
      <c r="M150" s="135">
        <f>ROUND('[7]2031'!M56,2)</f>
        <v>29579.9</v>
      </c>
      <c r="N150" s="135">
        <f>ROUND('[7]2031'!N56,2)</f>
        <v>31227.56</v>
      </c>
      <c r="O150" s="135">
        <f>ROUND('[7]2031'!O56,2)</f>
        <v>32681.69</v>
      </c>
      <c r="P150" s="135">
        <f>ROUND('[7]2031'!P56,2)</f>
        <v>33815.75</v>
      </c>
      <c r="Q150" s="135">
        <f>ROUND('[7]2031'!Q56,2)</f>
        <v>33086.57</v>
      </c>
      <c r="R150" s="135">
        <f>ROUND('[7]2031'!R56,2)</f>
        <v>33431.269999999997</v>
      </c>
      <c r="S150" s="135">
        <f>ROUND('[7]2031'!S56,2)</f>
        <v>34386.519999999997</v>
      </c>
      <c r="T150" s="135">
        <f>ROUND('[7]2031'!T56,2)</f>
        <v>34440.46</v>
      </c>
      <c r="U150" s="135">
        <f>ROUND('[7]2031'!U56,2)</f>
        <v>33894.620000000003</v>
      </c>
      <c r="V150" s="135">
        <f>ROUND('[7]2031'!V56,2)</f>
        <v>33982.69</v>
      </c>
      <c r="W150" s="135">
        <f>ROUND('[7]2031'!W56,2)</f>
        <v>36840.06</v>
      </c>
      <c r="X150" s="135">
        <f>ROUND('[7]2031'!X56,2)</f>
        <v>36249.550000000003</v>
      </c>
      <c r="Y150" s="135">
        <f>ROUND('[7]2031'!Y56,2)</f>
        <v>35080.33</v>
      </c>
      <c r="Z150" s="135">
        <f>ROUND('[7]2031'!Z56,2)</f>
        <v>33530.870000000003</v>
      </c>
      <c r="AA150" s="135">
        <f>ROUND('[7]2031'!AA56,2)</f>
        <v>31453.3</v>
      </c>
      <c r="AB150" s="135">
        <f>ROUND('[7]2031'!AB56,2)</f>
        <v>29119.62</v>
      </c>
      <c r="AC150" s="282"/>
      <c r="AD150" s="19"/>
    </row>
    <row r="151" spans="2:50" ht="18.649999999999999" hidden="1" customHeight="1" x14ac:dyDescent="0.35">
      <c r="B151" s="261"/>
      <c r="C151" s="10" t="s">
        <v>31</v>
      </c>
      <c r="D151" s="11">
        <f>+'[7]2031'!D57</f>
        <v>5</v>
      </c>
      <c r="E151" s="135">
        <f>ROUND('[7]2031'!E57,2)</f>
        <v>25088.73</v>
      </c>
      <c r="F151" s="135">
        <f>ROUND('[7]2031'!F57,2)</f>
        <v>23755.72</v>
      </c>
      <c r="G151" s="135">
        <f>ROUND('[7]2031'!G57,2)</f>
        <v>22743.82</v>
      </c>
      <c r="H151" s="135">
        <f>ROUND('[7]2031'!H57,2)</f>
        <v>21966.59</v>
      </c>
      <c r="I151" s="135">
        <f>ROUND('[7]2031'!I57,2)</f>
        <v>21703.25</v>
      </c>
      <c r="J151" s="135">
        <f>ROUND('[7]2031'!J57,2)</f>
        <v>21372.27</v>
      </c>
      <c r="K151" s="135">
        <f>ROUND('[7]2031'!K57,2)</f>
        <v>20772.41</v>
      </c>
      <c r="L151" s="135">
        <f>ROUND('[7]2031'!L57,2)</f>
        <v>22140.65</v>
      </c>
      <c r="M151" s="135">
        <f>ROUND('[7]2031'!M57,2)</f>
        <v>23783.45</v>
      </c>
      <c r="N151" s="135">
        <f>ROUND('[7]2031'!N57,2)</f>
        <v>25065.94</v>
      </c>
      <c r="O151" s="135">
        <f>ROUND('[7]2031'!O57,2)</f>
        <v>26116.45</v>
      </c>
      <c r="P151" s="135">
        <f>ROUND('[7]2031'!P57,2)</f>
        <v>27047.61</v>
      </c>
      <c r="Q151" s="135">
        <f>ROUND('[7]2031'!Q57,2)</f>
        <v>27338.17</v>
      </c>
      <c r="R151" s="135">
        <f>ROUND('[7]2031'!R57,2)</f>
        <v>27476.75</v>
      </c>
      <c r="S151" s="135">
        <f>ROUND('[7]2031'!S57,2)</f>
        <v>27081.88</v>
      </c>
      <c r="T151" s="135">
        <f>ROUND('[7]2031'!T57,2)</f>
        <v>27109.57</v>
      </c>
      <c r="U151" s="135">
        <f>ROUND('[7]2031'!U57,2)</f>
        <v>27175.35</v>
      </c>
      <c r="V151" s="135">
        <f>ROUND('[7]2031'!V57,2)</f>
        <v>28886.18</v>
      </c>
      <c r="W151" s="135">
        <f>ROUND('[7]2031'!W57,2)</f>
        <v>32232.2</v>
      </c>
      <c r="X151" s="135">
        <f>ROUND('[7]2031'!X57,2)</f>
        <v>32351.68</v>
      </c>
      <c r="Y151" s="135">
        <f>ROUND('[7]2031'!Y57,2)</f>
        <v>31345.47</v>
      </c>
      <c r="Z151" s="135">
        <f>ROUND('[7]2031'!Z57,2)</f>
        <v>29465.14</v>
      </c>
      <c r="AA151" s="135">
        <f>ROUND('[7]2031'!AA57,2)</f>
        <v>27086.080000000002</v>
      </c>
      <c r="AB151" s="135">
        <f>ROUND('[7]2031'!AB57,2)</f>
        <v>24845.53</v>
      </c>
      <c r="AC151" s="282"/>
      <c r="AD151" s="19"/>
    </row>
    <row r="152" spans="2:50" ht="18.649999999999999" hidden="1" customHeight="1" thickBot="1" x14ac:dyDescent="0.4">
      <c r="B152" s="261"/>
      <c r="C152" s="16" t="s">
        <v>32</v>
      </c>
      <c r="D152" s="17">
        <f>+'[7]2031'!D58</f>
        <v>2</v>
      </c>
      <c r="E152" s="136">
        <f>ROUND('[7]2031'!E58,2)</f>
        <v>25088.73</v>
      </c>
      <c r="F152" s="136">
        <f>ROUND('[7]2031'!F58,2)</f>
        <v>23755.72</v>
      </c>
      <c r="G152" s="136">
        <f>ROUND('[7]2031'!G58,2)</f>
        <v>22743.82</v>
      </c>
      <c r="H152" s="136">
        <f>ROUND('[7]2031'!H58,2)</f>
        <v>21966.59</v>
      </c>
      <c r="I152" s="136">
        <f>ROUND('[7]2031'!I58,2)</f>
        <v>21703.25</v>
      </c>
      <c r="J152" s="136">
        <f>ROUND('[7]2031'!J58,2)</f>
        <v>21372.27</v>
      </c>
      <c r="K152" s="136">
        <f>ROUND('[7]2031'!K58,2)</f>
        <v>20772.41</v>
      </c>
      <c r="L152" s="136">
        <f>ROUND('[7]2031'!L58,2)</f>
        <v>22140.65</v>
      </c>
      <c r="M152" s="136">
        <f>ROUND('[7]2031'!M58,2)</f>
        <v>23783.45</v>
      </c>
      <c r="N152" s="136">
        <f>ROUND('[7]2031'!N58,2)</f>
        <v>25065.94</v>
      </c>
      <c r="O152" s="136">
        <f>ROUND('[7]2031'!O58,2)</f>
        <v>26116.45</v>
      </c>
      <c r="P152" s="136">
        <f>ROUND('[7]2031'!P58,2)</f>
        <v>27047.61</v>
      </c>
      <c r="Q152" s="136">
        <f>ROUND('[7]2031'!Q58,2)</f>
        <v>27338.17</v>
      </c>
      <c r="R152" s="136">
        <f>ROUND('[7]2031'!R58,2)</f>
        <v>27476.75</v>
      </c>
      <c r="S152" s="136">
        <f>ROUND('[7]2031'!S58,2)</f>
        <v>27081.88</v>
      </c>
      <c r="T152" s="136">
        <f>ROUND('[7]2031'!T58,2)</f>
        <v>27109.57</v>
      </c>
      <c r="U152" s="136">
        <f>ROUND('[7]2031'!U58,2)</f>
        <v>27175.35</v>
      </c>
      <c r="V152" s="136">
        <f>ROUND('[7]2031'!V58,2)</f>
        <v>28886.18</v>
      </c>
      <c r="W152" s="136">
        <f>ROUND('[7]2031'!W58,2)</f>
        <v>32232.2</v>
      </c>
      <c r="X152" s="136">
        <f>ROUND('[7]2031'!X58,2)</f>
        <v>32351.68</v>
      </c>
      <c r="Y152" s="136">
        <f>ROUND('[7]2031'!Y58,2)</f>
        <v>31345.47</v>
      </c>
      <c r="Z152" s="136">
        <f>ROUND('[7]2031'!Z58,2)</f>
        <v>29465.14</v>
      </c>
      <c r="AA152" s="136">
        <f>ROUND('[7]2031'!AA58,2)</f>
        <v>27086.080000000002</v>
      </c>
      <c r="AB152" s="136">
        <f>ROUND('[7]2031'!AB58,2)</f>
        <v>24845.53</v>
      </c>
      <c r="AC152" s="282"/>
      <c r="AD152" s="19"/>
    </row>
    <row r="153" spans="2:50" ht="18.649999999999999" hidden="1" customHeight="1" x14ac:dyDescent="0.35">
      <c r="B153" s="263">
        <v>48183</v>
      </c>
      <c r="C153" s="7" t="s">
        <v>29</v>
      </c>
      <c r="D153" s="8">
        <f>+'[7]2031'!D59</f>
        <v>21</v>
      </c>
      <c r="E153" s="134">
        <f>ROUND('[7]2031'!E59,2)</f>
        <v>26384.33</v>
      </c>
      <c r="F153" s="134">
        <f>ROUND('[7]2031'!F59,2)</f>
        <v>24991.919999999998</v>
      </c>
      <c r="G153" s="134">
        <f>ROUND('[7]2031'!G59,2)</f>
        <v>23939.43</v>
      </c>
      <c r="H153" s="134">
        <f>ROUND('[7]2031'!H59,2)</f>
        <v>23207.86</v>
      </c>
      <c r="I153" s="134">
        <f>ROUND('[7]2031'!I59,2)</f>
        <v>23047.119999999999</v>
      </c>
      <c r="J153" s="134">
        <f>ROUND('[7]2031'!J59,2)</f>
        <v>23164.19</v>
      </c>
      <c r="K153" s="134">
        <f>ROUND('[7]2031'!K59,2)</f>
        <v>22895.69</v>
      </c>
      <c r="L153" s="134">
        <f>ROUND('[7]2031'!L59,2)</f>
        <v>25351.71</v>
      </c>
      <c r="M153" s="134">
        <f>ROUND('[7]2031'!M59,2)</f>
        <v>28032.19</v>
      </c>
      <c r="N153" s="134">
        <f>ROUND('[7]2031'!N59,2)</f>
        <v>29728.13</v>
      </c>
      <c r="O153" s="134">
        <f>ROUND('[7]2031'!O59,2)</f>
        <v>30976.36</v>
      </c>
      <c r="P153" s="134">
        <f>ROUND('[7]2031'!P59,2)</f>
        <v>31725.38</v>
      </c>
      <c r="Q153" s="134">
        <f>ROUND('[7]2031'!Q59,2)</f>
        <v>31038.959999999999</v>
      </c>
      <c r="R153" s="134">
        <f>ROUND('[7]2031'!R59,2)</f>
        <v>30546.6</v>
      </c>
      <c r="S153" s="134">
        <f>ROUND('[7]2031'!S59,2)</f>
        <v>30620.85</v>
      </c>
      <c r="T153" s="134">
        <f>ROUND('[7]2031'!T59,2)</f>
        <v>30599.5</v>
      </c>
      <c r="U153" s="134">
        <f>ROUND('[7]2031'!U59,2)</f>
        <v>30220.17</v>
      </c>
      <c r="V153" s="134">
        <f>ROUND('[7]2031'!V59,2)</f>
        <v>31030.65</v>
      </c>
      <c r="W153" s="134">
        <f>ROUND('[7]2031'!W59,2)</f>
        <v>34173.26</v>
      </c>
      <c r="X153" s="134">
        <f>ROUND('[7]2031'!X59,2)</f>
        <v>33428.61</v>
      </c>
      <c r="Y153" s="134">
        <f>ROUND('[7]2031'!Y59,2)</f>
        <v>31991.07</v>
      </c>
      <c r="Z153" s="134">
        <f>ROUND('[7]2031'!Z59,2)</f>
        <v>30416.53</v>
      </c>
      <c r="AA153" s="134">
        <f>ROUND('[7]2031'!AA59,2)</f>
        <v>28889.22</v>
      </c>
      <c r="AB153" s="134">
        <f>ROUND('[7]2031'!AB59,2)</f>
        <v>27177.75</v>
      </c>
      <c r="AC153" s="283">
        <f>SUM(E153:AB153)*D153+SUM(E154:AB154)*D154+SUM(E155:AB155)*D155+SUM(E156:AB156)*D156</f>
        <v>20899810.379999995</v>
      </c>
      <c r="AD153" s="19"/>
    </row>
    <row r="154" spans="2:50" ht="18.649999999999999" hidden="1" customHeight="1" x14ac:dyDescent="0.35">
      <c r="B154" s="264" t="s">
        <v>34</v>
      </c>
      <c r="C154" s="10" t="s">
        <v>30</v>
      </c>
      <c r="D154" s="11">
        <f>+'[7]2031'!D60</f>
        <v>4</v>
      </c>
      <c r="E154" s="135">
        <f>ROUND('[7]2031'!E60,2)</f>
        <v>25895.99</v>
      </c>
      <c r="F154" s="135">
        <f>ROUND('[7]2031'!F60,2)</f>
        <v>24588.59</v>
      </c>
      <c r="G154" s="135">
        <f>ROUND('[7]2031'!G60,2)</f>
        <v>23606.73</v>
      </c>
      <c r="H154" s="135">
        <f>ROUND('[7]2031'!H60,2)</f>
        <v>22924.91</v>
      </c>
      <c r="I154" s="135">
        <f>ROUND('[7]2031'!I60,2)</f>
        <v>22850.11</v>
      </c>
      <c r="J154" s="135">
        <f>ROUND('[7]2031'!J60,2)</f>
        <v>23218.59</v>
      </c>
      <c r="K154" s="135">
        <f>ROUND('[7]2031'!K60,2)</f>
        <v>23317.29</v>
      </c>
      <c r="L154" s="135">
        <f>ROUND('[7]2031'!L60,2)</f>
        <v>25875.37</v>
      </c>
      <c r="M154" s="135">
        <f>ROUND('[7]2031'!M60,2)</f>
        <v>28527.58</v>
      </c>
      <c r="N154" s="135">
        <f>ROUND('[7]2031'!N60,2)</f>
        <v>30060.41</v>
      </c>
      <c r="O154" s="135">
        <f>ROUND('[7]2031'!O60,2)</f>
        <v>31558.38</v>
      </c>
      <c r="P154" s="135">
        <f>ROUND('[7]2031'!P60,2)</f>
        <v>32611.02</v>
      </c>
      <c r="Q154" s="135">
        <f>ROUND('[7]2031'!Q60,2)</f>
        <v>31790.13</v>
      </c>
      <c r="R154" s="135">
        <f>ROUND('[7]2031'!R60,2)</f>
        <v>32421.18</v>
      </c>
      <c r="S154" s="135">
        <f>ROUND('[7]2031'!S60,2)</f>
        <v>33489.199999999997</v>
      </c>
      <c r="T154" s="135">
        <f>ROUND('[7]2031'!T60,2)</f>
        <v>33564.01</v>
      </c>
      <c r="U154" s="135">
        <f>ROUND('[7]2031'!U60,2)</f>
        <v>32986.839999999997</v>
      </c>
      <c r="V154" s="135">
        <f>ROUND('[7]2031'!V60,2)</f>
        <v>32393.22</v>
      </c>
      <c r="W154" s="135">
        <f>ROUND('[7]2031'!W60,2)</f>
        <v>34640.86</v>
      </c>
      <c r="X154" s="135">
        <f>ROUND('[7]2031'!X60,2)</f>
        <v>34849.22</v>
      </c>
      <c r="Y154" s="135">
        <f>ROUND('[7]2031'!Y60,2)</f>
        <v>33971.919999999998</v>
      </c>
      <c r="Z154" s="135">
        <f>ROUND('[7]2031'!Z60,2)</f>
        <v>32499.26</v>
      </c>
      <c r="AA154" s="135">
        <f>ROUND('[7]2031'!AA60,2)</f>
        <v>30242.85</v>
      </c>
      <c r="AB154" s="135">
        <f>ROUND('[7]2031'!AB60,2)</f>
        <v>27829.77</v>
      </c>
      <c r="AC154" s="282"/>
      <c r="AD154" s="19"/>
    </row>
    <row r="155" spans="2:50" ht="18.649999999999999" hidden="1" customHeight="1" x14ac:dyDescent="0.35">
      <c r="B155" s="264" t="s">
        <v>34</v>
      </c>
      <c r="C155" s="10" t="s">
        <v>31</v>
      </c>
      <c r="D155" s="11">
        <f>+'[7]2031'!D61</f>
        <v>4</v>
      </c>
      <c r="E155" s="135">
        <f>ROUND('[7]2031'!E61,2)</f>
        <v>25740.91</v>
      </c>
      <c r="F155" s="135">
        <f>ROUND('[7]2031'!F61,2)</f>
        <v>24942.6</v>
      </c>
      <c r="G155" s="135">
        <f>ROUND('[7]2031'!G61,2)</f>
        <v>24187.59</v>
      </c>
      <c r="H155" s="135">
        <f>ROUND('[7]2031'!H61,2)</f>
        <v>23463.85</v>
      </c>
      <c r="I155" s="135">
        <f>ROUND('[7]2031'!I61,2)</f>
        <v>23046.67</v>
      </c>
      <c r="J155" s="135">
        <f>ROUND('[7]2031'!J61,2)</f>
        <v>22443.26</v>
      </c>
      <c r="K155" s="135">
        <f>ROUND('[7]2031'!K61,2)</f>
        <v>21049.24</v>
      </c>
      <c r="L155" s="135">
        <f>ROUND('[7]2031'!L61,2)</f>
        <v>21748.54</v>
      </c>
      <c r="M155" s="135">
        <f>ROUND('[7]2031'!M61,2)</f>
        <v>22885.48</v>
      </c>
      <c r="N155" s="135">
        <f>ROUND('[7]2031'!N61,2)</f>
        <v>23952.92</v>
      </c>
      <c r="O155" s="135">
        <f>ROUND('[7]2031'!O61,2)</f>
        <v>24948.05</v>
      </c>
      <c r="P155" s="135">
        <f>ROUND('[7]2031'!P61,2)</f>
        <v>25793.87</v>
      </c>
      <c r="Q155" s="135">
        <f>ROUND('[7]2031'!Q61,2)</f>
        <v>26256.17</v>
      </c>
      <c r="R155" s="135">
        <f>ROUND('[7]2031'!R61,2)</f>
        <v>26276.61</v>
      </c>
      <c r="S155" s="135">
        <f>ROUND('[7]2031'!S61,2)</f>
        <v>26157.71</v>
      </c>
      <c r="T155" s="135">
        <f>ROUND('[7]2031'!T61,2)</f>
        <v>26302.32</v>
      </c>
      <c r="U155" s="135">
        <f>ROUND('[7]2031'!U61,2)</f>
        <v>26290.05</v>
      </c>
      <c r="V155" s="135">
        <f>ROUND('[7]2031'!V61,2)</f>
        <v>27139.84</v>
      </c>
      <c r="W155" s="135">
        <f>ROUND('[7]2031'!W61,2)</f>
        <v>30920.1</v>
      </c>
      <c r="X155" s="135">
        <f>ROUND('[7]2031'!X61,2)</f>
        <v>31206.02</v>
      </c>
      <c r="Y155" s="135">
        <f>ROUND('[7]2031'!Y61,2)</f>
        <v>30810.720000000001</v>
      </c>
      <c r="Z155" s="135">
        <f>ROUND('[7]2031'!Z61,2)</f>
        <v>29873.919999999998</v>
      </c>
      <c r="AA155" s="135">
        <f>ROUND('[7]2031'!AA61,2)</f>
        <v>28329.93</v>
      </c>
      <c r="AB155" s="135">
        <f>ROUND('[7]2031'!AB61,2)</f>
        <v>26538.560000000001</v>
      </c>
      <c r="AC155" s="282"/>
      <c r="AD155" s="19"/>
    </row>
    <row r="156" spans="2:50" ht="18.649999999999999" hidden="1" customHeight="1" thickBot="1" x14ac:dyDescent="0.4">
      <c r="B156" s="265" t="s">
        <v>34</v>
      </c>
      <c r="C156" s="12" t="s">
        <v>32</v>
      </c>
      <c r="D156" s="13">
        <f>+'[7]2031'!D62</f>
        <v>2</v>
      </c>
      <c r="E156" s="132">
        <f>ROUND('[7]2031'!E62,2)</f>
        <v>25740.91</v>
      </c>
      <c r="F156" s="132">
        <f>ROUND('[7]2031'!F62,2)</f>
        <v>24942.6</v>
      </c>
      <c r="G156" s="132">
        <f>ROUND('[7]2031'!G62,2)</f>
        <v>24187.59</v>
      </c>
      <c r="H156" s="132">
        <f>ROUND('[7]2031'!H62,2)</f>
        <v>23463.85</v>
      </c>
      <c r="I156" s="132">
        <f>ROUND('[7]2031'!I62,2)</f>
        <v>23046.67</v>
      </c>
      <c r="J156" s="132">
        <f>ROUND('[7]2031'!J62,2)</f>
        <v>22443.26</v>
      </c>
      <c r="K156" s="132">
        <f>ROUND('[7]2031'!K62,2)</f>
        <v>21049.24</v>
      </c>
      <c r="L156" s="132">
        <f>ROUND('[7]2031'!L62,2)</f>
        <v>21748.54</v>
      </c>
      <c r="M156" s="132">
        <f>ROUND('[7]2031'!M62,2)</f>
        <v>22885.48</v>
      </c>
      <c r="N156" s="132">
        <f>ROUND('[7]2031'!N62,2)</f>
        <v>23952.92</v>
      </c>
      <c r="O156" s="132">
        <f>ROUND('[7]2031'!O62,2)</f>
        <v>24948.05</v>
      </c>
      <c r="P156" s="132">
        <f>ROUND('[7]2031'!P62,2)</f>
        <v>25793.87</v>
      </c>
      <c r="Q156" s="132">
        <f>ROUND('[7]2031'!Q62,2)</f>
        <v>26256.17</v>
      </c>
      <c r="R156" s="132">
        <f>ROUND('[7]2031'!R62,2)</f>
        <v>26276.61</v>
      </c>
      <c r="S156" s="132">
        <f>ROUND('[7]2031'!S62,2)</f>
        <v>26157.71</v>
      </c>
      <c r="T156" s="132">
        <f>ROUND('[7]2031'!T62,2)</f>
        <v>26302.32</v>
      </c>
      <c r="U156" s="132">
        <f>ROUND('[7]2031'!U62,2)</f>
        <v>26290.05</v>
      </c>
      <c r="V156" s="132">
        <f>ROUND('[7]2031'!V62,2)</f>
        <v>27139.84</v>
      </c>
      <c r="W156" s="132">
        <f>ROUND('[7]2031'!W62,2)</f>
        <v>30920.1</v>
      </c>
      <c r="X156" s="132">
        <f>ROUND('[7]2031'!X62,2)</f>
        <v>31206.02</v>
      </c>
      <c r="Y156" s="132">
        <f>ROUND('[7]2031'!Y62,2)</f>
        <v>30810.720000000001</v>
      </c>
      <c r="Z156" s="132">
        <f>ROUND('[7]2031'!Z62,2)</f>
        <v>29873.919999999998</v>
      </c>
      <c r="AA156" s="132">
        <f>ROUND('[7]2031'!AA62,2)</f>
        <v>28329.93</v>
      </c>
      <c r="AB156" s="132">
        <f>ROUND('[7]2031'!AB62,2)</f>
        <v>26538.560000000001</v>
      </c>
      <c r="AC156" s="284"/>
      <c r="AD156" s="19"/>
    </row>
    <row r="157" spans="2:50" ht="18.649999999999999" hidden="1" customHeight="1" thickBot="1" x14ac:dyDescent="0.4"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285" t="s">
        <v>33</v>
      </c>
      <c r="AA157" s="286"/>
      <c r="AB157" s="287"/>
      <c r="AC157" s="198">
        <f>SUM(AC109:AC156)</f>
        <v>250799204.89000002</v>
      </c>
      <c r="AD157" s="18"/>
      <c r="AE157" s="19"/>
    </row>
    <row r="158" spans="2:50" ht="18.649999999999999" hidden="1" customHeight="1" x14ac:dyDescent="0.35">
      <c r="B158" s="260">
        <v>48214</v>
      </c>
      <c r="C158" s="7" t="s">
        <v>29</v>
      </c>
      <c r="D158" s="54">
        <f>+'[7]2032'!D15</f>
        <v>20</v>
      </c>
      <c r="E158" s="134">
        <f>ROUND('[7]2032'!E15,2)</f>
        <v>26966.39</v>
      </c>
      <c r="F158" s="134">
        <f>ROUND('[7]2032'!F15,2)</f>
        <v>25504.880000000001</v>
      </c>
      <c r="G158" s="134">
        <f>ROUND('[7]2032'!G15,2)</f>
        <v>24448.47</v>
      </c>
      <c r="H158" s="134">
        <f>ROUND('[7]2032'!H15,2)</f>
        <v>23709.87</v>
      </c>
      <c r="I158" s="134">
        <f>ROUND('[7]2032'!I15,2)</f>
        <v>23534.79</v>
      </c>
      <c r="J158" s="134">
        <f>ROUND('[7]2032'!J15,2)</f>
        <v>24109.31</v>
      </c>
      <c r="K158" s="134">
        <f>ROUND('[7]2032'!K15,2)</f>
        <v>23929.8</v>
      </c>
      <c r="L158" s="134">
        <f>ROUND('[7]2032'!L15,2)</f>
        <v>26759.48</v>
      </c>
      <c r="M158" s="134">
        <f>ROUND('[7]2032'!M15,2)</f>
        <v>29804.34</v>
      </c>
      <c r="N158" s="134">
        <f>ROUND('[7]2032'!N15,2)</f>
        <v>31567.599999999999</v>
      </c>
      <c r="O158" s="134">
        <f>ROUND('[7]2032'!O15,2)</f>
        <v>33386.61</v>
      </c>
      <c r="P158" s="134">
        <f>ROUND('[7]2032'!P15,2)</f>
        <v>34680.21</v>
      </c>
      <c r="Q158" s="134">
        <f>ROUND('[7]2032'!Q15,2)</f>
        <v>33716.58</v>
      </c>
      <c r="R158" s="134">
        <f>ROUND('[7]2032'!R15,2)</f>
        <v>34662.480000000003</v>
      </c>
      <c r="S158" s="134">
        <f>ROUND('[7]2032'!S15,2)</f>
        <v>36240</v>
      </c>
      <c r="T158" s="134">
        <f>ROUND('[7]2032'!T15,2)</f>
        <v>36389.629999999997</v>
      </c>
      <c r="U158" s="134">
        <f>ROUND('[7]2032'!U15,2)</f>
        <v>35636.370000000003</v>
      </c>
      <c r="V158" s="134">
        <f>ROUND('[7]2032'!V15,2)</f>
        <v>34204.31</v>
      </c>
      <c r="W158" s="134">
        <f>ROUND('[7]2032'!W15,2)</f>
        <v>36234.75</v>
      </c>
      <c r="X158" s="134">
        <f>ROUND('[7]2032'!X15,2)</f>
        <v>36345.86</v>
      </c>
      <c r="Y158" s="134">
        <f>ROUND('[7]2032'!Y15,2)</f>
        <v>35486.870000000003</v>
      </c>
      <c r="Z158" s="134">
        <f>ROUND('[7]2032'!Z15,2)</f>
        <v>34115.97</v>
      </c>
      <c r="AA158" s="134">
        <f>ROUND('[7]2032'!AA15,2)</f>
        <v>31855.55</v>
      </c>
      <c r="AB158" s="134">
        <f>ROUND('[7]2032'!AB15,2)</f>
        <v>29317.52</v>
      </c>
      <c r="AC158" s="283">
        <f>SUM(E158:AB158)*D158+SUM(E159:AB159)*D159+SUM(E160:AB160)*D160+SUM(E161:AB161)*D161</f>
        <v>22403770.560000002</v>
      </c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</row>
    <row r="159" spans="2:50" ht="18.649999999999999" hidden="1" customHeight="1" x14ac:dyDescent="0.35">
      <c r="B159" s="261"/>
      <c r="C159" s="10" t="s">
        <v>30</v>
      </c>
      <c r="D159" s="11">
        <f>+'[7]2032'!D16</f>
        <v>5</v>
      </c>
      <c r="E159" s="135">
        <f>ROUND('[7]2032'!E16,2)</f>
        <v>27169.599999999999</v>
      </c>
      <c r="F159" s="135">
        <f>ROUND('[7]2032'!F16,2)</f>
        <v>25727</v>
      </c>
      <c r="G159" s="135">
        <f>ROUND('[7]2032'!G16,2)</f>
        <v>24658.22</v>
      </c>
      <c r="H159" s="135">
        <f>ROUND('[7]2032'!H16,2)</f>
        <v>23814.98</v>
      </c>
      <c r="I159" s="135">
        <f>ROUND('[7]2032'!I16,2)</f>
        <v>23593.89</v>
      </c>
      <c r="J159" s="135">
        <f>ROUND('[7]2032'!J16,2)</f>
        <v>23697.37</v>
      </c>
      <c r="K159" s="135">
        <f>ROUND('[7]2032'!K16,2)</f>
        <v>23085</v>
      </c>
      <c r="L159" s="135">
        <f>ROUND('[7]2032'!L16,2)</f>
        <v>25282.3</v>
      </c>
      <c r="M159" s="135">
        <f>ROUND('[7]2032'!M16,2)</f>
        <v>28184.36</v>
      </c>
      <c r="N159" s="135">
        <f>ROUND('[7]2032'!N16,2)</f>
        <v>30104.9</v>
      </c>
      <c r="O159" s="135">
        <f>ROUND('[7]2032'!O16,2)</f>
        <v>31686.19</v>
      </c>
      <c r="P159" s="135">
        <f>ROUND('[7]2032'!P16,2)</f>
        <v>32677.360000000001</v>
      </c>
      <c r="Q159" s="135">
        <f>ROUND('[7]2032'!Q16,2)</f>
        <v>32214.2</v>
      </c>
      <c r="R159" s="135">
        <f>ROUND('[7]2032'!R16,2)</f>
        <v>31889.45</v>
      </c>
      <c r="S159" s="135">
        <f>ROUND('[7]2032'!S16,2)</f>
        <v>32071.1</v>
      </c>
      <c r="T159" s="135">
        <f>ROUND('[7]2032'!T16,2)</f>
        <v>32060.880000000001</v>
      </c>
      <c r="U159" s="135">
        <f>ROUND('[7]2032'!U16,2)</f>
        <v>31587.759999999998</v>
      </c>
      <c r="V159" s="135">
        <f>ROUND('[7]2032'!V16,2)</f>
        <v>31346.19</v>
      </c>
      <c r="W159" s="135">
        <f>ROUND('[7]2032'!W16,2)</f>
        <v>34567.919999999998</v>
      </c>
      <c r="X159" s="135">
        <f>ROUND('[7]2032'!X16,2)</f>
        <v>34914.03</v>
      </c>
      <c r="Y159" s="135">
        <f>ROUND('[7]2032'!Y16,2)</f>
        <v>33949.01</v>
      </c>
      <c r="Z159" s="135">
        <f>ROUND('[7]2032'!Z16,2)</f>
        <v>32747.23</v>
      </c>
      <c r="AA159" s="135">
        <f>ROUND('[7]2032'!AA16,2)</f>
        <v>31115.01</v>
      </c>
      <c r="AB159" s="135">
        <f>ROUND('[7]2032'!AB16,2)</f>
        <v>29209.01</v>
      </c>
      <c r="AC159" s="282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</row>
    <row r="160" spans="2:50" ht="18.649999999999999" hidden="1" customHeight="1" x14ac:dyDescent="0.35">
      <c r="B160" s="261"/>
      <c r="C160" s="10" t="s">
        <v>31</v>
      </c>
      <c r="D160" s="11">
        <f>+'[7]2032'!D17</f>
        <v>4</v>
      </c>
      <c r="E160" s="135">
        <f>ROUND('[7]2032'!E17,2)</f>
        <v>27472.37</v>
      </c>
      <c r="F160" s="135">
        <f>ROUND('[7]2032'!F17,2)</f>
        <v>26081.22</v>
      </c>
      <c r="G160" s="135">
        <f>ROUND('[7]2032'!G17,2)</f>
        <v>24953.03</v>
      </c>
      <c r="H160" s="135">
        <f>ROUND('[7]2032'!H17,2)</f>
        <v>24051.33</v>
      </c>
      <c r="I160" s="135">
        <f>ROUND('[7]2032'!I17,2)</f>
        <v>23592.959999999999</v>
      </c>
      <c r="J160" s="135">
        <f>ROUND('[7]2032'!J17,2)</f>
        <v>23366.91</v>
      </c>
      <c r="K160" s="135">
        <f>ROUND('[7]2032'!K17,2)</f>
        <v>22161.94</v>
      </c>
      <c r="L160" s="135">
        <f>ROUND('[7]2032'!L17,2)</f>
        <v>23152.39</v>
      </c>
      <c r="M160" s="135">
        <f>ROUND('[7]2032'!M17,2)</f>
        <v>24806.76</v>
      </c>
      <c r="N160" s="135">
        <f>ROUND('[7]2032'!N17,2)</f>
        <v>26492.62</v>
      </c>
      <c r="O160" s="135">
        <f>ROUND('[7]2032'!O17,2)</f>
        <v>27529.439999999999</v>
      </c>
      <c r="P160" s="135">
        <f>ROUND('[7]2032'!P17,2)</f>
        <v>28452.7</v>
      </c>
      <c r="Q160" s="135">
        <f>ROUND('[7]2032'!Q17,2)</f>
        <v>29002.400000000001</v>
      </c>
      <c r="R160" s="135">
        <f>ROUND('[7]2032'!R17,2)</f>
        <v>29126.33</v>
      </c>
      <c r="S160" s="135">
        <f>ROUND('[7]2032'!S17,2)</f>
        <v>29207.09</v>
      </c>
      <c r="T160" s="135">
        <f>ROUND('[7]2032'!T17,2)</f>
        <v>29255.63</v>
      </c>
      <c r="U160" s="135">
        <f>ROUND('[7]2032'!U17,2)</f>
        <v>29084.35</v>
      </c>
      <c r="V160" s="135">
        <f>ROUND('[7]2032'!V17,2)</f>
        <v>29114.04</v>
      </c>
      <c r="W160" s="135">
        <f>ROUND('[7]2032'!W17,2)</f>
        <v>32640.15</v>
      </c>
      <c r="X160" s="135">
        <f>ROUND('[7]2032'!X17,2)</f>
        <v>33706.1</v>
      </c>
      <c r="Y160" s="135">
        <f>ROUND('[7]2032'!Y17,2)</f>
        <v>33583.75</v>
      </c>
      <c r="Z160" s="135">
        <f>ROUND('[7]2032'!Z17,2)</f>
        <v>32655.79</v>
      </c>
      <c r="AA160" s="135">
        <f>ROUND('[7]2032'!AA17,2)</f>
        <v>30900.28</v>
      </c>
      <c r="AB160" s="135">
        <f>ROUND('[7]2032'!AB17,2)</f>
        <v>28752.58</v>
      </c>
      <c r="AC160" s="282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</row>
    <row r="161" spans="2:50" ht="18.649999999999999" hidden="1" customHeight="1" thickBot="1" x14ac:dyDescent="0.4">
      <c r="B161" s="261"/>
      <c r="C161" s="16" t="s">
        <v>32</v>
      </c>
      <c r="D161" s="17">
        <f>+'[7]2032'!D18</f>
        <v>2</v>
      </c>
      <c r="E161" s="136">
        <f>ROUND('[7]2032'!E18,2)</f>
        <v>27472.37</v>
      </c>
      <c r="F161" s="136">
        <f>ROUND('[7]2032'!F18,2)</f>
        <v>26081.22</v>
      </c>
      <c r="G161" s="136">
        <f>ROUND('[7]2032'!G18,2)</f>
        <v>24953.03</v>
      </c>
      <c r="H161" s="136">
        <f>ROUND('[7]2032'!H18,2)</f>
        <v>24051.33</v>
      </c>
      <c r="I161" s="136">
        <f>ROUND('[7]2032'!I18,2)</f>
        <v>23592.959999999999</v>
      </c>
      <c r="J161" s="136">
        <f>ROUND('[7]2032'!J18,2)</f>
        <v>23366.91</v>
      </c>
      <c r="K161" s="136">
        <f>ROUND('[7]2032'!K18,2)</f>
        <v>22161.94</v>
      </c>
      <c r="L161" s="136">
        <f>ROUND('[7]2032'!L18,2)</f>
        <v>23152.39</v>
      </c>
      <c r="M161" s="136">
        <f>ROUND('[7]2032'!M18,2)</f>
        <v>24806.76</v>
      </c>
      <c r="N161" s="136">
        <f>ROUND('[7]2032'!N18,2)</f>
        <v>26492.62</v>
      </c>
      <c r="O161" s="136">
        <f>ROUND('[7]2032'!O18,2)</f>
        <v>27529.439999999999</v>
      </c>
      <c r="P161" s="136">
        <f>ROUND('[7]2032'!P18,2)</f>
        <v>28452.7</v>
      </c>
      <c r="Q161" s="136">
        <f>ROUND('[7]2032'!Q18,2)</f>
        <v>29002.400000000001</v>
      </c>
      <c r="R161" s="136">
        <f>ROUND('[7]2032'!R18,2)</f>
        <v>29126.33</v>
      </c>
      <c r="S161" s="136">
        <f>ROUND('[7]2032'!S18,2)</f>
        <v>29207.09</v>
      </c>
      <c r="T161" s="136">
        <f>ROUND('[7]2032'!T18,2)</f>
        <v>29255.63</v>
      </c>
      <c r="U161" s="136">
        <f>ROUND('[7]2032'!U18,2)</f>
        <v>29084.35</v>
      </c>
      <c r="V161" s="136">
        <f>ROUND('[7]2032'!V18,2)</f>
        <v>29114.04</v>
      </c>
      <c r="W161" s="136">
        <f>ROUND('[7]2032'!W18,2)</f>
        <v>32640.15</v>
      </c>
      <c r="X161" s="136">
        <f>ROUND('[7]2032'!X18,2)</f>
        <v>33706.1</v>
      </c>
      <c r="Y161" s="136">
        <f>ROUND('[7]2032'!Y18,2)</f>
        <v>33583.75</v>
      </c>
      <c r="Z161" s="136">
        <f>ROUND('[7]2032'!Z18,2)</f>
        <v>32655.79</v>
      </c>
      <c r="AA161" s="136">
        <f>ROUND('[7]2032'!AA18,2)</f>
        <v>30900.28</v>
      </c>
      <c r="AB161" s="136">
        <f>ROUND('[7]2032'!AB18,2)</f>
        <v>28752.58</v>
      </c>
      <c r="AC161" s="282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</row>
    <row r="162" spans="2:50" ht="18.649999999999999" hidden="1" customHeight="1" x14ac:dyDescent="0.35">
      <c r="B162" s="263">
        <v>48245</v>
      </c>
      <c r="C162" s="7" t="s">
        <v>29</v>
      </c>
      <c r="D162" s="8">
        <f>+'[7]2032'!D19</f>
        <v>20</v>
      </c>
      <c r="E162" s="134">
        <f>ROUND('[7]2032'!E19,2)</f>
        <v>26923.13</v>
      </c>
      <c r="F162" s="134">
        <f>ROUND('[7]2032'!F19,2)</f>
        <v>25502.42</v>
      </c>
      <c r="G162" s="134">
        <f>ROUND('[7]2032'!G19,2)</f>
        <v>24487.63</v>
      </c>
      <c r="H162" s="134">
        <f>ROUND('[7]2032'!H19,2)</f>
        <v>23823.34</v>
      </c>
      <c r="I162" s="134">
        <f>ROUND('[7]2032'!I19,2)</f>
        <v>23872.11</v>
      </c>
      <c r="J162" s="134">
        <f>ROUND('[7]2032'!J19,2)</f>
        <v>25198.04</v>
      </c>
      <c r="K162" s="134">
        <f>ROUND('[7]2032'!K19,2)</f>
        <v>25130.720000000001</v>
      </c>
      <c r="L162" s="134">
        <f>ROUND('[7]2032'!L19,2)</f>
        <v>27725.11</v>
      </c>
      <c r="M162" s="134">
        <f>ROUND('[7]2032'!M19,2)</f>
        <v>30341.16</v>
      </c>
      <c r="N162" s="134">
        <f>ROUND('[7]2032'!N19,2)</f>
        <v>31625.81</v>
      </c>
      <c r="O162" s="134">
        <f>ROUND('[7]2032'!O19,2)</f>
        <v>33160.57</v>
      </c>
      <c r="P162" s="134">
        <f>ROUND('[7]2032'!P19,2)</f>
        <v>34190.26</v>
      </c>
      <c r="Q162" s="134">
        <f>ROUND('[7]2032'!Q19,2)</f>
        <v>32903.480000000003</v>
      </c>
      <c r="R162" s="134">
        <f>ROUND('[7]2032'!R19,2)</f>
        <v>34076.959999999999</v>
      </c>
      <c r="S162" s="134">
        <f>ROUND('[7]2032'!S19,2)</f>
        <v>35801.660000000003</v>
      </c>
      <c r="T162" s="134">
        <f>ROUND('[7]2032'!T19,2)</f>
        <v>36023.32</v>
      </c>
      <c r="U162" s="134">
        <f>ROUND('[7]2032'!U19,2)</f>
        <v>35392.42</v>
      </c>
      <c r="V162" s="134">
        <f>ROUND('[7]2032'!V19,2)</f>
        <v>33885.17</v>
      </c>
      <c r="W162" s="134">
        <f>ROUND('[7]2032'!W19,2)</f>
        <v>35686.239999999998</v>
      </c>
      <c r="X162" s="134">
        <f>ROUND('[7]2032'!X19,2)</f>
        <v>36263.82</v>
      </c>
      <c r="Y162" s="134">
        <f>ROUND('[7]2032'!Y19,2)</f>
        <v>35545.78</v>
      </c>
      <c r="Z162" s="134">
        <f>ROUND('[7]2032'!Z19,2)</f>
        <v>33997.85</v>
      </c>
      <c r="AA162" s="134">
        <f>ROUND('[7]2032'!AA19,2)</f>
        <v>31474.9</v>
      </c>
      <c r="AB162" s="134">
        <f>ROUND('[7]2032'!AB19,2)</f>
        <v>28937.82</v>
      </c>
      <c r="AC162" s="283">
        <f>SUM(E162:AB162)*D162+SUM(E163:AB163)*D163+SUM(E164:AB164)*D164+SUM(E165:AB165)*D165</f>
        <v>21068892.469999999</v>
      </c>
      <c r="AD162" s="19"/>
    </row>
    <row r="163" spans="2:50" ht="18.649999999999999" hidden="1" customHeight="1" x14ac:dyDescent="0.35">
      <c r="B163" s="264" t="s">
        <v>34</v>
      </c>
      <c r="C163" s="10" t="s">
        <v>30</v>
      </c>
      <c r="D163" s="11">
        <f>+'[7]2032'!D20</f>
        <v>4</v>
      </c>
      <c r="E163" s="135">
        <f>ROUND('[7]2032'!E20,2)</f>
        <v>27008.99</v>
      </c>
      <c r="F163" s="135">
        <f>ROUND('[7]2032'!F20,2)</f>
        <v>25693.88</v>
      </c>
      <c r="G163" s="135">
        <f>ROUND('[7]2032'!G20,2)</f>
        <v>24550.86</v>
      </c>
      <c r="H163" s="135">
        <f>ROUND('[7]2032'!H20,2)</f>
        <v>23775.53</v>
      </c>
      <c r="I163" s="135">
        <f>ROUND('[7]2032'!I20,2)</f>
        <v>23479.5</v>
      </c>
      <c r="J163" s="135">
        <f>ROUND('[7]2032'!J20,2)</f>
        <v>23714.45</v>
      </c>
      <c r="K163" s="135">
        <f>ROUND('[7]2032'!K20,2)</f>
        <v>23475.37</v>
      </c>
      <c r="L163" s="135">
        <f>ROUND('[7]2032'!L20,2)</f>
        <v>25808.33</v>
      </c>
      <c r="M163" s="135">
        <f>ROUND('[7]2032'!M20,2)</f>
        <v>28613.360000000001</v>
      </c>
      <c r="N163" s="135">
        <f>ROUND('[7]2032'!N20,2)</f>
        <v>30375.15</v>
      </c>
      <c r="O163" s="135">
        <f>ROUND('[7]2032'!O20,2)</f>
        <v>31815.64</v>
      </c>
      <c r="P163" s="135">
        <f>ROUND('[7]2032'!P20,2)</f>
        <v>32769.74</v>
      </c>
      <c r="Q163" s="135">
        <f>ROUND('[7]2032'!Q20,2)</f>
        <v>32198.13</v>
      </c>
      <c r="R163" s="135">
        <f>ROUND('[7]2032'!R20,2)</f>
        <v>31822.48</v>
      </c>
      <c r="S163" s="135">
        <f>ROUND('[7]2032'!S20,2)</f>
        <v>31989.57</v>
      </c>
      <c r="T163" s="135">
        <f>ROUND('[7]2032'!T20,2)</f>
        <v>31985.56</v>
      </c>
      <c r="U163" s="135">
        <f>ROUND('[7]2032'!U20,2)</f>
        <v>31499.96</v>
      </c>
      <c r="V163" s="135">
        <f>ROUND('[7]2032'!V20,2)</f>
        <v>31280.55</v>
      </c>
      <c r="W163" s="135">
        <f>ROUND('[7]2032'!W20,2)</f>
        <v>34263.230000000003</v>
      </c>
      <c r="X163" s="135">
        <f>ROUND('[7]2032'!X20,2)</f>
        <v>34959.54</v>
      </c>
      <c r="Y163" s="135">
        <f>ROUND('[7]2032'!Y20,2)</f>
        <v>34051.14</v>
      </c>
      <c r="Z163" s="135">
        <f>ROUND('[7]2032'!Z20,2)</f>
        <v>32824.26</v>
      </c>
      <c r="AA163" s="135">
        <f>ROUND('[7]2032'!AA20,2)</f>
        <v>31156.78</v>
      </c>
      <c r="AB163" s="135">
        <f>ROUND('[7]2032'!AB20,2)</f>
        <v>29195.53</v>
      </c>
      <c r="AC163" s="282"/>
      <c r="AD163" s="19"/>
    </row>
    <row r="164" spans="2:50" ht="18.649999999999999" hidden="1" customHeight="1" x14ac:dyDescent="0.35">
      <c r="B164" s="264" t="s">
        <v>34</v>
      </c>
      <c r="C164" s="10" t="s">
        <v>31</v>
      </c>
      <c r="D164" s="11">
        <f>+'[7]2032'!D21</f>
        <v>5</v>
      </c>
      <c r="E164" s="135">
        <f>ROUND('[7]2032'!E21,2)</f>
        <v>27428.84</v>
      </c>
      <c r="F164" s="135">
        <f>ROUND('[7]2032'!F21,2)</f>
        <v>26024.46</v>
      </c>
      <c r="G164" s="135">
        <f>ROUND('[7]2032'!G21,2)</f>
        <v>24938.06</v>
      </c>
      <c r="H164" s="135">
        <f>ROUND('[7]2032'!H21,2)</f>
        <v>24141.09</v>
      </c>
      <c r="I164" s="135">
        <f>ROUND('[7]2032'!I21,2)</f>
        <v>23636.34</v>
      </c>
      <c r="J164" s="135">
        <f>ROUND('[7]2032'!J21,2)</f>
        <v>23530.32</v>
      </c>
      <c r="K164" s="135">
        <f>ROUND('[7]2032'!K21,2)</f>
        <v>22493.360000000001</v>
      </c>
      <c r="L164" s="135">
        <f>ROUND('[7]2032'!L21,2)</f>
        <v>23498.38</v>
      </c>
      <c r="M164" s="135">
        <f>ROUND('[7]2032'!M21,2)</f>
        <v>25144.02</v>
      </c>
      <c r="N164" s="135">
        <f>ROUND('[7]2032'!N21,2)</f>
        <v>26638.39</v>
      </c>
      <c r="O164" s="135">
        <f>ROUND('[7]2032'!O21,2)</f>
        <v>27728.23</v>
      </c>
      <c r="P164" s="135">
        <f>ROUND('[7]2032'!P21,2)</f>
        <v>28836.66</v>
      </c>
      <c r="Q164" s="135">
        <f>ROUND('[7]2032'!Q21,2)</f>
        <v>29472.38</v>
      </c>
      <c r="R164" s="135">
        <f>ROUND('[7]2032'!R21,2)</f>
        <v>29667.19</v>
      </c>
      <c r="S164" s="135">
        <f>ROUND('[7]2032'!S21,2)</f>
        <v>29843.5</v>
      </c>
      <c r="T164" s="135">
        <f>ROUND('[7]2032'!T21,2)</f>
        <v>29979.84</v>
      </c>
      <c r="U164" s="135">
        <f>ROUND('[7]2032'!U21,2)</f>
        <v>29783.18</v>
      </c>
      <c r="V164" s="135">
        <f>ROUND('[7]2032'!V21,2)</f>
        <v>29713.4</v>
      </c>
      <c r="W164" s="135">
        <f>ROUND('[7]2032'!W21,2)</f>
        <v>33037.57</v>
      </c>
      <c r="X164" s="135">
        <f>ROUND('[7]2032'!X21,2)</f>
        <v>34525.72</v>
      </c>
      <c r="Y164" s="135">
        <f>ROUND('[7]2032'!Y21,2)</f>
        <v>34551.269999999997</v>
      </c>
      <c r="Z164" s="135">
        <f>ROUND('[7]2032'!Z21,2)</f>
        <v>33694.269999999997</v>
      </c>
      <c r="AA164" s="135">
        <f>ROUND('[7]2032'!AA21,2)</f>
        <v>31678.26</v>
      </c>
      <c r="AB164" s="135">
        <f>ROUND('[7]2032'!AB21,2)</f>
        <v>29268.86</v>
      </c>
      <c r="AC164" s="282"/>
      <c r="AD164" s="19"/>
    </row>
    <row r="165" spans="2:50" ht="18.649999999999999" hidden="1" customHeight="1" thickBot="1" x14ac:dyDescent="0.4">
      <c r="B165" s="265" t="s">
        <v>34</v>
      </c>
      <c r="C165" s="12" t="s">
        <v>32</v>
      </c>
      <c r="D165" s="13">
        <f>+'[7]2032'!D22</f>
        <v>0</v>
      </c>
      <c r="E165" s="199">
        <f>ROUND('[7]2032'!E22,2)</f>
        <v>0</v>
      </c>
      <c r="F165" s="115">
        <f>ROUND('[7]2032'!F22,2)</f>
        <v>0</v>
      </c>
      <c r="G165" s="115">
        <f>ROUND('[7]2032'!G22,2)</f>
        <v>0</v>
      </c>
      <c r="H165" s="115">
        <f>ROUND('[7]2032'!H22,2)</f>
        <v>0</v>
      </c>
      <c r="I165" s="115">
        <f>ROUND('[7]2032'!I22,2)</f>
        <v>0</v>
      </c>
      <c r="J165" s="115">
        <f>ROUND('[7]2032'!J22,2)</f>
        <v>0</v>
      </c>
      <c r="K165" s="115">
        <f>ROUND('[7]2032'!K22,2)</f>
        <v>0</v>
      </c>
      <c r="L165" s="115">
        <f>ROUND('[7]2032'!L22,2)</f>
        <v>0</v>
      </c>
      <c r="M165" s="115">
        <f>ROUND('[7]2032'!M22,2)</f>
        <v>0</v>
      </c>
      <c r="N165" s="115">
        <f>ROUND('[7]2032'!N22,2)</f>
        <v>0</v>
      </c>
      <c r="O165" s="115">
        <f>ROUND('[7]2032'!O22,2)</f>
        <v>0</v>
      </c>
      <c r="P165" s="115">
        <f>ROUND('[7]2032'!P22,2)</f>
        <v>0</v>
      </c>
      <c r="Q165" s="115">
        <f>ROUND('[7]2032'!Q22,2)</f>
        <v>0</v>
      </c>
      <c r="R165" s="115">
        <f>ROUND('[7]2032'!R22,2)</f>
        <v>0</v>
      </c>
      <c r="S165" s="115">
        <f>ROUND('[7]2032'!S22,2)</f>
        <v>0</v>
      </c>
      <c r="T165" s="115">
        <f>ROUND('[7]2032'!T22,2)</f>
        <v>0</v>
      </c>
      <c r="U165" s="115">
        <f>ROUND('[7]2032'!U22,2)</f>
        <v>0</v>
      </c>
      <c r="V165" s="115">
        <f>ROUND('[7]2032'!V22,2)</f>
        <v>0</v>
      </c>
      <c r="W165" s="115">
        <f>ROUND('[7]2032'!W22,2)</f>
        <v>0</v>
      </c>
      <c r="X165" s="115">
        <f>ROUND('[7]2032'!X22,2)</f>
        <v>0</v>
      </c>
      <c r="Y165" s="115">
        <f>ROUND('[7]2032'!Y22,2)</f>
        <v>0</v>
      </c>
      <c r="Z165" s="115">
        <f>ROUND('[7]2032'!Z22,2)</f>
        <v>0</v>
      </c>
      <c r="AA165" s="115">
        <f>ROUND('[7]2032'!AA22,2)</f>
        <v>0</v>
      </c>
      <c r="AB165" s="115">
        <f>ROUND('[7]2032'!AB22,2)</f>
        <v>0</v>
      </c>
      <c r="AC165" s="284"/>
      <c r="AD165" s="19"/>
    </row>
    <row r="166" spans="2:50" ht="18.649999999999999" hidden="1" customHeight="1" x14ac:dyDescent="0.35">
      <c r="B166" s="260">
        <v>48274</v>
      </c>
      <c r="C166" s="14" t="s">
        <v>29</v>
      </c>
      <c r="D166" s="15">
        <f>+'[7]2032'!D23</f>
        <v>20</v>
      </c>
      <c r="E166" s="137">
        <f>ROUND('[7]2032'!E23,2)</f>
        <v>28219.360000000001</v>
      </c>
      <c r="F166" s="137">
        <f>ROUND('[7]2032'!F23,2)</f>
        <v>26728.03</v>
      </c>
      <c r="G166" s="137">
        <f>ROUND('[7]2032'!G23,2)</f>
        <v>25604.17</v>
      </c>
      <c r="H166" s="137">
        <f>ROUND('[7]2032'!H23,2)</f>
        <v>24774.74</v>
      </c>
      <c r="I166" s="137">
        <f>ROUND('[7]2032'!I23,2)</f>
        <v>24650.06</v>
      </c>
      <c r="J166" s="137">
        <f>ROUND('[7]2032'!J23,2)</f>
        <v>25552.65</v>
      </c>
      <c r="K166" s="137">
        <f>ROUND('[7]2032'!K23,2)</f>
        <v>25377.17</v>
      </c>
      <c r="L166" s="137">
        <f>ROUND('[7]2032'!L23,2)</f>
        <v>28286.1</v>
      </c>
      <c r="M166" s="137">
        <f>ROUND('[7]2032'!M23,2)</f>
        <v>31219.93</v>
      </c>
      <c r="N166" s="137">
        <f>ROUND('[7]2032'!N23,2)</f>
        <v>32755.4</v>
      </c>
      <c r="O166" s="137">
        <f>ROUND('[7]2032'!O23,2)</f>
        <v>34497.06</v>
      </c>
      <c r="P166" s="137">
        <f>ROUND('[7]2032'!P23,2)</f>
        <v>35630.959999999999</v>
      </c>
      <c r="Q166" s="137">
        <f>ROUND('[7]2032'!Q23,2)</f>
        <v>34348.58</v>
      </c>
      <c r="R166" s="137">
        <f>ROUND('[7]2032'!R23,2)</f>
        <v>35717.43</v>
      </c>
      <c r="S166" s="137">
        <f>ROUND('[7]2032'!S23,2)</f>
        <v>37376.58</v>
      </c>
      <c r="T166" s="137">
        <f>ROUND('[7]2032'!T23,2)</f>
        <v>37554.86</v>
      </c>
      <c r="U166" s="137">
        <f>ROUND('[7]2032'!U23,2)</f>
        <v>36902.199999999997</v>
      </c>
      <c r="V166" s="137">
        <f>ROUND('[7]2032'!V23,2)</f>
        <v>35325.879999999997</v>
      </c>
      <c r="W166" s="137">
        <f>ROUND('[7]2032'!W23,2)</f>
        <v>36910.550000000003</v>
      </c>
      <c r="X166" s="137">
        <f>ROUND('[7]2032'!X23,2)</f>
        <v>37371.89</v>
      </c>
      <c r="Y166" s="137">
        <f>ROUND('[7]2032'!Y23,2)</f>
        <v>36700.01</v>
      </c>
      <c r="Z166" s="137">
        <f>ROUND('[7]2032'!Z23,2)</f>
        <v>35275.94</v>
      </c>
      <c r="AA166" s="137">
        <f>ROUND('[7]2032'!AA23,2)</f>
        <v>33048</v>
      </c>
      <c r="AB166" s="137">
        <f>ROUND('[7]2032'!AB23,2)</f>
        <v>30541.82</v>
      </c>
      <c r="AC166" s="282">
        <f>SUM(E166:AB166)*D166+SUM(E167:AB167)*D167+SUM(E168:AB168)*D168+SUM(E169:AB169)*D169</f>
        <v>23035545.379999999</v>
      </c>
      <c r="AD166" s="19"/>
    </row>
    <row r="167" spans="2:50" ht="18.649999999999999" hidden="1" customHeight="1" x14ac:dyDescent="0.35">
      <c r="B167" s="261"/>
      <c r="C167" s="10" t="s">
        <v>30</v>
      </c>
      <c r="D167" s="11">
        <f>+'[7]2032'!D24</f>
        <v>4</v>
      </c>
      <c r="E167" s="135">
        <f>ROUND('[7]2032'!E24,2)</f>
        <v>28301.33</v>
      </c>
      <c r="F167" s="135">
        <f>ROUND('[7]2032'!F24,2)</f>
        <v>26762.66</v>
      </c>
      <c r="G167" s="135">
        <f>ROUND('[7]2032'!G24,2)</f>
        <v>25678.82</v>
      </c>
      <c r="H167" s="135">
        <f>ROUND('[7]2032'!H24,2)</f>
        <v>24821.1</v>
      </c>
      <c r="I167" s="135">
        <f>ROUND('[7]2032'!I24,2)</f>
        <v>24309.08</v>
      </c>
      <c r="J167" s="135">
        <f>ROUND('[7]2032'!J24,2)</f>
        <v>24230.81</v>
      </c>
      <c r="K167" s="135">
        <f>ROUND('[7]2032'!K24,2)</f>
        <v>23875.89</v>
      </c>
      <c r="L167" s="135">
        <f>ROUND('[7]2032'!L24,2)</f>
        <v>26160</v>
      </c>
      <c r="M167" s="135">
        <f>ROUND('[7]2032'!M24,2)</f>
        <v>28913.33</v>
      </c>
      <c r="N167" s="135">
        <f>ROUND('[7]2032'!N24,2)</f>
        <v>30637.53</v>
      </c>
      <c r="O167" s="135">
        <f>ROUND('[7]2032'!O24,2)</f>
        <v>32011</v>
      </c>
      <c r="P167" s="135">
        <f>ROUND('[7]2032'!P24,2)</f>
        <v>32889.050000000003</v>
      </c>
      <c r="Q167" s="135">
        <f>ROUND('[7]2032'!Q24,2)</f>
        <v>32422.639999999999</v>
      </c>
      <c r="R167" s="135">
        <f>ROUND('[7]2032'!R24,2)</f>
        <v>32084.84</v>
      </c>
      <c r="S167" s="135">
        <f>ROUND('[7]2032'!S24,2)</f>
        <v>31891.89</v>
      </c>
      <c r="T167" s="135">
        <f>ROUND('[7]2032'!T24,2)</f>
        <v>32679.53</v>
      </c>
      <c r="U167" s="135">
        <f>ROUND('[7]2032'!U24,2)</f>
        <v>31571.78</v>
      </c>
      <c r="V167" s="135">
        <f>ROUND('[7]2032'!V24,2)</f>
        <v>31315.45</v>
      </c>
      <c r="W167" s="135">
        <f>ROUND('[7]2032'!W24,2)</f>
        <v>34594.089999999997</v>
      </c>
      <c r="X167" s="135">
        <f>ROUND('[7]2032'!X24,2)</f>
        <v>35110.129999999997</v>
      </c>
      <c r="Y167" s="135">
        <f>ROUND('[7]2032'!Y24,2)</f>
        <v>34257.5</v>
      </c>
      <c r="Z167" s="135">
        <f>ROUND('[7]2032'!Z24,2)</f>
        <v>33160.28</v>
      </c>
      <c r="AA167" s="135">
        <f>ROUND('[7]2032'!AA24,2)</f>
        <v>31704.99</v>
      </c>
      <c r="AB167" s="135">
        <f>ROUND('[7]2032'!AB24,2)</f>
        <v>29855.35</v>
      </c>
      <c r="AC167" s="282"/>
      <c r="AD167" s="19"/>
    </row>
    <row r="168" spans="2:50" ht="18.649999999999999" hidden="1" customHeight="1" x14ac:dyDescent="0.35">
      <c r="B168" s="261"/>
      <c r="C168" s="10" t="s">
        <v>31</v>
      </c>
      <c r="D168" s="11">
        <f>+'[7]2032'!D25</f>
        <v>4</v>
      </c>
      <c r="E168" s="135">
        <f>ROUND('[7]2032'!E25,2)</f>
        <v>28074.65</v>
      </c>
      <c r="F168" s="135">
        <f>ROUND('[7]2032'!F25,2)</f>
        <v>26637.42</v>
      </c>
      <c r="G168" s="135">
        <f>ROUND('[7]2032'!G25,2)</f>
        <v>25354.53</v>
      </c>
      <c r="H168" s="135">
        <f>ROUND('[7]2032'!H25,2)</f>
        <v>24454.48</v>
      </c>
      <c r="I168" s="135">
        <f>ROUND('[7]2032'!I25,2)</f>
        <v>24037.11</v>
      </c>
      <c r="J168" s="135">
        <f>ROUND('[7]2032'!J25,2)</f>
        <v>23765.22</v>
      </c>
      <c r="K168" s="135">
        <f>ROUND('[7]2032'!K25,2)</f>
        <v>22604.21</v>
      </c>
      <c r="L168" s="135">
        <f>ROUND('[7]2032'!L25,2)</f>
        <v>23691.26</v>
      </c>
      <c r="M168" s="135">
        <f>ROUND('[7]2032'!M25,2)</f>
        <v>25266.28</v>
      </c>
      <c r="N168" s="135">
        <f>ROUND('[7]2032'!N25,2)</f>
        <v>26706.400000000001</v>
      </c>
      <c r="O168" s="135">
        <f>ROUND('[7]2032'!O25,2)</f>
        <v>27798.16</v>
      </c>
      <c r="P168" s="135">
        <f>ROUND('[7]2032'!P25,2)</f>
        <v>28830.31</v>
      </c>
      <c r="Q168" s="135">
        <f>ROUND('[7]2032'!Q25,2)</f>
        <v>29348.78</v>
      </c>
      <c r="R168" s="135">
        <f>ROUND('[7]2032'!R25,2)</f>
        <v>29481.26</v>
      </c>
      <c r="S168" s="135">
        <f>ROUND('[7]2032'!S25,2)</f>
        <v>29632.87</v>
      </c>
      <c r="T168" s="135">
        <f>ROUND('[7]2032'!T25,2)</f>
        <v>29844.13</v>
      </c>
      <c r="U168" s="135">
        <f>ROUND('[7]2032'!U25,2)</f>
        <v>29475.34</v>
      </c>
      <c r="V168" s="135">
        <f>ROUND('[7]2032'!V25,2)</f>
        <v>29546.25</v>
      </c>
      <c r="W168" s="135">
        <f>ROUND('[7]2032'!W25,2)</f>
        <v>32727.57</v>
      </c>
      <c r="X168" s="135">
        <f>ROUND('[7]2032'!X25,2)</f>
        <v>33904.06</v>
      </c>
      <c r="Y168" s="135">
        <f>ROUND('[7]2032'!Y25,2)</f>
        <v>33843.14</v>
      </c>
      <c r="Z168" s="135">
        <f>ROUND('[7]2032'!Z25,2)</f>
        <v>33187.480000000003</v>
      </c>
      <c r="AA168" s="135">
        <f>ROUND('[7]2032'!AA25,2)</f>
        <v>31423.43</v>
      </c>
      <c r="AB168" s="135">
        <f>ROUND('[7]2032'!AB25,2)</f>
        <v>29108.76</v>
      </c>
      <c r="AC168" s="282"/>
      <c r="AD168" s="19"/>
    </row>
    <row r="169" spans="2:50" ht="18.649999999999999" hidden="1" customHeight="1" thickBot="1" x14ac:dyDescent="0.4">
      <c r="B169" s="261"/>
      <c r="C169" s="16" t="s">
        <v>32</v>
      </c>
      <c r="D169" s="17">
        <f>+'[7]2032'!D26</f>
        <v>3</v>
      </c>
      <c r="E169" s="136">
        <f>ROUND('[7]2032'!E26,2)</f>
        <v>28074.65</v>
      </c>
      <c r="F169" s="136">
        <f>ROUND('[7]2032'!F26,2)</f>
        <v>26637.42</v>
      </c>
      <c r="G169" s="136">
        <f>ROUND('[7]2032'!G26,2)</f>
        <v>25354.53</v>
      </c>
      <c r="H169" s="136">
        <f>ROUND('[7]2032'!H26,2)</f>
        <v>24454.48</v>
      </c>
      <c r="I169" s="136">
        <f>ROUND('[7]2032'!I26,2)</f>
        <v>24037.11</v>
      </c>
      <c r="J169" s="136">
        <f>ROUND('[7]2032'!J26,2)</f>
        <v>23765.22</v>
      </c>
      <c r="K169" s="136">
        <f>ROUND('[7]2032'!K26,2)</f>
        <v>22604.21</v>
      </c>
      <c r="L169" s="136">
        <f>ROUND('[7]2032'!L26,2)</f>
        <v>23691.26</v>
      </c>
      <c r="M169" s="136">
        <f>ROUND('[7]2032'!M26,2)</f>
        <v>25266.28</v>
      </c>
      <c r="N169" s="136">
        <f>ROUND('[7]2032'!N26,2)</f>
        <v>26706.400000000001</v>
      </c>
      <c r="O169" s="136">
        <f>ROUND('[7]2032'!O26,2)</f>
        <v>27798.16</v>
      </c>
      <c r="P169" s="136">
        <f>ROUND('[7]2032'!P26,2)</f>
        <v>28830.31</v>
      </c>
      <c r="Q169" s="136">
        <f>ROUND('[7]2032'!Q26,2)</f>
        <v>29348.78</v>
      </c>
      <c r="R169" s="136">
        <f>ROUND('[7]2032'!R26,2)</f>
        <v>29481.26</v>
      </c>
      <c r="S169" s="136">
        <f>ROUND('[7]2032'!S26,2)</f>
        <v>29632.87</v>
      </c>
      <c r="T169" s="136">
        <f>ROUND('[7]2032'!T26,2)</f>
        <v>29844.13</v>
      </c>
      <c r="U169" s="136">
        <f>ROUND('[7]2032'!U26,2)</f>
        <v>29475.34</v>
      </c>
      <c r="V169" s="136">
        <f>ROUND('[7]2032'!V26,2)</f>
        <v>29546.25</v>
      </c>
      <c r="W169" s="136">
        <f>ROUND('[7]2032'!W26,2)</f>
        <v>32727.57</v>
      </c>
      <c r="X169" s="136">
        <f>ROUND('[7]2032'!X26,2)</f>
        <v>33904.06</v>
      </c>
      <c r="Y169" s="136">
        <f>ROUND('[7]2032'!Y26,2)</f>
        <v>33843.14</v>
      </c>
      <c r="Z169" s="136">
        <f>ROUND('[7]2032'!Z26,2)</f>
        <v>33187.480000000003</v>
      </c>
      <c r="AA169" s="136">
        <f>ROUND('[7]2032'!AA26,2)</f>
        <v>31423.43</v>
      </c>
      <c r="AB169" s="136">
        <f>ROUND('[7]2032'!AB26,2)</f>
        <v>29108.76</v>
      </c>
      <c r="AC169" s="282"/>
      <c r="AD169" s="19"/>
    </row>
    <row r="170" spans="2:50" ht="18.649999999999999" hidden="1" customHeight="1" x14ac:dyDescent="0.35">
      <c r="B170" s="263">
        <v>48305</v>
      </c>
      <c r="C170" s="7" t="s">
        <v>29</v>
      </c>
      <c r="D170" s="8">
        <f>+'[7]2032'!D27</f>
        <v>22</v>
      </c>
      <c r="E170" s="134">
        <f>ROUND('[7]2032'!E27,2)</f>
        <v>27459.26</v>
      </c>
      <c r="F170" s="134">
        <f>ROUND('[7]2032'!F27,2)</f>
        <v>26275.37</v>
      </c>
      <c r="G170" s="134">
        <f>ROUND('[7]2032'!G27,2)</f>
        <v>25114.97</v>
      </c>
      <c r="H170" s="134">
        <f>ROUND('[7]2032'!H27,2)</f>
        <v>24466.39</v>
      </c>
      <c r="I170" s="134">
        <f>ROUND('[7]2032'!I27,2)</f>
        <v>24311.41</v>
      </c>
      <c r="J170" s="134">
        <f>ROUND('[7]2032'!J27,2)</f>
        <v>24059.040000000001</v>
      </c>
      <c r="K170" s="134">
        <f>ROUND('[7]2032'!K27,2)</f>
        <v>24142.560000000001</v>
      </c>
      <c r="L170" s="134">
        <f>ROUND('[7]2032'!L27,2)</f>
        <v>26856.33</v>
      </c>
      <c r="M170" s="134">
        <f>ROUND('[7]2032'!M27,2)</f>
        <v>29936.61</v>
      </c>
      <c r="N170" s="134">
        <f>ROUND('[7]2032'!N27,2)</f>
        <v>31756.69</v>
      </c>
      <c r="O170" s="134">
        <f>ROUND('[7]2032'!O27,2)</f>
        <v>33269.769999999997</v>
      </c>
      <c r="P170" s="134">
        <f>ROUND('[7]2032'!P27,2)</f>
        <v>34223.08</v>
      </c>
      <c r="Q170" s="134">
        <f>ROUND('[7]2032'!Q27,2)</f>
        <v>33587.06</v>
      </c>
      <c r="R170" s="134">
        <f>ROUND('[7]2032'!R27,2)</f>
        <v>33184.28</v>
      </c>
      <c r="S170" s="134">
        <f>ROUND('[7]2032'!S27,2)</f>
        <v>33414.49</v>
      </c>
      <c r="T170" s="134">
        <f>ROUND('[7]2032'!T27,2)</f>
        <v>33409.54</v>
      </c>
      <c r="U170" s="134">
        <f>ROUND('[7]2032'!U27,2)</f>
        <v>32884.11</v>
      </c>
      <c r="V170" s="134">
        <f>ROUND('[7]2032'!V27,2)</f>
        <v>32694.2</v>
      </c>
      <c r="W170" s="134">
        <f>ROUND('[7]2032'!W27,2)</f>
        <v>36010.959999999999</v>
      </c>
      <c r="X170" s="134">
        <f>ROUND('[7]2032'!X27,2)</f>
        <v>36297.49</v>
      </c>
      <c r="Y170" s="134">
        <f>ROUND('[7]2032'!Y27,2)</f>
        <v>35408.58</v>
      </c>
      <c r="Z170" s="134">
        <f>ROUND('[7]2032'!Z27,2)</f>
        <v>34178.49</v>
      </c>
      <c r="AA170" s="134">
        <f>ROUND('[7]2032'!AA27,2)</f>
        <v>32497.38</v>
      </c>
      <c r="AB170" s="134">
        <f>ROUND('[7]2032'!AB27,2)</f>
        <v>30460.98</v>
      </c>
      <c r="AC170" s="283">
        <f>SUM(E170:AB170)*D170+SUM(E171:AB171)*D171+SUM(E172:AB172)*D172+SUM(E173:AB173)*D173</f>
        <v>21874352.039999999</v>
      </c>
      <c r="AD170" s="19"/>
    </row>
    <row r="171" spans="2:50" ht="18.649999999999999" hidden="1" customHeight="1" x14ac:dyDescent="0.35">
      <c r="B171" s="264" t="s">
        <v>34</v>
      </c>
      <c r="C171" s="10" t="s">
        <v>30</v>
      </c>
      <c r="D171" s="11">
        <f>+'[7]2032'!D28</f>
        <v>4</v>
      </c>
      <c r="E171" s="135">
        <f>ROUND('[7]2032'!E28,2)</f>
        <v>26511.53</v>
      </c>
      <c r="F171" s="135">
        <f>ROUND('[7]2032'!F28,2)</f>
        <v>25204.9</v>
      </c>
      <c r="G171" s="135">
        <f>ROUND('[7]2032'!G28,2)</f>
        <v>24212.38</v>
      </c>
      <c r="H171" s="135">
        <f>ROUND('[7]2032'!H28,2)</f>
        <v>23480.52</v>
      </c>
      <c r="I171" s="135">
        <f>ROUND('[7]2032'!I28,2)</f>
        <v>23502.45</v>
      </c>
      <c r="J171" s="135">
        <f>ROUND('[7]2032'!J28,2)</f>
        <v>23792.31</v>
      </c>
      <c r="K171" s="135">
        <f>ROUND('[7]2032'!K28,2)</f>
        <v>24326.880000000001</v>
      </c>
      <c r="L171" s="135">
        <f>ROUND('[7]2032'!L28,2)</f>
        <v>26973.96</v>
      </c>
      <c r="M171" s="135">
        <f>ROUND('[7]2032'!M28,2)</f>
        <v>29694.07</v>
      </c>
      <c r="N171" s="135">
        <f>ROUND('[7]2032'!N28,2)</f>
        <v>31278.59</v>
      </c>
      <c r="O171" s="135">
        <f>ROUND('[7]2032'!O28,2)</f>
        <v>32699.62</v>
      </c>
      <c r="P171" s="135">
        <f>ROUND('[7]2032'!P28,2)</f>
        <v>33680.589999999997</v>
      </c>
      <c r="Q171" s="135">
        <f>ROUND('[7]2032'!Q28,2)</f>
        <v>32759.18</v>
      </c>
      <c r="R171" s="135">
        <f>ROUND('[7]2032'!R28,2)</f>
        <v>33405.64</v>
      </c>
      <c r="S171" s="135">
        <f>ROUND('[7]2032'!S28,2)</f>
        <v>34518.839999999997</v>
      </c>
      <c r="T171" s="135">
        <f>ROUND('[7]2032'!T28,2)</f>
        <v>34593.03</v>
      </c>
      <c r="U171" s="135">
        <f>ROUND('[7]2032'!U28,2)</f>
        <v>34048.239999999998</v>
      </c>
      <c r="V171" s="135">
        <f>ROUND('[7]2032'!V28,2)</f>
        <v>33304.589999999997</v>
      </c>
      <c r="W171" s="135">
        <f>ROUND('[7]2032'!W28,2)</f>
        <v>35599.71</v>
      </c>
      <c r="X171" s="135">
        <f>ROUND('[7]2032'!X28,2)</f>
        <v>35907.480000000003</v>
      </c>
      <c r="Y171" s="135">
        <f>ROUND('[7]2032'!Y28,2)</f>
        <v>34972.22</v>
      </c>
      <c r="Z171" s="135">
        <f>ROUND('[7]2032'!Z28,2)</f>
        <v>33438.47</v>
      </c>
      <c r="AA171" s="135">
        <f>ROUND('[7]2032'!AA28,2)</f>
        <v>31030.23</v>
      </c>
      <c r="AB171" s="135">
        <f>ROUND('[7]2032'!AB28,2)</f>
        <v>28370.81</v>
      </c>
      <c r="AC171" s="282"/>
      <c r="AD171" s="19"/>
    </row>
    <row r="172" spans="2:50" ht="18.649999999999999" hidden="1" customHeight="1" x14ac:dyDescent="0.35">
      <c r="B172" s="264" t="s">
        <v>34</v>
      </c>
      <c r="C172" s="10" t="s">
        <v>31</v>
      </c>
      <c r="D172" s="11">
        <f>+'[7]2032'!D29</f>
        <v>4</v>
      </c>
      <c r="E172" s="135">
        <f>ROUND('[7]2032'!E29,2)</f>
        <v>28571.52</v>
      </c>
      <c r="F172" s="135">
        <f>ROUND('[7]2032'!F29,2)</f>
        <v>27124.74</v>
      </c>
      <c r="G172" s="135">
        <f>ROUND('[7]2032'!G29,2)</f>
        <v>25926.25</v>
      </c>
      <c r="H172" s="135">
        <f>ROUND('[7]2032'!H29,2)</f>
        <v>25108.69</v>
      </c>
      <c r="I172" s="135">
        <f>ROUND('[7]2032'!I29,2)</f>
        <v>24629.69</v>
      </c>
      <c r="J172" s="135">
        <f>ROUND('[7]2032'!J29,2)</f>
        <v>23899.27</v>
      </c>
      <c r="K172" s="135">
        <f>ROUND('[7]2032'!K29,2)</f>
        <v>23167.45</v>
      </c>
      <c r="L172" s="135">
        <f>ROUND('[7]2032'!L29,2)</f>
        <v>24465.26</v>
      </c>
      <c r="M172" s="135">
        <f>ROUND('[7]2032'!M29,2)</f>
        <v>26180.44</v>
      </c>
      <c r="N172" s="135">
        <f>ROUND('[7]2032'!N29,2)</f>
        <v>27727.040000000001</v>
      </c>
      <c r="O172" s="135">
        <f>ROUND('[7]2032'!O29,2)</f>
        <v>28949.759999999998</v>
      </c>
      <c r="P172" s="135">
        <f>ROUND('[7]2032'!P29,2)</f>
        <v>29947.48</v>
      </c>
      <c r="Q172" s="135">
        <f>ROUND('[7]2032'!Q29,2)</f>
        <v>30406.81</v>
      </c>
      <c r="R172" s="135">
        <f>ROUND('[7]2032'!R29,2)</f>
        <v>30491.7</v>
      </c>
      <c r="S172" s="135">
        <f>ROUND('[7]2032'!S29,2)</f>
        <v>30324.42</v>
      </c>
      <c r="T172" s="135">
        <f>ROUND('[7]2032'!T29,2)</f>
        <v>30189.57</v>
      </c>
      <c r="U172" s="135">
        <f>ROUND('[7]2032'!U29,2)</f>
        <v>29881.51</v>
      </c>
      <c r="V172" s="135">
        <f>ROUND('[7]2032'!V29,2)</f>
        <v>30166.97</v>
      </c>
      <c r="W172" s="135">
        <f>ROUND('[7]2032'!W29,2)</f>
        <v>33705.85</v>
      </c>
      <c r="X172" s="135">
        <f>ROUND('[7]2032'!X29,2)</f>
        <v>34719.21</v>
      </c>
      <c r="Y172" s="135">
        <f>ROUND('[7]2032'!Y29,2)</f>
        <v>34484.699999999997</v>
      </c>
      <c r="Z172" s="135">
        <f>ROUND('[7]2032'!Z29,2)</f>
        <v>33426.25</v>
      </c>
      <c r="AA172" s="135">
        <f>ROUND('[7]2032'!AA29,2)</f>
        <v>31387.71</v>
      </c>
      <c r="AB172" s="135">
        <f>ROUND('[7]2032'!AB29,2)</f>
        <v>28954.76</v>
      </c>
      <c r="AC172" s="282"/>
      <c r="AD172" s="19"/>
    </row>
    <row r="173" spans="2:50" ht="18.649999999999999" hidden="1" customHeight="1" thickBot="1" x14ac:dyDescent="0.4">
      <c r="B173" s="265" t="s">
        <v>34</v>
      </c>
      <c r="C173" s="12" t="s">
        <v>32</v>
      </c>
      <c r="D173" s="13">
        <f>+'[7]2032'!D30</f>
        <v>0</v>
      </c>
      <c r="E173" s="199">
        <f>ROUND('[7]2032'!E30,2)</f>
        <v>0</v>
      </c>
      <c r="F173" s="115">
        <f>ROUND('[7]2032'!F30,2)</f>
        <v>0</v>
      </c>
      <c r="G173" s="115">
        <f>ROUND('[7]2032'!G30,2)</f>
        <v>0</v>
      </c>
      <c r="H173" s="115">
        <f>ROUND('[7]2032'!H30,2)</f>
        <v>0</v>
      </c>
      <c r="I173" s="115">
        <f>ROUND('[7]2032'!I30,2)</f>
        <v>0</v>
      </c>
      <c r="J173" s="115">
        <f>ROUND('[7]2032'!J30,2)</f>
        <v>0</v>
      </c>
      <c r="K173" s="115">
        <f>ROUND('[7]2032'!K30,2)</f>
        <v>0</v>
      </c>
      <c r="L173" s="115">
        <f>ROUND('[7]2032'!L30,2)</f>
        <v>0</v>
      </c>
      <c r="M173" s="115">
        <f>ROUND('[7]2032'!M30,2)</f>
        <v>0</v>
      </c>
      <c r="N173" s="115">
        <f>ROUND('[7]2032'!N30,2)</f>
        <v>0</v>
      </c>
      <c r="O173" s="115">
        <f>ROUND('[7]2032'!O30,2)</f>
        <v>0</v>
      </c>
      <c r="P173" s="115">
        <f>ROUND('[7]2032'!P30,2)</f>
        <v>0</v>
      </c>
      <c r="Q173" s="115">
        <f>ROUND('[7]2032'!Q30,2)</f>
        <v>0</v>
      </c>
      <c r="R173" s="115">
        <f>ROUND('[7]2032'!R30,2)</f>
        <v>0</v>
      </c>
      <c r="S173" s="115">
        <f>ROUND('[7]2032'!S30,2)</f>
        <v>0</v>
      </c>
      <c r="T173" s="115">
        <f>ROUND('[7]2032'!T30,2)</f>
        <v>0</v>
      </c>
      <c r="U173" s="115">
        <f>ROUND('[7]2032'!U30,2)</f>
        <v>0</v>
      </c>
      <c r="V173" s="115">
        <f>ROUND('[7]2032'!V30,2)</f>
        <v>0</v>
      </c>
      <c r="W173" s="115">
        <f>ROUND('[7]2032'!W30,2)</f>
        <v>0</v>
      </c>
      <c r="X173" s="115">
        <f>ROUND('[7]2032'!X30,2)</f>
        <v>0</v>
      </c>
      <c r="Y173" s="115">
        <f>ROUND('[7]2032'!Y30,2)</f>
        <v>0</v>
      </c>
      <c r="Z173" s="115">
        <f>ROUND('[7]2032'!Z30,2)</f>
        <v>0</v>
      </c>
      <c r="AA173" s="115">
        <f>ROUND('[7]2032'!AA30,2)</f>
        <v>0</v>
      </c>
      <c r="AB173" s="115">
        <f>ROUND('[7]2032'!AB30,2)</f>
        <v>0</v>
      </c>
      <c r="AC173" s="284"/>
      <c r="AD173" s="19"/>
    </row>
    <row r="174" spans="2:50" ht="18.649999999999999" hidden="1" customHeight="1" x14ac:dyDescent="0.35">
      <c r="B174" s="260">
        <v>48335</v>
      </c>
      <c r="C174" s="14" t="s">
        <v>29</v>
      </c>
      <c r="D174" s="15">
        <f>+'[7]2032'!D31</f>
        <v>19</v>
      </c>
      <c r="E174" s="137">
        <f>ROUND('[7]2032'!E31,2)</f>
        <v>28066.799999999999</v>
      </c>
      <c r="F174" s="137">
        <f>ROUND('[7]2032'!F31,2)</f>
        <v>26606.36</v>
      </c>
      <c r="G174" s="137">
        <f>ROUND('[7]2032'!G31,2)</f>
        <v>25427.88</v>
      </c>
      <c r="H174" s="137">
        <f>ROUND('[7]2032'!H31,2)</f>
        <v>24420.01</v>
      </c>
      <c r="I174" s="137">
        <f>ROUND('[7]2032'!I31,2)</f>
        <v>24148.34</v>
      </c>
      <c r="J174" s="137">
        <f>ROUND('[7]2032'!J31,2)</f>
        <v>23765.87</v>
      </c>
      <c r="K174" s="137">
        <f>ROUND('[7]2032'!K31,2)</f>
        <v>24117.119999999999</v>
      </c>
      <c r="L174" s="137">
        <f>ROUND('[7]2032'!L31,2)</f>
        <v>26711.16</v>
      </c>
      <c r="M174" s="137">
        <f>ROUND('[7]2032'!M31,2)</f>
        <v>29734.45</v>
      </c>
      <c r="N174" s="137">
        <f>ROUND('[7]2032'!N31,2)</f>
        <v>31402.42</v>
      </c>
      <c r="O174" s="137">
        <f>ROUND('[7]2032'!O31,2)</f>
        <v>32461.13</v>
      </c>
      <c r="P174" s="137">
        <f>ROUND('[7]2032'!P31,2)</f>
        <v>33239.11</v>
      </c>
      <c r="Q174" s="137">
        <f>ROUND('[7]2032'!Q31,2)</f>
        <v>32668.080000000002</v>
      </c>
      <c r="R174" s="137">
        <f>ROUND('[7]2032'!R31,2)</f>
        <v>32080.47</v>
      </c>
      <c r="S174" s="137">
        <f>ROUND('[7]2032'!S31,2)</f>
        <v>32058.87</v>
      </c>
      <c r="T174" s="137">
        <f>ROUND('[7]2032'!T31,2)</f>
        <v>31878.2</v>
      </c>
      <c r="U174" s="137">
        <f>ROUND('[7]2032'!U31,2)</f>
        <v>31445.08</v>
      </c>
      <c r="V174" s="137">
        <f>ROUND('[7]2032'!V31,2)</f>
        <v>31637.919999999998</v>
      </c>
      <c r="W174" s="137">
        <f>ROUND('[7]2032'!W31,2)</f>
        <v>35071.699999999997</v>
      </c>
      <c r="X174" s="137">
        <f>ROUND('[7]2032'!X31,2)</f>
        <v>35398.11</v>
      </c>
      <c r="Y174" s="137">
        <f>ROUND('[7]2032'!Y31,2)</f>
        <v>34258.269999999997</v>
      </c>
      <c r="Z174" s="137">
        <f>ROUND('[7]2032'!Z31,2)</f>
        <v>32844.410000000003</v>
      </c>
      <c r="AA174" s="137">
        <f>ROUND('[7]2032'!AA31,2)</f>
        <v>30985.1</v>
      </c>
      <c r="AB174" s="137">
        <f>ROUND('[7]2032'!AB31,2)</f>
        <v>28902.48</v>
      </c>
      <c r="AC174" s="282">
        <f>SUM(E174:AB174)*D174+SUM(E175:AB175)*D175+SUM(E176:AB176)*D176+SUM(E177:AB177)*D177</f>
        <v>22047681.620000001</v>
      </c>
      <c r="AD174" s="19"/>
    </row>
    <row r="175" spans="2:50" ht="18.649999999999999" hidden="1" customHeight="1" x14ac:dyDescent="0.35">
      <c r="B175" s="261"/>
      <c r="C175" s="10" t="s">
        <v>30</v>
      </c>
      <c r="D175" s="11">
        <f>+'[7]2032'!D32</f>
        <v>4</v>
      </c>
      <c r="E175" s="135">
        <f>ROUND('[7]2032'!E32,2)</f>
        <v>25874.62</v>
      </c>
      <c r="F175" s="135">
        <f>ROUND('[7]2032'!F32,2)</f>
        <v>24594.68</v>
      </c>
      <c r="G175" s="135">
        <f>ROUND('[7]2032'!G32,2)</f>
        <v>23657.88</v>
      </c>
      <c r="H175" s="135">
        <f>ROUND('[7]2032'!H32,2)</f>
        <v>23012.62</v>
      </c>
      <c r="I175" s="135">
        <f>ROUND('[7]2032'!I32,2)</f>
        <v>22929.82</v>
      </c>
      <c r="J175" s="135">
        <f>ROUND('[7]2032'!J32,2)</f>
        <v>22900.99</v>
      </c>
      <c r="K175" s="135">
        <f>ROUND('[7]2032'!K32,2)</f>
        <v>23249.8</v>
      </c>
      <c r="L175" s="135">
        <f>ROUND('[7]2032'!L32,2)</f>
        <v>25974.5</v>
      </c>
      <c r="M175" s="135">
        <f>ROUND('[7]2032'!M32,2)</f>
        <v>28638.71</v>
      </c>
      <c r="N175" s="135">
        <f>ROUND('[7]2032'!N32,2)</f>
        <v>30177.14</v>
      </c>
      <c r="O175" s="135">
        <f>ROUND('[7]2032'!O32,2)</f>
        <v>31680.03</v>
      </c>
      <c r="P175" s="135">
        <f>ROUND('[7]2032'!P32,2)</f>
        <v>32762.54</v>
      </c>
      <c r="Q175" s="135">
        <f>ROUND('[7]2032'!Q32,2)</f>
        <v>32047.81</v>
      </c>
      <c r="R175" s="135">
        <f>ROUND('[7]2032'!R32,2)</f>
        <v>32389.439999999999</v>
      </c>
      <c r="S175" s="135">
        <f>ROUND('[7]2032'!S32,2)</f>
        <v>33241.980000000003</v>
      </c>
      <c r="T175" s="135">
        <f>ROUND('[7]2032'!T32,2)</f>
        <v>33200.35</v>
      </c>
      <c r="U175" s="135">
        <f>ROUND('[7]2032'!U32,2)</f>
        <v>32722.12</v>
      </c>
      <c r="V175" s="135">
        <f>ROUND('[7]2032'!V32,2)</f>
        <v>32086.5</v>
      </c>
      <c r="W175" s="135">
        <f>ROUND('[7]2032'!W32,2)</f>
        <v>34423.65</v>
      </c>
      <c r="X175" s="135">
        <f>ROUND('[7]2032'!X32,2)</f>
        <v>35072.300000000003</v>
      </c>
      <c r="Y175" s="135">
        <f>ROUND('[7]2032'!Y32,2)</f>
        <v>34117.11</v>
      </c>
      <c r="Z175" s="135">
        <f>ROUND('[7]2032'!Z32,2)</f>
        <v>32548.74</v>
      </c>
      <c r="AA175" s="135">
        <f>ROUND('[7]2032'!AA32,2)</f>
        <v>30191.09</v>
      </c>
      <c r="AB175" s="135">
        <f>ROUND('[7]2032'!AB32,2)</f>
        <v>27732.3</v>
      </c>
      <c r="AC175" s="282"/>
      <c r="AD175" s="19"/>
    </row>
    <row r="176" spans="2:50" ht="18.649999999999999" hidden="1" customHeight="1" x14ac:dyDescent="0.35">
      <c r="B176" s="261"/>
      <c r="C176" s="10" t="s">
        <v>31</v>
      </c>
      <c r="D176" s="11">
        <f>+'[7]2032'!D33</f>
        <v>5</v>
      </c>
      <c r="E176" s="135">
        <f>ROUND('[7]2032'!E33,2)</f>
        <v>25855.56</v>
      </c>
      <c r="F176" s="135">
        <f>ROUND('[7]2032'!F33,2)</f>
        <v>24843.06</v>
      </c>
      <c r="G176" s="135">
        <f>ROUND('[7]2032'!G33,2)</f>
        <v>23804.69</v>
      </c>
      <c r="H176" s="135">
        <f>ROUND('[7]2032'!H33,2)</f>
        <v>23252.58</v>
      </c>
      <c r="I176" s="135">
        <f>ROUND('[7]2032'!I33,2)</f>
        <v>23075.48</v>
      </c>
      <c r="J176" s="135">
        <f>ROUND('[7]2032'!J33,2)</f>
        <v>22502.799999999999</v>
      </c>
      <c r="K176" s="135">
        <f>ROUND('[7]2032'!K33,2)</f>
        <v>22409.22</v>
      </c>
      <c r="L176" s="135">
        <f>ROUND('[7]2032'!L33,2)</f>
        <v>24145.67</v>
      </c>
      <c r="M176" s="135">
        <f>ROUND('[7]2032'!M33,2)</f>
        <v>26159.08</v>
      </c>
      <c r="N176" s="135">
        <f>ROUND('[7]2032'!N33,2)</f>
        <v>27724.61</v>
      </c>
      <c r="O176" s="135">
        <f>ROUND('[7]2032'!O33,2)</f>
        <v>28914.78</v>
      </c>
      <c r="P176" s="135">
        <f>ROUND('[7]2032'!P33,2)</f>
        <v>30393.51</v>
      </c>
      <c r="Q176" s="135">
        <f>ROUND('[7]2032'!Q33,2)</f>
        <v>31221.91</v>
      </c>
      <c r="R176" s="135">
        <f>ROUND('[7]2032'!R33,2)</f>
        <v>31378.89</v>
      </c>
      <c r="S176" s="135">
        <f>ROUND('[7]2032'!S33,2)</f>
        <v>31415.040000000001</v>
      </c>
      <c r="T176" s="135">
        <f>ROUND('[7]2032'!T33,2)</f>
        <v>31476.62</v>
      </c>
      <c r="U176" s="135">
        <f>ROUND('[7]2032'!U33,2)</f>
        <v>31155.47</v>
      </c>
      <c r="V176" s="135">
        <f>ROUND('[7]2032'!V33,2)</f>
        <v>31163.59</v>
      </c>
      <c r="W176" s="135">
        <f>ROUND('[7]2032'!W33,2)</f>
        <v>34830.94</v>
      </c>
      <c r="X176" s="135">
        <f>ROUND('[7]2032'!X33,2)</f>
        <v>36152.959999999999</v>
      </c>
      <c r="Y176" s="135">
        <f>ROUND('[7]2032'!Y33,2)</f>
        <v>35932.839999999997</v>
      </c>
      <c r="Z176" s="135">
        <f>ROUND('[7]2032'!Z33,2)</f>
        <v>34722.1</v>
      </c>
      <c r="AA176" s="135">
        <f>ROUND('[7]2032'!AA33,2)</f>
        <v>32501.56</v>
      </c>
      <c r="AB176" s="135">
        <f>ROUND('[7]2032'!AB33,2)</f>
        <v>29906.7</v>
      </c>
      <c r="AC176" s="282"/>
      <c r="AD176" s="19"/>
    </row>
    <row r="177" spans="2:30" ht="18.649999999999999" hidden="1" customHeight="1" thickBot="1" x14ac:dyDescent="0.4">
      <c r="B177" s="261"/>
      <c r="C177" s="16" t="s">
        <v>32</v>
      </c>
      <c r="D177" s="17">
        <f>+'[7]2032'!D34</f>
        <v>3</v>
      </c>
      <c r="E177" s="136">
        <f>ROUND('[7]2032'!E34,2)</f>
        <v>25855.56</v>
      </c>
      <c r="F177" s="136">
        <f>ROUND('[7]2032'!F34,2)</f>
        <v>24843.06</v>
      </c>
      <c r="G177" s="136">
        <f>ROUND('[7]2032'!G34,2)</f>
        <v>23804.69</v>
      </c>
      <c r="H177" s="136">
        <f>ROUND('[7]2032'!H34,2)</f>
        <v>23252.58</v>
      </c>
      <c r="I177" s="136">
        <f>ROUND('[7]2032'!I34,2)</f>
        <v>23075.48</v>
      </c>
      <c r="J177" s="136">
        <f>ROUND('[7]2032'!J34,2)</f>
        <v>22502.799999999999</v>
      </c>
      <c r="K177" s="136">
        <f>ROUND('[7]2032'!K34,2)</f>
        <v>22409.22</v>
      </c>
      <c r="L177" s="136">
        <f>ROUND('[7]2032'!L34,2)</f>
        <v>24145.67</v>
      </c>
      <c r="M177" s="136">
        <f>ROUND('[7]2032'!M34,2)</f>
        <v>26159.08</v>
      </c>
      <c r="N177" s="136">
        <f>ROUND('[7]2032'!N34,2)</f>
        <v>27724.61</v>
      </c>
      <c r="O177" s="136">
        <f>ROUND('[7]2032'!O34,2)</f>
        <v>28914.78</v>
      </c>
      <c r="P177" s="136">
        <f>ROUND('[7]2032'!P34,2)</f>
        <v>30393.51</v>
      </c>
      <c r="Q177" s="136">
        <f>ROUND('[7]2032'!Q34,2)</f>
        <v>31221.91</v>
      </c>
      <c r="R177" s="136">
        <f>ROUND('[7]2032'!R34,2)</f>
        <v>31378.89</v>
      </c>
      <c r="S177" s="136">
        <f>ROUND('[7]2032'!S34,2)</f>
        <v>31415.040000000001</v>
      </c>
      <c r="T177" s="136">
        <f>ROUND('[7]2032'!T34,2)</f>
        <v>31476.62</v>
      </c>
      <c r="U177" s="136">
        <f>ROUND('[7]2032'!U34,2)</f>
        <v>31155.47</v>
      </c>
      <c r="V177" s="136">
        <f>ROUND('[7]2032'!V34,2)</f>
        <v>31163.59</v>
      </c>
      <c r="W177" s="136">
        <f>ROUND('[7]2032'!W34,2)</f>
        <v>34830.94</v>
      </c>
      <c r="X177" s="136">
        <f>ROUND('[7]2032'!X34,2)</f>
        <v>36152.959999999999</v>
      </c>
      <c r="Y177" s="136">
        <f>ROUND('[7]2032'!Y34,2)</f>
        <v>35932.839999999997</v>
      </c>
      <c r="Z177" s="136">
        <f>ROUND('[7]2032'!Z34,2)</f>
        <v>34722.1</v>
      </c>
      <c r="AA177" s="136">
        <f>ROUND('[7]2032'!AA34,2)</f>
        <v>32501.56</v>
      </c>
      <c r="AB177" s="136">
        <f>ROUND('[7]2032'!AB34,2)</f>
        <v>29906.7</v>
      </c>
      <c r="AC177" s="282"/>
      <c r="AD177" s="19"/>
    </row>
    <row r="178" spans="2:30" ht="18.649999999999999" hidden="1" customHeight="1" x14ac:dyDescent="0.35">
      <c r="B178" s="263">
        <v>48366</v>
      </c>
      <c r="C178" s="7" t="s">
        <v>29</v>
      </c>
      <c r="D178" s="8">
        <f>+'[7]2032'!D35</f>
        <v>21</v>
      </c>
      <c r="E178" s="134">
        <f>ROUND('[7]2032'!E35,2)</f>
        <v>25352.07</v>
      </c>
      <c r="F178" s="134">
        <f>ROUND('[7]2032'!F35,2)</f>
        <v>24093.46</v>
      </c>
      <c r="G178" s="134">
        <f>ROUND('[7]2032'!G35,2)</f>
        <v>23163.55</v>
      </c>
      <c r="H178" s="134">
        <f>ROUND('[7]2032'!H35,2)</f>
        <v>22543.02</v>
      </c>
      <c r="I178" s="134">
        <f>ROUND('[7]2032'!I35,2)</f>
        <v>22377.26</v>
      </c>
      <c r="J178" s="134">
        <f>ROUND('[7]2032'!J35,2)</f>
        <v>22139.51</v>
      </c>
      <c r="K178" s="134">
        <f>ROUND('[7]2032'!K35,2)</f>
        <v>22508.93</v>
      </c>
      <c r="L178" s="134">
        <f>ROUND('[7]2032'!L35,2)</f>
        <v>25220.23</v>
      </c>
      <c r="M178" s="134">
        <f>ROUND('[7]2032'!M35,2)</f>
        <v>28201.48</v>
      </c>
      <c r="N178" s="134">
        <f>ROUND('[7]2032'!N35,2)</f>
        <v>30034.560000000001</v>
      </c>
      <c r="O178" s="134">
        <f>ROUND('[7]2032'!O35,2)</f>
        <v>31627.48</v>
      </c>
      <c r="P178" s="134">
        <f>ROUND('[7]2032'!P35,2)</f>
        <v>32504.14</v>
      </c>
      <c r="Q178" s="134">
        <f>ROUND('[7]2032'!Q35,2)</f>
        <v>32024.28</v>
      </c>
      <c r="R178" s="134">
        <f>ROUND('[7]2032'!R35,2)</f>
        <v>31474.43</v>
      </c>
      <c r="S178" s="134">
        <f>ROUND('[7]2032'!S35,2)</f>
        <v>31500.98</v>
      </c>
      <c r="T178" s="134">
        <f>ROUND('[7]2032'!T35,2)</f>
        <v>31410.400000000001</v>
      </c>
      <c r="U178" s="134">
        <f>ROUND('[7]2032'!U35,2)</f>
        <v>31092.18</v>
      </c>
      <c r="V178" s="134">
        <f>ROUND('[7]2032'!V35,2)</f>
        <v>31125.38</v>
      </c>
      <c r="W178" s="134">
        <f>ROUND('[7]2032'!W35,2)</f>
        <v>33806.79</v>
      </c>
      <c r="X178" s="134">
        <f>ROUND('[7]2032'!X35,2)</f>
        <v>34289.39</v>
      </c>
      <c r="Y178" s="134">
        <f>ROUND('[7]2032'!Y35,2)</f>
        <v>33094.660000000003</v>
      </c>
      <c r="Z178" s="134">
        <f>ROUND('[7]2032'!Z35,2)</f>
        <v>31731.1</v>
      </c>
      <c r="AA178" s="134">
        <f>ROUND('[7]2032'!AA35,2)</f>
        <v>30048.240000000002</v>
      </c>
      <c r="AB178" s="134">
        <f>ROUND('[7]2032'!AB35,2)</f>
        <v>28146.78</v>
      </c>
      <c r="AC178" s="283">
        <f>SUM(E178:AB178)*D178+SUM(E179:AB179)*D179+SUM(E180:AB180)*D180+SUM(E181:AB181)*D181</f>
        <v>20618760.710000005</v>
      </c>
      <c r="AD178" s="19"/>
    </row>
    <row r="179" spans="2:30" ht="18.649999999999999" hidden="1" customHeight="1" x14ac:dyDescent="0.35">
      <c r="B179" s="264" t="s">
        <v>34</v>
      </c>
      <c r="C179" s="10" t="s">
        <v>30</v>
      </c>
      <c r="D179" s="11">
        <f>+'[7]2032'!D36</f>
        <v>4</v>
      </c>
      <c r="E179" s="135">
        <f>ROUND('[7]2032'!E36,2)</f>
        <v>26107.81</v>
      </c>
      <c r="F179" s="135">
        <f>ROUND('[7]2032'!F36,2)</f>
        <v>24823.01</v>
      </c>
      <c r="G179" s="135">
        <f>ROUND('[7]2032'!G36,2)</f>
        <v>23846.73</v>
      </c>
      <c r="H179" s="135">
        <f>ROUND('[7]2032'!H36,2)</f>
        <v>23169.31</v>
      </c>
      <c r="I179" s="135">
        <f>ROUND('[7]2032'!I36,2)</f>
        <v>23089.599999999999</v>
      </c>
      <c r="J179" s="135">
        <f>ROUND('[7]2032'!J36,2)</f>
        <v>23348.73</v>
      </c>
      <c r="K179" s="135">
        <f>ROUND('[7]2032'!K36,2)</f>
        <v>23507.200000000001</v>
      </c>
      <c r="L179" s="135">
        <f>ROUND('[7]2032'!L36,2)</f>
        <v>26151.7</v>
      </c>
      <c r="M179" s="135">
        <f>ROUND('[7]2032'!M36,2)</f>
        <v>28945.47</v>
      </c>
      <c r="N179" s="135">
        <f>ROUND('[7]2032'!N36,2)</f>
        <v>30562.07</v>
      </c>
      <c r="O179" s="135">
        <f>ROUND('[7]2032'!O36,2)</f>
        <v>32087.52</v>
      </c>
      <c r="P179" s="135">
        <f>ROUND('[7]2032'!P36,2)</f>
        <v>33083.06</v>
      </c>
      <c r="Q179" s="135">
        <f>ROUND('[7]2032'!Q36,2)</f>
        <v>32240.63</v>
      </c>
      <c r="R179" s="135">
        <f>ROUND('[7]2032'!R36,2)</f>
        <v>33016.17</v>
      </c>
      <c r="S179" s="135">
        <f>ROUND('[7]2032'!S36,2)</f>
        <v>34137.24</v>
      </c>
      <c r="T179" s="135">
        <f>ROUND('[7]2032'!T36,2)</f>
        <v>34182.080000000002</v>
      </c>
      <c r="U179" s="135">
        <f>ROUND('[7]2032'!U36,2)</f>
        <v>33545.86</v>
      </c>
      <c r="V179" s="135">
        <f>ROUND('[7]2032'!V36,2)</f>
        <v>32443.279999999999</v>
      </c>
      <c r="W179" s="135">
        <f>ROUND('[7]2032'!W36,2)</f>
        <v>34350.46</v>
      </c>
      <c r="X179" s="135">
        <f>ROUND('[7]2032'!X36,2)</f>
        <v>35355.57</v>
      </c>
      <c r="Y179" s="135">
        <f>ROUND('[7]2032'!Y36,2)</f>
        <v>34549.300000000003</v>
      </c>
      <c r="Z179" s="135">
        <f>ROUND('[7]2032'!Z36,2)</f>
        <v>33085</v>
      </c>
      <c r="AA179" s="135">
        <f>ROUND('[7]2032'!AA36,2)</f>
        <v>30697.85</v>
      </c>
      <c r="AB179" s="135">
        <f>ROUND('[7]2032'!AB36,2)</f>
        <v>28199.79</v>
      </c>
      <c r="AC179" s="282"/>
      <c r="AD179" s="19"/>
    </row>
    <row r="180" spans="2:30" ht="18.649999999999999" hidden="1" customHeight="1" x14ac:dyDescent="0.35">
      <c r="B180" s="264" t="s">
        <v>34</v>
      </c>
      <c r="C180" s="10" t="s">
        <v>31</v>
      </c>
      <c r="D180" s="11">
        <f>+'[7]2032'!D37</f>
        <v>4</v>
      </c>
      <c r="E180" s="135">
        <f>ROUND('[7]2032'!E37,2)</f>
        <v>24850.98</v>
      </c>
      <c r="F180" s="135">
        <f>ROUND('[7]2032'!F37,2)</f>
        <v>23846.560000000001</v>
      </c>
      <c r="G180" s="135">
        <f>ROUND('[7]2032'!G37,2)</f>
        <v>23025.82</v>
      </c>
      <c r="H180" s="135">
        <f>ROUND('[7]2032'!H37,2)</f>
        <v>22494.06</v>
      </c>
      <c r="I180" s="135">
        <f>ROUND('[7]2032'!I37,2)</f>
        <v>22281.95</v>
      </c>
      <c r="J180" s="135">
        <f>ROUND('[7]2032'!J37,2)</f>
        <v>21658</v>
      </c>
      <c r="K180" s="135">
        <f>ROUND('[7]2032'!K37,2)</f>
        <v>21373.03</v>
      </c>
      <c r="L180" s="135">
        <f>ROUND('[7]2032'!L37,2)</f>
        <v>23114.16</v>
      </c>
      <c r="M180" s="135">
        <f>ROUND('[7]2032'!M37,2)</f>
        <v>25127.58</v>
      </c>
      <c r="N180" s="135">
        <f>ROUND('[7]2032'!N37,2)</f>
        <v>26382.16</v>
      </c>
      <c r="O180" s="135">
        <f>ROUND('[7]2032'!O37,2)</f>
        <v>27869.95</v>
      </c>
      <c r="P180" s="135">
        <f>ROUND('[7]2032'!P37,2)</f>
        <v>28970.98</v>
      </c>
      <c r="Q180" s="135">
        <f>ROUND('[7]2032'!Q37,2)</f>
        <v>29532.52</v>
      </c>
      <c r="R180" s="135">
        <f>ROUND('[7]2032'!R37,2)</f>
        <v>29415.46</v>
      </c>
      <c r="S180" s="135">
        <f>ROUND('[7]2032'!S37,2)</f>
        <v>29170.78</v>
      </c>
      <c r="T180" s="135">
        <f>ROUND('[7]2032'!T37,2)</f>
        <v>28945.84</v>
      </c>
      <c r="U180" s="135">
        <f>ROUND('[7]2032'!U37,2)</f>
        <v>28724.47</v>
      </c>
      <c r="V180" s="135">
        <f>ROUND('[7]2032'!V37,2)</f>
        <v>29157.78</v>
      </c>
      <c r="W180" s="135">
        <f>ROUND('[7]2032'!W37,2)</f>
        <v>32677.71</v>
      </c>
      <c r="X180" s="135">
        <f>ROUND('[7]2032'!X37,2)</f>
        <v>33976.300000000003</v>
      </c>
      <c r="Y180" s="135">
        <f>ROUND('[7]2032'!Y37,2)</f>
        <v>33545.160000000003</v>
      </c>
      <c r="Z180" s="135">
        <f>ROUND('[7]2032'!Z37,2)</f>
        <v>32305.74</v>
      </c>
      <c r="AA180" s="135">
        <f>ROUND('[7]2032'!AA37,2)</f>
        <v>30122.53</v>
      </c>
      <c r="AB180" s="135">
        <f>ROUND('[7]2032'!AB37,2)</f>
        <v>27619.01</v>
      </c>
      <c r="AC180" s="282"/>
      <c r="AD180" s="19"/>
    </row>
    <row r="181" spans="2:30" ht="18.649999999999999" hidden="1" customHeight="1" thickBot="1" x14ac:dyDescent="0.4">
      <c r="B181" s="265" t="s">
        <v>34</v>
      </c>
      <c r="C181" s="12" t="s">
        <v>32</v>
      </c>
      <c r="D181" s="13">
        <f>+'[7]2032'!D38</f>
        <v>1</v>
      </c>
      <c r="E181" s="132">
        <f>ROUND('[7]2032'!E38,2)</f>
        <v>24850.98</v>
      </c>
      <c r="F181" s="132">
        <f>ROUND('[7]2032'!F38,2)</f>
        <v>23846.560000000001</v>
      </c>
      <c r="G181" s="132">
        <f>ROUND('[7]2032'!G38,2)</f>
        <v>23025.82</v>
      </c>
      <c r="H181" s="132">
        <f>ROUND('[7]2032'!H38,2)</f>
        <v>22494.06</v>
      </c>
      <c r="I181" s="132">
        <f>ROUND('[7]2032'!I38,2)</f>
        <v>22281.95</v>
      </c>
      <c r="J181" s="132">
        <f>ROUND('[7]2032'!J38,2)</f>
        <v>21658</v>
      </c>
      <c r="K181" s="132">
        <f>ROUND('[7]2032'!K38,2)</f>
        <v>21373.03</v>
      </c>
      <c r="L181" s="132">
        <f>ROUND('[7]2032'!L38,2)</f>
        <v>23114.16</v>
      </c>
      <c r="M181" s="132">
        <f>ROUND('[7]2032'!M38,2)</f>
        <v>25127.58</v>
      </c>
      <c r="N181" s="132">
        <f>ROUND('[7]2032'!N38,2)</f>
        <v>26382.16</v>
      </c>
      <c r="O181" s="132">
        <f>ROUND('[7]2032'!O38,2)</f>
        <v>27869.95</v>
      </c>
      <c r="P181" s="132">
        <f>ROUND('[7]2032'!P38,2)</f>
        <v>28970.98</v>
      </c>
      <c r="Q181" s="132">
        <f>ROUND('[7]2032'!Q38,2)</f>
        <v>29532.52</v>
      </c>
      <c r="R181" s="132">
        <f>ROUND('[7]2032'!R38,2)</f>
        <v>29415.46</v>
      </c>
      <c r="S181" s="132">
        <f>ROUND('[7]2032'!S38,2)</f>
        <v>29170.78</v>
      </c>
      <c r="T181" s="132">
        <f>ROUND('[7]2032'!T38,2)</f>
        <v>28945.84</v>
      </c>
      <c r="U181" s="132">
        <f>ROUND('[7]2032'!U38,2)</f>
        <v>28724.47</v>
      </c>
      <c r="V181" s="132">
        <f>ROUND('[7]2032'!V38,2)</f>
        <v>29157.78</v>
      </c>
      <c r="W181" s="132">
        <f>ROUND('[7]2032'!W38,2)</f>
        <v>32677.71</v>
      </c>
      <c r="X181" s="132">
        <f>ROUND('[7]2032'!X38,2)</f>
        <v>33976.300000000003</v>
      </c>
      <c r="Y181" s="132">
        <f>ROUND('[7]2032'!Y38,2)</f>
        <v>33545.160000000003</v>
      </c>
      <c r="Z181" s="132">
        <f>ROUND('[7]2032'!Z38,2)</f>
        <v>32305.74</v>
      </c>
      <c r="AA181" s="132">
        <f>ROUND('[7]2032'!AA38,2)</f>
        <v>30122.53</v>
      </c>
      <c r="AB181" s="132">
        <f>ROUND('[7]2032'!AB38,2)</f>
        <v>27619.01</v>
      </c>
      <c r="AC181" s="284"/>
      <c r="AD181" s="19"/>
    </row>
    <row r="182" spans="2:30" ht="18.649999999999999" hidden="1" customHeight="1" x14ac:dyDescent="0.35">
      <c r="B182" s="260">
        <v>48396</v>
      </c>
      <c r="C182" s="14" t="s">
        <v>29</v>
      </c>
      <c r="D182" s="15">
        <f>+'[7]2032'!D39</f>
        <v>20</v>
      </c>
      <c r="E182" s="137">
        <f>ROUND('[7]2032'!E39,2)</f>
        <v>25973.49</v>
      </c>
      <c r="F182" s="137">
        <f>ROUND('[7]2032'!F39,2)</f>
        <v>24723.51</v>
      </c>
      <c r="G182" s="137">
        <f>ROUND('[7]2032'!G39,2)</f>
        <v>23899.51</v>
      </c>
      <c r="H182" s="137">
        <f>ROUND('[7]2032'!H39,2)</f>
        <v>23289.51</v>
      </c>
      <c r="I182" s="137">
        <f>ROUND('[7]2032'!I39,2)</f>
        <v>23194.9</v>
      </c>
      <c r="J182" s="137">
        <f>ROUND('[7]2032'!J39,2)</f>
        <v>23086.79</v>
      </c>
      <c r="K182" s="137">
        <f>ROUND('[7]2032'!K39,2)</f>
        <v>23299.31</v>
      </c>
      <c r="L182" s="137">
        <f>ROUND('[7]2032'!L39,2)</f>
        <v>26017.26</v>
      </c>
      <c r="M182" s="137">
        <f>ROUND('[7]2032'!M39,2)</f>
        <v>29179.3</v>
      </c>
      <c r="N182" s="137">
        <f>ROUND('[7]2032'!N39,2)</f>
        <v>30970.75</v>
      </c>
      <c r="O182" s="137">
        <f>ROUND('[7]2032'!O39,2)</f>
        <v>32582.12</v>
      </c>
      <c r="P182" s="137">
        <f>ROUND('[7]2032'!P39,2)</f>
        <v>33315.29</v>
      </c>
      <c r="Q182" s="137">
        <f>ROUND('[7]2032'!Q39,2)</f>
        <v>32880.69</v>
      </c>
      <c r="R182" s="137">
        <f>ROUND('[7]2032'!R39,2)</f>
        <v>32424.71</v>
      </c>
      <c r="S182" s="137">
        <f>ROUND('[7]2032'!S39,2)</f>
        <v>32477.85</v>
      </c>
      <c r="T182" s="137">
        <f>ROUND('[7]2032'!T39,2)</f>
        <v>32566.77</v>
      </c>
      <c r="U182" s="137">
        <f>ROUND('[7]2032'!U39,2)</f>
        <v>32111.42</v>
      </c>
      <c r="V182" s="137">
        <f>ROUND('[7]2032'!V39,2)</f>
        <v>32039.279999999999</v>
      </c>
      <c r="W182" s="137">
        <f>ROUND('[7]2032'!W39,2)</f>
        <v>34752.99</v>
      </c>
      <c r="X182" s="137">
        <f>ROUND('[7]2032'!X39,2)</f>
        <v>35676.49</v>
      </c>
      <c r="Y182" s="137">
        <f>ROUND('[7]2032'!Y39,2)</f>
        <v>34540.42</v>
      </c>
      <c r="Z182" s="137">
        <f>ROUND('[7]2032'!Z39,2)</f>
        <v>33008.959999999999</v>
      </c>
      <c r="AA182" s="137">
        <f>ROUND('[7]2032'!AA39,2)</f>
        <v>31060.45</v>
      </c>
      <c r="AB182" s="137">
        <f>ROUND('[7]2032'!AB39,2)</f>
        <v>28984.59</v>
      </c>
      <c r="AC182" s="282">
        <f>SUM(E182:AB182)*D182+SUM(E183:AB183)*D183+SUM(E184:AB184)*D184+SUM(E185:AB185)*D185</f>
        <v>22138192.999999996</v>
      </c>
      <c r="AD182" s="19"/>
    </row>
    <row r="183" spans="2:30" ht="18.649999999999999" hidden="1" customHeight="1" x14ac:dyDescent="0.35">
      <c r="B183" s="261"/>
      <c r="C183" s="10" t="s">
        <v>30</v>
      </c>
      <c r="D183" s="11">
        <f>+'[7]2032'!D40</f>
        <v>5</v>
      </c>
      <c r="E183" s="135">
        <f>ROUND('[7]2032'!E40,2)</f>
        <v>27626.560000000001</v>
      </c>
      <c r="F183" s="135">
        <f>ROUND('[7]2032'!F40,2)</f>
        <v>26179.65</v>
      </c>
      <c r="G183" s="135">
        <f>ROUND('[7]2032'!G40,2)</f>
        <v>25119.14</v>
      </c>
      <c r="H183" s="135">
        <f>ROUND('[7]2032'!H40,2)</f>
        <v>24370.91</v>
      </c>
      <c r="I183" s="135">
        <f>ROUND('[7]2032'!I40,2)</f>
        <v>24319.31</v>
      </c>
      <c r="J183" s="135">
        <f>ROUND('[7]2032'!J40,2)</f>
        <v>24764.79</v>
      </c>
      <c r="K183" s="135">
        <f>ROUND('[7]2032'!K40,2)</f>
        <v>24910.04</v>
      </c>
      <c r="L183" s="135">
        <f>ROUND('[7]2032'!L40,2)</f>
        <v>27626.16</v>
      </c>
      <c r="M183" s="135">
        <f>ROUND('[7]2032'!M40,2)</f>
        <v>30549.73</v>
      </c>
      <c r="N183" s="135">
        <f>ROUND('[7]2032'!N40,2)</f>
        <v>32211.29</v>
      </c>
      <c r="O183" s="135">
        <f>ROUND('[7]2032'!O40,2)</f>
        <v>33890.54</v>
      </c>
      <c r="P183" s="135">
        <f>ROUND('[7]2032'!P40,2)</f>
        <v>35102.35</v>
      </c>
      <c r="Q183" s="135">
        <f>ROUND('[7]2032'!Q40,2)</f>
        <v>34185.360000000001</v>
      </c>
      <c r="R183" s="135">
        <f>ROUND('[7]2032'!R40,2)</f>
        <v>34870.589999999997</v>
      </c>
      <c r="S183" s="135">
        <f>ROUND('[7]2032'!S40,2)</f>
        <v>36022.07</v>
      </c>
      <c r="T183" s="135">
        <f>ROUND('[7]2032'!T40,2)</f>
        <v>36022.400000000001</v>
      </c>
      <c r="U183" s="135">
        <f>ROUND('[7]2032'!U40,2)</f>
        <v>35335.089999999997</v>
      </c>
      <c r="V183" s="135">
        <f>ROUND('[7]2032'!V40,2)</f>
        <v>34321.160000000003</v>
      </c>
      <c r="W183" s="135">
        <f>ROUND('[7]2032'!W40,2)</f>
        <v>36679.85</v>
      </c>
      <c r="X183" s="135">
        <f>ROUND('[7]2032'!X40,2)</f>
        <v>37435.660000000003</v>
      </c>
      <c r="Y183" s="135">
        <f>ROUND('[7]2032'!Y40,2)</f>
        <v>36644.35</v>
      </c>
      <c r="Z183" s="135">
        <f>ROUND('[7]2032'!Z40,2)</f>
        <v>35086.03</v>
      </c>
      <c r="AA183" s="135">
        <f>ROUND('[7]2032'!AA40,2)</f>
        <v>32524.48</v>
      </c>
      <c r="AB183" s="135">
        <f>ROUND('[7]2032'!AB40,2)</f>
        <v>29766.99</v>
      </c>
      <c r="AC183" s="282"/>
      <c r="AD183" s="19"/>
    </row>
    <row r="184" spans="2:30" ht="18.649999999999999" hidden="1" customHeight="1" x14ac:dyDescent="0.35">
      <c r="B184" s="261"/>
      <c r="C184" s="10" t="s">
        <v>31</v>
      </c>
      <c r="D184" s="11">
        <f>+'[7]2032'!D41</f>
        <v>4</v>
      </c>
      <c r="E184" s="135">
        <f>ROUND('[7]2032'!E41,2)</f>
        <v>26057.8</v>
      </c>
      <c r="F184" s="135">
        <f>ROUND('[7]2032'!F41,2)</f>
        <v>25011.08</v>
      </c>
      <c r="G184" s="135">
        <f>ROUND('[7]2032'!G41,2)</f>
        <v>24125.06</v>
      </c>
      <c r="H184" s="135">
        <f>ROUND('[7]2032'!H41,2)</f>
        <v>23313.98</v>
      </c>
      <c r="I184" s="135">
        <f>ROUND('[7]2032'!I41,2)</f>
        <v>23041.66</v>
      </c>
      <c r="J184" s="135">
        <f>ROUND('[7]2032'!J41,2)</f>
        <v>22682.6</v>
      </c>
      <c r="K184" s="135">
        <f>ROUND('[7]2032'!K41,2)</f>
        <v>22250.3</v>
      </c>
      <c r="L184" s="135">
        <f>ROUND('[7]2032'!L41,2)</f>
        <v>23909.41</v>
      </c>
      <c r="M184" s="135">
        <f>ROUND('[7]2032'!M41,2)</f>
        <v>26077.57</v>
      </c>
      <c r="N184" s="135">
        <f>ROUND('[7]2032'!N41,2)</f>
        <v>27827.16</v>
      </c>
      <c r="O184" s="135">
        <f>ROUND('[7]2032'!O41,2)</f>
        <v>29081.98</v>
      </c>
      <c r="P184" s="135">
        <f>ROUND('[7]2032'!P41,2)</f>
        <v>29717.95</v>
      </c>
      <c r="Q184" s="135">
        <f>ROUND('[7]2032'!Q41,2)</f>
        <v>30809.13</v>
      </c>
      <c r="R184" s="135">
        <f>ROUND('[7]2032'!R41,2)</f>
        <v>30880.81</v>
      </c>
      <c r="S184" s="135">
        <f>ROUND('[7]2032'!S41,2)</f>
        <v>30825.98</v>
      </c>
      <c r="T184" s="135">
        <f>ROUND('[7]2032'!T41,2)</f>
        <v>30914.38</v>
      </c>
      <c r="U184" s="135">
        <f>ROUND('[7]2032'!U41,2)</f>
        <v>30672.94</v>
      </c>
      <c r="V184" s="135">
        <f>ROUND('[7]2032'!V41,2)</f>
        <v>30395.1</v>
      </c>
      <c r="W184" s="135">
        <f>ROUND('[7]2032'!W41,2)</f>
        <v>33590.93</v>
      </c>
      <c r="X184" s="135">
        <f>ROUND('[7]2032'!X41,2)</f>
        <v>35433.57</v>
      </c>
      <c r="Y184" s="135">
        <f>ROUND('[7]2032'!Y41,2)</f>
        <v>34954.42</v>
      </c>
      <c r="Z184" s="135">
        <f>ROUND('[7]2032'!Z41,2)</f>
        <v>33757.120000000003</v>
      </c>
      <c r="AA184" s="135">
        <f>ROUND('[7]2032'!AA41,2)</f>
        <v>31732.14</v>
      </c>
      <c r="AB184" s="135">
        <f>ROUND('[7]2032'!AB41,2)</f>
        <v>29477.48</v>
      </c>
      <c r="AC184" s="282"/>
      <c r="AD184" s="19"/>
    </row>
    <row r="185" spans="2:30" ht="18.649999999999999" hidden="1" customHeight="1" thickBot="1" x14ac:dyDescent="0.4">
      <c r="B185" s="261"/>
      <c r="C185" s="16" t="s">
        <v>32</v>
      </c>
      <c r="D185" s="17">
        <f>+'[7]2032'!D42</f>
        <v>2</v>
      </c>
      <c r="E185" s="136">
        <f>ROUND('[7]2032'!E42,2)</f>
        <v>26057.8</v>
      </c>
      <c r="F185" s="136">
        <f>ROUND('[7]2032'!F42,2)</f>
        <v>25011.08</v>
      </c>
      <c r="G185" s="136">
        <f>ROUND('[7]2032'!G42,2)</f>
        <v>24125.06</v>
      </c>
      <c r="H185" s="136">
        <f>ROUND('[7]2032'!H42,2)</f>
        <v>23313.98</v>
      </c>
      <c r="I185" s="136">
        <f>ROUND('[7]2032'!I42,2)</f>
        <v>23041.66</v>
      </c>
      <c r="J185" s="136">
        <f>ROUND('[7]2032'!J42,2)</f>
        <v>22682.6</v>
      </c>
      <c r="K185" s="136">
        <f>ROUND('[7]2032'!K42,2)</f>
        <v>22250.3</v>
      </c>
      <c r="L185" s="136">
        <f>ROUND('[7]2032'!L42,2)</f>
        <v>23909.41</v>
      </c>
      <c r="M185" s="136">
        <f>ROUND('[7]2032'!M42,2)</f>
        <v>26077.57</v>
      </c>
      <c r="N185" s="136">
        <f>ROUND('[7]2032'!N42,2)</f>
        <v>27827.16</v>
      </c>
      <c r="O185" s="136">
        <f>ROUND('[7]2032'!O42,2)</f>
        <v>29081.98</v>
      </c>
      <c r="P185" s="136">
        <f>ROUND('[7]2032'!P42,2)</f>
        <v>29717.95</v>
      </c>
      <c r="Q185" s="136">
        <f>ROUND('[7]2032'!Q42,2)</f>
        <v>30809.13</v>
      </c>
      <c r="R185" s="136">
        <f>ROUND('[7]2032'!R42,2)</f>
        <v>30880.81</v>
      </c>
      <c r="S185" s="136">
        <f>ROUND('[7]2032'!S42,2)</f>
        <v>30825.98</v>
      </c>
      <c r="T185" s="136">
        <f>ROUND('[7]2032'!T42,2)</f>
        <v>30914.38</v>
      </c>
      <c r="U185" s="136">
        <f>ROUND('[7]2032'!U42,2)</f>
        <v>30672.94</v>
      </c>
      <c r="V185" s="136">
        <f>ROUND('[7]2032'!V42,2)</f>
        <v>30395.1</v>
      </c>
      <c r="W185" s="136">
        <f>ROUND('[7]2032'!W42,2)</f>
        <v>33590.93</v>
      </c>
      <c r="X185" s="136">
        <f>ROUND('[7]2032'!X42,2)</f>
        <v>35433.57</v>
      </c>
      <c r="Y185" s="136">
        <f>ROUND('[7]2032'!Y42,2)</f>
        <v>34954.42</v>
      </c>
      <c r="Z185" s="136">
        <f>ROUND('[7]2032'!Z42,2)</f>
        <v>33757.120000000003</v>
      </c>
      <c r="AA185" s="136">
        <f>ROUND('[7]2032'!AA42,2)</f>
        <v>31732.14</v>
      </c>
      <c r="AB185" s="136">
        <f>ROUND('[7]2032'!AB42,2)</f>
        <v>29477.48</v>
      </c>
      <c r="AC185" s="282"/>
      <c r="AD185" s="19"/>
    </row>
    <row r="186" spans="2:30" ht="18.649999999999999" hidden="1" customHeight="1" x14ac:dyDescent="0.35">
      <c r="B186" s="263">
        <v>48427</v>
      </c>
      <c r="C186" s="7" t="s">
        <v>29</v>
      </c>
      <c r="D186" s="8">
        <f>+'[7]2032'!D43</f>
        <v>21</v>
      </c>
      <c r="E186" s="134">
        <f>ROUND('[7]2032'!E43,2)</f>
        <v>26989.41</v>
      </c>
      <c r="F186" s="134">
        <f>ROUND('[7]2032'!F43,2)</f>
        <v>25535.05</v>
      </c>
      <c r="G186" s="134">
        <f>ROUND('[7]2032'!G43,2)</f>
        <v>24449.93</v>
      </c>
      <c r="H186" s="134">
        <f>ROUND('[7]2032'!H43,2)</f>
        <v>23723.24</v>
      </c>
      <c r="I186" s="134">
        <f>ROUND('[7]2032'!I43,2)</f>
        <v>23456.31</v>
      </c>
      <c r="J186" s="134">
        <f>ROUND('[7]2032'!J43,2)</f>
        <v>23389.07</v>
      </c>
      <c r="K186" s="134">
        <f>ROUND('[7]2032'!K43,2)</f>
        <v>23465.89</v>
      </c>
      <c r="L186" s="134">
        <f>ROUND('[7]2032'!L43,2)</f>
        <v>26173.58</v>
      </c>
      <c r="M186" s="134">
        <f>ROUND('[7]2032'!M43,2)</f>
        <v>29222.29</v>
      </c>
      <c r="N186" s="134">
        <f>ROUND('[7]2032'!N43,2)</f>
        <v>31096.01</v>
      </c>
      <c r="O186" s="134">
        <f>ROUND('[7]2032'!O43,2)</f>
        <v>32652.11</v>
      </c>
      <c r="P186" s="134">
        <f>ROUND('[7]2032'!P43,2)</f>
        <v>33644.79</v>
      </c>
      <c r="Q186" s="134">
        <f>ROUND('[7]2032'!Q43,2)</f>
        <v>33086.519999999997</v>
      </c>
      <c r="R186" s="134">
        <f>ROUND('[7]2032'!R43,2)</f>
        <v>32615.02</v>
      </c>
      <c r="S186" s="134">
        <f>ROUND('[7]2032'!S43,2)</f>
        <v>32565.91</v>
      </c>
      <c r="T186" s="134">
        <f>ROUND('[7]2032'!T43,2)</f>
        <v>32300.17</v>
      </c>
      <c r="U186" s="134">
        <f>ROUND('[7]2032'!U43,2)</f>
        <v>31652.69</v>
      </c>
      <c r="V186" s="134">
        <f>ROUND('[7]2032'!V43,2)</f>
        <v>31610.720000000001</v>
      </c>
      <c r="W186" s="134">
        <f>ROUND('[7]2032'!W43,2)</f>
        <v>34476.6</v>
      </c>
      <c r="X186" s="134">
        <f>ROUND('[7]2032'!X43,2)</f>
        <v>34919.1</v>
      </c>
      <c r="Y186" s="134">
        <f>ROUND('[7]2032'!Y43,2)</f>
        <v>33895.78</v>
      </c>
      <c r="Z186" s="134">
        <f>ROUND('[7]2032'!Z43,2)</f>
        <v>32484.92</v>
      </c>
      <c r="AA186" s="134">
        <f>ROUND('[7]2032'!AA43,2)</f>
        <v>30494.61</v>
      </c>
      <c r="AB186" s="134">
        <f>ROUND('[7]2032'!AB43,2)</f>
        <v>28375.08</v>
      </c>
      <c r="AC186" s="283">
        <f>SUM(E186:AB186)*D186+SUM(E187:AB187)*D187+SUM(E188:AB188)*D188+SUM(E189:AB189)*D189</f>
        <v>21926194.440000001</v>
      </c>
      <c r="AD186" s="19"/>
    </row>
    <row r="187" spans="2:30" ht="18.649999999999999" hidden="1" customHeight="1" x14ac:dyDescent="0.35">
      <c r="B187" s="264" t="s">
        <v>34</v>
      </c>
      <c r="C187" s="10" t="s">
        <v>30</v>
      </c>
      <c r="D187" s="11">
        <f>+'[7]2032'!D44</f>
        <v>3</v>
      </c>
      <c r="E187" s="135">
        <f>ROUND('[7]2032'!E44,2)</f>
        <v>26632.83</v>
      </c>
      <c r="F187" s="135">
        <f>ROUND('[7]2032'!F44,2)</f>
        <v>25310.87</v>
      </c>
      <c r="G187" s="135">
        <f>ROUND('[7]2032'!G44,2)</f>
        <v>24299.79</v>
      </c>
      <c r="H187" s="135">
        <f>ROUND('[7]2032'!H44,2)</f>
        <v>23586.78</v>
      </c>
      <c r="I187" s="135">
        <f>ROUND('[7]2032'!I44,2)</f>
        <v>23518.71</v>
      </c>
      <c r="J187" s="135">
        <f>ROUND('[7]2032'!J44,2)</f>
        <v>23903.47</v>
      </c>
      <c r="K187" s="135">
        <f>ROUND('[7]2032'!K44,2)</f>
        <v>24158.54</v>
      </c>
      <c r="L187" s="135">
        <f>ROUND('[7]2032'!L44,2)</f>
        <v>26914.61</v>
      </c>
      <c r="M187" s="135">
        <f>ROUND('[7]2032'!M44,2)</f>
        <v>29738.86</v>
      </c>
      <c r="N187" s="135">
        <f>ROUND('[7]2032'!N44,2)</f>
        <v>31338.74</v>
      </c>
      <c r="O187" s="135">
        <f>ROUND('[7]2032'!O44,2)</f>
        <v>32999.410000000003</v>
      </c>
      <c r="P187" s="135">
        <f>ROUND('[7]2032'!P44,2)</f>
        <v>34123.07</v>
      </c>
      <c r="Q187" s="135">
        <f>ROUND('[7]2032'!Q44,2)</f>
        <v>33247.51</v>
      </c>
      <c r="R187" s="135">
        <f>ROUND('[7]2032'!R44,2)</f>
        <v>34033.81</v>
      </c>
      <c r="S187" s="135">
        <f>ROUND('[7]2032'!S44,2)</f>
        <v>35215.75</v>
      </c>
      <c r="T187" s="135">
        <f>ROUND('[7]2032'!T44,2)</f>
        <v>35240.800000000003</v>
      </c>
      <c r="U187" s="135">
        <f>ROUND('[7]2032'!U44,2)</f>
        <v>34591.199999999997</v>
      </c>
      <c r="V187" s="135">
        <f>ROUND('[7]2032'!V44,2)</f>
        <v>34009.800000000003</v>
      </c>
      <c r="W187" s="135">
        <f>ROUND('[7]2032'!W44,2)</f>
        <v>36507.94</v>
      </c>
      <c r="X187" s="135">
        <f>ROUND('[7]2032'!X44,2)</f>
        <v>36359.660000000003</v>
      </c>
      <c r="Y187" s="135">
        <f>ROUND('[7]2032'!Y44,2)</f>
        <v>35421.33</v>
      </c>
      <c r="Z187" s="135">
        <f>ROUND('[7]2032'!Z44,2)</f>
        <v>33797.879999999997</v>
      </c>
      <c r="AA187" s="135">
        <f>ROUND('[7]2032'!AA44,2)</f>
        <v>31210.39</v>
      </c>
      <c r="AB187" s="135">
        <f>ROUND('[7]2032'!AB44,2)</f>
        <v>28555.78</v>
      </c>
      <c r="AC187" s="282"/>
      <c r="AD187" s="19"/>
    </row>
    <row r="188" spans="2:30" ht="18.649999999999999" hidden="1" customHeight="1" x14ac:dyDescent="0.35">
      <c r="B188" s="264" t="s">
        <v>34</v>
      </c>
      <c r="C188" s="10" t="s">
        <v>31</v>
      </c>
      <c r="D188" s="11">
        <f>+'[7]2032'!D45</f>
        <v>5</v>
      </c>
      <c r="E188" s="135">
        <f>ROUND('[7]2032'!E45,2)</f>
        <v>26619.56</v>
      </c>
      <c r="F188" s="135">
        <f>ROUND('[7]2032'!F45,2)</f>
        <v>25232.26</v>
      </c>
      <c r="G188" s="135">
        <f>ROUND('[7]2032'!G45,2)</f>
        <v>24154.79</v>
      </c>
      <c r="H188" s="135">
        <f>ROUND('[7]2032'!H45,2)</f>
        <v>23375.49</v>
      </c>
      <c r="I188" s="135">
        <f>ROUND('[7]2032'!I45,2)</f>
        <v>23048.45</v>
      </c>
      <c r="J188" s="135">
        <f>ROUND('[7]2032'!J45,2)</f>
        <v>22607.79</v>
      </c>
      <c r="K188" s="135">
        <f>ROUND('[7]2032'!K45,2)</f>
        <v>22125.67</v>
      </c>
      <c r="L188" s="135">
        <f>ROUND('[7]2032'!L45,2)</f>
        <v>23735.27</v>
      </c>
      <c r="M188" s="135">
        <f>ROUND('[7]2032'!M45,2)</f>
        <v>25507.42</v>
      </c>
      <c r="N188" s="135">
        <f>ROUND('[7]2032'!N45,2)</f>
        <v>27104.560000000001</v>
      </c>
      <c r="O188" s="135">
        <f>ROUND('[7]2032'!O45,2)</f>
        <v>28618.79</v>
      </c>
      <c r="P188" s="135">
        <f>ROUND('[7]2032'!P45,2)</f>
        <v>29914.42</v>
      </c>
      <c r="Q188" s="135">
        <f>ROUND('[7]2032'!Q45,2)</f>
        <v>30391.19</v>
      </c>
      <c r="R188" s="135">
        <f>ROUND('[7]2032'!R45,2)</f>
        <v>30245.31</v>
      </c>
      <c r="S188" s="135">
        <f>ROUND('[7]2032'!S45,2)</f>
        <v>30109.38</v>
      </c>
      <c r="T188" s="135">
        <f>ROUND('[7]2032'!T45,2)</f>
        <v>30205.34</v>
      </c>
      <c r="U188" s="135">
        <f>ROUND('[7]2032'!U45,2)</f>
        <v>29929.79</v>
      </c>
      <c r="V188" s="135">
        <f>ROUND('[7]2032'!V45,2)</f>
        <v>29895.93</v>
      </c>
      <c r="W188" s="135">
        <f>ROUND('[7]2032'!W45,2)</f>
        <v>33363.160000000003</v>
      </c>
      <c r="X188" s="135">
        <f>ROUND('[7]2032'!X45,2)</f>
        <v>35242.81</v>
      </c>
      <c r="Y188" s="135">
        <f>ROUND('[7]2032'!Y45,2)</f>
        <v>35054.85</v>
      </c>
      <c r="Z188" s="135">
        <f>ROUND('[7]2032'!Z45,2)</f>
        <v>33735.85</v>
      </c>
      <c r="AA188" s="135">
        <f>ROUND('[7]2032'!AA45,2)</f>
        <v>31448.74</v>
      </c>
      <c r="AB188" s="135">
        <f>ROUND('[7]2032'!AB45,2)</f>
        <v>28943.33</v>
      </c>
      <c r="AC188" s="282"/>
      <c r="AD188" s="19"/>
    </row>
    <row r="189" spans="2:30" ht="18.649999999999999" hidden="1" customHeight="1" thickBot="1" x14ac:dyDescent="0.4">
      <c r="B189" s="265" t="s">
        <v>34</v>
      </c>
      <c r="C189" s="12" t="s">
        <v>32</v>
      </c>
      <c r="D189" s="13">
        <f>+'[7]2032'!D46</f>
        <v>2</v>
      </c>
      <c r="E189" s="132">
        <f>ROUND('[7]2032'!E46,2)</f>
        <v>26619.56</v>
      </c>
      <c r="F189" s="132">
        <f>ROUND('[7]2032'!F46,2)</f>
        <v>25232.26</v>
      </c>
      <c r="G189" s="132">
        <f>ROUND('[7]2032'!G46,2)</f>
        <v>24154.79</v>
      </c>
      <c r="H189" s="132">
        <f>ROUND('[7]2032'!H46,2)</f>
        <v>23375.49</v>
      </c>
      <c r="I189" s="132">
        <f>ROUND('[7]2032'!I46,2)</f>
        <v>23048.45</v>
      </c>
      <c r="J189" s="132">
        <f>ROUND('[7]2032'!J46,2)</f>
        <v>22607.79</v>
      </c>
      <c r="K189" s="132">
        <f>ROUND('[7]2032'!K46,2)</f>
        <v>22125.67</v>
      </c>
      <c r="L189" s="132">
        <f>ROUND('[7]2032'!L46,2)</f>
        <v>23735.27</v>
      </c>
      <c r="M189" s="132">
        <f>ROUND('[7]2032'!M46,2)</f>
        <v>25507.42</v>
      </c>
      <c r="N189" s="132">
        <f>ROUND('[7]2032'!N46,2)</f>
        <v>27104.560000000001</v>
      </c>
      <c r="O189" s="132">
        <f>ROUND('[7]2032'!O46,2)</f>
        <v>28618.79</v>
      </c>
      <c r="P189" s="132">
        <f>ROUND('[7]2032'!P46,2)</f>
        <v>29914.42</v>
      </c>
      <c r="Q189" s="132">
        <f>ROUND('[7]2032'!Q46,2)</f>
        <v>30391.19</v>
      </c>
      <c r="R189" s="132">
        <f>ROUND('[7]2032'!R46,2)</f>
        <v>30245.31</v>
      </c>
      <c r="S189" s="132">
        <f>ROUND('[7]2032'!S46,2)</f>
        <v>30109.38</v>
      </c>
      <c r="T189" s="132">
        <f>ROUND('[7]2032'!T46,2)</f>
        <v>30205.34</v>
      </c>
      <c r="U189" s="132">
        <f>ROUND('[7]2032'!U46,2)</f>
        <v>29929.79</v>
      </c>
      <c r="V189" s="132">
        <f>ROUND('[7]2032'!V46,2)</f>
        <v>29895.93</v>
      </c>
      <c r="W189" s="132">
        <f>ROUND('[7]2032'!W46,2)</f>
        <v>33363.160000000003</v>
      </c>
      <c r="X189" s="132">
        <f>ROUND('[7]2032'!X46,2)</f>
        <v>35242.81</v>
      </c>
      <c r="Y189" s="132">
        <f>ROUND('[7]2032'!Y46,2)</f>
        <v>35054.85</v>
      </c>
      <c r="Z189" s="132">
        <f>ROUND('[7]2032'!Z46,2)</f>
        <v>33735.85</v>
      </c>
      <c r="AA189" s="132">
        <f>ROUND('[7]2032'!AA46,2)</f>
        <v>31448.74</v>
      </c>
      <c r="AB189" s="132">
        <f>ROUND('[7]2032'!AB46,2)</f>
        <v>28943.33</v>
      </c>
      <c r="AC189" s="284"/>
      <c r="AD189" s="19"/>
    </row>
    <row r="190" spans="2:30" ht="18.649999999999999" hidden="1" customHeight="1" x14ac:dyDescent="0.35">
      <c r="B190" s="260">
        <v>48458</v>
      </c>
      <c r="C190" s="14" t="s">
        <v>29</v>
      </c>
      <c r="D190" s="15">
        <f>+'[7]2032'!D47</f>
        <v>22</v>
      </c>
      <c r="E190" s="137">
        <f>ROUND('[7]2032'!E47,2)</f>
        <v>27283.65</v>
      </c>
      <c r="F190" s="137">
        <f>ROUND('[7]2032'!F47,2)</f>
        <v>25891.119999999999</v>
      </c>
      <c r="G190" s="137">
        <f>ROUND('[7]2032'!G47,2)</f>
        <v>24813.69</v>
      </c>
      <c r="H190" s="137">
        <f>ROUND('[7]2032'!H47,2)</f>
        <v>24050.42</v>
      </c>
      <c r="I190" s="137">
        <f>ROUND('[7]2032'!I47,2)</f>
        <v>23826.46</v>
      </c>
      <c r="J190" s="137">
        <f>ROUND('[7]2032'!J47,2)</f>
        <v>23518.86</v>
      </c>
      <c r="K190" s="137">
        <f>ROUND('[7]2032'!K47,2)</f>
        <v>23671</v>
      </c>
      <c r="L190" s="137">
        <f>ROUND('[7]2032'!L47,2)</f>
        <v>26486.080000000002</v>
      </c>
      <c r="M190" s="137">
        <f>ROUND('[7]2032'!M47,2)</f>
        <v>29492.62</v>
      </c>
      <c r="N190" s="137">
        <f>ROUND('[7]2032'!N47,2)</f>
        <v>31226.52</v>
      </c>
      <c r="O190" s="137">
        <f>ROUND('[7]2032'!O47,2)</f>
        <v>32703.74</v>
      </c>
      <c r="P190" s="137">
        <f>ROUND('[7]2032'!P47,2)</f>
        <v>33437.08</v>
      </c>
      <c r="Q190" s="137">
        <f>ROUND('[7]2032'!Q47,2)</f>
        <v>32803.01</v>
      </c>
      <c r="R190" s="137">
        <f>ROUND('[7]2032'!R47,2)</f>
        <v>32329.57</v>
      </c>
      <c r="S190" s="137">
        <f>ROUND('[7]2032'!S47,2)</f>
        <v>32290.92</v>
      </c>
      <c r="T190" s="137">
        <f>ROUND('[7]2032'!T47,2)</f>
        <v>32235.42</v>
      </c>
      <c r="U190" s="137">
        <f>ROUND('[7]2032'!U47,2)</f>
        <v>31753.34</v>
      </c>
      <c r="V190" s="137">
        <f>ROUND('[7]2032'!V47,2)</f>
        <v>32125.26</v>
      </c>
      <c r="W190" s="137">
        <f>ROUND('[7]2032'!W47,2)</f>
        <v>35464.01</v>
      </c>
      <c r="X190" s="137">
        <f>ROUND('[7]2032'!X47,2)</f>
        <v>35125.589999999997</v>
      </c>
      <c r="Y190" s="137">
        <f>ROUND('[7]2032'!Y47,2)</f>
        <v>33906.550000000003</v>
      </c>
      <c r="Z190" s="137">
        <f>ROUND('[7]2032'!Z47,2)</f>
        <v>32391.48</v>
      </c>
      <c r="AA190" s="137">
        <f>ROUND('[7]2032'!AA47,2)</f>
        <v>30568.75</v>
      </c>
      <c r="AB190" s="137">
        <f>ROUND('[7]2032'!AB47,2)</f>
        <v>28559.32</v>
      </c>
      <c r="AC190" s="282">
        <f>SUM(E190:AB190)*D190+SUM(E191:AB191)*D191+SUM(E192:AB192)*D192+SUM(E193:AB193)*D193</f>
        <v>21608626</v>
      </c>
      <c r="AD190" s="19"/>
    </row>
    <row r="191" spans="2:30" ht="18.649999999999999" hidden="1" customHeight="1" x14ac:dyDescent="0.35">
      <c r="B191" s="261"/>
      <c r="C191" s="10" t="s">
        <v>30</v>
      </c>
      <c r="D191" s="11">
        <f>+'[7]2032'!D48</f>
        <v>4</v>
      </c>
      <c r="E191" s="135">
        <f>ROUND('[7]2032'!E48,2)</f>
        <v>25505.98</v>
      </c>
      <c r="F191" s="135">
        <f>ROUND('[7]2032'!F48,2)</f>
        <v>24222.31</v>
      </c>
      <c r="G191" s="135">
        <f>ROUND('[7]2032'!G48,2)</f>
        <v>23326.58</v>
      </c>
      <c r="H191" s="135">
        <f>ROUND('[7]2032'!H48,2)</f>
        <v>22666.31</v>
      </c>
      <c r="I191" s="135">
        <f>ROUND('[7]2032'!I48,2)</f>
        <v>22677.14</v>
      </c>
      <c r="J191" s="135">
        <f>ROUND('[7]2032'!J48,2)</f>
        <v>23052.97</v>
      </c>
      <c r="K191" s="135">
        <f>ROUND('[7]2032'!K48,2)</f>
        <v>23522.21</v>
      </c>
      <c r="L191" s="135">
        <f>ROUND('[7]2032'!L48,2)</f>
        <v>26391.93</v>
      </c>
      <c r="M191" s="135">
        <f>ROUND('[7]2032'!M48,2)</f>
        <v>29187.05</v>
      </c>
      <c r="N191" s="135">
        <f>ROUND('[7]2032'!N48,2)</f>
        <v>30712.41</v>
      </c>
      <c r="O191" s="135">
        <f>ROUND('[7]2032'!O48,2)</f>
        <v>32326.41</v>
      </c>
      <c r="P191" s="135">
        <f>ROUND('[7]2032'!P48,2)</f>
        <v>33438.81</v>
      </c>
      <c r="Q191" s="135">
        <f>ROUND('[7]2032'!Q48,2)</f>
        <v>32481.23</v>
      </c>
      <c r="R191" s="135">
        <f>ROUND('[7]2032'!R48,2)</f>
        <v>33211.72</v>
      </c>
      <c r="S191" s="135">
        <f>ROUND('[7]2032'!S48,2)</f>
        <v>34444</v>
      </c>
      <c r="T191" s="135">
        <f>ROUND('[7]2032'!T48,2)</f>
        <v>34506.120000000003</v>
      </c>
      <c r="U191" s="135">
        <f>ROUND('[7]2032'!U48,2)</f>
        <v>33792</v>
      </c>
      <c r="V191" s="135">
        <f>ROUND('[7]2032'!V48,2)</f>
        <v>33885.25</v>
      </c>
      <c r="W191" s="135">
        <f>ROUND('[7]2032'!W48,2)</f>
        <v>35928.68</v>
      </c>
      <c r="X191" s="135">
        <f>ROUND('[7]2032'!X48,2)</f>
        <v>35318.43</v>
      </c>
      <c r="Y191" s="135">
        <f>ROUND('[7]2032'!Y48,2)</f>
        <v>34188.959999999999</v>
      </c>
      <c r="Z191" s="135">
        <f>ROUND('[7]2032'!Z48,2)</f>
        <v>32525.87</v>
      </c>
      <c r="AA191" s="135">
        <f>ROUND('[7]2032'!AA48,2)</f>
        <v>30129.47</v>
      </c>
      <c r="AB191" s="135">
        <f>ROUND('[7]2032'!AB48,2)</f>
        <v>27639.69</v>
      </c>
      <c r="AC191" s="282"/>
      <c r="AD191" s="19"/>
    </row>
    <row r="192" spans="2:30" ht="18.649999999999999" hidden="1" customHeight="1" x14ac:dyDescent="0.35">
      <c r="B192" s="261"/>
      <c r="C192" s="10" t="s">
        <v>31</v>
      </c>
      <c r="D192" s="11">
        <f>+'[7]2032'!D49</f>
        <v>4</v>
      </c>
      <c r="E192" s="135">
        <f>ROUND('[7]2032'!E49,2)</f>
        <v>26283.51</v>
      </c>
      <c r="F192" s="135">
        <f>ROUND('[7]2032'!F49,2)</f>
        <v>25004.79</v>
      </c>
      <c r="G192" s="135">
        <f>ROUND('[7]2032'!G49,2)</f>
        <v>24058.2</v>
      </c>
      <c r="H192" s="135">
        <f>ROUND('[7]2032'!H49,2)</f>
        <v>23343.200000000001</v>
      </c>
      <c r="I192" s="135">
        <f>ROUND('[7]2032'!I49,2)</f>
        <v>23380.59</v>
      </c>
      <c r="J192" s="135">
        <f>ROUND('[7]2032'!J49,2)</f>
        <v>24117.45</v>
      </c>
      <c r="K192" s="135">
        <f>ROUND('[7]2032'!K49,2)</f>
        <v>24581.74</v>
      </c>
      <c r="L192" s="135">
        <f>ROUND('[7]2032'!L49,2)</f>
        <v>27626.25</v>
      </c>
      <c r="M192" s="135">
        <f>ROUND('[7]2032'!M49,2)</f>
        <v>30640.75</v>
      </c>
      <c r="N192" s="135">
        <f>ROUND('[7]2032'!N49,2)</f>
        <v>32236.55</v>
      </c>
      <c r="O192" s="135">
        <f>ROUND('[7]2032'!O49,2)</f>
        <v>34053.1</v>
      </c>
      <c r="P192" s="135">
        <f>ROUND('[7]2032'!P49,2)</f>
        <v>35276.06</v>
      </c>
      <c r="Q192" s="135">
        <f>ROUND('[7]2032'!Q49,2)</f>
        <v>34034.43</v>
      </c>
      <c r="R192" s="135">
        <f>ROUND('[7]2032'!R49,2)</f>
        <v>35237.97</v>
      </c>
      <c r="S192" s="135">
        <f>ROUND('[7]2032'!S49,2)</f>
        <v>36944.68</v>
      </c>
      <c r="T192" s="135">
        <f>ROUND('[7]2032'!T49,2)</f>
        <v>36990.97</v>
      </c>
      <c r="U192" s="135">
        <f>ROUND('[7]2032'!U49,2)</f>
        <v>36151.32</v>
      </c>
      <c r="V192" s="135">
        <f>ROUND('[7]2032'!V49,2)</f>
        <v>35107.46</v>
      </c>
      <c r="W192" s="135">
        <f>ROUND('[7]2032'!W49,2)</f>
        <v>37159.760000000002</v>
      </c>
      <c r="X192" s="135">
        <f>ROUND('[7]2032'!X49,2)</f>
        <v>36885.31</v>
      </c>
      <c r="Y192" s="135">
        <f>ROUND('[7]2032'!Y49,2)</f>
        <v>35933.769999999997</v>
      </c>
      <c r="Z192" s="135">
        <f>ROUND('[7]2032'!Z49,2)</f>
        <v>34236.19</v>
      </c>
      <c r="AA192" s="135">
        <f>ROUND('[7]2032'!AA49,2)</f>
        <v>31430.42</v>
      </c>
      <c r="AB192" s="135">
        <f>ROUND('[7]2032'!AB49,2)</f>
        <v>28610.97</v>
      </c>
      <c r="AC192" s="282"/>
      <c r="AD192" s="19"/>
    </row>
    <row r="193" spans="2:50" ht="18.649999999999999" hidden="1" customHeight="1" thickBot="1" x14ac:dyDescent="0.4">
      <c r="B193" s="261"/>
      <c r="C193" s="16" t="s">
        <v>32</v>
      </c>
      <c r="D193" s="17">
        <f>+'[7]2032'!D50</f>
        <v>0</v>
      </c>
      <c r="E193" s="199">
        <f>ROUND('[7]2032'!E50,2)</f>
        <v>0</v>
      </c>
      <c r="F193" s="115">
        <f>ROUND('[7]2032'!F50,2)</f>
        <v>0</v>
      </c>
      <c r="G193" s="115">
        <f>ROUND('[7]2032'!G50,2)</f>
        <v>0</v>
      </c>
      <c r="H193" s="115">
        <f>ROUND('[7]2032'!H50,2)</f>
        <v>0</v>
      </c>
      <c r="I193" s="115">
        <f>ROUND('[7]2032'!I50,2)</f>
        <v>0</v>
      </c>
      <c r="J193" s="115">
        <f>ROUND('[7]2032'!J50,2)</f>
        <v>0</v>
      </c>
      <c r="K193" s="115">
        <f>ROUND('[7]2032'!K50,2)</f>
        <v>0</v>
      </c>
      <c r="L193" s="115">
        <f>ROUND('[7]2032'!L50,2)</f>
        <v>0</v>
      </c>
      <c r="M193" s="115">
        <f>ROUND('[7]2032'!M50,2)</f>
        <v>0</v>
      </c>
      <c r="N193" s="115">
        <f>ROUND('[7]2032'!N50,2)</f>
        <v>0</v>
      </c>
      <c r="O193" s="115">
        <f>ROUND('[7]2032'!O50,2)</f>
        <v>0</v>
      </c>
      <c r="P193" s="115">
        <f>ROUND('[7]2032'!P50,2)</f>
        <v>0</v>
      </c>
      <c r="Q193" s="115">
        <f>ROUND('[7]2032'!Q50,2)</f>
        <v>0</v>
      </c>
      <c r="R193" s="115">
        <f>ROUND('[7]2032'!R50,2)</f>
        <v>0</v>
      </c>
      <c r="S193" s="115">
        <f>ROUND('[7]2032'!S50,2)</f>
        <v>0</v>
      </c>
      <c r="T193" s="115">
        <f>ROUND('[7]2032'!T50,2)</f>
        <v>0</v>
      </c>
      <c r="U193" s="115">
        <f>ROUND('[7]2032'!U50,2)</f>
        <v>0</v>
      </c>
      <c r="V193" s="115">
        <f>ROUND('[7]2032'!V50,2)</f>
        <v>0</v>
      </c>
      <c r="W193" s="115">
        <f>ROUND('[7]2032'!W50,2)</f>
        <v>0</v>
      </c>
      <c r="X193" s="115">
        <f>ROUND('[7]2032'!X50,2)</f>
        <v>0</v>
      </c>
      <c r="Y193" s="115">
        <f>ROUND('[7]2032'!Y50,2)</f>
        <v>0</v>
      </c>
      <c r="Z193" s="115">
        <f>ROUND('[7]2032'!Z50,2)</f>
        <v>0</v>
      </c>
      <c r="AA193" s="115">
        <f>ROUND('[7]2032'!AA50,2)</f>
        <v>0</v>
      </c>
      <c r="AB193" s="115">
        <f>ROUND('[7]2032'!AB50,2)</f>
        <v>0</v>
      </c>
      <c r="AC193" s="282"/>
      <c r="AD193" s="19"/>
    </row>
    <row r="194" spans="2:50" ht="18.649999999999999" hidden="1" customHeight="1" x14ac:dyDescent="0.35">
      <c r="B194" s="263">
        <v>48488</v>
      </c>
      <c r="C194" s="7" t="s">
        <v>29</v>
      </c>
      <c r="D194" s="8">
        <f>+'[7]2032'!D51</f>
        <v>20</v>
      </c>
      <c r="E194" s="134">
        <f>ROUND('[7]2032'!E51,2)</f>
        <v>26340.65</v>
      </c>
      <c r="F194" s="134">
        <f>ROUND('[7]2032'!F51,2)</f>
        <v>25008.67</v>
      </c>
      <c r="G194" s="134">
        <f>ROUND('[7]2032'!G51,2)</f>
        <v>23948.47</v>
      </c>
      <c r="H194" s="134">
        <f>ROUND('[7]2032'!H51,2)</f>
        <v>23072.11</v>
      </c>
      <c r="I194" s="134">
        <f>ROUND('[7]2032'!I51,2)</f>
        <v>22739.58</v>
      </c>
      <c r="J194" s="134">
        <f>ROUND('[7]2032'!J51,2)</f>
        <v>22554.93</v>
      </c>
      <c r="K194" s="134">
        <f>ROUND('[7]2032'!K51,2)</f>
        <v>23031.040000000001</v>
      </c>
      <c r="L194" s="134">
        <f>ROUND('[7]2032'!L51,2)</f>
        <v>25920.720000000001</v>
      </c>
      <c r="M194" s="134">
        <f>ROUND('[7]2032'!M51,2)</f>
        <v>28874.31</v>
      </c>
      <c r="N194" s="134">
        <f>ROUND('[7]2032'!N51,2)</f>
        <v>30588.880000000001</v>
      </c>
      <c r="O194" s="134">
        <f>ROUND('[7]2032'!O51,2)</f>
        <v>32169.08</v>
      </c>
      <c r="P194" s="134">
        <f>ROUND('[7]2032'!P51,2)</f>
        <v>32997.96</v>
      </c>
      <c r="Q194" s="134">
        <f>ROUND('[7]2032'!Q51,2)</f>
        <v>32411.5</v>
      </c>
      <c r="R194" s="134">
        <f>ROUND('[7]2032'!R51,2)</f>
        <v>32027.55</v>
      </c>
      <c r="S194" s="134">
        <f>ROUND('[7]2032'!S51,2)</f>
        <v>32159.42</v>
      </c>
      <c r="T194" s="134">
        <f>ROUND('[7]2032'!T51,2)</f>
        <v>32095.96</v>
      </c>
      <c r="U194" s="134">
        <f>ROUND('[7]2032'!U51,2)</f>
        <v>31683.22</v>
      </c>
      <c r="V194" s="134">
        <f>ROUND('[7]2032'!V51,2)</f>
        <v>32506.93</v>
      </c>
      <c r="W194" s="134">
        <f>ROUND('[7]2032'!W51,2)</f>
        <v>35470.480000000003</v>
      </c>
      <c r="X194" s="134">
        <f>ROUND('[7]2032'!X51,2)</f>
        <v>34877.800000000003</v>
      </c>
      <c r="Y194" s="134">
        <f>ROUND('[7]2032'!Y51,2)</f>
        <v>33643.81</v>
      </c>
      <c r="Z194" s="134">
        <f>ROUND('[7]2032'!Z51,2)</f>
        <v>32075.57</v>
      </c>
      <c r="AA194" s="134">
        <f>ROUND('[7]2032'!AA51,2)</f>
        <v>30205.14</v>
      </c>
      <c r="AB194" s="134">
        <f>ROUND('[7]2032'!AB51,2)</f>
        <v>28205.13</v>
      </c>
      <c r="AC194" s="283">
        <f>SUM(E194:AB194)*D194+SUM(E195:AB195)*D195+SUM(E196:AB196)*D196+SUM(E197:AB197)*D197</f>
        <v>21503063.640000001</v>
      </c>
      <c r="AD194" s="19"/>
    </row>
    <row r="195" spans="2:50" ht="18.649999999999999" hidden="1" customHeight="1" x14ac:dyDescent="0.35">
      <c r="B195" s="264" t="s">
        <v>34</v>
      </c>
      <c r="C195" s="10" t="s">
        <v>30</v>
      </c>
      <c r="D195" s="11">
        <f>+'[7]2032'!D52</f>
        <v>5</v>
      </c>
      <c r="E195" s="135">
        <f>ROUND('[7]2032'!E52,2)</f>
        <v>24482.67</v>
      </c>
      <c r="F195" s="135">
        <f>ROUND('[7]2032'!F52,2)</f>
        <v>23273.4</v>
      </c>
      <c r="G195" s="135">
        <f>ROUND('[7]2032'!G52,2)</f>
        <v>22378.67</v>
      </c>
      <c r="H195" s="135">
        <f>ROUND('[7]2032'!H52,2)</f>
        <v>21842.41</v>
      </c>
      <c r="I195" s="135">
        <f>ROUND('[7]2032'!I52,2)</f>
        <v>21917.41</v>
      </c>
      <c r="J195" s="135">
        <f>ROUND('[7]2032'!J52,2)</f>
        <v>22344.46</v>
      </c>
      <c r="K195" s="135">
        <f>ROUND('[7]2032'!K52,2)</f>
        <v>22749.4</v>
      </c>
      <c r="L195" s="135">
        <f>ROUND('[7]2032'!L52,2)</f>
        <v>25411.55</v>
      </c>
      <c r="M195" s="135">
        <f>ROUND('[7]2032'!M52,2)</f>
        <v>28069.13</v>
      </c>
      <c r="N195" s="135">
        <f>ROUND('[7]2032'!N52,2)</f>
        <v>29626.45</v>
      </c>
      <c r="O195" s="135">
        <f>ROUND('[7]2032'!O52,2)</f>
        <v>31055.38</v>
      </c>
      <c r="P195" s="135">
        <f>ROUND('[7]2032'!P52,2)</f>
        <v>32121.24</v>
      </c>
      <c r="Q195" s="135">
        <f>ROUND('[7]2032'!Q52,2)</f>
        <v>31217.34</v>
      </c>
      <c r="R195" s="135">
        <f>ROUND('[7]2032'!R52,2)</f>
        <v>31626.85</v>
      </c>
      <c r="S195" s="135">
        <f>ROUND('[7]2032'!S52,2)</f>
        <v>32559.54</v>
      </c>
      <c r="T195" s="135">
        <f>ROUND('[7]2032'!T52,2)</f>
        <v>32648.18</v>
      </c>
      <c r="U195" s="135">
        <f>ROUND('[7]2032'!U52,2)</f>
        <v>32224.95</v>
      </c>
      <c r="V195" s="135">
        <f>ROUND('[7]2032'!V52,2)</f>
        <v>32810.42</v>
      </c>
      <c r="W195" s="135">
        <f>ROUND('[7]2032'!W52,2)</f>
        <v>35074.68</v>
      </c>
      <c r="X195" s="135">
        <f>ROUND('[7]2032'!X52,2)</f>
        <v>34392.9</v>
      </c>
      <c r="Y195" s="135">
        <f>ROUND('[7]2032'!Y52,2)</f>
        <v>33056.400000000001</v>
      </c>
      <c r="Z195" s="135">
        <f>ROUND('[7]2032'!Z52,2)</f>
        <v>31216.28</v>
      </c>
      <c r="AA195" s="135">
        <f>ROUND('[7]2032'!AA52,2)</f>
        <v>28816.81</v>
      </c>
      <c r="AB195" s="135">
        <f>ROUND('[7]2032'!AB52,2)</f>
        <v>26411.9</v>
      </c>
      <c r="AC195" s="282"/>
      <c r="AD195" s="19"/>
    </row>
    <row r="196" spans="2:50" ht="18.649999999999999" hidden="1" customHeight="1" x14ac:dyDescent="0.35">
      <c r="B196" s="264" t="s">
        <v>34</v>
      </c>
      <c r="C196" s="10" t="s">
        <v>31</v>
      </c>
      <c r="D196" s="11">
        <f>+'[7]2032'!D53</f>
        <v>5</v>
      </c>
      <c r="E196" s="135">
        <f>ROUND('[7]2032'!E53,2)</f>
        <v>24744.43</v>
      </c>
      <c r="F196" s="135">
        <f>ROUND('[7]2032'!F53,2)</f>
        <v>23696.82</v>
      </c>
      <c r="G196" s="135">
        <f>ROUND('[7]2032'!G53,2)</f>
        <v>22863.599999999999</v>
      </c>
      <c r="H196" s="135">
        <f>ROUND('[7]2032'!H53,2)</f>
        <v>22350.83</v>
      </c>
      <c r="I196" s="135">
        <f>ROUND('[7]2032'!I53,2)</f>
        <v>22172.81</v>
      </c>
      <c r="J196" s="135">
        <f>ROUND('[7]2032'!J53,2)</f>
        <v>21823.360000000001</v>
      </c>
      <c r="K196" s="135">
        <f>ROUND('[7]2032'!K53,2)</f>
        <v>21304.22</v>
      </c>
      <c r="L196" s="135">
        <f>ROUND('[7]2032'!L53,2)</f>
        <v>22978.99</v>
      </c>
      <c r="M196" s="135">
        <f>ROUND('[7]2032'!M53,2)</f>
        <v>24368.38</v>
      </c>
      <c r="N196" s="135">
        <f>ROUND('[7]2032'!N53,2)</f>
        <v>26304.799999999999</v>
      </c>
      <c r="O196" s="135">
        <f>ROUND('[7]2032'!O53,2)</f>
        <v>27816.09</v>
      </c>
      <c r="P196" s="135">
        <f>ROUND('[7]2032'!P53,2)</f>
        <v>29011.38</v>
      </c>
      <c r="Q196" s="135">
        <f>ROUND('[7]2032'!Q53,2)</f>
        <v>29617.89</v>
      </c>
      <c r="R196" s="135">
        <f>ROUND('[7]2032'!R53,2)</f>
        <v>29630.45</v>
      </c>
      <c r="S196" s="135">
        <f>ROUND('[7]2032'!S53,2)</f>
        <v>29679.42</v>
      </c>
      <c r="T196" s="135">
        <f>ROUND('[7]2032'!T53,2)</f>
        <v>29754.16</v>
      </c>
      <c r="U196" s="135">
        <f>ROUND('[7]2032'!U53,2)</f>
        <v>29485.4</v>
      </c>
      <c r="V196" s="135">
        <f>ROUND('[7]2032'!V53,2)</f>
        <v>30737.83</v>
      </c>
      <c r="W196" s="135">
        <f>ROUND('[7]2032'!W53,2)</f>
        <v>34248.300000000003</v>
      </c>
      <c r="X196" s="135">
        <f>ROUND('[7]2032'!X53,2)</f>
        <v>34667.589999999997</v>
      </c>
      <c r="Y196" s="135">
        <f>ROUND('[7]2032'!Y53,2)</f>
        <v>34122.94</v>
      </c>
      <c r="Z196" s="135">
        <f>ROUND('[7]2032'!Z53,2)</f>
        <v>32835.360000000001</v>
      </c>
      <c r="AA196" s="135">
        <f>ROUND('[7]2032'!AA53,2)</f>
        <v>30388.06</v>
      </c>
      <c r="AB196" s="135">
        <f>ROUND('[7]2032'!AB53,2)</f>
        <v>27770.78</v>
      </c>
      <c r="AC196" s="282"/>
      <c r="AD196" s="19"/>
    </row>
    <row r="197" spans="2:50" ht="18.649999999999999" hidden="1" customHeight="1" thickBot="1" x14ac:dyDescent="0.4">
      <c r="B197" s="265" t="s">
        <v>34</v>
      </c>
      <c r="C197" s="12" t="s">
        <v>32</v>
      </c>
      <c r="D197" s="13">
        <f>+'[7]2032'!D54</f>
        <v>1</v>
      </c>
      <c r="E197" s="132">
        <f>ROUND('[7]2032'!E54,2)</f>
        <v>24744.43</v>
      </c>
      <c r="F197" s="132">
        <f>ROUND('[7]2032'!F54,2)</f>
        <v>23696.82</v>
      </c>
      <c r="G197" s="132">
        <f>ROUND('[7]2032'!G54,2)</f>
        <v>22863.599999999999</v>
      </c>
      <c r="H197" s="132">
        <f>ROUND('[7]2032'!H54,2)</f>
        <v>22350.83</v>
      </c>
      <c r="I197" s="132">
        <f>ROUND('[7]2032'!I54,2)</f>
        <v>22172.81</v>
      </c>
      <c r="J197" s="132">
        <f>ROUND('[7]2032'!J54,2)</f>
        <v>21823.360000000001</v>
      </c>
      <c r="K197" s="132">
        <f>ROUND('[7]2032'!K54,2)</f>
        <v>21304.22</v>
      </c>
      <c r="L197" s="132">
        <f>ROUND('[7]2032'!L54,2)</f>
        <v>22978.99</v>
      </c>
      <c r="M197" s="132">
        <f>ROUND('[7]2032'!M54,2)</f>
        <v>24368.38</v>
      </c>
      <c r="N197" s="132">
        <f>ROUND('[7]2032'!N54,2)</f>
        <v>26304.799999999999</v>
      </c>
      <c r="O197" s="132">
        <f>ROUND('[7]2032'!O54,2)</f>
        <v>27816.09</v>
      </c>
      <c r="P197" s="132">
        <f>ROUND('[7]2032'!P54,2)</f>
        <v>29011.38</v>
      </c>
      <c r="Q197" s="132">
        <f>ROUND('[7]2032'!Q54,2)</f>
        <v>29617.89</v>
      </c>
      <c r="R197" s="132">
        <f>ROUND('[7]2032'!R54,2)</f>
        <v>29630.45</v>
      </c>
      <c r="S197" s="132">
        <f>ROUND('[7]2032'!S54,2)</f>
        <v>29679.42</v>
      </c>
      <c r="T197" s="132">
        <f>ROUND('[7]2032'!T54,2)</f>
        <v>29754.16</v>
      </c>
      <c r="U197" s="132">
        <f>ROUND('[7]2032'!U54,2)</f>
        <v>29485.4</v>
      </c>
      <c r="V197" s="132">
        <f>ROUND('[7]2032'!V54,2)</f>
        <v>30737.83</v>
      </c>
      <c r="W197" s="132">
        <f>ROUND('[7]2032'!W54,2)</f>
        <v>34248.300000000003</v>
      </c>
      <c r="X197" s="132">
        <f>ROUND('[7]2032'!X54,2)</f>
        <v>34667.589999999997</v>
      </c>
      <c r="Y197" s="132">
        <f>ROUND('[7]2032'!Y54,2)</f>
        <v>34122.94</v>
      </c>
      <c r="Z197" s="132">
        <f>ROUND('[7]2032'!Z54,2)</f>
        <v>32835.360000000001</v>
      </c>
      <c r="AA197" s="132">
        <f>ROUND('[7]2032'!AA54,2)</f>
        <v>30388.06</v>
      </c>
      <c r="AB197" s="132">
        <f>ROUND('[7]2032'!AB54,2)</f>
        <v>27770.78</v>
      </c>
      <c r="AC197" s="284"/>
      <c r="AD197" s="19"/>
    </row>
    <row r="198" spans="2:50" ht="18.649999999999999" hidden="1" customHeight="1" x14ac:dyDescent="0.35">
      <c r="B198" s="260">
        <v>48519</v>
      </c>
      <c r="C198" s="14" t="s">
        <v>29</v>
      </c>
      <c r="D198" s="15">
        <f>+'[7]2032'!D55</f>
        <v>20</v>
      </c>
      <c r="E198" s="137">
        <f>ROUND('[7]2032'!E55,2)</f>
        <v>25960.81</v>
      </c>
      <c r="F198" s="137">
        <f>ROUND('[7]2032'!F55,2)</f>
        <v>24690.79</v>
      </c>
      <c r="G198" s="137">
        <f>ROUND('[7]2032'!G55,2)</f>
        <v>23773.49</v>
      </c>
      <c r="H198" s="137">
        <f>ROUND('[7]2032'!H55,2)</f>
        <v>23172.91</v>
      </c>
      <c r="I198" s="137">
        <f>ROUND('[7]2032'!I55,2)</f>
        <v>23178.28</v>
      </c>
      <c r="J198" s="137">
        <f>ROUND('[7]2032'!J55,2)</f>
        <v>23371.09</v>
      </c>
      <c r="K198" s="137">
        <f>ROUND('[7]2032'!K55,2)</f>
        <v>23532.79</v>
      </c>
      <c r="L198" s="137">
        <f>ROUND('[7]2032'!L55,2)</f>
        <v>26483.88</v>
      </c>
      <c r="M198" s="137">
        <f>ROUND('[7]2032'!M55,2)</f>
        <v>29633.61</v>
      </c>
      <c r="N198" s="137">
        <f>ROUND('[7]2032'!N55,2)</f>
        <v>31638.94</v>
      </c>
      <c r="O198" s="137">
        <f>ROUND('[7]2032'!O55,2)</f>
        <v>33153.06</v>
      </c>
      <c r="P198" s="137">
        <f>ROUND('[7]2032'!P55,2)</f>
        <v>33947.25</v>
      </c>
      <c r="Q198" s="137">
        <f>ROUND('[7]2032'!Q55,2)</f>
        <v>33265.89</v>
      </c>
      <c r="R198" s="137">
        <f>ROUND('[7]2032'!R55,2)</f>
        <v>32686.12</v>
      </c>
      <c r="S198" s="137">
        <f>ROUND('[7]2032'!S55,2)</f>
        <v>32604.98</v>
      </c>
      <c r="T198" s="137">
        <f>ROUND('[7]2032'!T55,2)</f>
        <v>32527.360000000001</v>
      </c>
      <c r="U198" s="137">
        <f>ROUND('[7]2032'!U55,2)</f>
        <v>32194.36</v>
      </c>
      <c r="V198" s="137">
        <f>ROUND('[7]2032'!V55,2)</f>
        <v>33267.75</v>
      </c>
      <c r="W198" s="137">
        <f>ROUND('[7]2032'!W55,2)</f>
        <v>36205.24</v>
      </c>
      <c r="X198" s="137">
        <f>ROUND('[7]2032'!X55,2)</f>
        <v>35442.83</v>
      </c>
      <c r="Y198" s="137">
        <f>ROUND('[7]2032'!Y55,2)</f>
        <v>34004.910000000003</v>
      </c>
      <c r="Z198" s="137">
        <f>ROUND('[7]2032'!Z55,2)</f>
        <v>32378.17</v>
      </c>
      <c r="AA198" s="137">
        <f>ROUND('[7]2032'!AA55,2)</f>
        <v>30363.82</v>
      </c>
      <c r="AB198" s="137">
        <f>ROUND('[7]2032'!AB55,2)</f>
        <v>28179.11</v>
      </c>
      <c r="AC198" s="282">
        <f>SUM(E198:AB198)*D198+SUM(E199:AB199)*D199+SUM(E200:AB200)*D200+SUM(E201:AB201)*D201</f>
        <v>21257339.279999997</v>
      </c>
      <c r="AD198" s="19"/>
    </row>
    <row r="199" spans="2:50" ht="18.649999999999999" hidden="1" customHeight="1" x14ac:dyDescent="0.35">
      <c r="B199" s="261"/>
      <c r="C199" s="10" t="s">
        <v>30</v>
      </c>
      <c r="D199" s="11">
        <f>+'[7]2032'!D56</f>
        <v>4</v>
      </c>
      <c r="E199" s="135">
        <f>ROUND('[7]2032'!E56,2)</f>
        <v>28292.25</v>
      </c>
      <c r="F199" s="135">
        <f>ROUND('[7]2032'!F56,2)</f>
        <v>26860.17</v>
      </c>
      <c r="G199" s="135">
        <f>ROUND('[7]2032'!G56,2)</f>
        <v>25801.97</v>
      </c>
      <c r="H199" s="135">
        <f>ROUND('[7]2032'!H56,2)</f>
        <v>25074.09</v>
      </c>
      <c r="I199" s="135">
        <f>ROUND('[7]2032'!I56,2)</f>
        <v>24919.94</v>
      </c>
      <c r="J199" s="135">
        <f>ROUND('[7]2032'!J56,2)</f>
        <v>25093.09</v>
      </c>
      <c r="K199" s="135">
        <f>ROUND('[7]2032'!K56,2)</f>
        <v>24958.400000000001</v>
      </c>
      <c r="L199" s="135">
        <f>ROUND('[7]2032'!L56,2)</f>
        <v>27801.87</v>
      </c>
      <c r="M199" s="135">
        <f>ROUND('[7]2032'!M56,2)</f>
        <v>30758.46</v>
      </c>
      <c r="N199" s="135">
        <f>ROUND('[7]2032'!N56,2)</f>
        <v>32471.759999999998</v>
      </c>
      <c r="O199" s="135">
        <f>ROUND('[7]2032'!O56,2)</f>
        <v>33983.83</v>
      </c>
      <c r="P199" s="135">
        <f>ROUND('[7]2032'!P56,2)</f>
        <v>35163.07</v>
      </c>
      <c r="Q199" s="135">
        <f>ROUND('[7]2032'!Q56,2)</f>
        <v>34404.839999999997</v>
      </c>
      <c r="R199" s="135">
        <f>ROUND('[7]2032'!R56,2)</f>
        <v>34763.269999999997</v>
      </c>
      <c r="S199" s="135">
        <f>ROUND('[7]2032'!S56,2)</f>
        <v>35756.589999999997</v>
      </c>
      <c r="T199" s="135">
        <f>ROUND('[7]2032'!T56,2)</f>
        <v>35812.68</v>
      </c>
      <c r="U199" s="135">
        <f>ROUND('[7]2032'!U56,2)</f>
        <v>35245.089999999997</v>
      </c>
      <c r="V199" s="135">
        <f>ROUND('[7]2032'!V56,2)</f>
        <v>35336.67</v>
      </c>
      <c r="W199" s="135">
        <f>ROUND('[7]2032'!W56,2)</f>
        <v>38307.879999999997</v>
      </c>
      <c r="X199" s="135">
        <f>ROUND('[7]2032'!X56,2)</f>
        <v>37693.85</v>
      </c>
      <c r="Y199" s="135">
        <f>ROUND('[7]2032'!Y56,2)</f>
        <v>36478.04</v>
      </c>
      <c r="Z199" s="135">
        <f>ROUND('[7]2032'!Z56,2)</f>
        <v>34866.85</v>
      </c>
      <c r="AA199" s="135">
        <f>ROUND('[7]2032'!AA56,2)</f>
        <v>32706.5</v>
      </c>
      <c r="AB199" s="135">
        <f>ROUND('[7]2032'!AB56,2)</f>
        <v>30279.84</v>
      </c>
      <c r="AC199" s="282"/>
      <c r="AD199" s="19"/>
    </row>
    <row r="200" spans="2:50" ht="18.649999999999999" hidden="1" customHeight="1" x14ac:dyDescent="0.35">
      <c r="B200" s="261"/>
      <c r="C200" s="10" t="s">
        <v>31</v>
      </c>
      <c r="D200" s="11">
        <f>+'[7]2032'!D57</f>
        <v>4</v>
      </c>
      <c r="E200" s="135">
        <f>ROUND('[7]2032'!E57,2)</f>
        <v>26088.34</v>
      </c>
      <c r="F200" s="135">
        <f>ROUND('[7]2032'!F57,2)</f>
        <v>24702.22</v>
      </c>
      <c r="G200" s="135">
        <f>ROUND('[7]2032'!G57,2)</f>
        <v>23650</v>
      </c>
      <c r="H200" s="135">
        <f>ROUND('[7]2032'!H57,2)</f>
        <v>22841.81</v>
      </c>
      <c r="I200" s="135">
        <f>ROUND('[7]2032'!I57,2)</f>
        <v>22567.98</v>
      </c>
      <c r="J200" s="135">
        <f>ROUND('[7]2032'!J57,2)</f>
        <v>22223.81</v>
      </c>
      <c r="K200" s="135">
        <f>ROUND('[7]2032'!K57,2)</f>
        <v>21600.05</v>
      </c>
      <c r="L200" s="135">
        <f>ROUND('[7]2032'!L57,2)</f>
        <v>23022.799999999999</v>
      </c>
      <c r="M200" s="135">
        <f>ROUND('[7]2032'!M57,2)</f>
        <v>24731.06</v>
      </c>
      <c r="N200" s="135">
        <f>ROUND('[7]2032'!N57,2)</f>
        <v>26064.65</v>
      </c>
      <c r="O200" s="135">
        <f>ROUND('[7]2032'!O57,2)</f>
        <v>27157.01</v>
      </c>
      <c r="P200" s="135">
        <f>ROUND('[7]2032'!P57,2)</f>
        <v>28125.27</v>
      </c>
      <c r="Q200" s="135">
        <f>ROUND('[7]2032'!Q57,2)</f>
        <v>28427.41</v>
      </c>
      <c r="R200" s="135">
        <f>ROUND('[7]2032'!R57,2)</f>
        <v>28571.51</v>
      </c>
      <c r="S200" s="135">
        <f>ROUND('[7]2032'!S57,2)</f>
        <v>28160.91</v>
      </c>
      <c r="T200" s="135">
        <f>ROUND('[7]2032'!T57,2)</f>
        <v>28189.7</v>
      </c>
      <c r="U200" s="135">
        <f>ROUND('[7]2032'!U57,2)</f>
        <v>28258.1</v>
      </c>
      <c r="V200" s="135">
        <f>ROUND('[7]2032'!V57,2)</f>
        <v>30037.1</v>
      </c>
      <c r="W200" s="135">
        <f>ROUND('[7]2032'!W57,2)</f>
        <v>33516.44</v>
      </c>
      <c r="X200" s="135">
        <f>ROUND('[7]2032'!X57,2)</f>
        <v>33640.68</v>
      </c>
      <c r="Y200" s="135">
        <f>ROUND('[7]2032'!Y57,2)</f>
        <v>32594.37</v>
      </c>
      <c r="Z200" s="135">
        <f>ROUND('[7]2032'!Z57,2)</f>
        <v>30639.13</v>
      </c>
      <c r="AA200" s="135">
        <f>ROUND('[7]2032'!AA57,2)</f>
        <v>28165.27</v>
      </c>
      <c r="AB200" s="135">
        <f>ROUND('[7]2032'!AB57,2)</f>
        <v>25835.46</v>
      </c>
      <c r="AC200" s="282"/>
      <c r="AD200" s="19"/>
    </row>
    <row r="201" spans="2:50" ht="18.649999999999999" hidden="1" customHeight="1" thickBot="1" x14ac:dyDescent="0.4">
      <c r="B201" s="261"/>
      <c r="C201" s="16" t="s">
        <v>32</v>
      </c>
      <c r="D201" s="17">
        <f>+'[7]2032'!D58</f>
        <v>2</v>
      </c>
      <c r="E201" s="136">
        <f>ROUND('[7]2032'!E58,2)</f>
        <v>26088.34</v>
      </c>
      <c r="F201" s="136">
        <f>ROUND('[7]2032'!F58,2)</f>
        <v>24702.22</v>
      </c>
      <c r="G201" s="136">
        <f>ROUND('[7]2032'!G58,2)</f>
        <v>23650</v>
      </c>
      <c r="H201" s="136">
        <f>ROUND('[7]2032'!H58,2)</f>
        <v>22841.81</v>
      </c>
      <c r="I201" s="136">
        <f>ROUND('[7]2032'!I58,2)</f>
        <v>22567.98</v>
      </c>
      <c r="J201" s="136">
        <f>ROUND('[7]2032'!J58,2)</f>
        <v>22223.81</v>
      </c>
      <c r="K201" s="136">
        <f>ROUND('[7]2032'!K58,2)</f>
        <v>21600.05</v>
      </c>
      <c r="L201" s="136">
        <f>ROUND('[7]2032'!L58,2)</f>
        <v>23022.799999999999</v>
      </c>
      <c r="M201" s="136">
        <f>ROUND('[7]2032'!M58,2)</f>
        <v>24731.06</v>
      </c>
      <c r="N201" s="136">
        <f>ROUND('[7]2032'!N58,2)</f>
        <v>26064.65</v>
      </c>
      <c r="O201" s="136">
        <f>ROUND('[7]2032'!O58,2)</f>
        <v>27157.01</v>
      </c>
      <c r="P201" s="136">
        <f>ROUND('[7]2032'!P58,2)</f>
        <v>28125.27</v>
      </c>
      <c r="Q201" s="136">
        <f>ROUND('[7]2032'!Q58,2)</f>
        <v>28427.41</v>
      </c>
      <c r="R201" s="136">
        <f>ROUND('[7]2032'!R58,2)</f>
        <v>28571.51</v>
      </c>
      <c r="S201" s="136">
        <f>ROUND('[7]2032'!S58,2)</f>
        <v>28160.91</v>
      </c>
      <c r="T201" s="136">
        <f>ROUND('[7]2032'!T58,2)</f>
        <v>28189.7</v>
      </c>
      <c r="U201" s="136">
        <f>ROUND('[7]2032'!U58,2)</f>
        <v>28258.1</v>
      </c>
      <c r="V201" s="136">
        <f>ROUND('[7]2032'!V58,2)</f>
        <v>30037.1</v>
      </c>
      <c r="W201" s="136">
        <f>ROUND('[7]2032'!W58,2)</f>
        <v>33516.44</v>
      </c>
      <c r="X201" s="136">
        <f>ROUND('[7]2032'!X58,2)</f>
        <v>33640.68</v>
      </c>
      <c r="Y201" s="136">
        <f>ROUND('[7]2032'!Y58,2)</f>
        <v>32594.37</v>
      </c>
      <c r="Z201" s="136">
        <f>ROUND('[7]2032'!Z58,2)</f>
        <v>30639.13</v>
      </c>
      <c r="AA201" s="136">
        <f>ROUND('[7]2032'!AA58,2)</f>
        <v>28165.27</v>
      </c>
      <c r="AB201" s="136">
        <f>ROUND('[7]2032'!AB58,2)</f>
        <v>25835.46</v>
      </c>
      <c r="AC201" s="282"/>
      <c r="AD201" s="19"/>
    </row>
    <row r="202" spans="2:50" ht="18.649999999999999" hidden="1" customHeight="1" x14ac:dyDescent="0.35">
      <c r="B202" s="263">
        <v>48549</v>
      </c>
      <c r="C202" s="7" t="s">
        <v>29</v>
      </c>
      <c r="D202" s="8">
        <f>+'[7]2032'!D59</f>
        <v>22</v>
      </c>
      <c r="E202" s="134">
        <f>ROUND('[7]2032'!E59,2)</f>
        <v>27479</v>
      </c>
      <c r="F202" s="134">
        <f>ROUND('[7]2032'!F59,2)</f>
        <v>26028.83</v>
      </c>
      <c r="G202" s="134">
        <f>ROUND('[7]2032'!G59,2)</f>
        <v>24932.67</v>
      </c>
      <c r="H202" s="134">
        <f>ROUND('[7]2032'!H59,2)</f>
        <v>24170.75</v>
      </c>
      <c r="I202" s="134">
        <f>ROUND('[7]2032'!I59,2)</f>
        <v>24003.33</v>
      </c>
      <c r="J202" s="134">
        <f>ROUND('[7]2032'!J59,2)</f>
        <v>24125.26</v>
      </c>
      <c r="K202" s="134">
        <f>ROUND('[7]2032'!K59,2)</f>
        <v>23845.62</v>
      </c>
      <c r="L202" s="134">
        <f>ROUND('[7]2032'!L59,2)</f>
        <v>26403.55</v>
      </c>
      <c r="M202" s="134">
        <f>ROUND('[7]2032'!M59,2)</f>
        <v>29195.24</v>
      </c>
      <c r="N202" s="134">
        <f>ROUND('[7]2032'!N59,2)</f>
        <v>30961.54</v>
      </c>
      <c r="O202" s="134">
        <f>ROUND('[7]2032'!O59,2)</f>
        <v>32261.56</v>
      </c>
      <c r="P202" s="134">
        <f>ROUND('[7]2032'!P59,2)</f>
        <v>33041.660000000003</v>
      </c>
      <c r="Q202" s="134">
        <f>ROUND('[7]2032'!Q59,2)</f>
        <v>32326.75</v>
      </c>
      <c r="R202" s="134">
        <f>ROUND('[7]2032'!R59,2)</f>
        <v>31813.96</v>
      </c>
      <c r="S202" s="134">
        <f>ROUND('[7]2032'!S59,2)</f>
        <v>31891.3</v>
      </c>
      <c r="T202" s="134">
        <f>ROUND('[7]2032'!T59,2)</f>
        <v>31869.06</v>
      </c>
      <c r="U202" s="134">
        <f>ROUND('[7]2032'!U59,2)</f>
        <v>31473.99</v>
      </c>
      <c r="V202" s="134">
        <f>ROUND('[7]2032'!V59,2)</f>
        <v>32318.1</v>
      </c>
      <c r="W202" s="134">
        <f>ROUND('[7]2032'!W59,2)</f>
        <v>35591.1</v>
      </c>
      <c r="X202" s="134">
        <f>ROUND('[7]2032'!X59,2)</f>
        <v>34815.550000000003</v>
      </c>
      <c r="Y202" s="134">
        <f>ROUND('[7]2032'!Y59,2)</f>
        <v>33318.36</v>
      </c>
      <c r="Z202" s="134">
        <f>ROUND('[7]2032'!Z59,2)</f>
        <v>31678.5</v>
      </c>
      <c r="AA202" s="134">
        <f>ROUND('[7]2032'!AA59,2)</f>
        <v>30087.83</v>
      </c>
      <c r="AB202" s="134">
        <f>ROUND('[7]2032'!AB59,2)</f>
        <v>28305.34</v>
      </c>
      <c r="AC202" s="283">
        <f>SUM(E202:AB202)*D202+SUM(E203:AB203)*D203+SUM(E204:AB204)*D204+SUM(E205:AB205)*D205</f>
        <v>21743881.259999998</v>
      </c>
      <c r="AD202" s="19"/>
    </row>
    <row r="203" spans="2:50" ht="18.649999999999999" hidden="1" customHeight="1" x14ac:dyDescent="0.35">
      <c r="B203" s="264" t="s">
        <v>34</v>
      </c>
      <c r="C203" s="10" t="s">
        <v>30</v>
      </c>
      <c r="D203" s="11">
        <f>+'[7]2032'!D60</f>
        <v>3</v>
      </c>
      <c r="E203" s="135">
        <f>ROUND('[7]2032'!E60,2)</f>
        <v>26970.41</v>
      </c>
      <c r="F203" s="135">
        <f>ROUND('[7]2032'!F60,2)</f>
        <v>25608.76</v>
      </c>
      <c r="G203" s="135">
        <f>ROUND('[7]2032'!G60,2)</f>
        <v>24586.17</v>
      </c>
      <c r="H203" s="135">
        <f>ROUND('[7]2032'!H60,2)</f>
        <v>23876.06</v>
      </c>
      <c r="I203" s="135">
        <f>ROUND('[7]2032'!I60,2)</f>
        <v>23798.16</v>
      </c>
      <c r="J203" s="135">
        <f>ROUND('[7]2032'!J60,2)</f>
        <v>24181.919999999998</v>
      </c>
      <c r="K203" s="135">
        <f>ROUND('[7]2032'!K60,2)</f>
        <v>24284.71</v>
      </c>
      <c r="L203" s="135">
        <f>ROUND('[7]2032'!L60,2)</f>
        <v>26948.93</v>
      </c>
      <c r="M203" s="135">
        <f>ROUND('[7]2032'!M60,2)</f>
        <v>29711.18</v>
      </c>
      <c r="N203" s="135">
        <f>ROUND('[7]2032'!N60,2)</f>
        <v>31307.61</v>
      </c>
      <c r="O203" s="135">
        <f>ROUND('[7]2032'!O60,2)</f>
        <v>32867.730000000003</v>
      </c>
      <c r="P203" s="135">
        <f>ROUND('[7]2032'!P60,2)</f>
        <v>33964.04</v>
      </c>
      <c r="Q203" s="135">
        <f>ROUND('[7]2032'!Q60,2)</f>
        <v>33109.089999999997</v>
      </c>
      <c r="R203" s="135">
        <f>ROUND('[7]2032'!R60,2)</f>
        <v>33766.32</v>
      </c>
      <c r="S203" s="135">
        <f>ROUND('[7]2032'!S60,2)</f>
        <v>34878.660000000003</v>
      </c>
      <c r="T203" s="135">
        <f>ROUND('[7]2032'!T60,2)</f>
        <v>34956.57</v>
      </c>
      <c r="U203" s="135">
        <f>ROUND('[7]2032'!U60,2)</f>
        <v>34355.449999999997</v>
      </c>
      <c r="V203" s="135">
        <f>ROUND('[7]2032'!V60,2)</f>
        <v>33737.199999999997</v>
      </c>
      <c r="W203" s="135">
        <f>ROUND('[7]2032'!W60,2)</f>
        <v>36078.1</v>
      </c>
      <c r="X203" s="135">
        <f>ROUND('[7]2032'!X60,2)</f>
        <v>36295.1</v>
      </c>
      <c r="Y203" s="135">
        <f>ROUND('[7]2032'!Y60,2)</f>
        <v>35381.4</v>
      </c>
      <c r="Z203" s="135">
        <f>ROUND('[7]2032'!Z60,2)</f>
        <v>33847.64</v>
      </c>
      <c r="AA203" s="135">
        <f>ROUND('[7]2032'!AA60,2)</f>
        <v>31497.62</v>
      </c>
      <c r="AB203" s="135">
        <f>ROUND('[7]2032'!AB60,2)</f>
        <v>28984.41</v>
      </c>
      <c r="AC203" s="282"/>
      <c r="AD203" s="19"/>
    </row>
    <row r="204" spans="2:50" ht="18.649999999999999" hidden="1" customHeight="1" x14ac:dyDescent="0.35">
      <c r="B204" s="264" t="s">
        <v>34</v>
      </c>
      <c r="C204" s="10" t="s">
        <v>31</v>
      </c>
      <c r="D204" s="11">
        <f>+'[7]2032'!D61</f>
        <v>4</v>
      </c>
      <c r="E204" s="135">
        <f>ROUND('[7]2032'!E61,2)</f>
        <v>26808.89</v>
      </c>
      <c r="F204" s="135">
        <f>ROUND('[7]2032'!F61,2)</f>
        <v>25977.46</v>
      </c>
      <c r="G204" s="135">
        <f>ROUND('[7]2032'!G61,2)</f>
        <v>25191.13</v>
      </c>
      <c r="H204" s="135">
        <f>ROUND('[7]2032'!H61,2)</f>
        <v>24437.360000000001</v>
      </c>
      <c r="I204" s="135">
        <f>ROUND('[7]2032'!I61,2)</f>
        <v>24002.87</v>
      </c>
      <c r="J204" s="135">
        <f>ROUND('[7]2032'!J61,2)</f>
        <v>23374.42</v>
      </c>
      <c r="K204" s="135">
        <f>ROUND('[7]2032'!K61,2)</f>
        <v>21922.560000000001</v>
      </c>
      <c r="L204" s="135">
        <f>ROUND('[7]2032'!L61,2)</f>
        <v>22650.880000000001</v>
      </c>
      <c r="M204" s="135">
        <f>ROUND('[7]2032'!M61,2)</f>
        <v>23834.99</v>
      </c>
      <c r="N204" s="135">
        <f>ROUND('[7]2032'!N61,2)</f>
        <v>24946.720000000001</v>
      </c>
      <c r="O204" s="135">
        <f>ROUND('[7]2032'!O61,2)</f>
        <v>25983.14</v>
      </c>
      <c r="P204" s="135">
        <f>ROUND('[7]2032'!P61,2)</f>
        <v>26864.04</v>
      </c>
      <c r="Q204" s="135">
        <f>ROUND('[7]2032'!Q61,2)</f>
        <v>27345.53</v>
      </c>
      <c r="R204" s="135">
        <f>ROUND('[7]2032'!R61,2)</f>
        <v>27366.81</v>
      </c>
      <c r="S204" s="135">
        <f>ROUND('[7]2032'!S61,2)</f>
        <v>27242.98</v>
      </c>
      <c r="T204" s="135">
        <f>ROUND('[7]2032'!T61,2)</f>
        <v>27393.599999999999</v>
      </c>
      <c r="U204" s="135">
        <f>ROUND('[7]2032'!U61,2)</f>
        <v>27380.82</v>
      </c>
      <c r="V204" s="135">
        <f>ROUND('[7]2032'!V61,2)</f>
        <v>28265.86</v>
      </c>
      <c r="W204" s="135">
        <f>ROUND('[7]2032'!W61,2)</f>
        <v>32202.959999999999</v>
      </c>
      <c r="X204" s="135">
        <f>ROUND('[7]2032'!X61,2)</f>
        <v>32500.75</v>
      </c>
      <c r="Y204" s="135">
        <f>ROUND('[7]2032'!Y61,2)</f>
        <v>32089.040000000001</v>
      </c>
      <c r="Z204" s="135">
        <f>ROUND('[7]2032'!Z61,2)</f>
        <v>31113.37</v>
      </c>
      <c r="AA204" s="135">
        <f>ROUND('[7]2032'!AA61,2)</f>
        <v>29505.32</v>
      </c>
      <c r="AB204" s="135">
        <f>ROUND('[7]2032'!AB61,2)</f>
        <v>27639.64</v>
      </c>
      <c r="AC204" s="282"/>
      <c r="AD204" s="19"/>
    </row>
    <row r="205" spans="2:50" ht="18.649999999999999" hidden="1" customHeight="1" thickBot="1" x14ac:dyDescent="0.4">
      <c r="B205" s="265" t="s">
        <v>34</v>
      </c>
      <c r="C205" s="12" t="s">
        <v>32</v>
      </c>
      <c r="D205" s="13">
        <f>+'[7]2032'!D62</f>
        <v>2</v>
      </c>
      <c r="E205" s="132">
        <f>ROUND('[7]2032'!E62,2)</f>
        <v>26808.89</v>
      </c>
      <c r="F205" s="132">
        <f>ROUND('[7]2032'!F62,2)</f>
        <v>25977.46</v>
      </c>
      <c r="G205" s="132">
        <f>ROUND('[7]2032'!G62,2)</f>
        <v>25191.13</v>
      </c>
      <c r="H205" s="132">
        <f>ROUND('[7]2032'!H62,2)</f>
        <v>24437.360000000001</v>
      </c>
      <c r="I205" s="132">
        <f>ROUND('[7]2032'!I62,2)</f>
        <v>24002.87</v>
      </c>
      <c r="J205" s="132">
        <f>ROUND('[7]2032'!J62,2)</f>
        <v>23374.42</v>
      </c>
      <c r="K205" s="132">
        <f>ROUND('[7]2032'!K62,2)</f>
        <v>21922.560000000001</v>
      </c>
      <c r="L205" s="132">
        <f>ROUND('[7]2032'!L62,2)</f>
        <v>22650.880000000001</v>
      </c>
      <c r="M205" s="132">
        <f>ROUND('[7]2032'!M62,2)</f>
        <v>23834.99</v>
      </c>
      <c r="N205" s="132">
        <f>ROUND('[7]2032'!N62,2)</f>
        <v>24946.720000000001</v>
      </c>
      <c r="O205" s="132">
        <f>ROUND('[7]2032'!O62,2)</f>
        <v>25983.14</v>
      </c>
      <c r="P205" s="132">
        <f>ROUND('[7]2032'!P62,2)</f>
        <v>26864.04</v>
      </c>
      <c r="Q205" s="132">
        <f>ROUND('[7]2032'!Q62,2)</f>
        <v>27345.53</v>
      </c>
      <c r="R205" s="132">
        <f>ROUND('[7]2032'!R62,2)</f>
        <v>27366.81</v>
      </c>
      <c r="S205" s="132">
        <f>ROUND('[7]2032'!S62,2)</f>
        <v>27242.98</v>
      </c>
      <c r="T205" s="132">
        <f>ROUND('[7]2032'!T62,2)</f>
        <v>27393.599999999999</v>
      </c>
      <c r="U205" s="132">
        <f>ROUND('[7]2032'!U62,2)</f>
        <v>27380.82</v>
      </c>
      <c r="V205" s="132">
        <f>ROUND('[7]2032'!V62,2)</f>
        <v>28265.86</v>
      </c>
      <c r="W205" s="132">
        <f>ROUND('[7]2032'!W62,2)</f>
        <v>32202.959999999999</v>
      </c>
      <c r="X205" s="132">
        <f>ROUND('[7]2032'!X62,2)</f>
        <v>32500.75</v>
      </c>
      <c r="Y205" s="132">
        <f>ROUND('[7]2032'!Y62,2)</f>
        <v>32089.040000000001</v>
      </c>
      <c r="Z205" s="132">
        <f>ROUND('[7]2032'!Z62,2)</f>
        <v>31113.37</v>
      </c>
      <c r="AA205" s="132">
        <f>ROUND('[7]2032'!AA62,2)</f>
        <v>29505.32</v>
      </c>
      <c r="AB205" s="132">
        <f>ROUND('[7]2032'!AB62,2)</f>
        <v>27639.64</v>
      </c>
      <c r="AC205" s="284"/>
      <c r="AD205" s="19"/>
    </row>
    <row r="206" spans="2:50" ht="18.649999999999999" hidden="1" customHeight="1" thickBot="1" x14ac:dyDescent="0.4"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285" t="s">
        <v>33</v>
      </c>
      <c r="AA206" s="286"/>
      <c r="AB206" s="287"/>
      <c r="AC206" s="198">
        <f>SUM(AC158:AC205)</f>
        <v>261226300.40000001</v>
      </c>
      <c r="AD206" s="18"/>
      <c r="AE206" s="19"/>
    </row>
    <row r="207" spans="2:50" ht="18.649999999999999" hidden="1" customHeight="1" x14ac:dyDescent="0.35">
      <c r="B207" s="260">
        <v>48580</v>
      </c>
      <c r="C207" s="7" t="s">
        <v>29</v>
      </c>
      <c r="D207" s="54">
        <f>+'[7]2033'!D15</f>
        <v>20</v>
      </c>
      <c r="E207" s="134">
        <f>ROUND('[7]2033'!E15,2)</f>
        <v>27163.23</v>
      </c>
      <c r="F207" s="134">
        <f>ROUND('[7]2033'!F15,2)</f>
        <v>25691.05</v>
      </c>
      <c r="G207" s="134">
        <f>ROUND('[7]2033'!G15,2)</f>
        <v>24626.93</v>
      </c>
      <c r="H207" s="134">
        <f>ROUND('[7]2033'!H15,2)</f>
        <v>23882.94</v>
      </c>
      <c r="I207" s="134">
        <f>ROUND('[7]2033'!I15,2)</f>
        <v>23706.59</v>
      </c>
      <c r="J207" s="134">
        <f>ROUND('[7]2033'!J15,2)</f>
        <v>24285.3</v>
      </c>
      <c r="K207" s="134">
        <f>ROUND('[7]2033'!K15,2)</f>
        <v>24104.47</v>
      </c>
      <c r="L207" s="134">
        <f>ROUND('[7]2033'!L15,2)</f>
        <v>26954.81</v>
      </c>
      <c r="M207" s="134">
        <f>ROUND('[7]2033'!M15,2)</f>
        <v>30021.9</v>
      </c>
      <c r="N207" s="134">
        <f>ROUND('[7]2033'!N15,2)</f>
        <v>31798.03</v>
      </c>
      <c r="O207" s="134">
        <f>ROUND('[7]2033'!O15,2)</f>
        <v>33630.32</v>
      </c>
      <c r="P207" s="134">
        <f>ROUND('[7]2033'!P15,2)</f>
        <v>34933.360000000001</v>
      </c>
      <c r="Q207" s="134">
        <f>ROUND('[7]2033'!Q15,2)</f>
        <v>33962.69</v>
      </c>
      <c r="R207" s="134">
        <f>ROUND('[7]2033'!R15,2)</f>
        <v>34915.49</v>
      </c>
      <c r="S207" s="134">
        <f>ROUND('[7]2033'!S15,2)</f>
        <v>36504.54</v>
      </c>
      <c r="T207" s="134">
        <f>ROUND('[7]2033'!T15,2)</f>
        <v>36655.25</v>
      </c>
      <c r="U207" s="134">
        <f>ROUND('[7]2033'!U15,2)</f>
        <v>35896.5</v>
      </c>
      <c r="V207" s="134">
        <f>ROUND('[7]2033'!V15,2)</f>
        <v>34453.980000000003</v>
      </c>
      <c r="W207" s="134">
        <f>ROUND('[7]2033'!W15,2)</f>
        <v>36499.24</v>
      </c>
      <c r="X207" s="134">
        <f>ROUND('[7]2033'!X15,2)</f>
        <v>36611.17</v>
      </c>
      <c r="Y207" s="134">
        <f>ROUND('[7]2033'!Y15,2)</f>
        <v>35745.9</v>
      </c>
      <c r="Z207" s="134">
        <f>ROUND('[7]2033'!Z15,2)</f>
        <v>34365</v>
      </c>
      <c r="AA207" s="134">
        <f>ROUND('[7]2033'!AA15,2)</f>
        <v>32088.07</v>
      </c>
      <c r="AB207" s="134">
        <f>ROUND('[7]2033'!AB15,2)</f>
        <v>29531.53</v>
      </c>
      <c r="AC207" s="283">
        <f>SUM(E207:AB207)*D207+SUM(E208:AB208)*D208+SUM(E209:AB209)*D209+SUM(E210:AB210)*D210</f>
        <v>22528816.940000001</v>
      </c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</row>
    <row r="208" spans="2:50" ht="18.649999999999999" hidden="1" customHeight="1" x14ac:dyDescent="0.35">
      <c r="B208" s="261"/>
      <c r="C208" s="10" t="s">
        <v>30</v>
      </c>
      <c r="D208" s="11">
        <f>+'[7]2033'!D16</f>
        <v>4</v>
      </c>
      <c r="E208" s="135">
        <f>ROUND('[7]2033'!E16,2)</f>
        <v>27367.919999999998</v>
      </c>
      <c r="F208" s="135">
        <f>ROUND('[7]2033'!F16,2)</f>
        <v>25914.799999999999</v>
      </c>
      <c r="G208" s="135">
        <f>ROUND('[7]2033'!G16,2)</f>
        <v>24838.21</v>
      </c>
      <c r="H208" s="135">
        <f>ROUND('[7]2033'!H16,2)</f>
        <v>23988.82</v>
      </c>
      <c r="I208" s="135">
        <f>ROUND('[7]2033'!I16,2)</f>
        <v>23766.12</v>
      </c>
      <c r="J208" s="135">
        <f>ROUND('[7]2033'!J16,2)</f>
        <v>23870.34</v>
      </c>
      <c r="K208" s="135">
        <f>ROUND('[7]2033'!K16,2)</f>
        <v>23253.5</v>
      </c>
      <c r="L208" s="135">
        <f>ROUND('[7]2033'!L16,2)</f>
        <v>25466.85</v>
      </c>
      <c r="M208" s="135">
        <f>ROUND('[7]2033'!M16,2)</f>
        <v>28390.09</v>
      </c>
      <c r="N208" s="135">
        <f>ROUND('[7]2033'!N16,2)</f>
        <v>30324.65</v>
      </c>
      <c r="O208" s="135">
        <f>ROUND('[7]2033'!O16,2)</f>
        <v>31917.48</v>
      </c>
      <c r="P208" s="135">
        <f>ROUND('[7]2033'!P16,2)</f>
        <v>32915.89</v>
      </c>
      <c r="Q208" s="135">
        <f>ROUND('[7]2033'!Q16,2)</f>
        <v>32449.34</v>
      </c>
      <c r="R208" s="135">
        <f>ROUND('[7]2033'!R16,2)</f>
        <v>32122.22</v>
      </c>
      <c r="S208" s="135">
        <f>ROUND('[7]2033'!S16,2)</f>
        <v>32305.200000000001</v>
      </c>
      <c r="T208" s="135">
        <f>ROUND('[7]2033'!T16,2)</f>
        <v>32294.91</v>
      </c>
      <c r="U208" s="135">
        <f>ROUND('[7]2033'!U16,2)</f>
        <v>31818.34</v>
      </c>
      <c r="V208" s="135">
        <f>ROUND('[7]2033'!V16,2)</f>
        <v>31575</v>
      </c>
      <c r="W208" s="135">
        <f>ROUND('[7]2033'!W16,2)</f>
        <v>34820.25</v>
      </c>
      <c r="X208" s="135">
        <f>ROUND('[7]2033'!X16,2)</f>
        <v>35168.879999999997</v>
      </c>
      <c r="Y208" s="135">
        <f>ROUND('[7]2033'!Y16,2)</f>
        <v>34196.83</v>
      </c>
      <c r="Z208" s="135">
        <f>ROUND('[7]2033'!Z16,2)</f>
        <v>32986.269999999997</v>
      </c>
      <c r="AA208" s="135">
        <f>ROUND('[7]2033'!AA16,2)</f>
        <v>31342.14</v>
      </c>
      <c r="AB208" s="135">
        <f>ROUND('[7]2033'!AB16,2)</f>
        <v>29422.22</v>
      </c>
      <c r="AC208" s="282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</row>
    <row r="209" spans="2:50" ht="18.649999999999999" hidden="1" customHeight="1" x14ac:dyDescent="0.35">
      <c r="B209" s="261"/>
      <c r="C209" s="10" t="s">
        <v>31</v>
      </c>
      <c r="D209" s="11">
        <f>+'[7]2033'!D17</f>
        <v>5</v>
      </c>
      <c r="E209" s="135">
        <f>ROUND('[7]2033'!E17,2)</f>
        <v>27672.9</v>
      </c>
      <c r="F209" s="135">
        <f>ROUND('[7]2033'!F17,2)</f>
        <v>26271.599999999999</v>
      </c>
      <c r="G209" s="135">
        <f>ROUND('[7]2033'!G17,2)</f>
        <v>25135.18</v>
      </c>
      <c r="H209" s="135">
        <f>ROUND('[7]2033'!H17,2)</f>
        <v>24226.89</v>
      </c>
      <c r="I209" s="135">
        <f>ROUND('[7]2033'!I17,2)</f>
        <v>23765.18</v>
      </c>
      <c r="J209" s="135">
        <f>ROUND('[7]2033'!J17,2)</f>
        <v>23537.48</v>
      </c>
      <c r="K209" s="135">
        <f>ROUND('[7]2033'!K17,2)</f>
        <v>22323.71</v>
      </c>
      <c r="L209" s="135">
        <f>ROUND('[7]2033'!L17,2)</f>
        <v>23321.39</v>
      </c>
      <c r="M209" s="135">
        <f>ROUND('[7]2033'!M17,2)</f>
        <v>24987.84</v>
      </c>
      <c r="N209" s="135">
        <f>ROUND('[7]2033'!N17,2)</f>
        <v>26686.01</v>
      </c>
      <c r="O209" s="135">
        <f>ROUND('[7]2033'!O17,2)</f>
        <v>27730.400000000001</v>
      </c>
      <c r="P209" s="135">
        <f>ROUND('[7]2033'!P17,2)</f>
        <v>28660.39</v>
      </c>
      <c r="Q209" s="135">
        <f>ROUND('[7]2033'!Q17,2)</f>
        <v>29214.1</v>
      </c>
      <c r="R209" s="135">
        <f>ROUND('[7]2033'!R17,2)</f>
        <v>29338.93</v>
      </c>
      <c r="S209" s="135">
        <f>ROUND('[7]2033'!S17,2)</f>
        <v>29420.28</v>
      </c>
      <c r="T209" s="135">
        <f>ROUND('[7]2033'!T17,2)</f>
        <v>29469.19</v>
      </c>
      <c r="U209" s="135">
        <f>ROUND('[7]2033'!U17,2)</f>
        <v>29296.65</v>
      </c>
      <c r="V209" s="135">
        <f>ROUND('[7]2033'!V17,2)</f>
        <v>29326.560000000001</v>
      </c>
      <c r="W209" s="135">
        <f>ROUND('[7]2033'!W17,2)</f>
        <v>32878.410000000003</v>
      </c>
      <c r="X209" s="135">
        <f>ROUND('[7]2033'!X17,2)</f>
        <v>33952.14</v>
      </c>
      <c r="Y209" s="135">
        <f>ROUND('[7]2033'!Y17,2)</f>
        <v>33828.89</v>
      </c>
      <c r="Z209" s="135">
        <f>ROUND('[7]2033'!Z17,2)</f>
        <v>32894.160000000003</v>
      </c>
      <c r="AA209" s="135">
        <f>ROUND('[7]2033'!AA17,2)</f>
        <v>31125.84</v>
      </c>
      <c r="AB209" s="135">
        <f>ROUND('[7]2033'!AB17,2)</f>
        <v>28962.46</v>
      </c>
      <c r="AC209" s="282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</row>
    <row r="210" spans="2:50" ht="18.649999999999999" hidden="1" customHeight="1" thickBot="1" x14ac:dyDescent="0.4">
      <c r="B210" s="261"/>
      <c r="C210" s="16" t="s">
        <v>32</v>
      </c>
      <c r="D210" s="17">
        <f>+'[7]2033'!D18</f>
        <v>2</v>
      </c>
      <c r="E210" s="136">
        <f>ROUND('[7]2033'!E18,2)</f>
        <v>27672.9</v>
      </c>
      <c r="F210" s="136">
        <f>ROUND('[7]2033'!F18,2)</f>
        <v>26271.599999999999</v>
      </c>
      <c r="G210" s="136">
        <f>ROUND('[7]2033'!G18,2)</f>
        <v>25135.18</v>
      </c>
      <c r="H210" s="136">
        <f>ROUND('[7]2033'!H18,2)</f>
        <v>24226.89</v>
      </c>
      <c r="I210" s="136">
        <f>ROUND('[7]2033'!I18,2)</f>
        <v>23765.18</v>
      </c>
      <c r="J210" s="136">
        <f>ROUND('[7]2033'!J18,2)</f>
        <v>23537.48</v>
      </c>
      <c r="K210" s="136">
        <f>ROUND('[7]2033'!K18,2)</f>
        <v>22323.71</v>
      </c>
      <c r="L210" s="136">
        <f>ROUND('[7]2033'!L18,2)</f>
        <v>23321.39</v>
      </c>
      <c r="M210" s="136">
        <f>ROUND('[7]2033'!M18,2)</f>
        <v>24987.84</v>
      </c>
      <c r="N210" s="136">
        <f>ROUND('[7]2033'!N18,2)</f>
        <v>26686.01</v>
      </c>
      <c r="O210" s="136">
        <f>ROUND('[7]2033'!O18,2)</f>
        <v>27730.400000000001</v>
      </c>
      <c r="P210" s="136">
        <f>ROUND('[7]2033'!P18,2)</f>
        <v>28660.39</v>
      </c>
      <c r="Q210" s="136">
        <f>ROUND('[7]2033'!Q18,2)</f>
        <v>29214.1</v>
      </c>
      <c r="R210" s="136">
        <f>ROUND('[7]2033'!R18,2)</f>
        <v>29338.93</v>
      </c>
      <c r="S210" s="136">
        <f>ROUND('[7]2033'!S18,2)</f>
        <v>29420.28</v>
      </c>
      <c r="T210" s="136">
        <f>ROUND('[7]2033'!T18,2)</f>
        <v>29469.19</v>
      </c>
      <c r="U210" s="136">
        <f>ROUND('[7]2033'!U18,2)</f>
        <v>29296.65</v>
      </c>
      <c r="V210" s="136">
        <f>ROUND('[7]2033'!V18,2)</f>
        <v>29326.560000000001</v>
      </c>
      <c r="W210" s="136">
        <f>ROUND('[7]2033'!W18,2)</f>
        <v>32878.410000000003</v>
      </c>
      <c r="X210" s="136">
        <f>ROUND('[7]2033'!X18,2)</f>
        <v>33952.14</v>
      </c>
      <c r="Y210" s="136">
        <f>ROUND('[7]2033'!Y18,2)</f>
        <v>33828.89</v>
      </c>
      <c r="Z210" s="136">
        <f>ROUND('[7]2033'!Z18,2)</f>
        <v>32894.160000000003</v>
      </c>
      <c r="AA210" s="136">
        <f>ROUND('[7]2033'!AA18,2)</f>
        <v>31125.84</v>
      </c>
      <c r="AB210" s="136">
        <f>ROUND('[7]2033'!AB18,2)</f>
        <v>28962.46</v>
      </c>
      <c r="AC210" s="282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</row>
    <row r="211" spans="2:50" ht="18.649999999999999" hidden="1" customHeight="1" x14ac:dyDescent="0.35">
      <c r="B211" s="263">
        <v>48611</v>
      </c>
      <c r="C211" s="7" t="s">
        <v>29</v>
      </c>
      <c r="D211" s="8">
        <f>+'[7]2033'!D19</f>
        <v>20</v>
      </c>
      <c r="E211" s="134">
        <f>ROUND('[7]2033'!E19,2)</f>
        <v>28004.25</v>
      </c>
      <c r="F211" s="134">
        <f>ROUND('[7]2033'!F19,2)</f>
        <v>26526.49</v>
      </c>
      <c r="G211" s="134">
        <f>ROUND('[7]2033'!G19,2)</f>
        <v>25470.95</v>
      </c>
      <c r="H211" s="134">
        <f>ROUND('[7]2033'!H19,2)</f>
        <v>24779.98</v>
      </c>
      <c r="I211" s="134">
        <f>ROUND('[7]2033'!I19,2)</f>
        <v>24830.720000000001</v>
      </c>
      <c r="J211" s="134">
        <f>ROUND('[7]2033'!J19,2)</f>
        <v>26209.89</v>
      </c>
      <c r="K211" s="134">
        <f>ROUND('[7]2033'!K19,2)</f>
        <v>26139.86</v>
      </c>
      <c r="L211" s="134">
        <f>ROUND('[7]2033'!L19,2)</f>
        <v>28838.43</v>
      </c>
      <c r="M211" s="134">
        <f>ROUND('[7]2033'!M19,2)</f>
        <v>31559.54</v>
      </c>
      <c r="N211" s="134">
        <f>ROUND('[7]2033'!N19,2)</f>
        <v>32895.769999999997</v>
      </c>
      <c r="O211" s="134">
        <f>ROUND('[7]2033'!O19,2)</f>
        <v>34492.160000000003</v>
      </c>
      <c r="P211" s="134">
        <f>ROUND('[7]2033'!P19,2)</f>
        <v>35563.199999999997</v>
      </c>
      <c r="Q211" s="134">
        <f>ROUND('[7]2033'!Q19,2)</f>
        <v>34224.74</v>
      </c>
      <c r="R211" s="134">
        <f>ROUND('[7]2033'!R19,2)</f>
        <v>35445.35</v>
      </c>
      <c r="S211" s="134">
        <f>ROUND('[7]2033'!S19,2)</f>
        <v>37239.31</v>
      </c>
      <c r="T211" s="134">
        <f>ROUND('[7]2033'!T19,2)</f>
        <v>37469.870000000003</v>
      </c>
      <c r="U211" s="134">
        <f>ROUND('[7]2033'!U19,2)</f>
        <v>36813.629999999997</v>
      </c>
      <c r="V211" s="134">
        <f>ROUND('[7]2033'!V19,2)</f>
        <v>35245.85</v>
      </c>
      <c r="W211" s="134">
        <f>ROUND('[7]2033'!W19,2)</f>
        <v>37119.25</v>
      </c>
      <c r="X211" s="134">
        <f>ROUND('[7]2033'!X19,2)</f>
        <v>37720.019999999997</v>
      </c>
      <c r="Y211" s="134">
        <f>ROUND('[7]2033'!Y19,2)</f>
        <v>36973.15</v>
      </c>
      <c r="Z211" s="134">
        <f>ROUND('[7]2033'!Z19,2)</f>
        <v>35363.06</v>
      </c>
      <c r="AA211" s="134">
        <f>ROUND('[7]2033'!AA19,2)</f>
        <v>32738.799999999999</v>
      </c>
      <c r="AB211" s="134">
        <f>ROUND('[7]2033'!AB19,2)</f>
        <v>30099.85</v>
      </c>
      <c r="AC211" s="283">
        <f>SUM(E211:AB211)*D211+SUM(E212:AB212)*D212+SUM(E213:AB213)*D213+SUM(E214:AB214)*D214</f>
        <v>21208401.280000001</v>
      </c>
      <c r="AD211" s="19"/>
    </row>
    <row r="212" spans="2:50" ht="18.649999999999999" hidden="1" customHeight="1" x14ac:dyDescent="0.35">
      <c r="B212" s="264" t="s">
        <v>34</v>
      </c>
      <c r="C212" s="10" t="s">
        <v>30</v>
      </c>
      <c r="D212" s="11">
        <f>+'[7]2033'!D20</f>
        <v>4</v>
      </c>
      <c r="E212" s="135">
        <f>ROUND('[7]2033'!E20,2)</f>
        <v>28093.56</v>
      </c>
      <c r="F212" s="135">
        <f>ROUND('[7]2033'!F20,2)</f>
        <v>26725.63</v>
      </c>
      <c r="G212" s="135">
        <f>ROUND('[7]2033'!G20,2)</f>
        <v>25536.720000000001</v>
      </c>
      <c r="H212" s="135">
        <f>ROUND('[7]2033'!H20,2)</f>
        <v>24730.25</v>
      </c>
      <c r="I212" s="135">
        <f>ROUND('[7]2033'!I20,2)</f>
        <v>24422.34</v>
      </c>
      <c r="J212" s="135">
        <f>ROUND('[7]2033'!J20,2)</f>
        <v>24666.720000000001</v>
      </c>
      <c r="K212" s="135">
        <f>ROUND('[7]2033'!K20,2)</f>
        <v>24418.04</v>
      </c>
      <c r="L212" s="135">
        <f>ROUND('[7]2033'!L20,2)</f>
        <v>26844.69</v>
      </c>
      <c r="M212" s="135">
        <f>ROUND('[7]2033'!M20,2)</f>
        <v>29762.35</v>
      </c>
      <c r="N212" s="135">
        <f>ROUND('[7]2033'!N20,2)</f>
        <v>31594.880000000001</v>
      </c>
      <c r="O212" s="135">
        <f>ROUND('[7]2033'!O20,2)</f>
        <v>33093.22</v>
      </c>
      <c r="P212" s="135">
        <f>ROUND('[7]2033'!P20,2)</f>
        <v>34085.629999999997</v>
      </c>
      <c r="Q212" s="135">
        <f>ROUND('[7]2033'!Q20,2)</f>
        <v>33491.07</v>
      </c>
      <c r="R212" s="135">
        <f>ROUND('[7]2033'!R20,2)</f>
        <v>33100.339999999997</v>
      </c>
      <c r="S212" s="135">
        <f>ROUND('[7]2033'!S20,2)</f>
        <v>33274.14</v>
      </c>
      <c r="T212" s="135">
        <f>ROUND('[7]2033'!T20,2)</f>
        <v>33269.96</v>
      </c>
      <c r="U212" s="135">
        <f>ROUND('[7]2033'!U20,2)</f>
        <v>32764.86</v>
      </c>
      <c r="V212" s="135">
        <f>ROUND('[7]2033'!V20,2)</f>
        <v>32536.639999999999</v>
      </c>
      <c r="W212" s="135">
        <f>ROUND('[7]2033'!W20,2)</f>
        <v>35639.1</v>
      </c>
      <c r="X212" s="135">
        <f>ROUND('[7]2033'!X20,2)</f>
        <v>36363.370000000003</v>
      </c>
      <c r="Y212" s="135">
        <f>ROUND('[7]2033'!Y20,2)</f>
        <v>35418.49</v>
      </c>
      <c r="Z212" s="135">
        <f>ROUND('[7]2033'!Z20,2)</f>
        <v>34142.339999999997</v>
      </c>
      <c r="AA212" s="135">
        <f>ROUND('[7]2033'!AA20,2)</f>
        <v>32407.9</v>
      </c>
      <c r="AB212" s="135">
        <f>ROUND('[7]2033'!AB20,2)</f>
        <v>30367.9</v>
      </c>
      <c r="AC212" s="282"/>
      <c r="AD212" s="19"/>
    </row>
    <row r="213" spans="2:50" ht="18.649999999999999" hidden="1" customHeight="1" x14ac:dyDescent="0.35">
      <c r="B213" s="264" t="s">
        <v>34</v>
      </c>
      <c r="C213" s="10" t="s">
        <v>31</v>
      </c>
      <c r="D213" s="11">
        <f>+'[7]2033'!D21</f>
        <v>4</v>
      </c>
      <c r="E213" s="135">
        <f>ROUND('[7]2033'!E21,2)</f>
        <v>28530.27</v>
      </c>
      <c r="F213" s="135">
        <f>ROUND('[7]2033'!F21,2)</f>
        <v>27069.49</v>
      </c>
      <c r="G213" s="135">
        <f>ROUND('[7]2033'!G21,2)</f>
        <v>25939.46</v>
      </c>
      <c r="H213" s="135">
        <f>ROUND('[7]2033'!H21,2)</f>
        <v>25110.5</v>
      </c>
      <c r="I213" s="135">
        <f>ROUND('[7]2033'!I21,2)</f>
        <v>24585.48</v>
      </c>
      <c r="J213" s="135">
        <f>ROUND('[7]2033'!J21,2)</f>
        <v>24475.200000000001</v>
      </c>
      <c r="K213" s="135">
        <f>ROUND('[7]2033'!K21,2)</f>
        <v>23396.6</v>
      </c>
      <c r="L213" s="135">
        <f>ROUND('[7]2033'!L21,2)</f>
        <v>24441.97</v>
      </c>
      <c r="M213" s="135">
        <f>ROUND('[7]2033'!M21,2)</f>
        <v>26153.7</v>
      </c>
      <c r="N213" s="135">
        <f>ROUND('[7]2033'!N21,2)</f>
        <v>27708.080000000002</v>
      </c>
      <c r="O213" s="135">
        <f>ROUND('[7]2033'!O21,2)</f>
        <v>28841.68</v>
      </c>
      <c r="P213" s="135">
        <f>ROUND('[7]2033'!P21,2)</f>
        <v>29994.62</v>
      </c>
      <c r="Q213" s="135">
        <f>ROUND('[7]2033'!Q21,2)</f>
        <v>30655.87</v>
      </c>
      <c r="R213" s="135">
        <f>ROUND('[7]2033'!R21,2)</f>
        <v>30858.5</v>
      </c>
      <c r="S213" s="135">
        <f>ROUND('[7]2033'!S21,2)</f>
        <v>31041.89</v>
      </c>
      <c r="T213" s="135">
        <f>ROUND('[7]2033'!T21,2)</f>
        <v>31183.7</v>
      </c>
      <c r="U213" s="135">
        <f>ROUND('[7]2033'!U21,2)</f>
        <v>30979.15</v>
      </c>
      <c r="V213" s="135">
        <f>ROUND('[7]2033'!V21,2)</f>
        <v>30906.57</v>
      </c>
      <c r="W213" s="135">
        <f>ROUND('[7]2033'!W21,2)</f>
        <v>34364.22</v>
      </c>
      <c r="X213" s="135">
        <f>ROUND('[7]2033'!X21,2)</f>
        <v>35912.129999999997</v>
      </c>
      <c r="Y213" s="135">
        <f>ROUND('[7]2033'!Y21,2)</f>
        <v>35938.71</v>
      </c>
      <c r="Z213" s="135">
        <f>ROUND('[7]2033'!Z21,2)</f>
        <v>35047.29</v>
      </c>
      <c r="AA213" s="135">
        <f>ROUND('[7]2033'!AA21,2)</f>
        <v>32950.33</v>
      </c>
      <c r="AB213" s="135">
        <f>ROUND('[7]2033'!AB21,2)</f>
        <v>30444.17</v>
      </c>
      <c r="AC213" s="282"/>
      <c r="AD213" s="19"/>
    </row>
    <row r="214" spans="2:50" ht="18.649999999999999" hidden="1" customHeight="1" thickBot="1" x14ac:dyDescent="0.4">
      <c r="B214" s="265" t="s">
        <v>34</v>
      </c>
      <c r="C214" s="12" t="s">
        <v>32</v>
      </c>
      <c r="D214" s="13">
        <f>+'[7]2033'!D22</f>
        <v>0</v>
      </c>
      <c r="E214" s="199">
        <f>ROUND('[7]2033'!E22,2)</f>
        <v>0</v>
      </c>
      <c r="F214" s="115">
        <f>ROUND('[7]2033'!F22,2)</f>
        <v>0</v>
      </c>
      <c r="G214" s="115">
        <f>ROUND('[7]2033'!G22,2)</f>
        <v>0</v>
      </c>
      <c r="H214" s="115">
        <f>ROUND('[7]2033'!H22,2)</f>
        <v>0</v>
      </c>
      <c r="I214" s="115">
        <f>ROUND('[7]2033'!I22,2)</f>
        <v>0</v>
      </c>
      <c r="J214" s="115">
        <f>ROUND('[7]2033'!J22,2)</f>
        <v>0</v>
      </c>
      <c r="K214" s="115">
        <f>ROUND('[7]2033'!K22,2)</f>
        <v>0</v>
      </c>
      <c r="L214" s="115">
        <f>ROUND('[7]2033'!L22,2)</f>
        <v>0</v>
      </c>
      <c r="M214" s="115">
        <f>ROUND('[7]2033'!M22,2)</f>
        <v>0</v>
      </c>
      <c r="N214" s="115">
        <f>ROUND('[7]2033'!N22,2)</f>
        <v>0</v>
      </c>
      <c r="O214" s="115">
        <f>ROUND('[7]2033'!O22,2)</f>
        <v>0</v>
      </c>
      <c r="P214" s="115">
        <f>ROUND('[7]2033'!P22,2)</f>
        <v>0</v>
      </c>
      <c r="Q214" s="115">
        <f>ROUND('[7]2033'!Q22,2)</f>
        <v>0</v>
      </c>
      <c r="R214" s="115">
        <f>ROUND('[7]2033'!R22,2)</f>
        <v>0</v>
      </c>
      <c r="S214" s="115">
        <f>ROUND('[7]2033'!S22,2)</f>
        <v>0</v>
      </c>
      <c r="T214" s="115">
        <f>ROUND('[7]2033'!T22,2)</f>
        <v>0</v>
      </c>
      <c r="U214" s="115">
        <f>ROUND('[7]2033'!U22,2)</f>
        <v>0</v>
      </c>
      <c r="V214" s="115">
        <f>ROUND('[7]2033'!V22,2)</f>
        <v>0</v>
      </c>
      <c r="W214" s="115">
        <f>ROUND('[7]2033'!W22,2)</f>
        <v>0</v>
      </c>
      <c r="X214" s="115">
        <f>ROUND('[7]2033'!X22,2)</f>
        <v>0</v>
      </c>
      <c r="Y214" s="115">
        <f>ROUND('[7]2033'!Y22,2)</f>
        <v>0</v>
      </c>
      <c r="Z214" s="115">
        <f>ROUND('[7]2033'!Z22,2)</f>
        <v>0</v>
      </c>
      <c r="AA214" s="115">
        <f>ROUND('[7]2033'!AA22,2)</f>
        <v>0</v>
      </c>
      <c r="AB214" s="115">
        <f>ROUND('[7]2033'!AB22,2)</f>
        <v>0</v>
      </c>
      <c r="AC214" s="284"/>
      <c r="AD214" s="19"/>
    </row>
    <row r="215" spans="2:50" ht="18.649999999999999" hidden="1" customHeight="1" x14ac:dyDescent="0.35">
      <c r="B215" s="260">
        <v>48639</v>
      </c>
      <c r="C215" s="14" t="s">
        <v>29</v>
      </c>
      <c r="D215" s="15">
        <f>+'[7]2033'!D23</f>
        <v>22</v>
      </c>
      <c r="E215" s="137">
        <f>ROUND('[7]2033'!E23,2)</f>
        <v>28151.29</v>
      </c>
      <c r="F215" s="137">
        <f>ROUND('[7]2033'!F23,2)</f>
        <v>26663.56</v>
      </c>
      <c r="G215" s="137">
        <f>ROUND('[7]2033'!G23,2)</f>
        <v>25542.41</v>
      </c>
      <c r="H215" s="137">
        <f>ROUND('[7]2033'!H23,2)</f>
        <v>24714.97</v>
      </c>
      <c r="I215" s="137">
        <f>ROUND('[7]2033'!I23,2)</f>
        <v>24590.6</v>
      </c>
      <c r="J215" s="137">
        <f>ROUND('[7]2033'!J23,2)</f>
        <v>25491.02</v>
      </c>
      <c r="K215" s="137">
        <f>ROUND('[7]2033'!K23,2)</f>
        <v>25315.96</v>
      </c>
      <c r="L215" s="137">
        <f>ROUND('[7]2033'!L23,2)</f>
        <v>28217.86</v>
      </c>
      <c r="M215" s="137">
        <f>ROUND('[7]2033'!M23,2)</f>
        <v>31144.62</v>
      </c>
      <c r="N215" s="137">
        <f>ROUND('[7]2033'!N23,2)</f>
        <v>32676.38</v>
      </c>
      <c r="O215" s="137">
        <f>ROUND('[7]2033'!O23,2)</f>
        <v>34413.85</v>
      </c>
      <c r="P215" s="137">
        <f>ROUND('[7]2033'!P23,2)</f>
        <v>35545.01</v>
      </c>
      <c r="Q215" s="137">
        <f>ROUND('[7]2033'!Q23,2)</f>
        <v>34265.730000000003</v>
      </c>
      <c r="R215" s="137">
        <f>ROUND('[7]2033'!R23,2)</f>
        <v>35631.269999999997</v>
      </c>
      <c r="S215" s="137">
        <f>ROUND('[7]2033'!S23,2)</f>
        <v>37286.42</v>
      </c>
      <c r="T215" s="137">
        <f>ROUND('[7]2033'!T23,2)</f>
        <v>37464.26</v>
      </c>
      <c r="U215" s="137">
        <f>ROUND('[7]2033'!U23,2)</f>
        <v>36813.18</v>
      </c>
      <c r="V215" s="137">
        <f>ROUND('[7]2033'!V23,2)</f>
        <v>35240.660000000003</v>
      </c>
      <c r="W215" s="137">
        <f>ROUND('[7]2033'!W23,2)</f>
        <v>36821.51</v>
      </c>
      <c r="X215" s="137">
        <f>ROUND('[7]2033'!X23,2)</f>
        <v>37281.74</v>
      </c>
      <c r="Y215" s="137">
        <f>ROUND('[7]2033'!Y23,2)</f>
        <v>36611.480000000003</v>
      </c>
      <c r="Z215" s="137">
        <f>ROUND('[7]2033'!Z23,2)</f>
        <v>35190.839999999997</v>
      </c>
      <c r="AA215" s="137">
        <f>ROUND('[7]2033'!AA23,2)</f>
        <v>32968.28</v>
      </c>
      <c r="AB215" s="137">
        <f>ROUND('[7]2033'!AB23,2)</f>
        <v>30468.15</v>
      </c>
      <c r="AC215" s="282">
        <f>SUM(E215:AB215)*D215+SUM(E216:AB216)*D216+SUM(E217:AB217)*D217+SUM(E218:AB218)*D218</f>
        <v>23162788.569999997</v>
      </c>
      <c r="AD215" s="19"/>
    </row>
    <row r="216" spans="2:50" ht="18.649999999999999" hidden="1" customHeight="1" x14ac:dyDescent="0.35">
      <c r="B216" s="261"/>
      <c r="C216" s="10" t="s">
        <v>30</v>
      </c>
      <c r="D216" s="11">
        <f>+'[7]2033'!D24</f>
        <v>4</v>
      </c>
      <c r="E216" s="135">
        <f>ROUND('[7]2033'!E24,2)</f>
        <v>28233.06</v>
      </c>
      <c r="F216" s="135">
        <f>ROUND('[7]2033'!F24,2)</f>
        <v>26698.1</v>
      </c>
      <c r="G216" s="135">
        <f>ROUND('[7]2033'!G24,2)</f>
        <v>25616.880000000001</v>
      </c>
      <c r="H216" s="135">
        <f>ROUND('[7]2033'!H24,2)</f>
        <v>24761.23</v>
      </c>
      <c r="I216" s="135">
        <f>ROUND('[7]2033'!I24,2)</f>
        <v>24250.44</v>
      </c>
      <c r="J216" s="135">
        <f>ROUND('[7]2033'!J24,2)</f>
        <v>24172.36</v>
      </c>
      <c r="K216" s="135">
        <f>ROUND('[7]2033'!K24,2)</f>
        <v>23818.3</v>
      </c>
      <c r="L216" s="135">
        <f>ROUND('[7]2033'!L24,2)</f>
        <v>26096.9</v>
      </c>
      <c r="M216" s="135">
        <f>ROUND('[7]2033'!M24,2)</f>
        <v>28843.59</v>
      </c>
      <c r="N216" s="135">
        <f>ROUND('[7]2033'!N24,2)</f>
        <v>30563.63</v>
      </c>
      <c r="O216" s="135">
        <f>ROUND('[7]2033'!O24,2)</f>
        <v>31933.78</v>
      </c>
      <c r="P216" s="135">
        <f>ROUND('[7]2033'!P24,2)</f>
        <v>32809.71</v>
      </c>
      <c r="Q216" s="135">
        <f>ROUND('[7]2033'!Q24,2)</f>
        <v>32344.43</v>
      </c>
      <c r="R216" s="135">
        <f>ROUND('[7]2033'!R24,2)</f>
        <v>32007.45</v>
      </c>
      <c r="S216" s="135">
        <f>ROUND('[7]2033'!S24,2)</f>
        <v>31814.959999999999</v>
      </c>
      <c r="T216" s="135">
        <f>ROUND('[7]2033'!T24,2)</f>
        <v>32600.7</v>
      </c>
      <c r="U216" s="135">
        <f>ROUND('[7]2033'!U24,2)</f>
        <v>31495.62</v>
      </c>
      <c r="V216" s="135">
        <f>ROUND('[7]2033'!V24,2)</f>
        <v>31239.91</v>
      </c>
      <c r="W216" s="135">
        <f>ROUND('[7]2033'!W24,2)</f>
        <v>34510.639999999999</v>
      </c>
      <c r="X216" s="135">
        <f>ROUND('[7]2033'!X24,2)</f>
        <v>35025.43</v>
      </c>
      <c r="Y216" s="135">
        <f>ROUND('[7]2033'!Y24,2)</f>
        <v>34174.870000000003</v>
      </c>
      <c r="Z216" s="135">
        <f>ROUND('[7]2033'!Z24,2)</f>
        <v>33080.29</v>
      </c>
      <c r="AA216" s="135">
        <f>ROUND('[7]2033'!AA24,2)</f>
        <v>31628.51</v>
      </c>
      <c r="AB216" s="135">
        <f>ROUND('[7]2033'!AB24,2)</f>
        <v>29783.34</v>
      </c>
      <c r="AC216" s="282"/>
      <c r="AD216" s="19"/>
    </row>
    <row r="217" spans="2:50" ht="18.649999999999999" hidden="1" customHeight="1" x14ac:dyDescent="0.35">
      <c r="B217" s="261"/>
      <c r="C217" s="10" t="s">
        <v>31</v>
      </c>
      <c r="D217" s="11">
        <f>+'[7]2033'!D25</f>
        <v>4</v>
      </c>
      <c r="E217" s="135">
        <f>ROUND('[7]2033'!E25,2)</f>
        <v>28006.93</v>
      </c>
      <c r="F217" s="135">
        <f>ROUND('[7]2033'!F25,2)</f>
        <v>26573.16</v>
      </c>
      <c r="G217" s="135">
        <f>ROUND('[7]2033'!G25,2)</f>
        <v>25293.37</v>
      </c>
      <c r="H217" s="135">
        <f>ROUND('[7]2033'!H25,2)</f>
        <v>24395.49</v>
      </c>
      <c r="I217" s="135">
        <f>ROUND('[7]2033'!I25,2)</f>
        <v>23979.13</v>
      </c>
      <c r="J217" s="135">
        <f>ROUND('[7]2033'!J25,2)</f>
        <v>23707.89</v>
      </c>
      <c r="K217" s="135">
        <f>ROUND('[7]2033'!K25,2)</f>
        <v>22549.69</v>
      </c>
      <c r="L217" s="135">
        <f>ROUND('[7]2033'!L25,2)</f>
        <v>23634.11</v>
      </c>
      <c r="M217" s="135">
        <f>ROUND('[7]2033'!M25,2)</f>
        <v>25205.33</v>
      </c>
      <c r="N217" s="135">
        <f>ROUND('[7]2033'!N25,2)</f>
        <v>26641.98</v>
      </c>
      <c r="O217" s="135">
        <f>ROUND('[7]2033'!O25,2)</f>
        <v>27731.1</v>
      </c>
      <c r="P217" s="135">
        <f>ROUND('[7]2033'!P25,2)</f>
        <v>28760.76</v>
      </c>
      <c r="Q217" s="135">
        <f>ROUND('[7]2033'!Q25,2)</f>
        <v>29277.98</v>
      </c>
      <c r="R217" s="135">
        <f>ROUND('[7]2033'!R25,2)</f>
        <v>29410.14</v>
      </c>
      <c r="S217" s="135">
        <f>ROUND('[7]2033'!S25,2)</f>
        <v>29561.39</v>
      </c>
      <c r="T217" s="135">
        <f>ROUND('[7]2033'!T25,2)</f>
        <v>29772.14</v>
      </c>
      <c r="U217" s="135">
        <f>ROUND('[7]2033'!U25,2)</f>
        <v>29404.240000000002</v>
      </c>
      <c r="V217" s="135">
        <f>ROUND('[7]2033'!V25,2)</f>
        <v>29474.98</v>
      </c>
      <c r="W217" s="135">
        <f>ROUND('[7]2033'!W25,2)</f>
        <v>32648.62</v>
      </c>
      <c r="X217" s="135">
        <f>ROUND('[7]2033'!X25,2)</f>
        <v>33822.269999999997</v>
      </c>
      <c r="Y217" s="135">
        <f>ROUND('[7]2033'!Y25,2)</f>
        <v>33761.5</v>
      </c>
      <c r="Z217" s="135">
        <f>ROUND('[7]2033'!Z25,2)</f>
        <v>33107.42</v>
      </c>
      <c r="AA217" s="135">
        <f>ROUND('[7]2033'!AA25,2)</f>
        <v>31347.63</v>
      </c>
      <c r="AB217" s="135">
        <f>ROUND('[7]2033'!AB25,2)</f>
        <v>29038.54</v>
      </c>
      <c r="AC217" s="282"/>
      <c r="AD217" s="19"/>
    </row>
    <row r="218" spans="2:50" ht="18.649999999999999" hidden="1" customHeight="1" thickBot="1" x14ac:dyDescent="0.4">
      <c r="B218" s="261"/>
      <c r="C218" s="16" t="s">
        <v>32</v>
      </c>
      <c r="D218" s="17">
        <f>+'[7]2033'!D26</f>
        <v>1</v>
      </c>
      <c r="E218" s="136">
        <f>ROUND('[7]2033'!E26,2)</f>
        <v>28006.93</v>
      </c>
      <c r="F218" s="136">
        <f>ROUND('[7]2033'!F26,2)</f>
        <v>26573.16</v>
      </c>
      <c r="G218" s="136">
        <f>ROUND('[7]2033'!G26,2)</f>
        <v>25293.37</v>
      </c>
      <c r="H218" s="136">
        <f>ROUND('[7]2033'!H26,2)</f>
        <v>24395.49</v>
      </c>
      <c r="I218" s="136">
        <f>ROUND('[7]2033'!I26,2)</f>
        <v>23979.13</v>
      </c>
      <c r="J218" s="136">
        <f>ROUND('[7]2033'!J26,2)</f>
        <v>23707.89</v>
      </c>
      <c r="K218" s="136">
        <f>ROUND('[7]2033'!K26,2)</f>
        <v>22549.69</v>
      </c>
      <c r="L218" s="136">
        <f>ROUND('[7]2033'!L26,2)</f>
        <v>23634.11</v>
      </c>
      <c r="M218" s="136">
        <f>ROUND('[7]2033'!M26,2)</f>
        <v>25205.33</v>
      </c>
      <c r="N218" s="136">
        <f>ROUND('[7]2033'!N26,2)</f>
        <v>26641.98</v>
      </c>
      <c r="O218" s="136">
        <f>ROUND('[7]2033'!O26,2)</f>
        <v>27731.1</v>
      </c>
      <c r="P218" s="136">
        <f>ROUND('[7]2033'!P26,2)</f>
        <v>28760.76</v>
      </c>
      <c r="Q218" s="136">
        <f>ROUND('[7]2033'!Q26,2)</f>
        <v>29277.98</v>
      </c>
      <c r="R218" s="136">
        <f>ROUND('[7]2033'!R26,2)</f>
        <v>29410.14</v>
      </c>
      <c r="S218" s="136">
        <f>ROUND('[7]2033'!S26,2)</f>
        <v>29561.39</v>
      </c>
      <c r="T218" s="136">
        <f>ROUND('[7]2033'!T26,2)</f>
        <v>29772.14</v>
      </c>
      <c r="U218" s="136">
        <f>ROUND('[7]2033'!U26,2)</f>
        <v>29404.240000000002</v>
      </c>
      <c r="V218" s="136">
        <f>ROUND('[7]2033'!V26,2)</f>
        <v>29474.98</v>
      </c>
      <c r="W218" s="136">
        <f>ROUND('[7]2033'!W26,2)</f>
        <v>32648.62</v>
      </c>
      <c r="X218" s="136">
        <f>ROUND('[7]2033'!X26,2)</f>
        <v>33822.269999999997</v>
      </c>
      <c r="Y218" s="136">
        <f>ROUND('[7]2033'!Y26,2)</f>
        <v>33761.5</v>
      </c>
      <c r="Z218" s="136">
        <f>ROUND('[7]2033'!Z26,2)</f>
        <v>33107.42</v>
      </c>
      <c r="AA218" s="136">
        <f>ROUND('[7]2033'!AA26,2)</f>
        <v>31347.63</v>
      </c>
      <c r="AB218" s="136">
        <f>ROUND('[7]2033'!AB26,2)</f>
        <v>29038.54</v>
      </c>
      <c r="AC218" s="282"/>
      <c r="AD218" s="19"/>
    </row>
    <row r="219" spans="2:50" ht="18.649999999999999" hidden="1" customHeight="1" x14ac:dyDescent="0.35">
      <c r="B219" s="263">
        <v>48670</v>
      </c>
      <c r="C219" s="7" t="s">
        <v>29</v>
      </c>
      <c r="D219" s="8">
        <f>+'[7]2033'!D27</f>
        <v>19</v>
      </c>
      <c r="E219" s="134">
        <f>ROUND('[7]2033'!E27,2)</f>
        <v>27760.69</v>
      </c>
      <c r="F219" s="134">
        <f>ROUND('[7]2033'!F27,2)</f>
        <v>26563.8</v>
      </c>
      <c r="G219" s="134">
        <f>ROUND('[7]2033'!G27,2)</f>
        <v>25390.66</v>
      </c>
      <c r="H219" s="134">
        <f>ROUND('[7]2033'!H27,2)</f>
        <v>24734.959999999999</v>
      </c>
      <c r="I219" s="134">
        <f>ROUND('[7]2033'!I27,2)</f>
        <v>24578.29</v>
      </c>
      <c r="J219" s="134">
        <f>ROUND('[7]2033'!J27,2)</f>
        <v>24323.14</v>
      </c>
      <c r="K219" s="134">
        <f>ROUND('[7]2033'!K27,2)</f>
        <v>24407.58</v>
      </c>
      <c r="L219" s="134">
        <f>ROUND('[7]2033'!L27,2)</f>
        <v>27151.14</v>
      </c>
      <c r="M219" s="134">
        <f>ROUND('[7]2033'!M27,2)</f>
        <v>30265.23</v>
      </c>
      <c r="N219" s="134">
        <f>ROUND('[7]2033'!N27,2)</f>
        <v>32105.29</v>
      </c>
      <c r="O219" s="134">
        <f>ROUND('[7]2033'!O27,2)</f>
        <v>33634.980000000003</v>
      </c>
      <c r="P219" s="134">
        <f>ROUND('[7]2033'!P27,2)</f>
        <v>34598.75</v>
      </c>
      <c r="Q219" s="134">
        <f>ROUND('[7]2033'!Q27,2)</f>
        <v>33955.760000000002</v>
      </c>
      <c r="R219" s="134">
        <f>ROUND('[7]2033'!R27,2)</f>
        <v>33548.550000000003</v>
      </c>
      <c r="S219" s="134">
        <f>ROUND('[7]2033'!S27,2)</f>
        <v>33781.29</v>
      </c>
      <c r="T219" s="134">
        <f>ROUND('[7]2033'!T27,2)</f>
        <v>33776.28</v>
      </c>
      <c r="U219" s="134">
        <f>ROUND('[7]2033'!U27,2)</f>
        <v>33245.089999999997</v>
      </c>
      <c r="V219" s="134">
        <f>ROUND('[7]2033'!V27,2)</f>
        <v>33053.1</v>
      </c>
      <c r="W219" s="134">
        <f>ROUND('[7]2033'!W27,2)</f>
        <v>36406.26</v>
      </c>
      <c r="X219" s="134">
        <f>ROUND('[7]2033'!X27,2)</f>
        <v>36695.94</v>
      </c>
      <c r="Y219" s="134">
        <f>ROUND('[7]2033'!Y27,2)</f>
        <v>35797.269999999997</v>
      </c>
      <c r="Z219" s="134">
        <f>ROUND('[7]2033'!Z27,2)</f>
        <v>34553.67</v>
      </c>
      <c r="AA219" s="134">
        <f>ROUND('[7]2033'!AA27,2)</f>
        <v>32854.11</v>
      </c>
      <c r="AB219" s="134">
        <f>ROUND('[7]2033'!AB27,2)</f>
        <v>30795.360000000001</v>
      </c>
      <c r="AC219" s="283">
        <f>SUM(E219:AB219)*D219+SUM(E220:AB220)*D220+SUM(E221:AB221)*D221+SUM(E222:AB222)*D222</f>
        <v>22020738.060000002</v>
      </c>
      <c r="AD219" s="19"/>
    </row>
    <row r="220" spans="2:50" ht="18.649999999999999" hidden="1" customHeight="1" x14ac:dyDescent="0.35">
      <c r="B220" s="264" t="s">
        <v>34</v>
      </c>
      <c r="C220" s="10" t="s">
        <v>30</v>
      </c>
      <c r="D220" s="11">
        <f>+'[7]2033'!D28</f>
        <v>5</v>
      </c>
      <c r="E220" s="135">
        <f>ROUND('[7]2033'!E28,2)</f>
        <v>26802.560000000001</v>
      </c>
      <c r="F220" s="135">
        <f>ROUND('[7]2033'!F28,2)</f>
        <v>25481.58</v>
      </c>
      <c r="G220" s="135">
        <f>ROUND('[7]2033'!G28,2)</f>
        <v>24478.16</v>
      </c>
      <c r="H220" s="135">
        <f>ROUND('[7]2033'!H28,2)</f>
        <v>23738.28</v>
      </c>
      <c r="I220" s="135">
        <f>ROUND('[7]2033'!I28,2)</f>
        <v>23760.45</v>
      </c>
      <c r="J220" s="135">
        <f>ROUND('[7]2033'!J28,2)</f>
        <v>24053.48</v>
      </c>
      <c r="K220" s="135">
        <f>ROUND('[7]2033'!K28,2)</f>
        <v>24593.919999999998</v>
      </c>
      <c r="L220" s="135">
        <f>ROUND('[7]2033'!L28,2)</f>
        <v>27270.06</v>
      </c>
      <c r="M220" s="135">
        <f>ROUND('[7]2033'!M28,2)</f>
        <v>30020.04</v>
      </c>
      <c r="N220" s="135">
        <f>ROUND('[7]2033'!N28,2)</f>
        <v>31621.94</v>
      </c>
      <c r="O220" s="135">
        <f>ROUND('[7]2033'!O28,2)</f>
        <v>33058.57</v>
      </c>
      <c r="P220" s="135">
        <f>ROUND('[7]2033'!P28,2)</f>
        <v>34050.31</v>
      </c>
      <c r="Q220" s="135">
        <f>ROUND('[7]2033'!Q28,2)</f>
        <v>33118.78</v>
      </c>
      <c r="R220" s="135">
        <f>ROUND('[7]2033'!R28,2)</f>
        <v>33772.35</v>
      </c>
      <c r="S220" s="135">
        <f>ROUND('[7]2033'!S28,2)</f>
        <v>34897.760000000002</v>
      </c>
      <c r="T220" s="135">
        <f>ROUND('[7]2033'!T28,2)</f>
        <v>34972.769999999997</v>
      </c>
      <c r="U220" s="135">
        <f>ROUND('[7]2033'!U28,2)</f>
        <v>34421.99</v>
      </c>
      <c r="V220" s="135">
        <f>ROUND('[7]2033'!V28,2)</f>
        <v>33670.18</v>
      </c>
      <c r="W220" s="135">
        <f>ROUND('[7]2033'!W28,2)</f>
        <v>35990.5</v>
      </c>
      <c r="X220" s="135">
        <f>ROUND('[7]2033'!X28,2)</f>
        <v>36301.65</v>
      </c>
      <c r="Y220" s="135">
        <f>ROUND('[7]2033'!Y28,2)</f>
        <v>35356.120000000003</v>
      </c>
      <c r="Z220" s="135">
        <f>ROUND('[7]2033'!Z28,2)</f>
        <v>33805.53</v>
      </c>
      <c r="AA220" s="135">
        <f>ROUND('[7]2033'!AA28,2)</f>
        <v>31370.86</v>
      </c>
      <c r="AB220" s="135">
        <f>ROUND('[7]2033'!AB28,2)</f>
        <v>28682.25</v>
      </c>
      <c r="AC220" s="282"/>
      <c r="AD220" s="19"/>
    </row>
    <row r="221" spans="2:50" ht="18.649999999999999" hidden="1" customHeight="1" x14ac:dyDescent="0.35">
      <c r="B221" s="264" t="s">
        <v>34</v>
      </c>
      <c r="C221" s="10" t="s">
        <v>31</v>
      </c>
      <c r="D221" s="11">
        <f>+'[7]2033'!D29</f>
        <v>4</v>
      </c>
      <c r="E221" s="135">
        <f>ROUND('[7]2033'!E29,2)</f>
        <v>28885.16</v>
      </c>
      <c r="F221" s="135">
        <f>ROUND('[7]2033'!F29,2)</f>
        <v>27422.5</v>
      </c>
      <c r="G221" s="135">
        <f>ROUND('[7]2033'!G29,2)</f>
        <v>26210.84</v>
      </c>
      <c r="H221" s="135">
        <f>ROUND('[7]2033'!H29,2)</f>
        <v>25384.32</v>
      </c>
      <c r="I221" s="135">
        <f>ROUND('[7]2033'!I29,2)</f>
        <v>24900.05</v>
      </c>
      <c r="J221" s="135">
        <f>ROUND('[7]2033'!J29,2)</f>
        <v>24161.62</v>
      </c>
      <c r="K221" s="135">
        <f>ROUND('[7]2033'!K29,2)</f>
        <v>23421.759999999998</v>
      </c>
      <c r="L221" s="135">
        <f>ROUND('[7]2033'!L29,2)</f>
        <v>24733.82</v>
      </c>
      <c r="M221" s="135">
        <f>ROUND('[7]2033'!M29,2)</f>
        <v>26467.83</v>
      </c>
      <c r="N221" s="135">
        <f>ROUND('[7]2033'!N29,2)</f>
        <v>28031.41</v>
      </c>
      <c r="O221" s="135">
        <f>ROUND('[7]2033'!O29,2)</f>
        <v>29267.55</v>
      </c>
      <c r="P221" s="135">
        <f>ROUND('[7]2033'!P29,2)</f>
        <v>30276.23</v>
      </c>
      <c r="Q221" s="135">
        <f>ROUND('[7]2033'!Q29,2)</f>
        <v>30740.6</v>
      </c>
      <c r="R221" s="135">
        <f>ROUND('[7]2033'!R29,2)</f>
        <v>30826.42</v>
      </c>
      <c r="S221" s="135">
        <f>ROUND('[7]2033'!S29,2)</f>
        <v>30657.3</v>
      </c>
      <c r="T221" s="135">
        <f>ROUND('[7]2033'!T29,2)</f>
        <v>30520.97</v>
      </c>
      <c r="U221" s="135">
        <f>ROUND('[7]2033'!U29,2)</f>
        <v>30209.53</v>
      </c>
      <c r="V221" s="135">
        <f>ROUND('[7]2033'!V29,2)</f>
        <v>30498.12</v>
      </c>
      <c r="W221" s="135">
        <f>ROUND('[7]2033'!W29,2)</f>
        <v>34075.85</v>
      </c>
      <c r="X221" s="135">
        <f>ROUND('[7]2033'!X29,2)</f>
        <v>35100.33</v>
      </c>
      <c r="Y221" s="135">
        <f>ROUND('[7]2033'!Y29,2)</f>
        <v>34863.24</v>
      </c>
      <c r="Z221" s="135">
        <f>ROUND('[7]2033'!Z29,2)</f>
        <v>33793.18</v>
      </c>
      <c r="AA221" s="135">
        <f>ROUND('[7]2033'!AA29,2)</f>
        <v>31732.26</v>
      </c>
      <c r="AB221" s="135">
        <f>ROUND('[7]2033'!AB29,2)</f>
        <v>29272.61</v>
      </c>
      <c r="AC221" s="282"/>
      <c r="AD221" s="19"/>
    </row>
    <row r="222" spans="2:50" ht="18.649999999999999" hidden="1" customHeight="1" thickBot="1" x14ac:dyDescent="0.4">
      <c r="B222" s="265" t="s">
        <v>34</v>
      </c>
      <c r="C222" s="12" t="s">
        <v>32</v>
      </c>
      <c r="D222" s="13">
        <f>+'[7]2033'!D30</f>
        <v>2</v>
      </c>
      <c r="E222" s="132">
        <f>ROUND('[7]2033'!E30,2)</f>
        <v>28885.16</v>
      </c>
      <c r="F222" s="132">
        <f>ROUND('[7]2033'!F30,2)</f>
        <v>27422.5</v>
      </c>
      <c r="G222" s="132">
        <f>ROUND('[7]2033'!G30,2)</f>
        <v>26210.84</v>
      </c>
      <c r="H222" s="132">
        <f>ROUND('[7]2033'!H30,2)</f>
        <v>25384.32</v>
      </c>
      <c r="I222" s="132">
        <f>ROUND('[7]2033'!I30,2)</f>
        <v>24900.05</v>
      </c>
      <c r="J222" s="132">
        <f>ROUND('[7]2033'!J30,2)</f>
        <v>24161.62</v>
      </c>
      <c r="K222" s="132">
        <f>ROUND('[7]2033'!K30,2)</f>
        <v>23421.759999999998</v>
      </c>
      <c r="L222" s="132">
        <f>ROUND('[7]2033'!L30,2)</f>
        <v>24733.82</v>
      </c>
      <c r="M222" s="132">
        <f>ROUND('[7]2033'!M30,2)</f>
        <v>26467.83</v>
      </c>
      <c r="N222" s="132">
        <f>ROUND('[7]2033'!N30,2)</f>
        <v>28031.41</v>
      </c>
      <c r="O222" s="132">
        <f>ROUND('[7]2033'!O30,2)</f>
        <v>29267.55</v>
      </c>
      <c r="P222" s="132">
        <f>ROUND('[7]2033'!P30,2)</f>
        <v>30276.23</v>
      </c>
      <c r="Q222" s="132">
        <f>ROUND('[7]2033'!Q30,2)</f>
        <v>30740.6</v>
      </c>
      <c r="R222" s="132">
        <f>ROUND('[7]2033'!R30,2)</f>
        <v>30826.42</v>
      </c>
      <c r="S222" s="132">
        <f>ROUND('[7]2033'!S30,2)</f>
        <v>30657.3</v>
      </c>
      <c r="T222" s="132">
        <f>ROUND('[7]2033'!T30,2)</f>
        <v>30520.97</v>
      </c>
      <c r="U222" s="132">
        <f>ROUND('[7]2033'!U30,2)</f>
        <v>30209.53</v>
      </c>
      <c r="V222" s="132">
        <f>ROUND('[7]2033'!V30,2)</f>
        <v>30498.12</v>
      </c>
      <c r="W222" s="132">
        <f>ROUND('[7]2033'!W30,2)</f>
        <v>34075.85</v>
      </c>
      <c r="X222" s="132">
        <f>ROUND('[7]2033'!X30,2)</f>
        <v>35100.33</v>
      </c>
      <c r="Y222" s="132">
        <f>ROUND('[7]2033'!Y30,2)</f>
        <v>34863.24</v>
      </c>
      <c r="Z222" s="132">
        <f>ROUND('[7]2033'!Z30,2)</f>
        <v>33793.18</v>
      </c>
      <c r="AA222" s="132">
        <f>ROUND('[7]2033'!AA30,2)</f>
        <v>31732.26</v>
      </c>
      <c r="AB222" s="132">
        <f>ROUND('[7]2033'!AB30,2)</f>
        <v>29272.61</v>
      </c>
      <c r="AC222" s="284"/>
      <c r="AD222" s="19"/>
    </row>
    <row r="223" spans="2:50" ht="18.649999999999999" hidden="1" customHeight="1" x14ac:dyDescent="0.35">
      <c r="B223" s="260">
        <v>48700</v>
      </c>
      <c r="C223" s="14" t="s">
        <v>29</v>
      </c>
      <c r="D223" s="15">
        <f>+'[7]2033'!D31</f>
        <v>21</v>
      </c>
      <c r="E223" s="137">
        <f>ROUND('[7]2033'!E31,2)</f>
        <v>28179.24</v>
      </c>
      <c r="F223" s="137">
        <f>ROUND('[7]2033'!F31,2)</f>
        <v>26712.95</v>
      </c>
      <c r="G223" s="137">
        <f>ROUND('[7]2033'!G31,2)</f>
        <v>25529.75</v>
      </c>
      <c r="H223" s="137">
        <f>ROUND('[7]2033'!H31,2)</f>
        <v>24517.84</v>
      </c>
      <c r="I223" s="137">
        <f>ROUND('[7]2033'!I31,2)</f>
        <v>24245.08</v>
      </c>
      <c r="J223" s="137">
        <f>ROUND('[7]2033'!J31,2)</f>
        <v>23861.08</v>
      </c>
      <c r="K223" s="137">
        <f>ROUND('[7]2033'!K31,2)</f>
        <v>24213.74</v>
      </c>
      <c r="L223" s="137">
        <f>ROUND('[7]2033'!L31,2)</f>
        <v>26818.17</v>
      </c>
      <c r="M223" s="137">
        <f>ROUND('[7]2033'!M31,2)</f>
        <v>29853.57</v>
      </c>
      <c r="N223" s="137">
        <f>ROUND('[7]2033'!N31,2)</f>
        <v>31528.23</v>
      </c>
      <c r="O223" s="137">
        <f>ROUND('[7]2033'!O31,2)</f>
        <v>32591.17</v>
      </c>
      <c r="P223" s="137">
        <f>ROUND('[7]2033'!P31,2)</f>
        <v>33372.28</v>
      </c>
      <c r="Q223" s="137">
        <f>ROUND('[7]2033'!Q31,2)</f>
        <v>32798.949999999997</v>
      </c>
      <c r="R223" s="137">
        <f>ROUND('[7]2033'!R31,2)</f>
        <v>32208.99</v>
      </c>
      <c r="S223" s="137">
        <f>ROUND('[7]2033'!S31,2)</f>
        <v>32187.31</v>
      </c>
      <c r="T223" s="137">
        <f>ROUND('[7]2033'!T31,2)</f>
        <v>32005.91</v>
      </c>
      <c r="U223" s="137">
        <f>ROUND('[7]2033'!U31,2)</f>
        <v>31571.05</v>
      </c>
      <c r="V223" s="137">
        <f>ROUND('[7]2033'!V31,2)</f>
        <v>31764.66</v>
      </c>
      <c r="W223" s="137">
        <f>ROUND('[7]2033'!W31,2)</f>
        <v>35212.199999999997</v>
      </c>
      <c r="X223" s="137">
        <f>ROUND('[7]2033'!X31,2)</f>
        <v>35539.919999999998</v>
      </c>
      <c r="Y223" s="137">
        <f>ROUND('[7]2033'!Y31,2)</f>
        <v>34395.519999999997</v>
      </c>
      <c r="Z223" s="137">
        <f>ROUND('[7]2033'!Z31,2)</f>
        <v>32975.99</v>
      </c>
      <c r="AA223" s="137">
        <f>ROUND('[7]2033'!AA31,2)</f>
        <v>31109.23</v>
      </c>
      <c r="AB223" s="137">
        <f>ROUND('[7]2033'!AB31,2)</f>
        <v>29018.27</v>
      </c>
      <c r="AC223" s="282">
        <f>SUM(E223:AB223)*D223+SUM(E224:AB224)*D224+SUM(E225:AB225)*D225+SUM(E226:AB226)*D226</f>
        <v>22184983.880000003</v>
      </c>
      <c r="AD223" s="19"/>
    </row>
    <row r="224" spans="2:50" ht="18.649999999999999" hidden="1" customHeight="1" x14ac:dyDescent="0.35">
      <c r="B224" s="261"/>
      <c r="C224" s="10" t="s">
        <v>30</v>
      </c>
      <c r="D224" s="11">
        <f>+'[7]2033'!D32</f>
        <v>4</v>
      </c>
      <c r="E224" s="135">
        <f>ROUND('[7]2033'!E32,2)</f>
        <v>25978.28</v>
      </c>
      <c r="F224" s="135">
        <f>ROUND('[7]2033'!F32,2)</f>
        <v>24693.21</v>
      </c>
      <c r="G224" s="135">
        <f>ROUND('[7]2033'!G32,2)</f>
        <v>23752.66</v>
      </c>
      <c r="H224" s="135">
        <f>ROUND('[7]2033'!H32,2)</f>
        <v>23104.81</v>
      </c>
      <c r="I224" s="135">
        <f>ROUND('[7]2033'!I32,2)</f>
        <v>23021.68</v>
      </c>
      <c r="J224" s="135">
        <f>ROUND('[7]2033'!J32,2)</f>
        <v>22992.74</v>
      </c>
      <c r="K224" s="135">
        <f>ROUND('[7]2033'!K32,2)</f>
        <v>23342.95</v>
      </c>
      <c r="L224" s="135">
        <f>ROUND('[7]2033'!L32,2)</f>
        <v>26078.560000000001</v>
      </c>
      <c r="M224" s="135">
        <f>ROUND('[7]2033'!M32,2)</f>
        <v>28753.439999999999</v>
      </c>
      <c r="N224" s="135">
        <f>ROUND('[7]2033'!N32,2)</f>
        <v>30298.04</v>
      </c>
      <c r="O224" s="135">
        <f>ROUND('[7]2033'!O32,2)</f>
        <v>31806.95</v>
      </c>
      <c r="P224" s="135">
        <f>ROUND('[7]2033'!P32,2)</f>
        <v>32893.79</v>
      </c>
      <c r="Q224" s="135">
        <f>ROUND('[7]2033'!Q32,2)</f>
        <v>32176.2</v>
      </c>
      <c r="R224" s="135">
        <f>ROUND('[7]2033'!R32,2)</f>
        <v>32519.200000000001</v>
      </c>
      <c r="S224" s="135">
        <f>ROUND('[7]2033'!S32,2)</f>
        <v>33375.160000000003</v>
      </c>
      <c r="T224" s="135">
        <f>ROUND('[7]2033'!T32,2)</f>
        <v>33333.360000000001</v>
      </c>
      <c r="U224" s="135">
        <f>ROUND('[7]2033'!U32,2)</f>
        <v>32853.21</v>
      </c>
      <c r="V224" s="135">
        <f>ROUND('[7]2033'!V32,2)</f>
        <v>32215.040000000001</v>
      </c>
      <c r="W224" s="135">
        <f>ROUND('[7]2033'!W32,2)</f>
        <v>34561.56</v>
      </c>
      <c r="X224" s="135">
        <f>ROUND('[7]2033'!X32,2)</f>
        <v>35212.81</v>
      </c>
      <c r="Y224" s="135">
        <f>ROUND('[7]2033'!Y32,2)</f>
        <v>34253.79</v>
      </c>
      <c r="Z224" s="135">
        <f>ROUND('[7]2033'!Z32,2)</f>
        <v>32679.13</v>
      </c>
      <c r="AA224" s="135">
        <f>ROUND('[7]2033'!AA32,2)</f>
        <v>30312.04</v>
      </c>
      <c r="AB224" s="135">
        <f>ROUND('[7]2033'!AB32,2)</f>
        <v>27843.4</v>
      </c>
      <c r="AC224" s="282"/>
      <c r="AD224" s="19"/>
    </row>
    <row r="225" spans="2:30" ht="18.649999999999999" hidden="1" customHeight="1" x14ac:dyDescent="0.35">
      <c r="B225" s="261"/>
      <c r="C225" s="10" t="s">
        <v>31</v>
      </c>
      <c r="D225" s="11">
        <f>+'[7]2033'!D33</f>
        <v>4</v>
      </c>
      <c r="E225" s="135">
        <f>ROUND('[7]2033'!E33,2)</f>
        <v>25959.15</v>
      </c>
      <c r="F225" s="135">
        <f>ROUND('[7]2033'!F33,2)</f>
        <v>24942.59</v>
      </c>
      <c r="G225" s="135">
        <f>ROUND('[7]2033'!G33,2)</f>
        <v>23900.06</v>
      </c>
      <c r="H225" s="135">
        <f>ROUND('[7]2033'!H33,2)</f>
        <v>23345.73</v>
      </c>
      <c r="I225" s="135">
        <f>ROUND('[7]2033'!I33,2)</f>
        <v>23167.93</v>
      </c>
      <c r="J225" s="135">
        <f>ROUND('[7]2033'!J33,2)</f>
        <v>22592.95</v>
      </c>
      <c r="K225" s="135">
        <f>ROUND('[7]2033'!K33,2)</f>
        <v>22499</v>
      </c>
      <c r="L225" s="135">
        <f>ROUND('[7]2033'!L33,2)</f>
        <v>24242.41</v>
      </c>
      <c r="M225" s="135">
        <f>ROUND('[7]2033'!M33,2)</f>
        <v>26263.88</v>
      </c>
      <c r="N225" s="135">
        <f>ROUND('[7]2033'!N33,2)</f>
        <v>27835.68</v>
      </c>
      <c r="O225" s="135">
        <f>ROUND('[7]2033'!O33,2)</f>
        <v>29030.62</v>
      </c>
      <c r="P225" s="135">
        <f>ROUND('[7]2033'!P33,2)</f>
        <v>30515.279999999999</v>
      </c>
      <c r="Q225" s="135">
        <f>ROUND('[7]2033'!Q33,2)</f>
        <v>31346.99</v>
      </c>
      <c r="R225" s="135">
        <f>ROUND('[7]2033'!R33,2)</f>
        <v>31504.6</v>
      </c>
      <c r="S225" s="135">
        <f>ROUND('[7]2033'!S33,2)</f>
        <v>31540.9</v>
      </c>
      <c r="T225" s="135">
        <f>ROUND('[7]2033'!T33,2)</f>
        <v>31602.720000000001</v>
      </c>
      <c r="U225" s="135">
        <f>ROUND('[7]2033'!U33,2)</f>
        <v>31280.29</v>
      </c>
      <c r="V225" s="135">
        <f>ROUND('[7]2033'!V33,2)</f>
        <v>31288.44</v>
      </c>
      <c r="W225" s="135">
        <f>ROUND('[7]2033'!W33,2)</f>
        <v>34970.480000000003</v>
      </c>
      <c r="X225" s="135">
        <f>ROUND('[7]2033'!X33,2)</f>
        <v>36297.800000000003</v>
      </c>
      <c r="Y225" s="135">
        <f>ROUND('[7]2033'!Y33,2)</f>
        <v>36076.800000000003</v>
      </c>
      <c r="Z225" s="135">
        <f>ROUND('[7]2033'!Z33,2)</f>
        <v>34861.21</v>
      </c>
      <c r="AA225" s="135">
        <f>ROUND('[7]2033'!AA33,2)</f>
        <v>32631.77</v>
      </c>
      <c r="AB225" s="135">
        <f>ROUND('[7]2033'!AB33,2)</f>
        <v>30026.51</v>
      </c>
      <c r="AC225" s="282"/>
      <c r="AD225" s="19"/>
    </row>
    <row r="226" spans="2:30" ht="18.649999999999999" hidden="1" customHeight="1" thickBot="1" x14ac:dyDescent="0.4">
      <c r="B226" s="261"/>
      <c r="C226" s="16" t="s">
        <v>32</v>
      </c>
      <c r="D226" s="17">
        <f>+'[7]2033'!D34</f>
        <v>2</v>
      </c>
      <c r="E226" s="136">
        <f>ROUND('[7]2033'!E34,2)</f>
        <v>25959.15</v>
      </c>
      <c r="F226" s="136">
        <f>ROUND('[7]2033'!F34,2)</f>
        <v>24942.59</v>
      </c>
      <c r="G226" s="136">
        <f>ROUND('[7]2033'!G34,2)</f>
        <v>23900.06</v>
      </c>
      <c r="H226" s="136">
        <f>ROUND('[7]2033'!H34,2)</f>
        <v>23345.73</v>
      </c>
      <c r="I226" s="136">
        <f>ROUND('[7]2033'!I34,2)</f>
        <v>23167.93</v>
      </c>
      <c r="J226" s="136">
        <f>ROUND('[7]2033'!J34,2)</f>
        <v>22592.95</v>
      </c>
      <c r="K226" s="136">
        <f>ROUND('[7]2033'!K34,2)</f>
        <v>22499</v>
      </c>
      <c r="L226" s="136">
        <f>ROUND('[7]2033'!L34,2)</f>
        <v>24242.41</v>
      </c>
      <c r="M226" s="136">
        <f>ROUND('[7]2033'!M34,2)</f>
        <v>26263.88</v>
      </c>
      <c r="N226" s="136">
        <f>ROUND('[7]2033'!N34,2)</f>
        <v>27835.68</v>
      </c>
      <c r="O226" s="136">
        <f>ROUND('[7]2033'!O34,2)</f>
        <v>29030.62</v>
      </c>
      <c r="P226" s="136">
        <f>ROUND('[7]2033'!P34,2)</f>
        <v>30515.279999999999</v>
      </c>
      <c r="Q226" s="136">
        <f>ROUND('[7]2033'!Q34,2)</f>
        <v>31346.99</v>
      </c>
      <c r="R226" s="136">
        <f>ROUND('[7]2033'!R34,2)</f>
        <v>31504.6</v>
      </c>
      <c r="S226" s="136">
        <f>ROUND('[7]2033'!S34,2)</f>
        <v>31540.9</v>
      </c>
      <c r="T226" s="136">
        <f>ROUND('[7]2033'!T34,2)</f>
        <v>31602.720000000001</v>
      </c>
      <c r="U226" s="136">
        <f>ROUND('[7]2033'!U34,2)</f>
        <v>31280.29</v>
      </c>
      <c r="V226" s="136">
        <f>ROUND('[7]2033'!V34,2)</f>
        <v>31288.44</v>
      </c>
      <c r="W226" s="136">
        <f>ROUND('[7]2033'!W34,2)</f>
        <v>34970.480000000003</v>
      </c>
      <c r="X226" s="136">
        <f>ROUND('[7]2033'!X34,2)</f>
        <v>36297.800000000003</v>
      </c>
      <c r="Y226" s="136">
        <f>ROUND('[7]2033'!Y34,2)</f>
        <v>36076.800000000003</v>
      </c>
      <c r="Z226" s="136">
        <f>ROUND('[7]2033'!Z34,2)</f>
        <v>34861.21</v>
      </c>
      <c r="AA226" s="136">
        <f>ROUND('[7]2033'!AA34,2)</f>
        <v>32631.77</v>
      </c>
      <c r="AB226" s="136">
        <f>ROUND('[7]2033'!AB34,2)</f>
        <v>30026.51</v>
      </c>
      <c r="AC226" s="282"/>
      <c r="AD226" s="19"/>
    </row>
    <row r="227" spans="2:30" ht="18.649999999999999" hidden="1" customHeight="1" x14ac:dyDescent="0.35">
      <c r="B227" s="263">
        <v>48731</v>
      </c>
      <c r="C227" s="7" t="s">
        <v>29</v>
      </c>
      <c r="D227" s="8">
        <f>+'[7]2033'!D35</f>
        <v>20</v>
      </c>
      <c r="E227" s="134">
        <f>ROUND('[7]2033'!E35,2)</f>
        <v>25576.53</v>
      </c>
      <c r="F227" s="134">
        <f>ROUND('[7]2033'!F35,2)</f>
        <v>24306.78</v>
      </c>
      <c r="G227" s="134">
        <f>ROUND('[7]2033'!G35,2)</f>
        <v>23368.639999999999</v>
      </c>
      <c r="H227" s="134">
        <f>ROUND('[7]2033'!H35,2)</f>
        <v>22742.61</v>
      </c>
      <c r="I227" s="134">
        <f>ROUND('[7]2033'!I35,2)</f>
        <v>22575.38</v>
      </c>
      <c r="J227" s="134">
        <f>ROUND('[7]2033'!J35,2)</f>
        <v>22335.53</v>
      </c>
      <c r="K227" s="134">
        <f>ROUND('[7]2033'!K35,2)</f>
        <v>22708.22</v>
      </c>
      <c r="L227" s="134">
        <f>ROUND('[7]2033'!L35,2)</f>
        <v>25443.52</v>
      </c>
      <c r="M227" s="134">
        <f>ROUND('[7]2033'!M35,2)</f>
        <v>28451.17</v>
      </c>
      <c r="N227" s="134">
        <f>ROUND('[7]2033'!N35,2)</f>
        <v>30300.48</v>
      </c>
      <c r="O227" s="134">
        <f>ROUND('[7]2033'!O35,2)</f>
        <v>31907.5</v>
      </c>
      <c r="P227" s="134">
        <f>ROUND('[7]2033'!P35,2)</f>
        <v>32791.93</v>
      </c>
      <c r="Q227" s="134">
        <f>ROUND('[7]2033'!Q35,2)</f>
        <v>32307.82</v>
      </c>
      <c r="R227" s="134">
        <f>ROUND('[7]2033'!R35,2)</f>
        <v>31753.09</v>
      </c>
      <c r="S227" s="134">
        <f>ROUND('[7]2033'!S35,2)</f>
        <v>31779.88</v>
      </c>
      <c r="T227" s="134">
        <f>ROUND('[7]2033'!T35,2)</f>
        <v>31688.5</v>
      </c>
      <c r="U227" s="134">
        <f>ROUND('[7]2033'!U35,2)</f>
        <v>31367.46</v>
      </c>
      <c r="V227" s="134">
        <f>ROUND('[7]2033'!V35,2)</f>
        <v>31400.959999999999</v>
      </c>
      <c r="W227" s="134">
        <f>ROUND('[7]2033'!W35,2)</f>
        <v>34106.11</v>
      </c>
      <c r="X227" s="134">
        <f>ROUND('[7]2033'!X35,2)</f>
        <v>34592.980000000003</v>
      </c>
      <c r="Y227" s="134">
        <f>ROUND('[7]2033'!Y35,2)</f>
        <v>33387.67</v>
      </c>
      <c r="Z227" s="134">
        <f>ROUND('[7]2033'!Z35,2)</f>
        <v>32012.04</v>
      </c>
      <c r="AA227" s="134">
        <f>ROUND('[7]2033'!AA35,2)</f>
        <v>30314.28</v>
      </c>
      <c r="AB227" s="134">
        <f>ROUND('[7]2033'!AB35,2)</f>
        <v>28395.98</v>
      </c>
      <c r="AC227" s="283">
        <f>SUM(E227:AB227)*D227+SUM(E228:AB228)*D228+SUM(E229:AB229)*D229+SUM(E230:AB230)*D230</f>
        <v>20767697.300000004</v>
      </c>
      <c r="AD227" s="19"/>
    </row>
    <row r="228" spans="2:30" ht="18.649999999999999" hidden="1" customHeight="1" x14ac:dyDescent="0.35">
      <c r="B228" s="264" t="s">
        <v>34</v>
      </c>
      <c r="C228" s="10" t="s">
        <v>30</v>
      </c>
      <c r="D228" s="11">
        <f>+'[7]2033'!D36</f>
        <v>4</v>
      </c>
      <c r="E228" s="135">
        <f>ROUND('[7]2033'!E36,2)</f>
        <v>26338.959999999999</v>
      </c>
      <c r="F228" s="135">
        <f>ROUND('[7]2033'!F36,2)</f>
        <v>25042.79</v>
      </c>
      <c r="G228" s="135">
        <f>ROUND('[7]2033'!G36,2)</f>
        <v>24057.86</v>
      </c>
      <c r="H228" s="135">
        <f>ROUND('[7]2033'!H36,2)</f>
        <v>23374.45</v>
      </c>
      <c r="I228" s="135">
        <f>ROUND('[7]2033'!I36,2)</f>
        <v>23294.03</v>
      </c>
      <c r="J228" s="135">
        <f>ROUND('[7]2033'!J36,2)</f>
        <v>23555.45</v>
      </c>
      <c r="K228" s="135">
        <f>ROUND('[7]2033'!K36,2)</f>
        <v>23715.33</v>
      </c>
      <c r="L228" s="135">
        <f>ROUND('[7]2033'!L36,2)</f>
        <v>26383.24</v>
      </c>
      <c r="M228" s="135">
        <f>ROUND('[7]2033'!M36,2)</f>
        <v>29201.75</v>
      </c>
      <c r="N228" s="135">
        <f>ROUND('[7]2033'!N36,2)</f>
        <v>30832.66</v>
      </c>
      <c r="O228" s="135">
        <f>ROUND('[7]2033'!O36,2)</f>
        <v>32371.62</v>
      </c>
      <c r="P228" s="135">
        <f>ROUND('[7]2033'!P36,2)</f>
        <v>33375.96</v>
      </c>
      <c r="Q228" s="135">
        <f>ROUND('[7]2033'!Q36,2)</f>
        <v>32526.080000000002</v>
      </c>
      <c r="R228" s="135">
        <f>ROUND('[7]2033'!R36,2)</f>
        <v>33308.480000000003</v>
      </c>
      <c r="S228" s="135">
        <f>ROUND('[7]2033'!S36,2)</f>
        <v>34439.480000000003</v>
      </c>
      <c r="T228" s="135">
        <f>ROUND('[7]2033'!T36,2)</f>
        <v>34484.71</v>
      </c>
      <c r="U228" s="135">
        <f>ROUND('[7]2033'!U36,2)</f>
        <v>33842.870000000003</v>
      </c>
      <c r="V228" s="135">
        <f>ROUND('[7]2033'!V36,2)</f>
        <v>32730.52</v>
      </c>
      <c r="W228" s="135">
        <f>ROUND('[7]2033'!W36,2)</f>
        <v>34654.589999999997</v>
      </c>
      <c r="X228" s="135">
        <f>ROUND('[7]2033'!X36,2)</f>
        <v>35668.589999999997</v>
      </c>
      <c r="Y228" s="135">
        <f>ROUND('[7]2033'!Y36,2)</f>
        <v>34855.19</v>
      </c>
      <c r="Z228" s="135">
        <f>ROUND('[7]2033'!Z36,2)</f>
        <v>33377.93</v>
      </c>
      <c r="AA228" s="135">
        <f>ROUND('[7]2033'!AA36,2)</f>
        <v>30969.64</v>
      </c>
      <c r="AB228" s="135">
        <f>ROUND('[7]2033'!AB36,2)</f>
        <v>28449.47</v>
      </c>
      <c r="AC228" s="282"/>
      <c r="AD228" s="19"/>
    </row>
    <row r="229" spans="2:30" ht="18.649999999999999" hidden="1" customHeight="1" x14ac:dyDescent="0.35">
      <c r="B229" s="264" t="s">
        <v>34</v>
      </c>
      <c r="C229" s="10" t="s">
        <v>31</v>
      </c>
      <c r="D229" s="11">
        <f>+'[7]2033'!D37</f>
        <v>4</v>
      </c>
      <c r="E229" s="135">
        <f>ROUND('[7]2033'!E37,2)</f>
        <v>25071</v>
      </c>
      <c r="F229" s="135">
        <f>ROUND('[7]2033'!F37,2)</f>
        <v>24057.69</v>
      </c>
      <c r="G229" s="135">
        <f>ROUND('[7]2033'!G37,2)</f>
        <v>23229.69</v>
      </c>
      <c r="H229" s="135">
        <f>ROUND('[7]2033'!H37,2)</f>
        <v>22693.22</v>
      </c>
      <c r="I229" s="135">
        <f>ROUND('[7]2033'!I37,2)</f>
        <v>22479.23</v>
      </c>
      <c r="J229" s="135">
        <f>ROUND('[7]2033'!J37,2)</f>
        <v>21849.75</v>
      </c>
      <c r="K229" s="135">
        <f>ROUND('[7]2033'!K37,2)</f>
        <v>21562.26</v>
      </c>
      <c r="L229" s="135">
        <f>ROUND('[7]2033'!L37,2)</f>
        <v>23318.81</v>
      </c>
      <c r="M229" s="135">
        <f>ROUND('[7]2033'!M37,2)</f>
        <v>25350.05</v>
      </c>
      <c r="N229" s="135">
        <f>ROUND('[7]2033'!N37,2)</f>
        <v>26615.74</v>
      </c>
      <c r="O229" s="135">
        <f>ROUND('[7]2033'!O37,2)</f>
        <v>28116.71</v>
      </c>
      <c r="P229" s="135">
        <f>ROUND('[7]2033'!P37,2)</f>
        <v>29227.48</v>
      </c>
      <c r="Q229" s="135">
        <f>ROUND('[7]2033'!Q37,2)</f>
        <v>29793.99</v>
      </c>
      <c r="R229" s="135">
        <f>ROUND('[7]2033'!R37,2)</f>
        <v>29675.9</v>
      </c>
      <c r="S229" s="135">
        <f>ROUND('[7]2033'!S37,2)</f>
        <v>29429.05</v>
      </c>
      <c r="T229" s="135">
        <f>ROUND('[7]2033'!T37,2)</f>
        <v>29202.11</v>
      </c>
      <c r="U229" s="135">
        <f>ROUND('[7]2033'!U37,2)</f>
        <v>28978.79</v>
      </c>
      <c r="V229" s="135">
        <f>ROUND('[7]2033'!V37,2)</f>
        <v>29415.94</v>
      </c>
      <c r="W229" s="135">
        <f>ROUND('[7]2033'!W37,2)</f>
        <v>32967.03</v>
      </c>
      <c r="X229" s="135">
        <f>ROUND('[7]2033'!X37,2)</f>
        <v>34277.11</v>
      </c>
      <c r="Y229" s="135">
        <f>ROUND('[7]2033'!Y37,2)</f>
        <v>33842.160000000003</v>
      </c>
      <c r="Z229" s="135">
        <f>ROUND('[7]2033'!Z37,2)</f>
        <v>32591.77</v>
      </c>
      <c r="AA229" s="135">
        <f>ROUND('[7]2033'!AA37,2)</f>
        <v>30389.23</v>
      </c>
      <c r="AB229" s="135">
        <f>ROUND('[7]2033'!AB37,2)</f>
        <v>27863.54</v>
      </c>
      <c r="AC229" s="282"/>
      <c r="AD229" s="19"/>
    </row>
    <row r="230" spans="2:30" ht="18.649999999999999" hidden="1" customHeight="1" thickBot="1" x14ac:dyDescent="0.4">
      <c r="B230" s="265" t="s">
        <v>34</v>
      </c>
      <c r="C230" s="12" t="s">
        <v>32</v>
      </c>
      <c r="D230" s="13">
        <f>+'[7]2033'!D38</f>
        <v>2</v>
      </c>
      <c r="E230" s="132">
        <f>ROUND('[7]2033'!E38,2)</f>
        <v>25071</v>
      </c>
      <c r="F230" s="132">
        <f>ROUND('[7]2033'!F38,2)</f>
        <v>24057.69</v>
      </c>
      <c r="G230" s="132">
        <f>ROUND('[7]2033'!G38,2)</f>
        <v>23229.69</v>
      </c>
      <c r="H230" s="132">
        <f>ROUND('[7]2033'!H38,2)</f>
        <v>22693.22</v>
      </c>
      <c r="I230" s="132">
        <f>ROUND('[7]2033'!I38,2)</f>
        <v>22479.23</v>
      </c>
      <c r="J230" s="132">
        <f>ROUND('[7]2033'!J38,2)</f>
        <v>21849.75</v>
      </c>
      <c r="K230" s="132">
        <f>ROUND('[7]2033'!K38,2)</f>
        <v>21562.26</v>
      </c>
      <c r="L230" s="132">
        <f>ROUND('[7]2033'!L38,2)</f>
        <v>23318.81</v>
      </c>
      <c r="M230" s="132">
        <f>ROUND('[7]2033'!M38,2)</f>
        <v>25350.05</v>
      </c>
      <c r="N230" s="132">
        <f>ROUND('[7]2033'!N38,2)</f>
        <v>26615.74</v>
      </c>
      <c r="O230" s="132">
        <f>ROUND('[7]2033'!O38,2)</f>
        <v>28116.71</v>
      </c>
      <c r="P230" s="132">
        <f>ROUND('[7]2033'!P38,2)</f>
        <v>29227.48</v>
      </c>
      <c r="Q230" s="132">
        <f>ROUND('[7]2033'!Q38,2)</f>
        <v>29793.99</v>
      </c>
      <c r="R230" s="132">
        <f>ROUND('[7]2033'!R38,2)</f>
        <v>29675.9</v>
      </c>
      <c r="S230" s="132">
        <f>ROUND('[7]2033'!S38,2)</f>
        <v>29429.05</v>
      </c>
      <c r="T230" s="132">
        <f>ROUND('[7]2033'!T38,2)</f>
        <v>29202.11</v>
      </c>
      <c r="U230" s="132">
        <f>ROUND('[7]2033'!U38,2)</f>
        <v>28978.79</v>
      </c>
      <c r="V230" s="132">
        <f>ROUND('[7]2033'!V38,2)</f>
        <v>29415.94</v>
      </c>
      <c r="W230" s="132">
        <f>ROUND('[7]2033'!W38,2)</f>
        <v>32967.03</v>
      </c>
      <c r="X230" s="132">
        <f>ROUND('[7]2033'!X38,2)</f>
        <v>34277.11</v>
      </c>
      <c r="Y230" s="132">
        <f>ROUND('[7]2033'!Y38,2)</f>
        <v>33842.160000000003</v>
      </c>
      <c r="Z230" s="132">
        <f>ROUND('[7]2033'!Z38,2)</f>
        <v>32591.77</v>
      </c>
      <c r="AA230" s="132">
        <f>ROUND('[7]2033'!AA38,2)</f>
        <v>30389.23</v>
      </c>
      <c r="AB230" s="132">
        <f>ROUND('[7]2033'!AB38,2)</f>
        <v>27863.54</v>
      </c>
      <c r="AC230" s="284"/>
      <c r="AD230" s="19"/>
    </row>
    <row r="231" spans="2:30" ht="18.649999999999999" hidden="1" customHeight="1" x14ac:dyDescent="0.35">
      <c r="B231" s="260">
        <v>48761</v>
      </c>
      <c r="C231" s="14" t="s">
        <v>29</v>
      </c>
      <c r="D231" s="15">
        <f>+'[7]2033'!D39</f>
        <v>19</v>
      </c>
      <c r="E231" s="137">
        <f>ROUND('[7]2033'!E39,2)</f>
        <v>26157.47</v>
      </c>
      <c r="F231" s="137">
        <f>ROUND('[7]2033'!F39,2)</f>
        <v>24898.63</v>
      </c>
      <c r="G231" s="137">
        <f>ROUND('[7]2033'!G39,2)</f>
        <v>24068.79</v>
      </c>
      <c r="H231" s="137">
        <f>ROUND('[7]2033'!H39,2)</f>
        <v>23454.48</v>
      </c>
      <c r="I231" s="137">
        <f>ROUND('[7]2033'!I39,2)</f>
        <v>23359.19</v>
      </c>
      <c r="J231" s="137">
        <f>ROUND('[7]2033'!J39,2)</f>
        <v>23250.32</v>
      </c>
      <c r="K231" s="137">
        <f>ROUND('[7]2033'!K39,2)</f>
        <v>23464.35</v>
      </c>
      <c r="L231" s="137">
        <f>ROUND('[7]2033'!L39,2)</f>
        <v>26201.54</v>
      </c>
      <c r="M231" s="137">
        <f>ROUND('[7]2033'!M39,2)</f>
        <v>29385.99</v>
      </c>
      <c r="N231" s="137">
        <f>ROUND('[7]2033'!N39,2)</f>
        <v>31190.13</v>
      </c>
      <c r="O231" s="137">
        <f>ROUND('[7]2033'!O39,2)</f>
        <v>32812.910000000003</v>
      </c>
      <c r="P231" s="137">
        <f>ROUND('[7]2033'!P39,2)</f>
        <v>33551.279999999999</v>
      </c>
      <c r="Q231" s="137">
        <f>ROUND('[7]2033'!Q39,2)</f>
        <v>33113.589999999997</v>
      </c>
      <c r="R231" s="137">
        <f>ROUND('[7]2033'!R39,2)</f>
        <v>32654.38</v>
      </c>
      <c r="S231" s="137">
        <f>ROUND('[7]2033'!S39,2)</f>
        <v>32707.9</v>
      </c>
      <c r="T231" s="137">
        <f>ROUND('[7]2033'!T39,2)</f>
        <v>32797.449999999997</v>
      </c>
      <c r="U231" s="137">
        <f>ROUND('[7]2033'!U39,2)</f>
        <v>32338.87</v>
      </c>
      <c r="V231" s="137">
        <f>ROUND('[7]2033'!V39,2)</f>
        <v>32266.22</v>
      </c>
      <c r="W231" s="137">
        <f>ROUND('[7]2033'!W39,2)</f>
        <v>34999.160000000003</v>
      </c>
      <c r="X231" s="137">
        <f>ROUND('[7]2033'!X39,2)</f>
        <v>35929.199999999997</v>
      </c>
      <c r="Y231" s="137">
        <f>ROUND('[7]2033'!Y39,2)</f>
        <v>34785.08</v>
      </c>
      <c r="Z231" s="137">
        <f>ROUND('[7]2033'!Z39,2)</f>
        <v>33242.769999999997</v>
      </c>
      <c r="AA231" s="137">
        <f>ROUND('[7]2033'!AA39,2)</f>
        <v>31280.46</v>
      </c>
      <c r="AB231" s="137">
        <f>ROUND('[7]2033'!AB39,2)</f>
        <v>29189.9</v>
      </c>
      <c r="AC231" s="282">
        <f>SUM(E231:AB231)*D231+SUM(E232:AB232)*D232+SUM(E233:AB233)*D233+SUM(E234:AB234)*D234</f>
        <v>22269307.68</v>
      </c>
      <c r="AD231" s="19"/>
    </row>
    <row r="232" spans="2:30" ht="18.649999999999999" hidden="1" customHeight="1" x14ac:dyDescent="0.35">
      <c r="B232" s="261"/>
      <c r="C232" s="10" t="s">
        <v>30</v>
      </c>
      <c r="D232" s="11">
        <f>+'[7]2033'!D40</f>
        <v>5</v>
      </c>
      <c r="E232" s="135">
        <f>ROUND('[7]2033'!E40,2)</f>
        <v>27822.25</v>
      </c>
      <c r="F232" s="135">
        <f>ROUND('[7]2033'!F40,2)</f>
        <v>26365.08</v>
      </c>
      <c r="G232" s="135">
        <f>ROUND('[7]2033'!G40,2)</f>
        <v>25297.07</v>
      </c>
      <c r="H232" s="135">
        <f>ROUND('[7]2033'!H40,2)</f>
        <v>24543.53</v>
      </c>
      <c r="I232" s="135">
        <f>ROUND('[7]2033'!I40,2)</f>
        <v>24491.58</v>
      </c>
      <c r="J232" s="135">
        <f>ROUND('[7]2033'!J40,2)</f>
        <v>24940.21</v>
      </c>
      <c r="K232" s="135">
        <f>ROUND('[7]2033'!K40,2)</f>
        <v>25086.48</v>
      </c>
      <c r="L232" s="135">
        <f>ROUND('[7]2033'!L40,2)</f>
        <v>27821.85</v>
      </c>
      <c r="M232" s="135">
        <f>ROUND('[7]2033'!M40,2)</f>
        <v>30766.12</v>
      </c>
      <c r="N232" s="135">
        <f>ROUND('[7]2033'!N40,2)</f>
        <v>32439.45</v>
      </c>
      <c r="O232" s="135">
        <f>ROUND('[7]2033'!O40,2)</f>
        <v>34130.6</v>
      </c>
      <c r="P232" s="135">
        <f>ROUND('[7]2033'!P40,2)</f>
        <v>35350.99</v>
      </c>
      <c r="Q232" s="135">
        <f>ROUND('[7]2033'!Q40,2)</f>
        <v>34427.5</v>
      </c>
      <c r="R232" s="135">
        <f>ROUND('[7]2033'!R40,2)</f>
        <v>35117.589999999997</v>
      </c>
      <c r="S232" s="135">
        <f>ROUND('[7]2033'!S40,2)</f>
        <v>36277.22</v>
      </c>
      <c r="T232" s="135">
        <f>ROUND('[7]2033'!T40,2)</f>
        <v>36277.56</v>
      </c>
      <c r="U232" s="135">
        <f>ROUND('[7]2033'!U40,2)</f>
        <v>35585.379999999997</v>
      </c>
      <c r="V232" s="135">
        <f>ROUND('[7]2033'!V40,2)</f>
        <v>34564.26</v>
      </c>
      <c r="W232" s="135">
        <f>ROUND('[7]2033'!W40,2)</f>
        <v>36939.660000000003</v>
      </c>
      <c r="X232" s="135">
        <f>ROUND('[7]2033'!X40,2)</f>
        <v>37700.83</v>
      </c>
      <c r="Y232" s="135">
        <f>ROUND('[7]2033'!Y40,2)</f>
        <v>36903.910000000003</v>
      </c>
      <c r="Z232" s="135">
        <f>ROUND('[7]2033'!Z40,2)</f>
        <v>35334.559999999998</v>
      </c>
      <c r="AA232" s="135">
        <f>ROUND('[7]2033'!AA40,2)</f>
        <v>32754.86</v>
      </c>
      <c r="AB232" s="135">
        <f>ROUND('[7]2033'!AB40,2)</f>
        <v>29977.84</v>
      </c>
      <c r="AC232" s="282"/>
      <c r="AD232" s="19"/>
    </row>
    <row r="233" spans="2:30" ht="18.649999999999999" hidden="1" customHeight="1" x14ac:dyDescent="0.35">
      <c r="B233" s="261"/>
      <c r="C233" s="10" t="s">
        <v>31</v>
      </c>
      <c r="D233" s="11">
        <f>+'[7]2033'!D41</f>
        <v>5</v>
      </c>
      <c r="E233" s="135">
        <f>ROUND('[7]2033'!E41,2)</f>
        <v>26242.37</v>
      </c>
      <c r="F233" s="135">
        <f>ROUND('[7]2033'!F41,2)</f>
        <v>25188.240000000002</v>
      </c>
      <c r="G233" s="135">
        <f>ROUND('[7]2033'!G41,2)</f>
        <v>24295.95</v>
      </c>
      <c r="H233" s="135">
        <f>ROUND('[7]2033'!H41,2)</f>
        <v>23479.119999999999</v>
      </c>
      <c r="I233" s="135">
        <f>ROUND('[7]2033'!I41,2)</f>
        <v>23204.87</v>
      </c>
      <c r="J233" s="135">
        <f>ROUND('[7]2033'!J41,2)</f>
        <v>22843.27</v>
      </c>
      <c r="K233" s="135">
        <f>ROUND('[7]2033'!K41,2)</f>
        <v>22407.91</v>
      </c>
      <c r="L233" s="135">
        <f>ROUND('[7]2033'!L41,2)</f>
        <v>24078.77</v>
      </c>
      <c r="M233" s="135">
        <f>ROUND('[7]2033'!M41,2)</f>
        <v>26262.28</v>
      </c>
      <c r="N233" s="135">
        <f>ROUND('[7]2033'!N41,2)</f>
        <v>28024.27</v>
      </c>
      <c r="O233" s="135">
        <f>ROUND('[7]2033'!O41,2)</f>
        <v>29287.98</v>
      </c>
      <c r="P233" s="135">
        <f>ROUND('[7]2033'!P41,2)</f>
        <v>29928.45</v>
      </c>
      <c r="Q233" s="135">
        <f>ROUND('[7]2033'!Q41,2)</f>
        <v>31027.360000000001</v>
      </c>
      <c r="R233" s="135">
        <f>ROUND('[7]2033'!R41,2)</f>
        <v>31099.55</v>
      </c>
      <c r="S233" s="135">
        <f>ROUND('[7]2033'!S41,2)</f>
        <v>31044.33</v>
      </c>
      <c r="T233" s="135">
        <f>ROUND('[7]2033'!T41,2)</f>
        <v>31133.360000000001</v>
      </c>
      <c r="U233" s="135">
        <f>ROUND('[7]2033'!U41,2)</f>
        <v>30890.21</v>
      </c>
      <c r="V233" s="135">
        <f>ROUND('[7]2033'!V41,2)</f>
        <v>30610.400000000001</v>
      </c>
      <c r="W233" s="135">
        <f>ROUND('[7]2033'!W41,2)</f>
        <v>33828.86</v>
      </c>
      <c r="X233" s="135">
        <f>ROUND('[7]2033'!X41,2)</f>
        <v>35684.550000000003</v>
      </c>
      <c r="Y233" s="135">
        <f>ROUND('[7]2033'!Y41,2)</f>
        <v>35202.01</v>
      </c>
      <c r="Z233" s="135">
        <f>ROUND('[7]2033'!Z41,2)</f>
        <v>33996.230000000003</v>
      </c>
      <c r="AA233" s="135">
        <f>ROUND('[7]2033'!AA41,2)</f>
        <v>31956.91</v>
      </c>
      <c r="AB233" s="135">
        <f>ROUND('[7]2033'!AB41,2)</f>
        <v>29686.27</v>
      </c>
      <c r="AC233" s="282"/>
      <c r="AD233" s="19"/>
    </row>
    <row r="234" spans="2:30" ht="18.649999999999999" hidden="1" customHeight="1" thickBot="1" x14ac:dyDescent="0.4">
      <c r="B234" s="261"/>
      <c r="C234" s="16" t="s">
        <v>32</v>
      </c>
      <c r="D234" s="17">
        <f>+'[7]2033'!D42</f>
        <v>2</v>
      </c>
      <c r="E234" s="135">
        <f>ROUND('[7]2033'!E42,2)</f>
        <v>26242.37</v>
      </c>
      <c r="F234" s="135">
        <f>ROUND('[7]2033'!F42,2)</f>
        <v>25188.240000000002</v>
      </c>
      <c r="G234" s="135">
        <f>ROUND('[7]2033'!G42,2)</f>
        <v>24295.95</v>
      </c>
      <c r="H234" s="135">
        <f>ROUND('[7]2033'!H42,2)</f>
        <v>23479.119999999999</v>
      </c>
      <c r="I234" s="135">
        <f>ROUND('[7]2033'!I42,2)</f>
        <v>23204.87</v>
      </c>
      <c r="J234" s="135">
        <f>ROUND('[7]2033'!J42,2)</f>
        <v>22843.27</v>
      </c>
      <c r="K234" s="135">
        <f>ROUND('[7]2033'!K42,2)</f>
        <v>22407.91</v>
      </c>
      <c r="L234" s="135">
        <f>ROUND('[7]2033'!L42,2)</f>
        <v>24078.77</v>
      </c>
      <c r="M234" s="135">
        <f>ROUND('[7]2033'!M42,2)</f>
        <v>26262.28</v>
      </c>
      <c r="N234" s="135">
        <f>ROUND('[7]2033'!N42,2)</f>
        <v>28024.27</v>
      </c>
      <c r="O234" s="135">
        <f>ROUND('[7]2033'!O42,2)</f>
        <v>29287.98</v>
      </c>
      <c r="P234" s="135">
        <f>ROUND('[7]2033'!P42,2)</f>
        <v>29928.45</v>
      </c>
      <c r="Q234" s="135">
        <f>ROUND('[7]2033'!Q42,2)</f>
        <v>31027.360000000001</v>
      </c>
      <c r="R234" s="135">
        <f>ROUND('[7]2033'!R42,2)</f>
        <v>31099.55</v>
      </c>
      <c r="S234" s="135">
        <f>ROUND('[7]2033'!S42,2)</f>
        <v>31044.33</v>
      </c>
      <c r="T234" s="135">
        <f>ROUND('[7]2033'!T42,2)</f>
        <v>31133.360000000001</v>
      </c>
      <c r="U234" s="135">
        <f>ROUND('[7]2033'!U42,2)</f>
        <v>30890.21</v>
      </c>
      <c r="V234" s="135">
        <f>ROUND('[7]2033'!V42,2)</f>
        <v>30610.400000000001</v>
      </c>
      <c r="W234" s="135">
        <f>ROUND('[7]2033'!W42,2)</f>
        <v>33828.86</v>
      </c>
      <c r="X234" s="135">
        <f>ROUND('[7]2033'!X42,2)</f>
        <v>35684.550000000003</v>
      </c>
      <c r="Y234" s="135">
        <f>ROUND('[7]2033'!Y42,2)</f>
        <v>35202.01</v>
      </c>
      <c r="Z234" s="135">
        <f>ROUND('[7]2033'!Z42,2)</f>
        <v>33996.230000000003</v>
      </c>
      <c r="AA234" s="135">
        <f>ROUND('[7]2033'!AA42,2)</f>
        <v>31956.91</v>
      </c>
      <c r="AB234" s="135">
        <f>ROUND('[7]2033'!AB42,2)</f>
        <v>29686.27</v>
      </c>
      <c r="AC234" s="282"/>
      <c r="AD234" s="19"/>
    </row>
    <row r="235" spans="2:30" ht="18.649999999999999" hidden="1" customHeight="1" x14ac:dyDescent="0.35">
      <c r="B235" s="263">
        <v>48792</v>
      </c>
      <c r="C235" s="7" t="s">
        <v>29</v>
      </c>
      <c r="D235" s="8">
        <f>+'[7]2033'!D43</f>
        <v>22</v>
      </c>
      <c r="E235" s="134">
        <f>ROUND('[7]2033'!E43,2)</f>
        <v>27050.61</v>
      </c>
      <c r="F235" s="134">
        <f>ROUND('[7]2033'!F43,2)</f>
        <v>25592.95</v>
      </c>
      <c r="G235" s="134">
        <f>ROUND('[7]2033'!G43,2)</f>
        <v>24505.38</v>
      </c>
      <c r="H235" s="134">
        <f>ROUND('[7]2033'!H43,2)</f>
        <v>23777.040000000001</v>
      </c>
      <c r="I235" s="134">
        <f>ROUND('[7]2033'!I43,2)</f>
        <v>23509.51</v>
      </c>
      <c r="J235" s="134">
        <f>ROUND('[7]2033'!J43,2)</f>
        <v>23442.11</v>
      </c>
      <c r="K235" s="134">
        <f>ROUND('[7]2033'!K43,2)</f>
        <v>23519.1</v>
      </c>
      <c r="L235" s="134">
        <f>ROUND('[7]2033'!L43,2)</f>
        <v>26232.93</v>
      </c>
      <c r="M235" s="134">
        <f>ROUND('[7]2033'!M43,2)</f>
        <v>29288.560000000001</v>
      </c>
      <c r="N235" s="134">
        <f>ROUND('[7]2033'!N43,2)</f>
        <v>31166.52</v>
      </c>
      <c r="O235" s="134">
        <f>ROUND('[7]2033'!O43,2)</f>
        <v>32726.15</v>
      </c>
      <c r="P235" s="134">
        <f>ROUND('[7]2033'!P43,2)</f>
        <v>33721.08</v>
      </c>
      <c r="Q235" s="134">
        <f>ROUND('[7]2033'!Q43,2)</f>
        <v>33161.550000000003</v>
      </c>
      <c r="R235" s="134">
        <f>ROUND('[7]2033'!R43,2)</f>
        <v>32688.98</v>
      </c>
      <c r="S235" s="134">
        <f>ROUND('[7]2033'!S43,2)</f>
        <v>32639.759999999998</v>
      </c>
      <c r="T235" s="134">
        <f>ROUND('[7]2033'!T43,2)</f>
        <v>32373.42</v>
      </c>
      <c r="U235" s="134">
        <f>ROUND('[7]2033'!U43,2)</f>
        <v>31724.47</v>
      </c>
      <c r="V235" s="134">
        <f>ROUND('[7]2033'!V43,2)</f>
        <v>31682.400000000001</v>
      </c>
      <c r="W235" s="134">
        <f>ROUND('[7]2033'!W43,2)</f>
        <v>34554.78</v>
      </c>
      <c r="X235" s="134">
        <f>ROUND('[7]2033'!X43,2)</f>
        <v>34998.28</v>
      </c>
      <c r="Y235" s="134">
        <f>ROUND('[7]2033'!Y43,2)</f>
        <v>33972.639999999999</v>
      </c>
      <c r="Z235" s="134">
        <f>ROUND('[7]2033'!Z43,2)</f>
        <v>32558.58</v>
      </c>
      <c r="AA235" s="134">
        <f>ROUND('[7]2033'!AA43,2)</f>
        <v>30563.759999999998</v>
      </c>
      <c r="AB235" s="134">
        <f>ROUND('[7]2033'!AB43,2)</f>
        <v>28439.43</v>
      </c>
      <c r="AC235" s="283">
        <f>SUM(E235:AB235)*D235+SUM(E236:AB236)*D236+SUM(E237:AB237)*D237+SUM(E238:AB238)*D238</f>
        <v>22061882.040000003</v>
      </c>
      <c r="AD235" s="19"/>
    </row>
    <row r="236" spans="2:30" ht="18.649999999999999" hidden="1" customHeight="1" x14ac:dyDescent="0.35">
      <c r="B236" s="264" t="s">
        <v>34</v>
      </c>
      <c r="C236" s="10" t="s">
        <v>30</v>
      </c>
      <c r="D236" s="11">
        <f>+'[7]2033'!D44</f>
        <v>4</v>
      </c>
      <c r="E236" s="135">
        <f>ROUND('[7]2033'!E44,2)</f>
        <v>26693.23</v>
      </c>
      <c r="F236" s="135">
        <f>ROUND('[7]2033'!F44,2)</f>
        <v>25368.26</v>
      </c>
      <c r="G236" s="135">
        <f>ROUND('[7]2033'!G44,2)</f>
        <v>24354.89</v>
      </c>
      <c r="H236" s="135">
        <f>ROUND('[7]2033'!H44,2)</f>
        <v>23640.27</v>
      </c>
      <c r="I236" s="135">
        <f>ROUND('[7]2033'!I44,2)</f>
        <v>23572.05</v>
      </c>
      <c r="J236" s="135">
        <f>ROUND('[7]2033'!J44,2)</f>
        <v>23957.68</v>
      </c>
      <c r="K236" s="135">
        <f>ROUND('[7]2033'!K44,2)</f>
        <v>24213.32</v>
      </c>
      <c r="L236" s="135">
        <f>ROUND('[7]2033'!L44,2)</f>
        <v>26975.64</v>
      </c>
      <c r="M236" s="135">
        <f>ROUND('[7]2033'!M44,2)</f>
        <v>29806.3</v>
      </c>
      <c r="N236" s="135">
        <f>ROUND('[7]2033'!N44,2)</f>
        <v>31409.81</v>
      </c>
      <c r="O236" s="135">
        <f>ROUND('[7]2033'!O44,2)</f>
        <v>33074.239999999998</v>
      </c>
      <c r="P236" s="135">
        <f>ROUND('[7]2033'!P44,2)</f>
        <v>34200.449999999997</v>
      </c>
      <c r="Q236" s="135">
        <f>ROUND('[7]2033'!Q44,2)</f>
        <v>33322.9</v>
      </c>
      <c r="R236" s="135">
        <f>ROUND('[7]2033'!R44,2)</f>
        <v>34110.99</v>
      </c>
      <c r="S236" s="135">
        <f>ROUND('[7]2033'!S44,2)</f>
        <v>35295.61</v>
      </c>
      <c r="T236" s="135">
        <f>ROUND('[7]2033'!T44,2)</f>
        <v>35320.71</v>
      </c>
      <c r="U236" s="135">
        <f>ROUND('[7]2033'!U44,2)</f>
        <v>34669.64</v>
      </c>
      <c r="V236" s="135">
        <f>ROUND('[7]2033'!V44,2)</f>
        <v>34086.93</v>
      </c>
      <c r="W236" s="135">
        <f>ROUND('[7]2033'!W44,2)</f>
        <v>36590.730000000003</v>
      </c>
      <c r="X236" s="135">
        <f>ROUND('[7]2033'!X44,2)</f>
        <v>36442.11</v>
      </c>
      <c r="Y236" s="135">
        <f>ROUND('[7]2033'!Y44,2)</f>
        <v>35501.660000000003</v>
      </c>
      <c r="Z236" s="135">
        <f>ROUND('[7]2033'!Z44,2)</f>
        <v>33874.519999999997</v>
      </c>
      <c r="AA236" s="135">
        <f>ROUND('[7]2033'!AA44,2)</f>
        <v>31281.17</v>
      </c>
      <c r="AB236" s="135">
        <f>ROUND('[7]2033'!AB44,2)</f>
        <v>28620.53</v>
      </c>
      <c r="AC236" s="282"/>
      <c r="AD236" s="19"/>
    </row>
    <row r="237" spans="2:30" ht="18.649999999999999" hidden="1" customHeight="1" x14ac:dyDescent="0.35">
      <c r="B237" s="264" t="s">
        <v>34</v>
      </c>
      <c r="C237" s="10" t="s">
        <v>31</v>
      </c>
      <c r="D237" s="11">
        <f>+'[7]2033'!D45</f>
        <v>4</v>
      </c>
      <c r="E237" s="135">
        <f>ROUND('[7]2033'!E45,2)</f>
        <v>26679.919999999998</v>
      </c>
      <c r="F237" s="135">
        <f>ROUND('[7]2033'!F45,2)</f>
        <v>25289.48</v>
      </c>
      <c r="G237" s="135">
        <f>ROUND('[7]2033'!G45,2)</f>
        <v>24209.56</v>
      </c>
      <c r="H237" s="135">
        <f>ROUND('[7]2033'!H45,2)</f>
        <v>23428.49</v>
      </c>
      <c r="I237" s="135">
        <f>ROUND('[7]2033'!I45,2)</f>
        <v>23100.71</v>
      </c>
      <c r="J237" s="135">
        <f>ROUND('[7]2033'!J45,2)</f>
        <v>22659.05</v>
      </c>
      <c r="K237" s="135">
        <f>ROUND('[7]2033'!K45,2)</f>
        <v>22175.84</v>
      </c>
      <c r="L237" s="135">
        <f>ROUND('[7]2033'!L45,2)</f>
        <v>23789.1</v>
      </c>
      <c r="M237" s="135">
        <f>ROUND('[7]2033'!M45,2)</f>
        <v>25565.26</v>
      </c>
      <c r="N237" s="135">
        <f>ROUND('[7]2033'!N45,2)</f>
        <v>27166.02</v>
      </c>
      <c r="O237" s="135">
        <f>ROUND('[7]2033'!O45,2)</f>
        <v>28683.69</v>
      </c>
      <c r="P237" s="135">
        <f>ROUND('[7]2033'!P45,2)</f>
        <v>29982.26</v>
      </c>
      <c r="Q237" s="135">
        <f>ROUND('[7]2033'!Q45,2)</f>
        <v>30460.1</v>
      </c>
      <c r="R237" s="135">
        <f>ROUND('[7]2033'!R45,2)</f>
        <v>30313.9</v>
      </c>
      <c r="S237" s="135">
        <f>ROUND('[7]2033'!S45,2)</f>
        <v>30177.66</v>
      </c>
      <c r="T237" s="135">
        <f>ROUND('[7]2033'!T45,2)</f>
        <v>30273.83</v>
      </c>
      <c r="U237" s="135">
        <f>ROUND('[7]2033'!U45,2)</f>
        <v>29997.66</v>
      </c>
      <c r="V237" s="135">
        <f>ROUND('[7]2033'!V45,2)</f>
        <v>29963.73</v>
      </c>
      <c r="W237" s="135">
        <f>ROUND('[7]2033'!W45,2)</f>
        <v>33438.82</v>
      </c>
      <c r="X237" s="135">
        <f>ROUND('[7]2033'!X45,2)</f>
        <v>35322.730000000003</v>
      </c>
      <c r="Y237" s="135">
        <f>ROUND('[7]2033'!Y45,2)</f>
        <v>35134.339999999997</v>
      </c>
      <c r="Z237" s="135">
        <f>ROUND('[7]2033'!Z45,2)</f>
        <v>33812.36</v>
      </c>
      <c r="AA237" s="135">
        <f>ROUND('[7]2033'!AA45,2)</f>
        <v>31520.06</v>
      </c>
      <c r="AB237" s="135">
        <f>ROUND('[7]2033'!AB45,2)</f>
        <v>29008.97</v>
      </c>
      <c r="AC237" s="282"/>
      <c r="AD237" s="19"/>
    </row>
    <row r="238" spans="2:30" ht="18.649999999999999" hidden="1" customHeight="1" thickBot="1" x14ac:dyDescent="0.4">
      <c r="B238" s="265" t="s">
        <v>34</v>
      </c>
      <c r="C238" s="12" t="s">
        <v>32</v>
      </c>
      <c r="D238" s="13">
        <f>+'[7]2033'!D46</f>
        <v>1</v>
      </c>
      <c r="E238" s="132">
        <f>ROUND('[7]2033'!E46,2)</f>
        <v>26679.919999999998</v>
      </c>
      <c r="F238" s="132">
        <f>ROUND('[7]2033'!F46,2)</f>
        <v>25289.48</v>
      </c>
      <c r="G238" s="132">
        <f>ROUND('[7]2033'!G46,2)</f>
        <v>24209.56</v>
      </c>
      <c r="H238" s="132">
        <f>ROUND('[7]2033'!H46,2)</f>
        <v>23428.49</v>
      </c>
      <c r="I238" s="132">
        <f>ROUND('[7]2033'!I46,2)</f>
        <v>23100.71</v>
      </c>
      <c r="J238" s="132">
        <f>ROUND('[7]2033'!J46,2)</f>
        <v>22659.05</v>
      </c>
      <c r="K238" s="132">
        <f>ROUND('[7]2033'!K46,2)</f>
        <v>22175.84</v>
      </c>
      <c r="L238" s="132">
        <f>ROUND('[7]2033'!L46,2)</f>
        <v>23789.1</v>
      </c>
      <c r="M238" s="132">
        <f>ROUND('[7]2033'!M46,2)</f>
        <v>25565.26</v>
      </c>
      <c r="N238" s="132">
        <f>ROUND('[7]2033'!N46,2)</f>
        <v>27166.02</v>
      </c>
      <c r="O238" s="132">
        <f>ROUND('[7]2033'!O46,2)</f>
        <v>28683.69</v>
      </c>
      <c r="P238" s="132">
        <f>ROUND('[7]2033'!P46,2)</f>
        <v>29982.26</v>
      </c>
      <c r="Q238" s="132">
        <f>ROUND('[7]2033'!Q46,2)</f>
        <v>30460.1</v>
      </c>
      <c r="R238" s="132">
        <f>ROUND('[7]2033'!R46,2)</f>
        <v>30313.9</v>
      </c>
      <c r="S238" s="132">
        <f>ROUND('[7]2033'!S46,2)</f>
        <v>30177.66</v>
      </c>
      <c r="T238" s="132">
        <f>ROUND('[7]2033'!T46,2)</f>
        <v>30273.83</v>
      </c>
      <c r="U238" s="132">
        <f>ROUND('[7]2033'!U46,2)</f>
        <v>29997.66</v>
      </c>
      <c r="V238" s="132">
        <f>ROUND('[7]2033'!V46,2)</f>
        <v>29963.73</v>
      </c>
      <c r="W238" s="132">
        <f>ROUND('[7]2033'!W46,2)</f>
        <v>33438.82</v>
      </c>
      <c r="X238" s="132">
        <f>ROUND('[7]2033'!X46,2)</f>
        <v>35322.730000000003</v>
      </c>
      <c r="Y238" s="132">
        <f>ROUND('[7]2033'!Y46,2)</f>
        <v>35134.339999999997</v>
      </c>
      <c r="Z238" s="132">
        <f>ROUND('[7]2033'!Z46,2)</f>
        <v>33812.36</v>
      </c>
      <c r="AA238" s="132">
        <f>ROUND('[7]2033'!AA46,2)</f>
        <v>31520.06</v>
      </c>
      <c r="AB238" s="132">
        <f>ROUND('[7]2033'!AB46,2)</f>
        <v>29008.97</v>
      </c>
      <c r="AC238" s="284"/>
      <c r="AD238" s="19"/>
    </row>
    <row r="239" spans="2:30" ht="18.649999999999999" hidden="1" customHeight="1" x14ac:dyDescent="0.35">
      <c r="B239" s="260">
        <v>48823</v>
      </c>
      <c r="C239" s="14" t="s">
        <v>29</v>
      </c>
      <c r="D239" s="15">
        <f>+'[7]2033'!D47</f>
        <v>22</v>
      </c>
      <c r="E239" s="137">
        <f>ROUND('[7]2033'!E47,2)</f>
        <v>27453.16</v>
      </c>
      <c r="F239" s="137">
        <f>ROUND('[7]2033'!F47,2)</f>
        <v>26051.98</v>
      </c>
      <c r="G239" s="137">
        <f>ROUND('[7]2033'!G47,2)</f>
        <v>24967.86</v>
      </c>
      <c r="H239" s="137">
        <f>ROUND('[7]2033'!H47,2)</f>
        <v>24199.84</v>
      </c>
      <c r="I239" s="137">
        <f>ROUND('[7]2033'!I47,2)</f>
        <v>23974.49</v>
      </c>
      <c r="J239" s="137">
        <f>ROUND('[7]2033'!J47,2)</f>
        <v>23664.98</v>
      </c>
      <c r="K239" s="137">
        <f>ROUND('[7]2033'!K47,2)</f>
        <v>23818.07</v>
      </c>
      <c r="L239" s="137">
        <f>ROUND('[7]2033'!L47,2)</f>
        <v>26650.63</v>
      </c>
      <c r="M239" s="137">
        <f>ROUND('[7]2033'!M47,2)</f>
        <v>29675.86</v>
      </c>
      <c r="N239" s="137">
        <f>ROUND('[7]2033'!N47,2)</f>
        <v>31420.53</v>
      </c>
      <c r="O239" s="137">
        <f>ROUND('[7]2033'!O47,2)</f>
        <v>32906.92</v>
      </c>
      <c r="P239" s="137">
        <f>ROUND('[7]2033'!P47,2)</f>
        <v>33644.82</v>
      </c>
      <c r="Q239" s="137">
        <f>ROUND('[7]2033'!Q47,2)</f>
        <v>33006.81</v>
      </c>
      <c r="R239" s="137">
        <f>ROUND('[7]2033'!R47,2)</f>
        <v>32530.43</v>
      </c>
      <c r="S239" s="137">
        <f>ROUND('[7]2033'!S47,2)</f>
        <v>32491.54</v>
      </c>
      <c r="T239" s="137">
        <f>ROUND('[7]2033'!T47,2)</f>
        <v>32435.69</v>
      </c>
      <c r="U239" s="137">
        <f>ROUND('[7]2033'!U47,2)</f>
        <v>31950.62</v>
      </c>
      <c r="V239" s="137">
        <f>ROUND('[7]2033'!V47,2)</f>
        <v>32324.85</v>
      </c>
      <c r="W239" s="137">
        <f>ROUND('[7]2033'!W47,2)</f>
        <v>35684.339999999997</v>
      </c>
      <c r="X239" s="137">
        <f>ROUND('[7]2033'!X47,2)</f>
        <v>35343.82</v>
      </c>
      <c r="Y239" s="137">
        <f>ROUND('[7]2033'!Y47,2)</f>
        <v>34117.199999999997</v>
      </c>
      <c r="Z239" s="137">
        <f>ROUND('[7]2033'!Z47,2)</f>
        <v>32592.73</v>
      </c>
      <c r="AA239" s="137">
        <f>ROUND('[7]2033'!AA47,2)</f>
        <v>30758.68</v>
      </c>
      <c r="AB239" s="137">
        <f>ROUND('[7]2033'!AB47,2)</f>
        <v>28736.75</v>
      </c>
      <c r="AC239" s="282">
        <f>SUM(E239:AB239)*D239+SUM(E240:AB240)*D240+SUM(E241:AB241)*D241+SUM(E242:AB242)*D242</f>
        <v>21742877.759999998</v>
      </c>
      <c r="AD239" s="19"/>
    </row>
    <row r="240" spans="2:30" ht="18.649999999999999" hidden="1" customHeight="1" x14ac:dyDescent="0.35">
      <c r="B240" s="261"/>
      <c r="C240" s="10" t="s">
        <v>30</v>
      </c>
      <c r="D240" s="11">
        <f>+'[7]2033'!D48</f>
        <v>4</v>
      </c>
      <c r="E240" s="135">
        <f>ROUND('[7]2033'!E48,2)</f>
        <v>25664.45</v>
      </c>
      <c r="F240" s="135">
        <f>ROUND('[7]2033'!F48,2)</f>
        <v>24372.799999999999</v>
      </c>
      <c r="G240" s="135">
        <f>ROUND('[7]2033'!G48,2)</f>
        <v>23471.5</v>
      </c>
      <c r="H240" s="135">
        <f>ROUND('[7]2033'!H48,2)</f>
        <v>22807.13</v>
      </c>
      <c r="I240" s="135">
        <f>ROUND('[7]2033'!I48,2)</f>
        <v>22818.03</v>
      </c>
      <c r="J240" s="135">
        <f>ROUND('[7]2033'!J48,2)</f>
        <v>23196.19</v>
      </c>
      <c r="K240" s="135">
        <f>ROUND('[7]2033'!K48,2)</f>
        <v>23668.35</v>
      </c>
      <c r="L240" s="135">
        <f>ROUND('[7]2033'!L48,2)</f>
        <v>26555.9</v>
      </c>
      <c r="M240" s="135">
        <f>ROUND('[7]2033'!M48,2)</f>
        <v>29368.39</v>
      </c>
      <c r="N240" s="135">
        <f>ROUND('[7]2033'!N48,2)</f>
        <v>30903.22</v>
      </c>
      <c r="O240" s="135">
        <f>ROUND('[7]2033'!O48,2)</f>
        <v>32527.25</v>
      </c>
      <c r="P240" s="135">
        <f>ROUND('[7]2033'!P48,2)</f>
        <v>33646.559999999998</v>
      </c>
      <c r="Q240" s="135">
        <f>ROUND('[7]2033'!Q48,2)</f>
        <v>32683.040000000001</v>
      </c>
      <c r="R240" s="135">
        <f>ROUND('[7]2033'!R48,2)</f>
        <v>33418.07</v>
      </c>
      <c r="S240" s="135">
        <f>ROUND('[7]2033'!S48,2)</f>
        <v>34657.99</v>
      </c>
      <c r="T240" s="135">
        <f>ROUND('[7]2033'!T48,2)</f>
        <v>34720.5</v>
      </c>
      <c r="U240" s="135">
        <f>ROUND('[7]2033'!U48,2)</f>
        <v>34001.949999999997</v>
      </c>
      <c r="V240" s="135">
        <f>ROUND('[7]2033'!V48,2)</f>
        <v>34095.769999999997</v>
      </c>
      <c r="W240" s="135">
        <f>ROUND('[7]2033'!W48,2)</f>
        <v>36151.9</v>
      </c>
      <c r="X240" s="135">
        <f>ROUND('[7]2033'!X48,2)</f>
        <v>35537.86</v>
      </c>
      <c r="Y240" s="135">
        <f>ROUND('[7]2033'!Y48,2)</f>
        <v>34401.370000000003</v>
      </c>
      <c r="Z240" s="135">
        <f>ROUND('[7]2033'!Z48,2)</f>
        <v>32727.95</v>
      </c>
      <c r="AA240" s="135">
        <f>ROUND('[7]2033'!AA48,2)</f>
        <v>30316.66</v>
      </c>
      <c r="AB240" s="135">
        <f>ROUND('[7]2033'!AB48,2)</f>
        <v>27811.41</v>
      </c>
      <c r="AC240" s="282"/>
      <c r="AD240" s="19"/>
    </row>
    <row r="241" spans="2:50" ht="18.649999999999999" hidden="1" customHeight="1" x14ac:dyDescent="0.35">
      <c r="B241" s="261"/>
      <c r="C241" s="10" t="s">
        <v>31</v>
      </c>
      <c r="D241" s="11">
        <f>+'[7]2033'!D49</f>
        <v>4</v>
      </c>
      <c r="E241" s="135">
        <f>ROUND('[7]2033'!E49,2)</f>
        <v>26446.799999999999</v>
      </c>
      <c r="F241" s="135">
        <f>ROUND('[7]2033'!F49,2)</f>
        <v>25160.14</v>
      </c>
      <c r="G241" s="135">
        <f>ROUND('[7]2033'!G49,2)</f>
        <v>24207.67</v>
      </c>
      <c r="H241" s="135">
        <f>ROUND('[7]2033'!H49,2)</f>
        <v>23488.23</v>
      </c>
      <c r="I241" s="135">
        <f>ROUND('[7]2033'!I49,2)</f>
        <v>23525.85</v>
      </c>
      <c r="J241" s="135">
        <f>ROUND('[7]2033'!J49,2)</f>
        <v>24267.29</v>
      </c>
      <c r="K241" s="135">
        <f>ROUND('[7]2033'!K49,2)</f>
        <v>24734.46</v>
      </c>
      <c r="L241" s="135">
        <f>ROUND('[7]2033'!L49,2)</f>
        <v>27797.89</v>
      </c>
      <c r="M241" s="135">
        <f>ROUND('[7]2033'!M49,2)</f>
        <v>30831.11</v>
      </c>
      <c r="N241" s="135">
        <f>ROUND('[7]2033'!N49,2)</f>
        <v>32436.83</v>
      </c>
      <c r="O241" s="135">
        <f>ROUND('[7]2033'!O49,2)</f>
        <v>34264.67</v>
      </c>
      <c r="P241" s="135">
        <f>ROUND('[7]2033'!P49,2)</f>
        <v>35495.230000000003</v>
      </c>
      <c r="Q241" s="135">
        <f>ROUND('[7]2033'!Q49,2)</f>
        <v>34245.89</v>
      </c>
      <c r="R241" s="135">
        <f>ROUND('[7]2033'!R49,2)</f>
        <v>35456.9</v>
      </c>
      <c r="S241" s="135">
        <f>ROUND('[7]2033'!S49,2)</f>
        <v>37174.22</v>
      </c>
      <c r="T241" s="135">
        <f>ROUND('[7]2033'!T49,2)</f>
        <v>37220.79</v>
      </c>
      <c r="U241" s="135">
        <f>ROUND('[7]2033'!U49,2)</f>
        <v>36375.919999999998</v>
      </c>
      <c r="V241" s="135">
        <f>ROUND('[7]2033'!V49,2)</f>
        <v>35325.58</v>
      </c>
      <c r="W241" s="135">
        <f>ROUND('[7]2033'!W49,2)</f>
        <v>37390.629999999997</v>
      </c>
      <c r="X241" s="135">
        <f>ROUND('[7]2033'!X49,2)</f>
        <v>37114.47</v>
      </c>
      <c r="Y241" s="135">
        <f>ROUND('[7]2033'!Y49,2)</f>
        <v>36157.019999999997</v>
      </c>
      <c r="Z241" s="135">
        <f>ROUND('[7]2033'!Z49,2)</f>
        <v>34448.9</v>
      </c>
      <c r="AA241" s="135">
        <f>ROUND('[7]2033'!AA49,2)</f>
        <v>31625.69</v>
      </c>
      <c r="AB241" s="135">
        <f>ROUND('[7]2033'!AB49,2)</f>
        <v>28788.720000000001</v>
      </c>
      <c r="AC241" s="282"/>
      <c r="AD241" s="19"/>
    </row>
    <row r="242" spans="2:50" ht="18.649999999999999" hidden="1" customHeight="1" thickBot="1" x14ac:dyDescent="0.4">
      <c r="B242" s="261"/>
      <c r="C242" s="16" t="s">
        <v>32</v>
      </c>
      <c r="D242" s="17">
        <f>+'[7]2033'!D50</f>
        <v>0</v>
      </c>
      <c r="E242" s="199">
        <f>ROUND('[7]2033'!E50,2)</f>
        <v>0</v>
      </c>
      <c r="F242" s="115">
        <f>ROUND('[7]2033'!F50,2)</f>
        <v>0</v>
      </c>
      <c r="G242" s="115">
        <f>ROUND('[7]2033'!G50,2)</f>
        <v>0</v>
      </c>
      <c r="H242" s="115">
        <f>ROUND('[7]2033'!H50,2)</f>
        <v>0</v>
      </c>
      <c r="I242" s="115">
        <f>ROUND('[7]2033'!I50,2)</f>
        <v>0</v>
      </c>
      <c r="J242" s="115">
        <f>ROUND('[7]2033'!J50,2)</f>
        <v>0</v>
      </c>
      <c r="K242" s="115">
        <f>ROUND('[7]2033'!K50,2)</f>
        <v>0</v>
      </c>
      <c r="L242" s="115">
        <f>ROUND('[7]2033'!L50,2)</f>
        <v>0</v>
      </c>
      <c r="M242" s="115">
        <f>ROUND('[7]2033'!M50,2)</f>
        <v>0</v>
      </c>
      <c r="N242" s="115">
        <f>ROUND('[7]2033'!N50,2)</f>
        <v>0</v>
      </c>
      <c r="O242" s="115">
        <f>ROUND('[7]2033'!O50,2)</f>
        <v>0</v>
      </c>
      <c r="P242" s="115">
        <f>ROUND('[7]2033'!P50,2)</f>
        <v>0</v>
      </c>
      <c r="Q242" s="115">
        <f>ROUND('[7]2033'!Q50,2)</f>
        <v>0</v>
      </c>
      <c r="R242" s="115">
        <f>ROUND('[7]2033'!R50,2)</f>
        <v>0</v>
      </c>
      <c r="S242" s="115">
        <f>ROUND('[7]2033'!S50,2)</f>
        <v>0</v>
      </c>
      <c r="T242" s="115">
        <f>ROUND('[7]2033'!T50,2)</f>
        <v>0</v>
      </c>
      <c r="U242" s="115">
        <f>ROUND('[7]2033'!U50,2)</f>
        <v>0</v>
      </c>
      <c r="V242" s="115">
        <f>ROUND('[7]2033'!V50,2)</f>
        <v>0</v>
      </c>
      <c r="W242" s="115">
        <f>ROUND('[7]2033'!W50,2)</f>
        <v>0</v>
      </c>
      <c r="X242" s="115">
        <f>ROUND('[7]2033'!X50,2)</f>
        <v>0</v>
      </c>
      <c r="Y242" s="115">
        <f>ROUND('[7]2033'!Y50,2)</f>
        <v>0</v>
      </c>
      <c r="Z242" s="115">
        <f>ROUND('[7]2033'!Z50,2)</f>
        <v>0</v>
      </c>
      <c r="AA242" s="115">
        <f>ROUND('[7]2033'!AA50,2)</f>
        <v>0</v>
      </c>
      <c r="AB242" s="115">
        <f>ROUND('[7]2033'!AB50,2)</f>
        <v>0</v>
      </c>
      <c r="AC242" s="282"/>
      <c r="AD242" s="19"/>
    </row>
    <row r="243" spans="2:50" ht="18.649999999999999" hidden="1" customHeight="1" x14ac:dyDescent="0.35">
      <c r="B243" s="263">
        <v>48853</v>
      </c>
      <c r="C243" s="7" t="s">
        <v>29</v>
      </c>
      <c r="D243" s="8">
        <f>+'[7]2033'!D51</f>
        <v>20</v>
      </c>
      <c r="E243" s="134">
        <f>ROUND('[7]2033'!E51,2)</f>
        <v>26508.7</v>
      </c>
      <c r="F243" s="134">
        <f>ROUND('[7]2033'!F51,2)</f>
        <v>25168.22</v>
      </c>
      <c r="G243" s="134">
        <f>ROUND('[7]2033'!G51,2)</f>
        <v>24101.25</v>
      </c>
      <c r="H243" s="134">
        <f>ROUND('[7]2033'!H51,2)</f>
        <v>23219.3</v>
      </c>
      <c r="I243" s="134">
        <f>ROUND('[7]2033'!I51,2)</f>
        <v>22884.65</v>
      </c>
      <c r="J243" s="134">
        <f>ROUND('[7]2033'!J51,2)</f>
        <v>22698.82</v>
      </c>
      <c r="K243" s="134">
        <f>ROUND('[7]2033'!K51,2)</f>
        <v>23177.97</v>
      </c>
      <c r="L243" s="134">
        <f>ROUND('[7]2033'!L51,2)</f>
        <v>26086.080000000002</v>
      </c>
      <c r="M243" s="134">
        <f>ROUND('[7]2033'!M51,2)</f>
        <v>29058.52</v>
      </c>
      <c r="N243" s="134">
        <f>ROUND('[7]2033'!N51,2)</f>
        <v>30784.02</v>
      </c>
      <c r="O243" s="134">
        <f>ROUND('[7]2033'!O51,2)</f>
        <v>32374.31</v>
      </c>
      <c r="P243" s="134">
        <f>ROUND('[7]2033'!P51,2)</f>
        <v>33208.480000000003</v>
      </c>
      <c r="Q243" s="134">
        <f>ROUND('[7]2033'!Q51,2)</f>
        <v>32618.28</v>
      </c>
      <c r="R243" s="134">
        <f>ROUND('[7]2033'!R51,2)</f>
        <v>32231.87</v>
      </c>
      <c r="S243" s="134">
        <f>ROUND('[7]2033'!S51,2)</f>
        <v>32364.59</v>
      </c>
      <c r="T243" s="134">
        <f>ROUND('[7]2033'!T51,2)</f>
        <v>32300.720000000001</v>
      </c>
      <c r="U243" s="134">
        <f>ROUND('[7]2033'!U51,2)</f>
        <v>31885.35</v>
      </c>
      <c r="V243" s="134">
        <f>ROUND('[7]2033'!V51,2)</f>
        <v>32714.31</v>
      </c>
      <c r="W243" s="134">
        <f>ROUND('[7]2033'!W51,2)</f>
        <v>35696.769999999997</v>
      </c>
      <c r="X243" s="134">
        <f>ROUND('[7]2033'!X51,2)</f>
        <v>35100.31</v>
      </c>
      <c r="Y243" s="134">
        <f>ROUND('[7]2033'!Y51,2)</f>
        <v>33858.449999999997</v>
      </c>
      <c r="Z243" s="134">
        <f>ROUND('[7]2033'!Z51,2)</f>
        <v>32280.2</v>
      </c>
      <c r="AA243" s="134">
        <f>ROUND('[7]2033'!AA51,2)</f>
        <v>30397.84</v>
      </c>
      <c r="AB243" s="134">
        <f>ROUND('[7]2033'!AB51,2)</f>
        <v>28385.07</v>
      </c>
      <c r="AC243" s="283">
        <f>SUM(E243:AB243)*D243+SUM(E244:AB244)*D244+SUM(E245:AB245)*D245+SUM(E246:AB246)*D246</f>
        <v>21640246.679999996</v>
      </c>
      <c r="AD243" s="19"/>
    </row>
    <row r="244" spans="2:50" ht="18.649999999999999" hidden="1" customHeight="1" x14ac:dyDescent="0.35">
      <c r="B244" s="264" t="s">
        <v>34</v>
      </c>
      <c r="C244" s="10" t="s">
        <v>30</v>
      </c>
      <c r="D244" s="11">
        <f>+'[7]2033'!D52</f>
        <v>5</v>
      </c>
      <c r="E244" s="135">
        <f>ROUND('[7]2033'!E52,2)</f>
        <v>24638.86</v>
      </c>
      <c r="F244" s="135">
        <f>ROUND('[7]2033'!F52,2)</f>
        <v>23421.88</v>
      </c>
      <c r="G244" s="135">
        <f>ROUND('[7]2033'!G52,2)</f>
        <v>22521.439999999999</v>
      </c>
      <c r="H244" s="135">
        <f>ROUND('[7]2033'!H52,2)</f>
        <v>21981.759999999998</v>
      </c>
      <c r="I244" s="135">
        <f>ROUND('[7]2033'!I52,2)</f>
        <v>22057.24</v>
      </c>
      <c r="J244" s="135">
        <f>ROUND('[7]2033'!J52,2)</f>
        <v>22487.01</v>
      </c>
      <c r="K244" s="135">
        <f>ROUND('[7]2033'!K52,2)</f>
        <v>22894.54</v>
      </c>
      <c r="L244" s="135">
        <f>ROUND('[7]2033'!L52,2)</f>
        <v>25573.67</v>
      </c>
      <c r="M244" s="135">
        <f>ROUND('[7]2033'!M52,2)</f>
        <v>28248.2</v>
      </c>
      <c r="N244" s="135">
        <f>ROUND('[7]2033'!N52,2)</f>
        <v>29815.46</v>
      </c>
      <c r="O244" s="135">
        <f>ROUND('[7]2033'!O52,2)</f>
        <v>31253.51</v>
      </c>
      <c r="P244" s="135">
        <f>ROUND('[7]2033'!P52,2)</f>
        <v>32326.16</v>
      </c>
      <c r="Q244" s="135">
        <f>ROUND('[7]2033'!Q52,2)</f>
        <v>31416.5</v>
      </c>
      <c r="R244" s="135">
        <f>ROUND('[7]2033'!R52,2)</f>
        <v>31828.62</v>
      </c>
      <c r="S244" s="135">
        <f>ROUND('[7]2033'!S52,2)</f>
        <v>32767.26</v>
      </c>
      <c r="T244" s="135">
        <f>ROUND('[7]2033'!T52,2)</f>
        <v>32856.47</v>
      </c>
      <c r="U244" s="135">
        <f>ROUND('[7]2033'!U52,2)</f>
        <v>32430.54</v>
      </c>
      <c r="V244" s="135">
        <f>ROUND('[7]2033'!V52,2)</f>
        <v>33019.74</v>
      </c>
      <c r="W244" s="135">
        <f>ROUND('[7]2033'!W52,2)</f>
        <v>35298.449999999997</v>
      </c>
      <c r="X244" s="135">
        <f>ROUND('[7]2033'!X52,2)</f>
        <v>34612.31</v>
      </c>
      <c r="Y244" s="135">
        <f>ROUND('[7]2033'!Y52,2)</f>
        <v>33267.29</v>
      </c>
      <c r="Z244" s="135">
        <f>ROUND('[7]2033'!Z52,2)</f>
        <v>31415.439999999999</v>
      </c>
      <c r="AA244" s="135">
        <f>ROUND('[7]2033'!AA52,2)</f>
        <v>29000.65</v>
      </c>
      <c r="AB244" s="135">
        <f>ROUND('[7]2033'!AB52,2)</f>
        <v>26580.400000000001</v>
      </c>
      <c r="AC244" s="282"/>
      <c r="AD244" s="19"/>
    </row>
    <row r="245" spans="2:50" ht="18.649999999999999" hidden="1" customHeight="1" x14ac:dyDescent="0.35">
      <c r="B245" s="264" t="s">
        <v>34</v>
      </c>
      <c r="C245" s="10" t="s">
        <v>31</v>
      </c>
      <c r="D245" s="11">
        <f>+'[7]2033'!D53</f>
        <v>5</v>
      </c>
      <c r="E245" s="135">
        <f>ROUND('[7]2033'!E53,2)</f>
        <v>24902.29</v>
      </c>
      <c r="F245" s="135">
        <f>ROUND('[7]2033'!F53,2)</f>
        <v>23848</v>
      </c>
      <c r="G245" s="135">
        <f>ROUND('[7]2033'!G53,2)</f>
        <v>23009.46</v>
      </c>
      <c r="H245" s="135">
        <f>ROUND('[7]2033'!H53,2)</f>
        <v>22493.42</v>
      </c>
      <c r="I245" s="135">
        <f>ROUND('[7]2033'!I53,2)</f>
        <v>22314.26</v>
      </c>
      <c r="J245" s="135">
        <f>ROUND('[7]2033'!J53,2)</f>
        <v>21962.59</v>
      </c>
      <c r="K245" s="135">
        <f>ROUND('[7]2033'!K53,2)</f>
        <v>21440.14</v>
      </c>
      <c r="L245" s="135">
        <f>ROUND('[7]2033'!L53,2)</f>
        <v>23125.59</v>
      </c>
      <c r="M245" s="135">
        <f>ROUND('[7]2033'!M53,2)</f>
        <v>24523.84</v>
      </c>
      <c r="N245" s="135">
        <f>ROUND('[7]2033'!N53,2)</f>
        <v>26472.62</v>
      </c>
      <c r="O245" s="135">
        <f>ROUND('[7]2033'!O53,2)</f>
        <v>27993.55</v>
      </c>
      <c r="P245" s="135">
        <f>ROUND('[7]2033'!P53,2)</f>
        <v>29196.47</v>
      </c>
      <c r="Q245" s="135">
        <f>ROUND('[7]2033'!Q53,2)</f>
        <v>29806.85</v>
      </c>
      <c r="R245" s="135">
        <f>ROUND('[7]2033'!R53,2)</f>
        <v>29819.49</v>
      </c>
      <c r="S245" s="135">
        <f>ROUND('[7]2033'!S53,2)</f>
        <v>29868.77</v>
      </c>
      <c r="T245" s="135">
        <f>ROUND('[7]2033'!T53,2)</f>
        <v>29943.99</v>
      </c>
      <c r="U245" s="135">
        <f>ROUND('[7]2033'!U53,2)</f>
        <v>29673.51</v>
      </c>
      <c r="V245" s="135">
        <f>ROUND('[7]2033'!V53,2)</f>
        <v>30933.93</v>
      </c>
      <c r="W245" s="135">
        <f>ROUND('[7]2033'!W53,2)</f>
        <v>34466.800000000003</v>
      </c>
      <c r="X245" s="135">
        <f>ROUND('[7]2033'!X53,2)</f>
        <v>34888.76</v>
      </c>
      <c r="Y245" s="135">
        <f>ROUND('[7]2033'!Y53,2)</f>
        <v>34340.629999999997</v>
      </c>
      <c r="Z245" s="135">
        <f>ROUND('[7]2033'!Z53,2)</f>
        <v>33044.839999999997</v>
      </c>
      <c r="AA245" s="135">
        <f>ROUND('[7]2033'!AA53,2)</f>
        <v>30581.93</v>
      </c>
      <c r="AB245" s="135">
        <f>ROUND('[7]2033'!AB53,2)</f>
        <v>27947.95</v>
      </c>
      <c r="AC245" s="282"/>
      <c r="AD245" s="19"/>
    </row>
    <row r="246" spans="2:50" ht="18.649999999999999" hidden="1" customHeight="1" thickBot="1" x14ac:dyDescent="0.4">
      <c r="B246" s="265" t="s">
        <v>34</v>
      </c>
      <c r="C246" s="12" t="s">
        <v>32</v>
      </c>
      <c r="D246" s="13">
        <f>+'[7]2033'!D54</f>
        <v>1</v>
      </c>
      <c r="E246" s="132">
        <f>ROUND('[7]2033'!E54,2)</f>
        <v>24902.29</v>
      </c>
      <c r="F246" s="132">
        <f>ROUND('[7]2033'!F54,2)</f>
        <v>23848</v>
      </c>
      <c r="G246" s="132">
        <f>ROUND('[7]2033'!G54,2)</f>
        <v>23009.46</v>
      </c>
      <c r="H246" s="132">
        <f>ROUND('[7]2033'!H54,2)</f>
        <v>22493.42</v>
      </c>
      <c r="I246" s="132">
        <f>ROUND('[7]2033'!I54,2)</f>
        <v>22314.26</v>
      </c>
      <c r="J246" s="132">
        <f>ROUND('[7]2033'!J54,2)</f>
        <v>21962.59</v>
      </c>
      <c r="K246" s="132">
        <f>ROUND('[7]2033'!K54,2)</f>
        <v>21440.14</v>
      </c>
      <c r="L246" s="132">
        <f>ROUND('[7]2033'!L54,2)</f>
        <v>23125.59</v>
      </c>
      <c r="M246" s="132">
        <f>ROUND('[7]2033'!M54,2)</f>
        <v>24523.84</v>
      </c>
      <c r="N246" s="132">
        <f>ROUND('[7]2033'!N54,2)</f>
        <v>26472.62</v>
      </c>
      <c r="O246" s="132">
        <f>ROUND('[7]2033'!O54,2)</f>
        <v>27993.55</v>
      </c>
      <c r="P246" s="132">
        <f>ROUND('[7]2033'!P54,2)</f>
        <v>29196.47</v>
      </c>
      <c r="Q246" s="132">
        <f>ROUND('[7]2033'!Q54,2)</f>
        <v>29806.85</v>
      </c>
      <c r="R246" s="132">
        <f>ROUND('[7]2033'!R54,2)</f>
        <v>29819.49</v>
      </c>
      <c r="S246" s="132">
        <f>ROUND('[7]2033'!S54,2)</f>
        <v>29868.77</v>
      </c>
      <c r="T246" s="132">
        <f>ROUND('[7]2033'!T54,2)</f>
        <v>29943.99</v>
      </c>
      <c r="U246" s="132">
        <f>ROUND('[7]2033'!U54,2)</f>
        <v>29673.51</v>
      </c>
      <c r="V246" s="132">
        <f>ROUND('[7]2033'!V54,2)</f>
        <v>30933.93</v>
      </c>
      <c r="W246" s="132">
        <f>ROUND('[7]2033'!W54,2)</f>
        <v>34466.800000000003</v>
      </c>
      <c r="X246" s="132">
        <f>ROUND('[7]2033'!X54,2)</f>
        <v>34888.76</v>
      </c>
      <c r="Y246" s="132">
        <f>ROUND('[7]2033'!Y54,2)</f>
        <v>34340.629999999997</v>
      </c>
      <c r="Z246" s="132">
        <f>ROUND('[7]2033'!Z54,2)</f>
        <v>33044.839999999997</v>
      </c>
      <c r="AA246" s="132">
        <f>ROUND('[7]2033'!AA54,2)</f>
        <v>30581.93</v>
      </c>
      <c r="AB246" s="132">
        <f>ROUND('[7]2033'!AB54,2)</f>
        <v>27947.95</v>
      </c>
      <c r="AC246" s="284"/>
      <c r="AD246" s="19"/>
    </row>
    <row r="247" spans="2:50" ht="18.649999999999999" hidden="1" customHeight="1" x14ac:dyDescent="0.35">
      <c r="B247" s="260">
        <v>48884</v>
      </c>
      <c r="C247" s="14" t="s">
        <v>29</v>
      </c>
      <c r="D247" s="15">
        <f>+'[7]2033'!D55</f>
        <v>20</v>
      </c>
      <c r="E247" s="137">
        <f>ROUND('[7]2033'!E55,2)</f>
        <v>26124.97</v>
      </c>
      <c r="F247" s="137">
        <f>ROUND('[7]2033'!F55,2)</f>
        <v>24846.93</v>
      </c>
      <c r="G247" s="137">
        <f>ROUND('[7]2033'!G55,2)</f>
        <v>23923.83</v>
      </c>
      <c r="H247" s="137">
        <f>ROUND('[7]2033'!H55,2)</f>
        <v>23319.45</v>
      </c>
      <c r="I247" s="137">
        <f>ROUND('[7]2033'!I55,2)</f>
        <v>23324.84</v>
      </c>
      <c r="J247" s="137">
        <f>ROUND('[7]2033'!J55,2)</f>
        <v>23518.87</v>
      </c>
      <c r="K247" s="137">
        <f>ROUND('[7]2033'!K55,2)</f>
        <v>23681.599999999999</v>
      </c>
      <c r="L247" s="137">
        <f>ROUND('[7]2033'!L55,2)</f>
        <v>26651.35</v>
      </c>
      <c r="M247" s="137">
        <f>ROUND('[7]2033'!M55,2)</f>
        <v>29821</v>
      </c>
      <c r="N247" s="137">
        <f>ROUND('[7]2033'!N55,2)</f>
        <v>31839.01</v>
      </c>
      <c r="O247" s="137">
        <f>ROUND('[7]2033'!O55,2)</f>
        <v>33362.71</v>
      </c>
      <c r="P247" s="137">
        <f>ROUND('[7]2033'!P55,2)</f>
        <v>34161.910000000003</v>
      </c>
      <c r="Q247" s="137">
        <f>ROUND('[7]2033'!Q55,2)</f>
        <v>33476.25</v>
      </c>
      <c r="R247" s="137">
        <f>ROUND('[7]2033'!R55,2)</f>
        <v>32892.81</v>
      </c>
      <c r="S247" s="137">
        <f>ROUND('[7]2033'!S55,2)</f>
        <v>32811.160000000003</v>
      </c>
      <c r="T247" s="137">
        <f>ROUND('[7]2033'!T55,2)</f>
        <v>32733.05</v>
      </c>
      <c r="U247" s="137">
        <f>ROUND('[7]2033'!U55,2)</f>
        <v>32397.94</v>
      </c>
      <c r="V247" s="137">
        <f>ROUND('[7]2033'!V55,2)</f>
        <v>33478.120000000003</v>
      </c>
      <c r="W247" s="137">
        <f>ROUND('[7]2033'!W55,2)</f>
        <v>36434.18</v>
      </c>
      <c r="X247" s="137">
        <f>ROUND('[7]2033'!X55,2)</f>
        <v>35666.949999999997</v>
      </c>
      <c r="Y247" s="137">
        <f>ROUND('[7]2033'!Y55,2)</f>
        <v>34219.94</v>
      </c>
      <c r="Z247" s="137">
        <f>ROUND('[7]2033'!Z55,2)</f>
        <v>32582.91</v>
      </c>
      <c r="AA247" s="137">
        <f>ROUND('[7]2033'!AA55,2)</f>
        <v>30555.83</v>
      </c>
      <c r="AB247" s="137">
        <f>ROUND('[7]2033'!AB55,2)</f>
        <v>28357.3</v>
      </c>
      <c r="AC247" s="282">
        <f>SUM(E247:AB247)*D247+SUM(E248:AB248)*D248+SUM(E249:AB249)*D249+SUM(E250:AB250)*D250</f>
        <v>21391760.140000004</v>
      </c>
      <c r="AD247" s="19"/>
    </row>
    <row r="248" spans="2:50" ht="18.649999999999999" hidden="1" customHeight="1" x14ac:dyDescent="0.35">
      <c r="B248" s="261"/>
      <c r="C248" s="10" t="s">
        <v>30</v>
      </c>
      <c r="D248" s="11">
        <f>+'[7]2033'!D56</f>
        <v>4</v>
      </c>
      <c r="E248" s="135">
        <f>ROUND('[7]2033'!E56,2)</f>
        <v>28471.15</v>
      </c>
      <c r="F248" s="135">
        <f>ROUND('[7]2033'!F56,2)</f>
        <v>27030.02</v>
      </c>
      <c r="G248" s="135">
        <f>ROUND('[7]2033'!G56,2)</f>
        <v>25965.13</v>
      </c>
      <c r="H248" s="135">
        <f>ROUND('[7]2033'!H56,2)</f>
        <v>25232.65</v>
      </c>
      <c r="I248" s="135">
        <f>ROUND('[7]2033'!I56,2)</f>
        <v>25077.52</v>
      </c>
      <c r="J248" s="135">
        <f>ROUND('[7]2033'!J56,2)</f>
        <v>25251.77</v>
      </c>
      <c r="K248" s="135">
        <f>ROUND('[7]2033'!K56,2)</f>
        <v>25116.22</v>
      </c>
      <c r="L248" s="135">
        <f>ROUND('[7]2033'!L56,2)</f>
        <v>27977.68</v>
      </c>
      <c r="M248" s="135">
        <f>ROUND('[7]2033'!M56,2)</f>
        <v>30952.959999999999</v>
      </c>
      <c r="N248" s="135">
        <f>ROUND('[7]2033'!N56,2)</f>
        <v>32677.09</v>
      </c>
      <c r="O248" s="135">
        <f>ROUND('[7]2033'!O56,2)</f>
        <v>34198.730000000003</v>
      </c>
      <c r="P248" s="135">
        <f>ROUND('[7]2033'!P56,2)</f>
        <v>35385.42</v>
      </c>
      <c r="Q248" s="135">
        <f>ROUND('[7]2033'!Q56,2)</f>
        <v>34622.400000000001</v>
      </c>
      <c r="R248" s="135">
        <f>ROUND('[7]2033'!R56,2)</f>
        <v>34983.1</v>
      </c>
      <c r="S248" s="135">
        <f>ROUND('[7]2033'!S56,2)</f>
        <v>35982.699999999997</v>
      </c>
      <c r="T248" s="135">
        <f>ROUND('[7]2033'!T56,2)</f>
        <v>36039.14</v>
      </c>
      <c r="U248" s="135">
        <f>ROUND('[7]2033'!U56,2)</f>
        <v>35467.96</v>
      </c>
      <c r="V248" s="135">
        <f>ROUND('[7]2033'!V56,2)</f>
        <v>35560.120000000003</v>
      </c>
      <c r="W248" s="135">
        <f>ROUND('[7]2033'!W56,2)</f>
        <v>38550.120000000003</v>
      </c>
      <c r="X248" s="135">
        <f>ROUND('[7]2033'!X56,2)</f>
        <v>37932.199999999997</v>
      </c>
      <c r="Y248" s="135">
        <f>ROUND('[7]2033'!Y56,2)</f>
        <v>36708.699999999997</v>
      </c>
      <c r="Z248" s="135">
        <f>ROUND('[7]2033'!Z56,2)</f>
        <v>35087.33</v>
      </c>
      <c r="AA248" s="135">
        <f>ROUND('[7]2033'!AA56,2)</f>
        <v>32913.31</v>
      </c>
      <c r="AB248" s="135">
        <f>ROUND('[7]2033'!AB56,2)</f>
        <v>30471.32</v>
      </c>
      <c r="AC248" s="282"/>
      <c r="AD248" s="19"/>
    </row>
    <row r="249" spans="2:50" ht="18.649999999999999" hidden="1" customHeight="1" x14ac:dyDescent="0.35">
      <c r="B249" s="261"/>
      <c r="C249" s="10" t="s">
        <v>31</v>
      </c>
      <c r="D249" s="11">
        <f>+'[7]2033'!D57</f>
        <v>4</v>
      </c>
      <c r="E249" s="135">
        <f>ROUND('[7]2033'!E57,2)</f>
        <v>26253.31</v>
      </c>
      <c r="F249" s="135">
        <f>ROUND('[7]2033'!F57,2)</f>
        <v>24858.43</v>
      </c>
      <c r="G249" s="135">
        <f>ROUND('[7]2033'!G57,2)</f>
        <v>23799.55</v>
      </c>
      <c r="H249" s="135">
        <f>ROUND('[7]2033'!H57,2)</f>
        <v>22986.25</v>
      </c>
      <c r="I249" s="135">
        <f>ROUND('[7]2033'!I57,2)</f>
        <v>22710.68</v>
      </c>
      <c r="J249" s="135">
        <f>ROUND('[7]2033'!J57,2)</f>
        <v>22364.35</v>
      </c>
      <c r="K249" s="135">
        <f>ROUND('[7]2033'!K57,2)</f>
        <v>21736.63</v>
      </c>
      <c r="L249" s="135">
        <f>ROUND('[7]2033'!L57,2)</f>
        <v>23168.39</v>
      </c>
      <c r="M249" s="135">
        <f>ROUND('[7]2033'!M57,2)</f>
        <v>24887.45</v>
      </c>
      <c r="N249" s="135">
        <f>ROUND('[7]2033'!N57,2)</f>
        <v>26229.47</v>
      </c>
      <c r="O249" s="135">
        <f>ROUND('[7]2033'!O57,2)</f>
        <v>27328.74</v>
      </c>
      <c r="P249" s="135">
        <f>ROUND('[7]2033'!P57,2)</f>
        <v>28303.119999999999</v>
      </c>
      <c r="Q249" s="135">
        <f>ROUND('[7]2033'!Q57,2)</f>
        <v>28607.17</v>
      </c>
      <c r="R249" s="135">
        <f>ROUND('[7]2033'!R57,2)</f>
        <v>28752.18</v>
      </c>
      <c r="S249" s="135">
        <f>ROUND('[7]2033'!S57,2)</f>
        <v>28338.99</v>
      </c>
      <c r="T249" s="135">
        <f>ROUND('[7]2033'!T57,2)</f>
        <v>28367.95</v>
      </c>
      <c r="U249" s="135">
        <f>ROUND('[7]2033'!U57,2)</f>
        <v>28436.79</v>
      </c>
      <c r="V249" s="135">
        <f>ROUND('[7]2033'!V57,2)</f>
        <v>30227.040000000001</v>
      </c>
      <c r="W249" s="135">
        <f>ROUND('[7]2033'!W57,2)</f>
        <v>33728.379999999997</v>
      </c>
      <c r="X249" s="135">
        <f>ROUND('[7]2033'!X57,2)</f>
        <v>33853.4</v>
      </c>
      <c r="Y249" s="135">
        <f>ROUND('[7]2033'!Y57,2)</f>
        <v>32800.480000000003</v>
      </c>
      <c r="Z249" s="135">
        <f>ROUND('[7]2033'!Z57,2)</f>
        <v>30832.87</v>
      </c>
      <c r="AA249" s="135">
        <f>ROUND('[7]2033'!AA57,2)</f>
        <v>28343.38</v>
      </c>
      <c r="AB249" s="135">
        <f>ROUND('[7]2033'!AB57,2)</f>
        <v>25998.83</v>
      </c>
      <c r="AC249" s="282"/>
      <c r="AD249" s="19"/>
    </row>
    <row r="250" spans="2:50" ht="18.649999999999999" hidden="1" customHeight="1" thickBot="1" x14ac:dyDescent="0.4">
      <c r="B250" s="261"/>
      <c r="C250" s="16" t="s">
        <v>32</v>
      </c>
      <c r="D250" s="17">
        <f>+'[7]2033'!D58</f>
        <v>2</v>
      </c>
      <c r="E250" s="136">
        <f>ROUND('[7]2033'!E58,2)</f>
        <v>26253.31</v>
      </c>
      <c r="F250" s="136">
        <f>ROUND('[7]2033'!F58,2)</f>
        <v>24858.43</v>
      </c>
      <c r="G250" s="136">
        <f>ROUND('[7]2033'!G58,2)</f>
        <v>23799.55</v>
      </c>
      <c r="H250" s="136">
        <f>ROUND('[7]2033'!H58,2)</f>
        <v>22986.25</v>
      </c>
      <c r="I250" s="136">
        <f>ROUND('[7]2033'!I58,2)</f>
        <v>22710.68</v>
      </c>
      <c r="J250" s="136">
        <f>ROUND('[7]2033'!J58,2)</f>
        <v>22364.35</v>
      </c>
      <c r="K250" s="136">
        <f>ROUND('[7]2033'!K58,2)</f>
        <v>21736.63</v>
      </c>
      <c r="L250" s="136">
        <f>ROUND('[7]2033'!L58,2)</f>
        <v>23168.39</v>
      </c>
      <c r="M250" s="136">
        <f>ROUND('[7]2033'!M58,2)</f>
        <v>24887.45</v>
      </c>
      <c r="N250" s="136">
        <f>ROUND('[7]2033'!N58,2)</f>
        <v>26229.47</v>
      </c>
      <c r="O250" s="136">
        <f>ROUND('[7]2033'!O58,2)</f>
        <v>27328.74</v>
      </c>
      <c r="P250" s="136">
        <f>ROUND('[7]2033'!P58,2)</f>
        <v>28303.119999999999</v>
      </c>
      <c r="Q250" s="136">
        <f>ROUND('[7]2033'!Q58,2)</f>
        <v>28607.17</v>
      </c>
      <c r="R250" s="136">
        <f>ROUND('[7]2033'!R58,2)</f>
        <v>28752.18</v>
      </c>
      <c r="S250" s="136">
        <f>ROUND('[7]2033'!S58,2)</f>
        <v>28338.99</v>
      </c>
      <c r="T250" s="136">
        <f>ROUND('[7]2033'!T58,2)</f>
        <v>28367.95</v>
      </c>
      <c r="U250" s="136">
        <f>ROUND('[7]2033'!U58,2)</f>
        <v>28436.79</v>
      </c>
      <c r="V250" s="136">
        <f>ROUND('[7]2033'!V58,2)</f>
        <v>30227.040000000001</v>
      </c>
      <c r="W250" s="136">
        <f>ROUND('[7]2033'!W58,2)</f>
        <v>33728.379999999997</v>
      </c>
      <c r="X250" s="136">
        <f>ROUND('[7]2033'!X58,2)</f>
        <v>33853.4</v>
      </c>
      <c r="Y250" s="136">
        <f>ROUND('[7]2033'!Y58,2)</f>
        <v>32800.480000000003</v>
      </c>
      <c r="Z250" s="136">
        <f>ROUND('[7]2033'!Z58,2)</f>
        <v>30832.87</v>
      </c>
      <c r="AA250" s="136">
        <f>ROUND('[7]2033'!AA58,2)</f>
        <v>28343.38</v>
      </c>
      <c r="AB250" s="136">
        <f>ROUND('[7]2033'!AB58,2)</f>
        <v>25998.83</v>
      </c>
      <c r="AC250" s="282"/>
      <c r="AD250" s="19"/>
    </row>
    <row r="251" spans="2:50" ht="18.649999999999999" hidden="1" customHeight="1" x14ac:dyDescent="0.35">
      <c r="B251" s="263">
        <v>48914</v>
      </c>
      <c r="C251" s="7" t="s">
        <v>29</v>
      </c>
      <c r="D251" s="8">
        <f>+'[7]2033'!D59</f>
        <v>21</v>
      </c>
      <c r="E251" s="134">
        <f>ROUND('[7]2033'!E59,2)</f>
        <v>27503.82</v>
      </c>
      <c r="F251" s="134">
        <f>ROUND('[7]2033'!F59,2)</f>
        <v>26052.34</v>
      </c>
      <c r="G251" s="134">
        <f>ROUND('[7]2033'!G59,2)</f>
        <v>24955.19</v>
      </c>
      <c r="H251" s="134">
        <f>ROUND('[7]2033'!H59,2)</f>
        <v>24192.58</v>
      </c>
      <c r="I251" s="134">
        <f>ROUND('[7]2033'!I59,2)</f>
        <v>24025.01</v>
      </c>
      <c r="J251" s="134">
        <f>ROUND('[7]2033'!J59,2)</f>
        <v>24147.05</v>
      </c>
      <c r="K251" s="134">
        <f>ROUND('[7]2033'!K59,2)</f>
        <v>23867.16</v>
      </c>
      <c r="L251" s="134">
        <f>ROUND('[7]2033'!L59,2)</f>
        <v>26427.4</v>
      </c>
      <c r="M251" s="134">
        <f>ROUND('[7]2033'!M59,2)</f>
        <v>29221.61</v>
      </c>
      <c r="N251" s="134">
        <f>ROUND('[7]2033'!N59,2)</f>
        <v>30989.51</v>
      </c>
      <c r="O251" s="134">
        <f>ROUND('[7]2033'!O59,2)</f>
        <v>32290.7</v>
      </c>
      <c r="P251" s="134">
        <f>ROUND('[7]2033'!P59,2)</f>
        <v>33071.5</v>
      </c>
      <c r="Q251" s="134">
        <f>ROUND('[7]2033'!Q59,2)</f>
        <v>32355.95</v>
      </c>
      <c r="R251" s="134">
        <f>ROUND('[7]2033'!R59,2)</f>
        <v>31842.7</v>
      </c>
      <c r="S251" s="134">
        <f>ROUND('[7]2033'!S59,2)</f>
        <v>31920.1</v>
      </c>
      <c r="T251" s="134">
        <f>ROUND('[7]2033'!T59,2)</f>
        <v>31897.85</v>
      </c>
      <c r="U251" s="134">
        <f>ROUND('[7]2033'!U59,2)</f>
        <v>31502.42</v>
      </c>
      <c r="V251" s="134">
        <f>ROUND('[7]2033'!V59,2)</f>
        <v>32347.29</v>
      </c>
      <c r="W251" s="134">
        <f>ROUND('[7]2033'!W59,2)</f>
        <v>35623.25</v>
      </c>
      <c r="X251" s="134">
        <f>ROUND('[7]2033'!X59,2)</f>
        <v>34847</v>
      </c>
      <c r="Y251" s="134">
        <f>ROUND('[7]2033'!Y59,2)</f>
        <v>33348.46</v>
      </c>
      <c r="Z251" s="134">
        <f>ROUND('[7]2033'!Z59,2)</f>
        <v>31707.11</v>
      </c>
      <c r="AA251" s="134">
        <f>ROUND('[7]2033'!AA59,2)</f>
        <v>30115</v>
      </c>
      <c r="AB251" s="134">
        <f>ROUND('[7]2033'!AB59,2)</f>
        <v>28330.91</v>
      </c>
      <c r="AC251" s="283">
        <f>SUM(E251:AB251)*D251+SUM(E252:AB252)*D252+SUM(E253:AB253)*D253+SUM(E254:AB254)*D254</f>
        <v>21875629.559999999</v>
      </c>
      <c r="AD251" s="19"/>
    </row>
    <row r="252" spans="2:50" ht="18.649999999999999" hidden="1" customHeight="1" x14ac:dyDescent="0.35">
      <c r="B252" s="264" t="s">
        <v>34</v>
      </c>
      <c r="C252" s="10" t="s">
        <v>30</v>
      </c>
      <c r="D252" s="11">
        <f>+'[7]2033'!D60</f>
        <v>5</v>
      </c>
      <c r="E252" s="135">
        <f>ROUND('[7]2033'!E60,2)</f>
        <v>26994.77</v>
      </c>
      <c r="F252" s="135">
        <f>ROUND('[7]2033'!F60,2)</f>
        <v>25631.9</v>
      </c>
      <c r="G252" s="135">
        <f>ROUND('[7]2033'!G60,2)</f>
        <v>24608.38</v>
      </c>
      <c r="H252" s="135">
        <f>ROUND('[7]2033'!H60,2)</f>
        <v>23897.63</v>
      </c>
      <c r="I252" s="135">
        <f>ROUND('[7]2033'!I60,2)</f>
        <v>23819.65</v>
      </c>
      <c r="J252" s="135">
        <f>ROUND('[7]2033'!J60,2)</f>
        <v>24203.759999999998</v>
      </c>
      <c r="K252" s="135">
        <f>ROUND('[7]2033'!K60,2)</f>
        <v>24306.65</v>
      </c>
      <c r="L252" s="135">
        <f>ROUND('[7]2033'!L60,2)</f>
        <v>26973.27</v>
      </c>
      <c r="M252" s="135">
        <f>ROUND('[7]2033'!M60,2)</f>
        <v>29738.02</v>
      </c>
      <c r="N252" s="135">
        <f>ROUND('[7]2033'!N60,2)</f>
        <v>31335.89</v>
      </c>
      <c r="O252" s="135">
        <f>ROUND('[7]2033'!O60,2)</f>
        <v>32897.42</v>
      </c>
      <c r="P252" s="135">
        <f>ROUND('[7]2033'!P60,2)</f>
        <v>33994.720000000001</v>
      </c>
      <c r="Q252" s="135">
        <f>ROUND('[7]2033'!Q60,2)</f>
        <v>33139</v>
      </c>
      <c r="R252" s="135">
        <f>ROUND('[7]2033'!R60,2)</f>
        <v>33796.82</v>
      </c>
      <c r="S252" s="135">
        <f>ROUND('[7]2033'!S60,2)</f>
        <v>34910.160000000003</v>
      </c>
      <c r="T252" s="135">
        <f>ROUND('[7]2033'!T60,2)</f>
        <v>34988.14</v>
      </c>
      <c r="U252" s="135">
        <f>ROUND('[7]2033'!U60,2)</f>
        <v>34386.49</v>
      </c>
      <c r="V252" s="135">
        <f>ROUND('[7]2033'!V60,2)</f>
        <v>33767.68</v>
      </c>
      <c r="W252" s="135">
        <f>ROUND('[7]2033'!W60,2)</f>
        <v>36110.69</v>
      </c>
      <c r="X252" s="135">
        <f>ROUND('[7]2033'!X60,2)</f>
        <v>36327.89</v>
      </c>
      <c r="Y252" s="135">
        <f>ROUND('[7]2033'!Y60,2)</f>
        <v>35413.360000000001</v>
      </c>
      <c r="Z252" s="135">
        <f>ROUND('[7]2033'!Z60,2)</f>
        <v>33878.21</v>
      </c>
      <c r="AA252" s="135">
        <f>ROUND('[7]2033'!AA60,2)</f>
        <v>31526.07</v>
      </c>
      <c r="AB252" s="135">
        <f>ROUND('[7]2033'!AB60,2)</f>
        <v>29010.59</v>
      </c>
      <c r="AC252" s="282"/>
      <c r="AD252" s="19"/>
    </row>
    <row r="253" spans="2:50" ht="18.649999999999999" hidden="1" customHeight="1" x14ac:dyDescent="0.35">
      <c r="B253" s="264" t="s">
        <v>34</v>
      </c>
      <c r="C253" s="10" t="s">
        <v>31</v>
      </c>
      <c r="D253" s="11">
        <f>+'[7]2033'!D61</f>
        <v>3</v>
      </c>
      <c r="E253" s="135">
        <f>ROUND('[7]2033'!E61,2)</f>
        <v>26833.11</v>
      </c>
      <c r="F253" s="135">
        <f>ROUND('[7]2033'!F61,2)</f>
        <v>26000.93</v>
      </c>
      <c r="G253" s="135">
        <f>ROUND('[7]2033'!G61,2)</f>
        <v>25213.88</v>
      </c>
      <c r="H253" s="135">
        <f>ROUND('[7]2033'!H61,2)</f>
        <v>24459.43</v>
      </c>
      <c r="I253" s="135">
        <f>ROUND('[7]2033'!I61,2)</f>
        <v>24024.55</v>
      </c>
      <c r="J253" s="135">
        <f>ROUND('[7]2033'!J61,2)</f>
        <v>23395.54</v>
      </c>
      <c r="K253" s="135">
        <f>ROUND('[7]2033'!K61,2)</f>
        <v>21942.37</v>
      </c>
      <c r="L253" s="135">
        <f>ROUND('[7]2033'!L61,2)</f>
        <v>22671.34</v>
      </c>
      <c r="M253" s="135">
        <f>ROUND('[7]2033'!M61,2)</f>
        <v>23856.52</v>
      </c>
      <c r="N253" s="135">
        <f>ROUND('[7]2033'!N61,2)</f>
        <v>24969.26</v>
      </c>
      <c r="O253" s="135">
        <f>ROUND('[7]2033'!O61,2)</f>
        <v>26006.61</v>
      </c>
      <c r="P253" s="135">
        <f>ROUND('[7]2033'!P61,2)</f>
        <v>26888.31</v>
      </c>
      <c r="Q253" s="135">
        <f>ROUND('[7]2033'!Q61,2)</f>
        <v>27370.23</v>
      </c>
      <c r="R253" s="135">
        <f>ROUND('[7]2033'!R61,2)</f>
        <v>27391.53</v>
      </c>
      <c r="S253" s="135">
        <f>ROUND('[7]2033'!S61,2)</f>
        <v>27267.59</v>
      </c>
      <c r="T253" s="135">
        <f>ROUND('[7]2033'!T61,2)</f>
        <v>27418.34</v>
      </c>
      <c r="U253" s="135">
        <f>ROUND('[7]2033'!U61,2)</f>
        <v>27405.55</v>
      </c>
      <c r="V253" s="135">
        <f>ROUND('[7]2033'!V61,2)</f>
        <v>28291.4</v>
      </c>
      <c r="W253" s="135">
        <f>ROUND('[7]2033'!W61,2)</f>
        <v>32232.05</v>
      </c>
      <c r="X253" s="135">
        <f>ROUND('[7]2033'!X61,2)</f>
        <v>32530.1</v>
      </c>
      <c r="Y253" s="135">
        <f>ROUND('[7]2033'!Y61,2)</f>
        <v>32118.03</v>
      </c>
      <c r="Z253" s="135">
        <f>ROUND('[7]2033'!Z61,2)</f>
        <v>31141.48</v>
      </c>
      <c r="AA253" s="135">
        <f>ROUND('[7]2033'!AA61,2)</f>
        <v>29531.98</v>
      </c>
      <c r="AB253" s="135">
        <f>ROUND('[7]2033'!AB61,2)</f>
        <v>27664.6</v>
      </c>
      <c r="AC253" s="282"/>
      <c r="AD253" s="19"/>
    </row>
    <row r="254" spans="2:50" ht="18.649999999999999" hidden="1" customHeight="1" thickBot="1" x14ac:dyDescent="0.4">
      <c r="B254" s="265" t="s">
        <v>34</v>
      </c>
      <c r="C254" s="12" t="s">
        <v>32</v>
      </c>
      <c r="D254" s="13">
        <f>+'[7]2033'!D62</f>
        <v>2</v>
      </c>
      <c r="E254" s="132">
        <f>ROUND('[7]2033'!E62,2)</f>
        <v>26833.11</v>
      </c>
      <c r="F254" s="132">
        <f>ROUND('[7]2033'!F62,2)</f>
        <v>26000.93</v>
      </c>
      <c r="G254" s="132">
        <f>ROUND('[7]2033'!G62,2)</f>
        <v>25213.88</v>
      </c>
      <c r="H254" s="132">
        <f>ROUND('[7]2033'!H62,2)</f>
        <v>24459.43</v>
      </c>
      <c r="I254" s="132">
        <f>ROUND('[7]2033'!I62,2)</f>
        <v>24024.55</v>
      </c>
      <c r="J254" s="132">
        <f>ROUND('[7]2033'!J62,2)</f>
        <v>23395.54</v>
      </c>
      <c r="K254" s="132">
        <f>ROUND('[7]2033'!K62,2)</f>
        <v>21942.37</v>
      </c>
      <c r="L254" s="132">
        <f>ROUND('[7]2033'!L62,2)</f>
        <v>22671.34</v>
      </c>
      <c r="M254" s="132">
        <f>ROUND('[7]2033'!M62,2)</f>
        <v>23856.52</v>
      </c>
      <c r="N254" s="132">
        <f>ROUND('[7]2033'!N62,2)</f>
        <v>24969.26</v>
      </c>
      <c r="O254" s="132">
        <f>ROUND('[7]2033'!O62,2)</f>
        <v>26006.61</v>
      </c>
      <c r="P254" s="132">
        <f>ROUND('[7]2033'!P62,2)</f>
        <v>26888.31</v>
      </c>
      <c r="Q254" s="132">
        <f>ROUND('[7]2033'!Q62,2)</f>
        <v>27370.23</v>
      </c>
      <c r="R254" s="132">
        <f>ROUND('[7]2033'!R62,2)</f>
        <v>27391.53</v>
      </c>
      <c r="S254" s="132">
        <f>ROUND('[7]2033'!S62,2)</f>
        <v>27267.59</v>
      </c>
      <c r="T254" s="132">
        <f>ROUND('[7]2033'!T62,2)</f>
        <v>27418.34</v>
      </c>
      <c r="U254" s="132">
        <f>ROUND('[7]2033'!U62,2)</f>
        <v>27405.55</v>
      </c>
      <c r="V254" s="132">
        <f>ROUND('[7]2033'!V62,2)</f>
        <v>28291.4</v>
      </c>
      <c r="W254" s="132">
        <f>ROUND('[7]2033'!W62,2)</f>
        <v>32232.05</v>
      </c>
      <c r="X254" s="132">
        <f>ROUND('[7]2033'!X62,2)</f>
        <v>32530.1</v>
      </c>
      <c r="Y254" s="132">
        <f>ROUND('[7]2033'!Y62,2)</f>
        <v>32118.03</v>
      </c>
      <c r="Z254" s="132">
        <f>ROUND('[7]2033'!Z62,2)</f>
        <v>31141.48</v>
      </c>
      <c r="AA254" s="132">
        <f>ROUND('[7]2033'!AA62,2)</f>
        <v>29531.98</v>
      </c>
      <c r="AB254" s="132">
        <f>ROUND('[7]2033'!AB62,2)</f>
        <v>27664.6</v>
      </c>
      <c r="AC254" s="284"/>
      <c r="AD254" s="19"/>
    </row>
    <row r="255" spans="2:50" ht="18.649999999999999" hidden="1" customHeight="1" thickBot="1" x14ac:dyDescent="0.4"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285" t="s">
        <v>33</v>
      </c>
      <c r="AA255" s="286"/>
      <c r="AB255" s="287"/>
      <c r="AC255" s="198">
        <f>SUM(AC207:AC254)</f>
        <v>262855129.89000002</v>
      </c>
      <c r="AD255" s="18"/>
      <c r="AE255" s="19"/>
    </row>
    <row r="256" spans="2:50" ht="18.649999999999999" hidden="1" customHeight="1" x14ac:dyDescent="0.35">
      <c r="B256" s="260">
        <v>48945</v>
      </c>
      <c r="C256" s="7" t="s">
        <v>29</v>
      </c>
      <c r="D256" s="54">
        <f>+'[7]2034'!D15</f>
        <v>21</v>
      </c>
      <c r="E256" s="134">
        <f>ROUND('[7]2034'!E15,2)</f>
        <v>29203.07</v>
      </c>
      <c r="F256" s="134">
        <f>ROUND('[7]2034'!F15,2)</f>
        <v>27620.34</v>
      </c>
      <c r="G256" s="134">
        <f>ROUND('[7]2034'!G15,2)</f>
        <v>26476.3</v>
      </c>
      <c r="H256" s="134">
        <f>ROUND('[7]2034'!H15,2)</f>
        <v>25676.44</v>
      </c>
      <c r="I256" s="134">
        <f>ROUND('[7]2034'!I15,2)</f>
        <v>25486.85</v>
      </c>
      <c r="J256" s="134">
        <f>ROUND('[7]2034'!J15,2)</f>
        <v>26109.02</v>
      </c>
      <c r="K256" s="134">
        <f>ROUND('[7]2034'!K15,2)</f>
        <v>25914.61</v>
      </c>
      <c r="L256" s="134">
        <f>ROUND('[7]2034'!L15,2)</f>
        <v>28979</v>
      </c>
      <c r="M256" s="134">
        <f>ROUND('[7]2034'!M15,2)</f>
        <v>32276.41</v>
      </c>
      <c r="N256" s="134">
        <f>ROUND('[7]2034'!N15,2)</f>
        <v>34185.919999999998</v>
      </c>
      <c r="O256" s="134">
        <f>ROUND('[7]2034'!O15,2)</f>
        <v>36155.81</v>
      </c>
      <c r="P256" s="134">
        <f>ROUND('[7]2034'!P15,2)</f>
        <v>37556.71</v>
      </c>
      <c r="Q256" s="134">
        <f>ROUND('[7]2034'!Q15,2)</f>
        <v>36513.14</v>
      </c>
      <c r="R256" s="134">
        <f>ROUND('[7]2034'!R15,2)</f>
        <v>37537.5</v>
      </c>
      <c r="S256" s="134">
        <f>ROUND('[7]2034'!S15,2)</f>
        <v>39245.870000000003</v>
      </c>
      <c r="T256" s="134">
        <f>ROUND('[7]2034'!T15,2)</f>
        <v>39407.9</v>
      </c>
      <c r="U256" s="134">
        <f>ROUND('[7]2034'!U15,2)</f>
        <v>38592.17</v>
      </c>
      <c r="V256" s="134">
        <f>ROUND('[7]2034'!V15,2)</f>
        <v>37041.33</v>
      </c>
      <c r="W256" s="134">
        <f>ROUND('[7]2034'!W15,2)</f>
        <v>39240.18</v>
      </c>
      <c r="X256" s="134">
        <f>ROUND('[7]2034'!X15,2)</f>
        <v>39360.51</v>
      </c>
      <c r="Y256" s="134">
        <f>ROUND('[7]2034'!Y15,2)</f>
        <v>38430.269999999997</v>
      </c>
      <c r="Z256" s="134">
        <f>ROUND('[7]2034'!Z15,2)</f>
        <v>36945.660000000003</v>
      </c>
      <c r="AA256" s="134">
        <f>ROUND('[7]2034'!AA15,2)</f>
        <v>34497.75</v>
      </c>
      <c r="AB256" s="134">
        <f>ROUND('[7]2034'!AB15,2)</f>
        <v>31749.22</v>
      </c>
      <c r="AC256" s="283">
        <f>SUM(E256:AB256)*D256+SUM(E257:AB257)*D257+SUM(E258:AB258)*D258+SUM(E259:AB259)*D259</f>
        <v>24300192.520000003</v>
      </c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</row>
    <row r="257" spans="2:50" ht="18.649999999999999" hidden="1" customHeight="1" x14ac:dyDescent="0.35">
      <c r="B257" s="261"/>
      <c r="C257" s="10" t="s">
        <v>30</v>
      </c>
      <c r="D257" s="11">
        <f>+'[7]2034'!D16</f>
        <v>4</v>
      </c>
      <c r="E257" s="135">
        <f>ROUND('[7]2034'!E16,2)</f>
        <v>29423.14</v>
      </c>
      <c r="F257" s="135">
        <f>ROUND('[7]2034'!F16,2)</f>
        <v>27860.880000000001</v>
      </c>
      <c r="G257" s="135">
        <f>ROUND('[7]2034'!G16,2)</f>
        <v>26703.46</v>
      </c>
      <c r="H257" s="135">
        <f>ROUND('[7]2034'!H16,2)</f>
        <v>25790.27</v>
      </c>
      <c r="I257" s="135">
        <f>ROUND('[7]2034'!I16,2)</f>
        <v>25550.85</v>
      </c>
      <c r="J257" s="135">
        <f>ROUND('[7]2034'!J16,2)</f>
        <v>25662.9</v>
      </c>
      <c r="K257" s="135">
        <f>ROUND('[7]2034'!K16,2)</f>
        <v>24999.74</v>
      </c>
      <c r="L257" s="135">
        <f>ROUND('[7]2034'!L16,2)</f>
        <v>27379.3</v>
      </c>
      <c r="M257" s="135">
        <f>ROUND('[7]2034'!M16,2)</f>
        <v>30522.06</v>
      </c>
      <c r="N257" s="135">
        <f>ROUND('[7]2034'!N16,2)</f>
        <v>32601.9</v>
      </c>
      <c r="O257" s="135">
        <f>ROUND('[7]2034'!O16,2)</f>
        <v>34314.35</v>
      </c>
      <c r="P257" s="135">
        <f>ROUND('[7]2034'!P16,2)</f>
        <v>35387.730000000003</v>
      </c>
      <c r="Q257" s="135">
        <f>ROUND('[7]2034'!Q16,2)</f>
        <v>34886.15</v>
      </c>
      <c r="R257" s="135">
        <f>ROUND('[7]2034'!R16,2)</f>
        <v>34534.46</v>
      </c>
      <c r="S257" s="135">
        <f>ROUND('[7]2034'!S16,2)</f>
        <v>34731.18</v>
      </c>
      <c r="T257" s="135">
        <f>ROUND('[7]2034'!T16,2)</f>
        <v>34720.120000000003</v>
      </c>
      <c r="U257" s="135">
        <f>ROUND('[7]2034'!U16,2)</f>
        <v>34207.760000000002</v>
      </c>
      <c r="V257" s="135">
        <f>ROUND('[7]2034'!V16,2)</f>
        <v>33946.14</v>
      </c>
      <c r="W257" s="135">
        <f>ROUND('[7]2034'!W16,2)</f>
        <v>37435.1</v>
      </c>
      <c r="X257" s="135">
        <f>ROUND('[7]2034'!X16,2)</f>
        <v>37809.910000000003</v>
      </c>
      <c r="Y257" s="135">
        <f>ROUND('[7]2034'!Y16,2)</f>
        <v>36764.86</v>
      </c>
      <c r="Z257" s="135">
        <f>ROUND('[7]2034'!Z16,2)</f>
        <v>35463.4</v>
      </c>
      <c r="AA257" s="135">
        <f>ROUND('[7]2034'!AA16,2)</f>
        <v>33695.800000000003</v>
      </c>
      <c r="AB257" s="135">
        <f>ROUND('[7]2034'!AB16,2)</f>
        <v>31631.7</v>
      </c>
      <c r="AC257" s="282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</row>
    <row r="258" spans="2:50" ht="18.649999999999999" hidden="1" customHeight="1" x14ac:dyDescent="0.35">
      <c r="B258" s="261"/>
      <c r="C258" s="10" t="s">
        <v>31</v>
      </c>
      <c r="D258" s="11">
        <f>+'[7]2034'!D17</f>
        <v>4</v>
      </c>
      <c r="E258" s="135">
        <f>ROUND('[7]2034'!E17,2)</f>
        <v>29751.01</v>
      </c>
      <c r="F258" s="135">
        <f>ROUND('[7]2034'!F17,2)</f>
        <v>28244.48</v>
      </c>
      <c r="G258" s="135">
        <f>ROUND('[7]2034'!G17,2)</f>
        <v>27022.720000000001</v>
      </c>
      <c r="H258" s="135">
        <f>ROUND('[7]2034'!H17,2)</f>
        <v>26046.23</v>
      </c>
      <c r="I258" s="135">
        <f>ROUND('[7]2034'!I17,2)</f>
        <v>25549.84</v>
      </c>
      <c r="J258" s="135">
        <f>ROUND('[7]2034'!J17,2)</f>
        <v>25305.040000000001</v>
      </c>
      <c r="K258" s="135">
        <f>ROUND('[7]2034'!K17,2)</f>
        <v>24000.13</v>
      </c>
      <c r="L258" s="135">
        <f>ROUND('[7]2034'!L17,2)</f>
        <v>25072.720000000001</v>
      </c>
      <c r="M258" s="135">
        <f>ROUND('[7]2034'!M17,2)</f>
        <v>26864.32</v>
      </c>
      <c r="N258" s="135">
        <f>ROUND('[7]2034'!N17,2)</f>
        <v>28690.01</v>
      </c>
      <c r="O258" s="135">
        <f>ROUND('[7]2034'!O17,2)</f>
        <v>29812.83</v>
      </c>
      <c r="P258" s="135">
        <f>ROUND('[7]2034'!P17,2)</f>
        <v>30812.66</v>
      </c>
      <c r="Q258" s="135">
        <f>ROUND('[7]2034'!Q17,2)</f>
        <v>31407.96</v>
      </c>
      <c r="R258" s="135">
        <f>ROUND('[7]2034'!R17,2)</f>
        <v>31542.16</v>
      </c>
      <c r="S258" s="135">
        <f>ROUND('[7]2034'!S17,2)</f>
        <v>31629.62</v>
      </c>
      <c r="T258" s="135">
        <f>ROUND('[7]2034'!T17,2)</f>
        <v>31682.19</v>
      </c>
      <c r="U258" s="135">
        <f>ROUND('[7]2034'!U17,2)</f>
        <v>31496.7</v>
      </c>
      <c r="V258" s="135">
        <f>ROUND('[7]2034'!V17,2)</f>
        <v>31528.86</v>
      </c>
      <c r="W258" s="135">
        <f>ROUND('[7]2034'!W17,2)</f>
        <v>35347.440000000002</v>
      </c>
      <c r="X258" s="135">
        <f>ROUND('[7]2034'!X17,2)</f>
        <v>36501.800000000003</v>
      </c>
      <c r="Y258" s="135">
        <f>ROUND('[7]2034'!Y17,2)</f>
        <v>36369.300000000003</v>
      </c>
      <c r="Z258" s="135">
        <f>ROUND('[7]2034'!Z17,2)</f>
        <v>35364.370000000003</v>
      </c>
      <c r="AA258" s="135">
        <f>ROUND('[7]2034'!AA17,2)</f>
        <v>33463.25</v>
      </c>
      <c r="AB258" s="135">
        <f>ROUND('[7]2034'!AB17,2)</f>
        <v>31137.41</v>
      </c>
      <c r="AC258" s="282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</row>
    <row r="259" spans="2:50" ht="18.649999999999999" hidden="1" customHeight="1" thickBot="1" x14ac:dyDescent="0.4">
      <c r="B259" s="261"/>
      <c r="C259" s="16" t="s">
        <v>32</v>
      </c>
      <c r="D259" s="17">
        <f>+'[7]2034'!D18</f>
        <v>2</v>
      </c>
      <c r="E259" s="136">
        <f>ROUND('[7]2034'!E18,2)</f>
        <v>29751.01</v>
      </c>
      <c r="F259" s="136">
        <f>ROUND('[7]2034'!F18,2)</f>
        <v>28244.48</v>
      </c>
      <c r="G259" s="136">
        <f>ROUND('[7]2034'!G18,2)</f>
        <v>27022.720000000001</v>
      </c>
      <c r="H259" s="136">
        <f>ROUND('[7]2034'!H18,2)</f>
        <v>26046.23</v>
      </c>
      <c r="I259" s="136">
        <f>ROUND('[7]2034'!I18,2)</f>
        <v>25549.84</v>
      </c>
      <c r="J259" s="136">
        <f>ROUND('[7]2034'!J18,2)</f>
        <v>25305.040000000001</v>
      </c>
      <c r="K259" s="136">
        <f>ROUND('[7]2034'!K18,2)</f>
        <v>24000.13</v>
      </c>
      <c r="L259" s="136">
        <f>ROUND('[7]2034'!L18,2)</f>
        <v>25072.720000000001</v>
      </c>
      <c r="M259" s="136">
        <f>ROUND('[7]2034'!M18,2)</f>
        <v>26864.32</v>
      </c>
      <c r="N259" s="136">
        <f>ROUND('[7]2034'!N18,2)</f>
        <v>28690.01</v>
      </c>
      <c r="O259" s="136">
        <f>ROUND('[7]2034'!O18,2)</f>
        <v>29812.83</v>
      </c>
      <c r="P259" s="136">
        <f>ROUND('[7]2034'!P18,2)</f>
        <v>30812.66</v>
      </c>
      <c r="Q259" s="136">
        <f>ROUND('[7]2034'!Q18,2)</f>
        <v>31407.96</v>
      </c>
      <c r="R259" s="136">
        <f>ROUND('[7]2034'!R18,2)</f>
        <v>31542.16</v>
      </c>
      <c r="S259" s="136">
        <f>ROUND('[7]2034'!S18,2)</f>
        <v>31629.62</v>
      </c>
      <c r="T259" s="136">
        <f>ROUND('[7]2034'!T18,2)</f>
        <v>31682.19</v>
      </c>
      <c r="U259" s="136">
        <f>ROUND('[7]2034'!U18,2)</f>
        <v>31496.7</v>
      </c>
      <c r="V259" s="136">
        <f>ROUND('[7]2034'!V18,2)</f>
        <v>31528.86</v>
      </c>
      <c r="W259" s="136">
        <f>ROUND('[7]2034'!W18,2)</f>
        <v>35347.440000000002</v>
      </c>
      <c r="X259" s="136">
        <f>ROUND('[7]2034'!X18,2)</f>
        <v>36501.800000000003</v>
      </c>
      <c r="Y259" s="136">
        <f>ROUND('[7]2034'!Y18,2)</f>
        <v>36369.300000000003</v>
      </c>
      <c r="Z259" s="136">
        <f>ROUND('[7]2034'!Z18,2)</f>
        <v>35364.370000000003</v>
      </c>
      <c r="AA259" s="136">
        <f>ROUND('[7]2034'!AA18,2)</f>
        <v>33463.25</v>
      </c>
      <c r="AB259" s="136">
        <f>ROUND('[7]2034'!AB18,2)</f>
        <v>31137.41</v>
      </c>
      <c r="AC259" s="282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</row>
    <row r="260" spans="2:50" ht="18.649999999999999" hidden="1" customHeight="1" x14ac:dyDescent="0.35">
      <c r="B260" s="263">
        <v>48976</v>
      </c>
      <c r="C260" s="7" t="s">
        <v>29</v>
      </c>
      <c r="D260" s="8">
        <f>+'[7]2034'!D19</f>
        <v>20</v>
      </c>
      <c r="E260" s="134">
        <f>ROUND('[7]2034'!E19,2)</f>
        <v>30230.91</v>
      </c>
      <c r="F260" s="134">
        <f>ROUND('[7]2034'!F19,2)</f>
        <v>28635.65</v>
      </c>
      <c r="G260" s="134">
        <f>ROUND('[7]2034'!G19,2)</f>
        <v>27496.18</v>
      </c>
      <c r="H260" s="134">
        <f>ROUND('[7]2034'!H19,2)</f>
        <v>26750.27</v>
      </c>
      <c r="I260" s="134">
        <f>ROUND('[7]2034'!I19,2)</f>
        <v>26805.040000000001</v>
      </c>
      <c r="J260" s="134">
        <f>ROUND('[7]2034'!J19,2)</f>
        <v>28293.87</v>
      </c>
      <c r="K260" s="134">
        <f>ROUND('[7]2034'!K19,2)</f>
        <v>28218.28</v>
      </c>
      <c r="L260" s="134">
        <f>ROUND('[7]2034'!L19,2)</f>
        <v>31131.42</v>
      </c>
      <c r="M260" s="134">
        <f>ROUND('[7]2034'!M19,2)</f>
        <v>34068.879999999997</v>
      </c>
      <c r="N260" s="134">
        <f>ROUND('[7]2034'!N19,2)</f>
        <v>35511.35</v>
      </c>
      <c r="O260" s="134">
        <f>ROUND('[7]2034'!O19,2)</f>
        <v>37234.68</v>
      </c>
      <c r="P260" s="134">
        <f>ROUND('[7]2034'!P19,2)</f>
        <v>38390.870000000003</v>
      </c>
      <c r="Q260" s="134">
        <f>ROUND('[7]2034'!Q19,2)</f>
        <v>36945.99</v>
      </c>
      <c r="R260" s="134">
        <f>ROUND('[7]2034'!R19,2)</f>
        <v>38263.65</v>
      </c>
      <c r="S260" s="134">
        <f>ROUND('[7]2034'!S19,2)</f>
        <v>40200.25</v>
      </c>
      <c r="T260" s="134">
        <f>ROUND('[7]2034'!T19,2)</f>
        <v>40449.15</v>
      </c>
      <c r="U260" s="134">
        <f>ROUND('[7]2034'!U19,2)</f>
        <v>39740.730000000003</v>
      </c>
      <c r="V260" s="134">
        <f>ROUND('[7]2034'!V19,2)</f>
        <v>38048.300000000003</v>
      </c>
      <c r="W260" s="134">
        <f>ROUND('[7]2034'!W19,2)</f>
        <v>40070.65</v>
      </c>
      <c r="X260" s="134">
        <f>ROUND('[7]2034'!X19,2)</f>
        <v>40719.19</v>
      </c>
      <c r="Y260" s="134">
        <f>ROUND('[7]2034'!Y19,2)</f>
        <v>39912.94</v>
      </c>
      <c r="Z260" s="134">
        <f>ROUND('[7]2034'!Z19,2)</f>
        <v>38174.82</v>
      </c>
      <c r="AA260" s="134">
        <f>ROUND('[7]2034'!AA19,2)</f>
        <v>35341.910000000003</v>
      </c>
      <c r="AB260" s="134">
        <f>ROUND('[7]2034'!AB19,2)</f>
        <v>32493.13</v>
      </c>
      <c r="AC260" s="283">
        <f>SUM(E260:AB260)*D260+SUM(E261:AB261)*D261+SUM(E262:AB262)*D262+SUM(E263:AB263)*D263</f>
        <v>22894709.559999999</v>
      </c>
      <c r="AD260" s="19"/>
    </row>
    <row r="261" spans="2:50" ht="18.649999999999999" hidden="1" customHeight="1" x14ac:dyDescent="0.35">
      <c r="B261" s="264" t="s">
        <v>34</v>
      </c>
      <c r="C261" s="10" t="s">
        <v>30</v>
      </c>
      <c r="D261" s="11">
        <f>+'[7]2034'!D20</f>
        <v>4</v>
      </c>
      <c r="E261" s="135">
        <f>ROUND('[7]2034'!E20,2)</f>
        <v>30327.31</v>
      </c>
      <c r="F261" s="135">
        <f>ROUND('[7]2034'!F20,2)</f>
        <v>28850.63</v>
      </c>
      <c r="G261" s="135">
        <f>ROUND('[7]2034'!G20,2)</f>
        <v>27567.18</v>
      </c>
      <c r="H261" s="135">
        <f>ROUND('[7]2034'!H20,2)</f>
        <v>26696.59</v>
      </c>
      <c r="I261" s="135">
        <f>ROUND('[7]2034'!I20,2)</f>
        <v>26364.19</v>
      </c>
      <c r="J261" s="135">
        <f>ROUND('[7]2034'!J20,2)</f>
        <v>26628</v>
      </c>
      <c r="K261" s="135">
        <f>ROUND('[7]2034'!K20,2)</f>
        <v>26359.55</v>
      </c>
      <c r="L261" s="135">
        <f>ROUND('[7]2034'!L20,2)</f>
        <v>28979.15</v>
      </c>
      <c r="M261" s="135">
        <f>ROUND('[7]2034'!M20,2)</f>
        <v>32128.79</v>
      </c>
      <c r="N261" s="135">
        <f>ROUND('[7]2034'!N20,2)</f>
        <v>34107.040000000001</v>
      </c>
      <c r="O261" s="135">
        <f>ROUND('[7]2034'!O20,2)</f>
        <v>35724.51</v>
      </c>
      <c r="P261" s="135">
        <f>ROUND('[7]2034'!P20,2)</f>
        <v>36795.83</v>
      </c>
      <c r="Q261" s="135">
        <f>ROUND('[7]2034'!Q20,2)</f>
        <v>36153.99</v>
      </c>
      <c r="R261" s="135">
        <f>ROUND('[7]2034'!R20,2)</f>
        <v>35732.19</v>
      </c>
      <c r="S261" s="135">
        <f>ROUND('[7]2034'!S20,2)</f>
        <v>35919.81</v>
      </c>
      <c r="T261" s="135">
        <f>ROUND('[7]2034'!T20,2)</f>
        <v>35915.300000000003</v>
      </c>
      <c r="U261" s="135">
        <f>ROUND('[7]2034'!U20,2)</f>
        <v>35370.04</v>
      </c>
      <c r="V261" s="135">
        <f>ROUND('[7]2034'!V20,2)</f>
        <v>35123.67</v>
      </c>
      <c r="W261" s="135">
        <f>ROUND('[7]2034'!W20,2)</f>
        <v>38472.81</v>
      </c>
      <c r="X261" s="135">
        <f>ROUND('[7]2034'!X20,2)</f>
        <v>39254.67</v>
      </c>
      <c r="Y261" s="135">
        <f>ROUND('[7]2034'!Y20,2)</f>
        <v>38234.660000000003</v>
      </c>
      <c r="Z261" s="135">
        <f>ROUND('[7]2034'!Z20,2)</f>
        <v>36857.050000000003</v>
      </c>
      <c r="AA261" s="135">
        <f>ROUND('[7]2034'!AA20,2)</f>
        <v>34984.699999999997</v>
      </c>
      <c r="AB261" s="135">
        <f>ROUND('[7]2034'!AB20,2)</f>
        <v>32782.49</v>
      </c>
      <c r="AC261" s="282"/>
      <c r="AD261" s="19"/>
    </row>
    <row r="262" spans="2:50" ht="18.649999999999999" hidden="1" customHeight="1" x14ac:dyDescent="0.35">
      <c r="B262" s="264" t="s">
        <v>34</v>
      </c>
      <c r="C262" s="10" t="s">
        <v>31</v>
      </c>
      <c r="D262" s="11">
        <f>+'[7]2034'!D21</f>
        <v>4</v>
      </c>
      <c r="E262" s="135">
        <f>ROUND('[7]2034'!E21,2)</f>
        <v>30798.75</v>
      </c>
      <c r="F262" s="135">
        <f>ROUND('[7]2034'!F21,2)</f>
        <v>29221.82</v>
      </c>
      <c r="G262" s="135">
        <f>ROUND('[7]2034'!G21,2)</f>
        <v>28001.95</v>
      </c>
      <c r="H262" s="135">
        <f>ROUND('[7]2034'!H21,2)</f>
        <v>27107.07</v>
      </c>
      <c r="I262" s="135">
        <f>ROUND('[7]2034'!I21,2)</f>
        <v>26540.3</v>
      </c>
      <c r="J262" s="135">
        <f>ROUND('[7]2034'!J21,2)</f>
        <v>26421.25</v>
      </c>
      <c r="K262" s="135">
        <f>ROUND('[7]2034'!K21,2)</f>
        <v>25256.89</v>
      </c>
      <c r="L262" s="135">
        <f>ROUND('[7]2034'!L21,2)</f>
        <v>26385.39</v>
      </c>
      <c r="M262" s="135">
        <f>ROUND('[7]2034'!M21,2)</f>
        <v>28233.21</v>
      </c>
      <c r="N262" s="135">
        <f>ROUND('[7]2034'!N21,2)</f>
        <v>29911.19</v>
      </c>
      <c r="O262" s="135">
        <f>ROUND('[7]2034'!O21,2)</f>
        <v>31134.92</v>
      </c>
      <c r="P262" s="135">
        <f>ROUND('[7]2034'!P21,2)</f>
        <v>32379.54</v>
      </c>
      <c r="Q262" s="135">
        <f>ROUND('[7]2034'!Q21,2)</f>
        <v>33093.360000000001</v>
      </c>
      <c r="R262" s="135">
        <f>ROUND('[7]2034'!R21,2)</f>
        <v>33312.1</v>
      </c>
      <c r="S262" s="135">
        <f>ROUND('[7]2034'!S21,2)</f>
        <v>33510.07</v>
      </c>
      <c r="T262" s="135">
        <f>ROUND('[7]2034'!T21,2)</f>
        <v>33663.160000000003</v>
      </c>
      <c r="U262" s="135">
        <f>ROUND('[7]2034'!U21,2)</f>
        <v>33442.339999999997</v>
      </c>
      <c r="V262" s="135">
        <f>ROUND('[7]2034'!V21,2)</f>
        <v>33363.99</v>
      </c>
      <c r="W262" s="135">
        <f>ROUND('[7]2034'!W21,2)</f>
        <v>37096.57</v>
      </c>
      <c r="X262" s="135">
        <f>ROUND('[7]2034'!X21,2)</f>
        <v>38767.550000000003</v>
      </c>
      <c r="Y262" s="135">
        <f>ROUND('[7]2034'!Y21,2)</f>
        <v>38796.239999999998</v>
      </c>
      <c r="Z262" s="135">
        <f>ROUND('[7]2034'!Z21,2)</f>
        <v>37833.949999999997</v>
      </c>
      <c r="AA262" s="135">
        <f>ROUND('[7]2034'!AA21,2)</f>
        <v>35570.25</v>
      </c>
      <c r="AB262" s="135">
        <f>ROUND('[7]2034'!AB21,2)</f>
        <v>32864.83</v>
      </c>
      <c r="AC262" s="282"/>
      <c r="AD262" s="19"/>
    </row>
    <row r="263" spans="2:50" ht="18.649999999999999" hidden="1" customHeight="1" thickBot="1" x14ac:dyDescent="0.4">
      <c r="B263" s="265" t="s">
        <v>34</v>
      </c>
      <c r="C263" s="12" t="s">
        <v>32</v>
      </c>
      <c r="D263" s="13">
        <f>+'[7]2034'!D22</f>
        <v>0</v>
      </c>
      <c r="E263" s="199">
        <f>ROUND('[7]2034'!E22,2)</f>
        <v>0</v>
      </c>
      <c r="F263" s="115">
        <f>ROUND('[7]2034'!F22,2)</f>
        <v>0</v>
      </c>
      <c r="G263" s="115">
        <f>ROUND('[7]2034'!G22,2)</f>
        <v>0</v>
      </c>
      <c r="H263" s="115">
        <f>ROUND('[7]2034'!H22,2)</f>
        <v>0</v>
      </c>
      <c r="I263" s="115">
        <f>ROUND('[7]2034'!I22,2)</f>
        <v>0</v>
      </c>
      <c r="J263" s="115">
        <f>ROUND('[7]2034'!J22,2)</f>
        <v>0</v>
      </c>
      <c r="K263" s="115">
        <f>ROUND('[7]2034'!K22,2)</f>
        <v>0</v>
      </c>
      <c r="L263" s="115">
        <f>ROUND('[7]2034'!L22,2)</f>
        <v>0</v>
      </c>
      <c r="M263" s="115">
        <f>ROUND('[7]2034'!M22,2)</f>
        <v>0</v>
      </c>
      <c r="N263" s="115">
        <f>ROUND('[7]2034'!N22,2)</f>
        <v>0</v>
      </c>
      <c r="O263" s="115">
        <f>ROUND('[7]2034'!O22,2)</f>
        <v>0</v>
      </c>
      <c r="P263" s="115">
        <f>ROUND('[7]2034'!P22,2)</f>
        <v>0</v>
      </c>
      <c r="Q263" s="115">
        <f>ROUND('[7]2034'!Q22,2)</f>
        <v>0</v>
      </c>
      <c r="R263" s="115">
        <f>ROUND('[7]2034'!R22,2)</f>
        <v>0</v>
      </c>
      <c r="S263" s="115">
        <f>ROUND('[7]2034'!S22,2)</f>
        <v>0</v>
      </c>
      <c r="T263" s="115">
        <f>ROUND('[7]2034'!T22,2)</f>
        <v>0</v>
      </c>
      <c r="U263" s="115">
        <f>ROUND('[7]2034'!U22,2)</f>
        <v>0</v>
      </c>
      <c r="V263" s="115">
        <f>ROUND('[7]2034'!V22,2)</f>
        <v>0</v>
      </c>
      <c r="W263" s="115">
        <f>ROUND('[7]2034'!W22,2)</f>
        <v>0</v>
      </c>
      <c r="X263" s="115">
        <f>ROUND('[7]2034'!X22,2)</f>
        <v>0</v>
      </c>
      <c r="Y263" s="115">
        <f>ROUND('[7]2034'!Y22,2)</f>
        <v>0</v>
      </c>
      <c r="Z263" s="115">
        <f>ROUND('[7]2034'!Z22,2)</f>
        <v>0</v>
      </c>
      <c r="AA263" s="115">
        <f>ROUND('[7]2034'!AA22,2)</f>
        <v>0</v>
      </c>
      <c r="AB263" s="115">
        <f>ROUND('[7]2034'!AB22,2)</f>
        <v>0</v>
      </c>
      <c r="AC263" s="284"/>
      <c r="AD263" s="19"/>
    </row>
    <row r="264" spans="2:50" ht="18.649999999999999" hidden="1" customHeight="1" x14ac:dyDescent="0.35">
      <c r="B264" s="260">
        <v>49004</v>
      </c>
      <c r="C264" s="14" t="s">
        <v>29</v>
      </c>
      <c r="D264" s="15">
        <f>+'[7]2034'!D23</f>
        <v>22</v>
      </c>
      <c r="E264" s="137">
        <f>ROUND('[7]2034'!E23,2)</f>
        <v>30353.71</v>
      </c>
      <c r="F264" s="137">
        <f>ROUND('[7]2034'!F23,2)</f>
        <v>28749.59</v>
      </c>
      <c r="G264" s="137">
        <f>ROUND('[7]2034'!G23,2)</f>
        <v>27540.720000000001</v>
      </c>
      <c r="H264" s="137">
        <f>ROUND('[7]2034'!H23,2)</f>
        <v>26648.560000000001</v>
      </c>
      <c r="I264" s="137">
        <f>ROUND('[7]2034'!I23,2)</f>
        <v>26514.45</v>
      </c>
      <c r="J264" s="137">
        <f>ROUND('[7]2034'!J23,2)</f>
        <v>27485.31</v>
      </c>
      <c r="K264" s="137">
        <f>ROUND('[7]2034'!K23,2)</f>
        <v>27296.560000000001</v>
      </c>
      <c r="L264" s="137">
        <f>ROUND('[7]2034'!L23,2)</f>
        <v>30425.5</v>
      </c>
      <c r="M264" s="137">
        <f>ROUND('[7]2034'!M23,2)</f>
        <v>33581.230000000003</v>
      </c>
      <c r="N264" s="137">
        <f>ROUND('[7]2034'!N23,2)</f>
        <v>35232.83</v>
      </c>
      <c r="O264" s="137">
        <f>ROUND('[7]2034'!O23,2)</f>
        <v>37106.22</v>
      </c>
      <c r="P264" s="137">
        <f>ROUND('[7]2034'!P23,2)</f>
        <v>38325.879999999997</v>
      </c>
      <c r="Q264" s="137">
        <f>ROUND('[7]2034'!Q23,2)</f>
        <v>36946.51</v>
      </c>
      <c r="R264" s="137">
        <f>ROUND('[7]2034'!R23,2)</f>
        <v>38418.9</v>
      </c>
      <c r="S264" s="137">
        <f>ROUND('[7]2034'!S23,2)</f>
        <v>40203.53</v>
      </c>
      <c r="T264" s="137">
        <f>ROUND('[7]2034'!T23,2)</f>
        <v>40395.29</v>
      </c>
      <c r="U264" s="137">
        <f>ROUND('[7]2034'!U23,2)</f>
        <v>39693.269999999997</v>
      </c>
      <c r="V264" s="137">
        <f>ROUND('[7]2034'!V23,2)</f>
        <v>37997.72</v>
      </c>
      <c r="W264" s="137">
        <f>ROUND('[7]2034'!W23,2)</f>
        <v>39702.25</v>
      </c>
      <c r="X264" s="137">
        <f>ROUND('[7]2034'!X23,2)</f>
        <v>40198.49</v>
      </c>
      <c r="Y264" s="137">
        <f>ROUND('[7]2034'!Y23,2)</f>
        <v>39475.79</v>
      </c>
      <c r="Z264" s="137">
        <f>ROUND('[7]2034'!Z23,2)</f>
        <v>37944.01</v>
      </c>
      <c r="AA264" s="137">
        <f>ROUND('[7]2034'!AA23,2)</f>
        <v>35547.56</v>
      </c>
      <c r="AB264" s="137">
        <f>ROUND('[7]2034'!AB23,2)</f>
        <v>32851.83</v>
      </c>
      <c r="AC264" s="282">
        <f>SUM(E264:AB264)*D264+SUM(E265:AB265)*D265+SUM(E266:AB266)*D266+SUM(E267:AB267)*D267</f>
        <v>24974935.32</v>
      </c>
      <c r="AD264" s="19"/>
    </row>
    <row r="265" spans="2:50" ht="18.649999999999999" hidden="1" customHeight="1" x14ac:dyDescent="0.35">
      <c r="B265" s="261"/>
      <c r="C265" s="10" t="s">
        <v>30</v>
      </c>
      <c r="D265" s="11">
        <f>+'[7]2034'!D24</f>
        <v>4</v>
      </c>
      <c r="E265" s="135">
        <f>ROUND('[7]2034'!E24,2)</f>
        <v>30441.88</v>
      </c>
      <c r="F265" s="135">
        <f>ROUND('[7]2034'!F24,2)</f>
        <v>28786.84</v>
      </c>
      <c r="G265" s="135">
        <f>ROUND('[7]2034'!G24,2)</f>
        <v>27621.02</v>
      </c>
      <c r="H265" s="135">
        <f>ROUND('[7]2034'!H24,2)</f>
        <v>26698.43</v>
      </c>
      <c r="I265" s="135">
        <f>ROUND('[7]2034'!I24,2)</f>
        <v>26147.68</v>
      </c>
      <c r="J265" s="135">
        <f>ROUND('[7]2034'!J24,2)</f>
        <v>26063.49</v>
      </c>
      <c r="K265" s="135">
        <f>ROUND('[7]2034'!K24,2)</f>
        <v>25681.73</v>
      </c>
      <c r="L265" s="135">
        <f>ROUND('[7]2034'!L24,2)</f>
        <v>28138.59</v>
      </c>
      <c r="M265" s="135">
        <f>ROUND('[7]2034'!M24,2)</f>
        <v>31100.17</v>
      </c>
      <c r="N265" s="135">
        <f>ROUND('[7]2034'!N24,2)</f>
        <v>32954.78</v>
      </c>
      <c r="O265" s="135">
        <f>ROUND('[7]2034'!O24,2)</f>
        <v>34432.129999999997</v>
      </c>
      <c r="P265" s="135">
        <f>ROUND('[7]2034'!P24,2)</f>
        <v>35376.589999999997</v>
      </c>
      <c r="Q265" s="135">
        <f>ROUND('[7]2034'!Q24,2)</f>
        <v>34874.9</v>
      </c>
      <c r="R265" s="135">
        <f>ROUND('[7]2034'!R24,2)</f>
        <v>34511.56</v>
      </c>
      <c r="S265" s="135">
        <f>ROUND('[7]2034'!S24,2)</f>
        <v>34304.019999999997</v>
      </c>
      <c r="T265" s="135">
        <f>ROUND('[7]2034'!T24,2)</f>
        <v>35151.230000000003</v>
      </c>
      <c r="U265" s="135">
        <f>ROUND('[7]2034'!U24,2)</f>
        <v>33959.69</v>
      </c>
      <c r="V265" s="135">
        <f>ROUND('[7]2034'!V24,2)</f>
        <v>33683.980000000003</v>
      </c>
      <c r="W265" s="135">
        <f>ROUND('[7]2034'!W24,2)</f>
        <v>37210.589999999997</v>
      </c>
      <c r="X265" s="135">
        <f>ROUND('[7]2034'!X24,2)</f>
        <v>37765.660000000003</v>
      </c>
      <c r="Y265" s="135">
        <f>ROUND('[7]2034'!Y24,2)</f>
        <v>36848.550000000003</v>
      </c>
      <c r="Z265" s="135">
        <f>ROUND('[7]2034'!Z24,2)</f>
        <v>35668.33</v>
      </c>
      <c r="AA265" s="135">
        <f>ROUND('[7]2034'!AA24,2)</f>
        <v>34102.97</v>
      </c>
      <c r="AB265" s="135">
        <f>ROUND('[7]2034'!AB24,2)</f>
        <v>32113.439999999999</v>
      </c>
      <c r="AC265" s="282"/>
      <c r="AD265" s="19"/>
    </row>
    <row r="266" spans="2:50" ht="18.649999999999999" hidden="1" customHeight="1" x14ac:dyDescent="0.35">
      <c r="B266" s="261"/>
      <c r="C266" s="10" t="s">
        <v>31</v>
      </c>
      <c r="D266" s="11">
        <f>+'[7]2034'!D25</f>
        <v>4</v>
      </c>
      <c r="E266" s="135">
        <f>ROUND('[7]2034'!E25,2)</f>
        <v>30198.06</v>
      </c>
      <c r="F266" s="135">
        <f>ROUND('[7]2034'!F25,2)</f>
        <v>28652.12</v>
      </c>
      <c r="G266" s="135">
        <f>ROUND('[7]2034'!G25,2)</f>
        <v>27272.2</v>
      </c>
      <c r="H266" s="135">
        <f>ROUND('[7]2034'!H25,2)</f>
        <v>26304.080000000002</v>
      </c>
      <c r="I266" s="135">
        <f>ROUND('[7]2034'!I25,2)</f>
        <v>25855.14</v>
      </c>
      <c r="J266" s="135">
        <f>ROUND('[7]2034'!J25,2)</f>
        <v>25562.68</v>
      </c>
      <c r="K266" s="135">
        <f>ROUND('[7]2034'!K25,2)</f>
        <v>24313.87</v>
      </c>
      <c r="L266" s="135">
        <f>ROUND('[7]2034'!L25,2)</f>
        <v>25483.13</v>
      </c>
      <c r="M266" s="135">
        <f>ROUND('[7]2034'!M25,2)</f>
        <v>27177.27</v>
      </c>
      <c r="N266" s="135">
        <f>ROUND('[7]2034'!N25,2)</f>
        <v>28726.32</v>
      </c>
      <c r="O266" s="135">
        <f>ROUND('[7]2034'!O25,2)</f>
        <v>29900.65</v>
      </c>
      <c r="P266" s="135">
        <f>ROUND('[7]2034'!P25,2)</f>
        <v>31010.87</v>
      </c>
      <c r="Q266" s="135">
        <f>ROUND('[7]2034'!Q25,2)</f>
        <v>31568.55</v>
      </c>
      <c r="R266" s="135">
        <f>ROUND('[7]2034'!R25,2)</f>
        <v>31711.05</v>
      </c>
      <c r="S266" s="135">
        <f>ROUND('[7]2034'!S25,2)</f>
        <v>31874.13</v>
      </c>
      <c r="T266" s="135">
        <f>ROUND('[7]2034'!T25,2)</f>
        <v>32101.37</v>
      </c>
      <c r="U266" s="135">
        <f>ROUND('[7]2034'!U25,2)</f>
        <v>31704.69</v>
      </c>
      <c r="V266" s="135">
        <f>ROUND('[7]2034'!V25,2)</f>
        <v>31780.959999999999</v>
      </c>
      <c r="W266" s="135">
        <f>ROUND('[7]2034'!W25,2)</f>
        <v>35202.9</v>
      </c>
      <c r="X266" s="135">
        <f>ROUND('[7]2034'!X25,2)</f>
        <v>36468.370000000003</v>
      </c>
      <c r="Y266" s="135">
        <f>ROUND('[7]2034'!Y25,2)</f>
        <v>36402.839999999997</v>
      </c>
      <c r="Z266" s="135">
        <f>ROUND('[7]2034'!Z25,2)</f>
        <v>35697.589999999997</v>
      </c>
      <c r="AA266" s="135">
        <f>ROUND('[7]2034'!AA25,2)</f>
        <v>33800.120000000003</v>
      </c>
      <c r="AB266" s="135">
        <f>ROUND('[7]2034'!AB25,2)</f>
        <v>31310.38</v>
      </c>
      <c r="AC266" s="282"/>
      <c r="AD266" s="19"/>
    </row>
    <row r="267" spans="2:50" ht="18.649999999999999" hidden="1" customHeight="1" thickBot="1" x14ac:dyDescent="0.4">
      <c r="B267" s="261"/>
      <c r="C267" s="16" t="s">
        <v>32</v>
      </c>
      <c r="D267" s="17">
        <f>+'[7]2034'!D26</f>
        <v>1</v>
      </c>
      <c r="E267" s="136">
        <f>ROUND('[7]2034'!E26,2)</f>
        <v>30198.06</v>
      </c>
      <c r="F267" s="136">
        <f>ROUND('[7]2034'!F26,2)</f>
        <v>28652.12</v>
      </c>
      <c r="G267" s="136">
        <f>ROUND('[7]2034'!G26,2)</f>
        <v>27272.2</v>
      </c>
      <c r="H267" s="136">
        <f>ROUND('[7]2034'!H26,2)</f>
        <v>26304.080000000002</v>
      </c>
      <c r="I267" s="136">
        <f>ROUND('[7]2034'!I26,2)</f>
        <v>25855.14</v>
      </c>
      <c r="J267" s="136">
        <f>ROUND('[7]2034'!J26,2)</f>
        <v>25562.68</v>
      </c>
      <c r="K267" s="136">
        <f>ROUND('[7]2034'!K26,2)</f>
        <v>24313.87</v>
      </c>
      <c r="L267" s="136">
        <f>ROUND('[7]2034'!L26,2)</f>
        <v>25483.13</v>
      </c>
      <c r="M267" s="136">
        <f>ROUND('[7]2034'!M26,2)</f>
        <v>27177.27</v>
      </c>
      <c r="N267" s="136">
        <f>ROUND('[7]2034'!N26,2)</f>
        <v>28726.32</v>
      </c>
      <c r="O267" s="136">
        <f>ROUND('[7]2034'!O26,2)</f>
        <v>29900.65</v>
      </c>
      <c r="P267" s="136">
        <f>ROUND('[7]2034'!P26,2)</f>
        <v>31010.87</v>
      </c>
      <c r="Q267" s="136">
        <f>ROUND('[7]2034'!Q26,2)</f>
        <v>31568.55</v>
      </c>
      <c r="R267" s="136">
        <f>ROUND('[7]2034'!R26,2)</f>
        <v>31711.05</v>
      </c>
      <c r="S267" s="136">
        <f>ROUND('[7]2034'!S26,2)</f>
        <v>31874.13</v>
      </c>
      <c r="T267" s="136">
        <f>ROUND('[7]2034'!T26,2)</f>
        <v>32101.37</v>
      </c>
      <c r="U267" s="136">
        <f>ROUND('[7]2034'!U26,2)</f>
        <v>31704.69</v>
      </c>
      <c r="V267" s="136">
        <f>ROUND('[7]2034'!V26,2)</f>
        <v>31780.959999999999</v>
      </c>
      <c r="W267" s="136">
        <f>ROUND('[7]2034'!W26,2)</f>
        <v>35202.9</v>
      </c>
      <c r="X267" s="136">
        <f>ROUND('[7]2034'!X26,2)</f>
        <v>36468.370000000003</v>
      </c>
      <c r="Y267" s="136">
        <f>ROUND('[7]2034'!Y26,2)</f>
        <v>36402.839999999997</v>
      </c>
      <c r="Z267" s="136">
        <f>ROUND('[7]2034'!Z26,2)</f>
        <v>35697.589999999997</v>
      </c>
      <c r="AA267" s="136">
        <f>ROUND('[7]2034'!AA26,2)</f>
        <v>33800.120000000003</v>
      </c>
      <c r="AB267" s="136">
        <f>ROUND('[7]2034'!AB26,2)</f>
        <v>31310.38</v>
      </c>
      <c r="AC267" s="282"/>
      <c r="AD267" s="19"/>
    </row>
    <row r="268" spans="2:50" ht="18.649999999999999" hidden="1" customHeight="1" x14ac:dyDescent="0.35">
      <c r="B268" s="263">
        <v>49035</v>
      </c>
      <c r="C268" s="7" t="s">
        <v>29</v>
      </c>
      <c r="D268" s="8">
        <f>+'[7]2034'!D27</f>
        <v>18</v>
      </c>
      <c r="E268" s="134">
        <f>ROUND('[7]2034'!E27,2)</f>
        <v>30018.5</v>
      </c>
      <c r="F268" s="134">
        <f>ROUND('[7]2034'!F27,2)</f>
        <v>28724.28</v>
      </c>
      <c r="G268" s="134">
        <f>ROUND('[7]2034'!G27,2)</f>
        <v>27455.73</v>
      </c>
      <c r="H268" s="134">
        <f>ROUND('[7]2034'!H27,2)</f>
        <v>26746.69</v>
      </c>
      <c r="I268" s="134">
        <f>ROUND('[7]2034'!I27,2)</f>
        <v>26577.279999999999</v>
      </c>
      <c r="J268" s="134">
        <f>ROUND('[7]2034'!J27,2)</f>
        <v>26301.38</v>
      </c>
      <c r="K268" s="134">
        <f>ROUND('[7]2034'!K27,2)</f>
        <v>26392.69</v>
      </c>
      <c r="L268" s="134">
        <f>ROUND('[7]2034'!L27,2)</f>
        <v>29359.38</v>
      </c>
      <c r="M268" s="134">
        <f>ROUND('[7]2034'!M27,2)</f>
        <v>32726.75</v>
      </c>
      <c r="N268" s="134">
        <f>ROUND('[7]2034'!N27,2)</f>
        <v>34716.46</v>
      </c>
      <c r="O268" s="134">
        <f>ROUND('[7]2034'!O27,2)</f>
        <v>36370.559999999998</v>
      </c>
      <c r="P268" s="134">
        <f>ROUND('[7]2034'!P27,2)</f>
        <v>37412.720000000001</v>
      </c>
      <c r="Q268" s="134">
        <f>ROUND('[7]2034'!Q27,2)</f>
        <v>36717.43</v>
      </c>
      <c r="R268" s="134">
        <f>ROUND('[7]2034'!R27,2)</f>
        <v>36277.1</v>
      </c>
      <c r="S268" s="134">
        <f>ROUND('[7]2034'!S27,2)</f>
        <v>36528.78</v>
      </c>
      <c r="T268" s="134">
        <f>ROUND('[7]2034'!T27,2)</f>
        <v>36523.360000000001</v>
      </c>
      <c r="U268" s="134">
        <f>ROUND('[7]2034'!U27,2)</f>
        <v>35948.959999999999</v>
      </c>
      <c r="V268" s="134">
        <f>ROUND('[7]2034'!V27,2)</f>
        <v>35741.360000000001</v>
      </c>
      <c r="W268" s="134">
        <f>ROUND('[7]2034'!W27,2)</f>
        <v>39367.24</v>
      </c>
      <c r="X268" s="134">
        <f>ROUND('[7]2034'!X27,2)</f>
        <v>39680.480000000003</v>
      </c>
      <c r="Y268" s="134">
        <f>ROUND('[7]2034'!Y27,2)</f>
        <v>38708.71</v>
      </c>
      <c r="Z268" s="134">
        <f>ROUND('[7]2034'!Z27,2)</f>
        <v>37363.980000000003</v>
      </c>
      <c r="AA268" s="134">
        <f>ROUND('[7]2034'!AA27,2)</f>
        <v>35526.19</v>
      </c>
      <c r="AB268" s="134">
        <f>ROUND('[7]2034'!AB27,2)</f>
        <v>33300</v>
      </c>
      <c r="AC268" s="283">
        <f>SUM(E268:AB268)*D268+SUM(E269:AB269)*D269+SUM(E270:AB270)*D270+SUM(E271:AB271)*D271</f>
        <v>23765736.729999997</v>
      </c>
      <c r="AD268" s="19"/>
    </row>
    <row r="269" spans="2:50" ht="18.649999999999999" hidden="1" customHeight="1" x14ac:dyDescent="0.35">
      <c r="B269" s="264" t="s">
        <v>34</v>
      </c>
      <c r="C269" s="10" t="s">
        <v>30</v>
      </c>
      <c r="D269" s="11">
        <f>+'[7]2034'!D28</f>
        <v>5</v>
      </c>
      <c r="E269" s="135">
        <f>ROUND('[7]2034'!E28,2)</f>
        <v>28982.45</v>
      </c>
      <c r="F269" s="135">
        <f>ROUND('[7]2034'!F28,2)</f>
        <v>27554.04</v>
      </c>
      <c r="G269" s="135">
        <f>ROUND('[7]2034'!G28,2)</f>
        <v>26469.01</v>
      </c>
      <c r="H269" s="135">
        <f>ROUND('[7]2034'!H28,2)</f>
        <v>25668.95</v>
      </c>
      <c r="I269" s="135">
        <f>ROUND('[7]2034'!I28,2)</f>
        <v>25692.92</v>
      </c>
      <c r="J269" s="135">
        <f>ROUND('[7]2034'!J28,2)</f>
        <v>26009.79</v>
      </c>
      <c r="K269" s="135">
        <f>ROUND('[7]2034'!K28,2)</f>
        <v>26594.19</v>
      </c>
      <c r="L269" s="135">
        <f>ROUND('[7]2034'!L28,2)</f>
        <v>29487.98</v>
      </c>
      <c r="M269" s="135">
        <f>ROUND('[7]2034'!M28,2)</f>
        <v>32461.61</v>
      </c>
      <c r="N269" s="135">
        <f>ROUND('[7]2034'!N28,2)</f>
        <v>34193.800000000003</v>
      </c>
      <c r="O269" s="135">
        <f>ROUND('[7]2034'!O28,2)</f>
        <v>35747.269999999997</v>
      </c>
      <c r="P269" s="135">
        <f>ROUND('[7]2034'!P28,2)</f>
        <v>36819.68</v>
      </c>
      <c r="Q269" s="135">
        <f>ROUND('[7]2034'!Q28,2)</f>
        <v>35812.379999999997</v>
      </c>
      <c r="R269" s="135">
        <f>ROUND('[7]2034'!R28,2)</f>
        <v>36519.1</v>
      </c>
      <c r="S269" s="135">
        <f>ROUND('[7]2034'!S28,2)</f>
        <v>37736.050000000003</v>
      </c>
      <c r="T269" s="135">
        <f>ROUND('[7]2034'!T28,2)</f>
        <v>37817.160000000003</v>
      </c>
      <c r="U269" s="135">
        <f>ROUND('[7]2034'!U28,2)</f>
        <v>37221.589999999997</v>
      </c>
      <c r="V269" s="135">
        <f>ROUND('[7]2034'!V28,2)</f>
        <v>36408.629999999997</v>
      </c>
      <c r="W269" s="135">
        <f>ROUND('[7]2034'!W28,2)</f>
        <v>38917.67</v>
      </c>
      <c r="X269" s="135">
        <f>ROUND('[7]2034'!X28,2)</f>
        <v>39254.120000000003</v>
      </c>
      <c r="Y269" s="135">
        <f>ROUND('[7]2034'!Y28,2)</f>
        <v>38231.69</v>
      </c>
      <c r="Z269" s="135">
        <f>ROUND('[7]2034'!Z28,2)</f>
        <v>36554.99</v>
      </c>
      <c r="AA269" s="135">
        <f>ROUND('[7]2034'!AA28,2)</f>
        <v>33922.300000000003</v>
      </c>
      <c r="AB269" s="135">
        <f>ROUND('[7]2034'!AB28,2)</f>
        <v>31015.02</v>
      </c>
      <c r="AC269" s="282"/>
      <c r="AD269" s="19"/>
    </row>
    <row r="270" spans="2:50" ht="18.649999999999999" hidden="1" customHeight="1" x14ac:dyDescent="0.35">
      <c r="B270" s="264" t="s">
        <v>34</v>
      </c>
      <c r="C270" s="10" t="s">
        <v>31</v>
      </c>
      <c r="D270" s="11">
        <f>+'[7]2034'!D29</f>
        <v>5</v>
      </c>
      <c r="E270" s="135">
        <f>ROUND('[7]2034'!E29,2)</f>
        <v>31234.43</v>
      </c>
      <c r="F270" s="135">
        <f>ROUND('[7]2034'!F29,2)</f>
        <v>29652.81</v>
      </c>
      <c r="G270" s="135">
        <f>ROUND('[7]2034'!G29,2)</f>
        <v>28342.61</v>
      </c>
      <c r="H270" s="135">
        <f>ROUND('[7]2034'!H29,2)</f>
        <v>27448.86</v>
      </c>
      <c r="I270" s="135">
        <f>ROUND('[7]2034'!I29,2)</f>
        <v>26925.21</v>
      </c>
      <c r="J270" s="135">
        <f>ROUND('[7]2034'!J29,2)</f>
        <v>26126.720000000001</v>
      </c>
      <c r="K270" s="135">
        <f>ROUND('[7]2034'!K29,2)</f>
        <v>25326.69</v>
      </c>
      <c r="L270" s="135">
        <f>ROUND('[7]2034'!L29,2)</f>
        <v>26745.46</v>
      </c>
      <c r="M270" s="135">
        <f>ROUND('[7]2034'!M29,2)</f>
        <v>28620.5</v>
      </c>
      <c r="N270" s="135">
        <f>ROUND('[7]2034'!N29,2)</f>
        <v>30311.24</v>
      </c>
      <c r="O270" s="135">
        <f>ROUND('[7]2034'!O29,2)</f>
        <v>31647.93</v>
      </c>
      <c r="P270" s="135">
        <f>ROUND('[7]2034'!P29,2)</f>
        <v>32738.639999999999</v>
      </c>
      <c r="Q270" s="135">
        <f>ROUND('[7]2034'!Q29,2)</f>
        <v>33240.78</v>
      </c>
      <c r="R270" s="135">
        <f>ROUND('[7]2034'!R29,2)</f>
        <v>33333.58</v>
      </c>
      <c r="S270" s="135">
        <f>ROUND('[7]2034'!S29,2)</f>
        <v>33150.71</v>
      </c>
      <c r="T270" s="135">
        <f>ROUND('[7]2034'!T29,2)</f>
        <v>33003.29</v>
      </c>
      <c r="U270" s="135">
        <f>ROUND('[7]2034'!U29,2)</f>
        <v>32666.52</v>
      </c>
      <c r="V270" s="135">
        <f>ROUND('[7]2034'!V29,2)</f>
        <v>32978.58</v>
      </c>
      <c r="W270" s="135">
        <f>ROUND('[7]2034'!W29,2)</f>
        <v>36847.29</v>
      </c>
      <c r="X270" s="135">
        <f>ROUND('[7]2034'!X29,2)</f>
        <v>37955.1</v>
      </c>
      <c r="Y270" s="135">
        <f>ROUND('[7]2034'!Y29,2)</f>
        <v>37698.730000000003</v>
      </c>
      <c r="Z270" s="135">
        <f>ROUND('[7]2034'!Z29,2)</f>
        <v>36541.629999999997</v>
      </c>
      <c r="AA270" s="135">
        <f>ROUND('[7]2034'!AA29,2)</f>
        <v>34313.089999999997</v>
      </c>
      <c r="AB270" s="135">
        <f>ROUND('[7]2034'!AB29,2)</f>
        <v>31653.4</v>
      </c>
      <c r="AC270" s="282"/>
      <c r="AD270" s="19"/>
    </row>
    <row r="271" spans="2:50" ht="18.649999999999999" hidden="1" customHeight="1" thickBot="1" x14ac:dyDescent="0.4">
      <c r="B271" s="265" t="s">
        <v>34</v>
      </c>
      <c r="C271" s="12" t="s">
        <v>32</v>
      </c>
      <c r="D271" s="13">
        <f>+'[7]2034'!D30</f>
        <v>2</v>
      </c>
      <c r="E271" s="135">
        <f>ROUND('[7]2034'!E30,2)</f>
        <v>31234.43</v>
      </c>
      <c r="F271" s="135">
        <f>ROUND('[7]2034'!F30,2)</f>
        <v>29652.81</v>
      </c>
      <c r="G271" s="135">
        <f>ROUND('[7]2034'!G30,2)</f>
        <v>28342.61</v>
      </c>
      <c r="H271" s="135">
        <f>ROUND('[7]2034'!H30,2)</f>
        <v>27448.86</v>
      </c>
      <c r="I271" s="135">
        <f>ROUND('[7]2034'!I30,2)</f>
        <v>26925.21</v>
      </c>
      <c r="J271" s="135">
        <f>ROUND('[7]2034'!J30,2)</f>
        <v>26126.720000000001</v>
      </c>
      <c r="K271" s="135">
        <f>ROUND('[7]2034'!K30,2)</f>
        <v>25326.69</v>
      </c>
      <c r="L271" s="135">
        <f>ROUND('[7]2034'!L30,2)</f>
        <v>26745.46</v>
      </c>
      <c r="M271" s="135">
        <f>ROUND('[7]2034'!M30,2)</f>
        <v>28620.5</v>
      </c>
      <c r="N271" s="135">
        <f>ROUND('[7]2034'!N30,2)</f>
        <v>30311.24</v>
      </c>
      <c r="O271" s="135">
        <f>ROUND('[7]2034'!O30,2)</f>
        <v>31647.93</v>
      </c>
      <c r="P271" s="135">
        <f>ROUND('[7]2034'!P30,2)</f>
        <v>32738.639999999999</v>
      </c>
      <c r="Q271" s="135">
        <f>ROUND('[7]2034'!Q30,2)</f>
        <v>33240.78</v>
      </c>
      <c r="R271" s="135">
        <f>ROUND('[7]2034'!R30,2)</f>
        <v>33333.58</v>
      </c>
      <c r="S271" s="135">
        <f>ROUND('[7]2034'!S30,2)</f>
        <v>33150.71</v>
      </c>
      <c r="T271" s="135">
        <f>ROUND('[7]2034'!T30,2)</f>
        <v>33003.29</v>
      </c>
      <c r="U271" s="135">
        <f>ROUND('[7]2034'!U30,2)</f>
        <v>32666.52</v>
      </c>
      <c r="V271" s="135">
        <f>ROUND('[7]2034'!V30,2)</f>
        <v>32978.58</v>
      </c>
      <c r="W271" s="135">
        <f>ROUND('[7]2034'!W30,2)</f>
        <v>36847.29</v>
      </c>
      <c r="X271" s="135">
        <f>ROUND('[7]2034'!X30,2)</f>
        <v>37955.1</v>
      </c>
      <c r="Y271" s="135">
        <f>ROUND('[7]2034'!Y30,2)</f>
        <v>37698.730000000003</v>
      </c>
      <c r="Z271" s="135">
        <f>ROUND('[7]2034'!Z30,2)</f>
        <v>36541.629999999997</v>
      </c>
      <c r="AA271" s="135">
        <f>ROUND('[7]2034'!AA30,2)</f>
        <v>34313.089999999997</v>
      </c>
      <c r="AB271" s="135">
        <f>ROUND('[7]2034'!AB30,2)</f>
        <v>31653.4</v>
      </c>
      <c r="AC271" s="284"/>
      <c r="AD271" s="19"/>
    </row>
    <row r="272" spans="2:50" ht="18.649999999999999" hidden="1" customHeight="1" x14ac:dyDescent="0.35">
      <c r="B272" s="260">
        <v>49065</v>
      </c>
      <c r="C272" s="14" t="s">
        <v>29</v>
      </c>
      <c r="D272" s="15">
        <f>+'[7]2034'!D31</f>
        <v>21</v>
      </c>
      <c r="E272" s="137">
        <f>ROUND('[7]2034'!E31,2)</f>
        <v>30393.87</v>
      </c>
      <c r="F272" s="137">
        <f>ROUND('[7]2034'!F31,2)</f>
        <v>28812.34</v>
      </c>
      <c r="G272" s="137">
        <f>ROUND('[7]2034'!G31,2)</f>
        <v>27536.15</v>
      </c>
      <c r="H272" s="137">
        <f>ROUND('[7]2034'!H31,2)</f>
        <v>26444.720000000001</v>
      </c>
      <c r="I272" s="137">
        <f>ROUND('[7]2034'!I31,2)</f>
        <v>26150.52</v>
      </c>
      <c r="J272" s="137">
        <f>ROUND('[7]2034'!J31,2)</f>
        <v>25736.34</v>
      </c>
      <c r="K272" s="137">
        <f>ROUND('[7]2034'!K31,2)</f>
        <v>26116.71</v>
      </c>
      <c r="L272" s="137">
        <f>ROUND('[7]2034'!L31,2)</f>
        <v>28925.83</v>
      </c>
      <c r="M272" s="137">
        <f>ROUND('[7]2034'!M31,2)</f>
        <v>32199.78</v>
      </c>
      <c r="N272" s="137">
        <f>ROUND('[7]2034'!N31,2)</f>
        <v>34006.050000000003</v>
      </c>
      <c r="O272" s="137">
        <f>ROUND('[7]2034'!O31,2)</f>
        <v>35152.54</v>
      </c>
      <c r="P272" s="137">
        <f>ROUND('[7]2034'!P31,2)</f>
        <v>35995.03</v>
      </c>
      <c r="Q272" s="137">
        <f>ROUND('[7]2034'!Q31,2)</f>
        <v>35376.65</v>
      </c>
      <c r="R272" s="137">
        <f>ROUND('[7]2034'!R31,2)</f>
        <v>34740.32</v>
      </c>
      <c r="S272" s="137">
        <f>ROUND('[7]2034'!S31,2)</f>
        <v>34716.93</v>
      </c>
      <c r="T272" s="137">
        <f>ROUND('[7]2034'!T31,2)</f>
        <v>34521.269999999997</v>
      </c>
      <c r="U272" s="137">
        <f>ROUND('[7]2034'!U31,2)</f>
        <v>34052.239999999998</v>
      </c>
      <c r="V272" s="137">
        <f>ROUND('[7]2034'!V31,2)</f>
        <v>34261.07</v>
      </c>
      <c r="W272" s="137">
        <f>ROUND('[7]2034'!W31,2)</f>
        <v>37979.56</v>
      </c>
      <c r="X272" s="137">
        <f>ROUND('[7]2034'!X31,2)</f>
        <v>38333.03</v>
      </c>
      <c r="Y272" s="137">
        <f>ROUND('[7]2034'!Y31,2)</f>
        <v>37098.69</v>
      </c>
      <c r="Z272" s="137">
        <f>ROUND('[7]2034'!Z31,2)</f>
        <v>35567.599999999999</v>
      </c>
      <c r="AA272" s="137">
        <f>ROUND('[7]2034'!AA31,2)</f>
        <v>33554.129999999997</v>
      </c>
      <c r="AB272" s="137">
        <f>ROUND('[7]2034'!AB31,2)</f>
        <v>31298.84</v>
      </c>
      <c r="AC272" s="282">
        <f>SUM(E272:AB272)*D272+SUM(E273:AB273)*D273+SUM(E274:AB274)*D274+SUM(E275:AB275)*D275</f>
        <v>23928518.189999998</v>
      </c>
      <c r="AD272" s="19"/>
    </row>
    <row r="273" spans="2:30" ht="18.649999999999999" hidden="1" customHeight="1" x14ac:dyDescent="0.35">
      <c r="B273" s="261"/>
      <c r="C273" s="10" t="s">
        <v>30</v>
      </c>
      <c r="D273" s="11">
        <f>+'[7]2034'!D32</f>
        <v>4</v>
      </c>
      <c r="E273" s="135">
        <f>ROUND('[7]2034'!E32,2)</f>
        <v>28019.93</v>
      </c>
      <c r="F273" s="135">
        <f>ROUND('[7]2034'!F32,2)</f>
        <v>26633.87</v>
      </c>
      <c r="G273" s="135">
        <f>ROUND('[7]2034'!G32,2)</f>
        <v>25619.4</v>
      </c>
      <c r="H273" s="135">
        <f>ROUND('[7]2034'!H32,2)</f>
        <v>24920.63</v>
      </c>
      <c r="I273" s="135">
        <f>ROUND('[7]2034'!I32,2)</f>
        <v>24830.97</v>
      </c>
      <c r="J273" s="135">
        <f>ROUND('[7]2034'!J32,2)</f>
        <v>24799.759999999998</v>
      </c>
      <c r="K273" s="135">
        <f>ROUND('[7]2034'!K32,2)</f>
        <v>25177.49</v>
      </c>
      <c r="L273" s="135">
        <f>ROUND('[7]2034'!L32,2)</f>
        <v>28128.09</v>
      </c>
      <c r="M273" s="135">
        <f>ROUND('[7]2034'!M32,2)</f>
        <v>31013.200000000001</v>
      </c>
      <c r="N273" s="135">
        <f>ROUND('[7]2034'!N32,2)</f>
        <v>32679.18</v>
      </c>
      <c r="O273" s="135">
        <f>ROUND('[7]2034'!O32,2)</f>
        <v>34306.68</v>
      </c>
      <c r="P273" s="135">
        <f>ROUND('[7]2034'!P32,2)</f>
        <v>35478.94</v>
      </c>
      <c r="Q273" s="135">
        <f>ROUND('[7]2034'!Q32,2)</f>
        <v>34704.949999999997</v>
      </c>
      <c r="R273" s="135">
        <f>ROUND('[7]2034'!R32,2)</f>
        <v>35074.910000000003</v>
      </c>
      <c r="S273" s="135">
        <f>ROUND('[7]2034'!S32,2)</f>
        <v>35998.14</v>
      </c>
      <c r="T273" s="135">
        <f>ROUND('[7]2034'!T32,2)</f>
        <v>35953.050000000003</v>
      </c>
      <c r="U273" s="135">
        <f>ROUND('[7]2034'!U32,2)</f>
        <v>35435.17</v>
      </c>
      <c r="V273" s="135">
        <f>ROUND('[7]2034'!V32,2)</f>
        <v>34746.85</v>
      </c>
      <c r="W273" s="135">
        <f>ROUND('[7]2034'!W32,2)</f>
        <v>37277.78</v>
      </c>
      <c r="X273" s="135">
        <f>ROUND('[7]2034'!X32,2)</f>
        <v>37980.21</v>
      </c>
      <c r="Y273" s="135">
        <f>ROUND('[7]2034'!Y32,2)</f>
        <v>36945.82</v>
      </c>
      <c r="Z273" s="135">
        <f>ROUND('[7]2034'!Z32,2)</f>
        <v>35247.410000000003</v>
      </c>
      <c r="AA273" s="135">
        <f>ROUND('[7]2034'!AA32,2)</f>
        <v>32694.29</v>
      </c>
      <c r="AB273" s="135">
        <f>ROUND('[7]2034'!AB32,2)</f>
        <v>30031.64</v>
      </c>
      <c r="AC273" s="282"/>
      <c r="AD273" s="19"/>
    </row>
    <row r="274" spans="2:30" ht="18.649999999999999" hidden="1" customHeight="1" x14ac:dyDescent="0.35">
      <c r="B274" s="261"/>
      <c r="C274" s="10" t="s">
        <v>31</v>
      </c>
      <c r="D274" s="11">
        <f>+'[7]2034'!D33</f>
        <v>4</v>
      </c>
      <c r="E274" s="135">
        <f>ROUND('[7]2034'!E33,2)</f>
        <v>27999.29</v>
      </c>
      <c r="F274" s="135">
        <f>ROUND('[7]2034'!F33,2)</f>
        <v>26902.85</v>
      </c>
      <c r="G274" s="135">
        <f>ROUND('[7]2034'!G33,2)</f>
        <v>25778.38</v>
      </c>
      <c r="H274" s="135">
        <f>ROUND('[7]2034'!H33,2)</f>
        <v>25180.49</v>
      </c>
      <c r="I274" s="135">
        <f>ROUND('[7]2034'!I33,2)</f>
        <v>24988.71</v>
      </c>
      <c r="J274" s="135">
        <f>ROUND('[7]2034'!J33,2)</f>
        <v>24368.54</v>
      </c>
      <c r="K274" s="135">
        <f>ROUND('[7]2034'!K33,2)</f>
        <v>24267.21</v>
      </c>
      <c r="L274" s="135">
        <f>ROUND('[7]2034'!L33,2)</f>
        <v>26147.64</v>
      </c>
      <c r="M274" s="135">
        <f>ROUND('[7]2034'!M33,2)</f>
        <v>28327.98</v>
      </c>
      <c r="N274" s="135">
        <f>ROUND('[7]2034'!N33,2)</f>
        <v>30023.3</v>
      </c>
      <c r="O274" s="135">
        <f>ROUND('[7]2034'!O33,2)</f>
        <v>31312.16</v>
      </c>
      <c r="P274" s="135">
        <f>ROUND('[7]2034'!P33,2)</f>
        <v>32913.5</v>
      </c>
      <c r="Q274" s="135">
        <f>ROUND('[7]2034'!Q33,2)</f>
        <v>33810.58</v>
      </c>
      <c r="R274" s="135">
        <f>ROUND('[7]2034'!R33,2)</f>
        <v>33980.57</v>
      </c>
      <c r="S274" s="135">
        <f>ROUND('[7]2034'!S33,2)</f>
        <v>34019.72</v>
      </c>
      <c r="T274" s="135">
        <f>ROUND('[7]2034'!T33,2)</f>
        <v>34086.400000000001</v>
      </c>
      <c r="U274" s="135">
        <f>ROUND('[7]2034'!U33,2)</f>
        <v>33738.629999999997</v>
      </c>
      <c r="V274" s="135">
        <f>ROUND('[7]2034'!V33,2)</f>
        <v>33747.42</v>
      </c>
      <c r="W274" s="135">
        <f>ROUND('[7]2034'!W33,2)</f>
        <v>37718.839999999997</v>
      </c>
      <c r="X274" s="135">
        <f>ROUND('[7]2034'!X33,2)</f>
        <v>39150.47</v>
      </c>
      <c r="Y274" s="135">
        <f>ROUND('[7]2034'!Y33,2)</f>
        <v>38912.1</v>
      </c>
      <c r="Z274" s="135">
        <f>ROUND('[7]2034'!Z33,2)</f>
        <v>37600.97</v>
      </c>
      <c r="AA274" s="135">
        <f>ROUND('[7]2034'!AA33,2)</f>
        <v>35196.32</v>
      </c>
      <c r="AB274" s="135">
        <f>ROUND('[7]2034'!AB33,2)</f>
        <v>32386.32</v>
      </c>
      <c r="AC274" s="282"/>
      <c r="AD274" s="19"/>
    </row>
    <row r="275" spans="2:30" ht="18.649999999999999" hidden="1" customHeight="1" thickBot="1" x14ac:dyDescent="0.4">
      <c r="B275" s="261"/>
      <c r="C275" s="16" t="s">
        <v>32</v>
      </c>
      <c r="D275" s="17">
        <f>+'[7]2034'!D34</f>
        <v>2</v>
      </c>
      <c r="E275" s="136">
        <f>ROUND('[7]2034'!E34,2)</f>
        <v>27999.29</v>
      </c>
      <c r="F275" s="136">
        <f>ROUND('[7]2034'!F34,2)</f>
        <v>26902.85</v>
      </c>
      <c r="G275" s="136">
        <f>ROUND('[7]2034'!G34,2)</f>
        <v>25778.38</v>
      </c>
      <c r="H275" s="136">
        <f>ROUND('[7]2034'!H34,2)</f>
        <v>25180.49</v>
      </c>
      <c r="I275" s="136">
        <f>ROUND('[7]2034'!I34,2)</f>
        <v>24988.71</v>
      </c>
      <c r="J275" s="136">
        <f>ROUND('[7]2034'!J34,2)</f>
        <v>24368.54</v>
      </c>
      <c r="K275" s="136">
        <f>ROUND('[7]2034'!K34,2)</f>
        <v>24267.21</v>
      </c>
      <c r="L275" s="136">
        <f>ROUND('[7]2034'!L34,2)</f>
        <v>26147.64</v>
      </c>
      <c r="M275" s="136">
        <f>ROUND('[7]2034'!M34,2)</f>
        <v>28327.98</v>
      </c>
      <c r="N275" s="136">
        <f>ROUND('[7]2034'!N34,2)</f>
        <v>30023.3</v>
      </c>
      <c r="O275" s="136">
        <f>ROUND('[7]2034'!O34,2)</f>
        <v>31312.16</v>
      </c>
      <c r="P275" s="136">
        <f>ROUND('[7]2034'!P34,2)</f>
        <v>32913.5</v>
      </c>
      <c r="Q275" s="136">
        <f>ROUND('[7]2034'!Q34,2)</f>
        <v>33810.58</v>
      </c>
      <c r="R275" s="136">
        <f>ROUND('[7]2034'!R34,2)</f>
        <v>33980.57</v>
      </c>
      <c r="S275" s="136">
        <f>ROUND('[7]2034'!S34,2)</f>
        <v>34019.72</v>
      </c>
      <c r="T275" s="136">
        <f>ROUND('[7]2034'!T34,2)</f>
        <v>34086.400000000001</v>
      </c>
      <c r="U275" s="136">
        <f>ROUND('[7]2034'!U34,2)</f>
        <v>33738.629999999997</v>
      </c>
      <c r="V275" s="136">
        <f>ROUND('[7]2034'!V34,2)</f>
        <v>33747.42</v>
      </c>
      <c r="W275" s="136">
        <f>ROUND('[7]2034'!W34,2)</f>
        <v>37718.839999999997</v>
      </c>
      <c r="X275" s="136">
        <f>ROUND('[7]2034'!X34,2)</f>
        <v>39150.47</v>
      </c>
      <c r="Y275" s="136">
        <f>ROUND('[7]2034'!Y34,2)</f>
        <v>38912.1</v>
      </c>
      <c r="Z275" s="136">
        <f>ROUND('[7]2034'!Z34,2)</f>
        <v>37600.97</v>
      </c>
      <c r="AA275" s="136">
        <f>ROUND('[7]2034'!AA34,2)</f>
        <v>35196.32</v>
      </c>
      <c r="AB275" s="136">
        <f>ROUND('[7]2034'!AB34,2)</f>
        <v>32386.32</v>
      </c>
      <c r="AC275" s="282"/>
      <c r="AD275" s="19"/>
    </row>
    <row r="276" spans="2:30" ht="18.649999999999999" hidden="1" customHeight="1" x14ac:dyDescent="0.35">
      <c r="B276" s="263">
        <v>49096</v>
      </c>
      <c r="C276" s="7" t="s">
        <v>29</v>
      </c>
      <c r="D276" s="8">
        <f>+'[7]2034'!D35</f>
        <v>20</v>
      </c>
      <c r="E276" s="134">
        <f>ROUND('[7]2034'!E35,2)</f>
        <v>27606.63</v>
      </c>
      <c r="F276" s="134">
        <f>ROUND('[7]2034'!F35,2)</f>
        <v>26236.1</v>
      </c>
      <c r="G276" s="134">
        <f>ROUND('[7]2034'!G35,2)</f>
        <v>25223.49</v>
      </c>
      <c r="H276" s="134">
        <f>ROUND('[7]2034'!H35,2)</f>
        <v>24547.77</v>
      </c>
      <c r="I276" s="134">
        <f>ROUND('[7]2034'!I35,2)</f>
        <v>24367.27</v>
      </c>
      <c r="J276" s="134">
        <f>ROUND('[7]2034'!J35,2)</f>
        <v>24108.38</v>
      </c>
      <c r="K276" s="134">
        <f>ROUND('[7]2034'!K35,2)</f>
        <v>24510.65</v>
      </c>
      <c r="L276" s="134">
        <f>ROUND('[7]2034'!L35,2)</f>
        <v>27463.07</v>
      </c>
      <c r="M276" s="134">
        <f>ROUND('[7]2034'!M35,2)</f>
        <v>30709.45</v>
      </c>
      <c r="N276" s="134">
        <f>ROUND('[7]2034'!N35,2)</f>
        <v>32705.54</v>
      </c>
      <c r="O276" s="134">
        <f>ROUND('[7]2034'!O35,2)</f>
        <v>34440.120000000003</v>
      </c>
      <c r="P276" s="134">
        <f>ROUND('[7]2034'!P35,2)</f>
        <v>35394.74</v>
      </c>
      <c r="Q276" s="134">
        <f>ROUND('[7]2034'!Q35,2)</f>
        <v>34872.21</v>
      </c>
      <c r="R276" s="134">
        <f>ROUND('[7]2034'!R35,2)</f>
        <v>34273.449999999997</v>
      </c>
      <c r="S276" s="134">
        <f>ROUND('[7]2034'!S35,2)</f>
        <v>34302.36</v>
      </c>
      <c r="T276" s="134">
        <f>ROUND('[7]2034'!T35,2)</f>
        <v>34203.730000000003</v>
      </c>
      <c r="U276" s="134">
        <f>ROUND('[7]2034'!U35,2)</f>
        <v>33857.21</v>
      </c>
      <c r="V276" s="134">
        <f>ROUND('[7]2034'!V35,2)</f>
        <v>33893.370000000003</v>
      </c>
      <c r="W276" s="134">
        <f>ROUND('[7]2034'!W35,2)</f>
        <v>36813.24</v>
      </c>
      <c r="X276" s="134">
        <f>ROUND('[7]2034'!X35,2)</f>
        <v>37338.75</v>
      </c>
      <c r="Y276" s="134">
        <f>ROUND('[7]2034'!Y35,2)</f>
        <v>36037.78</v>
      </c>
      <c r="Z276" s="134">
        <f>ROUND('[7]2034'!Z35,2)</f>
        <v>34552.959999999999</v>
      </c>
      <c r="AA276" s="134">
        <f>ROUND('[7]2034'!AA35,2)</f>
        <v>32720.44</v>
      </c>
      <c r="AB276" s="134">
        <f>ROUND('[7]2034'!AB35,2)</f>
        <v>30649.87</v>
      </c>
      <c r="AC276" s="283">
        <f>SUM(E276:AB276)*D276+SUM(E277:AB277)*D277+SUM(E278:AB278)*D278+SUM(E279:AB279)*D279</f>
        <v>22416105.639999997</v>
      </c>
      <c r="AD276" s="19"/>
    </row>
    <row r="277" spans="2:30" ht="18.649999999999999" hidden="1" customHeight="1" x14ac:dyDescent="0.35">
      <c r="B277" s="264" t="s">
        <v>34</v>
      </c>
      <c r="C277" s="10" t="s">
        <v>30</v>
      </c>
      <c r="D277" s="11">
        <f>+'[7]2034'!D36</f>
        <v>4</v>
      </c>
      <c r="E277" s="135">
        <f>ROUND('[7]2034'!E36,2)</f>
        <v>28429.58</v>
      </c>
      <c r="F277" s="135">
        <f>ROUND('[7]2034'!F36,2)</f>
        <v>27030.53</v>
      </c>
      <c r="G277" s="135">
        <f>ROUND('[7]2034'!G36,2)</f>
        <v>25967.42</v>
      </c>
      <c r="H277" s="135">
        <f>ROUND('[7]2034'!H36,2)</f>
        <v>25229.759999999998</v>
      </c>
      <c r="I277" s="135">
        <f>ROUND('[7]2034'!I36,2)</f>
        <v>25142.959999999999</v>
      </c>
      <c r="J277" s="135">
        <f>ROUND('[7]2034'!J36,2)</f>
        <v>25425.14</v>
      </c>
      <c r="K277" s="135">
        <f>ROUND('[7]2034'!K36,2)</f>
        <v>25597.7</v>
      </c>
      <c r="L277" s="135">
        <f>ROUND('[7]2034'!L36,2)</f>
        <v>28477.38</v>
      </c>
      <c r="M277" s="135">
        <f>ROUND('[7]2034'!M36,2)</f>
        <v>31519.599999999999</v>
      </c>
      <c r="N277" s="135">
        <f>ROUND('[7]2034'!N36,2)</f>
        <v>33279.96</v>
      </c>
      <c r="O277" s="135">
        <f>ROUND('[7]2034'!O36,2)</f>
        <v>34941.07</v>
      </c>
      <c r="P277" s="135">
        <f>ROUND('[7]2034'!P36,2)</f>
        <v>36025.14</v>
      </c>
      <c r="Q277" s="135">
        <f>ROUND('[7]2034'!Q36,2)</f>
        <v>35107.79</v>
      </c>
      <c r="R277" s="135">
        <f>ROUND('[7]2034'!R36,2)</f>
        <v>35952.300000000003</v>
      </c>
      <c r="S277" s="135">
        <f>ROUND('[7]2034'!S36,2)</f>
        <v>37173.07</v>
      </c>
      <c r="T277" s="135">
        <f>ROUND('[7]2034'!T36,2)</f>
        <v>37221.89</v>
      </c>
      <c r="U277" s="135">
        <f>ROUND('[7]2034'!U36,2)</f>
        <v>36529.1</v>
      </c>
      <c r="V277" s="135">
        <f>ROUND('[7]2034'!V36,2)</f>
        <v>35328.46</v>
      </c>
      <c r="W277" s="135">
        <f>ROUND('[7]2034'!W36,2)</f>
        <v>37405.25</v>
      </c>
      <c r="X277" s="135">
        <f>ROUND('[7]2034'!X36,2)</f>
        <v>38499.74</v>
      </c>
      <c r="Y277" s="135">
        <f>ROUND('[7]2034'!Y36,2)</f>
        <v>37621.78</v>
      </c>
      <c r="Z277" s="135">
        <f>ROUND('[7]2034'!Z36,2)</f>
        <v>36027.25</v>
      </c>
      <c r="AA277" s="135">
        <f>ROUND('[7]2034'!AA36,2)</f>
        <v>33427.81</v>
      </c>
      <c r="AB277" s="135">
        <f>ROUND('[7]2034'!AB36,2)</f>
        <v>30707.61</v>
      </c>
      <c r="AC277" s="282"/>
      <c r="AD277" s="19"/>
    </row>
    <row r="278" spans="2:30" ht="18.649999999999999" hidden="1" customHeight="1" x14ac:dyDescent="0.35">
      <c r="B278" s="264" t="s">
        <v>34</v>
      </c>
      <c r="C278" s="10" t="s">
        <v>31</v>
      </c>
      <c r="D278" s="11">
        <f>+'[7]2034'!D37</f>
        <v>4</v>
      </c>
      <c r="E278" s="135">
        <f>ROUND('[7]2034'!E37,2)</f>
        <v>27060.98</v>
      </c>
      <c r="F278" s="135">
        <f>ROUND('[7]2034'!F37,2)</f>
        <v>25967.24</v>
      </c>
      <c r="G278" s="135">
        <f>ROUND('[7]2034'!G37,2)</f>
        <v>25073.51</v>
      </c>
      <c r="H278" s="135">
        <f>ROUND('[7]2034'!H37,2)</f>
        <v>24494.46</v>
      </c>
      <c r="I278" s="135">
        <f>ROUND('[7]2034'!I37,2)</f>
        <v>24263.48</v>
      </c>
      <c r="J278" s="135">
        <f>ROUND('[7]2034'!J37,2)</f>
        <v>23584.05</v>
      </c>
      <c r="K278" s="135">
        <f>ROUND('[7]2034'!K37,2)</f>
        <v>23273.74</v>
      </c>
      <c r="L278" s="135">
        <f>ROUND('[7]2034'!L37,2)</f>
        <v>25169.71</v>
      </c>
      <c r="M278" s="135">
        <f>ROUND('[7]2034'!M37,2)</f>
        <v>27362.18</v>
      </c>
      <c r="N278" s="135">
        <f>ROUND('[7]2034'!N37,2)</f>
        <v>28728.33</v>
      </c>
      <c r="O278" s="135">
        <f>ROUND('[7]2034'!O37,2)</f>
        <v>30348.43</v>
      </c>
      <c r="P278" s="135">
        <f>ROUND('[7]2034'!P37,2)</f>
        <v>31547.37</v>
      </c>
      <c r="Q278" s="135">
        <f>ROUND('[7]2034'!Q37,2)</f>
        <v>32158.85</v>
      </c>
      <c r="R278" s="135">
        <f>ROUND('[7]2034'!R37,2)</f>
        <v>32031.38</v>
      </c>
      <c r="S278" s="135">
        <f>ROUND('[7]2034'!S37,2)</f>
        <v>31764.94</v>
      </c>
      <c r="T278" s="135">
        <f>ROUND('[7]2034'!T37,2)</f>
        <v>31519.99</v>
      </c>
      <c r="U278" s="135">
        <f>ROUND('[7]2034'!U37,2)</f>
        <v>31278.95</v>
      </c>
      <c r="V278" s="135">
        <f>ROUND('[7]2034'!V37,2)</f>
        <v>31750.79</v>
      </c>
      <c r="W278" s="135">
        <f>ROUND('[7]2034'!W37,2)</f>
        <v>35583.75</v>
      </c>
      <c r="X278" s="135">
        <f>ROUND('[7]2034'!X37,2)</f>
        <v>36997.82</v>
      </c>
      <c r="Y278" s="135">
        <f>ROUND('[7]2034'!Y37,2)</f>
        <v>36528.33</v>
      </c>
      <c r="Z278" s="135">
        <f>ROUND('[7]2034'!Z37,2)</f>
        <v>35178.699999999997</v>
      </c>
      <c r="AA278" s="135">
        <f>ROUND('[7]2034'!AA37,2)</f>
        <v>32801.33</v>
      </c>
      <c r="AB278" s="135">
        <f>ROUND('[7]2034'!AB37,2)</f>
        <v>30075.17</v>
      </c>
      <c r="AC278" s="282"/>
      <c r="AD278" s="19"/>
    </row>
    <row r="279" spans="2:30" ht="18.649999999999999" hidden="1" customHeight="1" thickBot="1" x14ac:dyDescent="0.4">
      <c r="B279" s="265" t="s">
        <v>34</v>
      </c>
      <c r="C279" s="12" t="s">
        <v>32</v>
      </c>
      <c r="D279" s="13">
        <f>+'[7]2034'!D38</f>
        <v>2</v>
      </c>
      <c r="E279" s="132">
        <f>ROUND('[7]2034'!E38,2)</f>
        <v>27060.98</v>
      </c>
      <c r="F279" s="132">
        <f>ROUND('[7]2034'!F38,2)</f>
        <v>25967.24</v>
      </c>
      <c r="G279" s="132">
        <f>ROUND('[7]2034'!G38,2)</f>
        <v>25073.51</v>
      </c>
      <c r="H279" s="132">
        <f>ROUND('[7]2034'!H38,2)</f>
        <v>24494.46</v>
      </c>
      <c r="I279" s="132">
        <f>ROUND('[7]2034'!I38,2)</f>
        <v>24263.48</v>
      </c>
      <c r="J279" s="132">
        <f>ROUND('[7]2034'!J38,2)</f>
        <v>23584.05</v>
      </c>
      <c r="K279" s="132">
        <f>ROUND('[7]2034'!K38,2)</f>
        <v>23273.74</v>
      </c>
      <c r="L279" s="132">
        <f>ROUND('[7]2034'!L38,2)</f>
        <v>25169.71</v>
      </c>
      <c r="M279" s="132">
        <f>ROUND('[7]2034'!M38,2)</f>
        <v>27362.18</v>
      </c>
      <c r="N279" s="132">
        <f>ROUND('[7]2034'!N38,2)</f>
        <v>28728.33</v>
      </c>
      <c r="O279" s="132">
        <f>ROUND('[7]2034'!O38,2)</f>
        <v>30348.43</v>
      </c>
      <c r="P279" s="132">
        <f>ROUND('[7]2034'!P38,2)</f>
        <v>31547.37</v>
      </c>
      <c r="Q279" s="132">
        <f>ROUND('[7]2034'!Q38,2)</f>
        <v>32158.85</v>
      </c>
      <c r="R279" s="132">
        <f>ROUND('[7]2034'!R38,2)</f>
        <v>32031.38</v>
      </c>
      <c r="S279" s="132">
        <f>ROUND('[7]2034'!S38,2)</f>
        <v>31764.94</v>
      </c>
      <c r="T279" s="132">
        <f>ROUND('[7]2034'!T38,2)</f>
        <v>31519.99</v>
      </c>
      <c r="U279" s="132">
        <f>ROUND('[7]2034'!U38,2)</f>
        <v>31278.95</v>
      </c>
      <c r="V279" s="132">
        <f>ROUND('[7]2034'!V38,2)</f>
        <v>31750.79</v>
      </c>
      <c r="W279" s="132">
        <f>ROUND('[7]2034'!W38,2)</f>
        <v>35583.75</v>
      </c>
      <c r="X279" s="132">
        <f>ROUND('[7]2034'!X38,2)</f>
        <v>36997.82</v>
      </c>
      <c r="Y279" s="132">
        <f>ROUND('[7]2034'!Y38,2)</f>
        <v>36528.33</v>
      </c>
      <c r="Z279" s="132">
        <f>ROUND('[7]2034'!Z38,2)</f>
        <v>35178.699999999997</v>
      </c>
      <c r="AA279" s="132">
        <f>ROUND('[7]2034'!AA38,2)</f>
        <v>32801.33</v>
      </c>
      <c r="AB279" s="132">
        <f>ROUND('[7]2034'!AB38,2)</f>
        <v>30075.17</v>
      </c>
      <c r="AC279" s="284"/>
      <c r="AD279" s="19"/>
    </row>
    <row r="280" spans="2:30" ht="18.649999999999999" hidden="1" customHeight="1" x14ac:dyDescent="0.35">
      <c r="B280" s="260">
        <v>49126</v>
      </c>
      <c r="C280" s="14" t="s">
        <v>29</v>
      </c>
      <c r="D280" s="8">
        <f>+'[7]2034'!D39</f>
        <v>19</v>
      </c>
      <c r="E280" s="137">
        <f>ROUND('[7]2034'!E39,2)</f>
        <v>28195.81</v>
      </c>
      <c r="F280" s="137">
        <f>ROUND('[7]2034'!F39,2)</f>
        <v>26838.880000000001</v>
      </c>
      <c r="G280" s="137">
        <f>ROUND('[7]2034'!G39,2)</f>
        <v>25944.37</v>
      </c>
      <c r="H280" s="137">
        <f>ROUND('[7]2034'!H39,2)</f>
        <v>25282.18</v>
      </c>
      <c r="I280" s="137">
        <f>ROUND('[7]2034'!I39,2)</f>
        <v>25179.48</v>
      </c>
      <c r="J280" s="137">
        <f>ROUND('[7]2034'!J39,2)</f>
        <v>25062.11</v>
      </c>
      <c r="K280" s="137">
        <f>ROUND('[7]2034'!K39,2)</f>
        <v>25292.83</v>
      </c>
      <c r="L280" s="137">
        <f>ROUND('[7]2034'!L39,2)</f>
        <v>28243.32</v>
      </c>
      <c r="M280" s="137">
        <f>ROUND('[7]2034'!M39,2)</f>
        <v>31675.91</v>
      </c>
      <c r="N280" s="137">
        <f>ROUND('[7]2034'!N39,2)</f>
        <v>33620.639999999999</v>
      </c>
      <c r="O280" s="137">
        <f>ROUND('[7]2034'!O39,2)</f>
        <v>35369.879999999997</v>
      </c>
      <c r="P280" s="137">
        <f>ROUND('[7]2034'!P39,2)</f>
        <v>36165.78</v>
      </c>
      <c r="Q280" s="137">
        <f>ROUND('[7]2034'!Q39,2)</f>
        <v>35693.99</v>
      </c>
      <c r="R280" s="137">
        <f>ROUND('[7]2034'!R39,2)</f>
        <v>35199</v>
      </c>
      <c r="S280" s="137">
        <f>ROUND('[7]2034'!S39,2)</f>
        <v>35256.69</v>
      </c>
      <c r="T280" s="137">
        <f>ROUND('[7]2034'!T39,2)</f>
        <v>35353.22</v>
      </c>
      <c r="U280" s="137">
        <f>ROUND('[7]2034'!U39,2)</f>
        <v>34858.9</v>
      </c>
      <c r="V280" s="137">
        <f>ROUND('[7]2034'!V39,2)</f>
        <v>34780.589999999997</v>
      </c>
      <c r="W280" s="137">
        <f>ROUND('[7]2034'!W39,2)</f>
        <v>37726.49</v>
      </c>
      <c r="X280" s="137">
        <f>ROUND('[7]2034'!X39,2)</f>
        <v>38729.01</v>
      </c>
      <c r="Y280" s="137">
        <f>ROUND('[7]2034'!Y39,2)</f>
        <v>37495.730000000003</v>
      </c>
      <c r="Z280" s="137">
        <f>ROUND('[7]2034'!Z39,2)</f>
        <v>35833.230000000003</v>
      </c>
      <c r="AA280" s="137">
        <f>ROUND('[7]2034'!AA39,2)</f>
        <v>33718.01</v>
      </c>
      <c r="AB280" s="137">
        <f>ROUND('[7]2034'!AB39,2)</f>
        <v>31464.54</v>
      </c>
      <c r="AC280" s="282">
        <f>SUM(E280:AB280)*D280+SUM(E281:AB281)*D281+SUM(E282:AB282)*D282+SUM(E283:AB283)*D283</f>
        <v>24004659.600000001</v>
      </c>
      <c r="AD280" s="19"/>
    </row>
    <row r="281" spans="2:30" ht="18.649999999999999" hidden="1" customHeight="1" x14ac:dyDescent="0.35">
      <c r="B281" s="261"/>
      <c r="C281" s="10" t="s">
        <v>30</v>
      </c>
      <c r="D281" s="11">
        <f>+'[7]2034'!D40</f>
        <v>5</v>
      </c>
      <c r="E281" s="135">
        <f>ROUND('[7]2034'!E40,2)</f>
        <v>29990.32</v>
      </c>
      <c r="F281" s="135">
        <f>ROUND('[7]2034'!F40,2)</f>
        <v>28419.599999999999</v>
      </c>
      <c r="G281" s="135">
        <f>ROUND('[7]2034'!G40,2)</f>
        <v>27268.36</v>
      </c>
      <c r="H281" s="135">
        <f>ROUND('[7]2034'!H40,2)</f>
        <v>26456.11</v>
      </c>
      <c r="I281" s="135">
        <f>ROUND('[7]2034'!I40,2)</f>
        <v>26400.1</v>
      </c>
      <c r="J281" s="135">
        <f>ROUND('[7]2034'!J40,2)</f>
        <v>26883.69</v>
      </c>
      <c r="K281" s="135">
        <f>ROUND('[7]2034'!K40,2)</f>
        <v>27041.37</v>
      </c>
      <c r="L281" s="135">
        <f>ROUND('[7]2034'!L40,2)</f>
        <v>29989.89</v>
      </c>
      <c r="M281" s="135">
        <f>ROUND('[7]2034'!M40,2)</f>
        <v>33163.589999999997</v>
      </c>
      <c r="N281" s="135">
        <f>ROUND('[7]2034'!N40,2)</f>
        <v>34967.32</v>
      </c>
      <c r="O281" s="135">
        <f>ROUND('[7]2034'!O40,2)</f>
        <v>36790.25</v>
      </c>
      <c r="P281" s="135">
        <f>ROUND('[7]2034'!P40,2)</f>
        <v>38105.74</v>
      </c>
      <c r="Q281" s="135">
        <f>ROUND('[7]2034'!Q40,2)</f>
        <v>37110.29</v>
      </c>
      <c r="R281" s="135">
        <f>ROUND('[7]2034'!R40,2)</f>
        <v>37854.15</v>
      </c>
      <c r="S281" s="135">
        <f>ROUND('[7]2034'!S40,2)</f>
        <v>39104.15</v>
      </c>
      <c r="T281" s="135">
        <f>ROUND('[7]2034'!T40,2)</f>
        <v>39104.51</v>
      </c>
      <c r="U281" s="135">
        <f>ROUND('[7]2034'!U40,2)</f>
        <v>38358.39</v>
      </c>
      <c r="V281" s="135">
        <f>ROUND('[7]2034'!V40,2)</f>
        <v>37257.71</v>
      </c>
      <c r="W281" s="135">
        <f>ROUND('[7]2034'!W40,2)</f>
        <v>39818.21</v>
      </c>
      <c r="X281" s="135">
        <f>ROUND('[7]2034'!X40,2)</f>
        <v>40638.699999999997</v>
      </c>
      <c r="Y281" s="135">
        <f>ROUND('[7]2034'!Y40,2)</f>
        <v>39779.67</v>
      </c>
      <c r="Z281" s="135">
        <f>ROUND('[7]2034'!Z40,2)</f>
        <v>38088.03</v>
      </c>
      <c r="AA281" s="135">
        <f>ROUND('[7]2034'!AA40,2)</f>
        <v>35307.300000000003</v>
      </c>
      <c r="AB281" s="135">
        <f>ROUND('[7]2034'!AB40,2)</f>
        <v>32313.89</v>
      </c>
      <c r="AC281" s="282"/>
      <c r="AD281" s="19"/>
    </row>
    <row r="282" spans="2:30" ht="18.649999999999999" hidden="1" customHeight="1" x14ac:dyDescent="0.35">
      <c r="B282" s="261"/>
      <c r="C282" s="10" t="s">
        <v>31</v>
      </c>
      <c r="D282" s="11">
        <f>+'[7]2034'!D41</f>
        <v>5</v>
      </c>
      <c r="E282" s="135">
        <f>ROUND('[7]2034'!E41,2)</f>
        <v>28287.33</v>
      </c>
      <c r="F282" s="135">
        <f>ROUND('[7]2034'!F41,2)</f>
        <v>27151.06</v>
      </c>
      <c r="G282" s="135">
        <f>ROUND('[7]2034'!G41,2)</f>
        <v>26189.23</v>
      </c>
      <c r="H282" s="135">
        <f>ROUND('[7]2034'!H41,2)</f>
        <v>25308.74</v>
      </c>
      <c r="I282" s="135">
        <f>ROUND('[7]2034'!I41,2)</f>
        <v>25013.13</v>
      </c>
      <c r="J282" s="135">
        <f>ROUND('[7]2034'!J41,2)</f>
        <v>24623.35</v>
      </c>
      <c r="K282" s="135">
        <f>ROUND('[7]2034'!K41,2)</f>
        <v>24154.06</v>
      </c>
      <c r="L282" s="135">
        <f>ROUND('[7]2034'!L41,2)</f>
        <v>25955.13</v>
      </c>
      <c r="M282" s="135">
        <f>ROUND('[7]2034'!M41,2)</f>
        <v>28308.79</v>
      </c>
      <c r="N282" s="135">
        <f>ROUND('[7]2034'!N41,2)</f>
        <v>30208.080000000002</v>
      </c>
      <c r="O282" s="135">
        <f>ROUND('[7]2034'!O41,2)</f>
        <v>31570.26</v>
      </c>
      <c r="P282" s="135">
        <f>ROUND('[7]2034'!P41,2)</f>
        <v>32260.65</v>
      </c>
      <c r="Q282" s="135">
        <f>ROUND('[7]2034'!Q41,2)</f>
        <v>33445.19</v>
      </c>
      <c r="R282" s="135">
        <f>ROUND('[7]2034'!R41,2)</f>
        <v>33523</v>
      </c>
      <c r="S282" s="135">
        <f>ROUND('[7]2034'!S41,2)</f>
        <v>33463.480000000003</v>
      </c>
      <c r="T282" s="135">
        <f>ROUND('[7]2034'!T41,2)</f>
        <v>33559.449999999997</v>
      </c>
      <c r="U282" s="135">
        <f>ROUND('[7]2034'!U41,2)</f>
        <v>33297.35</v>
      </c>
      <c r="V282" s="135">
        <f>ROUND('[7]2034'!V41,2)</f>
        <v>32995.74</v>
      </c>
      <c r="W282" s="135">
        <f>ROUND('[7]2034'!W41,2)</f>
        <v>36465</v>
      </c>
      <c r="X282" s="135">
        <f>ROUND('[7]2034'!X41,2)</f>
        <v>38465.300000000003</v>
      </c>
      <c r="Y282" s="135">
        <f>ROUND('[7]2034'!Y41,2)</f>
        <v>37945.15</v>
      </c>
      <c r="Z282" s="135">
        <f>ROUND('[7]2034'!Z41,2)</f>
        <v>36645.42</v>
      </c>
      <c r="AA282" s="135">
        <f>ROUND('[7]2034'!AA41,2)</f>
        <v>34447.18</v>
      </c>
      <c r="AB282" s="135">
        <f>ROUND('[7]2034'!AB41,2)</f>
        <v>31999.599999999999</v>
      </c>
      <c r="AC282" s="282"/>
      <c r="AD282" s="19"/>
    </row>
    <row r="283" spans="2:30" ht="18.649999999999999" hidden="1" customHeight="1" thickBot="1" x14ac:dyDescent="0.4">
      <c r="B283" s="261"/>
      <c r="C283" s="16" t="s">
        <v>32</v>
      </c>
      <c r="D283" s="13">
        <f>+'[7]2034'!D42</f>
        <v>2</v>
      </c>
      <c r="E283" s="135">
        <f>ROUND('[7]2034'!E42,2)</f>
        <v>28287.33</v>
      </c>
      <c r="F283" s="135">
        <f>ROUND('[7]2034'!F42,2)</f>
        <v>27151.06</v>
      </c>
      <c r="G283" s="135">
        <f>ROUND('[7]2034'!G42,2)</f>
        <v>26189.23</v>
      </c>
      <c r="H283" s="135">
        <f>ROUND('[7]2034'!H42,2)</f>
        <v>25308.74</v>
      </c>
      <c r="I283" s="135">
        <f>ROUND('[7]2034'!I42,2)</f>
        <v>25013.13</v>
      </c>
      <c r="J283" s="135">
        <f>ROUND('[7]2034'!J42,2)</f>
        <v>24623.35</v>
      </c>
      <c r="K283" s="135">
        <f>ROUND('[7]2034'!K42,2)</f>
        <v>24154.06</v>
      </c>
      <c r="L283" s="135">
        <f>ROUND('[7]2034'!L42,2)</f>
        <v>25955.13</v>
      </c>
      <c r="M283" s="135">
        <f>ROUND('[7]2034'!M42,2)</f>
        <v>28308.79</v>
      </c>
      <c r="N283" s="135">
        <f>ROUND('[7]2034'!N42,2)</f>
        <v>30208.080000000002</v>
      </c>
      <c r="O283" s="135">
        <f>ROUND('[7]2034'!O42,2)</f>
        <v>31570.26</v>
      </c>
      <c r="P283" s="135">
        <f>ROUND('[7]2034'!P42,2)</f>
        <v>32260.65</v>
      </c>
      <c r="Q283" s="135">
        <f>ROUND('[7]2034'!Q42,2)</f>
        <v>33445.19</v>
      </c>
      <c r="R283" s="135">
        <f>ROUND('[7]2034'!R42,2)</f>
        <v>33523</v>
      </c>
      <c r="S283" s="135">
        <f>ROUND('[7]2034'!S42,2)</f>
        <v>33463.480000000003</v>
      </c>
      <c r="T283" s="135">
        <f>ROUND('[7]2034'!T42,2)</f>
        <v>33559.449999999997</v>
      </c>
      <c r="U283" s="135">
        <f>ROUND('[7]2034'!U42,2)</f>
        <v>33297.35</v>
      </c>
      <c r="V283" s="135">
        <f>ROUND('[7]2034'!V42,2)</f>
        <v>32995.74</v>
      </c>
      <c r="W283" s="135">
        <f>ROUND('[7]2034'!W42,2)</f>
        <v>36465</v>
      </c>
      <c r="X283" s="135">
        <f>ROUND('[7]2034'!X42,2)</f>
        <v>38465.300000000003</v>
      </c>
      <c r="Y283" s="135">
        <f>ROUND('[7]2034'!Y42,2)</f>
        <v>37945.15</v>
      </c>
      <c r="Z283" s="135">
        <f>ROUND('[7]2034'!Z42,2)</f>
        <v>36645.42</v>
      </c>
      <c r="AA283" s="135">
        <f>ROUND('[7]2034'!AA42,2)</f>
        <v>34447.18</v>
      </c>
      <c r="AB283" s="135">
        <f>ROUND('[7]2034'!AB42,2)</f>
        <v>31999.599999999999</v>
      </c>
      <c r="AC283" s="282"/>
      <c r="AD283" s="19"/>
    </row>
    <row r="284" spans="2:30" ht="18.649999999999999" hidden="1" customHeight="1" x14ac:dyDescent="0.35">
      <c r="B284" s="263">
        <v>49157</v>
      </c>
      <c r="C284" s="7" t="s">
        <v>29</v>
      </c>
      <c r="D284" s="8">
        <f>+'[7]2034'!D43</f>
        <v>21</v>
      </c>
      <c r="E284" s="134">
        <f>ROUND('[7]2034'!E43,2)</f>
        <v>29202.880000000001</v>
      </c>
      <c r="F284" s="134">
        <f>ROUND('[7]2034'!F43,2)</f>
        <v>27629.25</v>
      </c>
      <c r="G284" s="134">
        <f>ROUND('[7]2034'!G43,2)</f>
        <v>26455.14</v>
      </c>
      <c r="H284" s="134">
        <f>ROUND('[7]2034'!H43,2)</f>
        <v>25668.86</v>
      </c>
      <c r="I284" s="134">
        <f>ROUND('[7]2034'!I43,2)</f>
        <v>25380.03</v>
      </c>
      <c r="J284" s="134">
        <f>ROUND('[7]2034'!J43,2)</f>
        <v>25307.279999999999</v>
      </c>
      <c r="K284" s="134">
        <f>ROUND('[7]2034'!K43,2)</f>
        <v>25390.39</v>
      </c>
      <c r="L284" s="134">
        <f>ROUND('[7]2034'!L43,2)</f>
        <v>28320.15</v>
      </c>
      <c r="M284" s="134">
        <f>ROUND('[7]2034'!M43,2)</f>
        <v>31618.89</v>
      </c>
      <c r="N284" s="134">
        <f>ROUND('[7]2034'!N43,2)</f>
        <v>33646.28</v>
      </c>
      <c r="O284" s="134">
        <f>ROUND('[7]2034'!O43,2)</f>
        <v>35330</v>
      </c>
      <c r="P284" s="134">
        <f>ROUND('[7]2034'!P43,2)</f>
        <v>36404.089999999997</v>
      </c>
      <c r="Q284" s="134">
        <f>ROUND('[7]2034'!Q43,2)</f>
        <v>35800.04</v>
      </c>
      <c r="R284" s="134">
        <f>ROUND('[7]2034'!R43,2)</f>
        <v>35289.870000000003</v>
      </c>
      <c r="S284" s="134">
        <f>ROUND('[7]2034'!S43,2)</f>
        <v>35236.730000000003</v>
      </c>
      <c r="T284" s="134">
        <f>ROUND('[7]2034'!T43,2)</f>
        <v>34949.199999999997</v>
      </c>
      <c r="U284" s="134">
        <f>ROUND('[7]2034'!U43,2)</f>
        <v>34248.620000000003</v>
      </c>
      <c r="V284" s="134">
        <f>ROUND('[7]2034'!V43,2)</f>
        <v>34203.199999999997</v>
      </c>
      <c r="W284" s="134">
        <f>ROUND('[7]2034'!W43,2)</f>
        <v>37304.129999999997</v>
      </c>
      <c r="X284" s="134">
        <f>ROUND('[7]2034'!X43,2)</f>
        <v>37782.910000000003</v>
      </c>
      <c r="Y284" s="134">
        <f>ROUND('[7]2034'!Y43,2)</f>
        <v>36675.67</v>
      </c>
      <c r="Z284" s="134">
        <f>ROUND('[7]2034'!Z43,2)</f>
        <v>35149.1</v>
      </c>
      <c r="AA284" s="134">
        <f>ROUND('[7]2034'!AA43,2)</f>
        <v>32995.56</v>
      </c>
      <c r="AB284" s="134">
        <f>ROUND('[7]2034'!AB43,2)</f>
        <v>30702.2</v>
      </c>
      <c r="AC284" s="283">
        <f>SUM(E284:AB284)*D284+SUM(E285:AB285)*D285+SUM(E286:AB286)*D286+SUM(E287:AB287)*D287</f>
        <v>23782968.91</v>
      </c>
      <c r="AD284" s="19"/>
    </row>
    <row r="285" spans="2:30" ht="18.649999999999999" hidden="1" customHeight="1" x14ac:dyDescent="0.35">
      <c r="B285" s="264" t="s">
        <v>34</v>
      </c>
      <c r="C285" s="10" t="s">
        <v>30</v>
      </c>
      <c r="D285" s="11">
        <f>+'[7]2034'!D44</f>
        <v>4</v>
      </c>
      <c r="E285" s="135">
        <f>ROUND('[7]2034'!E44,2)</f>
        <v>28817.07</v>
      </c>
      <c r="F285" s="135">
        <f>ROUND('[7]2034'!F44,2)</f>
        <v>27386.68</v>
      </c>
      <c r="G285" s="135">
        <f>ROUND('[7]2034'!G44,2)</f>
        <v>26292.69</v>
      </c>
      <c r="H285" s="135">
        <f>ROUND('[7]2034'!H44,2)</f>
        <v>25521.200000000001</v>
      </c>
      <c r="I285" s="135">
        <f>ROUND('[7]2034'!I44,2)</f>
        <v>25447.55</v>
      </c>
      <c r="J285" s="135">
        <f>ROUND('[7]2034'!J44,2)</f>
        <v>25863.86</v>
      </c>
      <c r="K285" s="135">
        <f>ROUND('[7]2034'!K44,2)</f>
        <v>26139.85</v>
      </c>
      <c r="L285" s="135">
        <f>ROUND('[7]2034'!L44,2)</f>
        <v>29121.95</v>
      </c>
      <c r="M285" s="135">
        <f>ROUND('[7]2034'!M44,2)</f>
        <v>32177.83</v>
      </c>
      <c r="N285" s="135">
        <f>ROUND('[7]2034'!N44,2)</f>
        <v>33908.92</v>
      </c>
      <c r="O285" s="135">
        <f>ROUND('[7]2034'!O44,2)</f>
        <v>35705.79</v>
      </c>
      <c r="P285" s="135">
        <f>ROUND('[7]2034'!P44,2)</f>
        <v>36921.599999999999</v>
      </c>
      <c r="Q285" s="135">
        <f>ROUND('[7]2034'!Q44,2)</f>
        <v>35974.230000000003</v>
      </c>
      <c r="R285" s="135">
        <f>ROUND('[7]2034'!R44,2)</f>
        <v>36825.019999999997</v>
      </c>
      <c r="S285" s="135">
        <f>ROUND('[7]2034'!S44,2)</f>
        <v>38103.9</v>
      </c>
      <c r="T285" s="135">
        <f>ROUND('[7]2034'!T44,2)</f>
        <v>38131</v>
      </c>
      <c r="U285" s="135">
        <f>ROUND('[7]2034'!U44,2)</f>
        <v>37428.129999999997</v>
      </c>
      <c r="V285" s="135">
        <f>ROUND('[7]2034'!V44,2)</f>
        <v>36799.050000000003</v>
      </c>
      <c r="W285" s="135">
        <f>ROUND('[7]2034'!W44,2)</f>
        <v>39502.06</v>
      </c>
      <c r="X285" s="135">
        <f>ROUND('[7]2034'!X44,2)</f>
        <v>39341.620000000003</v>
      </c>
      <c r="Y285" s="135">
        <f>ROUND('[7]2034'!Y44,2)</f>
        <v>38326.339999999997</v>
      </c>
      <c r="Z285" s="135">
        <f>ROUND('[7]2034'!Z44,2)</f>
        <v>36569.74</v>
      </c>
      <c r="AA285" s="135">
        <f>ROUND('[7]2034'!AA44,2)</f>
        <v>33770.050000000003</v>
      </c>
      <c r="AB285" s="135">
        <f>ROUND('[7]2034'!AB44,2)</f>
        <v>30897.72</v>
      </c>
      <c r="AC285" s="282"/>
      <c r="AD285" s="19"/>
    </row>
    <row r="286" spans="2:30" ht="18.649999999999999" hidden="1" customHeight="1" x14ac:dyDescent="0.35">
      <c r="B286" s="264" t="s">
        <v>34</v>
      </c>
      <c r="C286" s="10" t="s">
        <v>31</v>
      </c>
      <c r="D286" s="11">
        <f>+'[7]2034'!D45</f>
        <v>4</v>
      </c>
      <c r="E286" s="135">
        <f>ROUND('[7]2034'!E45,2)</f>
        <v>28802.71</v>
      </c>
      <c r="F286" s="135">
        <f>ROUND('[7]2034'!F45,2)</f>
        <v>27301.63</v>
      </c>
      <c r="G286" s="135">
        <f>ROUND('[7]2034'!G45,2)</f>
        <v>26135.79</v>
      </c>
      <c r="H286" s="135">
        <f>ROUND('[7]2034'!H45,2)</f>
        <v>25292.58</v>
      </c>
      <c r="I286" s="135">
        <f>ROUND('[7]2034'!I45,2)</f>
        <v>24938.71</v>
      </c>
      <c r="J286" s="135">
        <f>ROUND('[7]2034'!J45,2)</f>
        <v>24461.91</v>
      </c>
      <c r="K286" s="135">
        <f>ROUND('[7]2034'!K45,2)</f>
        <v>23940.26</v>
      </c>
      <c r="L286" s="135">
        <f>ROUND('[7]2034'!L45,2)</f>
        <v>25681.87</v>
      </c>
      <c r="M286" s="135">
        <f>ROUND('[7]2034'!M45,2)</f>
        <v>27599.360000000001</v>
      </c>
      <c r="N286" s="135">
        <f>ROUND('[7]2034'!N45,2)</f>
        <v>29327.48</v>
      </c>
      <c r="O286" s="135">
        <f>ROUND('[7]2034'!O45,2)</f>
        <v>30965.9</v>
      </c>
      <c r="P286" s="135">
        <f>ROUND('[7]2034'!P45,2)</f>
        <v>32367.79</v>
      </c>
      <c r="Q286" s="135">
        <f>ROUND('[7]2034'!Q45,2)</f>
        <v>32883.660000000003</v>
      </c>
      <c r="R286" s="135">
        <f>ROUND('[7]2034'!R45,2)</f>
        <v>32725.82</v>
      </c>
      <c r="S286" s="135">
        <f>ROUND('[7]2034'!S45,2)</f>
        <v>32578.74</v>
      </c>
      <c r="T286" s="135">
        <f>ROUND('[7]2034'!T45,2)</f>
        <v>32682.560000000001</v>
      </c>
      <c r="U286" s="135">
        <f>ROUND('[7]2034'!U45,2)</f>
        <v>32384.42</v>
      </c>
      <c r="V286" s="135">
        <f>ROUND('[7]2034'!V45,2)</f>
        <v>32347.78</v>
      </c>
      <c r="W286" s="135">
        <f>ROUND('[7]2034'!W45,2)</f>
        <v>36099.370000000003</v>
      </c>
      <c r="X286" s="135">
        <f>ROUND('[7]2034'!X45,2)</f>
        <v>38133.17</v>
      </c>
      <c r="Y286" s="135">
        <f>ROUND('[7]2034'!Y45,2)</f>
        <v>37929.800000000003</v>
      </c>
      <c r="Z286" s="135">
        <f>ROUND('[7]2034'!Z45,2)</f>
        <v>36502.629999999997</v>
      </c>
      <c r="AA286" s="135">
        <f>ROUND('[7]2034'!AA45,2)</f>
        <v>34027.94</v>
      </c>
      <c r="AB286" s="135">
        <f>ROUND('[7]2034'!AB45,2)</f>
        <v>31317.06</v>
      </c>
      <c r="AC286" s="282"/>
      <c r="AD286" s="19"/>
    </row>
    <row r="287" spans="2:30" ht="18.649999999999999" hidden="1" customHeight="1" thickBot="1" x14ac:dyDescent="0.4">
      <c r="B287" s="265" t="s">
        <v>34</v>
      </c>
      <c r="C287" s="12" t="s">
        <v>32</v>
      </c>
      <c r="D287" s="13">
        <f>+'[7]2034'!D46</f>
        <v>2</v>
      </c>
      <c r="E287" s="132">
        <f>ROUND('[7]2034'!E46,2)</f>
        <v>28802.71</v>
      </c>
      <c r="F287" s="132">
        <f>ROUND('[7]2034'!F46,2)</f>
        <v>27301.63</v>
      </c>
      <c r="G287" s="132">
        <f>ROUND('[7]2034'!G46,2)</f>
        <v>26135.79</v>
      </c>
      <c r="H287" s="132">
        <f>ROUND('[7]2034'!H46,2)</f>
        <v>25292.58</v>
      </c>
      <c r="I287" s="132">
        <f>ROUND('[7]2034'!I46,2)</f>
        <v>24938.71</v>
      </c>
      <c r="J287" s="132">
        <f>ROUND('[7]2034'!J46,2)</f>
        <v>24461.91</v>
      </c>
      <c r="K287" s="132">
        <f>ROUND('[7]2034'!K46,2)</f>
        <v>23940.26</v>
      </c>
      <c r="L287" s="132">
        <f>ROUND('[7]2034'!L46,2)</f>
        <v>25681.87</v>
      </c>
      <c r="M287" s="132">
        <f>ROUND('[7]2034'!M46,2)</f>
        <v>27599.360000000001</v>
      </c>
      <c r="N287" s="132">
        <f>ROUND('[7]2034'!N46,2)</f>
        <v>29327.48</v>
      </c>
      <c r="O287" s="132">
        <f>ROUND('[7]2034'!O46,2)</f>
        <v>30965.9</v>
      </c>
      <c r="P287" s="132">
        <f>ROUND('[7]2034'!P46,2)</f>
        <v>32367.79</v>
      </c>
      <c r="Q287" s="132">
        <f>ROUND('[7]2034'!Q46,2)</f>
        <v>32883.660000000003</v>
      </c>
      <c r="R287" s="132">
        <f>ROUND('[7]2034'!R46,2)</f>
        <v>32725.82</v>
      </c>
      <c r="S287" s="132">
        <f>ROUND('[7]2034'!S46,2)</f>
        <v>32578.74</v>
      </c>
      <c r="T287" s="132">
        <f>ROUND('[7]2034'!T46,2)</f>
        <v>32682.560000000001</v>
      </c>
      <c r="U287" s="132">
        <f>ROUND('[7]2034'!U46,2)</f>
        <v>32384.42</v>
      </c>
      <c r="V287" s="132">
        <f>ROUND('[7]2034'!V46,2)</f>
        <v>32347.78</v>
      </c>
      <c r="W287" s="132">
        <f>ROUND('[7]2034'!W46,2)</f>
        <v>36099.370000000003</v>
      </c>
      <c r="X287" s="132">
        <f>ROUND('[7]2034'!X46,2)</f>
        <v>38133.17</v>
      </c>
      <c r="Y287" s="132">
        <f>ROUND('[7]2034'!Y46,2)</f>
        <v>37929.800000000003</v>
      </c>
      <c r="Z287" s="132">
        <f>ROUND('[7]2034'!Z46,2)</f>
        <v>36502.629999999997</v>
      </c>
      <c r="AA287" s="132">
        <f>ROUND('[7]2034'!AA46,2)</f>
        <v>34027.94</v>
      </c>
      <c r="AB287" s="132">
        <f>ROUND('[7]2034'!AB46,2)</f>
        <v>31317.06</v>
      </c>
      <c r="AC287" s="284"/>
      <c r="AD287" s="19"/>
    </row>
    <row r="288" spans="2:30" ht="18.649999999999999" hidden="1" customHeight="1" x14ac:dyDescent="0.35">
      <c r="B288" s="260">
        <v>49188</v>
      </c>
      <c r="C288" s="14" t="s">
        <v>29</v>
      </c>
      <c r="D288" s="15">
        <f>+'[7]2034'!D47</f>
        <v>21</v>
      </c>
      <c r="E288" s="137">
        <f>ROUND('[7]2034'!E47,2)</f>
        <v>29591.19</v>
      </c>
      <c r="F288" s="137">
        <f>ROUND('[7]2034'!F47,2)</f>
        <v>28080.880000000001</v>
      </c>
      <c r="G288" s="137">
        <f>ROUND('[7]2034'!G47,2)</f>
        <v>26912.33</v>
      </c>
      <c r="H288" s="137">
        <f>ROUND('[7]2034'!H47,2)</f>
        <v>26084.5</v>
      </c>
      <c r="I288" s="137">
        <f>ROUND('[7]2034'!I47,2)</f>
        <v>25841.599999999999</v>
      </c>
      <c r="J288" s="137">
        <f>ROUND('[7]2034'!J47,2)</f>
        <v>25507.99</v>
      </c>
      <c r="K288" s="137">
        <f>ROUND('[7]2034'!K47,2)</f>
        <v>25673</v>
      </c>
      <c r="L288" s="137">
        <f>ROUND('[7]2034'!L47,2)</f>
        <v>28726.16</v>
      </c>
      <c r="M288" s="137">
        <f>ROUND('[7]2034'!M47,2)</f>
        <v>31986.99</v>
      </c>
      <c r="N288" s="137">
        <f>ROUND('[7]2034'!N47,2)</f>
        <v>33867.53</v>
      </c>
      <c r="O288" s="137">
        <f>ROUND('[7]2034'!O47,2)</f>
        <v>35469.68</v>
      </c>
      <c r="P288" s="137">
        <f>ROUND('[7]2034'!P47,2)</f>
        <v>36265.050000000003</v>
      </c>
      <c r="Q288" s="137">
        <f>ROUND('[7]2034'!Q47,2)</f>
        <v>35577.35</v>
      </c>
      <c r="R288" s="137">
        <f>ROUND('[7]2034'!R47,2)</f>
        <v>35063.870000000003</v>
      </c>
      <c r="S288" s="137">
        <f>ROUND('[7]2034'!S47,2)</f>
        <v>35021.949999999997</v>
      </c>
      <c r="T288" s="137">
        <f>ROUND('[7]2034'!T47,2)</f>
        <v>34961.75</v>
      </c>
      <c r="U288" s="137">
        <f>ROUND('[7]2034'!U47,2)</f>
        <v>34438.910000000003</v>
      </c>
      <c r="V288" s="137">
        <f>ROUND('[7]2034'!V47,2)</f>
        <v>34842.28</v>
      </c>
      <c r="W288" s="137">
        <f>ROUND('[7]2034'!W47,2)</f>
        <v>38463.410000000003</v>
      </c>
      <c r="X288" s="137">
        <f>ROUND('[7]2034'!X47,2)</f>
        <v>38096.36</v>
      </c>
      <c r="Y288" s="137">
        <f>ROUND('[7]2034'!Y47,2)</f>
        <v>36774.22</v>
      </c>
      <c r="Z288" s="137">
        <f>ROUND('[7]2034'!Z47,2)</f>
        <v>35131.019999999997</v>
      </c>
      <c r="AA288" s="137">
        <f>ROUND('[7]2034'!AA47,2)</f>
        <v>33154.129999999997</v>
      </c>
      <c r="AB288" s="137">
        <f>ROUND('[7]2034'!AB47,2)</f>
        <v>30974.75</v>
      </c>
      <c r="AC288" s="282">
        <f>SUM(E288:AB288)*D288+SUM(E289:AB289)*D289+SUM(E290:AB290)*D290+SUM(E291:AB291)*D291</f>
        <v>23435246.68</v>
      </c>
      <c r="AD288" s="19"/>
    </row>
    <row r="289" spans="2:31" ht="18.649999999999999" hidden="1" customHeight="1" x14ac:dyDescent="0.35">
      <c r="B289" s="261"/>
      <c r="C289" s="10" t="s">
        <v>30</v>
      </c>
      <c r="D289" s="11">
        <f>+'[7]2034'!D48</f>
        <v>5</v>
      </c>
      <c r="E289" s="135">
        <f>ROUND('[7]2034'!E48,2)</f>
        <v>27663.17</v>
      </c>
      <c r="F289" s="135">
        <f>ROUND('[7]2034'!F48,2)</f>
        <v>26270.93</v>
      </c>
      <c r="G289" s="135">
        <f>ROUND('[7]2034'!G48,2)</f>
        <v>25299.439999999999</v>
      </c>
      <c r="H289" s="135">
        <f>ROUND('[7]2034'!H48,2)</f>
        <v>24583.33</v>
      </c>
      <c r="I289" s="135">
        <f>ROUND('[7]2034'!I48,2)</f>
        <v>24595.08</v>
      </c>
      <c r="J289" s="135">
        <f>ROUND('[7]2034'!J48,2)</f>
        <v>25002.69</v>
      </c>
      <c r="K289" s="135">
        <f>ROUND('[7]2034'!K48,2)</f>
        <v>25511.62</v>
      </c>
      <c r="L289" s="135">
        <f>ROUND('[7]2034'!L48,2)</f>
        <v>28624.05</v>
      </c>
      <c r="M289" s="135">
        <f>ROUND('[7]2034'!M48,2)</f>
        <v>31655.57</v>
      </c>
      <c r="N289" s="135">
        <f>ROUND('[7]2034'!N48,2)</f>
        <v>33309.94</v>
      </c>
      <c r="O289" s="135">
        <f>ROUND('[7]2034'!O48,2)</f>
        <v>35060.44</v>
      </c>
      <c r="P289" s="135">
        <f>ROUND('[7]2034'!P48,2)</f>
        <v>36266.92</v>
      </c>
      <c r="Q289" s="135">
        <f>ROUND('[7]2034'!Q48,2)</f>
        <v>35228.36</v>
      </c>
      <c r="R289" s="135">
        <f>ROUND('[7]2034'!R48,2)</f>
        <v>36020.629999999997</v>
      </c>
      <c r="S289" s="135">
        <f>ROUND('[7]2034'!S48,2)</f>
        <v>37357.129999999997</v>
      </c>
      <c r="T289" s="135">
        <f>ROUND('[7]2034'!T48,2)</f>
        <v>37424.5</v>
      </c>
      <c r="U289" s="135">
        <f>ROUND('[7]2034'!U48,2)</f>
        <v>36649.99</v>
      </c>
      <c r="V289" s="135">
        <f>ROUND('[7]2034'!V48,2)</f>
        <v>36751.120000000003</v>
      </c>
      <c r="W289" s="135">
        <f>ROUND('[7]2034'!W48,2)</f>
        <v>38967.379999999997</v>
      </c>
      <c r="X289" s="135">
        <f>ROUND('[7]2034'!X48,2)</f>
        <v>38305.519999999997</v>
      </c>
      <c r="Y289" s="135">
        <f>ROUND('[7]2034'!Y48,2)</f>
        <v>37080.519999999997</v>
      </c>
      <c r="Z289" s="135">
        <f>ROUND('[7]2034'!Z48,2)</f>
        <v>35276.769999999997</v>
      </c>
      <c r="AA289" s="135">
        <f>ROUND('[7]2034'!AA48,2)</f>
        <v>32677.7</v>
      </c>
      <c r="AB289" s="135">
        <f>ROUND('[7]2034'!AB48,2)</f>
        <v>29977.34</v>
      </c>
      <c r="AC289" s="282"/>
      <c r="AD289" s="19"/>
    </row>
    <row r="290" spans="2:31" ht="18.649999999999999" hidden="1" customHeight="1" x14ac:dyDescent="0.35">
      <c r="B290" s="261"/>
      <c r="C290" s="10" t="s">
        <v>31</v>
      </c>
      <c r="D290" s="11">
        <f>+'[7]2034'!D49</f>
        <v>4</v>
      </c>
      <c r="E290" s="135">
        <f>ROUND('[7]2034'!E49,2)</f>
        <v>28506.46</v>
      </c>
      <c r="F290" s="135">
        <f>ROUND('[7]2034'!F49,2)</f>
        <v>27119.59</v>
      </c>
      <c r="G290" s="135">
        <f>ROUND('[7]2034'!G49,2)</f>
        <v>26092.95</v>
      </c>
      <c r="H290" s="135">
        <f>ROUND('[7]2034'!H49,2)</f>
        <v>25317.47</v>
      </c>
      <c r="I290" s="135">
        <f>ROUND('[7]2034'!I49,2)</f>
        <v>25358.03</v>
      </c>
      <c r="J290" s="135">
        <f>ROUND('[7]2034'!J49,2)</f>
        <v>26157.21</v>
      </c>
      <c r="K290" s="135">
        <f>ROUND('[7]2034'!K49,2)</f>
        <v>26660.76</v>
      </c>
      <c r="L290" s="135">
        <f>ROUND('[7]2034'!L49,2)</f>
        <v>29962.76</v>
      </c>
      <c r="M290" s="135">
        <f>ROUND('[7]2034'!M49,2)</f>
        <v>33232.21</v>
      </c>
      <c r="N290" s="135">
        <f>ROUND('[7]2034'!N49,2)</f>
        <v>34962.980000000003</v>
      </c>
      <c r="O290" s="135">
        <f>ROUND('[7]2034'!O49,2)</f>
        <v>36933.17</v>
      </c>
      <c r="P290" s="135">
        <f>ROUND('[7]2034'!P49,2)</f>
        <v>38259.57</v>
      </c>
      <c r="Q290" s="135">
        <f>ROUND('[7]2034'!Q49,2)</f>
        <v>36912.92</v>
      </c>
      <c r="R290" s="135">
        <f>ROUND('[7]2034'!R49,2)</f>
        <v>38218.25</v>
      </c>
      <c r="S290" s="135">
        <f>ROUND('[7]2034'!S49,2)</f>
        <v>40069.31</v>
      </c>
      <c r="T290" s="135">
        <f>ROUND('[7]2034'!T49,2)</f>
        <v>40119.51</v>
      </c>
      <c r="U290" s="135">
        <f>ROUND('[7]2034'!U49,2)</f>
        <v>39208.85</v>
      </c>
      <c r="V290" s="135">
        <f>ROUND('[7]2034'!V49,2)</f>
        <v>38076.699999999997</v>
      </c>
      <c r="W290" s="135">
        <f>ROUND('[7]2034'!W49,2)</f>
        <v>40302.58</v>
      </c>
      <c r="X290" s="135">
        <f>ROUND('[7]2034'!X49,2)</f>
        <v>40004.92</v>
      </c>
      <c r="Y290" s="135">
        <f>ROUND('[7]2034'!Y49,2)</f>
        <v>38972.89</v>
      </c>
      <c r="Z290" s="135">
        <f>ROUND('[7]2034'!Z49,2)</f>
        <v>37131.75</v>
      </c>
      <c r="AA290" s="135">
        <f>ROUND('[7]2034'!AA49,2)</f>
        <v>34088.67</v>
      </c>
      <c r="AB290" s="135">
        <f>ROUND('[7]2034'!AB49,2)</f>
        <v>31030.76</v>
      </c>
      <c r="AC290" s="282"/>
      <c r="AD290" s="19"/>
    </row>
    <row r="291" spans="2:31" ht="18.649999999999999" hidden="1" customHeight="1" thickBot="1" x14ac:dyDescent="0.4">
      <c r="B291" s="261"/>
      <c r="C291" s="16" t="s">
        <v>32</v>
      </c>
      <c r="D291" s="17">
        <f>+'[7]2034'!D50</f>
        <v>0</v>
      </c>
      <c r="E291" s="199">
        <f>ROUND('[7]2034'!E50,2)</f>
        <v>0</v>
      </c>
      <c r="F291" s="115">
        <f>ROUND('[7]2034'!F50,2)</f>
        <v>0</v>
      </c>
      <c r="G291" s="115">
        <f>ROUND('[7]2034'!G50,2)</f>
        <v>0</v>
      </c>
      <c r="H291" s="115">
        <f>ROUND('[7]2034'!H50,2)</f>
        <v>0</v>
      </c>
      <c r="I291" s="115">
        <f>ROUND('[7]2034'!I50,2)</f>
        <v>0</v>
      </c>
      <c r="J291" s="115">
        <f>ROUND('[7]2034'!J50,2)</f>
        <v>0</v>
      </c>
      <c r="K291" s="115">
        <f>ROUND('[7]2034'!K50,2)</f>
        <v>0</v>
      </c>
      <c r="L291" s="115">
        <f>ROUND('[7]2034'!L50,2)</f>
        <v>0</v>
      </c>
      <c r="M291" s="115">
        <f>ROUND('[7]2034'!M50,2)</f>
        <v>0</v>
      </c>
      <c r="N291" s="115">
        <f>ROUND('[7]2034'!N50,2)</f>
        <v>0</v>
      </c>
      <c r="O291" s="115">
        <f>ROUND('[7]2034'!O50,2)</f>
        <v>0</v>
      </c>
      <c r="P291" s="115">
        <f>ROUND('[7]2034'!P50,2)</f>
        <v>0</v>
      </c>
      <c r="Q291" s="115">
        <f>ROUND('[7]2034'!Q50,2)</f>
        <v>0</v>
      </c>
      <c r="R291" s="115">
        <f>ROUND('[7]2034'!R50,2)</f>
        <v>0</v>
      </c>
      <c r="S291" s="115">
        <f>ROUND('[7]2034'!S50,2)</f>
        <v>0</v>
      </c>
      <c r="T291" s="115">
        <f>ROUND('[7]2034'!T50,2)</f>
        <v>0</v>
      </c>
      <c r="U291" s="115">
        <f>ROUND('[7]2034'!U50,2)</f>
        <v>0</v>
      </c>
      <c r="V291" s="115">
        <f>ROUND('[7]2034'!V50,2)</f>
        <v>0</v>
      </c>
      <c r="W291" s="115">
        <f>ROUND('[7]2034'!W50,2)</f>
        <v>0</v>
      </c>
      <c r="X291" s="115">
        <f>ROUND('[7]2034'!X50,2)</f>
        <v>0</v>
      </c>
      <c r="Y291" s="115">
        <f>ROUND('[7]2034'!Y50,2)</f>
        <v>0</v>
      </c>
      <c r="Z291" s="115">
        <f>ROUND('[7]2034'!Z50,2)</f>
        <v>0</v>
      </c>
      <c r="AA291" s="115">
        <f>ROUND('[7]2034'!AA50,2)</f>
        <v>0</v>
      </c>
      <c r="AB291" s="115">
        <f>ROUND('[7]2034'!AB50,2)</f>
        <v>0</v>
      </c>
      <c r="AC291" s="282"/>
      <c r="AD291" s="19"/>
    </row>
    <row r="292" spans="2:31" ht="18.649999999999999" hidden="1" customHeight="1" x14ac:dyDescent="0.35">
      <c r="B292" s="263">
        <v>49218</v>
      </c>
      <c r="C292" s="7" t="s">
        <v>29</v>
      </c>
      <c r="D292" s="8">
        <f>+'[7]2034'!D51</f>
        <v>21</v>
      </c>
      <c r="E292" s="134">
        <f>ROUND('[7]2034'!E51,2)</f>
        <v>28548.63</v>
      </c>
      <c r="F292" s="134">
        <f>ROUND('[7]2034'!F51,2)</f>
        <v>27104.99</v>
      </c>
      <c r="G292" s="134">
        <f>ROUND('[7]2034'!G51,2)</f>
        <v>25955.919999999998</v>
      </c>
      <c r="H292" s="134">
        <f>ROUND('[7]2034'!H51,2)</f>
        <v>25006.1</v>
      </c>
      <c r="I292" s="134">
        <f>ROUND('[7]2034'!I51,2)</f>
        <v>24645.7</v>
      </c>
      <c r="J292" s="134">
        <f>ROUND('[7]2034'!J51,2)</f>
        <v>24445.57</v>
      </c>
      <c r="K292" s="134">
        <f>ROUND('[7]2034'!K51,2)</f>
        <v>24961.59</v>
      </c>
      <c r="L292" s="134">
        <f>ROUND('[7]2034'!L51,2)</f>
        <v>28093.49</v>
      </c>
      <c r="M292" s="134">
        <f>ROUND('[7]2034'!M51,2)</f>
        <v>31294.66</v>
      </c>
      <c r="N292" s="134">
        <f>ROUND('[7]2034'!N51,2)</f>
        <v>33152.949999999997</v>
      </c>
      <c r="O292" s="134">
        <f>ROUND('[7]2034'!O51,2)</f>
        <v>34865.620000000003</v>
      </c>
      <c r="P292" s="134">
        <f>ROUND('[7]2034'!P51,2)</f>
        <v>35763.97</v>
      </c>
      <c r="Q292" s="134">
        <f>ROUND('[7]2034'!Q51,2)</f>
        <v>35128.36</v>
      </c>
      <c r="R292" s="134">
        <f>ROUND('[7]2034'!R51,2)</f>
        <v>34712.22</v>
      </c>
      <c r="S292" s="134">
        <f>ROUND('[7]2034'!S51,2)</f>
        <v>34855.15</v>
      </c>
      <c r="T292" s="134">
        <f>ROUND('[7]2034'!T51,2)</f>
        <v>34786.370000000003</v>
      </c>
      <c r="U292" s="134">
        <f>ROUND('[7]2034'!U51,2)</f>
        <v>34339.03</v>
      </c>
      <c r="V292" s="134">
        <f>ROUND('[7]2034'!V51,2)</f>
        <v>35231.79</v>
      </c>
      <c r="W292" s="134">
        <f>ROUND('[7]2034'!W51,2)</f>
        <v>38443.75</v>
      </c>
      <c r="X292" s="134">
        <f>ROUND('[7]2034'!X51,2)</f>
        <v>37801.39</v>
      </c>
      <c r="Y292" s="134">
        <f>ROUND('[7]2034'!Y51,2)</f>
        <v>36463.97</v>
      </c>
      <c r="Z292" s="134">
        <f>ROUND('[7]2034'!Z51,2)</f>
        <v>34764.269999999997</v>
      </c>
      <c r="AA292" s="134">
        <f>ROUND('[7]2034'!AA51,2)</f>
        <v>32737.05</v>
      </c>
      <c r="AB292" s="134">
        <f>ROUND('[7]2034'!AB51,2)</f>
        <v>30569.4</v>
      </c>
      <c r="AC292" s="283">
        <f>SUM(E292:AB292)*D292+SUM(E293:AB293)*D293+SUM(E294:AB294)*D294+SUM(E295:AB295)*D295</f>
        <v>23324262.48</v>
      </c>
      <c r="AD292" s="19"/>
    </row>
    <row r="293" spans="2:31" ht="18.649999999999999" hidden="1" customHeight="1" x14ac:dyDescent="0.35">
      <c r="B293" s="264" t="s">
        <v>34</v>
      </c>
      <c r="C293" s="10" t="s">
        <v>30</v>
      </c>
      <c r="D293" s="11">
        <f>+'[7]2034'!D52</f>
        <v>4</v>
      </c>
      <c r="E293" s="135">
        <f>ROUND('[7]2034'!E52,2)</f>
        <v>26534.9</v>
      </c>
      <c r="F293" s="135">
        <f>ROUND('[7]2034'!F52,2)</f>
        <v>25224.27</v>
      </c>
      <c r="G293" s="135">
        <f>ROUND('[7]2034'!G52,2)</f>
        <v>24254.54</v>
      </c>
      <c r="H293" s="135">
        <f>ROUND('[7]2034'!H52,2)</f>
        <v>23673.32</v>
      </c>
      <c r="I293" s="135">
        <f>ROUND('[7]2034'!I52,2)</f>
        <v>23754.62</v>
      </c>
      <c r="J293" s="135">
        <f>ROUND('[7]2034'!J52,2)</f>
        <v>24217.46</v>
      </c>
      <c r="K293" s="135">
        <f>ROUND('[7]2034'!K52,2)</f>
        <v>24656.35</v>
      </c>
      <c r="L293" s="135">
        <f>ROUND('[7]2034'!L52,2)</f>
        <v>27541.64</v>
      </c>
      <c r="M293" s="135">
        <f>ROUND('[7]2034'!M52,2)</f>
        <v>30421.99</v>
      </c>
      <c r="N293" s="135">
        <f>ROUND('[7]2034'!N52,2)</f>
        <v>32109.86</v>
      </c>
      <c r="O293" s="135">
        <f>ROUND('[7]2034'!O52,2)</f>
        <v>33658.57</v>
      </c>
      <c r="P293" s="135">
        <f>ROUND('[7]2034'!P52,2)</f>
        <v>34813.769999999997</v>
      </c>
      <c r="Q293" s="135">
        <f>ROUND('[7]2034'!Q52,2)</f>
        <v>33834.1</v>
      </c>
      <c r="R293" s="135">
        <f>ROUND('[7]2034'!R52,2)</f>
        <v>34277.93</v>
      </c>
      <c r="S293" s="135">
        <f>ROUND('[7]2034'!S52,2)</f>
        <v>35288.81</v>
      </c>
      <c r="T293" s="135">
        <f>ROUND('[7]2034'!T52,2)</f>
        <v>35384.879999999997</v>
      </c>
      <c r="U293" s="135">
        <f>ROUND('[7]2034'!U52,2)</f>
        <v>34926.17</v>
      </c>
      <c r="V293" s="135">
        <f>ROUND('[7]2034'!V52,2)</f>
        <v>35560.71</v>
      </c>
      <c r="W293" s="135">
        <f>ROUND('[7]2034'!W52,2)</f>
        <v>38014.78</v>
      </c>
      <c r="X293" s="135">
        <f>ROUND('[7]2034'!X52,2)</f>
        <v>37275.839999999997</v>
      </c>
      <c r="Y293" s="135">
        <f>ROUND('[7]2034'!Y52,2)</f>
        <v>35827.32</v>
      </c>
      <c r="Z293" s="135">
        <f>ROUND('[7]2034'!Z52,2)</f>
        <v>33832.949999999997</v>
      </c>
      <c r="AA293" s="135">
        <f>ROUND('[7]2034'!AA52,2)</f>
        <v>31232.34</v>
      </c>
      <c r="AB293" s="135">
        <f>ROUND('[7]2034'!AB52,2)</f>
        <v>28625.84</v>
      </c>
      <c r="AC293" s="282"/>
      <c r="AD293" s="19"/>
    </row>
    <row r="294" spans="2:31" ht="18.649999999999999" hidden="1" customHeight="1" x14ac:dyDescent="0.35">
      <c r="B294" s="264" t="s">
        <v>34</v>
      </c>
      <c r="C294" s="10" t="s">
        <v>31</v>
      </c>
      <c r="D294" s="11">
        <f>+'[7]2034'!D53</f>
        <v>5</v>
      </c>
      <c r="E294" s="135">
        <f>ROUND('[7]2034'!E53,2)</f>
        <v>26818.6</v>
      </c>
      <c r="F294" s="135">
        <f>ROUND('[7]2034'!F53,2)</f>
        <v>25683.18</v>
      </c>
      <c r="G294" s="135">
        <f>ROUND('[7]2034'!G53,2)</f>
        <v>24780.11</v>
      </c>
      <c r="H294" s="135">
        <f>ROUND('[7]2034'!H53,2)</f>
        <v>24224.36</v>
      </c>
      <c r="I294" s="135">
        <f>ROUND('[7]2034'!I53,2)</f>
        <v>24031.42</v>
      </c>
      <c r="J294" s="135">
        <f>ROUND('[7]2034'!J53,2)</f>
        <v>23652.68</v>
      </c>
      <c r="K294" s="135">
        <f>ROUND('[7]2034'!K53,2)</f>
        <v>23090.02</v>
      </c>
      <c r="L294" s="135">
        <f>ROUND('[7]2034'!L53,2)</f>
        <v>24905.18</v>
      </c>
      <c r="M294" s="135">
        <f>ROUND('[7]2034'!M53,2)</f>
        <v>26411.03</v>
      </c>
      <c r="N294" s="135">
        <f>ROUND('[7]2034'!N53,2)</f>
        <v>28509.77</v>
      </c>
      <c r="O294" s="135">
        <f>ROUND('[7]2034'!O53,2)</f>
        <v>30147.74</v>
      </c>
      <c r="P294" s="135">
        <f>ROUND('[7]2034'!P53,2)</f>
        <v>31443.23</v>
      </c>
      <c r="Q294" s="135">
        <f>ROUND('[7]2034'!Q53,2)</f>
        <v>32100.58</v>
      </c>
      <c r="R294" s="135">
        <f>ROUND('[7]2034'!R53,2)</f>
        <v>32114.19</v>
      </c>
      <c r="S294" s="135">
        <f>ROUND('[7]2034'!S53,2)</f>
        <v>32167.27</v>
      </c>
      <c r="T294" s="135">
        <f>ROUND('[7]2034'!T53,2)</f>
        <v>32248.27</v>
      </c>
      <c r="U294" s="135">
        <f>ROUND('[7]2034'!U53,2)</f>
        <v>31956.98</v>
      </c>
      <c r="V294" s="135">
        <f>ROUND('[7]2034'!V53,2)</f>
        <v>33314.39</v>
      </c>
      <c r="W294" s="135">
        <f>ROUND('[7]2034'!W53,2)</f>
        <v>37119.129999999997</v>
      </c>
      <c r="X294" s="135">
        <f>ROUND('[7]2034'!X53,2)</f>
        <v>37573.57</v>
      </c>
      <c r="Y294" s="135">
        <f>ROUND('[7]2034'!Y53,2)</f>
        <v>36983.26</v>
      </c>
      <c r="Z294" s="135">
        <f>ROUND('[7]2034'!Z53,2)</f>
        <v>35587.74</v>
      </c>
      <c r="AA294" s="135">
        <f>ROUND('[7]2034'!AA53,2)</f>
        <v>32935.31</v>
      </c>
      <c r="AB294" s="135">
        <f>ROUND('[7]2034'!AB53,2)</f>
        <v>30098.639999999999</v>
      </c>
      <c r="AC294" s="282"/>
      <c r="AD294" s="19"/>
    </row>
    <row r="295" spans="2:31" ht="18.649999999999999" hidden="1" customHeight="1" thickBot="1" x14ac:dyDescent="0.4">
      <c r="B295" s="265" t="s">
        <v>34</v>
      </c>
      <c r="C295" s="12" t="s">
        <v>32</v>
      </c>
      <c r="D295" s="13">
        <f>+'[7]2034'!D54</f>
        <v>1</v>
      </c>
      <c r="E295" s="132">
        <f>ROUND('[7]2034'!E54,2)</f>
        <v>26818.6</v>
      </c>
      <c r="F295" s="132">
        <f>ROUND('[7]2034'!F54,2)</f>
        <v>25683.18</v>
      </c>
      <c r="G295" s="132">
        <f>ROUND('[7]2034'!G54,2)</f>
        <v>24780.11</v>
      </c>
      <c r="H295" s="132">
        <f>ROUND('[7]2034'!H54,2)</f>
        <v>24224.36</v>
      </c>
      <c r="I295" s="132">
        <f>ROUND('[7]2034'!I54,2)</f>
        <v>24031.42</v>
      </c>
      <c r="J295" s="132">
        <f>ROUND('[7]2034'!J54,2)</f>
        <v>23652.68</v>
      </c>
      <c r="K295" s="132">
        <f>ROUND('[7]2034'!K54,2)</f>
        <v>23090.02</v>
      </c>
      <c r="L295" s="132">
        <f>ROUND('[7]2034'!L54,2)</f>
        <v>24905.18</v>
      </c>
      <c r="M295" s="132">
        <f>ROUND('[7]2034'!M54,2)</f>
        <v>26411.03</v>
      </c>
      <c r="N295" s="132">
        <f>ROUND('[7]2034'!N54,2)</f>
        <v>28509.77</v>
      </c>
      <c r="O295" s="132">
        <f>ROUND('[7]2034'!O54,2)</f>
        <v>30147.74</v>
      </c>
      <c r="P295" s="132">
        <f>ROUND('[7]2034'!P54,2)</f>
        <v>31443.23</v>
      </c>
      <c r="Q295" s="132">
        <f>ROUND('[7]2034'!Q54,2)</f>
        <v>32100.58</v>
      </c>
      <c r="R295" s="132">
        <f>ROUND('[7]2034'!R54,2)</f>
        <v>32114.19</v>
      </c>
      <c r="S295" s="132">
        <f>ROUND('[7]2034'!S54,2)</f>
        <v>32167.27</v>
      </c>
      <c r="T295" s="132">
        <f>ROUND('[7]2034'!T54,2)</f>
        <v>32248.27</v>
      </c>
      <c r="U295" s="132">
        <f>ROUND('[7]2034'!U54,2)</f>
        <v>31956.98</v>
      </c>
      <c r="V295" s="132">
        <f>ROUND('[7]2034'!V54,2)</f>
        <v>33314.39</v>
      </c>
      <c r="W295" s="132">
        <f>ROUND('[7]2034'!W54,2)</f>
        <v>37119.129999999997</v>
      </c>
      <c r="X295" s="132">
        <f>ROUND('[7]2034'!X54,2)</f>
        <v>37573.57</v>
      </c>
      <c r="Y295" s="132">
        <f>ROUND('[7]2034'!Y54,2)</f>
        <v>36983.26</v>
      </c>
      <c r="Z295" s="132">
        <f>ROUND('[7]2034'!Z54,2)</f>
        <v>35587.74</v>
      </c>
      <c r="AA295" s="132">
        <f>ROUND('[7]2034'!AA54,2)</f>
        <v>32935.31</v>
      </c>
      <c r="AB295" s="132">
        <f>ROUND('[7]2034'!AB54,2)</f>
        <v>30098.639999999999</v>
      </c>
      <c r="AC295" s="284"/>
      <c r="AD295" s="19"/>
    </row>
    <row r="296" spans="2:31" ht="18.649999999999999" hidden="1" customHeight="1" x14ac:dyDescent="0.35">
      <c r="B296" s="260">
        <v>49249</v>
      </c>
      <c r="C296" s="14" t="s">
        <v>29</v>
      </c>
      <c r="D296" s="15">
        <f>+'[7]2034'!D55</f>
        <v>20</v>
      </c>
      <c r="E296" s="137">
        <f>ROUND('[7]2034'!E55,2)</f>
        <v>28151.1</v>
      </c>
      <c r="F296" s="137">
        <f>ROUND('[7]2034'!F55,2)</f>
        <v>26773.93</v>
      </c>
      <c r="G296" s="137">
        <f>ROUND('[7]2034'!G55,2)</f>
        <v>25779.24</v>
      </c>
      <c r="H296" s="137">
        <f>ROUND('[7]2034'!H55,2)</f>
        <v>25127.99</v>
      </c>
      <c r="I296" s="137">
        <f>ROUND('[7]2034'!I55,2)</f>
        <v>25133.8</v>
      </c>
      <c r="J296" s="137">
        <f>ROUND('[7]2034'!J55,2)</f>
        <v>25342.880000000001</v>
      </c>
      <c r="K296" s="137">
        <f>ROUND('[7]2034'!K55,2)</f>
        <v>25518.23</v>
      </c>
      <c r="L296" s="137">
        <f>ROUND('[7]2034'!L55,2)</f>
        <v>28718.3</v>
      </c>
      <c r="M296" s="137">
        <f>ROUND('[7]2034'!M55,2)</f>
        <v>32133.77</v>
      </c>
      <c r="N296" s="137">
        <f>ROUND('[7]2034'!N55,2)</f>
        <v>34308.29</v>
      </c>
      <c r="O296" s="137">
        <f>ROUND('[7]2034'!O55,2)</f>
        <v>35950.15</v>
      </c>
      <c r="P296" s="137">
        <f>ROUND('[7]2034'!P55,2)</f>
        <v>36811.339999999997</v>
      </c>
      <c r="Q296" s="137">
        <f>ROUND('[7]2034'!Q55,2)</f>
        <v>36072.5</v>
      </c>
      <c r="R296" s="137">
        <f>ROUND('[7]2034'!R55,2)</f>
        <v>35443.82</v>
      </c>
      <c r="S296" s="137">
        <f>ROUND('[7]2034'!S55,2)</f>
        <v>35355.83</v>
      </c>
      <c r="T296" s="137">
        <f>ROUND('[7]2034'!T55,2)</f>
        <v>35271.660000000003</v>
      </c>
      <c r="U296" s="137">
        <f>ROUND('[7]2034'!U55,2)</f>
        <v>34910.57</v>
      </c>
      <c r="V296" s="137">
        <f>ROUND('[7]2034'!V55,2)</f>
        <v>36074.519999999997</v>
      </c>
      <c r="W296" s="137">
        <f>ROUND('[7]2034'!W55,2)</f>
        <v>39259.839999999997</v>
      </c>
      <c r="X296" s="137">
        <f>ROUND('[7]2034'!X55,2)</f>
        <v>38433.1</v>
      </c>
      <c r="Y296" s="137">
        <f>ROUND('[7]2034'!Y55,2)</f>
        <v>36873.879999999997</v>
      </c>
      <c r="Z296" s="137">
        <f>ROUND('[7]2034'!Z55,2)</f>
        <v>35109.879999999997</v>
      </c>
      <c r="AA296" s="137">
        <f>ROUND('[7]2034'!AA55,2)</f>
        <v>32925.589999999997</v>
      </c>
      <c r="AB296" s="137">
        <f>ROUND('[7]2034'!AB55,2)</f>
        <v>30556.55</v>
      </c>
      <c r="AC296" s="282">
        <f>SUM(E296:AB296)*D296+SUM(E297:AB297)*D297+SUM(E298:AB298)*D298+SUM(E299:AB299)*D299</f>
        <v>23050800.18</v>
      </c>
      <c r="AD296" s="19"/>
    </row>
    <row r="297" spans="2:31" ht="18.649999999999999" hidden="1" customHeight="1" x14ac:dyDescent="0.35">
      <c r="B297" s="261"/>
      <c r="C297" s="10" t="s">
        <v>30</v>
      </c>
      <c r="D297" s="11">
        <f>+'[7]2034'!D56</f>
        <v>4</v>
      </c>
      <c r="E297" s="135">
        <f>ROUND('[7]2034'!E56,2)</f>
        <v>30679.24</v>
      </c>
      <c r="F297" s="135">
        <f>ROUND('[7]2034'!F56,2)</f>
        <v>29126.33</v>
      </c>
      <c r="G297" s="135">
        <f>ROUND('[7]2034'!G56,2)</f>
        <v>27978.86</v>
      </c>
      <c r="H297" s="135">
        <f>ROUND('[7]2034'!H56,2)</f>
        <v>27189.57</v>
      </c>
      <c r="I297" s="135">
        <f>ROUND('[7]2034'!I56,2)</f>
        <v>27022.41</v>
      </c>
      <c r="J297" s="135">
        <f>ROUND('[7]2034'!J56,2)</f>
        <v>27210.17</v>
      </c>
      <c r="K297" s="135">
        <f>ROUND('[7]2034'!K56,2)</f>
        <v>27064.11</v>
      </c>
      <c r="L297" s="135">
        <f>ROUND('[7]2034'!L56,2)</f>
        <v>30147.49</v>
      </c>
      <c r="M297" s="135">
        <f>ROUND('[7]2034'!M56,2)</f>
        <v>33353.519999999997</v>
      </c>
      <c r="N297" s="135">
        <f>ROUND('[7]2034'!N56,2)</f>
        <v>35211.370000000003</v>
      </c>
      <c r="O297" s="135">
        <f>ROUND('[7]2034'!O56,2)</f>
        <v>36851.019999999997</v>
      </c>
      <c r="P297" s="135">
        <f>ROUND('[7]2034'!P56,2)</f>
        <v>38129.74</v>
      </c>
      <c r="Q297" s="135">
        <f>ROUND('[7]2034'!Q56,2)</f>
        <v>37307.550000000003</v>
      </c>
      <c r="R297" s="135">
        <f>ROUND('[7]2034'!R56,2)</f>
        <v>37696.22</v>
      </c>
      <c r="S297" s="135">
        <f>ROUND('[7]2034'!S56,2)</f>
        <v>38773.339999999997</v>
      </c>
      <c r="T297" s="135">
        <f>ROUND('[7]2034'!T56,2)</f>
        <v>38834.160000000003</v>
      </c>
      <c r="U297" s="135">
        <f>ROUND('[7]2034'!U56,2)</f>
        <v>38218.68</v>
      </c>
      <c r="V297" s="135">
        <f>ROUND('[7]2034'!V56,2)</f>
        <v>38317.99</v>
      </c>
      <c r="W297" s="135">
        <f>ROUND('[7]2034'!W56,2)</f>
        <v>41539.879999999997</v>
      </c>
      <c r="X297" s="135">
        <f>ROUND('[7]2034'!X56,2)</f>
        <v>40874.04</v>
      </c>
      <c r="Y297" s="135">
        <f>ROUND('[7]2034'!Y56,2)</f>
        <v>39555.65</v>
      </c>
      <c r="Z297" s="135">
        <f>ROUND('[7]2034'!Z56,2)</f>
        <v>37808.53</v>
      </c>
      <c r="AA297" s="135">
        <f>ROUND('[7]2034'!AA56,2)</f>
        <v>35465.910000000003</v>
      </c>
      <c r="AB297" s="135">
        <f>ROUND('[7]2034'!AB56,2)</f>
        <v>32834.519999999997</v>
      </c>
      <c r="AC297" s="282"/>
      <c r="AD297" s="19"/>
    </row>
    <row r="298" spans="2:31" ht="18.649999999999999" hidden="1" customHeight="1" x14ac:dyDescent="0.35">
      <c r="B298" s="261"/>
      <c r="C298" s="10" t="s">
        <v>31</v>
      </c>
      <c r="D298" s="11">
        <f>+'[7]2034'!D57</f>
        <v>4</v>
      </c>
      <c r="E298" s="135">
        <f>ROUND('[7]2034'!E57,2)</f>
        <v>28289.39</v>
      </c>
      <c r="F298" s="135">
        <f>ROUND('[7]2034'!F57,2)</f>
        <v>26786.32</v>
      </c>
      <c r="G298" s="135">
        <f>ROUND('[7]2034'!G57,2)</f>
        <v>25645.33</v>
      </c>
      <c r="H298" s="135">
        <f>ROUND('[7]2034'!H57,2)</f>
        <v>24768.95</v>
      </c>
      <c r="I298" s="135">
        <f>ROUND('[7]2034'!I57,2)</f>
        <v>24472.01</v>
      </c>
      <c r="J298" s="135">
        <f>ROUND('[7]2034'!J57,2)</f>
        <v>24098.81</v>
      </c>
      <c r="K298" s="135">
        <f>ROUND('[7]2034'!K57,2)</f>
        <v>23422.42</v>
      </c>
      <c r="L298" s="135">
        <f>ROUND('[7]2034'!L57,2)</f>
        <v>24965.22</v>
      </c>
      <c r="M298" s="135">
        <f>ROUND('[7]2034'!M57,2)</f>
        <v>26817.599999999999</v>
      </c>
      <c r="N298" s="135">
        <f>ROUND('[7]2034'!N57,2)</f>
        <v>28263.7</v>
      </c>
      <c r="O298" s="135">
        <f>ROUND('[7]2034'!O57,2)</f>
        <v>29448.22</v>
      </c>
      <c r="P298" s="135">
        <f>ROUND('[7]2034'!P57,2)</f>
        <v>30498.17</v>
      </c>
      <c r="Q298" s="135">
        <f>ROUND('[7]2034'!Q57,2)</f>
        <v>30825.81</v>
      </c>
      <c r="R298" s="135">
        <f>ROUND('[7]2034'!R57,2)</f>
        <v>30982.06</v>
      </c>
      <c r="S298" s="135">
        <f>ROUND('[7]2034'!S57,2)</f>
        <v>30536.82</v>
      </c>
      <c r="T298" s="135">
        <f>ROUND('[7]2034'!T57,2)</f>
        <v>30568.03</v>
      </c>
      <c r="U298" s="135">
        <f>ROUND('[7]2034'!U57,2)</f>
        <v>30642.21</v>
      </c>
      <c r="V298" s="135">
        <f>ROUND('[7]2034'!V57,2)</f>
        <v>32571.3</v>
      </c>
      <c r="W298" s="135">
        <f>ROUND('[7]2034'!W57,2)</f>
        <v>36344.18</v>
      </c>
      <c r="X298" s="135">
        <f>ROUND('[7]2034'!X57,2)</f>
        <v>36478.910000000003</v>
      </c>
      <c r="Y298" s="135">
        <f>ROUND('[7]2034'!Y57,2)</f>
        <v>35344.33</v>
      </c>
      <c r="Z298" s="135">
        <f>ROUND('[7]2034'!Z57,2)</f>
        <v>33224.120000000003</v>
      </c>
      <c r="AA298" s="135">
        <f>ROUND('[7]2034'!AA57,2)</f>
        <v>30541.55</v>
      </c>
      <c r="AB298" s="135">
        <f>ROUND('[7]2034'!AB57,2)</f>
        <v>28015.17</v>
      </c>
      <c r="AC298" s="282"/>
      <c r="AD298" s="19"/>
    </row>
    <row r="299" spans="2:31" ht="18.649999999999999" hidden="1" customHeight="1" thickBot="1" x14ac:dyDescent="0.4">
      <c r="B299" s="261"/>
      <c r="C299" s="16" t="s">
        <v>32</v>
      </c>
      <c r="D299" s="17">
        <f>+'[7]2034'!D58</f>
        <v>2</v>
      </c>
      <c r="E299" s="136">
        <f>ROUND('[7]2034'!E58,2)</f>
        <v>28289.39</v>
      </c>
      <c r="F299" s="136">
        <f>ROUND('[7]2034'!F58,2)</f>
        <v>26786.32</v>
      </c>
      <c r="G299" s="136">
        <f>ROUND('[7]2034'!G58,2)</f>
        <v>25645.33</v>
      </c>
      <c r="H299" s="136">
        <f>ROUND('[7]2034'!H58,2)</f>
        <v>24768.95</v>
      </c>
      <c r="I299" s="136">
        <f>ROUND('[7]2034'!I58,2)</f>
        <v>24472.01</v>
      </c>
      <c r="J299" s="136">
        <f>ROUND('[7]2034'!J58,2)</f>
        <v>24098.81</v>
      </c>
      <c r="K299" s="136">
        <f>ROUND('[7]2034'!K58,2)</f>
        <v>23422.42</v>
      </c>
      <c r="L299" s="136">
        <f>ROUND('[7]2034'!L58,2)</f>
        <v>24965.22</v>
      </c>
      <c r="M299" s="136">
        <f>ROUND('[7]2034'!M58,2)</f>
        <v>26817.599999999999</v>
      </c>
      <c r="N299" s="136">
        <f>ROUND('[7]2034'!N58,2)</f>
        <v>28263.7</v>
      </c>
      <c r="O299" s="136">
        <f>ROUND('[7]2034'!O58,2)</f>
        <v>29448.22</v>
      </c>
      <c r="P299" s="136">
        <f>ROUND('[7]2034'!P58,2)</f>
        <v>30498.17</v>
      </c>
      <c r="Q299" s="136">
        <f>ROUND('[7]2034'!Q58,2)</f>
        <v>30825.81</v>
      </c>
      <c r="R299" s="136">
        <f>ROUND('[7]2034'!R58,2)</f>
        <v>30982.06</v>
      </c>
      <c r="S299" s="136">
        <f>ROUND('[7]2034'!S58,2)</f>
        <v>30536.82</v>
      </c>
      <c r="T299" s="136">
        <f>ROUND('[7]2034'!T58,2)</f>
        <v>30568.03</v>
      </c>
      <c r="U299" s="136">
        <f>ROUND('[7]2034'!U58,2)</f>
        <v>30642.21</v>
      </c>
      <c r="V299" s="136">
        <f>ROUND('[7]2034'!V58,2)</f>
        <v>32571.3</v>
      </c>
      <c r="W299" s="136">
        <f>ROUND('[7]2034'!W58,2)</f>
        <v>36344.18</v>
      </c>
      <c r="X299" s="136">
        <f>ROUND('[7]2034'!X58,2)</f>
        <v>36478.910000000003</v>
      </c>
      <c r="Y299" s="136">
        <f>ROUND('[7]2034'!Y58,2)</f>
        <v>35344.33</v>
      </c>
      <c r="Z299" s="136">
        <f>ROUND('[7]2034'!Z58,2)</f>
        <v>33224.120000000003</v>
      </c>
      <c r="AA299" s="136">
        <f>ROUND('[7]2034'!AA58,2)</f>
        <v>30541.55</v>
      </c>
      <c r="AB299" s="136">
        <f>ROUND('[7]2034'!AB58,2)</f>
        <v>28015.17</v>
      </c>
      <c r="AC299" s="282"/>
      <c r="AD299" s="19"/>
    </row>
    <row r="300" spans="2:31" ht="18.649999999999999" hidden="1" customHeight="1" x14ac:dyDescent="0.35">
      <c r="B300" s="263">
        <v>49279</v>
      </c>
      <c r="C300" s="7" t="s">
        <v>29</v>
      </c>
      <c r="D300" s="8">
        <f>+'[7]2034'!D59</f>
        <v>19</v>
      </c>
      <c r="E300" s="134">
        <f>ROUND('[7]2034'!E59,2)</f>
        <v>29805.33</v>
      </c>
      <c r="F300" s="134">
        <f>ROUND('[7]2034'!F59,2)</f>
        <v>28232.39</v>
      </c>
      <c r="G300" s="134">
        <f>ROUND('[7]2034'!G59,2)</f>
        <v>27043.43</v>
      </c>
      <c r="H300" s="134">
        <f>ROUND('[7]2034'!H59,2)</f>
        <v>26217.01</v>
      </c>
      <c r="I300" s="134">
        <f>ROUND('[7]2034'!I59,2)</f>
        <v>26035.42</v>
      </c>
      <c r="J300" s="134">
        <f>ROUND('[7]2034'!J59,2)</f>
        <v>26167.67</v>
      </c>
      <c r="K300" s="134">
        <f>ROUND('[7]2034'!K59,2)</f>
        <v>25864.35</v>
      </c>
      <c r="L300" s="134">
        <f>ROUND('[7]2034'!L59,2)</f>
        <v>28638.83</v>
      </c>
      <c r="M300" s="134">
        <f>ROUND('[7]2034'!M59,2)</f>
        <v>31666.86</v>
      </c>
      <c r="N300" s="134">
        <f>ROUND('[7]2034'!N59,2)</f>
        <v>33582.699999999997</v>
      </c>
      <c r="O300" s="134">
        <f>ROUND('[7]2034'!O59,2)</f>
        <v>34992.769999999997</v>
      </c>
      <c r="P300" s="134">
        <f>ROUND('[7]2034'!P59,2)</f>
        <v>35838.910000000003</v>
      </c>
      <c r="Q300" s="134">
        <f>ROUND('[7]2034'!Q59,2)</f>
        <v>35063.480000000003</v>
      </c>
      <c r="R300" s="134">
        <f>ROUND('[7]2034'!R59,2)</f>
        <v>34507.29</v>
      </c>
      <c r="S300" s="134">
        <f>ROUND('[7]2034'!S59,2)</f>
        <v>34591.17</v>
      </c>
      <c r="T300" s="134">
        <f>ROUND('[7]2034'!T59,2)</f>
        <v>34567.050000000003</v>
      </c>
      <c r="U300" s="134">
        <f>ROUND('[7]2034'!U59,2)</f>
        <v>34138.53</v>
      </c>
      <c r="V300" s="134">
        <f>ROUND('[7]2034'!V59,2)</f>
        <v>35054.1</v>
      </c>
      <c r="W300" s="134">
        <f>ROUND('[7]2034'!W59,2)</f>
        <v>38604.18</v>
      </c>
      <c r="X300" s="134">
        <f>ROUND('[7]2034'!X59,2)</f>
        <v>37762.980000000003</v>
      </c>
      <c r="Y300" s="134">
        <f>ROUND('[7]2034'!Y59,2)</f>
        <v>36139.040000000001</v>
      </c>
      <c r="Z300" s="134">
        <f>ROUND('[7]2034'!Z59,2)</f>
        <v>34360.35</v>
      </c>
      <c r="AA300" s="134">
        <f>ROUND('[7]2034'!AA59,2)</f>
        <v>32635.02</v>
      </c>
      <c r="AB300" s="134">
        <f>ROUND('[7]2034'!AB59,2)</f>
        <v>30701.63</v>
      </c>
      <c r="AC300" s="283">
        <f>SUM(E300:AB300)*D300+SUM(E301:AB301)*D301+SUM(E302:AB302)*D302+SUM(E303:AB303)*D303</f>
        <v>23563220.48</v>
      </c>
      <c r="AD300" s="19"/>
    </row>
    <row r="301" spans="2:31" ht="18.649999999999999" hidden="1" customHeight="1" x14ac:dyDescent="0.35">
      <c r="B301" s="264" t="s">
        <v>34</v>
      </c>
      <c r="C301" s="10" t="s">
        <v>30</v>
      </c>
      <c r="D301" s="11">
        <f>+'[7]2034'!D60</f>
        <v>5</v>
      </c>
      <c r="E301" s="135">
        <f>ROUND('[7]2034'!E60,2)</f>
        <v>29253.68</v>
      </c>
      <c r="F301" s="135">
        <f>ROUND('[7]2034'!F60,2)</f>
        <v>27776.76</v>
      </c>
      <c r="G301" s="135">
        <f>ROUND('[7]2034'!G60,2)</f>
        <v>26667.59</v>
      </c>
      <c r="H301" s="135">
        <f>ROUND('[7]2034'!H60,2)</f>
        <v>25897.37</v>
      </c>
      <c r="I301" s="135">
        <f>ROUND('[7]2034'!I60,2)</f>
        <v>25812.87</v>
      </c>
      <c r="J301" s="135">
        <f>ROUND('[7]2034'!J60,2)</f>
        <v>26229.119999999999</v>
      </c>
      <c r="K301" s="135">
        <f>ROUND('[7]2034'!K60,2)</f>
        <v>26340.62</v>
      </c>
      <c r="L301" s="135">
        <f>ROUND('[7]2034'!L60,2)</f>
        <v>29230.38</v>
      </c>
      <c r="M301" s="135">
        <f>ROUND('[7]2034'!M60,2)</f>
        <v>32226.48</v>
      </c>
      <c r="N301" s="135">
        <f>ROUND('[7]2034'!N60,2)</f>
        <v>33958.06</v>
      </c>
      <c r="O301" s="135">
        <f>ROUND('[7]2034'!O60,2)</f>
        <v>35650.26</v>
      </c>
      <c r="P301" s="135">
        <f>ROUND('[7]2034'!P60,2)</f>
        <v>36839.379999999997</v>
      </c>
      <c r="Q301" s="135">
        <f>ROUND('[7]2034'!Q60,2)</f>
        <v>35912.06</v>
      </c>
      <c r="R301" s="135">
        <f>ROUND('[7]2034'!R60,2)</f>
        <v>36624.92</v>
      </c>
      <c r="S301" s="135">
        <f>ROUND('[7]2034'!S60,2)</f>
        <v>37831.43</v>
      </c>
      <c r="T301" s="135">
        <f>ROUND('[7]2034'!T60,2)</f>
        <v>37915.94</v>
      </c>
      <c r="U301" s="135">
        <f>ROUND('[7]2034'!U60,2)</f>
        <v>37263.93</v>
      </c>
      <c r="V301" s="135">
        <f>ROUND('[7]2034'!V60,2)</f>
        <v>36593.339999999997</v>
      </c>
      <c r="W301" s="135">
        <f>ROUND('[7]2034'!W60,2)</f>
        <v>39132.42</v>
      </c>
      <c r="X301" s="135">
        <f>ROUND('[7]2034'!X60,2)</f>
        <v>39367.79</v>
      </c>
      <c r="Y301" s="135">
        <f>ROUND('[7]2034'!Y60,2)</f>
        <v>38376.74</v>
      </c>
      <c r="Z301" s="135">
        <f>ROUND('[7]2034'!Z60,2)</f>
        <v>36713.129999999997</v>
      </c>
      <c r="AA301" s="135">
        <f>ROUND('[7]2034'!AA60,2)</f>
        <v>34164.160000000003</v>
      </c>
      <c r="AB301" s="135">
        <f>ROUND('[7]2034'!AB60,2)</f>
        <v>31438.19</v>
      </c>
      <c r="AC301" s="282"/>
      <c r="AD301" s="19"/>
    </row>
    <row r="302" spans="2:31" ht="18.649999999999999" hidden="1" customHeight="1" x14ac:dyDescent="0.35">
      <c r="B302" s="264" t="s">
        <v>34</v>
      </c>
      <c r="C302" s="10" t="s">
        <v>31</v>
      </c>
      <c r="D302" s="11">
        <f>+'[7]2034'!D61</f>
        <v>5</v>
      </c>
      <c r="E302" s="135">
        <f>ROUND('[7]2034'!E61,2)</f>
        <v>29078.49</v>
      </c>
      <c r="F302" s="135">
        <f>ROUND('[7]2034'!F61,2)</f>
        <v>28176.67</v>
      </c>
      <c r="G302" s="135">
        <f>ROUND('[7]2034'!G61,2)</f>
        <v>27323.77</v>
      </c>
      <c r="H302" s="135">
        <f>ROUND('[7]2034'!H61,2)</f>
        <v>26506.19</v>
      </c>
      <c r="I302" s="135">
        <f>ROUND('[7]2034'!I61,2)</f>
        <v>26034.91</v>
      </c>
      <c r="J302" s="135">
        <f>ROUND('[7]2034'!J61,2)</f>
        <v>25353.27</v>
      </c>
      <c r="K302" s="135">
        <f>ROUND('[7]2034'!K61,2)</f>
        <v>23778.49</v>
      </c>
      <c r="L302" s="135">
        <f>ROUND('[7]2034'!L61,2)</f>
        <v>24568.47</v>
      </c>
      <c r="M302" s="135">
        <f>ROUND('[7]2034'!M61,2)</f>
        <v>25852.83</v>
      </c>
      <c r="N302" s="135">
        <f>ROUND('[7]2034'!N61,2)</f>
        <v>27058.67</v>
      </c>
      <c r="O302" s="135">
        <f>ROUND('[7]2034'!O61,2)</f>
        <v>28182.83</v>
      </c>
      <c r="P302" s="135">
        <f>ROUND('[7]2034'!P61,2)</f>
        <v>29138.31</v>
      </c>
      <c r="Q302" s="135">
        <f>ROUND('[7]2034'!Q61,2)</f>
        <v>29660.560000000001</v>
      </c>
      <c r="R302" s="135">
        <f>ROUND('[7]2034'!R61,2)</f>
        <v>29683.65</v>
      </c>
      <c r="S302" s="135">
        <f>ROUND('[7]2034'!S61,2)</f>
        <v>29549.33</v>
      </c>
      <c r="T302" s="135">
        <f>ROUND('[7]2034'!T61,2)</f>
        <v>29712.7</v>
      </c>
      <c r="U302" s="135">
        <f>ROUND('[7]2034'!U61,2)</f>
        <v>29698.83</v>
      </c>
      <c r="V302" s="135">
        <f>ROUND('[7]2034'!V61,2)</f>
        <v>30658.81</v>
      </c>
      <c r="W302" s="135">
        <f>ROUND('[7]2034'!W61,2)</f>
        <v>34929.22</v>
      </c>
      <c r="X302" s="135">
        <f>ROUND('[7]2034'!X61,2)</f>
        <v>35252.21</v>
      </c>
      <c r="Y302" s="135">
        <f>ROUND('[7]2034'!Y61,2)</f>
        <v>34805.65</v>
      </c>
      <c r="Z302" s="135">
        <f>ROUND('[7]2034'!Z61,2)</f>
        <v>33747.379999999997</v>
      </c>
      <c r="AA302" s="135">
        <f>ROUND('[7]2034'!AA61,2)</f>
        <v>32003.200000000001</v>
      </c>
      <c r="AB302" s="135">
        <f>ROUND('[7]2034'!AB61,2)</f>
        <v>29979.57</v>
      </c>
      <c r="AC302" s="282"/>
      <c r="AD302" s="19"/>
    </row>
    <row r="303" spans="2:31" ht="18.5" hidden="1" customHeight="1" thickBot="1" x14ac:dyDescent="0.4">
      <c r="B303" s="265" t="s">
        <v>34</v>
      </c>
      <c r="C303" s="12" t="s">
        <v>32</v>
      </c>
      <c r="D303" s="13">
        <f>+'[7]2034'!D62</f>
        <v>2</v>
      </c>
      <c r="E303" s="132">
        <f>ROUND('[7]2034'!E62,2)</f>
        <v>29078.49</v>
      </c>
      <c r="F303" s="132">
        <f>ROUND('[7]2034'!F62,2)</f>
        <v>28176.67</v>
      </c>
      <c r="G303" s="132">
        <f>ROUND('[7]2034'!G62,2)</f>
        <v>27323.77</v>
      </c>
      <c r="H303" s="132">
        <f>ROUND('[7]2034'!H62,2)</f>
        <v>26506.19</v>
      </c>
      <c r="I303" s="132">
        <f>ROUND('[7]2034'!I62,2)</f>
        <v>26034.91</v>
      </c>
      <c r="J303" s="132">
        <f>ROUND('[7]2034'!J62,2)</f>
        <v>25353.27</v>
      </c>
      <c r="K303" s="132">
        <f>ROUND('[7]2034'!K62,2)</f>
        <v>23778.49</v>
      </c>
      <c r="L303" s="132">
        <f>ROUND('[7]2034'!L62,2)</f>
        <v>24568.47</v>
      </c>
      <c r="M303" s="132">
        <f>ROUND('[7]2034'!M62,2)</f>
        <v>25852.83</v>
      </c>
      <c r="N303" s="132">
        <f>ROUND('[7]2034'!N62,2)</f>
        <v>27058.67</v>
      </c>
      <c r="O303" s="132">
        <f>ROUND('[7]2034'!O62,2)</f>
        <v>28182.83</v>
      </c>
      <c r="P303" s="132">
        <f>ROUND('[7]2034'!P62,2)</f>
        <v>29138.31</v>
      </c>
      <c r="Q303" s="132">
        <f>ROUND('[7]2034'!Q62,2)</f>
        <v>29660.560000000001</v>
      </c>
      <c r="R303" s="132">
        <f>ROUND('[7]2034'!R62,2)</f>
        <v>29683.65</v>
      </c>
      <c r="S303" s="132">
        <f>ROUND('[7]2034'!S62,2)</f>
        <v>29549.33</v>
      </c>
      <c r="T303" s="132">
        <f>ROUND('[7]2034'!T62,2)</f>
        <v>29712.7</v>
      </c>
      <c r="U303" s="132">
        <f>ROUND('[7]2034'!U62,2)</f>
        <v>29698.83</v>
      </c>
      <c r="V303" s="132">
        <f>ROUND('[7]2034'!V62,2)</f>
        <v>30658.81</v>
      </c>
      <c r="W303" s="132">
        <f>ROUND('[7]2034'!W62,2)</f>
        <v>34929.22</v>
      </c>
      <c r="X303" s="132">
        <f>ROUND('[7]2034'!X62,2)</f>
        <v>35252.21</v>
      </c>
      <c r="Y303" s="132">
        <f>ROUND('[7]2034'!Y62,2)</f>
        <v>34805.65</v>
      </c>
      <c r="Z303" s="132">
        <f>ROUND('[7]2034'!Z62,2)</f>
        <v>33747.379999999997</v>
      </c>
      <c r="AA303" s="132">
        <f>ROUND('[7]2034'!AA62,2)</f>
        <v>32003.200000000001</v>
      </c>
      <c r="AB303" s="132">
        <f>ROUND('[7]2034'!AB62,2)</f>
        <v>29979.57</v>
      </c>
      <c r="AC303" s="284"/>
      <c r="AD303" s="19"/>
    </row>
    <row r="304" spans="2:31" ht="18.649999999999999" hidden="1" customHeight="1" thickBot="1" x14ac:dyDescent="0.4"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285" t="s">
        <v>33</v>
      </c>
      <c r="AA304" s="286"/>
      <c r="AB304" s="287"/>
      <c r="AC304" s="198">
        <f>SUM(AC256:AC303)</f>
        <v>283441356.28999996</v>
      </c>
      <c r="AD304" s="18"/>
      <c r="AE304" s="19"/>
    </row>
    <row r="305" spans="2:50" ht="18.649999999999999" hidden="1" customHeight="1" x14ac:dyDescent="0.35">
      <c r="B305" s="260">
        <v>49310</v>
      </c>
      <c r="C305" s="7" t="s">
        <v>29</v>
      </c>
      <c r="D305" s="54">
        <f>+'[7]2035'!D15</f>
        <v>21</v>
      </c>
      <c r="E305" s="134">
        <f>ROUND('[7]2035'!E15,2)</f>
        <v>29687.16</v>
      </c>
      <c r="F305" s="134">
        <f>ROUND('[7]2035'!F15,2)</f>
        <v>28078.19</v>
      </c>
      <c r="G305" s="134">
        <f>ROUND('[7]2035'!G15,2)</f>
        <v>26915.19</v>
      </c>
      <c r="H305" s="134">
        <f>ROUND('[7]2035'!H15,2)</f>
        <v>26102.07</v>
      </c>
      <c r="I305" s="134">
        <f>ROUND('[7]2035'!I15,2)</f>
        <v>25909.33</v>
      </c>
      <c r="J305" s="134">
        <f>ROUND('[7]2035'!J15,2)</f>
        <v>26541.82</v>
      </c>
      <c r="K305" s="134">
        <f>ROUND('[7]2035'!K15,2)</f>
        <v>26344.19</v>
      </c>
      <c r="L305" s="134">
        <f>ROUND('[7]2035'!L15,2)</f>
        <v>29459.37</v>
      </c>
      <c r="M305" s="134">
        <f>ROUND('[7]2035'!M15,2)</f>
        <v>32811.449999999997</v>
      </c>
      <c r="N305" s="134">
        <f>ROUND('[7]2035'!N15,2)</f>
        <v>34752.61</v>
      </c>
      <c r="O305" s="134">
        <f>ROUND('[7]2035'!O15,2)</f>
        <v>36755.15</v>
      </c>
      <c r="P305" s="134">
        <f>ROUND('[7]2035'!P15,2)</f>
        <v>38179.269999999997</v>
      </c>
      <c r="Q305" s="134">
        <f>ROUND('[7]2035'!Q15,2)</f>
        <v>37118.400000000001</v>
      </c>
      <c r="R305" s="134">
        <f>ROUND('[7]2035'!R15,2)</f>
        <v>38159.74</v>
      </c>
      <c r="S305" s="134">
        <f>ROUND('[7]2035'!S15,2)</f>
        <v>39896.43</v>
      </c>
      <c r="T305" s="134">
        <f>ROUND('[7]2035'!T15,2)</f>
        <v>40061.15</v>
      </c>
      <c r="U305" s="134">
        <f>ROUND('[7]2035'!U15,2)</f>
        <v>39231.9</v>
      </c>
      <c r="V305" s="134">
        <f>ROUND('[7]2035'!V15,2)</f>
        <v>37655.35</v>
      </c>
      <c r="W305" s="134">
        <f>ROUND('[7]2035'!W15,2)</f>
        <v>39890.65</v>
      </c>
      <c r="X305" s="134">
        <f>ROUND('[7]2035'!X15,2)</f>
        <v>40012.97</v>
      </c>
      <c r="Y305" s="134">
        <f>ROUND('[7]2035'!Y15,2)</f>
        <v>39067.31</v>
      </c>
      <c r="Z305" s="134">
        <f>ROUND('[7]2035'!Z15,2)</f>
        <v>37558.089999999997</v>
      </c>
      <c r="AA305" s="134">
        <f>ROUND('[7]2035'!AA15,2)</f>
        <v>35069.61</v>
      </c>
      <c r="AB305" s="134">
        <f>ROUND('[7]2035'!AB15,2)</f>
        <v>32275.51</v>
      </c>
      <c r="AC305" s="283">
        <f>SUM(E305:AB305)*D305+SUM(E306:AB306)*D306+SUM(E307:AB307)*D307+SUM(E308:AB308)*D308</f>
        <v>24703006.830000006</v>
      </c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</row>
    <row r="306" spans="2:50" ht="18.649999999999999" hidden="1" customHeight="1" x14ac:dyDescent="0.35">
      <c r="B306" s="261"/>
      <c r="C306" s="10" t="s">
        <v>30</v>
      </c>
      <c r="D306" s="11">
        <f>+'[7]2035'!D16</f>
        <v>4</v>
      </c>
      <c r="E306" s="135">
        <f>ROUND('[7]2035'!E16,2)</f>
        <v>29910.87</v>
      </c>
      <c r="F306" s="135">
        <f>ROUND('[7]2035'!F16,2)</f>
        <v>28322.720000000001</v>
      </c>
      <c r="G306" s="135">
        <f>ROUND('[7]2035'!G16,2)</f>
        <v>27146.11</v>
      </c>
      <c r="H306" s="135">
        <f>ROUND('[7]2035'!H16,2)</f>
        <v>26217.79</v>
      </c>
      <c r="I306" s="135">
        <f>ROUND('[7]2035'!I16,2)</f>
        <v>25974.39</v>
      </c>
      <c r="J306" s="135">
        <f>ROUND('[7]2035'!J16,2)</f>
        <v>26088.31</v>
      </c>
      <c r="K306" s="135">
        <f>ROUND('[7]2035'!K16,2)</f>
        <v>25414.15</v>
      </c>
      <c r="L306" s="135">
        <f>ROUND('[7]2035'!L16,2)</f>
        <v>27833.15</v>
      </c>
      <c r="M306" s="135">
        <f>ROUND('[7]2035'!M16,2)</f>
        <v>31028.01</v>
      </c>
      <c r="N306" s="135">
        <f>ROUND('[7]2035'!N16,2)</f>
        <v>33142.33</v>
      </c>
      <c r="O306" s="135">
        <f>ROUND('[7]2035'!O16,2)</f>
        <v>34883.160000000003</v>
      </c>
      <c r="P306" s="135">
        <f>ROUND('[7]2035'!P16,2)</f>
        <v>35974.339999999997</v>
      </c>
      <c r="Q306" s="135">
        <f>ROUND('[7]2035'!Q16,2)</f>
        <v>35464.44</v>
      </c>
      <c r="R306" s="135">
        <f>ROUND('[7]2035'!R16,2)</f>
        <v>35106.93</v>
      </c>
      <c r="S306" s="135">
        <f>ROUND('[7]2035'!S16,2)</f>
        <v>35306.910000000003</v>
      </c>
      <c r="T306" s="135">
        <f>ROUND('[7]2035'!T16,2)</f>
        <v>35295.660000000003</v>
      </c>
      <c r="U306" s="135">
        <f>ROUND('[7]2035'!U16,2)</f>
        <v>34774.81</v>
      </c>
      <c r="V306" s="135">
        <f>ROUND('[7]2035'!V16,2)</f>
        <v>34508.86</v>
      </c>
      <c r="W306" s="135">
        <f>ROUND('[7]2035'!W16,2)</f>
        <v>38055.65</v>
      </c>
      <c r="X306" s="135">
        <f>ROUND('[7]2035'!X16,2)</f>
        <v>38436.67</v>
      </c>
      <c r="Y306" s="135">
        <f>ROUND('[7]2035'!Y16,2)</f>
        <v>37374.300000000003</v>
      </c>
      <c r="Z306" s="135">
        <f>ROUND('[7]2035'!Z16,2)</f>
        <v>36051.26</v>
      </c>
      <c r="AA306" s="135">
        <f>ROUND('[7]2035'!AA16,2)</f>
        <v>34254.36</v>
      </c>
      <c r="AB306" s="135">
        <f>ROUND('[7]2035'!AB16,2)</f>
        <v>32156.04</v>
      </c>
      <c r="AC306" s="282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</row>
    <row r="307" spans="2:50" ht="18.649999999999999" hidden="1" customHeight="1" x14ac:dyDescent="0.35">
      <c r="B307" s="261"/>
      <c r="C307" s="10" t="s">
        <v>31</v>
      </c>
      <c r="D307" s="11">
        <f>+'[7]2035'!D17</f>
        <v>4</v>
      </c>
      <c r="E307" s="135">
        <f>ROUND('[7]2035'!E17,2)</f>
        <v>30244.19</v>
      </c>
      <c r="F307" s="135">
        <f>ROUND('[7]2035'!F17,2)</f>
        <v>28712.68</v>
      </c>
      <c r="G307" s="135">
        <f>ROUND('[7]2035'!G17,2)</f>
        <v>27470.66</v>
      </c>
      <c r="H307" s="135">
        <f>ROUND('[7]2035'!H17,2)</f>
        <v>26477.98</v>
      </c>
      <c r="I307" s="135">
        <f>ROUND('[7]2035'!I17,2)</f>
        <v>25973.37</v>
      </c>
      <c r="J307" s="135">
        <f>ROUND('[7]2035'!J17,2)</f>
        <v>25724.51</v>
      </c>
      <c r="K307" s="135">
        <f>ROUND('[7]2035'!K17,2)</f>
        <v>24397.97</v>
      </c>
      <c r="L307" s="135">
        <f>ROUND('[7]2035'!L17,2)</f>
        <v>25488.34</v>
      </c>
      <c r="M307" s="135">
        <f>ROUND('[7]2035'!M17,2)</f>
        <v>27309.63</v>
      </c>
      <c r="N307" s="135">
        <f>ROUND('[7]2035'!N17,2)</f>
        <v>29165.59</v>
      </c>
      <c r="O307" s="135">
        <f>ROUND('[7]2035'!O17,2)</f>
        <v>30307.02</v>
      </c>
      <c r="P307" s="135">
        <f>ROUND('[7]2035'!P17,2)</f>
        <v>31323.43</v>
      </c>
      <c r="Q307" s="135">
        <f>ROUND('[7]2035'!Q17,2)</f>
        <v>31928.59</v>
      </c>
      <c r="R307" s="135">
        <f>ROUND('[7]2035'!R17,2)</f>
        <v>32065.02</v>
      </c>
      <c r="S307" s="135">
        <f>ROUND('[7]2035'!S17,2)</f>
        <v>32153.93</v>
      </c>
      <c r="T307" s="135">
        <f>ROUND('[7]2035'!T17,2)</f>
        <v>32207.38</v>
      </c>
      <c r="U307" s="135">
        <f>ROUND('[7]2035'!U17,2)</f>
        <v>32018.81</v>
      </c>
      <c r="V307" s="135">
        <f>ROUND('[7]2035'!V17,2)</f>
        <v>32051.5</v>
      </c>
      <c r="W307" s="135">
        <f>ROUND('[7]2035'!W17,2)</f>
        <v>35933.379999999997</v>
      </c>
      <c r="X307" s="135">
        <f>ROUND('[7]2035'!X17,2)</f>
        <v>37106.870000000003</v>
      </c>
      <c r="Y307" s="135">
        <f>ROUND('[7]2035'!Y17,2)</f>
        <v>36972.18</v>
      </c>
      <c r="Z307" s="135">
        <f>ROUND('[7]2035'!Z17,2)</f>
        <v>35950.589999999997</v>
      </c>
      <c r="AA307" s="135">
        <f>ROUND('[7]2035'!AA17,2)</f>
        <v>34017.96</v>
      </c>
      <c r="AB307" s="135">
        <f>ROUND('[7]2035'!AB17,2)</f>
        <v>31653.56</v>
      </c>
      <c r="AC307" s="282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</row>
    <row r="308" spans="2:50" ht="18.649999999999999" hidden="1" customHeight="1" thickBot="1" x14ac:dyDescent="0.4">
      <c r="B308" s="261"/>
      <c r="C308" s="16" t="s">
        <v>32</v>
      </c>
      <c r="D308" s="17">
        <f>+'[7]2035'!D18</f>
        <v>2</v>
      </c>
      <c r="E308" s="136">
        <f>ROUND('[7]2035'!E18,2)</f>
        <v>30244.19</v>
      </c>
      <c r="F308" s="136">
        <f>ROUND('[7]2035'!F18,2)</f>
        <v>28712.68</v>
      </c>
      <c r="G308" s="136">
        <f>ROUND('[7]2035'!G18,2)</f>
        <v>27470.66</v>
      </c>
      <c r="H308" s="136">
        <f>ROUND('[7]2035'!H18,2)</f>
        <v>26477.98</v>
      </c>
      <c r="I308" s="136">
        <f>ROUND('[7]2035'!I18,2)</f>
        <v>25973.37</v>
      </c>
      <c r="J308" s="136">
        <f>ROUND('[7]2035'!J18,2)</f>
        <v>25724.51</v>
      </c>
      <c r="K308" s="136">
        <f>ROUND('[7]2035'!K18,2)</f>
        <v>24397.97</v>
      </c>
      <c r="L308" s="136">
        <f>ROUND('[7]2035'!L18,2)</f>
        <v>25488.34</v>
      </c>
      <c r="M308" s="136">
        <f>ROUND('[7]2035'!M18,2)</f>
        <v>27309.63</v>
      </c>
      <c r="N308" s="136">
        <f>ROUND('[7]2035'!N18,2)</f>
        <v>29165.59</v>
      </c>
      <c r="O308" s="136">
        <f>ROUND('[7]2035'!O18,2)</f>
        <v>30307.02</v>
      </c>
      <c r="P308" s="136">
        <f>ROUND('[7]2035'!P18,2)</f>
        <v>31323.43</v>
      </c>
      <c r="Q308" s="136">
        <f>ROUND('[7]2035'!Q18,2)</f>
        <v>31928.59</v>
      </c>
      <c r="R308" s="136">
        <f>ROUND('[7]2035'!R18,2)</f>
        <v>32065.02</v>
      </c>
      <c r="S308" s="136">
        <f>ROUND('[7]2035'!S18,2)</f>
        <v>32153.93</v>
      </c>
      <c r="T308" s="136">
        <f>ROUND('[7]2035'!T18,2)</f>
        <v>32207.38</v>
      </c>
      <c r="U308" s="136">
        <f>ROUND('[7]2035'!U18,2)</f>
        <v>32018.81</v>
      </c>
      <c r="V308" s="136">
        <f>ROUND('[7]2035'!V18,2)</f>
        <v>32051.5</v>
      </c>
      <c r="W308" s="136">
        <f>ROUND('[7]2035'!W18,2)</f>
        <v>35933.379999999997</v>
      </c>
      <c r="X308" s="136">
        <f>ROUND('[7]2035'!X18,2)</f>
        <v>37106.870000000003</v>
      </c>
      <c r="Y308" s="136">
        <f>ROUND('[7]2035'!Y18,2)</f>
        <v>36972.18</v>
      </c>
      <c r="Z308" s="136">
        <f>ROUND('[7]2035'!Z18,2)</f>
        <v>35950.589999999997</v>
      </c>
      <c r="AA308" s="136">
        <f>ROUND('[7]2035'!AA18,2)</f>
        <v>34017.96</v>
      </c>
      <c r="AB308" s="136">
        <f>ROUND('[7]2035'!AB18,2)</f>
        <v>31653.56</v>
      </c>
      <c r="AC308" s="282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</row>
    <row r="309" spans="2:50" ht="18.649999999999999" hidden="1" customHeight="1" x14ac:dyDescent="0.35">
      <c r="B309" s="263">
        <v>49341</v>
      </c>
      <c r="C309" s="7" t="s">
        <v>29</v>
      </c>
      <c r="D309" s="8">
        <f>+'[7]2035'!D19</f>
        <v>20</v>
      </c>
      <c r="E309" s="134">
        <f>ROUND('[7]2035'!E19,2)</f>
        <v>30753.65</v>
      </c>
      <c r="F309" s="134">
        <f>ROUND('[7]2035'!F19,2)</f>
        <v>29130.81</v>
      </c>
      <c r="G309" s="134">
        <f>ROUND('[7]2035'!G19,2)</f>
        <v>27971.64</v>
      </c>
      <c r="H309" s="134">
        <f>ROUND('[7]2035'!H19,2)</f>
        <v>27212.84</v>
      </c>
      <c r="I309" s="134">
        <f>ROUND('[7]2035'!I19,2)</f>
        <v>27268.55</v>
      </c>
      <c r="J309" s="134">
        <f>ROUND('[7]2035'!J19,2)</f>
        <v>28783.13</v>
      </c>
      <c r="K309" s="134">
        <f>ROUND('[7]2035'!K19,2)</f>
        <v>28706.23</v>
      </c>
      <c r="L309" s="134">
        <f>ROUND('[7]2035'!L19,2)</f>
        <v>31669.74</v>
      </c>
      <c r="M309" s="134">
        <f>ROUND('[7]2035'!M19,2)</f>
        <v>34657.99</v>
      </c>
      <c r="N309" s="134">
        <f>ROUND('[7]2035'!N19,2)</f>
        <v>36125.410000000003</v>
      </c>
      <c r="O309" s="134">
        <f>ROUND('[7]2035'!O19,2)</f>
        <v>37878.53</v>
      </c>
      <c r="P309" s="134">
        <f>ROUND('[7]2035'!P19,2)</f>
        <v>39054.720000000001</v>
      </c>
      <c r="Q309" s="134">
        <f>ROUND('[7]2035'!Q19,2)</f>
        <v>37584.86</v>
      </c>
      <c r="R309" s="134">
        <f>ROUND('[7]2035'!R19,2)</f>
        <v>38925.300000000003</v>
      </c>
      <c r="S309" s="134">
        <f>ROUND('[7]2035'!S19,2)</f>
        <v>40895.39</v>
      </c>
      <c r="T309" s="134">
        <f>ROUND('[7]2035'!T19,2)</f>
        <v>41148.589999999997</v>
      </c>
      <c r="U309" s="134">
        <f>ROUND('[7]2035'!U19,2)</f>
        <v>40427.93</v>
      </c>
      <c r="V309" s="134">
        <f>ROUND('[7]2035'!V19,2)</f>
        <v>38706.22</v>
      </c>
      <c r="W309" s="134">
        <f>ROUND('[7]2035'!W19,2)</f>
        <v>40763.54</v>
      </c>
      <c r="X309" s="134">
        <f>ROUND('[7]2035'!X19,2)</f>
        <v>41423.300000000003</v>
      </c>
      <c r="Y309" s="134">
        <f>ROUND('[7]2035'!Y19,2)</f>
        <v>40603.1</v>
      </c>
      <c r="Z309" s="134">
        <f>ROUND('[7]2035'!Z19,2)</f>
        <v>38834.94</v>
      </c>
      <c r="AA309" s="134">
        <f>ROUND('[7]2035'!AA19,2)</f>
        <v>35953.040000000001</v>
      </c>
      <c r="AB309" s="134">
        <f>ROUND('[7]2035'!AB19,2)</f>
        <v>33054.99</v>
      </c>
      <c r="AC309" s="283">
        <f>SUM(E309:AB309)*D309+SUM(E310:AB310)*D310+SUM(E311:AB311)*D311+SUM(E312:AB312)*D312</f>
        <v>23290601.720000006</v>
      </c>
      <c r="AD309" s="19"/>
    </row>
    <row r="310" spans="2:50" ht="18.649999999999999" hidden="1" customHeight="1" x14ac:dyDescent="0.35">
      <c r="B310" s="264" t="s">
        <v>34</v>
      </c>
      <c r="C310" s="10" t="s">
        <v>30</v>
      </c>
      <c r="D310" s="11">
        <f>+'[7]2035'!D20</f>
        <v>4</v>
      </c>
      <c r="E310" s="135">
        <f>ROUND('[7]2035'!E20,2)</f>
        <v>30851.73</v>
      </c>
      <c r="F310" s="135">
        <f>ROUND('[7]2035'!F20,2)</f>
        <v>29349.51</v>
      </c>
      <c r="G310" s="135">
        <f>ROUND('[7]2035'!G20,2)</f>
        <v>28043.87</v>
      </c>
      <c r="H310" s="135">
        <f>ROUND('[7]2035'!H20,2)</f>
        <v>27158.22</v>
      </c>
      <c r="I310" s="135">
        <f>ROUND('[7]2035'!I20,2)</f>
        <v>26820.080000000002</v>
      </c>
      <c r="J310" s="135">
        <f>ROUND('[7]2035'!J20,2)</f>
        <v>27088.45</v>
      </c>
      <c r="K310" s="135">
        <f>ROUND('[7]2035'!K20,2)</f>
        <v>26815.360000000001</v>
      </c>
      <c r="L310" s="135">
        <f>ROUND('[7]2035'!L20,2)</f>
        <v>29480.25</v>
      </c>
      <c r="M310" s="135">
        <f>ROUND('[7]2035'!M20,2)</f>
        <v>32684.36</v>
      </c>
      <c r="N310" s="135">
        <f>ROUND('[7]2035'!N20,2)</f>
        <v>34696.81</v>
      </c>
      <c r="O310" s="135">
        <f>ROUND('[7]2035'!O20,2)</f>
        <v>36342.25</v>
      </c>
      <c r="P310" s="135">
        <f>ROUND('[7]2035'!P20,2)</f>
        <v>37432.1</v>
      </c>
      <c r="Q310" s="135">
        <f>ROUND('[7]2035'!Q20,2)</f>
        <v>36779.160000000003</v>
      </c>
      <c r="R310" s="135">
        <f>ROUND('[7]2035'!R20,2)</f>
        <v>36350.07</v>
      </c>
      <c r="S310" s="135">
        <f>ROUND('[7]2035'!S20,2)</f>
        <v>36540.93</v>
      </c>
      <c r="T310" s="135">
        <f>ROUND('[7]2035'!T20,2)</f>
        <v>36536.339999999997</v>
      </c>
      <c r="U310" s="135">
        <f>ROUND('[7]2035'!U20,2)</f>
        <v>35981.660000000003</v>
      </c>
      <c r="V310" s="135">
        <f>ROUND('[7]2035'!V20,2)</f>
        <v>35731.03</v>
      </c>
      <c r="W310" s="135">
        <f>ROUND('[7]2035'!W20,2)</f>
        <v>39138.080000000002</v>
      </c>
      <c r="X310" s="135">
        <f>ROUND('[7]2035'!X20,2)</f>
        <v>39933.46</v>
      </c>
      <c r="Y310" s="135">
        <f>ROUND('[7]2035'!Y20,2)</f>
        <v>38895.81</v>
      </c>
      <c r="Z310" s="135">
        <f>ROUND('[7]2035'!Z20,2)</f>
        <v>37494.379999999997</v>
      </c>
      <c r="AA310" s="135">
        <f>ROUND('[7]2035'!AA20,2)</f>
        <v>35589.65</v>
      </c>
      <c r="AB310" s="135">
        <f>ROUND('[7]2035'!AB20,2)</f>
        <v>33349.360000000001</v>
      </c>
      <c r="AC310" s="282"/>
      <c r="AD310" s="19"/>
    </row>
    <row r="311" spans="2:50" ht="18.649999999999999" hidden="1" customHeight="1" x14ac:dyDescent="0.35">
      <c r="B311" s="264" t="s">
        <v>34</v>
      </c>
      <c r="C311" s="10" t="s">
        <v>31</v>
      </c>
      <c r="D311" s="11">
        <f>+'[7]2035'!D21</f>
        <v>4</v>
      </c>
      <c r="E311" s="135">
        <f>ROUND('[7]2035'!E21,2)</f>
        <v>31331.31</v>
      </c>
      <c r="F311" s="135">
        <f>ROUND('[7]2035'!F21,2)</f>
        <v>29727.119999999999</v>
      </c>
      <c r="G311" s="135">
        <f>ROUND('[7]2035'!G21,2)</f>
        <v>28486.15</v>
      </c>
      <c r="H311" s="135">
        <f>ROUND('[7]2035'!H21,2)</f>
        <v>27575.8</v>
      </c>
      <c r="I311" s="135">
        <f>ROUND('[7]2035'!I21,2)</f>
        <v>26999.23</v>
      </c>
      <c r="J311" s="135">
        <f>ROUND('[7]2035'!J21,2)</f>
        <v>26878.13</v>
      </c>
      <c r="K311" s="135">
        <f>ROUND('[7]2035'!K21,2)</f>
        <v>25693.63</v>
      </c>
      <c r="L311" s="135">
        <f>ROUND('[7]2035'!L21,2)</f>
        <v>26841.64</v>
      </c>
      <c r="M311" s="135">
        <f>ROUND('[7]2035'!M21,2)</f>
        <v>28721.42</v>
      </c>
      <c r="N311" s="135">
        <f>ROUND('[7]2035'!N21,2)</f>
        <v>30428.41</v>
      </c>
      <c r="O311" s="135">
        <f>ROUND('[7]2035'!O21,2)</f>
        <v>31673.3</v>
      </c>
      <c r="P311" s="135">
        <f>ROUND('[7]2035'!P21,2)</f>
        <v>32939.440000000002</v>
      </c>
      <c r="Q311" s="135">
        <f>ROUND('[7]2035'!Q21,2)</f>
        <v>33665.599999999999</v>
      </c>
      <c r="R311" s="135">
        <f>ROUND('[7]2035'!R21,2)</f>
        <v>33888.120000000003</v>
      </c>
      <c r="S311" s="135">
        <f>ROUND('[7]2035'!S21,2)</f>
        <v>34089.53</v>
      </c>
      <c r="T311" s="135">
        <f>ROUND('[7]2035'!T21,2)</f>
        <v>34245.26</v>
      </c>
      <c r="U311" s="135">
        <f>ROUND('[7]2035'!U21,2)</f>
        <v>34020.620000000003</v>
      </c>
      <c r="V311" s="135">
        <f>ROUND('[7]2035'!V21,2)</f>
        <v>33940.92</v>
      </c>
      <c r="W311" s="135">
        <f>ROUND('[7]2035'!W21,2)</f>
        <v>37738.04</v>
      </c>
      <c r="X311" s="135">
        <f>ROUND('[7]2035'!X21,2)</f>
        <v>39437.919999999998</v>
      </c>
      <c r="Y311" s="135">
        <f>ROUND('[7]2035'!Y21,2)</f>
        <v>39467.1</v>
      </c>
      <c r="Z311" s="135">
        <f>ROUND('[7]2035'!Z21,2)</f>
        <v>38488.17</v>
      </c>
      <c r="AA311" s="135">
        <f>ROUND('[7]2035'!AA21,2)</f>
        <v>36185.33</v>
      </c>
      <c r="AB311" s="135">
        <f>ROUND('[7]2035'!AB21,2)</f>
        <v>33433.120000000003</v>
      </c>
      <c r="AC311" s="282"/>
      <c r="AD311" s="19"/>
    </row>
    <row r="312" spans="2:50" ht="18.649999999999999" hidden="1" customHeight="1" thickBot="1" x14ac:dyDescent="0.4">
      <c r="B312" s="265" t="s">
        <v>34</v>
      </c>
      <c r="C312" s="12" t="s">
        <v>32</v>
      </c>
      <c r="D312" s="13">
        <f>+'[7]2035'!D22</f>
        <v>0</v>
      </c>
      <c r="E312" s="199">
        <f>ROUND('[7]2035'!E22,2)</f>
        <v>0</v>
      </c>
      <c r="F312" s="115">
        <f>ROUND('[7]2035'!F22,2)</f>
        <v>0</v>
      </c>
      <c r="G312" s="115">
        <f>ROUND('[7]2035'!G22,2)</f>
        <v>0</v>
      </c>
      <c r="H312" s="115">
        <f>ROUND('[7]2035'!H22,2)</f>
        <v>0</v>
      </c>
      <c r="I312" s="115">
        <f>ROUND('[7]2035'!I22,2)</f>
        <v>0</v>
      </c>
      <c r="J312" s="115">
        <f>ROUND('[7]2035'!J22,2)</f>
        <v>0</v>
      </c>
      <c r="K312" s="115">
        <f>ROUND('[7]2035'!K22,2)</f>
        <v>0</v>
      </c>
      <c r="L312" s="115">
        <f>ROUND('[7]2035'!L22,2)</f>
        <v>0</v>
      </c>
      <c r="M312" s="115">
        <f>ROUND('[7]2035'!M22,2)</f>
        <v>0</v>
      </c>
      <c r="N312" s="115">
        <f>ROUND('[7]2035'!N22,2)</f>
        <v>0</v>
      </c>
      <c r="O312" s="115">
        <f>ROUND('[7]2035'!O22,2)</f>
        <v>0</v>
      </c>
      <c r="P312" s="115">
        <f>ROUND('[7]2035'!P22,2)</f>
        <v>0</v>
      </c>
      <c r="Q312" s="115">
        <f>ROUND('[7]2035'!Q22,2)</f>
        <v>0</v>
      </c>
      <c r="R312" s="115">
        <f>ROUND('[7]2035'!R22,2)</f>
        <v>0</v>
      </c>
      <c r="S312" s="115">
        <f>ROUND('[7]2035'!S22,2)</f>
        <v>0</v>
      </c>
      <c r="T312" s="115">
        <f>ROUND('[7]2035'!T22,2)</f>
        <v>0</v>
      </c>
      <c r="U312" s="115">
        <f>ROUND('[7]2035'!U22,2)</f>
        <v>0</v>
      </c>
      <c r="V312" s="115">
        <f>ROUND('[7]2035'!V22,2)</f>
        <v>0</v>
      </c>
      <c r="W312" s="115">
        <f>ROUND('[7]2035'!W22,2)</f>
        <v>0</v>
      </c>
      <c r="X312" s="115">
        <f>ROUND('[7]2035'!X22,2)</f>
        <v>0</v>
      </c>
      <c r="Y312" s="115">
        <f>ROUND('[7]2035'!Y22,2)</f>
        <v>0</v>
      </c>
      <c r="Z312" s="115">
        <f>ROUND('[7]2035'!Z22,2)</f>
        <v>0</v>
      </c>
      <c r="AA312" s="115">
        <f>ROUND('[7]2035'!AA22,2)</f>
        <v>0</v>
      </c>
      <c r="AB312" s="115">
        <f>ROUND('[7]2035'!AB22,2)</f>
        <v>0</v>
      </c>
      <c r="AC312" s="284"/>
      <c r="AD312" s="19"/>
    </row>
    <row r="313" spans="2:50" ht="18.649999999999999" hidden="1" customHeight="1" x14ac:dyDescent="0.35">
      <c r="B313" s="260">
        <v>49369</v>
      </c>
      <c r="C313" s="14" t="s">
        <v>29</v>
      </c>
      <c r="D313" s="15">
        <f>+'[7]2035'!D23</f>
        <v>19</v>
      </c>
      <c r="E313" s="137">
        <f>ROUND('[7]2035'!E23,2)</f>
        <v>31155.82</v>
      </c>
      <c r="F313" s="137">
        <f>ROUND('[7]2035'!F23,2)</f>
        <v>29509.31</v>
      </c>
      <c r="G313" s="137">
        <f>ROUND('[7]2035'!G23,2)</f>
        <v>28268.5</v>
      </c>
      <c r="H313" s="137">
        <f>ROUND('[7]2035'!H23,2)</f>
        <v>27352.75</v>
      </c>
      <c r="I313" s="137">
        <f>ROUND('[7]2035'!I23,2)</f>
        <v>27215.11</v>
      </c>
      <c r="J313" s="137">
        <f>ROUND('[7]2035'!J23,2)</f>
        <v>28211.62</v>
      </c>
      <c r="K313" s="137">
        <f>ROUND('[7]2035'!K23,2)</f>
        <v>28017.88</v>
      </c>
      <c r="L313" s="137">
        <f>ROUND('[7]2035'!L23,2)</f>
        <v>31229.5</v>
      </c>
      <c r="M313" s="137">
        <f>ROUND('[7]2035'!M23,2)</f>
        <v>34468.629999999997</v>
      </c>
      <c r="N313" s="137">
        <f>ROUND('[7]2035'!N23,2)</f>
        <v>36163.870000000003</v>
      </c>
      <c r="O313" s="137">
        <f>ROUND('[7]2035'!O23,2)</f>
        <v>38086.769999999997</v>
      </c>
      <c r="P313" s="137">
        <f>ROUND('[7]2035'!P23,2)</f>
        <v>39338.660000000003</v>
      </c>
      <c r="Q313" s="137">
        <f>ROUND('[7]2035'!Q23,2)</f>
        <v>37922.839999999997</v>
      </c>
      <c r="R313" s="137">
        <f>ROUND('[7]2035'!R23,2)</f>
        <v>39434.129999999997</v>
      </c>
      <c r="S313" s="137">
        <f>ROUND('[7]2035'!S23,2)</f>
        <v>41265.919999999998</v>
      </c>
      <c r="T313" s="137">
        <f>ROUND('[7]2035'!T23,2)</f>
        <v>41462.75</v>
      </c>
      <c r="U313" s="137">
        <f>ROUND('[7]2035'!U23,2)</f>
        <v>40742.18</v>
      </c>
      <c r="V313" s="137">
        <f>ROUND('[7]2035'!V23,2)</f>
        <v>39001.83</v>
      </c>
      <c r="W313" s="137">
        <f>ROUND('[7]2035'!W23,2)</f>
        <v>40751.4</v>
      </c>
      <c r="X313" s="137">
        <f>ROUND('[7]2035'!X23,2)</f>
        <v>41260.75</v>
      </c>
      <c r="Y313" s="137">
        <f>ROUND('[7]2035'!Y23,2)</f>
        <v>40518.949999999997</v>
      </c>
      <c r="Z313" s="137">
        <f>ROUND('[7]2035'!Z23,2)</f>
        <v>38946.69</v>
      </c>
      <c r="AA313" s="137">
        <f>ROUND('[7]2035'!AA23,2)</f>
        <v>36486.92</v>
      </c>
      <c r="AB313" s="137">
        <f>ROUND('[7]2035'!AB23,2)</f>
        <v>33719.949999999997</v>
      </c>
      <c r="AC313" s="282">
        <f>SUM(E313:AB313)*D313+SUM(E314:AB314)*D314+SUM(E315:AB315)*D315+SUM(E316:AB316)*D316</f>
        <v>25376135.480000004</v>
      </c>
      <c r="AD313" s="19"/>
    </row>
    <row r="314" spans="2:50" ht="18.649999999999999" hidden="1" customHeight="1" x14ac:dyDescent="0.35">
      <c r="B314" s="261"/>
      <c r="C314" s="10" t="s">
        <v>30</v>
      </c>
      <c r="D314" s="11">
        <f>+'[7]2035'!D24</f>
        <v>5</v>
      </c>
      <c r="E314" s="135">
        <f>ROUND('[7]2035'!E24,2)</f>
        <v>31246.32</v>
      </c>
      <c r="F314" s="135">
        <f>ROUND('[7]2035'!F24,2)</f>
        <v>29547.54</v>
      </c>
      <c r="G314" s="135">
        <f>ROUND('[7]2035'!G24,2)</f>
        <v>28350.92</v>
      </c>
      <c r="H314" s="135">
        <f>ROUND('[7]2035'!H24,2)</f>
        <v>27403.95</v>
      </c>
      <c r="I314" s="135">
        <f>ROUND('[7]2035'!I24,2)</f>
        <v>26838.65</v>
      </c>
      <c r="J314" s="135">
        <f>ROUND('[7]2035'!J24,2)</f>
        <v>26752.23</v>
      </c>
      <c r="K314" s="135">
        <f>ROUND('[7]2035'!K24,2)</f>
        <v>26360.38</v>
      </c>
      <c r="L314" s="135">
        <f>ROUND('[7]2035'!L24,2)</f>
        <v>28882.17</v>
      </c>
      <c r="M314" s="135">
        <f>ROUND('[7]2035'!M24,2)</f>
        <v>31922.01</v>
      </c>
      <c r="N314" s="135">
        <f>ROUND('[7]2035'!N24,2)</f>
        <v>33825.620000000003</v>
      </c>
      <c r="O314" s="135">
        <f>ROUND('[7]2035'!O24,2)</f>
        <v>35342.01</v>
      </c>
      <c r="P314" s="135">
        <f>ROUND('[7]2035'!P24,2)</f>
        <v>36311.43</v>
      </c>
      <c r="Q314" s="135">
        <f>ROUND('[7]2035'!Q24,2)</f>
        <v>35796.480000000003</v>
      </c>
      <c r="R314" s="135">
        <f>ROUND('[7]2035'!R24,2)</f>
        <v>35423.54</v>
      </c>
      <c r="S314" s="135">
        <f>ROUND('[7]2035'!S24,2)</f>
        <v>35210.51</v>
      </c>
      <c r="T314" s="135">
        <f>ROUND('[7]2035'!T24,2)</f>
        <v>36080.11</v>
      </c>
      <c r="U314" s="135">
        <f>ROUND('[7]2035'!U24,2)</f>
        <v>34857.089999999997</v>
      </c>
      <c r="V314" s="135">
        <f>ROUND('[7]2035'!V24,2)</f>
        <v>34574.089999999997</v>
      </c>
      <c r="W314" s="135">
        <f>ROUND('[7]2035'!W24,2)</f>
        <v>38193.9</v>
      </c>
      <c r="X314" s="135">
        <f>ROUND('[7]2035'!X24,2)</f>
        <v>38763.629999999997</v>
      </c>
      <c r="Y314" s="135">
        <f>ROUND('[7]2035'!Y24,2)</f>
        <v>37822.28</v>
      </c>
      <c r="Z314" s="135">
        <f>ROUND('[7]2035'!Z24,2)</f>
        <v>36610.879999999997</v>
      </c>
      <c r="AA314" s="135">
        <f>ROUND('[7]2035'!AA24,2)</f>
        <v>35004.160000000003</v>
      </c>
      <c r="AB314" s="135">
        <f>ROUND('[7]2035'!AB24,2)</f>
        <v>32962.050000000003</v>
      </c>
      <c r="AC314" s="282"/>
      <c r="AD314" s="19"/>
    </row>
    <row r="315" spans="2:50" ht="18.649999999999999" hidden="1" customHeight="1" x14ac:dyDescent="0.35">
      <c r="B315" s="261"/>
      <c r="C315" s="10" t="s">
        <v>31</v>
      </c>
      <c r="D315" s="11">
        <f>+'[7]2035'!D25</f>
        <v>4</v>
      </c>
      <c r="E315" s="135">
        <f>ROUND('[7]2035'!E25,2)</f>
        <v>30996.05</v>
      </c>
      <c r="F315" s="135">
        <f>ROUND('[7]2035'!F25,2)</f>
        <v>29409.26</v>
      </c>
      <c r="G315" s="135">
        <f>ROUND('[7]2035'!G25,2)</f>
        <v>27992.880000000001</v>
      </c>
      <c r="H315" s="135">
        <f>ROUND('[7]2035'!H25,2)</f>
        <v>26999.17</v>
      </c>
      <c r="I315" s="135">
        <f>ROUND('[7]2035'!I25,2)</f>
        <v>26538.38</v>
      </c>
      <c r="J315" s="135">
        <f>ROUND('[7]2035'!J25,2)</f>
        <v>26238.19</v>
      </c>
      <c r="K315" s="135">
        <f>ROUND('[7]2035'!K25,2)</f>
        <v>24956.37</v>
      </c>
      <c r="L315" s="135">
        <f>ROUND('[7]2035'!L25,2)</f>
        <v>26156.53</v>
      </c>
      <c r="M315" s="135">
        <f>ROUND('[7]2035'!M25,2)</f>
        <v>27895.439999999999</v>
      </c>
      <c r="N315" s="135">
        <f>ROUND('[7]2035'!N25,2)</f>
        <v>29485.43</v>
      </c>
      <c r="O315" s="135">
        <f>ROUND('[7]2035'!O25,2)</f>
        <v>30690.79</v>
      </c>
      <c r="P315" s="135">
        <f>ROUND('[7]2035'!P25,2)</f>
        <v>31830.34</v>
      </c>
      <c r="Q315" s="135">
        <f>ROUND('[7]2035'!Q25,2)</f>
        <v>32402.76</v>
      </c>
      <c r="R315" s="135">
        <f>ROUND('[7]2035'!R25,2)</f>
        <v>32549.03</v>
      </c>
      <c r="S315" s="135">
        <f>ROUND('[7]2035'!S25,2)</f>
        <v>32716.42</v>
      </c>
      <c r="T315" s="135">
        <f>ROUND('[7]2035'!T25,2)</f>
        <v>32949.67</v>
      </c>
      <c r="U315" s="135">
        <f>ROUND('[7]2035'!U25,2)</f>
        <v>32542.5</v>
      </c>
      <c r="V315" s="135">
        <f>ROUND('[7]2035'!V25,2)</f>
        <v>32620.79</v>
      </c>
      <c r="W315" s="135">
        <f>ROUND('[7]2035'!W25,2)</f>
        <v>36133.15</v>
      </c>
      <c r="X315" s="135">
        <f>ROUND('[7]2035'!X25,2)</f>
        <v>37432.06</v>
      </c>
      <c r="Y315" s="135">
        <f>ROUND('[7]2035'!Y25,2)</f>
        <v>37364.800000000003</v>
      </c>
      <c r="Z315" s="135">
        <f>ROUND('[7]2035'!Z25,2)</f>
        <v>36640.910000000003</v>
      </c>
      <c r="AA315" s="135">
        <f>ROUND('[7]2035'!AA25,2)</f>
        <v>34693.300000000003</v>
      </c>
      <c r="AB315" s="135">
        <f>ROUND('[7]2035'!AB25,2)</f>
        <v>32137.759999999998</v>
      </c>
      <c r="AC315" s="282"/>
      <c r="AD315" s="19"/>
    </row>
    <row r="316" spans="2:50" ht="18.649999999999999" hidden="1" customHeight="1" thickBot="1" x14ac:dyDescent="0.4">
      <c r="B316" s="261"/>
      <c r="C316" s="16" t="s">
        <v>32</v>
      </c>
      <c r="D316" s="17">
        <f>+'[7]2035'!D26</f>
        <v>3</v>
      </c>
      <c r="E316" s="136">
        <f>ROUND('[7]2035'!E26,2)</f>
        <v>30996.05</v>
      </c>
      <c r="F316" s="136">
        <f>ROUND('[7]2035'!F26,2)</f>
        <v>29409.26</v>
      </c>
      <c r="G316" s="136">
        <f>ROUND('[7]2035'!G26,2)</f>
        <v>27992.880000000001</v>
      </c>
      <c r="H316" s="136">
        <f>ROUND('[7]2035'!H26,2)</f>
        <v>26999.17</v>
      </c>
      <c r="I316" s="136">
        <f>ROUND('[7]2035'!I26,2)</f>
        <v>26538.38</v>
      </c>
      <c r="J316" s="136">
        <f>ROUND('[7]2035'!J26,2)</f>
        <v>26238.19</v>
      </c>
      <c r="K316" s="136">
        <f>ROUND('[7]2035'!K26,2)</f>
        <v>24956.37</v>
      </c>
      <c r="L316" s="136">
        <f>ROUND('[7]2035'!L26,2)</f>
        <v>26156.53</v>
      </c>
      <c r="M316" s="136">
        <f>ROUND('[7]2035'!M26,2)</f>
        <v>27895.439999999999</v>
      </c>
      <c r="N316" s="136">
        <f>ROUND('[7]2035'!N26,2)</f>
        <v>29485.43</v>
      </c>
      <c r="O316" s="136">
        <f>ROUND('[7]2035'!O26,2)</f>
        <v>30690.79</v>
      </c>
      <c r="P316" s="136">
        <f>ROUND('[7]2035'!P26,2)</f>
        <v>31830.34</v>
      </c>
      <c r="Q316" s="136">
        <f>ROUND('[7]2035'!Q26,2)</f>
        <v>32402.76</v>
      </c>
      <c r="R316" s="136">
        <f>ROUND('[7]2035'!R26,2)</f>
        <v>32549.03</v>
      </c>
      <c r="S316" s="136">
        <f>ROUND('[7]2035'!S26,2)</f>
        <v>32716.42</v>
      </c>
      <c r="T316" s="136">
        <f>ROUND('[7]2035'!T26,2)</f>
        <v>32949.67</v>
      </c>
      <c r="U316" s="136">
        <f>ROUND('[7]2035'!U26,2)</f>
        <v>32542.5</v>
      </c>
      <c r="V316" s="136">
        <f>ROUND('[7]2035'!V26,2)</f>
        <v>32620.79</v>
      </c>
      <c r="W316" s="136">
        <f>ROUND('[7]2035'!W26,2)</f>
        <v>36133.15</v>
      </c>
      <c r="X316" s="136">
        <f>ROUND('[7]2035'!X26,2)</f>
        <v>37432.06</v>
      </c>
      <c r="Y316" s="136">
        <f>ROUND('[7]2035'!Y26,2)</f>
        <v>37364.800000000003</v>
      </c>
      <c r="Z316" s="136">
        <f>ROUND('[7]2035'!Z26,2)</f>
        <v>36640.910000000003</v>
      </c>
      <c r="AA316" s="136">
        <f>ROUND('[7]2035'!AA26,2)</f>
        <v>34693.300000000003</v>
      </c>
      <c r="AB316" s="136">
        <f>ROUND('[7]2035'!AB26,2)</f>
        <v>32137.759999999998</v>
      </c>
      <c r="AC316" s="282"/>
      <c r="AD316" s="19"/>
    </row>
    <row r="317" spans="2:50" ht="18.649999999999999" hidden="1" customHeight="1" x14ac:dyDescent="0.35">
      <c r="B317" s="263">
        <v>49400</v>
      </c>
      <c r="C317" s="7" t="s">
        <v>29</v>
      </c>
      <c r="D317" s="8">
        <f>+'[7]2035'!D27</f>
        <v>21</v>
      </c>
      <c r="E317" s="134">
        <f>ROUND('[7]2035'!E27,2)</f>
        <v>30395.84</v>
      </c>
      <c r="F317" s="134">
        <f>ROUND('[7]2035'!F27,2)</f>
        <v>29085.35</v>
      </c>
      <c r="G317" s="134">
        <f>ROUND('[7]2035'!G27,2)</f>
        <v>27800.85</v>
      </c>
      <c r="H317" s="134">
        <f>ROUND('[7]2035'!H27,2)</f>
        <v>27082.91</v>
      </c>
      <c r="I317" s="134">
        <f>ROUND('[7]2035'!I27,2)</f>
        <v>26911.360000000001</v>
      </c>
      <c r="J317" s="134">
        <f>ROUND('[7]2035'!J27,2)</f>
        <v>26631.99</v>
      </c>
      <c r="K317" s="134">
        <f>ROUND('[7]2035'!K27,2)</f>
        <v>26724.45</v>
      </c>
      <c r="L317" s="134">
        <f>ROUND('[7]2035'!L27,2)</f>
        <v>29728.44</v>
      </c>
      <c r="M317" s="134">
        <f>ROUND('[7]2035'!M27,2)</f>
        <v>33138.129999999997</v>
      </c>
      <c r="N317" s="134">
        <f>ROUND('[7]2035'!N27,2)</f>
        <v>35152.86</v>
      </c>
      <c r="O317" s="134">
        <f>ROUND('[7]2035'!O27,2)</f>
        <v>36827.75</v>
      </c>
      <c r="P317" s="134">
        <f>ROUND('[7]2035'!P27,2)</f>
        <v>37883.01</v>
      </c>
      <c r="Q317" s="134">
        <f>ROUND('[7]2035'!Q27,2)</f>
        <v>37178.980000000003</v>
      </c>
      <c r="R317" s="134">
        <f>ROUND('[7]2035'!R27,2)</f>
        <v>36733.120000000003</v>
      </c>
      <c r="S317" s="134">
        <f>ROUND('[7]2035'!S27,2)</f>
        <v>36987.96</v>
      </c>
      <c r="T317" s="134">
        <f>ROUND('[7]2035'!T27,2)</f>
        <v>36982.47</v>
      </c>
      <c r="U317" s="134">
        <f>ROUND('[7]2035'!U27,2)</f>
        <v>36400.85</v>
      </c>
      <c r="V317" s="134">
        <f>ROUND('[7]2035'!V27,2)</f>
        <v>36190.629999999997</v>
      </c>
      <c r="W317" s="134">
        <f>ROUND('[7]2035'!W27,2)</f>
        <v>39862.089999999997</v>
      </c>
      <c r="X317" s="134">
        <f>ROUND('[7]2035'!X27,2)</f>
        <v>40179.269999999997</v>
      </c>
      <c r="Y317" s="134">
        <f>ROUND('[7]2035'!Y27,2)</f>
        <v>39195.29</v>
      </c>
      <c r="Z317" s="134">
        <f>ROUND('[7]2035'!Z27,2)</f>
        <v>37833.65</v>
      </c>
      <c r="AA317" s="134">
        <f>ROUND('[7]2035'!AA27,2)</f>
        <v>35972.76</v>
      </c>
      <c r="AB317" s="134">
        <f>ROUND('[7]2035'!AB27,2)</f>
        <v>33718.58</v>
      </c>
      <c r="AC317" s="283">
        <f>SUM(E317:AB317)*D317+SUM(E318:AB318)*D318+SUM(E319:AB319)*D319+SUM(E320:AB320)*D320</f>
        <v>24167109.59</v>
      </c>
      <c r="AD317" s="19"/>
    </row>
    <row r="318" spans="2:50" ht="18.649999999999999" hidden="1" customHeight="1" x14ac:dyDescent="0.35">
      <c r="B318" s="264" t="s">
        <v>34</v>
      </c>
      <c r="C318" s="10" t="s">
        <v>30</v>
      </c>
      <c r="D318" s="11">
        <f>+'[7]2035'!D28</f>
        <v>4</v>
      </c>
      <c r="E318" s="135">
        <f>ROUND('[7]2035'!E28,2)</f>
        <v>29346.77</v>
      </c>
      <c r="F318" s="135">
        <f>ROUND('[7]2035'!F28,2)</f>
        <v>27900.400000000001</v>
      </c>
      <c r="G318" s="135">
        <f>ROUND('[7]2035'!G28,2)</f>
        <v>26801.73</v>
      </c>
      <c r="H318" s="135">
        <f>ROUND('[7]2035'!H28,2)</f>
        <v>25991.61</v>
      </c>
      <c r="I318" s="135">
        <f>ROUND('[7]2035'!I28,2)</f>
        <v>26015.89</v>
      </c>
      <c r="J318" s="135">
        <f>ROUND('[7]2035'!J28,2)</f>
        <v>26336.74</v>
      </c>
      <c r="K318" s="135">
        <f>ROUND('[7]2035'!K28,2)</f>
        <v>26928.48</v>
      </c>
      <c r="L318" s="135">
        <f>ROUND('[7]2035'!L28,2)</f>
        <v>29858.65</v>
      </c>
      <c r="M318" s="135">
        <f>ROUND('[7]2035'!M28,2)</f>
        <v>32869.660000000003</v>
      </c>
      <c r="N318" s="135">
        <f>ROUND('[7]2035'!N28,2)</f>
        <v>34623.620000000003</v>
      </c>
      <c r="O318" s="135">
        <f>ROUND('[7]2035'!O28,2)</f>
        <v>36196.620000000003</v>
      </c>
      <c r="P318" s="135">
        <f>ROUND('[7]2035'!P28,2)</f>
        <v>37282.51</v>
      </c>
      <c r="Q318" s="135">
        <f>ROUND('[7]2035'!Q28,2)</f>
        <v>36262.550000000003</v>
      </c>
      <c r="R318" s="135">
        <f>ROUND('[7]2035'!R28,2)</f>
        <v>36978.160000000003</v>
      </c>
      <c r="S318" s="135">
        <f>ROUND('[7]2035'!S28,2)</f>
        <v>38210.400000000001</v>
      </c>
      <c r="T318" s="135">
        <f>ROUND('[7]2035'!T28,2)</f>
        <v>38292.53</v>
      </c>
      <c r="U318" s="135">
        <f>ROUND('[7]2035'!U28,2)</f>
        <v>37689.47</v>
      </c>
      <c r="V318" s="135">
        <f>ROUND('[7]2035'!V28,2)</f>
        <v>36866.29</v>
      </c>
      <c r="W318" s="135">
        <f>ROUND('[7]2035'!W28,2)</f>
        <v>39406.870000000003</v>
      </c>
      <c r="X318" s="135">
        <f>ROUND('[7]2035'!X28,2)</f>
        <v>39747.550000000003</v>
      </c>
      <c r="Y318" s="135">
        <f>ROUND('[7]2035'!Y28,2)</f>
        <v>38712.269999999997</v>
      </c>
      <c r="Z318" s="135">
        <f>ROUND('[7]2035'!Z28,2)</f>
        <v>37014.49</v>
      </c>
      <c r="AA318" s="135">
        <f>ROUND('[7]2035'!AA28,2)</f>
        <v>34348.71</v>
      </c>
      <c r="AB318" s="135">
        <f>ROUND('[7]2035'!AB28,2)</f>
        <v>31404.880000000001</v>
      </c>
      <c r="AC318" s="282"/>
      <c r="AD318" s="19"/>
    </row>
    <row r="319" spans="2:50" ht="18.649999999999999" hidden="1" customHeight="1" x14ac:dyDescent="0.35">
      <c r="B319" s="264" t="s">
        <v>34</v>
      </c>
      <c r="C319" s="10" t="s">
        <v>31</v>
      </c>
      <c r="D319" s="11">
        <f>+'[7]2035'!D29</f>
        <v>5</v>
      </c>
      <c r="E319" s="135">
        <f>ROUND('[7]2035'!E29,2)</f>
        <v>31627.05</v>
      </c>
      <c r="F319" s="135">
        <f>ROUND('[7]2035'!F29,2)</f>
        <v>30025.55</v>
      </c>
      <c r="G319" s="135">
        <f>ROUND('[7]2035'!G29,2)</f>
        <v>28698.89</v>
      </c>
      <c r="H319" s="135">
        <f>ROUND('[7]2035'!H29,2)</f>
        <v>27793.9</v>
      </c>
      <c r="I319" s="135">
        <f>ROUND('[7]2035'!I29,2)</f>
        <v>27263.67</v>
      </c>
      <c r="J319" s="135">
        <f>ROUND('[7]2035'!J29,2)</f>
        <v>26455.14</v>
      </c>
      <c r="K319" s="135">
        <f>ROUND('[7]2035'!K29,2)</f>
        <v>25645.05</v>
      </c>
      <c r="L319" s="135">
        <f>ROUND('[7]2035'!L29,2)</f>
        <v>27081.66</v>
      </c>
      <c r="M319" s="135">
        <f>ROUND('[7]2035'!M29,2)</f>
        <v>28980.27</v>
      </c>
      <c r="N319" s="135">
        <f>ROUND('[7]2035'!N29,2)</f>
        <v>30692.26</v>
      </c>
      <c r="O319" s="135">
        <f>ROUND('[7]2035'!O29,2)</f>
        <v>32045.75</v>
      </c>
      <c r="P319" s="135">
        <f>ROUND('[7]2035'!P29,2)</f>
        <v>33150.17</v>
      </c>
      <c r="Q319" s="135">
        <f>ROUND('[7]2035'!Q29,2)</f>
        <v>33658.620000000003</v>
      </c>
      <c r="R319" s="135">
        <f>ROUND('[7]2035'!R29,2)</f>
        <v>33752.589999999997</v>
      </c>
      <c r="S319" s="135">
        <f>ROUND('[7]2035'!S29,2)</f>
        <v>33567.42</v>
      </c>
      <c r="T319" s="135">
        <f>ROUND('[7]2035'!T29,2)</f>
        <v>33418.15</v>
      </c>
      <c r="U319" s="135">
        <f>ROUND('[7]2035'!U29,2)</f>
        <v>33077.14</v>
      </c>
      <c r="V319" s="135">
        <f>ROUND('[7]2035'!V29,2)</f>
        <v>33393.129999999997</v>
      </c>
      <c r="W319" s="135">
        <f>ROUND('[7]2035'!W29,2)</f>
        <v>37310.47</v>
      </c>
      <c r="X319" s="135">
        <f>ROUND('[7]2035'!X29,2)</f>
        <v>38432.199999999997</v>
      </c>
      <c r="Y319" s="135">
        <f>ROUND('[7]2035'!Y29,2)</f>
        <v>38172.61</v>
      </c>
      <c r="Z319" s="135">
        <f>ROUND('[7]2035'!Z29,2)</f>
        <v>37000.959999999999</v>
      </c>
      <c r="AA319" s="135">
        <f>ROUND('[7]2035'!AA29,2)</f>
        <v>34744.42</v>
      </c>
      <c r="AB319" s="135">
        <f>ROUND('[7]2035'!AB29,2)</f>
        <v>32051.29</v>
      </c>
      <c r="AC319" s="282"/>
      <c r="AD319" s="19"/>
    </row>
    <row r="320" spans="2:50" ht="18.649999999999999" hidden="1" customHeight="1" thickBot="1" x14ac:dyDescent="0.4">
      <c r="B320" s="265" t="s">
        <v>34</v>
      </c>
      <c r="C320" s="12" t="s">
        <v>32</v>
      </c>
      <c r="D320" s="13">
        <f>+'[7]2035'!D30</f>
        <v>0</v>
      </c>
      <c r="E320" s="199">
        <f>ROUND('[7]2035'!E30,2)</f>
        <v>0</v>
      </c>
      <c r="F320" s="115">
        <f>ROUND('[7]2035'!F30,2)</f>
        <v>0</v>
      </c>
      <c r="G320" s="115">
        <f>ROUND('[7]2035'!G30,2)</f>
        <v>0</v>
      </c>
      <c r="H320" s="115">
        <f>ROUND('[7]2035'!H30,2)</f>
        <v>0</v>
      </c>
      <c r="I320" s="115">
        <f>ROUND('[7]2035'!I30,2)</f>
        <v>0</v>
      </c>
      <c r="J320" s="115">
        <f>ROUND('[7]2035'!J30,2)</f>
        <v>0</v>
      </c>
      <c r="K320" s="115">
        <f>ROUND('[7]2035'!K30,2)</f>
        <v>0</v>
      </c>
      <c r="L320" s="115">
        <f>ROUND('[7]2035'!L30,2)</f>
        <v>0</v>
      </c>
      <c r="M320" s="115">
        <f>ROUND('[7]2035'!M30,2)</f>
        <v>0</v>
      </c>
      <c r="N320" s="115">
        <f>ROUND('[7]2035'!N30,2)</f>
        <v>0</v>
      </c>
      <c r="O320" s="115">
        <f>ROUND('[7]2035'!O30,2)</f>
        <v>0</v>
      </c>
      <c r="P320" s="115">
        <f>ROUND('[7]2035'!P30,2)</f>
        <v>0</v>
      </c>
      <c r="Q320" s="115">
        <f>ROUND('[7]2035'!Q30,2)</f>
        <v>0</v>
      </c>
      <c r="R320" s="115">
        <f>ROUND('[7]2035'!R30,2)</f>
        <v>0</v>
      </c>
      <c r="S320" s="115">
        <f>ROUND('[7]2035'!S30,2)</f>
        <v>0</v>
      </c>
      <c r="T320" s="115">
        <f>ROUND('[7]2035'!T30,2)</f>
        <v>0</v>
      </c>
      <c r="U320" s="115">
        <f>ROUND('[7]2035'!U30,2)</f>
        <v>0</v>
      </c>
      <c r="V320" s="115">
        <f>ROUND('[7]2035'!V30,2)</f>
        <v>0</v>
      </c>
      <c r="W320" s="115">
        <f>ROUND('[7]2035'!W30,2)</f>
        <v>0</v>
      </c>
      <c r="X320" s="115">
        <f>ROUND('[7]2035'!X30,2)</f>
        <v>0</v>
      </c>
      <c r="Y320" s="115">
        <f>ROUND('[7]2035'!Y30,2)</f>
        <v>0</v>
      </c>
      <c r="Z320" s="115">
        <f>ROUND('[7]2035'!Z30,2)</f>
        <v>0</v>
      </c>
      <c r="AA320" s="115">
        <f>ROUND('[7]2035'!AA30,2)</f>
        <v>0</v>
      </c>
      <c r="AB320" s="115">
        <f>ROUND('[7]2035'!AB30,2)</f>
        <v>0</v>
      </c>
      <c r="AC320" s="284"/>
      <c r="AD320" s="19"/>
    </row>
    <row r="321" spans="2:30" ht="18.649999999999999" hidden="1" customHeight="1" x14ac:dyDescent="0.35">
      <c r="B321" s="260">
        <v>49430</v>
      </c>
      <c r="C321" s="14" t="s">
        <v>29</v>
      </c>
      <c r="D321" s="15">
        <f>+'[7]2035'!D31</f>
        <v>20</v>
      </c>
      <c r="E321" s="137">
        <f>ROUND('[7]2035'!E31,2)</f>
        <v>30920.799999999999</v>
      </c>
      <c r="F321" s="137">
        <f>ROUND('[7]2035'!F31,2)</f>
        <v>29311.85</v>
      </c>
      <c r="G321" s="137">
        <f>ROUND('[7]2035'!G31,2)</f>
        <v>28013.53</v>
      </c>
      <c r="H321" s="137">
        <f>ROUND('[7]2035'!H31,2)</f>
        <v>26903.18</v>
      </c>
      <c r="I321" s="137">
        <f>ROUND('[7]2035'!I31,2)</f>
        <v>26603.88</v>
      </c>
      <c r="J321" s="137">
        <f>ROUND('[7]2035'!J31,2)</f>
        <v>26182.52</v>
      </c>
      <c r="K321" s="137">
        <f>ROUND('[7]2035'!K31,2)</f>
        <v>26569.49</v>
      </c>
      <c r="L321" s="137">
        <f>ROUND('[7]2035'!L31,2)</f>
        <v>29427.3</v>
      </c>
      <c r="M321" s="137">
        <f>ROUND('[7]2035'!M31,2)</f>
        <v>32758.02</v>
      </c>
      <c r="N321" s="137">
        <f>ROUND('[7]2035'!N31,2)</f>
        <v>34595.599999999999</v>
      </c>
      <c r="O321" s="137">
        <f>ROUND('[7]2035'!O31,2)</f>
        <v>35761.97</v>
      </c>
      <c r="P321" s="137">
        <f>ROUND('[7]2035'!P31,2)</f>
        <v>36619.06</v>
      </c>
      <c r="Q321" s="137">
        <f>ROUND('[7]2035'!Q31,2)</f>
        <v>35989.96</v>
      </c>
      <c r="R321" s="137">
        <f>ROUND('[7]2035'!R31,2)</f>
        <v>35342.6</v>
      </c>
      <c r="S321" s="137">
        <f>ROUND('[7]2035'!S31,2)</f>
        <v>35318.81</v>
      </c>
      <c r="T321" s="137">
        <f>ROUND('[7]2035'!T31,2)</f>
        <v>35119.760000000002</v>
      </c>
      <c r="U321" s="137">
        <f>ROUND('[7]2035'!U31,2)</f>
        <v>34642.6</v>
      </c>
      <c r="V321" s="137">
        <f>ROUND('[7]2035'!V31,2)</f>
        <v>34855.040000000001</v>
      </c>
      <c r="W321" s="137">
        <f>ROUND('[7]2035'!W31,2)</f>
        <v>38637.99</v>
      </c>
      <c r="X321" s="137">
        <f>ROUND('[7]2035'!X31,2)</f>
        <v>38997.599999999999</v>
      </c>
      <c r="Y321" s="137">
        <f>ROUND('[7]2035'!Y31,2)</f>
        <v>37741.86</v>
      </c>
      <c r="Z321" s="137">
        <f>ROUND('[7]2035'!Z31,2)</f>
        <v>36184.22</v>
      </c>
      <c r="AA321" s="137">
        <f>ROUND('[7]2035'!AA31,2)</f>
        <v>34135.839999999997</v>
      </c>
      <c r="AB321" s="137">
        <f>ROUND('[7]2035'!AB31,2)</f>
        <v>31841.45</v>
      </c>
      <c r="AC321" s="282">
        <f>SUM(E321:AB321)*D321+SUM(E322:AB322)*D322+SUM(E323:AB323)*D323+SUM(E324:AB324)*D324</f>
        <v>24316488.669999994</v>
      </c>
      <c r="AD321" s="19"/>
    </row>
    <row r="322" spans="2:30" ht="18.649999999999999" hidden="1" customHeight="1" x14ac:dyDescent="0.35">
      <c r="B322" s="261"/>
      <c r="C322" s="10" t="s">
        <v>30</v>
      </c>
      <c r="D322" s="11">
        <f>+'[7]2035'!D32</f>
        <v>4</v>
      </c>
      <c r="E322" s="135">
        <f>ROUND('[7]2035'!E32,2)</f>
        <v>28505.71</v>
      </c>
      <c r="F322" s="135">
        <f>ROUND('[7]2035'!F32,2)</f>
        <v>27095.61</v>
      </c>
      <c r="G322" s="135">
        <f>ROUND('[7]2035'!G32,2)</f>
        <v>26063.55</v>
      </c>
      <c r="H322" s="135">
        <f>ROUND('[7]2035'!H32,2)</f>
        <v>25352.67</v>
      </c>
      <c r="I322" s="135">
        <f>ROUND('[7]2035'!I32,2)</f>
        <v>25261.46</v>
      </c>
      <c r="J322" s="135">
        <f>ROUND('[7]2035'!J32,2)</f>
        <v>25229.7</v>
      </c>
      <c r="K322" s="135">
        <f>ROUND('[7]2035'!K32,2)</f>
        <v>25613.98</v>
      </c>
      <c r="L322" s="135">
        <f>ROUND('[7]2035'!L32,2)</f>
        <v>28615.74</v>
      </c>
      <c r="M322" s="135">
        <f>ROUND('[7]2035'!M32,2)</f>
        <v>31550.86</v>
      </c>
      <c r="N322" s="135">
        <f>ROUND('[7]2035'!N32,2)</f>
        <v>33245.730000000003</v>
      </c>
      <c r="O322" s="135">
        <f>ROUND('[7]2035'!O32,2)</f>
        <v>34901.440000000002</v>
      </c>
      <c r="P322" s="135">
        <f>ROUND('[7]2035'!P32,2)</f>
        <v>36094.03</v>
      </c>
      <c r="Q322" s="135">
        <f>ROUND('[7]2035'!Q32,2)</f>
        <v>35306.620000000003</v>
      </c>
      <c r="R322" s="135">
        <f>ROUND('[7]2035'!R32,2)</f>
        <v>35682.99</v>
      </c>
      <c r="S322" s="135">
        <f>ROUND('[7]2035'!S32,2)</f>
        <v>36622.22</v>
      </c>
      <c r="T322" s="135">
        <f>ROUND('[7]2035'!T32,2)</f>
        <v>36576.36</v>
      </c>
      <c r="U322" s="135">
        <f>ROUND('[7]2035'!U32,2)</f>
        <v>36049.5</v>
      </c>
      <c r="V322" s="135">
        <f>ROUND('[7]2035'!V32,2)</f>
        <v>35349.24</v>
      </c>
      <c r="W322" s="135">
        <f>ROUND('[7]2035'!W32,2)</f>
        <v>37924.050000000003</v>
      </c>
      <c r="X322" s="135">
        <f>ROUND('[7]2035'!X32,2)</f>
        <v>38638.660000000003</v>
      </c>
      <c r="Y322" s="135">
        <f>ROUND('[7]2035'!Y32,2)</f>
        <v>37586.339999999997</v>
      </c>
      <c r="Z322" s="135">
        <f>ROUND('[7]2035'!Z32,2)</f>
        <v>35858.480000000003</v>
      </c>
      <c r="AA322" s="135">
        <f>ROUND('[7]2035'!AA32,2)</f>
        <v>33261.1</v>
      </c>
      <c r="AB322" s="135">
        <f>ROUND('[7]2035'!AB32,2)</f>
        <v>30552.29</v>
      </c>
      <c r="AC322" s="282"/>
      <c r="AD322" s="19"/>
    </row>
    <row r="323" spans="2:30" ht="18.649999999999999" hidden="1" customHeight="1" x14ac:dyDescent="0.35">
      <c r="B323" s="261"/>
      <c r="C323" s="10" t="s">
        <v>31</v>
      </c>
      <c r="D323" s="11">
        <f>+'[7]2035'!D33</f>
        <v>4</v>
      </c>
      <c r="E323" s="135">
        <f>ROUND('[7]2035'!E33,2)</f>
        <v>28484.71</v>
      </c>
      <c r="F323" s="135">
        <f>ROUND('[7]2035'!F33,2)</f>
        <v>27369.25</v>
      </c>
      <c r="G323" s="135">
        <f>ROUND('[7]2035'!G33,2)</f>
        <v>26225.29</v>
      </c>
      <c r="H323" s="135">
        <f>ROUND('[7]2035'!H33,2)</f>
        <v>25617.040000000001</v>
      </c>
      <c r="I323" s="135">
        <f>ROUND('[7]2035'!I33,2)</f>
        <v>25421.93</v>
      </c>
      <c r="J323" s="135">
        <f>ROUND('[7]2035'!J33,2)</f>
        <v>24791.01</v>
      </c>
      <c r="K323" s="135">
        <f>ROUND('[7]2035'!K33,2)</f>
        <v>24687.93</v>
      </c>
      <c r="L323" s="135">
        <f>ROUND('[7]2035'!L33,2)</f>
        <v>26600.95</v>
      </c>
      <c r="M323" s="135">
        <f>ROUND('[7]2035'!M33,2)</f>
        <v>28819.09</v>
      </c>
      <c r="N323" s="135">
        <f>ROUND('[7]2035'!N33,2)</f>
        <v>30543.81</v>
      </c>
      <c r="O323" s="135">
        <f>ROUND('[7]2035'!O33,2)</f>
        <v>31855.01</v>
      </c>
      <c r="P323" s="135">
        <f>ROUND('[7]2035'!P33,2)</f>
        <v>33484.11</v>
      </c>
      <c r="Q323" s="135">
        <f>ROUND('[7]2035'!Q33,2)</f>
        <v>34396.74</v>
      </c>
      <c r="R323" s="135">
        <f>ROUND('[7]2035'!R33,2)</f>
        <v>34569.68</v>
      </c>
      <c r="S323" s="135">
        <f>ROUND('[7]2035'!S33,2)</f>
        <v>34609.51</v>
      </c>
      <c r="T323" s="135">
        <f>ROUND('[7]2035'!T33,2)</f>
        <v>34677.339999999997</v>
      </c>
      <c r="U323" s="135">
        <f>ROUND('[7]2035'!U33,2)</f>
        <v>34323.54</v>
      </c>
      <c r="V323" s="135">
        <f>ROUND('[7]2035'!V33,2)</f>
        <v>34332.49</v>
      </c>
      <c r="W323" s="135">
        <f>ROUND('[7]2035'!W33,2)</f>
        <v>38372.76</v>
      </c>
      <c r="X323" s="135">
        <f>ROUND('[7]2035'!X33,2)</f>
        <v>39829.21</v>
      </c>
      <c r="Y323" s="135">
        <f>ROUND('[7]2035'!Y33,2)</f>
        <v>39586.699999999997</v>
      </c>
      <c r="Z323" s="135">
        <f>ROUND('[7]2035'!Z33,2)</f>
        <v>38252.85</v>
      </c>
      <c r="AA323" s="135">
        <f>ROUND('[7]2035'!AA33,2)</f>
        <v>35806.51</v>
      </c>
      <c r="AB323" s="135">
        <f>ROUND('[7]2035'!AB33,2)</f>
        <v>32947.79</v>
      </c>
      <c r="AC323" s="282"/>
      <c r="AD323" s="19"/>
    </row>
    <row r="324" spans="2:30" ht="18.649999999999999" hidden="1" customHeight="1" thickBot="1" x14ac:dyDescent="0.4">
      <c r="B324" s="261"/>
      <c r="C324" s="16" t="s">
        <v>32</v>
      </c>
      <c r="D324" s="17">
        <f>+'[7]2035'!D34</f>
        <v>3</v>
      </c>
      <c r="E324" s="136">
        <f>ROUND('[7]2035'!E34,2)</f>
        <v>28484.71</v>
      </c>
      <c r="F324" s="136">
        <f>ROUND('[7]2035'!F34,2)</f>
        <v>27369.25</v>
      </c>
      <c r="G324" s="136">
        <f>ROUND('[7]2035'!G34,2)</f>
        <v>26225.29</v>
      </c>
      <c r="H324" s="136">
        <f>ROUND('[7]2035'!H34,2)</f>
        <v>25617.040000000001</v>
      </c>
      <c r="I324" s="136">
        <f>ROUND('[7]2035'!I34,2)</f>
        <v>25421.93</v>
      </c>
      <c r="J324" s="136">
        <f>ROUND('[7]2035'!J34,2)</f>
        <v>24791.01</v>
      </c>
      <c r="K324" s="136">
        <f>ROUND('[7]2035'!K34,2)</f>
        <v>24687.93</v>
      </c>
      <c r="L324" s="136">
        <f>ROUND('[7]2035'!L34,2)</f>
        <v>26600.95</v>
      </c>
      <c r="M324" s="136">
        <f>ROUND('[7]2035'!M34,2)</f>
        <v>28819.09</v>
      </c>
      <c r="N324" s="136">
        <f>ROUND('[7]2035'!N34,2)</f>
        <v>30543.81</v>
      </c>
      <c r="O324" s="136">
        <f>ROUND('[7]2035'!O34,2)</f>
        <v>31855.01</v>
      </c>
      <c r="P324" s="136">
        <f>ROUND('[7]2035'!P34,2)</f>
        <v>33484.11</v>
      </c>
      <c r="Q324" s="136">
        <f>ROUND('[7]2035'!Q34,2)</f>
        <v>34396.74</v>
      </c>
      <c r="R324" s="136">
        <f>ROUND('[7]2035'!R34,2)</f>
        <v>34569.68</v>
      </c>
      <c r="S324" s="136">
        <f>ROUND('[7]2035'!S34,2)</f>
        <v>34609.51</v>
      </c>
      <c r="T324" s="136">
        <f>ROUND('[7]2035'!T34,2)</f>
        <v>34677.339999999997</v>
      </c>
      <c r="U324" s="136">
        <f>ROUND('[7]2035'!U34,2)</f>
        <v>34323.54</v>
      </c>
      <c r="V324" s="136">
        <f>ROUND('[7]2035'!V34,2)</f>
        <v>34332.49</v>
      </c>
      <c r="W324" s="136">
        <f>ROUND('[7]2035'!W34,2)</f>
        <v>38372.76</v>
      </c>
      <c r="X324" s="136">
        <f>ROUND('[7]2035'!X34,2)</f>
        <v>39829.21</v>
      </c>
      <c r="Y324" s="136">
        <f>ROUND('[7]2035'!Y34,2)</f>
        <v>39586.699999999997</v>
      </c>
      <c r="Z324" s="136">
        <f>ROUND('[7]2035'!Z34,2)</f>
        <v>38252.85</v>
      </c>
      <c r="AA324" s="136">
        <f>ROUND('[7]2035'!AA34,2)</f>
        <v>35806.51</v>
      </c>
      <c r="AB324" s="136">
        <f>ROUND('[7]2035'!AB34,2)</f>
        <v>32947.79</v>
      </c>
      <c r="AC324" s="282"/>
      <c r="AD324" s="19"/>
    </row>
    <row r="325" spans="2:30" ht="18.649999999999999" hidden="1" customHeight="1" x14ac:dyDescent="0.35">
      <c r="B325" s="263">
        <v>49461</v>
      </c>
      <c r="C325" s="7" t="s">
        <v>29</v>
      </c>
      <c r="D325" s="8">
        <f>+'[7]2035'!D35</f>
        <v>20</v>
      </c>
      <c r="E325" s="134">
        <f>ROUND('[7]2035'!E35,2)</f>
        <v>27991.42</v>
      </c>
      <c r="F325" s="134">
        <f>ROUND('[7]2035'!F35,2)</f>
        <v>26601.79</v>
      </c>
      <c r="G325" s="134">
        <f>ROUND('[7]2035'!G35,2)</f>
        <v>25575.07</v>
      </c>
      <c r="H325" s="134">
        <f>ROUND('[7]2035'!H35,2)</f>
        <v>24889.93</v>
      </c>
      <c r="I325" s="134">
        <f>ROUND('[7]2035'!I35,2)</f>
        <v>24706.91</v>
      </c>
      <c r="J325" s="134">
        <f>ROUND('[7]2035'!J35,2)</f>
        <v>24444.41</v>
      </c>
      <c r="K325" s="134">
        <f>ROUND('[7]2035'!K35,2)</f>
        <v>24852.29</v>
      </c>
      <c r="L325" s="134">
        <f>ROUND('[7]2035'!L35,2)</f>
        <v>27845.86</v>
      </c>
      <c r="M325" s="134">
        <f>ROUND('[7]2035'!M35,2)</f>
        <v>31137.48</v>
      </c>
      <c r="N325" s="134">
        <f>ROUND('[7]2035'!N35,2)</f>
        <v>33161.4</v>
      </c>
      <c r="O325" s="134">
        <f>ROUND('[7]2035'!O35,2)</f>
        <v>34920.160000000003</v>
      </c>
      <c r="P325" s="134">
        <f>ROUND('[7]2035'!P35,2)</f>
        <v>35888.089999999997</v>
      </c>
      <c r="Q325" s="134">
        <f>ROUND('[7]2035'!Q35,2)</f>
        <v>35358.269999999997</v>
      </c>
      <c r="R325" s="134">
        <f>ROUND('[7]2035'!R35,2)</f>
        <v>34751.17</v>
      </c>
      <c r="S325" s="134">
        <f>ROUND('[7]2035'!S35,2)</f>
        <v>34780.480000000003</v>
      </c>
      <c r="T325" s="134">
        <f>ROUND('[7]2035'!T35,2)</f>
        <v>34680.480000000003</v>
      </c>
      <c r="U325" s="134">
        <f>ROUND('[7]2035'!U35,2)</f>
        <v>34329.120000000003</v>
      </c>
      <c r="V325" s="134">
        <f>ROUND('[7]2035'!V35,2)</f>
        <v>34365.79</v>
      </c>
      <c r="W325" s="134">
        <f>ROUND('[7]2035'!W35,2)</f>
        <v>37326.35</v>
      </c>
      <c r="X325" s="134">
        <f>ROUND('[7]2035'!X35,2)</f>
        <v>37859.19</v>
      </c>
      <c r="Y325" s="134">
        <f>ROUND('[7]2035'!Y35,2)</f>
        <v>36540.080000000002</v>
      </c>
      <c r="Z325" s="134">
        <f>ROUND('[7]2035'!Z35,2)</f>
        <v>35034.57</v>
      </c>
      <c r="AA325" s="134">
        <f>ROUND('[7]2035'!AA35,2)</f>
        <v>33176.5</v>
      </c>
      <c r="AB325" s="134">
        <f>ROUND('[7]2035'!AB35,2)</f>
        <v>31077.08</v>
      </c>
      <c r="AC325" s="283">
        <f>SUM(E325:AB325)*D325+SUM(E326:AB326)*D326+SUM(E327:AB327)*D327+SUM(E328:AB328)*D328</f>
        <v>22792959.399999999</v>
      </c>
      <c r="AD325" s="19"/>
    </row>
    <row r="326" spans="2:30" ht="18.649999999999999" hidden="1" customHeight="1" x14ac:dyDescent="0.35">
      <c r="B326" s="264" t="s">
        <v>34</v>
      </c>
      <c r="C326" s="10" t="s">
        <v>30</v>
      </c>
      <c r="D326" s="11">
        <f>+'[7]2035'!D36</f>
        <v>5</v>
      </c>
      <c r="E326" s="135">
        <f>ROUND('[7]2035'!E36,2)</f>
        <v>28825.84</v>
      </c>
      <c r="F326" s="135">
        <f>ROUND('[7]2035'!F36,2)</f>
        <v>27407.29</v>
      </c>
      <c r="G326" s="135">
        <f>ROUND('[7]2035'!G36,2)</f>
        <v>26329.360000000001</v>
      </c>
      <c r="H326" s="135">
        <f>ROUND('[7]2035'!H36,2)</f>
        <v>25581.43</v>
      </c>
      <c r="I326" s="135">
        <f>ROUND('[7]2035'!I36,2)</f>
        <v>25493.41</v>
      </c>
      <c r="J326" s="135">
        <f>ROUND('[7]2035'!J36,2)</f>
        <v>25779.52</v>
      </c>
      <c r="K326" s="135">
        <f>ROUND('[7]2035'!K36,2)</f>
        <v>25954.49</v>
      </c>
      <c r="L326" s="135">
        <f>ROUND('[7]2035'!L36,2)</f>
        <v>28874.31</v>
      </c>
      <c r="M326" s="135">
        <f>ROUND('[7]2035'!M36,2)</f>
        <v>31958.93</v>
      </c>
      <c r="N326" s="135">
        <f>ROUND('[7]2035'!N36,2)</f>
        <v>33743.83</v>
      </c>
      <c r="O326" s="135">
        <f>ROUND('[7]2035'!O36,2)</f>
        <v>35428.089999999997</v>
      </c>
      <c r="P326" s="135">
        <f>ROUND('[7]2035'!P36,2)</f>
        <v>36527.269999999997</v>
      </c>
      <c r="Q326" s="135">
        <f>ROUND('[7]2035'!Q36,2)</f>
        <v>35597.14</v>
      </c>
      <c r="R326" s="135">
        <f>ROUND('[7]2035'!R36,2)</f>
        <v>36453.42</v>
      </c>
      <c r="S326" s="135">
        <f>ROUND('[7]2035'!S36,2)</f>
        <v>37691.199999999997</v>
      </c>
      <c r="T326" s="135">
        <f>ROUND('[7]2035'!T36,2)</f>
        <v>37740.699999999997</v>
      </c>
      <c r="U326" s="135">
        <f>ROUND('[7]2035'!U36,2)</f>
        <v>37038.26</v>
      </c>
      <c r="V326" s="135">
        <f>ROUND('[7]2035'!V36,2)</f>
        <v>35820.879999999997</v>
      </c>
      <c r="W326" s="135">
        <f>ROUND('[7]2035'!W36,2)</f>
        <v>37926.620000000003</v>
      </c>
      <c r="X326" s="135">
        <f>ROUND('[7]2035'!X36,2)</f>
        <v>39036.370000000003</v>
      </c>
      <c r="Y326" s="135">
        <f>ROUND('[7]2035'!Y36,2)</f>
        <v>38146.160000000003</v>
      </c>
      <c r="Z326" s="135">
        <f>ROUND('[7]2035'!Z36,2)</f>
        <v>36529.410000000003</v>
      </c>
      <c r="AA326" s="135">
        <f>ROUND('[7]2035'!AA36,2)</f>
        <v>33893.74</v>
      </c>
      <c r="AB326" s="135">
        <f>ROUND('[7]2035'!AB36,2)</f>
        <v>31135.62</v>
      </c>
      <c r="AC326" s="282"/>
      <c r="AD326" s="19"/>
    </row>
    <row r="327" spans="2:30" ht="18.649999999999999" hidden="1" customHeight="1" x14ac:dyDescent="0.35">
      <c r="B327" s="264" t="s">
        <v>34</v>
      </c>
      <c r="C327" s="10" t="s">
        <v>31</v>
      </c>
      <c r="D327" s="11">
        <f>+'[7]2035'!D37</f>
        <v>4</v>
      </c>
      <c r="E327" s="135">
        <f>ROUND('[7]2035'!E37,2)</f>
        <v>27438.17</v>
      </c>
      <c r="F327" s="135">
        <f>ROUND('[7]2035'!F37,2)</f>
        <v>26329.18</v>
      </c>
      <c r="G327" s="135">
        <f>ROUND('[7]2035'!G37,2)</f>
        <v>25423</v>
      </c>
      <c r="H327" s="135">
        <f>ROUND('[7]2035'!H37,2)</f>
        <v>24835.87</v>
      </c>
      <c r="I327" s="135">
        <f>ROUND('[7]2035'!I37,2)</f>
        <v>24601.68</v>
      </c>
      <c r="J327" s="135">
        <f>ROUND('[7]2035'!J37,2)</f>
        <v>23912.77</v>
      </c>
      <c r="K327" s="135">
        <f>ROUND('[7]2035'!K37,2)</f>
        <v>23598.13</v>
      </c>
      <c r="L327" s="135">
        <f>ROUND('[7]2035'!L37,2)</f>
        <v>25520.53</v>
      </c>
      <c r="M327" s="135">
        <f>ROUND('[7]2035'!M37,2)</f>
        <v>27743.56</v>
      </c>
      <c r="N327" s="135">
        <f>ROUND('[7]2035'!N37,2)</f>
        <v>29128.76</v>
      </c>
      <c r="O327" s="135">
        <f>ROUND('[7]2035'!O37,2)</f>
        <v>30771.439999999999</v>
      </c>
      <c r="P327" s="135">
        <f>ROUND('[7]2035'!P37,2)</f>
        <v>31987.09</v>
      </c>
      <c r="Q327" s="135">
        <f>ROUND('[7]2035'!Q37,2)</f>
        <v>32607.09</v>
      </c>
      <c r="R327" s="135">
        <f>ROUND('[7]2035'!R37,2)</f>
        <v>32477.85</v>
      </c>
      <c r="S327" s="135">
        <f>ROUND('[7]2035'!S37,2)</f>
        <v>32207.69</v>
      </c>
      <c r="T327" s="135">
        <f>ROUND('[7]2035'!T37,2)</f>
        <v>31959.33</v>
      </c>
      <c r="U327" s="135">
        <f>ROUND('[7]2035'!U37,2)</f>
        <v>31714.92</v>
      </c>
      <c r="V327" s="135">
        <f>ROUND('[7]2035'!V37,2)</f>
        <v>32193.34</v>
      </c>
      <c r="W327" s="135">
        <f>ROUND('[7]2035'!W37,2)</f>
        <v>36079.72</v>
      </c>
      <c r="X327" s="135">
        <f>ROUND('[7]2035'!X37,2)</f>
        <v>37513.5</v>
      </c>
      <c r="Y327" s="135">
        <f>ROUND('[7]2035'!Y37,2)</f>
        <v>37037.480000000003</v>
      </c>
      <c r="Z327" s="135">
        <f>ROUND('[7]2035'!Z37,2)</f>
        <v>35669.03</v>
      </c>
      <c r="AA327" s="135">
        <f>ROUND('[7]2035'!AA37,2)</f>
        <v>33258.53</v>
      </c>
      <c r="AB327" s="135">
        <f>ROUND('[7]2035'!AB37,2)</f>
        <v>30494.37</v>
      </c>
      <c r="AC327" s="282"/>
      <c r="AD327" s="19"/>
    </row>
    <row r="328" spans="2:30" ht="18.649999999999999" hidden="1" customHeight="1" thickBot="1" x14ac:dyDescent="0.4">
      <c r="B328" s="265" t="s">
        <v>34</v>
      </c>
      <c r="C328" s="12" t="s">
        <v>32</v>
      </c>
      <c r="D328" s="13">
        <f>+'[7]2035'!D38</f>
        <v>1</v>
      </c>
      <c r="E328" s="132">
        <f>ROUND('[7]2035'!E38,2)</f>
        <v>27438.17</v>
      </c>
      <c r="F328" s="132">
        <f>ROUND('[7]2035'!F38,2)</f>
        <v>26329.18</v>
      </c>
      <c r="G328" s="132">
        <f>ROUND('[7]2035'!G38,2)</f>
        <v>25423</v>
      </c>
      <c r="H328" s="132">
        <f>ROUND('[7]2035'!H38,2)</f>
        <v>24835.87</v>
      </c>
      <c r="I328" s="132">
        <f>ROUND('[7]2035'!I38,2)</f>
        <v>24601.68</v>
      </c>
      <c r="J328" s="132">
        <f>ROUND('[7]2035'!J38,2)</f>
        <v>23912.77</v>
      </c>
      <c r="K328" s="132">
        <f>ROUND('[7]2035'!K38,2)</f>
        <v>23598.13</v>
      </c>
      <c r="L328" s="132">
        <f>ROUND('[7]2035'!L38,2)</f>
        <v>25520.53</v>
      </c>
      <c r="M328" s="132">
        <f>ROUND('[7]2035'!M38,2)</f>
        <v>27743.56</v>
      </c>
      <c r="N328" s="132">
        <f>ROUND('[7]2035'!N38,2)</f>
        <v>29128.76</v>
      </c>
      <c r="O328" s="132">
        <f>ROUND('[7]2035'!O38,2)</f>
        <v>30771.439999999999</v>
      </c>
      <c r="P328" s="132">
        <f>ROUND('[7]2035'!P38,2)</f>
        <v>31987.09</v>
      </c>
      <c r="Q328" s="132">
        <f>ROUND('[7]2035'!Q38,2)</f>
        <v>32607.09</v>
      </c>
      <c r="R328" s="132">
        <f>ROUND('[7]2035'!R38,2)</f>
        <v>32477.85</v>
      </c>
      <c r="S328" s="132">
        <f>ROUND('[7]2035'!S38,2)</f>
        <v>32207.69</v>
      </c>
      <c r="T328" s="132">
        <f>ROUND('[7]2035'!T38,2)</f>
        <v>31959.33</v>
      </c>
      <c r="U328" s="132">
        <f>ROUND('[7]2035'!U38,2)</f>
        <v>31714.92</v>
      </c>
      <c r="V328" s="132">
        <f>ROUND('[7]2035'!V38,2)</f>
        <v>32193.34</v>
      </c>
      <c r="W328" s="132">
        <f>ROUND('[7]2035'!W38,2)</f>
        <v>36079.72</v>
      </c>
      <c r="X328" s="132">
        <f>ROUND('[7]2035'!X38,2)</f>
        <v>37513.5</v>
      </c>
      <c r="Y328" s="132">
        <f>ROUND('[7]2035'!Y38,2)</f>
        <v>37037.480000000003</v>
      </c>
      <c r="Z328" s="132">
        <f>ROUND('[7]2035'!Z38,2)</f>
        <v>35669.03</v>
      </c>
      <c r="AA328" s="132">
        <f>ROUND('[7]2035'!AA38,2)</f>
        <v>33258.53</v>
      </c>
      <c r="AB328" s="132">
        <f>ROUND('[7]2035'!AB38,2)</f>
        <v>30494.37</v>
      </c>
      <c r="AC328" s="284"/>
      <c r="AD328" s="19"/>
    </row>
    <row r="329" spans="2:30" ht="18.649999999999999" hidden="1" customHeight="1" x14ac:dyDescent="0.35">
      <c r="B329" s="260">
        <v>49491</v>
      </c>
      <c r="C329" s="14" t="s">
        <v>29</v>
      </c>
      <c r="D329" s="15">
        <f>+'[7]2035'!D39</f>
        <v>20</v>
      </c>
      <c r="E329" s="137">
        <f>ROUND('[7]2035'!E39,2)</f>
        <v>28687.7</v>
      </c>
      <c r="F329" s="137">
        <f>ROUND('[7]2035'!F39,2)</f>
        <v>27307.09</v>
      </c>
      <c r="G329" s="137">
        <f>ROUND('[7]2035'!G39,2)</f>
        <v>26396.99</v>
      </c>
      <c r="H329" s="137">
        <f>ROUND('[7]2035'!H39,2)</f>
        <v>25723.25</v>
      </c>
      <c r="I329" s="137">
        <f>ROUND('[7]2035'!I39,2)</f>
        <v>25618.75</v>
      </c>
      <c r="J329" s="137">
        <f>ROUND('[7]2035'!J39,2)</f>
        <v>25499.34</v>
      </c>
      <c r="K329" s="137">
        <f>ROUND('[7]2035'!K39,2)</f>
        <v>25734.07</v>
      </c>
      <c r="L329" s="137">
        <f>ROUND('[7]2035'!L39,2)</f>
        <v>28736.04</v>
      </c>
      <c r="M329" s="137">
        <f>ROUND('[7]2035'!M39,2)</f>
        <v>32228.52</v>
      </c>
      <c r="N329" s="137">
        <f>ROUND('[7]2035'!N39,2)</f>
        <v>34207.17</v>
      </c>
      <c r="O329" s="137">
        <f>ROUND('[7]2035'!O39,2)</f>
        <v>35986.93</v>
      </c>
      <c r="P329" s="137">
        <f>ROUND('[7]2035'!P39,2)</f>
        <v>36796.720000000001</v>
      </c>
      <c r="Q329" s="137">
        <f>ROUND('[7]2035'!Q39,2)</f>
        <v>36316.69</v>
      </c>
      <c r="R329" s="137">
        <f>ROUND('[7]2035'!R39,2)</f>
        <v>35813.06</v>
      </c>
      <c r="S329" s="137">
        <f>ROUND('[7]2035'!S39,2)</f>
        <v>35871.760000000002</v>
      </c>
      <c r="T329" s="137">
        <f>ROUND('[7]2035'!T39,2)</f>
        <v>35969.97</v>
      </c>
      <c r="U329" s="137">
        <f>ROUND('[7]2035'!U39,2)</f>
        <v>35467.03</v>
      </c>
      <c r="V329" s="137">
        <f>ROUND('[7]2035'!V39,2)</f>
        <v>35387.35</v>
      </c>
      <c r="W329" s="137">
        <f>ROUND('[7]2035'!W39,2)</f>
        <v>38384.65</v>
      </c>
      <c r="X329" s="137">
        <f>ROUND('[7]2035'!X39,2)</f>
        <v>39404.65</v>
      </c>
      <c r="Y329" s="137">
        <f>ROUND('[7]2035'!Y39,2)</f>
        <v>38149.870000000003</v>
      </c>
      <c r="Z329" s="137">
        <f>ROUND('[7]2035'!Z39,2)</f>
        <v>36458.36</v>
      </c>
      <c r="AA329" s="137">
        <f>ROUND('[7]2035'!AA39,2)</f>
        <v>34306.239999999998</v>
      </c>
      <c r="AB329" s="137">
        <f>ROUND('[7]2035'!AB39,2)</f>
        <v>32013.46</v>
      </c>
      <c r="AC329" s="282">
        <f>SUM(E329:AB329)*D329+SUM(E330:AB330)*D330+SUM(E331:AB331)*D331+SUM(E332:AB332)*D332</f>
        <v>24375379.229999997</v>
      </c>
      <c r="AD329" s="19"/>
    </row>
    <row r="330" spans="2:30" ht="18.649999999999999" hidden="1" customHeight="1" x14ac:dyDescent="0.35">
      <c r="B330" s="261"/>
      <c r="C330" s="10" t="s">
        <v>30</v>
      </c>
      <c r="D330" s="11">
        <f>+'[7]2035'!D40</f>
        <v>4</v>
      </c>
      <c r="E330" s="135">
        <f>ROUND('[7]2035'!E40,2)</f>
        <v>30513.51</v>
      </c>
      <c r="F330" s="135">
        <f>ROUND('[7]2035'!F40,2)</f>
        <v>28915.4</v>
      </c>
      <c r="G330" s="135">
        <f>ROUND('[7]2035'!G40,2)</f>
        <v>27744.07</v>
      </c>
      <c r="H330" s="135">
        <f>ROUND('[7]2035'!H40,2)</f>
        <v>26917.65</v>
      </c>
      <c r="I330" s="135">
        <f>ROUND('[7]2035'!I40,2)</f>
        <v>26860.66</v>
      </c>
      <c r="J330" s="135">
        <f>ROUND('[7]2035'!J40,2)</f>
        <v>27352.7</v>
      </c>
      <c r="K330" s="135">
        <f>ROUND('[7]2035'!K40,2)</f>
        <v>27513.119999999999</v>
      </c>
      <c r="L330" s="135">
        <f>ROUND('[7]2035'!L40,2)</f>
        <v>30513.08</v>
      </c>
      <c r="M330" s="135">
        <f>ROUND('[7]2035'!M40,2)</f>
        <v>33742.15</v>
      </c>
      <c r="N330" s="135">
        <f>ROUND('[7]2035'!N40,2)</f>
        <v>35577.339999999997</v>
      </c>
      <c r="O330" s="135">
        <f>ROUND('[7]2035'!O40,2)</f>
        <v>37432.080000000002</v>
      </c>
      <c r="P330" s="135">
        <f>ROUND('[7]2035'!P40,2)</f>
        <v>38770.519999999997</v>
      </c>
      <c r="Q330" s="135">
        <f>ROUND('[7]2035'!Q40,2)</f>
        <v>37757.699999999997</v>
      </c>
      <c r="R330" s="135">
        <f>ROUND('[7]2035'!R40,2)</f>
        <v>38514.54</v>
      </c>
      <c r="S330" s="135">
        <f>ROUND('[7]2035'!S40,2)</f>
        <v>39786.35</v>
      </c>
      <c r="T330" s="135">
        <f>ROUND('[7]2035'!T40,2)</f>
        <v>39786.71</v>
      </c>
      <c r="U330" s="135">
        <f>ROUND('[7]2035'!U40,2)</f>
        <v>39027.58</v>
      </c>
      <c r="V330" s="135">
        <f>ROUND('[7]2035'!V40,2)</f>
        <v>37907.69</v>
      </c>
      <c r="W330" s="135">
        <f>ROUND('[7]2035'!W40,2)</f>
        <v>40512.86</v>
      </c>
      <c r="X330" s="135">
        <f>ROUND('[7]2035'!X40,2)</f>
        <v>41347.660000000003</v>
      </c>
      <c r="Y330" s="135">
        <f>ROUND('[7]2035'!Y40,2)</f>
        <v>40473.65</v>
      </c>
      <c r="Z330" s="135">
        <f>ROUND('[7]2035'!Z40,2)</f>
        <v>38752.5</v>
      </c>
      <c r="AA330" s="135">
        <f>ROUND('[7]2035'!AA40,2)</f>
        <v>35923.26</v>
      </c>
      <c r="AB330" s="135">
        <f>ROUND('[7]2035'!AB40,2)</f>
        <v>32877.620000000003</v>
      </c>
      <c r="AC330" s="282"/>
      <c r="AD330" s="19"/>
    </row>
    <row r="331" spans="2:30" ht="18.649999999999999" hidden="1" customHeight="1" x14ac:dyDescent="0.35">
      <c r="B331" s="261"/>
      <c r="C331" s="10" t="s">
        <v>31</v>
      </c>
      <c r="D331" s="11">
        <f>+'[7]2035'!D41</f>
        <v>5</v>
      </c>
      <c r="E331" s="135">
        <f>ROUND('[7]2035'!E41,2)</f>
        <v>28780.82</v>
      </c>
      <c r="F331" s="135">
        <f>ROUND('[7]2035'!F41,2)</f>
        <v>27624.720000000001</v>
      </c>
      <c r="G331" s="135">
        <f>ROUND('[7]2035'!G41,2)</f>
        <v>26646.11</v>
      </c>
      <c r="H331" s="135">
        <f>ROUND('[7]2035'!H41,2)</f>
        <v>25750.27</v>
      </c>
      <c r="I331" s="135">
        <f>ROUND('[7]2035'!I41,2)</f>
        <v>25449.5</v>
      </c>
      <c r="J331" s="135">
        <f>ROUND('[7]2035'!J41,2)</f>
        <v>25052.91</v>
      </c>
      <c r="K331" s="135">
        <f>ROUND('[7]2035'!K41,2)</f>
        <v>24575.439999999999</v>
      </c>
      <c r="L331" s="135">
        <f>ROUND('[7]2035'!L41,2)</f>
        <v>26407.93</v>
      </c>
      <c r="M331" s="135">
        <f>ROUND('[7]2035'!M41,2)</f>
        <v>28802.65</v>
      </c>
      <c r="N331" s="135">
        <f>ROUND('[7]2035'!N41,2)</f>
        <v>30735.08</v>
      </c>
      <c r="O331" s="135">
        <f>ROUND('[7]2035'!O41,2)</f>
        <v>32121.02</v>
      </c>
      <c r="P331" s="135">
        <f>ROUND('[7]2035'!P41,2)</f>
        <v>32823.449999999997</v>
      </c>
      <c r="Q331" s="135">
        <f>ROUND('[7]2035'!Q41,2)</f>
        <v>34028.660000000003</v>
      </c>
      <c r="R331" s="135">
        <f>ROUND('[7]2035'!R41,2)</f>
        <v>34107.83</v>
      </c>
      <c r="S331" s="135">
        <f>ROUND('[7]2035'!S41,2)</f>
        <v>34047.269999999997</v>
      </c>
      <c r="T331" s="135">
        <f>ROUND('[7]2035'!T41,2)</f>
        <v>34144.910000000003</v>
      </c>
      <c r="U331" s="135">
        <f>ROUND('[7]2035'!U41,2)</f>
        <v>33878.239999999998</v>
      </c>
      <c r="V331" s="135">
        <f>ROUND('[7]2035'!V41,2)</f>
        <v>33571.370000000003</v>
      </c>
      <c r="W331" s="135">
        <f>ROUND('[7]2035'!W41,2)</f>
        <v>37101.15</v>
      </c>
      <c r="X331" s="135">
        <f>ROUND('[7]2035'!X41,2)</f>
        <v>39136.35</v>
      </c>
      <c r="Y331" s="135">
        <f>ROUND('[7]2035'!Y41,2)</f>
        <v>38607.120000000003</v>
      </c>
      <c r="Z331" s="135">
        <f>ROUND('[7]2035'!Z41,2)</f>
        <v>37284.71</v>
      </c>
      <c r="AA331" s="135">
        <f>ROUND('[7]2035'!AA41,2)</f>
        <v>35048.129999999997</v>
      </c>
      <c r="AB331" s="135">
        <f>ROUND('[7]2035'!AB41,2)</f>
        <v>32557.85</v>
      </c>
      <c r="AC331" s="282"/>
      <c r="AD331" s="19"/>
    </row>
    <row r="332" spans="2:30" ht="18.649999999999999" hidden="1" customHeight="1" thickBot="1" x14ac:dyDescent="0.4">
      <c r="B332" s="261"/>
      <c r="C332" s="16" t="s">
        <v>32</v>
      </c>
      <c r="D332" s="17">
        <f>+'[7]2035'!D42</f>
        <v>2</v>
      </c>
      <c r="E332" s="135">
        <f>ROUND('[7]2035'!E42,2)</f>
        <v>28780.82</v>
      </c>
      <c r="F332" s="135">
        <f>ROUND('[7]2035'!F42,2)</f>
        <v>27624.720000000001</v>
      </c>
      <c r="G332" s="135">
        <f>ROUND('[7]2035'!G42,2)</f>
        <v>26646.11</v>
      </c>
      <c r="H332" s="135">
        <f>ROUND('[7]2035'!H42,2)</f>
        <v>25750.27</v>
      </c>
      <c r="I332" s="135">
        <f>ROUND('[7]2035'!I42,2)</f>
        <v>25449.5</v>
      </c>
      <c r="J332" s="135">
        <f>ROUND('[7]2035'!J42,2)</f>
        <v>25052.91</v>
      </c>
      <c r="K332" s="135">
        <f>ROUND('[7]2035'!K42,2)</f>
        <v>24575.439999999999</v>
      </c>
      <c r="L332" s="135">
        <f>ROUND('[7]2035'!L42,2)</f>
        <v>26407.93</v>
      </c>
      <c r="M332" s="135">
        <f>ROUND('[7]2035'!M42,2)</f>
        <v>28802.65</v>
      </c>
      <c r="N332" s="135">
        <f>ROUND('[7]2035'!N42,2)</f>
        <v>30735.08</v>
      </c>
      <c r="O332" s="135">
        <f>ROUND('[7]2035'!O42,2)</f>
        <v>32121.02</v>
      </c>
      <c r="P332" s="135">
        <f>ROUND('[7]2035'!P42,2)</f>
        <v>32823.449999999997</v>
      </c>
      <c r="Q332" s="135">
        <f>ROUND('[7]2035'!Q42,2)</f>
        <v>34028.660000000003</v>
      </c>
      <c r="R332" s="135">
        <f>ROUND('[7]2035'!R42,2)</f>
        <v>34107.83</v>
      </c>
      <c r="S332" s="135">
        <f>ROUND('[7]2035'!S42,2)</f>
        <v>34047.269999999997</v>
      </c>
      <c r="T332" s="135">
        <f>ROUND('[7]2035'!T42,2)</f>
        <v>34144.910000000003</v>
      </c>
      <c r="U332" s="135">
        <f>ROUND('[7]2035'!U42,2)</f>
        <v>33878.239999999998</v>
      </c>
      <c r="V332" s="135">
        <f>ROUND('[7]2035'!V42,2)</f>
        <v>33571.370000000003</v>
      </c>
      <c r="W332" s="135">
        <f>ROUND('[7]2035'!W42,2)</f>
        <v>37101.15</v>
      </c>
      <c r="X332" s="135">
        <f>ROUND('[7]2035'!X42,2)</f>
        <v>39136.35</v>
      </c>
      <c r="Y332" s="135">
        <f>ROUND('[7]2035'!Y42,2)</f>
        <v>38607.120000000003</v>
      </c>
      <c r="Z332" s="135">
        <f>ROUND('[7]2035'!Z42,2)</f>
        <v>37284.71</v>
      </c>
      <c r="AA332" s="135">
        <f>ROUND('[7]2035'!AA42,2)</f>
        <v>35048.129999999997</v>
      </c>
      <c r="AB332" s="135">
        <f>ROUND('[7]2035'!AB42,2)</f>
        <v>32557.85</v>
      </c>
      <c r="AC332" s="282"/>
      <c r="AD332" s="19"/>
    </row>
    <row r="333" spans="2:30" ht="18.649999999999999" hidden="1" customHeight="1" x14ac:dyDescent="0.35">
      <c r="B333" s="263">
        <v>49522</v>
      </c>
      <c r="C333" s="7" t="s">
        <v>29</v>
      </c>
      <c r="D333" s="8">
        <f>+'[7]2035'!D43</f>
        <v>21</v>
      </c>
      <c r="E333" s="134">
        <f>ROUND('[7]2035'!E43,2)</f>
        <v>29653.59</v>
      </c>
      <c r="F333" s="134">
        <f>ROUND('[7]2035'!F43,2)</f>
        <v>28055.67</v>
      </c>
      <c r="G333" s="134">
        <f>ROUND('[7]2035'!G43,2)</f>
        <v>26863.439999999999</v>
      </c>
      <c r="H333" s="134">
        <f>ROUND('[7]2035'!H43,2)</f>
        <v>26065.02</v>
      </c>
      <c r="I333" s="134">
        <f>ROUND('[7]2035'!I43,2)</f>
        <v>25771.74</v>
      </c>
      <c r="J333" s="134">
        <f>ROUND('[7]2035'!J43,2)</f>
        <v>25697.86</v>
      </c>
      <c r="K333" s="134">
        <f>ROUND('[7]2035'!K43,2)</f>
        <v>25782.26</v>
      </c>
      <c r="L333" s="134">
        <f>ROUND('[7]2035'!L43,2)</f>
        <v>28757.23</v>
      </c>
      <c r="M333" s="134">
        <f>ROUND('[7]2035'!M43,2)</f>
        <v>32106.89</v>
      </c>
      <c r="N333" s="134">
        <f>ROUND('[7]2035'!N43,2)</f>
        <v>34165.57</v>
      </c>
      <c r="O333" s="134">
        <f>ROUND('[7]2035'!O43,2)</f>
        <v>35875.269999999997</v>
      </c>
      <c r="P333" s="134">
        <f>ROUND('[7]2035'!P43,2)</f>
        <v>36965.94</v>
      </c>
      <c r="Q333" s="134">
        <f>ROUND('[7]2035'!Q43,2)</f>
        <v>36352.57</v>
      </c>
      <c r="R333" s="134">
        <f>ROUND('[7]2035'!R43,2)</f>
        <v>35834.53</v>
      </c>
      <c r="S333" s="134">
        <f>ROUND('[7]2035'!S43,2)</f>
        <v>35780.57</v>
      </c>
      <c r="T333" s="134">
        <f>ROUND('[7]2035'!T43,2)</f>
        <v>35488.6</v>
      </c>
      <c r="U333" s="134">
        <f>ROUND('[7]2035'!U43,2)</f>
        <v>34777.199999999997</v>
      </c>
      <c r="V333" s="134">
        <f>ROUND('[7]2035'!V43,2)</f>
        <v>34731.089999999997</v>
      </c>
      <c r="W333" s="134">
        <f>ROUND('[7]2035'!W43,2)</f>
        <v>37879.870000000003</v>
      </c>
      <c r="X333" s="134">
        <f>ROUND('[7]2035'!X43,2)</f>
        <v>38366.050000000003</v>
      </c>
      <c r="Y333" s="134">
        <f>ROUND('[7]2035'!Y43,2)</f>
        <v>37241.71</v>
      </c>
      <c r="Z333" s="134">
        <f>ROUND('[7]2035'!Z43,2)</f>
        <v>35691.58</v>
      </c>
      <c r="AA333" s="134">
        <f>ROUND('[7]2035'!AA43,2)</f>
        <v>33504.81</v>
      </c>
      <c r="AB333" s="134">
        <f>ROUND('[7]2035'!AB43,2)</f>
        <v>31176.05</v>
      </c>
      <c r="AC333" s="283">
        <f>SUM(E333:AB333)*D333+SUM(E334:AB334)*D334+SUM(E335:AB335)*D335+SUM(E336:AB336)*D336</f>
        <v>24150028.969999999</v>
      </c>
      <c r="AD333" s="19"/>
    </row>
    <row r="334" spans="2:30" ht="18.649999999999999" hidden="1" customHeight="1" x14ac:dyDescent="0.35">
      <c r="B334" s="264" t="s">
        <v>34</v>
      </c>
      <c r="C334" s="10" t="s">
        <v>30</v>
      </c>
      <c r="D334" s="11">
        <f>+'[7]2035'!D44</f>
        <v>4</v>
      </c>
      <c r="E334" s="135">
        <f>ROUND('[7]2035'!E44,2)</f>
        <v>29261.82</v>
      </c>
      <c r="F334" s="135">
        <f>ROUND('[7]2035'!F44,2)</f>
        <v>27809.360000000001</v>
      </c>
      <c r="G334" s="135">
        <f>ROUND('[7]2035'!G44,2)</f>
        <v>26698.48</v>
      </c>
      <c r="H334" s="135">
        <f>ROUND('[7]2035'!H44,2)</f>
        <v>25915.09</v>
      </c>
      <c r="I334" s="135">
        <f>ROUND('[7]2035'!I44,2)</f>
        <v>25840.3</v>
      </c>
      <c r="J334" s="135">
        <f>ROUND('[7]2035'!J44,2)</f>
        <v>26263.040000000001</v>
      </c>
      <c r="K334" s="135">
        <f>ROUND('[7]2035'!K44,2)</f>
        <v>26543.29</v>
      </c>
      <c r="L334" s="135">
        <f>ROUND('[7]2035'!L44,2)</f>
        <v>29571.41</v>
      </c>
      <c r="M334" s="135">
        <f>ROUND('[7]2035'!M44,2)</f>
        <v>32674.46</v>
      </c>
      <c r="N334" s="135">
        <f>ROUND('[7]2035'!N44,2)</f>
        <v>34432.26</v>
      </c>
      <c r="O334" s="135">
        <f>ROUND('[7]2035'!O44,2)</f>
        <v>36256.86</v>
      </c>
      <c r="P334" s="135">
        <f>ROUND('[7]2035'!P44,2)</f>
        <v>37491.440000000002</v>
      </c>
      <c r="Q334" s="135">
        <f>ROUND('[7]2035'!Q44,2)</f>
        <v>36529.449999999997</v>
      </c>
      <c r="R334" s="135">
        <f>ROUND('[7]2035'!R44,2)</f>
        <v>37393.370000000003</v>
      </c>
      <c r="S334" s="135">
        <f>ROUND('[7]2035'!S44,2)</f>
        <v>38691.980000000003</v>
      </c>
      <c r="T334" s="135">
        <f>ROUND('[7]2035'!T44,2)</f>
        <v>38719.5</v>
      </c>
      <c r="U334" s="135">
        <f>ROUND('[7]2035'!U44,2)</f>
        <v>38005.78</v>
      </c>
      <c r="V334" s="135">
        <f>ROUND('[7]2035'!V44,2)</f>
        <v>37366.99</v>
      </c>
      <c r="W334" s="135">
        <f>ROUND('[7]2035'!W44,2)</f>
        <v>40111.730000000003</v>
      </c>
      <c r="X334" s="135">
        <f>ROUND('[7]2035'!X44,2)</f>
        <v>39948.800000000003</v>
      </c>
      <c r="Y334" s="135">
        <f>ROUND('[7]2035'!Y44,2)</f>
        <v>38917.86</v>
      </c>
      <c r="Z334" s="135">
        <f>ROUND('[7]2035'!Z44,2)</f>
        <v>37134.15</v>
      </c>
      <c r="AA334" s="135">
        <f>ROUND('[7]2035'!AA44,2)</f>
        <v>34291.25</v>
      </c>
      <c r="AB334" s="135">
        <f>ROUND('[7]2035'!AB44,2)</f>
        <v>31374.59</v>
      </c>
      <c r="AC334" s="282"/>
      <c r="AD334" s="19"/>
    </row>
    <row r="335" spans="2:30" ht="18.649999999999999" hidden="1" customHeight="1" x14ac:dyDescent="0.35">
      <c r="B335" s="264" t="s">
        <v>34</v>
      </c>
      <c r="C335" s="10" t="s">
        <v>31</v>
      </c>
      <c r="D335" s="11">
        <f>+'[7]2035'!D45</f>
        <v>4</v>
      </c>
      <c r="E335" s="135">
        <f>ROUND('[7]2035'!E45,2)</f>
        <v>29247.24</v>
      </c>
      <c r="F335" s="135">
        <f>ROUND('[7]2035'!F45,2)</f>
        <v>27723</v>
      </c>
      <c r="G335" s="135">
        <f>ROUND('[7]2035'!G45,2)</f>
        <v>26539.16</v>
      </c>
      <c r="H335" s="135">
        <f>ROUND('[7]2035'!H45,2)</f>
        <v>25682.93</v>
      </c>
      <c r="I335" s="135">
        <f>ROUND('[7]2035'!I45,2)</f>
        <v>25323.61</v>
      </c>
      <c r="J335" s="135">
        <f>ROUND('[7]2035'!J45,2)</f>
        <v>24839.45</v>
      </c>
      <c r="K335" s="135">
        <f>ROUND('[7]2035'!K45,2)</f>
        <v>24309.75</v>
      </c>
      <c r="L335" s="135">
        <f>ROUND('[7]2035'!L45,2)</f>
        <v>26078.240000000002</v>
      </c>
      <c r="M335" s="135">
        <f>ROUND('[7]2035'!M45,2)</f>
        <v>28025.32</v>
      </c>
      <c r="N335" s="135">
        <f>ROUND('[7]2035'!N45,2)</f>
        <v>29780.11</v>
      </c>
      <c r="O335" s="135">
        <f>ROUND('[7]2035'!O45,2)</f>
        <v>31443.82</v>
      </c>
      <c r="P335" s="135">
        <f>ROUND('[7]2035'!P45,2)</f>
        <v>32867.339999999997</v>
      </c>
      <c r="Q335" s="135">
        <f>ROUND('[7]2035'!Q45,2)</f>
        <v>33391.17</v>
      </c>
      <c r="R335" s="135">
        <f>ROUND('[7]2035'!R45,2)</f>
        <v>33230.9</v>
      </c>
      <c r="S335" s="135">
        <f>ROUND('[7]2035'!S45,2)</f>
        <v>33081.550000000003</v>
      </c>
      <c r="T335" s="135">
        <f>ROUND('[7]2035'!T45,2)</f>
        <v>33186.980000000003</v>
      </c>
      <c r="U335" s="135">
        <f>ROUND('[7]2035'!U45,2)</f>
        <v>32884.230000000003</v>
      </c>
      <c r="V335" s="135">
        <f>ROUND('[7]2035'!V45,2)</f>
        <v>32847.03</v>
      </c>
      <c r="W335" s="135">
        <f>ROUND('[7]2035'!W45,2)</f>
        <v>36656.519999999997</v>
      </c>
      <c r="X335" s="135">
        <f>ROUND('[7]2035'!X45,2)</f>
        <v>38721.71</v>
      </c>
      <c r="Y335" s="135">
        <f>ROUND('[7]2035'!Y45,2)</f>
        <v>38515.19</v>
      </c>
      <c r="Z335" s="135">
        <f>ROUND('[7]2035'!Z45,2)</f>
        <v>37066</v>
      </c>
      <c r="AA335" s="135">
        <f>ROUND('[7]2035'!AA45,2)</f>
        <v>34553.120000000003</v>
      </c>
      <c r="AB335" s="135">
        <f>ROUND('[7]2035'!AB45,2)</f>
        <v>31800.400000000001</v>
      </c>
      <c r="AC335" s="282"/>
      <c r="AD335" s="19"/>
    </row>
    <row r="336" spans="2:30" ht="18.649999999999999" hidden="1" customHeight="1" thickBot="1" x14ac:dyDescent="0.4">
      <c r="B336" s="265" t="s">
        <v>34</v>
      </c>
      <c r="C336" s="12" t="s">
        <v>32</v>
      </c>
      <c r="D336" s="13">
        <f>+'[7]2035'!D46</f>
        <v>2</v>
      </c>
      <c r="E336" s="132">
        <f>ROUND('[7]2035'!E46,2)</f>
        <v>29247.24</v>
      </c>
      <c r="F336" s="132">
        <f>ROUND('[7]2035'!F46,2)</f>
        <v>27723</v>
      </c>
      <c r="G336" s="132">
        <f>ROUND('[7]2035'!G46,2)</f>
        <v>26539.16</v>
      </c>
      <c r="H336" s="132">
        <f>ROUND('[7]2035'!H46,2)</f>
        <v>25682.93</v>
      </c>
      <c r="I336" s="132">
        <f>ROUND('[7]2035'!I46,2)</f>
        <v>25323.61</v>
      </c>
      <c r="J336" s="132">
        <f>ROUND('[7]2035'!J46,2)</f>
        <v>24839.45</v>
      </c>
      <c r="K336" s="132">
        <f>ROUND('[7]2035'!K46,2)</f>
        <v>24309.75</v>
      </c>
      <c r="L336" s="132">
        <f>ROUND('[7]2035'!L46,2)</f>
        <v>26078.240000000002</v>
      </c>
      <c r="M336" s="132">
        <f>ROUND('[7]2035'!M46,2)</f>
        <v>28025.32</v>
      </c>
      <c r="N336" s="132">
        <f>ROUND('[7]2035'!N46,2)</f>
        <v>29780.11</v>
      </c>
      <c r="O336" s="132">
        <f>ROUND('[7]2035'!O46,2)</f>
        <v>31443.82</v>
      </c>
      <c r="P336" s="132">
        <f>ROUND('[7]2035'!P46,2)</f>
        <v>32867.339999999997</v>
      </c>
      <c r="Q336" s="132">
        <f>ROUND('[7]2035'!Q46,2)</f>
        <v>33391.17</v>
      </c>
      <c r="R336" s="132">
        <f>ROUND('[7]2035'!R46,2)</f>
        <v>33230.9</v>
      </c>
      <c r="S336" s="132">
        <f>ROUND('[7]2035'!S46,2)</f>
        <v>33081.550000000003</v>
      </c>
      <c r="T336" s="132">
        <f>ROUND('[7]2035'!T46,2)</f>
        <v>33186.980000000003</v>
      </c>
      <c r="U336" s="132">
        <f>ROUND('[7]2035'!U46,2)</f>
        <v>32884.230000000003</v>
      </c>
      <c r="V336" s="132">
        <f>ROUND('[7]2035'!V46,2)</f>
        <v>32847.03</v>
      </c>
      <c r="W336" s="132">
        <f>ROUND('[7]2035'!W46,2)</f>
        <v>36656.519999999997</v>
      </c>
      <c r="X336" s="132">
        <f>ROUND('[7]2035'!X46,2)</f>
        <v>38721.71</v>
      </c>
      <c r="Y336" s="132">
        <f>ROUND('[7]2035'!Y46,2)</f>
        <v>38515.19</v>
      </c>
      <c r="Z336" s="132">
        <f>ROUND('[7]2035'!Z46,2)</f>
        <v>37066</v>
      </c>
      <c r="AA336" s="132">
        <f>ROUND('[7]2035'!AA46,2)</f>
        <v>34553.120000000003</v>
      </c>
      <c r="AB336" s="132">
        <f>ROUND('[7]2035'!AB46,2)</f>
        <v>31800.400000000001</v>
      </c>
      <c r="AC336" s="284"/>
      <c r="AD336" s="19"/>
    </row>
    <row r="337" spans="2:30" ht="18.649999999999999" hidden="1" customHeight="1" x14ac:dyDescent="0.35">
      <c r="B337" s="260">
        <v>49553</v>
      </c>
      <c r="C337" s="14" t="s">
        <v>29</v>
      </c>
      <c r="D337" s="15">
        <f>+'[7]2035'!D47</f>
        <v>20</v>
      </c>
      <c r="E337" s="137">
        <f>ROUND('[7]2035'!E47,2)</f>
        <v>29994.01</v>
      </c>
      <c r="F337" s="137">
        <f>ROUND('[7]2035'!F47,2)</f>
        <v>28463.15</v>
      </c>
      <c r="G337" s="137">
        <f>ROUND('[7]2035'!G47,2)</f>
        <v>27278.69</v>
      </c>
      <c r="H337" s="137">
        <f>ROUND('[7]2035'!H47,2)</f>
        <v>26439.59</v>
      </c>
      <c r="I337" s="137">
        <f>ROUND('[7]2035'!I47,2)</f>
        <v>26193.38</v>
      </c>
      <c r="J337" s="137">
        <f>ROUND('[7]2035'!J47,2)</f>
        <v>25855.23</v>
      </c>
      <c r="K337" s="137">
        <f>ROUND('[7]2035'!K47,2)</f>
        <v>26022.48</v>
      </c>
      <c r="L337" s="137">
        <f>ROUND('[7]2035'!L47,2)</f>
        <v>29117.21</v>
      </c>
      <c r="M337" s="137">
        <f>ROUND('[7]2035'!M47,2)</f>
        <v>32422.43</v>
      </c>
      <c r="N337" s="137">
        <f>ROUND('[7]2035'!N47,2)</f>
        <v>34328.57</v>
      </c>
      <c r="O337" s="137">
        <f>ROUND('[7]2035'!O47,2)</f>
        <v>35952.53</v>
      </c>
      <c r="P337" s="137">
        <f>ROUND('[7]2035'!P47,2)</f>
        <v>36758.730000000003</v>
      </c>
      <c r="Q337" s="137">
        <f>ROUND('[7]2035'!Q47,2)</f>
        <v>36061.67</v>
      </c>
      <c r="R337" s="137">
        <f>ROUND('[7]2035'!R47,2)</f>
        <v>35541.199999999997</v>
      </c>
      <c r="S337" s="137">
        <f>ROUND('[7]2035'!S47,2)</f>
        <v>35498.71</v>
      </c>
      <c r="T337" s="137">
        <f>ROUND('[7]2035'!T47,2)</f>
        <v>35437.69</v>
      </c>
      <c r="U337" s="137">
        <f>ROUND('[7]2035'!U47,2)</f>
        <v>34907.730000000003</v>
      </c>
      <c r="V337" s="137">
        <f>ROUND('[7]2035'!V47,2)</f>
        <v>35316.6</v>
      </c>
      <c r="W337" s="137">
        <f>ROUND('[7]2035'!W47,2)</f>
        <v>38987.01</v>
      </c>
      <c r="X337" s="137">
        <f>ROUND('[7]2035'!X47,2)</f>
        <v>38614.97</v>
      </c>
      <c r="Y337" s="137">
        <f>ROUND('[7]2035'!Y47,2)</f>
        <v>37274.83</v>
      </c>
      <c r="Z337" s="137">
        <f>ROUND('[7]2035'!Z47,2)</f>
        <v>35609.26</v>
      </c>
      <c r="AA337" s="137">
        <f>ROUND('[7]2035'!AA47,2)</f>
        <v>33605.46</v>
      </c>
      <c r="AB337" s="137">
        <f>ROUND('[7]2035'!AB47,2)</f>
        <v>31396.41</v>
      </c>
      <c r="AC337" s="282">
        <f>SUM(E337:AB337)*D337+SUM(E338:AB338)*D338+SUM(E339:AB339)*D339+SUM(E340:AB340)*D340</f>
        <v>23790958.699999996</v>
      </c>
      <c r="AD337" s="19"/>
    </row>
    <row r="338" spans="2:30" ht="18.649999999999999" hidden="1" customHeight="1" x14ac:dyDescent="0.35">
      <c r="B338" s="261"/>
      <c r="C338" s="10" t="s">
        <v>30</v>
      </c>
      <c r="D338" s="11">
        <f>+'[7]2035'!D48</f>
        <v>5</v>
      </c>
      <c r="E338" s="135">
        <f>ROUND('[7]2035'!E48,2)</f>
        <v>28039.75</v>
      </c>
      <c r="F338" s="135">
        <f>ROUND('[7]2035'!F48,2)</f>
        <v>26628.560000000001</v>
      </c>
      <c r="G338" s="135">
        <f>ROUND('[7]2035'!G48,2)</f>
        <v>25643.84</v>
      </c>
      <c r="H338" s="135">
        <f>ROUND('[7]2035'!H48,2)</f>
        <v>24917.99</v>
      </c>
      <c r="I338" s="135">
        <f>ROUND('[7]2035'!I48,2)</f>
        <v>24929.89</v>
      </c>
      <c r="J338" s="135">
        <f>ROUND('[7]2035'!J48,2)</f>
        <v>25343.05</v>
      </c>
      <c r="K338" s="135">
        <f>ROUND('[7]2035'!K48,2)</f>
        <v>25858.91</v>
      </c>
      <c r="L338" s="135">
        <f>ROUND('[7]2035'!L48,2)</f>
        <v>29013.71</v>
      </c>
      <c r="M338" s="135">
        <f>ROUND('[7]2035'!M48,2)</f>
        <v>32086.5</v>
      </c>
      <c r="N338" s="135">
        <f>ROUND('[7]2035'!N48,2)</f>
        <v>33763.39</v>
      </c>
      <c r="O338" s="135">
        <f>ROUND('[7]2035'!O48,2)</f>
        <v>35537.72</v>
      </c>
      <c r="P338" s="135">
        <f>ROUND('[7]2035'!P48,2)</f>
        <v>36760.629999999997</v>
      </c>
      <c r="Q338" s="135">
        <f>ROUND('[7]2035'!Q48,2)</f>
        <v>35707.93</v>
      </c>
      <c r="R338" s="135">
        <f>ROUND('[7]2035'!R48,2)</f>
        <v>36510.99</v>
      </c>
      <c r="S338" s="135">
        <f>ROUND('[7]2035'!S48,2)</f>
        <v>37865.67</v>
      </c>
      <c r="T338" s="135">
        <f>ROUND('[7]2035'!T48,2)</f>
        <v>37933.96</v>
      </c>
      <c r="U338" s="135">
        <f>ROUND('[7]2035'!U48,2)</f>
        <v>37148.910000000003</v>
      </c>
      <c r="V338" s="135">
        <f>ROUND('[7]2035'!V48,2)</f>
        <v>37251.42</v>
      </c>
      <c r="W338" s="135">
        <f>ROUND('[7]2035'!W48,2)</f>
        <v>39497.85</v>
      </c>
      <c r="X338" s="135">
        <f>ROUND('[7]2035'!X48,2)</f>
        <v>38826.980000000003</v>
      </c>
      <c r="Y338" s="135">
        <f>ROUND('[7]2035'!Y48,2)</f>
        <v>37585.300000000003</v>
      </c>
      <c r="Z338" s="135">
        <f>ROUND('[7]2035'!Z48,2)</f>
        <v>35757</v>
      </c>
      <c r="AA338" s="135">
        <f>ROUND('[7]2035'!AA48,2)</f>
        <v>33122.54</v>
      </c>
      <c r="AB338" s="135">
        <f>ROUND('[7]2035'!AB48,2)</f>
        <v>30385.42</v>
      </c>
      <c r="AC338" s="282"/>
      <c r="AD338" s="19"/>
    </row>
    <row r="339" spans="2:30" ht="18.649999999999999" hidden="1" customHeight="1" x14ac:dyDescent="0.35">
      <c r="B339" s="261"/>
      <c r="C339" s="10" t="s">
        <v>31</v>
      </c>
      <c r="D339" s="11">
        <f>+'[7]2035'!D49</f>
        <v>5</v>
      </c>
      <c r="E339" s="135">
        <f>ROUND('[7]2035'!E49,2)</f>
        <v>28894.52</v>
      </c>
      <c r="F339" s="135">
        <f>ROUND('[7]2035'!F49,2)</f>
        <v>27488.77</v>
      </c>
      <c r="G339" s="135">
        <f>ROUND('[7]2035'!G49,2)</f>
        <v>26448.15</v>
      </c>
      <c r="H339" s="135">
        <f>ROUND('[7]2035'!H49,2)</f>
        <v>25662.12</v>
      </c>
      <c r="I339" s="135">
        <f>ROUND('[7]2035'!I49,2)</f>
        <v>25703.23</v>
      </c>
      <c r="J339" s="135">
        <f>ROUND('[7]2035'!J49,2)</f>
        <v>26513.29</v>
      </c>
      <c r="K339" s="135">
        <f>ROUND('[7]2035'!K49,2)</f>
        <v>27023.7</v>
      </c>
      <c r="L339" s="135">
        <f>ROUND('[7]2035'!L49,2)</f>
        <v>30370.65</v>
      </c>
      <c r="M339" s="135">
        <f>ROUND('[7]2035'!M49,2)</f>
        <v>33684.61</v>
      </c>
      <c r="N339" s="135">
        <f>ROUND('[7]2035'!N49,2)</f>
        <v>35438.94</v>
      </c>
      <c r="O339" s="135">
        <f>ROUND('[7]2035'!O49,2)</f>
        <v>37435.949999999997</v>
      </c>
      <c r="P339" s="135">
        <f>ROUND('[7]2035'!P49,2)</f>
        <v>38780.400000000001</v>
      </c>
      <c r="Q339" s="135">
        <f>ROUND('[7]2035'!Q49,2)</f>
        <v>37415.42</v>
      </c>
      <c r="R339" s="135">
        <f>ROUND('[7]2035'!R49,2)</f>
        <v>38738.519999999997</v>
      </c>
      <c r="S339" s="135">
        <f>ROUND('[7]2035'!S49,2)</f>
        <v>40614.78</v>
      </c>
      <c r="T339" s="135">
        <f>ROUND('[7]2035'!T49,2)</f>
        <v>40665.660000000003</v>
      </c>
      <c r="U339" s="135">
        <f>ROUND('[7]2035'!U49,2)</f>
        <v>39742.6</v>
      </c>
      <c r="V339" s="135">
        <f>ROUND('[7]2035'!V49,2)</f>
        <v>38595.040000000001</v>
      </c>
      <c r="W339" s="135">
        <f>ROUND('[7]2035'!W49,2)</f>
        <v>40851.22</v>
      </c>
      <c r="X339" s="135">
        <f>ROUND('[7]2035'!X49,2)</f>
        <v>40549.51</v>
      </c>
      <c r="Y339" s="135">
        <f>ROUND('[7]2035'!Y49,2)</f>
        <v>39503.440000000002</v>
      </c>
      <c r="Z339" s="135">
        <f>ROUND('[7]2035'!Z49,2)</f>
        <v>37637.230000000003</v>
      </c>
      <c r="AA339" s="135">
        <f>ROUND('[7]2035'!AA49,2)</f>
        <v>34552.730000000003</v>
      </c>
      <c r="AB339" s="135">
        <f>ROUND('[7]2035'!AB49,2)</f>
        <v>31453.19</v>
      </c>
      <c r="AC339" s="282"/>
      <c r="AD339" s="19"/>
    </row>
    <row r="340" spans="2:30" ht="18.649999999999999" hidden="1" customHeight="1" thickBot="1" x14ac:dyDescent="0.4">
      <c r="B340" s="261"/>
      <c r="C340" s="16" t="s">
        <v>32</v>
      </c>
      <c r="D340" s="17">
        <f>+'[7]2035'!D50</f>
        <v>0</v>
      </c>
      <c r="E340" s="199">
        <f>ROUND('[7]2035'!E50,2)</f>
        <v>0</v>
      </c>
      <c r="F340" s="115">
        <f>ROUND('[7]2035'!F50,2)</f>
        <v>0</v>
      </c>
      <c r="G340" s="115">
        <f>ROUND('[7]2035'!G50,2)</f>
        <v>0</v>
      </c>
      <c r="H340" s="115">
        <f>ROUND('[7]2035'!H50,2)</f>
        <v>0</v>
      </c>
      <c r="I340" s="115">
        <f>ROUND('[7]2035'!I50,2)</f>
        <v>0</v>
      </c>
      <c r="J340" s="115">
        <f>ROUND('[7]2035'!J50,2)</f>
        <v>0</v>
      </c>
      <c r="K340" s="115">
        <f>ROUND('[7]2035'!K50,2)</f>
        <v>0</v>
      </c>
      <c r="L340" s="115">
        <f>ROUND('[7]2035'!L50,2)</f>
        <v>0</v>
      </c>
      <c r="M340" s="115">
        <f>ROUND('[7]2035'!M50,2)</f>
        <v>0</v>
      </c>
      <c r="N340" s="115">
        <f>ROUND('[7]2035'!N50,2)</f>
        <v>0</v>
      </c>
      <c r="O340" s="115">
        <f>ROUND('[7]2035'!O50,2)</f>
        <v>0</v>
      </c>
      <c r="P340" s="115">
        <f>ROUND('[7]2035'!P50,2)</f>
        <v>0</v>
      </c>
      <c r="Q340" s="115">
        <f>ROUND('[7]2035'!Q50,2)</f>
        <v>0</v>
      </c>
      <c r="R340" s="115">
        <f>ROUND('[7]2035'!R50,2)</f>
        <v>0</v>
      </c>
      <c r="S340" s="115">
        <f>ROUND('[7]2035'!S50,2)</f>
        <v>0</v>
      </c>
      <c r="T340" s="115">
        <f>ROUND('[7]2035'!T50,2)</f>
        <v>0</v>
      </c>
      <c r="U340" s="115">
        <f>ROUND('[7]2035'!U50,2)</f>
        <v>0</v>
      </c>
      <c r="V340" s="115">
        <f>ROUND('[7]2035'!V50,2)</f>
        <v>0</v>
      </c>
      <c r="W340" s="115">
        <f>ROUND('[7]2035'!W50,2)</f>
        <v>0</v>
      </c>
      <c r="X340" s="115">
        <f>ROUND('[7]2035'!X50,2)</f>
        <v>0</v>
      </c>
      <c r="Y340" s="115">
        <f>ROUND('[7]2035'!Y50,2)</f>
        <v>0</v>
      </c>
      <c r="Z340" s="115">
        <f>ROUND('[7]2035'!Z50,2)</f>
        <v>0</v>
      </c>
      <c r="AA340" s="115">
        <f>ROUND('[7]2035'!AA50,2)</f>
        <v>0</v>
      </c>
      <c r="AB340" s="115">
        <f>ROUND('[7]2035'!AB50,2)</f>
        <v>0</v>
      </c>
      <c r="AC340" s="282"/>
      <c r="AD340" s="19"/>
    </row>
    <row r="341" spans="2:30" ht="18.649999999999999" hidden="1" customHeight="1" x14ac:dyDescent="0.35">
      <c r="B341" s="263">
        <v>49583</v>
      </c>
      <c r="C341" s="7" t="s">
        <v>29</v>
      </c>
      <c r="D341" s="8">
        <f>+'[7]2035'!D51</f>
        <v>22</v>
      </c>
      <c r="E341" s="134">
        <f>ROUND('[7]2035'!E51,2)</f>
        <v>28922.23</v>
      </c>
      <c r="F341" s="134">
        <f>ROUND('[7]2035'!F51,2)</f>
        <v>27459.69</v>
      </c>
      <c r="G341" s="134">
        <f>ROUND('[7]2035'!G51,2)</f>
        <v>26295.59</v>
      </c>
      <c r="H341" s="134">
        <f>ROUND('[7]2035'!H51,2)</f>
        <v>25333.34</v>
      </c>
      <c r="I341" s="134">
        <f>ROUND('[7]2035'!I51,2)</f>
        <v>24968.22</v>
      </c>
      <c r="J341" s="134">
        <f>ROUND('[7]2035'!J51,2)</f>
        <v>24765.47</v>
      </c>
      <c r="K341" s="134">
        <f>ROUND('[7]2035'!K51,2)</f>
        <v>25288.240000000002</v>
      </c>
      <c r="L341" s="134">
        <f>ROUND('[7]2035'!L51,2)</f>
        <v>28461.13</v>
      </c>
      <c r="M341" s="134">
        <f>ROUND('[7]2035'!M51,2)</f>
        <v>31704.19</v>
      </c>
      <c r="N341" s="134">
        <f>ROUND('[7]2035'!N51,2)</f>
        <v>33586.800000000003</v>
      </c>
      <c r="O341" s="134">
        <f>ROUND('[7]2035'!O51,2)</f>
        <v>35321.879999999997</v>
      </c>
      <c r="P341" s="134">
        <f>ROUND('[7]2035'!P51,2)</f>
        <v>36231.99</v>
      </c>
      <c r="Q341" s="134">
        <f>ROUND('[7]2035'!Q51,2)</f>
        <v>35588.06</v>
      </c>
      <c r="R341" s="134">
        <f>ROUND('[7]2035'!R51,2)</f>
        <v>35166.47</v>
      </c>
      <c r="S341" s="134">
        <f>ROUND('[7]2035'!S51,2)</f>
        <v>35311.269999999997</v>
      </c>
      <c r="T341" s="134">
        <f>ROUND('[7]2035'!T51,2)</f>
        <v>35241.589999999997</v>
      </c>
      <c r="U341" s="134">
        <f>ROUND('[7]2035'!U51,2)</f>
        <v>34788.400000000001</v>
      </c>
      <c r="V341" s="134">
        <f>ROUND('[7]2035'!V51,2)</f>
        <v>35692.839999999997</v>
      </c>
      <c r="W341" s="134">
        <f>ROUND('[7]2035'!W51,2)</f>
        <v>38946.839999999997</v>
      </c>
      <c r="X341" s="134">
        <f>ROUND('[7]2035'!X51,2)</f>
        <v>38296.07</v>
      </c>
      <c r="Y341" s="134">
        <f>ROUND('[7]2035'!Y51,2)</f>
        <v>36941.14</v>
      </c>
      <c r="Z341" s="134">
        <f>ROUND('[7]2035'!Z51,2)</f>
        <v>35219.199999999997</v>
      </c>
      <c r="AA341" s="134">
        <f>ROUND('[7]2035'!AA51,2)</f>
        <v>33165.46</v>
      </c>
      <c r="AB341" s="134">
        <f>ROUND('[7]2035'!AB51,2)</f>
        <v>30969.439999999999</v>
      </c>
      <c r="AC341" s="283">
        <f>SUM(E341:AB341)*D341+SUM(E342:AB342)*D342+SUM(E343:AB343)*D343+SUM(E344:AB344)*D344</f>
        <v>23675864.219999995</v>
      </c>
      <c r="AD341" s="19"/>
    </row>
    <row r="342" spans="2:30" ht="18.649999999999999" hidden="1" customHeight="1" x14ac:dyDescent="0.35">
      <c r="B342" s="264" t="s">
        <v>34</v>
      </c>
      <c r="C342" s="10" t="s">
        <v>30</v>
      </c>
      <c r="D342" s="11">
        <f>+'[7]2035'!D52</f>
        <v>4</v>
      </c>
      <c r="E342" s="135">
        <f>ROUND('[7]2035'!E52,2)</f>
        <v>26882.15</v>
      </c>
      <c r="F342" s="135">
        <f>ROUND('[7]2035'!F52,2)</f>
        <v>25554.36</v>
      </c>
      <c r="G342" s="135">
        <f>ROUND('[7]2035'!G52,2)</f>
        <v>24571.94</v>
      </c>
      <c r="H342" s="135">
        <f>ROUND('[7]2035'!H52,2)</f>
        <v>23983.119999999999</v>
      </c>
      <c r="I342" s="135">
        <f>ROUND('[7]2035'!I52,2)</f>
        <v>24065.48</v>
      </c>
      <c r="J342" s="135">
        <f>ROUND('[7]2035'!J52,2)</f>
        <v>24534.37</v>
      </c>
      <c r="K342" s="135">
        <f>ROUND('[7]2035'!K52,2)</f>
        <v>24979.01</v>
      </c>
      <c r="L342" s="135">
        <f>ROUND('[7]2035'!L52,2)</f>
        <v>27902.06</v>
      </c>
      <c r="M342" s="135">
        <f>ROUND('[7]2035'!M52,2)</f>
        <v>30820.1</v>
      </c>
      <c r="N342" s="135">
        <f>ROUND('[7]2035'!N52,2)</f>
        <v>32530.06</v>
      </c>
      <c r="O342" s="135">
        <f>ROUND('[7]2035'!O52,2)</f>
        <v>34099.03</v>
      </c>
      <c r="P342" s="135">
        <f>ROUND('[7]2035'!P52,2)</f>
        <v>35269.35</v>
      </c>
      <c r="Q342" s="135">
        <f>ROUND('[7]2035'!Q52,2)</f>
        <v>34276.86</v>
      </c>
      <c r="R342" s="135">
        <f>ROUND('[7]2035'!R52,2)</f>
        <v>34726.5</v>
      </c>
      <c r="S342" s="135">
        <f>ROUND('[7]2035'!S52,2)</f>
        <v>35750.6</v>
      </c>
      <c r="T342" s="135">
        <f>ROUND('[7]2035'!T52,2)</f>
        <v>35847.94</v>
      </c>
      <c r="U342" s="135">
        <f>ROUND('[7]2035'!U52,2)</f>
        <v>35383.22</v>
      </c>
      <c r="V342" s="135">
        <f>ROUND('[7]2035'!V52,2)</f>
        <v>36026.07</v>
      </c>
      <c r="W342" s="135">
        <f>ROUND('[7]2035'!W52,2)</f>
        <v>38512.25</v>
      </c>
      <c r="X342" s="135">
        <f>ROUND('[7]2035'!X52,2)</f>
        <v>37763.64</v>
      </c>
      <c r="Y342" s="135">
        <f>ROUND('[7]2035'!Y52,2)</f>
        <v>36296.160000000003</v>
      </c>
      <c r="Z342" s="135">
        <f>ROUND('[7]2035'!Z52,2)</f>
        <v>34275.699999999997</v>
      </c>
      <c r="AA342" s="135">
        <f>ROUND('[7]2035'!AA52,2)</f>
        <v>31641.06</v>
      </c>
      <c r="AB342" s="135">
        <f>ROUND('[7]2035'!AB52,2)</f>
        <v>29000.45</v>
      </c>
      <c r="AC342" s="282"/>
      <c r="AD342" s="19"/>
    </row>
    <row r="343" spans="2:30" ht="18.649999999999999" hidden="1" customHeight="1" x14ac:dyDescent="0.35">
      <c r="B343" s="264" t="s">
        <v>34</v>
      </c>
      <c r="C343" s="10" t="s">
        <v>31</v>
      </c>
      <c r="D343" s="11">
        <f>+'[7]2035'!D53</f>
        <v>4</v>
      </c>
      <c r="E343" s="135">
        <f>ROUND('[7]2035'!E53,2)</f>
        <v>27169.56</v>
      </c>
      <c r="F343" s="135">
        <f>ROUND('[7]2035'!F53,2)</f>
        <v>26019.279999999999</v>
      </c>
      <c r="G343" s="135">
        <f>ROUND('[7]2035'!G53,2)</f>
        <v>25104.39</v>
      </c>
      <c r="H343" s="135">
        <f>ROUND('[7]2035'!H53,2)</f>
        <v>24541.37</v>
      </c>
      <c r="I343" s="135">
        <f>ROUND('[7]2035'!I53,2)</f>
        <v>24345.9</v>
      </c>
      <c r="J343" s="135">
        <f>ROUND('[7]2035'!J53,2)</f>
        <v>23962.21</v>
      </c>
      <c r="K343" s="135">
        <f>ROUND('[7]2035'!K53,2)</f>
        <v>23392.19</v>
      </c>
      <c r="L343" s="135">
        <f>ROUND('[7]2035'!L53,2)</f>
        <v>25231.09</v>
      </c>
      <c r="M343" s="135">
        <f>ROUND('[7]2035'!M53,2)</f>
        <v>26756.65</v>
      </c>
      <c r="N343" s="135">
        <f>ROUND('[7]2035'!N53,2)</f>
        <v>28882.86</v>
      </c>
      <c r="O343" s="135">
        <f>ROUND('[7]2035'!O53,2)</f>
        <v>30542.26</v>
      </c>
      <c r="P343" s="135">
        <f>ROUND('[7]2035'!P53,2)</f>
        <v>31854.7</v>
      </c>
      <c r="Q343" s="135">
        <f>ROUND('[7]2035'!Q53,2)</f>
        <v>32520.65</v>
      </c>
      <c r="R343" s="135">
        <f>ROUND('[7]2035'!R53,2)</f>
        <v>32534.45</v>
      </c>
      <c r="S343" s="135">
        <f>ROUND('[7]2035'!S53,2)</f>
        <v>32588.22</v>
      </c>
      <c r="T343" s="135">
        <f>ROUND('[7]2035'!T53,2)</f>
        <v>32670.28</v>
      </c>
      <c r="U343" s="135">
        <f>ROUND('[7]2035'!U53,2)</f>
        <v>32375.18</v>
      </c>
      <c r="V343" s="135">
        <f>ROUND('[7]2035'!V53,2)</f>
        <v>33750.35</v>
      </c>
      <c r="W343" s="135">
        <f>ROUND('[7]2035'!W53,2)</f>
        <v>37604.879999999997</v>
      </c>
      <c r="X343" s="135">
        <f>ROUND('[7]2035'!X53,2)</f>
        <v>38065.26</v>
      </c>
      <c r="Y343" s="135">
        <f>ROUND('[7]2035'!Y53,2)</f>
        <v>37467.230000000003</v>
      </c>
      <c r="Z343" s="135">
        <f>ROUND('[7]2035'!Z53,2)</f>
        <v>36053.449999999997</v>
      </c>
      <c r="AA343" s="135">
        <f>ROUND('[7]2035'!AA53,2)</f>
        <v>33366.31</v>
      </c>
      <c r="AB343" s="135">
        <f>ROUND('[7]2035'!AB53,2)</f>
        <v>30492.52</v>
      </c>
      <c r="AC343" s="282"/>
      <c r="AD343" s="19"/>
    </row>
    <row r="344" spans="2:30" ht="18.649999999999999" hidden="1" customHeight="1" thickBot="1" x14ac:dyDescent="0.4">
      <c r="B344" s="265" t="s">
        <v>34</v>
      </c>
      <c r="C344" s="12" t="s">
        <v>32</v>
      </c>
      <c r="D344" s="13">
        <f>+'[7]2035'!D54</f>
        <v>1</v>
      </c>
      <c r="E344" s="132">
        <f>ROUND('[7]2035'!E54,2)</f>
        <v>27169.56</v>
      </c>
      <c r="F344" s="132">
        <f>ROUND('[7]2035'!F54,2)</f>
        <v>26019.279999999999</v>
      </c>
      <c r="G344" s="132">
        <f>ROUND('[7]2035'!G54,2)</f>
        <v>25104.39</v>
      </c>
      <c r="H344" s="132">
        <f>ROUND('[7]2035'!H54,2)</f>
        <v>24541.37</v>
      </c>
      <c r="I344" s="132">
        <f>ROUND('[7]2035'!I54,2)</f>
        <v>24345.9</v>
      </c>
      <c r="J344" s="132">
        <f>ROUND('[7]2035'!J54,2)</f>
        <v>23962.21</v>
      </c>
      <c r="K344" s="132">
        <f>ROUND('[7]2035'!K54,2)</f>
        <v>23392.19</v>
      </c>
      <c r="L344" s="132">
        <f>ROUND('[7]2035'!L54,2)</f>
        <v>25231.09</v>
      </c>
      <c r="M344" s="132">
        <f>ROUND('[7]2035'!M54,2)</f>
        <v>26756.65</v>
      </c>
      <c r="N344" s="132">
        <f>ROUND('[7]2035'!N54,2)</f>
        <v>28882.86</v>
      </c>
      <c r="O344" s="132">
        <f>ROUND('[7]2035'!O54,2)</f>
        <v>30542.26</v>
      </c>
      <c r="P344" s="132">
        <f>ROUND('[7]2035'!P54,2)</f>
        <v>31854.7</v>
      </c>
      <c r="Q344" s="132">
        <f>ROUND('[7]2035'!Q54,2)</f>
        <v>32520.65</v>
      </c>
      <c r="R344" s="132">
        <f>ROUND('[7]2035'!R54,2)</f>
        <v>32534.45</v>
      </c>
      <c r="S344" s="132">
        <f>ROUND('[7]2035'!S54,2)</f>
        <v>32588.22</v>
      </c>
      <c r="T344" s="132">
        <f>ROUND('[7]2035'!T54,2)</f>
        <v>32670.28</v>
      </c>
      <c r="U344" s="132">
        <f>ROUND('[7]2035'!U54,2)</f>
        <v>32375.18</v>
      </c>
      <c r="V344" s="132">
        <f>ROUND('[7]2035'!V54,2)</f>
        <v>33750.35</v>
      </c>
      <c r="W344" s="132">
        <f>ROUND('[7]2035'!W54,2)</f>
        <v>37604.879999999997</v>
      </c>
      <c r="X344" s="132">
        <f>ROUND('[7]2035'!X54,2)</f>
        <v>38065.26</v>
      </c>
      <c r="Y344" s="132">
        <f>ROUND('[7]2035'!Y54,2)</f>
        <v>37467.230000000003</v>
      </c>
      <c r="Z344" s="132">
        <f>ROUND('[7]2035'!Z54,2)</f>
        <v>36053.449999999997</v>
      </c>
      <c r="AA344" s="132">
        <f>ROUND('[7]2035'!AA54,2)</f>
        <v>33366.31</v>
      </c>
      <c r="AB344" s="132">
        <f>ROUND('[7]2035'!AB54,2)</f>
        <v>30492.52</v>
      </c>
      <c r="AC344" s="284"/>
      <c r="AD344" s="19"/>
    </row>
    <row r="345" spans="2:30" ht="18.649999999999999" hidden="1" customHeight="1" x14ac:dyDescent="0.35">
      <c r="B345" s="260">
        <v>49614</v>
      </c>
      <c r="C345" s="14" t="s">
        <v>29</v>
      </c>
      <c r="D345" s="15">
        <f>+'[7]2035'!D55</f>
        <v>20</v>
      </c>
      <c r="E345" s="137">
        <f>ROUND('[7]2035'!E55,2)</f>
        <v>28565.98</v>
      </c>
      <c r="F345" s="137">
        <f>ROUND('[7]2035'!F55,2)</f>
        <v>27168.52</v>
      </c>
      <c r="G345" s="137">
        <f>ROUND('[7]2035'!G55,2)</f>
        <v>26159.16</v>
      </c>
      <c r="H345" s="137">
        <f>ROUND('[7]2035'!H55,2)</f>
        <v>25498.32</v>
      </c>
      <c r="I345" s="137">
        <f>ROUND('[7]2035'!I55,2)</f>
        <v>25504.22</v>
      </c>
      <c r="J345" s="137">
        <f>ROUND('[7]2035'!J55,2)</f>
        <v>25716.38</v>
      </c>
      <c r="K345" s="137">
        <f>ROUND('[7]2035'!K55,2)</f>
        <v>25894.31</v>
      </c>
      <c r="L345" s="137">
        <f>ROUND('[7]2035'!L55,2)</f>
        <v>29141.54</v>
      </c>
      <c r="M345" s="137">
        <f>ROUND('[7]2035'!M55,2)</f>
        <v>32607.35</v>
      </c>
      <c r="N345" s="137">
        <f>ROUND('[7]2035'!N55,2)</f>
        <v>34813.910000000003</v>
      </c>
      <c r="O345" s="137">
        <f>ROUND('[7]2035'!O55,2)</f>
        <v>36479.97</v>
      </c>
      <c r="P345" s="137">
        <f>ROUND('[7]2035'!P55,2)</f>
        <v>37353.85</v>
      </c>
      <c r="Q345" s="137">
        <f>ROUND('[7]2035'!Q55,2)</f>
        <v>36604.129999999997</v>
      </c>
      <c r="R345" s="137">
        <f>ROUND('[7]2035'!R55,2)</f>
        <v>35966.18</v>
      </c>
      <c r="S345" s="137">
        <f>ROUND('[7]2035'!S55,2)</f>
        <v>35876.89</v>
      </c>
      <c r="T345" s="137">
        <f>ROUND('[7]2035'!T55,2)</f>
        <v>35791.480000000003</v>
      </c>
      <c r="U345" s="137">
        <f>ROUND('[7]2035'!U55,2)</f>
        <v>35425.07</v>
      </c>
      <c r="V345" s="137">
        <f>ROUND('[7]2035'!V55,2)</f>
        <v>36606.17</v>
      </c>
      <c r="W345" s="137">
        <f>ROUND('[7]2035'!W55,2)</f>
        <v>39838.44</v>
      </c>
      <c r="X345" s="137">
        <f>ROUND('[7]2035'!X55,2)</f>
        <v>38999.51</v>
      </c>
      <c r="Y345" s="137">
        <f>ROUND('[7]2035'!Y55,2)</f>
        <v>37417.31</v>
      </c>
      <c r="Z345" s="137">
        <f>ROUND('[7]2035'!Z55,2)</f>
        <v>35627.32</v>
      </c>
      <c r="AA345" s="137">
        <f>ROUND('[7]2035'!AA55,2)</f>
        <v>33410.83</v>
      </c>
      <c r="AB345" s="137">
        <f>ROUND('[7]2035'!AB55,2)</f>
        <v>31006.880000000001</v>
      </c>
      <c r="AC345" s="282">
        <f>SUM(E345:AB345)*D345+SUM(E346:AB346)*D346+SUM(E347:AB347)*D347+SUM(E348:AB348)*D348</f>
        <v>23390514.220000003</v>
      </c>
      <c r="AD345" s="19"/>
    </row>
    <row r="346" spans="2:30" ht="18.649999999999999" hidden="1" customHeight="1" x14ac:dyDescent="0.35">
      <c r="B346" s="261"/>
      <c r="C346" s="10" t="s">
        <v>30</v>
      </c>
      <c r="D346" s="11">
        <f>+'[7]2035'!D56</f>
        <v>4</v>
      </c>
      <c r="E346" s="135">
        <f>ROUND('[7]2035'!E56,2)</f>
        <v>31131.37</v>
      </c>
      <c r="F346" s="135">
        <f>ROUND('[7]2035'!F56,2)</f>
        <v>29555.59</v>
      </c>
      <c r="G346" s="135">
        <f>ROUND('[7]2035'!G56,2)</f>
        <v>28391.200000000001</v>
      </c>
      <c r="H346" s="135">
        <f>ROUND('[7]2035'!H56,2)</f>
        <v>27590.28</v>
      </c>
      <c r="I346" s="135">
        <f>ROUND('[7]2035'!I56,2)</f>
        <v>27420.66</v>
      </c>
      <c r="J346" s="135">
        <f>ROUND('[7]2035'!J56,2)</f>
        <v>27611.18</v>
      </c>
      <c r="K346" s="135">
        <f>ROUND('[7]2035'!K56,2)</f>
        <v>27462.97</v>
      </c>
      <c r="L346" s="135">
        <f>ROUND('[7]2035'!L56,2)</f>
        <v>30591.79</v>
      </c>
      <c r="M346" s="135">
        <f>ROUND('[7]2035'!M56,2)</f>
        <v>33845.07</v>
      </c>
      <c r="N346" s="135">
        <f>ROUND('[7]2035'!N56,2)</f>
        <v>35730.300000000003</v>
      </c>
      <c r="O346" s="135">
        <f>ROUND('[7]2035'!O56,2)</f>
        <v>37394.11</v>
      </c>
      <c r="P346" s="135">
        <f>ROUND('[7]2035'!P56,2)</f>
        <v>38691.68</v>
      </c>
      <c r="Q346" s="135">
        <f>ROUND('[7]2035'!Q56,2)</f>
        <v>37857.370000000003</v>
      </c>
      <c r="R346" s="135">
        <f>ROUND('[7]2035'!R56,2)</f>
        <v>38251.769999999997</v>
      </c>
      <c r="S346" s="135">
        <f>ROUND('[7]2035'!S56,2)</f>
        <v>39344.76</v>
      </c>
      <c r="T346" s="135">
        <f>ROUND('[7]2035'!T56,2)</f>
        <v>39406.480000000003</v>
      </c>
      <c r="U346" s="135">
        <f>ROUND('[7]2035'!U56,2)</f>
        <v>38781.93</v>
      </c>
      <c r="V346" s="135">
        <f>ROUND('[7]2035'!V56,2)</f>
        <v>38882.699999999997</v>
      </c>
      <c r="W346" s="135">
        <f>ROUND('[7]2035'!W56,2)</f>
        <v>42152.08</v>
      </c>
      <c r="X346" s="135">
        <f>ROUND('[7]2035'!X56,2)</f>
        <v>41476.43</v>
      </c>
      <c r="Y346" s="135">
        <f>ROUND('[7]2035'!Y56,2)</f>
        <v>40138.61</v>
      </c>
      <c r="Z346" s="135">
        <f>ROUND('[7]2035'!Z56,2)</f>
        <v>38365.74</v>
      </c>
      <c r="AA346" s="135">
        <f>ROUND('[7]2035'!AA56,2)</f>
        <v>35988.589999999997</v>
      </c>
      <c r="AB346" s="135">
        <f>ROUND('[7]2035'!AB56,2)</f>
        <v>33318.42</v>
      </c>
      <c r="AC346" s="282"/>
      <c r="AD346" s="19"/>
    </row>
    <row r="347" spans="2:30" ht="18.649999999999999" hidden="1" customHeight="1" x14ac:dyDescent="0.35">
      <c r="B347" s="261"/>
      <c r="C347" s="10" t="s">
        <v>31</v>
      </c>
      <c r="D347" s="11">
        <f>+'[7]2035'!D57</f>
        <v>4</v>
      </c>
      <c r="E347" s="135">
        <f>ROUND('[7]2035'!E57,2)</f>
        <v>28706.3</v>
      </c>
      <c r="F347" s="135">
        <f>ROUND('[7]2035'!F57,2)</f>
        <v>27181.09</v>
      </c>
      <c r="G347" s="135">
        <f>ROUND('[7]2035'!G57,2)</f>
        <v>26023.279999999999</v>
      </c>
      <c r="H347" s="135">
        <f>ROUND('[7]2035'!H57,2)</f>
        <v>25133.98</v>
      </c>
      <c r="I347" s="135">
        <f>ROUND('[7]2035'!I57,2)</f>
        <v>24832.67</v>
      </c>
      <c r="J347" s="135">
        <f>ROUND('[7]2035'!J57,2)</f>
        <v>24453.97</v>
      </c>
      <c r="K347" s="135">
        <f>ROUND('[7]2035'!K57,2)</f>
        <v>23767.61</v>
      </c>
      <c r="L347" s="135">
        <f>ROUND('[7]2035'!L57,2)</f>
        <v>25333.14</v>
      </c>
      <c r="M347" s="135">
        <f>ROUND('[7]2035'!M57,2)</f>
        <v>27212.82</v>
      </c>
      <c r="N347" s="135">
        <f>ROUND('[7]2035'!N57,2)</f>
        <v>28680.240000000002</v>
      </c>
      <c r="O347" s="135">
        <f>ROUND('[7]2035'!O57,2)</f>
        <v>29882.21</v>
      </c>
      <c r="P347" s="135">
        <f>ROUND('[7]2035'!P57,2)</f>
        <v>30947.64</v>
      </c>
      <c r="Q347" s="135">
        <f>ROUND('[7]2035'!Q57,2)</f>
        <v>31280.1</v>
      </c>
      <c r="R347" s="135">
        <f>ROUND('[7]2035'!R57,2)</f>
        <v>31438.66</v>
      </c>
      <c r="S347" s="135">
        <f>ROUND('[7]2035'!S57,2)</f>
        <v>30986.86</v>
      </c>
      <c r="T347" s="135">
        <f>ROUND('[7]2035'!T57,2)</f>
        <v>31018.53</v>
      </c>
      <c r="U347" s="135">
        <f>ROUND('[7]2035'!U57,2)</f>
        <v>31093.81</v>
      </c>
      <c r="V347" s="135">
        <f>ROUND('[7]2035'!V57,2)</f>
        <v>33051.32</v>
      </c>
      <c r="W347" s="135">
        <f>ROUND('[7]2035'!W57,2)</f>
        <v>36879.81</v>
      </c>
      <c r="X347" s="135">
        <f>ROUND('[7]2035'!X57,2)</f>
        <v>37016.519999999997</v>
      </c>
      <c r="Y347" s="135">
        <f>ROUND('[7]2035'!Y57,2)</f>
        <v>35865.22</v>
      </c>
      <c r="Z347" s="135">
        <f>ROUND('[7]2035'!Z57,2)</f>
        <v>33713.760000000002</v>
      </c>
      <c r="AA347" s="135">
        <f>ROUND('[7]2035'!AA57,2)</f>
        <v>30991.66</v>
      </c>
      <c r="AB347" s="135">
        <f>ROUND('[7]2035'!AB57,2)</f>
        <v>28428.05</v>
      </c>
      <c r="AC347" s="282"/>
      <c r="AD347" s="19"/>
    </row>
    <row r="348" spans="2:30" ht="18.649999999999999" hidden="1" customHeight="1" thickBot="1" x14ac:dyDescent="0.4">
      <c r="B348" s="261"/>
      <c r="C348" s="16" t="s">
        <v>32</v>
      </c>
      <c r="D348" s="17">
        <f>+'[7]2035'!D58</f>
        <v>2</v>
      </c>
      <c r="E348" s="136">
        <f>ROUND('[7]2035'!E58,2)</f>
        <v>28706.3</v>
      </c>
      <c r="F348" s="136">
        <f>ROUND('[7]2035'!F58,2)</f>
        <v>27181.09</v>
      </c>
      <c r="G348" s="136">
        <f>ROUND('[7]2035'!G58,2)</f>
        <v>26023.279999999999</v>
      </c>
      <c r="H348" s="136">
        <f>ROUND('[7]2035'!H58,2)</f>
        <v>25133.98</v>
      </c>
      <c r="I348" s="136">
        <f>ROUND('[7]2035'!I58,2)</f>
        <v>24832.67</v>
      </c>
      <c r="J348" s="136">
        <f>ROUND('[7]2035'!J58,2)</f>
        <v>24453.97</v>
      </c>
      <c r="K348" s="136">
        <f>ROUND('[7]2035'!K58,2)</f>
        <v>23767.61</v>
      </c>
      <c r="L348" s="136">
        <f>ROUND('[7]2035'!L58,2)</f>
        <v>25333.14</v>
      </c>
      <c r="M348" s="136">
        <f>ROUND('[7]2035'!M58,2)</f>
        <v>27212.82</v>
      </c>
      <c r="N348" s="136">
        <f>ROUND('[7]2035'!N58,2)</f>
        <v>28680.240000000002</v>
      </c>
      <c r="O348" s="136">
        <f>ROUND('[7]2035'!O58,2)</f>
        <v>29882.21</v>
      </c>
      <c r="P348" s="136">
        <f>ROUND('[7]2035'!P58,2)</f>
        <v>30947.64</v>
      </c>
      <c r="Q348" s="136">
        <f>ROUND('[7]2035'!Q58,2)</f>
        <v>31280.1</v>
      </c>
      <c r="R348" s="136">
        <f>ROUND('[7]2035'!R58,2)</f>
        <v>31438.66</v>
      </c>
      <c r="S348" s="136">
        <f>ROUND('[7]2035'!S58,2)</f>
        <v>30986.86</v>
      </c>
      <c r="T348" s="136">
        <f>ROUND('[7]2035'!T58,2)</f>
        <v>31018.53</v>
      </c>
      <c r="U348" s="136">
        <f>ROUND('[7]2035'!U58,2)</f>
        <v>31093.81</v>
      </c>
      <c r="V348" s="136">
        <f>ROUND('[7]2035'!V58,2)</f>
        <v>33051.32</v>
      </c>
      <c r="W348" s="136">
        <f>ROUND('[7]2035'!W58,2)</f>
        <v>36879.81</v>
      </c>
      <c r="X348" s="136">
        <f>ROUND('[7]2035'!X58,2)</f>
        <v>37016.519999999997</v>
      </c>
      <c r="Y348" s="136">
        <f>ROUND('[7]2035'!Y58,2)</f>
        <v>35865.22</v>
      </c>
      <c r="Z348" s="136">
        <f>ROUND('[7]2035'!Z58,2)</f>
        <v>33713.760000000002</v>
      </c>
      <c r="AA348" s="136">
        <f>ROUND('[7]2035'!AA58,2)</f>
        <v>30991.66</v>
      </c>
      <c r="AB348" s="136">
        <f>ROUND('[7]2035'!AB58,2)</f>
        <v>28428.05</v>
      </c>
      <c r="AC348" s="282"/>
      <c r="AD348" s="19"/>
    </row>
    <row r="349" spans="2:30" ht="18.649999999999999" hidden="1" customHeight="1" x14ac:dyDescent="0.35">
      <c r="B349" s="263">
        <v>49644</v>
      </c>
      <c r="C349" s="7" t="s">
        <v>29</v>
      </c>
      <c r="D349" s="8">
        <f>+'[7]2035'!D59</f>
        <v>20</v>
      </c>
      <c r="E349" s="134">
        <f>ROUND('[7]2035'!E59,2)</f>
        <v>30263.62</v>
      </c>
      <c r="F349" s="134">
        <f>ROUND('[7]2035'!F59,2)</f>
        <v>28666.49</v>
      </c>
      <c r="G349" s="134">
        <f>ROUND('[7]2035'!G59,2)</f>
        <v>27459.25</v>
      </c>
      <c r="H349" s="134">
        <f>ROUND('[7]2035'!H59,2)</f>
        <v>26620.12</v>
      </c>
      <c r="I349" s="134">
        <f>ROUND('[7]2035'!I59,2)</f>
        <v>26435.74</v>
      </c>
      <c r="J349" s="134">
        <f>ROUND('[7]2035'!J59,2)</f>
        <v>26570.03</v>
      </c>
      <c r="K349" s="134">
        <f>ROUND('[7]2035'!K59,2)</f>
        <v>26262.05</v>
      </c>
      <c r="L349" s="134">
        <f>ROUND('[7]2035'!L59,2)</f>
        <v>29079.18</v>
      </c>
      <c r="M349" s="134">
        <f>ROUND('[7]2035'!M59,2)</f>
        <v>32153.78</v>
      </c>
      <c r="N349" s="134">
        <f>ROUND('[7]2035'!N59,2)</f>
        <v>34099.07</v>
      </c>
      <c r="O349" s="134">
        <f>ROUND('[7]2035'!O59,2)</f>
        <v>35530.82</v>
      </c>
      <c r="P349" s="134">
        <f>ROUND('[7]2035'!P59,2)</f>
        <v>36389.97</v>
      </c>
      <c r="Q349" s="134">
        <f>ROUND('[7]2035'!Q59,2)</f>
        <v>35602.620000000003</v>
      </c>
      <c r="R349" s="134">
        <f>ROUND('[7]2035'!R59,2)</f>
        <v>35037.870000000003</v>
      </c>
      <c r="S349" s="134">
        <f>ROUND('[7]2035'!S59,2)</f>
        <v>35123.040000000001</v>
      </c>
      <c r="T349" s="134">
        <f>ROUND('[7]2035'!T59,2)</f>
        <v>35098.559999999998</v>
      </c>
      <c r="U349" s="134">
        <f>ROUND('[7]2035'!U59,2)</f>
        <v>34663.440000000002</v>
      </c>
      <c r="V349" s="134">
        <f>ROUND('[7]2035'!V59,2)</f>
        <v>35593.089999999997</v>
      </c>
      <c r="W349" s="134">
        <f>ROUND('[7]2035'!W59,2)</f>
        <v>39197.760000000002</v>
      </c>
      <c r="X349" s="134">
        <f>ROUND('[7]2035'!X59,2)</f>
        <v>38343.629999999997</v>
      </c>
      <c r="Y349" s="134">
        <f>ROUND('[7]2035'!Y59,2)</f>
        <v>36694.720000000001</v>
      </c>
      <c r="Z349" s="134">
        <f>ROUND('[7]2035'!Z59,2)</f>
        <v>34888.67</v>
      </c>
      <c r="AA349" s="134">
        <f>ROUND('[7]2035'!AA59,2)</f>
        <v>33136.81</v>
      </c>
      <c r="AB349" s="134">
        <f>ROUND('[7]2035'!AB59,2)</f>
        <v>31173.7</v>
      </c>
      <c r="AC349" s="283">
        <f>SUM(E349:AB349)*D349+SUM(E350:AB350)*D350+SUM(E351:AB351)*D351+SUM(E352:AB352)*D352</f>
        <v>23900139.029999997</v>
      </c>
      <c r="AD349" s="19"/>
    </row>
    <row r="350" spans="2:30" ht="18.649999999999999" hidden="1" customHeight="1" x14ac:dyDescent="0.35">
      <c r="B350" s="264" t="s">
        <v>34</v>
      </c>
      <c r="C350" s="10" t="s">
        <v>30</v>
      </c>
      <c r="D350" s="11">
        <f>+'[7]2035'!D60</f>
        <v>4</v>
      </c>
      <c r="E350" s="135">
        <f>ROUND('[7]2035'!E60,2)</f>
        <v>29703.49</v>
      </c>
      <c r="F350" s="135">
        <f>ROUND('[7]2035'!F60,2)</f>
        <v>28203.86</v>
      </c>
      <c r="G350" s="135">
        <f>ROUND('[7]2035'!G60,2)</f>
        <v>27077.64</v>
      </c>
      <c r="H350" s="135">
        <f>ROUND('[7]2035'!H60,2)</f>
        <v>26295.57</v>
      </c>
      <c r="I350" s="135">
        <f>ROUND('[7]2035'!I60,2)</f>
        <v>26209.77</v>
      </c>
      <c r="J350" s="135">
        <f>ROUND('[7]2035'!J60,2)</f>
        <v>26632.42</v>
      </c>
      <c r="K350" s="135">
        <f>ROUND('[7]2035'!K60,2)</f>
        <v>26745.64</v>
      </c>
      <c r="L350" s="135">
        <f>ROUND('[7]2035'!L60,2)</f>
        <v>29679.83</v>
      </c>
      <c r="M350" s="135">
        <f>ROUND('[7]2035'!M60,2)</f>
        <v>32722</v>
      </c>
      <c r="N350" s="135">
        <f>ROUND('[7]2035'!N60,2)</f>
        <v>34480.199999999997</v>
      </c>
      <c r="O350" s="135">
        <f>ROUND('[7]2035'!O60,2)</f>
        <v>36198.42</v>
      </c>
      <c r="P350" s="135">
        <f>ROUND('[7]2035'!P60,2)</f>
        <v>37405.83</v>
      </c>
      <c r="Q350" s="135">
        <f>ROUND('[7]2035'!Q60,2)</f>
        <v>36464.239999999998</v>
      </c>
      <c r="R350" s="135">
        <f>ROUND('[7]2035'!R60,2)</f>
        <v>37188.07</v>
      </c>
      <c r="S350" s="135">
        <f>ROUND('[7]2035'!S60,2)</f>
        <v>38413.129999999997</v>
      </c>
      <c r="T350" s="135">
        <f>ROUND('[7]2035'!T60,2)</f>
        <v>38498.94</v>
      </c>
      <c r="U350" s="135">
        <f>ROUND('[7]2035'!U60,2)</f>
        <v>37836.9</v>
      </c>
      <c r="V350" s="135">
        <f>ROUND('[7]2035'!V60,2)</f>
        <v>37156</v>
      </c>
      <c r="W350" s="135">
        <f>ROUND('[7]2035'!W60,2)</f>
        <v>39734.120000000003</v>
      </c>
      <c r="X350" s="135">
        <f>ROUND('[7]2035'!X60,2)</f>
        <v>39973.11</v>
      </c>
      <c r="Y350" s="135">
        <f>ROUND('[7]2035'!Y60,2)</f>
        <v>38966.82</v>
      </c>
      <c r="Z350" s="135">
        <f>ROUND('[7]2035'!Z60,2)</f>
        <v>37277.629999999997</v>
      </c>
      <c r="AA350" s="135">
        <f>ROUND('[7]2035'!AA60,2)</f>
        <v>34689.47</v>
      </c>
      <c r="AB350" s="135">
        <f>ROUND('[7]2035'!AB60,2)</f>
        <v>31921.58</v>
      </c>
      <c r="AC350" s="282"/>
      <c r="AD350" s="19"/>
    </row>
    <row r="351" spans="2:30" ht="18.649999999999999" hidden="1" customHeight="1" x14ac:dyDescent="0.35">
      <c r="B351" s="264" t="s">
        <v>34</v>
      </c>
      <c r="C351" s="10" t="s">
        <v>31</v>
      </c>
      <c r="D351" s="11">
        <f>+'[7]2035'!D61</f>
        <v>5</v>
      </c>
      <c r="E351" s="135">
        <f>ROUND('[7]2035'!E61,2)</f>
        <v>29525.61</v>
      </c>
      <c r="F351" s="135">
        <f>ROUND('[7]2035'!F61,2)</f>
        <v>28609.919999999998</v>
      </c>
      <c r="G351" s="135">
        <f>ROUND('[7]2035'!G61,2)</f>
        <v>27743.9</v>
      </c>
      <c r="H351" s="135">
        <f>ROUND('[7]2035'!H61,2)</f>
        <v>26913.75</v>
      </c>
      <c r="I351" s="135">
        <f>ROUND('[7]2035'!I61,2)</f>
        <v>26435.23</v>
      </c>
      <c r="J351" s="135">
        <f>ROUND('[7]2035'!J61,2)</f>
        <v>25743.1</v>
      </c>
      <c r="K351" s="135">
        <f>ROUND('[7]2035'!K61,2)</f>
        <v>24144.11</v>
      </c>
      <c r="L351" s="135">
        <f>ROUND('[7]2035'!L61,2)</f>
        <v>24946.23</v>
      </c>
      <c r="M351" s="135">
        <f>ROUND('[7]2035'!M61,2)</f>
        <v>26250.34</v>
      </c>
      <c r="N351" s="135">
        <f>ROUND('[7]2035'!N61,2)</f>
        <v>27474.73</v>
      </c>
      <c r="O351" s="135">
        <f>ROUND('[7]2035'!O61,2)</f>
        <v>28616.17</v>
      </c>
      <c r="P351" s="135">
        <f>ROUND('[7]2035'!P61,2)</f>
        <v>29586.34</v>
      </c>
      <c r="Q351" s="135">
        <f>ROUND('[7]2035'!Q61,2)</f>
        <v>30116.62</v>
      </c>
      <c r="R351" s="135">
        <f>ROUND('[7]2035'!R61,2)</f>
        <v>30140.06</v>
      </c>
      <c r="S351" s="135">
        <f>ROUND('[7]2035'!S61,2)</f>
        <v>30003.69</v>
      </c>
      <c r="T351" s="135">
        <f>ROUND('[7]2035'!T61,2)</f>
        <v>30169.56</v>
      </c>
      <c r="U351" s="135">
        <f>ROUND('[7]2035'!U61,2)</f>
        <v>30155.49</v>
      </c>
      <c r="V351" s="135">
        <f>ROUND('[7]2035'!V61,2)</f>
        <v>31130.22</v>
      </c>
      <c r="W351" s="135">
        <f>ROUND('[7]2035'!W61,2)</f>
        <v>35466.29</v>
      </c>
      <c r="X351" s="135">
        <f>ROUND('[7]2035'!X61,2)</f>
        <v>35794.25</v>
      </c>
      <c r="Y351" s="135">
        <f>ROUND('[7]2035'!Y61,2)</f>
        <v>35340.83</v>
      </c>
      <c r="Z351" s="135">
        <f>ROUND('[7]2035'!Z61,2)</f>
        <v>34266.28</v>
      </c>
      <c r="AA351" s="135">
        <f>ROUND('[7]2035'!AA61,2)</f>
        <v>32495.279999999999</v>
      </c>
      <c r="AB351" s="135">
        <f>ROUND('[7]2035'!AB61,2)</f>
        <v>30440.53</v>
      </c>
      <c r="AC351" s="282"/>
      <c r="AD351" s="19"/>
    </row>
    <row r="352" spans="2:30" ht="18.649999999999999" hidden="1" customHeight="1" thickBot="1" x14ac:dyDescent="0.4">
      <c r="B352" s="265" t="s">
        <v>34</v>
      </c>
      <c r="C352" s="12" t="s">
        <v>32</v>
      </c>
      <c r="D352" s="13">
        <f>+'[7]2035'!D62</f>
        <v>2</v>
      </c>
      <c r="E352" s="132">
        <f>ROUND('[7]2035'!E62,2)</f>
        <v>29525.61</v>
      </c>
      <c r="F352" s="132">
        <f>ROUND('[7]2035'!F62,2)</f>
        <v>28609.919999999998</v>
      </c>
      <c r="G352" s="132">
        <f>ROUND('[7]2035'!G62,2)</f>
        <v>27743.9</v>
      </c>
      <c r="H352" s="132">
        <f>ROUND('[7]2035'!H62,2)</f>
        <v>26913.75</v>
      </c>
      <c r="I352" s="132">
        <f>ROUND('[7]2035'!I62,2)</f>
        <v>26435.23</v>
      </c>
      <c r="J352" s="132">
        <f>ROUND('[7]2035'!J62,2)</f>
        <v>25743.1</v>
      </c>
      <c r="K352" s="132">
        <f>ROUND('[7]2035'!K62,2)</f>
        <v>24144.11</v>
      </c>
      <c r="L352" s="132">
        <f>ROUND('[7]2035'!L62,2)</f>
        <v>24946.23</v>
      </c>
      <c r="M352" s="132">
        <f>ROUND('[7]2035'!M62,2)</f>
        <v>26250.34</v>
      </c>
      <c r="N352" s="132">
        <f>ROUND('[7]2035'!N62,2)</f>
        <v>27474.73</v>
      </c>
      <c r="O352" s="132">
        <f>ROUND('[7]2035'!O62,2)</f>
        <v>28616.17</v>
      </c>
      <c r="P352" s="132">
        <f>ROUND('[7]2035'!P62,2)</f>
        <v>29586.34</v>
      </c>
      <c r="Q352" s="132">
        <f>ROUND('[7]2035'!Q62,2)</f>
        <v>30116.62</v>
      </c>
      <c r="R352" s="132">
        <f>ROUND('[7]2035'!R62,2)</f>
        <v>30140.06</v>
      </c>
      <c r="S352" s="132">
        <f>ROUND('[7]2035'!S62,2)</f>
        <v>30003.69</v>
      </c>
      <c r="T352" s="132">
        <f>ROUND('[7]2035'!T62,2)</f>
        <v>30169.56</v>
      </c>
      <c r="U352" s="132">
        <f>ROUND('[7]2035'!U62,2)</f>
        <v>30155.49</v>
      </c>
      <c r="V352" s="132">
        <f>ROUND('[7]2035'!V62,2)</f>
        <v>31130.22</v>
      </c>
      <c r="W352" s="132">
        <f>ROUND('[7]2035'!W62,2)</f>
        <v>35466.29</v>
      </c>
      <c r="X352" s="132">
        <f>ROUND('[7]2035'!X62,2)</f>
        <v>35794.25</v>
      </c>
      <c r="Y352" s="132">
        <f>ROUND('[7]2035'!Y62,2)</f>
        <v>35340.83</v>
      </c>
      <c r="Z352" s="132">
        <f>ROUND('[7]2035'!Z62,2)</f>
        <v>34266.28</v>
      </c>
      <c r="AA352" s="132">
        <f>ROUND('[7]2035'!AA62,2)</f>
        <v>32495.279999999999</v>
      </c>
      <c r="AB352" s="132">
        <f>ROUND('[7]2035'!AB62,2)</f>
        <v>30440.53</v>
      </c>
      <c r="AC352" s="284"/>
      <c r="AD352" s="19"/>
    </row>
    <row r="353" spans="2:50" ht="18.649999999999999" hidden="1" customHeight="1" thickBot="1" x14ac:dyDescent="0.4"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285" t="s">
        <v>33</v>
      </c>
      <c r="AA353" s="286"/>
      <c r="AB353" s="287"/>
      <c r="AC353" s="198">
        <f>SUM(AC305:AC352)</f>
        <v>287929186.06</v>
      </c>
      <c r="AD353" s="18"/>
      <c r="AE353" s="19"/>
    </row>
    <row r="354" spans="2:50" ht="18.649999999999999" hidden="1" customHeight="1" x14ac:dyDescent="0.35">
      <c r="B354" s="260">
        <v>49675</v>
      </c>
      <c r="C354" s="7" t="s">
        <v>29</v>
      </c>
      <c r="D354" s="54">
        <f>+'[7]2036'!D15</f>
        <v>21</v>
      </c>
      <c r="E354" s="134">
        <f>ROUND('[7]2036'!E15,2)</f>
        <v>34940.410000000003</v>
      </c>
      <c r="F354" s="134">
        <f>ROUND('[7]2036'!F15,2)</f>
        <v>33046.730000000003</v>
      </c>
      <c r="G354" s="134">
        <f>ROUND('[7]2036'!G15,2)</f>
        <v>31677.93</v>
      </c>
      <c r="H354" s="134">
        <f>ROUND('[7]2036'!H15,2)</f>
        <v>30720.92</v>
      </c>
      <c r="I354" s="134">
        <f>ROUND('[7]2036'!I15,2)</f>
        <v>30494.080000000002</v>
      </c>
      <c r="J354" s="134">
        <f>ROUND('[7]2036'!J15,2)</f>
        <v>31238.48</v>
      </c>
      <c r="K354" s="134">
        <f>ROUND('[7]2036'!K15,2)</f>
        <v>31005.89</v>
      </c>
      <c r="L354" s="134">
        <f>ROUND('[7]2036'!L15,2)</f>
        <v>34672.31</v>
      </c>
      <c r="M354" s="134">
        <f>ROUND('[7]2036'!M15,2)</f>
        <v>38617.550000000003</v>
      </c>
      <c r="N354" s="134">
        <f>ROUND('[7]2036'!N15,2)</f>
        <v>40902.21</v>
      </c>
      <c r="O354" s="134">
        <f>ROUND('[7]2036'!O15,2)</f>
        <v>43259.1</v>
      </c>
      <c r="P354" s="134">
        <f>ROUND('[7]2036'!P15,2)</f>
        <v>44935.23</v>
      </c>
      <c r="Q354" s="134">
        <f>ROUND('[7]2036'!Q15,2)</f>
        <v>43686.64</v>
      </c>
      <c r="R354" s="134">
        <f>ROUND('[7]2036'!R15,2)</f>
        <v>44912.24</v>
      </c>
      <c r="S354" s="134">
        <f>ROUND('[7]2036'!S15,2)</f>
        <v>46956.25</v>
      </c>
      <c r="T354" s="134">
        <f>ROUND('[7]2036'!T15,2)</f>
        <v>47150.12</v>
      </c>
      <c r="U354" s="134">
        <f>ROUND('[7]2036'!U15,2)</f>
        <v>46174.12</v>
      </c>
      <c r="V354" s="134">
        <f>ROUND('[7]2036'!V15,2)</f>
        <v>44318.6</v>
      </c>
      <c r="W354" s="134">
        <f>ROUND('[7]2036'!W15,2)</f>
        <v>46949.440000000002</v>
      </c>
      <c r="X354" s="134">
        <f>ROUND('[7]2036'!X15,2)</f>
        <v>47093.41</v>
      </c>
      <c r="Y354" s="134">
        <f>ROUND('[7]2036'!Y15,2)</f>
        <v>45980.41</v>
      </c>
      <c r="Z354" s="134">
        <f>ROUND('[7]2036'!Z15,2)</f>
        <v>44204.13</v>
      </c>
      <c r="AA354" s="134">
        <f>ROUND('[7]2036'!AA15,2)</f>
        <v>41275.300000000003</v>
      </c>
      <c r="AB354" s="134">
        <f>ROUND('[7]2036'!AB15,2)</f>
        <v>37986.78</v>
      </c>
      <c r="AC354" s="283">
        <f>SUM(E354:AB354)*D354+SUM(E355:AB355)*D355+SUM(E356:AB356)*D356+SUM(E357:AB357)*D357</f>
        <v>29074292.320000004</v>
      </c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</row>
    <row r="355" spans="2:50" ht="18.649999999999999" hidden="1" customHeight="1" x14ac:dyDescent="0.35">
      <c r="B355" s="261"/>
      <c r="C355" s="10" t="s">
        <v>30</v>
      </c>
      <c r="D355" s="11">
        <f>+'[7]2036'!D16</f>
        <v>4</v>
      </c>
      <c r="E355" s="135">
        <f>ROUND('[7]2036'!E16,2)</f>
        <v>35203.71</v>
      </c>
      <c r="F355" s="135">
        <f>ROUND('[7]2036'!F16,2)</f>
        <v>33334.53</v>
      </c>
      <c r="G355" s="135">
        <f>ROUND('[7]2036'!G16,2)</f>
        <v>31949.71</v>
      </c>
      <c r="H355" s="135">
        <f>ROUND('[7]2036'!H16,2)</f>
        <v>30857.119999999999</v>
      </c>
      <c r="I355" s="135">
        <f>ROUND('[7]2036'!I16,2)</f>
        <v>30570.66</v>
      </c>
      <c r="J355" s="135">
        <f>ROUND('[7]2036'!J16,2)</f>
        <v>30704.73</v>
      </c>
      <c r="K355" s="135">
        <f>ROUND('[7]2036'!K16,2)</f>
        <v>29911.279999999999</v>
      </c>
      <c r="L355" s="135">
        <f>ROUND('[7]2036'!L16,2)</f>
        <v>32758.33</v>
      </c>
      <c r="M355" s="135">
        <f>ROUND('[7]2036'!M16,2)</f>
        <v>36518.53</v>
      </c>
      <c r="N355" s="135">
        <f>ROUND('[7]2036'!N16,2)</f>
        <v>39006.99</v>
      </c>
      <c r="O355" s="135">
        <f>ROUND('[7]2036'!O16,2)</f>
        <v>41055.86</v>
      </c>
      <c r="P355" s="135">
        <f>ROUND('[7]2036'!P16,2)</f>
        <v>42340.13</v>
      </c>
      <c r="Q355" s="135">
        <f>ROUND('[7]2036'!Q16,2)</f>
        <v>41740</v>
      </c>
      <c r="R355" s="135">
        <f>ROUND('[7]2036'!R16,2)</f>
        <v>41319.22</v>
      </c>
      <c r="S355" s="135">
        <f>ROUND('[7]2036'!S16,2)</f>
        <v>41554.589999999997</v>
      </c>
      <c r="T355" s="135">
        <f>ROUND('[7]2036'!T16,2)</f>
        <v>41541.35</v>
      </c>
      <c r="U355" s="135">
        <f>ROUND('[7]2036'!U16,2)</f>
        <v>40928.33</v>
      </c>
      <c r="V355" s="135">
        <f>ROUND('[7]2036'!V16,2)</f>
        <v>40615.32</v>
      </c>
      <c r="W355" s="135">
        <f>ROUND('[7]2036'!W16,2)</f>
        <v>44789.73</v>
      </c>
      <c r="X355" s="135">
        <f>ROUND('[7]2036'!X16,2)</f>
        <v>45238.18</v>
      </c>
      <c r="Y355" s="135">
        <f>ROUND('[7]2036'!Y16,2)</f>
        <v>43987.81</v>
      </c>
      <c r="Z355" s="135">
        <f>ROUND('[7]2036'!Z16,2)</f>
        <v>42430.66</v>
      </c>
      <c r="AA355" s="135">
        <f>ROUND('[7]2036'!AA16,2)</f>
        <v>40315.79</v>
      </c>
      <c r="AB355" s="135">
        <f>ROUND('[7]2036'!AB16,2)</f>
        <v>37846.17</v>
      </c>
      <c r="AC355" s="282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</row>
    <row r="356" spans="2:50" ht="18.649999999999999" hidden="1" customHeight="1" x14ac:dyDescent="0.35">
      <c r="B356" s="261"/>
      <c r="C356" s="10" t="s">
        <v>31</v>
      </c>
      <c r="D356" s="11">
        <f>+'[7]2036'!D17</f>
        <v>4</v>
      </c>
      <c r="E356" s="135">
        <f>ROUND('[7]2036'!E17,2)</f>
        <v>35596</v>
      </c>
      <c r="F356" s="135">
        <f>ROUND('[7]2036'!F17,2)</f>
        <v>33793.49</v>
      </c>
      <c r="G356" s="135">
        <f>ROUND('[7]2036'!G17,2)</f>
        <v>32331.69</v>
      </c>
      <c r="H356" s="135">
        <f>ROUND('[7]2036'!H17,2)</f>
        <v>31163.360000000001</v>
      </c>
      <c r="I356" s="135">
        <f>ROUND('[7]2036'!I17,2)</f>
        <v>30569.45</v>
      </c>
      <c r="J356" s="135">
        <f>ROUND('[7]2036'!J17,2)</f>
        <v>30276.560000000001</v>
      </c>
      <c r="K356" s="135">
        <f>ROUND('[7]2036'!K17,2)</f>
        <v>28715.279999999999</v>
      </c>
      <c r="L356" s="135">
        <f>ROUND('[7]2036'!L17,2)</f>
        <v>29998.59</v>
      </c>
      <c r="M356" s="135">
        <f>ROUND('[7]2036'!M17,2)</f>
        <v>32142.17</v>
      </c>
      <c r="N356" s="135">
        <f>ROUND('[7]2036'!N17,2)</f>
        <v>34326.550000000003</v>
      </c>
      <c r="O356" s="135">
        <f>ROUND('[7]2036'!O17,2)</f>
        <v>35669.96</v>
      </c>
      <c r="P356" s="135">
        <f>ROUND('[7]2036'!P17,2)</f>
        <v>36866.230000000003</v>
      </c>
      <c r="Q356" s="135">
        <f>ROUND('[7]2036'!Q17,2)</f>
        <v>37578.47</v>
      </c>
      <c r="R356" s="135">
        <f>ROUND('[7]2036'!R17,2)</f>
        <v>37739.040000000001</v>
      </c>
      <c r="S356" s="135">
        <f>ROUND('[7]2036'!S17,2)</f>
        <v>37843.69</v>
      </c>
      <c r="T356" s="135">
        <f>ROUND('[7]2036'!T17,2)</f>
        <v>37906.589999999997</v>
      </c>
      <c r="U356" s="135">
        <f>ROUND('[7]2036'!U17,2)</f>
        <v>37684.65</v>
      </c>
      <c r="V356" s="135">
        <f>ROUND('[7]2036'!V17,2)</f>
        <v>37723.120000000003</v>
      </c>
      <c r="W356" s="135">
        <f>ROUND('[7]2036'!W17,2)</f>
        <v>42291.92</v>
      </c>
      <c r="X356" s="135">
        <f>ROUND('[7]2036'!X17,2)</f>
        <v>43673.07</v>
      </c>
      <c r="Y356" s="135">
        <f>ROUND('[7]2036'!Y17,2)</f>
        <v>43514.53</v>
      </c>
      <c r="Z356" s="135">
        <f>ROUND('[7]2036'!Z17,2)</f>
        <v>42312.18</v>
      </c>
      <c r="AA356" s="135">
        <f>ROUND('[7]2036'!AA17,2)</f>
        <v>40037.56</v>
      </c>
      <c r="AB356" s="135">
        <f>ROUND('[7]2036'!AB17,2)</f>
        <v>37254.769999999997</v>
      </c>
      <c r="AC356" s="282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</row>
    <row r="357" spans="2:50" ht="18.649999999999999" hidden="1" customHeight="1" thickBot="1" x14ac:dyDescent="0.4">
      <c r="B357" s="261"/>
      <c r="C357" s="16" t="s">
        <v>32</v>
      </c>
      <c r="D357" s="17">
        <f>+'[7]2036'!D18</f>
        <v>2</v>
      </c>
      <c r="E357" s="136">
        <f>ROUND('[7]2036'!E18,2)</f>
        <v>35596</v>
      </c>
      <c r="F357" s="136">
        <f>ROUND('[7]2036'!F18,2)</f>
        <v>33793.49</v>
      </c>
      <c r="G357" s="136">
        <f>ROUND('[7]2036'!G18,2)</f>
        <v>32331.69</v>
      </c>
      <c r="H357" s="136">
        <f>ROUND('[7]2036'!H18,2)</f>
        <v>31163.360000000001</v>
      </c>
      <c r="I357" s="136">
        <f>ROUND('[7]2036'!I18,2)</f>
        <v>30569.45</v>
      </c>
      <c r="J357" s="136">
        <f>ROUND('[7]2036'!J18,2)</f>
        <v>30276.560000000001</v>
      </c>
      <c r="K357" s="136">
        <f>ROUND('[7]2036'!K18,2)</f>
        <v>28715.279999999999</v>
      </c>
      <c r="L357" s="136">
        <f>ROUND('[7]2036'!L18,2)</f>
        <v>29998.59</v>
      </c>
      <c r="M357" s="136">
        <f>ROUND('[7]2036'!M18,2)</f>
        <v>32142.17</v>
      </c>
      <c r="N357" s="136">
        <f>ROUND('[7]2036'!N18,2)</f>
        <v>34326.550000000003</v>
      </c>
      <c r="O357" s="136">
        <f>ROUND('[7]2036'!O18,2)</f>
        <v>35669.96</v>
      </c>
      <c r="P357" s="136">
        <f>ROUND('[7]2036'!P18,2)</f>
        <v>36866.230000000003</v>
      </c>
      <c r="Q357" s="136">
        <f>ROUND('[7]2036'!Q18,2)</f>
        <v>37578.47</v>
      </c>
      <c r="R357" s="136">
        <f>ROUND('[7]2036'!R18,2)</f>
        <v>37739.040000000001</v>
      </c>
      <c r="S357" s="136">
        <f>ROUND('[7]2036'!S18,2)</f>
        <v>37843.69</v>
      </c>
      <c r="T357" s="136">
        <f>ROUND('[7]2036'!T18,2)</f>
        <v>37906.589999999997</v>
      </c>
      <c r="U357" s="136">
        <f>ROUND('[7]2036'!U18,2)</f>
        <v>37684.65</v>
      </c>
      <c r="V357" s="136">
        <f>ROUND('[7]2036'!V18,2)</f>
        <v>37723.120000000003</v>
      </c>
      <c r="W357" s="136">
        <f>ROUND('[7]2036'!W18,2)</f>
        <v>42291.92</v>
      </c>
      <c r="X357" s="136">
        <f>ROUND('[7]2036'!X18,2)</f>
        <v>43673.07</v>
      </c>
      <c r="Y357" s="136">
        <f>ROUND('[7]2036'!Y18,2)</f>
        <v>43514.53</v>
      </c>
      <c r="Z357" s="136">
        <f>ROUND('[7]2036'!Z18,2)</f>
        <v>42312.18</v>
      </c>
      <c r="AA357" s="136">
        <f>ROUND('[7]2036'!AA18,2)</f>
        <v>40037.56</v>
      </c>
      <c r="AB357" s="136">
        <f>ROUND('[7]2036'!AB18,2)</f>
        <v>37254.769999999997</v>
      </c>
      <c r="AC357" s="282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</row>
    <row r="358" spans="2:50" ht="18.649999999999999" hidden="1" customHeight="1" x14ac:dyDescent="0.35">
      <c r="B358" s="263">
        <v>49706</v>
      </c>
      <c r="C358" s="7" t="s">
        <v>29</v>
      </c>
      <c r="D358" s="8">
        <f>+'[7]2036'!D19</f>
        <v>21</v>
      </c>
      <c r="E358" s="134">
        <f>ROUND('[7]2036'!E19,2)</f>
        <v>34960.629999999997</v>
      </c>
      <c r="F358" s="134">
        <f>ROUND('[7]2036'!F19,2)</f>
        <v>33115.79</v>
      </c>
      <c r="G358" s="134">
        <f>ROUND('[7]2036'!G19,2)</f>
        <v>31798.05</v>
      </c>
      <c r="H358" s="134">
        <f>ROUND('[7]2036'!H19,2)</f>
        <v>30935.45</v>
      </c>
      <c r="I358" s="134">
        <f>ROUND('[7]2036'!I19,2)</f>
        <v>30998.78</v>
      </c>
      <c r="J358" s="134">
        <f>ROUND('[7]2036'!J19,2)</f>
        <v>32720.55</v>
      </c>
      <c r="K358" s="134">
        <f>ROUND('[7]2036'!K19,2)</f>
        <v>32633.13</v>
      </c>
      <c r="L358" s="134">
        <f>ROUND('[7]2036'!L19,2)</f>
        <v>36002.03</v>
      </c>
      <c r="M358" s="134">
        <f>ROUND('[7]2036'!M19,2)</f>
        <v>39399.07</v>
      </c>
      <c r="N358" s="134">
        <f>ROUND('[7]2036'!N19,2)</f>
        <v>41067.230000000003</v>
      </c>
      <c r="O358" s="134">
        <f>ROUND('[7]2036'!O19,2)</f>
        <v>43060.17</v>
      </c>
      <c r="P358" s="134">
        <f>ROUND('[7]2036'!P19,2)</f>
        <v>44397.26</v>
      </c>
      <c r="Q358" s="134">
        <f>ROUND('[7]2036'!Q19,2)</f>
        <v>42726.32</v>
      </c>
      <c r="R358" s="134">
        <f>ROUND('[7]2036'!R19,2)</f>
        <v>44250.13</v>
      </c>
      <c r="S358" s="134">
        <f>ROUND('[7]2036'!S19,2)</f>
        <v>46489.72</v>
      </c>
      <c r="T358" s="134">
        <f>ROUND('[7]2036'!T19,2)</f>
        <v>46777.56</v>
      </c>
      <c r="U358" s="134">
        <f>ROUND('[7]2036'!U19,2)</f>
        <v>45958.31</v>
      </c>
      <c r="V358" s="134">
        <f>ROUND('[7]2036'!V19,2)</f>
        <v>44001.08</v>
      </c>
      <c r="W358" s="134">
        <f>ROUND('[7]2036'!W19,2)</f>
        <v>46339.839999999997</v>
      </c>
      <c r="X358" s="134">
        <f>ROUND('[7]2036'!X19,2)</f>
        <v>47089.85</v>
      </c>
      <c r="Y358" s="134">
        <f>ROUND('[7]2036'!Y19,2)</f>
        <v>46157.45</v>
      </c>
      <c r="Z358" s="134">
        <f>ROUND('[7]2036'!Z19,2)</f>
        <v>44147.4</v>
      </c>
      <c r="AA358" s="134">
        <f>ROUND('[7]2036'!AA19,2)</f>
        <v>40871.269999999997</v>
      </c>
      <c r="AB358" s="134">
        <f>ROUND('[7]2036'!AB19,2)</f>
        <v>37576.79</v>
      </c>
      <c r="AC358" s="283">
        <f>SUM(E358:AB358)*D358+SUM(E359:AB359)*D359+SUM(E360:AB360)*D360+SUM(E361:AB361)*D361</f>
        <v>27440139.18</v>
      </c>
      <c r="AD358" s="19"/>
    </row>
    <row r="359" spans="2:50" ht="18.649999999999999" hidden="1" customHeight="1" x14ac:dyDescent="0.35">
      <c r="B359" s="264" t="s">
        <v>34</v>
      </c>
      <c r="C359" s="10" t="s">
        <v>30</v>
      </c>
      <c r="D359" s="11">
        <f>+'[7]2036'!D20</f>
        <v>4</v>
      </c>
      <c r="E359" s="135">
        <f>ROUND('[7]2036'!E20,2)</f>
        <v>35072.120000000003</v>
      </c>
      <c r="F359" s="135">
        <f>ROUND('[7]2036'!F20,2)</f>
        <v>33364.400000000001</v>
      </c>
      <c r="G359" s="135">
        <f>ROUND('[7]2036'!G20,2)</f>
        <v>31880.16</v>
      </c>
      <c r="H359" s="135">
        <f>ROUND('[7]2036'!H20,2)</f>
        <v>30873.360000000001</v>
      </c>
      <c r="I359" s="135">
        <f>ROUND('[7]2036'!I20,2)</f>
        <v>30488.959999999999</v>
      </c>
      <c r="J359" s="135">
        <f>ROUND('[7]2036'!J20,2)</f>
        <v>30794.05</v>
      </c>
      <c r="K359" s="135">
        <f>ROUND('[7]2036'!K20,2)</f>
        <v>30483.59</v>
      </c>
      <c r="L359" s="135">
        <f>ROUND('[7]2036'!L20,2)</f>
        <v>33513.03</v>
      </c>
      <c r="M359" s="135">
        <f>ROUND('[7]2036'!M20,2)</f>
        <v>37155.449999999997</v>
      </c>
      <c r="N359" s="135">
        <f>ROUND('[7]2036'!N20,2)</f>
        <v>39443.199999999997</v>
      </c>
      <c r="O359" s="135">
        <f>ROUND('[7]2036'!O20,2)</f>
        <v>41313.730000000003</v>
      </c>
      <c r="P359" s="135">
        <f>ROUND('[7]2036'!P20,2)</f>
        <v>42552.66</v>
      </c>
      <c r="Q359" s="135">
        <f>ROUND('[7]2036'!Q20,2)</f>
        <v>41810.410000000003</v>
      </c>
      <c r="R359" s="135">
        <f>ROUND('[7]2036'!R20,2)</f>
        <v>41322.61</v>
      </c>
      <c r="S359" s="135">
        <f>ROUND('[7]2036'!S20,2)</f>
        <v>41539.58</v>
      </c>
      <c r="T359" s="135">
        <f>ROUND('[7]2036'!T20,2)</f>
        <v>41534.370000000003</v>
      </c>
      <c r="U359" s="135">
        <f>ROUND('[7]2036'!U20,2)</f>
        <v>40903.81</v>
      </c>
      <c r="V359" s="135">
        <f>ROUND('[7]2036'!V20,2)</f>
        <v>40618.89</v>
      </c>
      <c r="W359" s="135">
        <f>ROUND('[7]2036'!W20,2)</f>
        <v>44492.02</v>
      </c>
      <c r="X359" s="135">
        <f>ROUND('[7]2036'!X20,2)</f>
        <v>45396.2</v>
      </c>
      <c r="Y359" s="135">
        <f>ROUND('[7]2036'!Y20,2)</f>
        <v>44216.61</v>
      </c>
      <c r="Z359" s="135">
        <f>ROUND('[7]2036'!Z20,2)</f>
        <v>42623.46</v>
      </c>
      <c r="AA359" s="135">
        <f>ROUND('[7]2036'!AA20,2)</f>
        <v>40458.17</v>
      </c>
      <c r="AB359" s="135">
        <f>ROUND('[7]2036'!AB20,2)</f>
        <v>37911.43</v>
      </c>
      <c r="AC359" s="282"/>
      <c r="AD359" s="19"/>
    </row>
    <row r="360" spans="2:50" ht="18.649999999999999" hidden="1" customHeight="1" x14ac:dyDescent="0.35">
      <c r="B360" s="264" t="s">
        <v>34</v>
      </c>
      <c r="C360" s="10" t="s">
        <v>31</v>
      </c>
      <c r="D360" s="11">
        <f>+'[7]2036'!D21</f>
        <v>4</v>
      </c>
      <c r="E360" s="135">
        <f>ROUND('[7]2036'!E21,2)</f>
        <v>35617.32</v>
      </c>
      <c r="F360" s="135">
        <f>ROUND('[7]2036'!F21,2)</f>
        <v>33793.68</v>
      </c>
      <c r="G360" s="135">
        <f>ROUND('[7]2036'!G21,2)</f>
        <v>32382.95</v>
      </c>
      <c r="H360" s="135">
        <f>ROUND('[7]2036'!H21,2)</f>
        <v>31348.06</v>
      </c>
      <c r="I360" s="135">
        <f>ROUND('[7]2036'!I21,2)</f>
        <v>30692.62</v>
      </c>
      <c r="J360" s="135">
        <f>ROUND('[7]2036'!J21,2)</f>
        <v>30554.95</v>
      </c>
      <c r="K360" s="135">
        <f>ROUND('[7]2036'!K21,2)</f>
        <v>29208.42</v>
      </c>
      <c r="L360" s="135">
        <f>ROUND('[7]2036'!L21,2)</f>
        <v>30513.47</v>
      </c>
      <c r="M360" s="135">
        <f>ROUND('[7]2036'!M21,2)</f>
        <v>32650.400000000001</v>
      </c>
      <c r="N360" s="135">
        <f>ROUND('[7]2036'!N21,2)</f>
        <v>34590.89</v>
      </c>
      <c r="O360" s="135">
        <f>ROUND('[7]2036'!O21,2)</f>
        <v>36006.089999999997</v>
      </c>
      <c r="P360" s="135">
        <f>ROUND('[7]2036'!P21,2)</f>
        <v>37445.43</v>
      </c>
      <c r="Q360" s="135">
        <f>ROUND('[7]2036'!Q21,2)</f>
        <v>38270.93</v>
      </c>
      <c r="R360" s="135">
        <f>ROUND('[7]2036'!R21,2)</f>
        <v>38523.89</v>
      </c>
      <c r="S360" s="135">
        <f>ROUND('[7]2036'!S21,2)</f>
        <v>38752.839999999997</v>
      </c>
      <c r="T360" s="135">
        <f>ROUND('[7]2036'!T21,2)</f>
        <v>38929.870000000003</v>
      </c>
      <c r="U360" s="135">
        <f>ROUND('[7]2036'!U21,2)</f>
        <v>38674.51</v>
      </c>
      <c r="V360" s="135">
        <f>ROUND('[7]2036'!V21,2)</f>
        <v>38583.9</v>
      </c>
      <c r="W360" s="135">
        <f>ROUND('[7]2036'!W21,2)</f>
        <v>42900.45</v>
      </c>
      <c r="X360" s="135">
        <f>ROUND('[7]2036'!X21,2)</f>
        <v>44832.87</v>
      </c>
      <c r="Y360" s="135">
        <f>ROUND('[7]2036'!Y21,2)</f>
        <v>44866.04</v>
      </c>
      <c r="Z360" s="135">
        <f>ROUND('[7]2036'!Z21,2)</f>
        <v>43753.2</v>
      </c>
      <c r="AA360" s="135">
        <f>ROUND('[7]2036'!AA21,2)</f>
        <v>41135.339999999997</v>
      </c>
      <c r="AB360" s="135">
        <f>ROUND('[7]2036'!AB21,2)</f>
        <v>38006.639999999999</v>
      </c>
      <c r="AC360" s="282"/>
      <c r="AD360" s="19"/>
    </row>
    <row r="361" spans="2:50" ht="18.649999999999999" hidden="1" customHeight="1" thickBot="1" x14ac:dyDescent="0.4">
      <c r="B361" s="265" t="s">
        <v>34</v>
      </c>
      <c r="C361" s="12" t="s">
        <v>32</v>
      </c>
      <c r="D361" s="13">
        <f>+'[7]2036'!D22</f>
        <v>0</v>
      </c>
      <c r="E361" s="199">
        <f>ROUND('[7]2036'!E22,2)</f>
        <v>0</v>
      </c>
      <c r="F361" s="115">
        <f>ROUND('[7]2036'!F22,2)</f>
        <v>0</v>
      </c>
      <c r="G361" s="115">
        <f>ROUND('[7]2036'!G22,2)</f>
        <v>0</v>
      </c>
      <c r="H361" s="115">
        <f>ROUND('[7]2036'!H22,2)</f>
        <v>0</v>
      </c>
      <c r="I361" s="115">
        <f>ROUND('[7]2036'!I22,2)</f>
        <v>0</v>
      </c>
      <c r="J361" s="115">
        <f>ROUND('[7]2036'!J22,2)</f>
        <v>0</v>
      </c>
      <c r="K361" s="115">
        <f>ROUND('[7]2036'!K22,2)</f>
        <v>0</v>
      </c>
      <c r="L361" s="115">
        <f>ROUND('[7]2036'!L22,2)</f>
        <v>0</v>
      </c>
      <c r="M361" s="115">
        <f>ROUND('[7]2036'!M22,2)</f>
        <v>0</v>
      </c>
      <c r="N361" s="115">
        <f>ROUND('[7]2036'!N22,2)</f>
        <v>0</v>
      </c>
      <c r="O361" s="115">
        <f>ROUND('[7]2036'!O22,2)</f>
        <v>0</v>
      </c>
      <c r="P361" s="115">
        <f>ROUND('[7]2036'!P22,2)</f>
        <v>0</v>
      </c>
      <c r="Q361" s="115">
        <f>ROUND('[7]2036'!Q22,2)</f>
        <v>0</v>
      </c>
      <c r="R361" s="115">
        <f>ROUND('[7]2036'!R22,2)</f>
        <v>0</v>
      </c>
      <c r="S361" s="115">
        <f>ROUND('[7]2036'!S22,2)</f>
        <v>0</v>
      </c>
      <c r="T361" s="115">
        <f>ROUND('[7]2036'!T22,2)</f>
        <v>0</v>
      </c>
      <c r="U361" s="115">
        <f>ROUND('[7]2036'!U22,2)</f>
        <v>0</v>
      </c>
      <c r="V361" s="115">
        <f>ROUND('[7]2036'!V22,2)</f>
        <v>0</v>
      </c>
      <c r="W361" s="115">
        <f>ROUND('[7]2036'!W22,2)</f>
        <v>0</v>
      </c>
      <c r="X361" s="115">
        <f>ROUND('[7]2036'!X22,2)</f>
        <v>0</v>
      </c>
      <c r="Y361" s="115">
        <f>ROUND('[7]2036'!Y22,2)</f>
        <v>0</v>
      </c>
      <c r="Z361" s="115">
        <f>ROUND('[7]2036'!Z22,2)</f>
        <v>0</v>
      </c>
      <c r="AA361" s="115">
        <f>ROUND('[7]2036'!AA22,2)</f>
        <v>0</v>
      </c>
      <c r="AB361" s="115">
        <f>ROUND('[7]2036'!AB22,2)</f>
        <v>0</v>
      </c>
      <c r="AC361" s="284"/>
      <c r="AD361" s="19"/>
    </row>
    <row r="362" spans="2:50" ht="18.649999999999999" hidden="1" customHeight="1" x14ac:dyDescent="0.35">
      <c r="B362" s="260">
        <v>49735</v>
      </c>
      <c r="C362" s="14" t="s">
        <v>29</v>
      </c>
      <c r="D362" s="15">
        <f>+'[7]2036'!D23</f>
        <v>20</v>
      </c>
      <c r="E362" s="137">
        <f>ROUND('[7]2036'!E23,2)</f>
        <v>36527.29</v>
      </c>
      <c r="F362" s="137">
        <f>ROUND('[7]2036'!F23,2)</f>
        <v>34596.910000000003</v>
      </c>
      <c r="G362" s="137">
        <f>ROUND('[7]2036'!G23,2)</f>
        <v>33142.18</v>
      </c>
      <c r="H362" s="137">
        <f>ROUND('[7]2036'!H23,2)</f>
        <v>32068.55</v>
      </c>
      <c r="I362" s="137">
        <f>ROUND('[7]2036'!I23,2)</f>
        <v>31907.18</v>
      </c>
      <c r="J362" s="137">
        <f>ROUND('[7]2036'!J23,2)</f>
        <v>33075.5</v>
      </c>
      <c r="K362" s="137">
        <f>ROUND('[7]2036'!K23,2)</f>
        <v>32848.35</v>
      </c>
      <c r="L362" s="137">
        <f>ROUND('[7]2036'!L23,2)</f>
        <v>36613.68</v>
      </c>
      <c r="M362" s="137">
        <f>ROUND('[7]2036'!M23,2)</f>
        <v>40411.25</v>
      </c>
      <c r="N362" s="137">
        <f>ROUND('[7]2036'!N23,2)</f>
        <v>42398.76</v>
      </c>
      <c r="O362" s="137">
        <f>ROUND('[7]2036'!O23,2)</f>
        <v>44653.19</v>
      </c>
      <c r="P362" s="137">
        <f>ROUND('[7]2036'!P23,2)</f>
        <v>46120.91</v>
      </c>
      <c r="Q362" s="137">
        <f>ROUND('[7]2036'!Q23,2)</f>
        <v>44460.99</v>
      </c>
      <c r="R362" s="137">
        <f>ROUND('[7]2036'!R23,2)</f>
        <v>46232.84</v>
      </c>
      <c r="S362" s="137">
        <f>ROUND('[7]2036'!S23,2)</f>
        <v>48380.45</v>
      </c>
      <c r="T362" s="137">
        <f>ROUND('[7]2036'!T23,2)</f>
        <v>48611.21</v>
      </c>
      <c r="U362" s="137">
        <f>ROUND('[7]2036'!U23,2)</f>
        <v>47766.41</v>
      </c>
      <c r="V362" s="137">
        <f>ROUND('[7]2036'!V23,2)</f>
        <v>45726.01</v>
      </c>
      <c r="W362" s="137">
        <f>ROUND('[7]2036'!W23,2)</f>
        <v>47777.22</v>
      </c>
      <c r="X362" s="137">
        <f>ROUND('[7]2036'!X23,2)</f>
        <v>48374.38</v>
      </c>
      <c r="Y362" s="137">
        <f>ROUND('[7]2036'!Y23,2)</f>
        <v>47504.69</v>
      </c>
      <c r="Z362" s="137">
        <f>ROUND('[7]2036'!Z23,2)</f>
        <v>45661.37</v>
      </c>
      <c r="AA362" s="137">
        <f>ROUND('[7]2036'!AA23,2)</f>
        <v>42777.51</v>
      </c>
      <c r="AB362" s="137">
        <f>ROUND('[7]2036'!AB23,2)</f>
        <v>39533.5</v>
      </c>
      <c r="AC362" s="282">
        <f>SUM(E362:AB362)*D362+SUM(E363:AB363)*D363+SUM(E364:AB364)*D364+SUM(E365:AB365)*D365</f>
        <v>29869754.319999997</v>
      </c>
      <c r="AD362" s="19"/>
    </row>
    <row r="363" spans="2:50" ht="18.649999999999999" hidden="1" customHeight="1" x14ac:dyDescent="0.35">
      <c r="B363" s="261"/>
      <c r="C363" s="10" t="s">
        <v>30</v>
      </c>
      <c r="D363" s="11">
        <f>+'[7]2036'!D24</f>
        <v>5</v>
      </c>
      <c r="E363" s="135">
        <f>ROUND('[7]2036'!E24,2)</f>
        <v>36633.4</v>
      </c>
      <c r="F363" s="135">
        <f>ROUND('[7]2036'!F24,2)</f>
        <v>34641.74</v>
      </c>
      <c r="G363" s="135">
        <f>ROUND('[7]2036'!G24,2)</f>
        <v>33238.81</v>
      </c>
      <c r="H363" s="135">
        <f>ROUND('[7]2036'!H24,2)</f>
        <v>32128.57</v>
      </c>
      <c r="I363" s="135">
        <f>ROUND('[7]2036'!I24,2)</f>
        <v>31465.81</v>
      </c>
      <c r="J363" s="135">
        <f>ROUND('[7]2036'!J24,2)</f>
        <v>31364.49</v>
      </c>
      <c r="K363" s="135">
        <f>ROUND('[7]2036'!K24,2)</f>
        <v>30905.09</v>
      </c>
      <c r="L363" s="135">
        <f>ROUND('[7]2036'!L24,2)</f>
        <v>33861.65</v>
      </c>
      <c r="M363" s="135">
        <f>ROUND('[7]2036'!M24,2)</f>
        <v>37425.58</v>
      </c>
      <c r="N363" s="135">
        <f>ROUND('[7]2036'!N24,2)</f>
        <v>39657.39</v>
      </c>
      <c r="O363" s="135">
        <f>ROUND('[7]2036'!O24,2)</f>
        <v>41435.21</v>
      </c>
      <c r="P363" s="135">
        <f>ROUND('[7]2036'!P24,2)</f>
        <v>42571.76</v>
      </c>
      <c r="Q363" s="135">
        <f>ROUND('[7]2036'!Q24,2)</f>
        <v>41968.04</v>
      </c>
      <c r="R363" s="135">
        <f>ROUND('[7]2036'!R24,2)</f>
        <v>41530.800000000003</v>
      </c>
      <c r="S363" s="135">
        <f>ROUND('[7]2036'!S24,2)</f>
        <v>41281.040000000001</v>
      </c>
      <c r="T363" s="135">
        <f>ROUND('[7]2036'!T24,2)</f>
        <v>42300.57</v>
      </c>
      <c r="U363" s="135">
        <f>ROUND('[7]2036'!U24,2)</f>
        <v>40866.68</v>
      </c>
      <c r="V363" s="135">
        <f>ROUND('[7]2036'!V24,2)</f>
        <v>40534.89</v>
      </c>
      <c r="W363" s="135">
        <f>ROUND('[7]2036'!W24,2)</f>
        <v>44778.78</v>
      </c>
      <c r="X363" s="135">
        <f>ROUND('[7]2036'!X24,2)</f>
        <v>45446.74</v>
      </c>
      <c r="Y363" s="135">
        <f>ROUND('[7]2036'!Y24,2)</f>
        <v>44343.1</v>
      </c>
      <c r="Z363" s="135">
        <f>ROUND('[7]2036'!Z24,2)</f>
        <v>42922.84</v>
      </c>
      <c r="AA363" s="135">
        <f>ROUND('[7]2036'!AA24,2)</f>
        <v>41039.11</v>
      </c>
      <c r="AB363" s="135">
        <f>ROUND('[7]2036'!AB24,2)</f>
        <v>38644.93</v>
      </c>
      <c r="AC363" s="282"/>
      <c r="AD363" s="19"/>
    </row>
    <row r="364" spans="2:50" ht="18.649999999999999" hidden="1" customHeight="1" x14ac:dyDescent="0.35">
      <c r="B364" s="261"/>
      <c r="C364" s="10" t="s">
        <v>31</v>
      </c>
      <c r="D364" s="11">
        <f>+'[7]2036'!D25</f>
        <v>5</v>
      </c>
      <c r="E364" s="135">
        <f>ROUND('[7]2036'!E25,2)</f>
        <v>36339.980000000003</v>
      </c>
      <c r="F364" s="135">
        <f>ROUND('[7]2036'!F25,2)</f>
        <v>34479.620000000003</v>
      </c>
      <c r="G364" s="135">
        <f>ROUND('[7]2036'!G25,2)</f>
        <v>32819.040000000001</v>
      </c>
      <c r="H364" s="135">
        <f>ROUND('[7]2036'!H25,2)</f>
        <v>31654.01</v>
      </c>
      <c r="I364" s="135">
        <f>ROUND('[7]2036'!I25,2)</f>
        <v>31113.77</v>
      </c>
      <c r="J364" s="135">
        <f>ROUND('[7]2036'!J25,2)</f>
        <v>30761.83</v>
      </c>
      <c r="K364" s="135">
        <f>ROUND('[7]2036'!K25,2)</f>
        <v>29259.02</v>
      </c>
      <c r="L364" s="135">
        <f>ROUND('[7]2036'!L25,2)</f>
        <v>30666.09</v>
      </c>
      <c r="M364" s="135">
        <f>ROUND('[7]2036'!M25,2)</f>
        <v>32704.81</v>
      </c>
      <c r="N364" s="135">
        <f>ROUND('[7]2036'!N25,2)</f>
        <v>34568.92</v>
      </c>
      <c r="O364" s="135">
        <f>ROUND('[7]2036'!O25,2)</f>
        <v>35982.080000000002</v>
      </c>
      <c r="P364" s="135">
        <f>ROUND('[7]2036'!P25,2)</f>
        <v>37318.11</v>
      </c>
      <c r="Q364" s="135">
        <f>ROUND('[7]2036'!Q25,2)</f>
        <v>37989.22</v>
      </c>
      <c r="R364" s="135">
        <f>ROUND('[7]2036'!R25,2)</f>
        <v>38160.699999999997</v>
      </c>
      <c r="S364" s="135">
        <f>ROUND('[7]2036'!S25,2)</f>
        <v>38356.949999999997</v>
      </c>
      <c r="T364" s="135">
        <f>ROUND('[7]2036'!T25,2)</f>
        <v>38630.410000000003</v>
      </c>
      <c r="U364" s="135">
        <f>ROUND('[7]2036'!U25,2)</f>
        <v>38153.050000000003</v>
      </c>
      <c r="V364" s="135">
        <f>ROUND('[7]2036'!V25,2)</f>
        <v>38244.83</v>
      </c>
      <c r="W364" s="135">
        <f>ROUND('[7]2036'!W25,2)</f>
        <v>42362.75</v>
      </c>
      <c r="X364" s="135">
        <f>ROUND('[7]2036'!X25,2)</f>
        <v>43885.599999999999</v>
      </c>
      <c r="Y364" s="135">
        <f>ROUND('[7]2036'!Y25,2)</f>
        <v>43806.74</v>
      </c>
      <c r="Z364" s="135">
        <f>ROUND('[7]2036'!Z25,2)</f>
        <v>42958.05</v>
      </c>
      <c r="AA364" s="135">
        <f>ROUND('[7]2036'!AA25,2)</f>
        <v>40674.660000000003</v>
      </c>
      <c r="AB364" s="135">
        <f>ROUND('[7]2036'!AB25,2)</f>
        <v>37678.53</v>
      </c>
      <c r="AC364" s="282"/>
      <c r="AD364" s="19"/>
    </row>
    <row r="365" spans="2:50" ht="18.649999999999999" hidden="1" customHeight="1" thickBot="1" x14ac:dyDescent="0.4">
      <c r="B365" s="261"/>
      <c r="C365" s="16" t="s">
        <v>32</v>
      </c>
      <c r="D365" s="17">
        <f>+'[7]2036'!D26</f>
        <v>1</v>
      </c>
      <c r="E365" s="136">
        <f>ROUND('[7]2036'!E26,2)</f>
        <v>36339.980000000003</v>
      </c>
      <c r="F365" s="136">
        <f>ROUND('[7]2036'!F26,2)</f>
        <v>34479.620000000003</v>
      </c>
      <c r="G365" s="136">
        <f>ROUND('[7]2036'!G26,2)</f>
        <v>32819.040000000001</v>
      </c>
      <c r="H365" s="136">
        <f>ROUND('[7]2036'!H26,2)</f>
        <v>31654.01</v>
      </c>
      <c r="I365" s="136">
        <f>ROUND('[7]2036'!I26,2)</f>
        <v>31113.77</v>
      </c>
      <c r="J365" s="136">
        <f>ROUND('[7]2036'!J26,2)</f>
        <v>30761.83</v>
      </c>
      <c r="K365" s="136">
        <f>ROUND('[7]2036'!K26,2)</f>
        <v>29259.02</v>
      </c>
      <c r="L365" s="136">
        <f>ROUND('[7]2036'!L26,2)</f>
        <v>30666.09</v>
      </c>
      <c r="M365" s="136">
        <f>ROUND('[7]2036'!M26,2)</f>
        <v>32704.81</v>
      </c>
      <c r="N365" s="136">
        <f>ROUND('[7]2036'!N26,2)</f>
        <v>34568.92</v>
      </c>
      <c r="O365" s="136">
        <f>ROUND('[7]2036'!O26,2)</f>
        <v>35982.080000000002</v>
      </c>
      <c r="P365" s="136">
        <f>ROUND('[7]2036'!P26,2)</f>
        <v>37318.11</v>
      </c>
      <c r="Q365" s="136">
        <f>ROUND('[7]2036'!Q26,2)</f>
        <v>37989.22</v>
      </c>
      <c r="R365" s="136">
        <f>ROUND('[7]2036'!R26,2)</f>
        <v>38160.699999999997</v>
      </c>
      <c r="S365" s="136">
        <f>ROUND('[7]2036'!S26,2)</f>
        <v>38356.949999999997</v>
      </c>
      <c r="T365" s="136">
        <f>ROUND('[7]2036'!T26,2)</f>
        <v>38630.410000000003</v>
      </c>
      <c r="U365" s="136">
        <f>ROUND('[7]2036'!U26,2)</f>
        <v>38153.050000000003</v>
      </c>
      <c r="V365" s="136">
        <f>ROUND('[7]2036'!V26,2)</f>
        <v>38244.83</v>
      </c>
      <c r="W365" s="136">
        <f>ROUND('[7]2036'!W26,2)</f>
        <v>42362.75</v>
      </c>
      <c r="X365" s="136">
        <f>ROUND('[7]2036'!X26,2)</f>
        <v>43885.599999999999</v>
      </c>
      <c r="Y365" s="136">
        <f>ROUND('[7]2036'!Y26,2)</f>
        <v>43806.74</v>
      </c>
      <c r="Z365" s="136">
        <f>ROUND('[7]2036'!Z26,2)</f>
        <v>42958.05</v>
      </c>
      <c r="AA365" s="136">
        <f>ROUND('[7]2036'!AA26,2)</f>
        <v>40674.660000000003</v>
      </c>
      <c r="AB365" s="136">
        <f>ROUND('[7]2036'!AB26,2)</f>
        <v>37678.53</v>
      </c>
      <c r="AC365" s="282"/>
      <c r="AD365" s="19"/>
    </row>
    <row r="366" spans="2:50" ht="18.649999999999999" hidden="1" customHeight="1" x14ac:dyDescent="0.35">
      <c r="B366" s="263">
        <v>49766</v>
      </c>
      <c r="C366" s="7" t="s">
        <v>29</v>
      </c>
      <c r="D366" s="8">
        <f>+'[7]2036'!D27</f>
        <v>20</v>
      </c>
      <c r="E366" s="134">
        <f>ROUND('[7]2036'!E27,2)</f>
        <v>35888.58</v>
      </c>
      <c r="F366" s="134">
        <f>ROUND('[7]2036'!F27,2)</f>
        <v>34341.269999999997</v>
      </c>
      <c r="G366" s="134">
        <f>ROUND('[7]2036'!G27,2)</f>
        <v>32824.65</v>
      </c>
      <c r="H366" s="134">
        <f>ROUND('[7]2036'!H27,2)</f>
        <v>31976.97</v>
      </c>
      <c r="I366" s="134">
        <f>ROUND('[7]2036'!I27,2)</f>
        <v>31774.43</v>
      </c>
      <c r="J366" s="134">
        <f>ROUND('[7]2036'!J27,2)</f>
        <v>31444.57</v>
      </c>
      <c r="K366" s="134">
        <f>ROUND('[7]2036'!K27,2)</f>
        <v>31553.74</v>
      </c>
      <c r="L366" s="134">
        <f>ROUND('[7]2036'!L27,2)</f>
        <v>35100.57</v>
      </c>
      <c r="M366" s="134">
        <f>ROUND('[7]2036'!M27,2)</f>
        <v>39126.42</v>
      </c>
      <c r="N366" s="134">
        <f>ROUND('[7]2036'!N27,2)</f>
        <v>41505.22</v>
      </c>
      <c r="O366" s="134">
        <f>ROUND('[7]2036'!O27,2)</f>
        <v>43482.78</v>
      </c>
      <c r="P366" s="134">
        <f>ROUND('[7]2036'!P27,2)</f>
        <v>44728.73</v>
      </c>
      <c r="Q366" s="134">
        <f>ROUND('[7]2036'!Q27,2)</f>
        <v>43897.47</v>
      </c>
      <c r="R366" s="134">
        <f>ROUND('[7]2036'!R27,2)</f>
        <v>43371.040000000001</v>
      </c>
      <c r="S366" s="134">
        <f>ROUND('[7]2036'!S27,2)</f>
        <v>43671.93</v>
      </c>
      <c r="T366" s="134">
        <f>ROUND('[7]2036'!T27,2)</f>
        <v>43665.45</v>
      </c>
      <c r="U366" s="134">
        <f>ROUND('[7]2036'!U27,2)</f>
        <v>42978.73</v>
      </c>
      <c r="V366" s="134">
        <f>ROUND('[7]2036'!V27,2)</f>
        <v>42730.53</v>
      </c>
      <c r="W366" s="134">
        <f>ROUND('[7]2036'!W27,2)</f>
        <v>47065.45</v>
      </c>
      <c r="X366" s="134">
        <f>ROUND('[7]2036'!X27,2)</f>
        <v>47439.94</v>
      </c>
      <c r="Y366" s="134">
        <f>ROUND('[7]2036'!Y27,2)</f>
        <v>46278.15</v>
      </c>
      <c r="Z366" s="134">
        <f>ROUND('[7]2036'!Z27,2)</f>
        <v>44670.45</v>
      </c>
      <c r="AA366" s="134">
        <f>ROUND('[7]2036'!AA27,2)</f>
        <v>42473.279999999999</v>
      </c>
      <c r="AB366" s="134">
        <f>ROUND('[7]2036'!AB27,2)</f>
        <v>39811.760000000002</v>
      </c>
      <c r="AC366" s="283">
        <f>SUM(E366:AB366)*D366+SUM(E367:AB367)*D367+SUM(E368:AB368)*D368+SUM(E369:AB369)*D369</f>
        <v>28479297.159999996</v>
      </c>
      <c r="AD366" s="19"/>
    </row>
    <row r="367" spans="2:50" ht="18.649999999999999" hidden="1" customHeight="1" x14ac:dyDescent="0.35">
      <c r="B367" s="264" t="s">
        <v>34</v>
      </c>
      <c r="C367" s="10" t="s">
        <v>30</v>
      </c>
      <c r="D367" s="11">
        <f>+'[7]2036'!D28</f>
        <v>4</v>
      </c>
      <c r="E367" s="135">
        <f>ROUND('[7]2036'!E28,2)</f>
        <v>34649.93</v>
      </c>
      <c r="F367" s="135">
        <f>ROUND('[7]2036'!F28,2)</f>
        <v>32942.19</v>
      </c>
      <c r="G367" s="135">
        <f>ROUND('[7]2036'!G28,2)</f>
        <v>31644.99</v>
      </c>
      <c r="H367" s="135">
        <f>ROUND('[7]2036'!H28,2)</f>
        <v>30688.47</v>
      </c>
      <c r="I367" s="135">
        <f>ROUND('[7]2036'!I28,2)</f>
        <v>30717.13</v>
      </c>
      <c r="J367" s="135">
        <f>ROUND('[7]2036'!J28,2)</f>
        <v>31095.97</v>
      </c>
      <c r="K367" s="135">
        <f>ROUND('[7]2036'!K28,2)</f>
        <v>31794.639999999999</v>
      </c>
      <c r="L367" s="135">
        <f>ROUND('[7]2036'!L28,2)</f>
        <v>35254.31</v>
      </c>
      <c r="M367" s="135">
        <f>ROUND('[7]2036'!M28,2)</f>
        <v>38809.43</v>
      </c>
      <c r="N367" s="135">
        <f>ROUND('[7]2036'!N28,2)</f>
        <v>40880.35</v>
      </c>
      <c r="O367" s="135">
        <f>ROUND('[7]2036'!O28,2)</f>
        <v>42737.599999999999</v>
      </c>
      <c r="P367" s="135">
        <f>ROUND('[7]2036'!P28,2)</f>
        <v>44019.71</v>
      </c>
      <c r="Q367" s="135">
        <f>ROUND('[7]2036'!Q28,2)</f>
        <v>42815.44</v>
      </c>
      <c r="R367" s="135">
        <f>ROUND('[7]2036'!R28,2)</f>
        <v>43660.36</v>
      </c>
      <c r="S367" s="135">
        <f>ROUND('[7]2036'!S28,2)</f>
        <v>45115.28</v>
      </c>
      <c r="T367" s="135">
        <f>ROUND('[7]2036'!T28,2)</f>
        <v>45212.25</v>
      </c>
      <c r="U367" s="135">
        <f>ROUND('[7]2036'!U28,2)</f>
        <v>44500.22</v>
      </c>
      <c r="V367" s="135">
        <f>ROUND('[7]2036'!V28,2)</f>
        <v>43528.28</v>
      </c>
      <c r="W367" s="135">
        <f>ROUND('[7]2036'!W28,2)</f>
        <v>46527.96</v>
      </c>
      <c r="X367" s="135">
        <f>ROUND('[7]2036'!X28,2)</f>
        <v>46930.21</v>
      </c>
      <c r="Y367" s="135">
        <f>ROUND('[7]2036'!Y28,2)</f>
        <v>45707.839999999997</v>
      </c>
      <c r="Z367" s="135">
        <f>ROUND('[7]2036'!Z28,2)</f>
        <v>43703.26</v>
      </c>
      <c r="AA367" s="135">
        <f>ROUND('[7]2036'!AA28,2)</f>
        <v>40555.75</v>
      </c>
      <c r="AB367" s="135">
        <f>ROUND('[7]2036'!AB28,2)</f>
        <v>37079.96</v>
      </c>
      <c r="AC367" s="282"/>
      <c r="AD367" s="19"/>
    </row>
    <row r="368" spans="2:50" ht="18.649999999999999" hidden="1" customHeight="1" x14ac:dyDescent="0.35">
      <c r="B368" s="264" t="s">
        <v>34</v>
      </c>
      <c r="C368" s="10" t="s">
        <v>31</v>
      </c>
      <c r="D368" s="11">
        <f>+'[7]2036'!D29</f>
        <v>4</v>
      </c>
      <c r="E368" s="135">
        <f>ROUND('[7]2036'!E29,2)</f>
        <v>37342.28</v>
      </c>
      <c r="F368" s="135">
        <f>ROUND('[7]2036'!F29,2)</f>
        <v>35451.379999999997</v>
      </c>
      <c r="G368" s="135">
        <f>ROUND('[7]2036'!G29,2)</f>
        <v>33884.97</v>
      </c>
      <c r="H368" s="135">
        <f>ROUND('[7]2036'!H29,2)</f>
        <v>32816.449999999997</v>
      </c>
      <c r="I368" s="135">
        <f>ROUND('[7]2036'!I29,2)</f>
        <v>32190.400000000001</v>
      </c>
      <c r="J368" s="135">
        <f>ROUND('[7]2036'!J29,2)</f>
        <v>31235.77</v>
      </c>
      <c r="K368" s="135">
        <f>ROUND('[7]2036'!K29,2)</f>
        <v>30279.29</v>
      </c>
      <c r="L368" s="135">
        <f>ROUND('[7]2036'!L29,2)</f>
        <v>31975.5</v>
      </c>
      <c r="M368" s="135">
        <f>ROUND('[7]2036'!M29,2)</f>
        <v>34217.199999999997</v>
      </c>
      <c r="N368" s="135">
        <f>ROUND('[7]2036'!N29,2)</f>
        <v>36238.559999999998</v>
      </c>
      <c r="O368" s="135">
        <f>ROUND('[7]2036'!O29,2)</f>
        <v>37836.629999999997</v>
      </c>
      <c r="P368" s="135">
        <f>ROUND('[7]2036'!P29,2)</f>
        <v>39140.629999999997</v>
      </c>
      <c r="Q368" s="135">
        <f>ROUND('[7]2036'!Q29,2)</f>
        <v>39740.97</v>
      </c>
      <c r="R368" s="135">
        <f>ROUND('[7]2036'!R29,2)</f>
        <v>39851.910000000003</v>
      </c>
      <c r="S368" s="135">
        <f>ROUND('[7]2036'!S29,2)</f>
        <v>39633.279999999999</v>
      </c>
      <c r="T368" s="135">
        <f>ROUND('[7]2036'!T29,2)</f>
        <v>39457.03</v>
      </c>
      <c r="U368" s="135">
        <f>ROUND('[7]2036'!U29,2)</f>
        <v>39054.410000000003</v>
      </c>
      <c r="V368" s="135">
        <f>ROUND('[7]2036'!V29,2)</f>
        <v>39427.5</v>
      </c>
      <c r="W368" s="135">
        <f>ROUND('[7]2036'!W29,2)</f>
        <v>44052.73</v>
      </c>
      <c r="X368" s="135">
        <f>ROUND('[7]2036'!X29,2)</f>
        <v>45377.16</v>
      </c>
      <c r="Y368" s="135">
        <f>ROUND('[7]2036'!Y29,2)</f>
        <v>45070.66</v>
      </c>
      <c r="Z368" s="135">
        <f>ROUND('[7]2036'!Z29,2)</f>
        <v>43687.29</v>
      </c>
      <c r="AA368" s="135">
        <f>ROUND('[7]2036'!AA29,2)</f>
        <v>41022.97</v>
      </c>
      <c r="AB368" s="135">
        <f>ROUND('[7]2036'!AB29,2)</f>
        <v>37843.17</v>
      </c>
      <c r="AC368" s="282"/>
      <c r="AD368" s="19"/>
    </row>
    <row r="369" spans="2:30" ht="18.649999999999999" hidden="1" customHeight="1" thickBot="1" x14ac:dyDescent="0.4">
      <c r="B369" s="265" t="s">
        <v>34</v>
      </c>
      <c r="C369" s="12" t="s">
        <v>32</v>
      </c>
      <c r="D369" s="13">
        <f>+'[7]2036'!D30</f>
        <v>2</v>
      </c>
      <c r="E369" s="135">
        <f>ROUND('[7]2036'!E30,2)</f>
        <v>37342.28</v>
      </c>
      <c r="F369" s="135">
        <f>ROUND('[7]2036'!F30,2)</f>
        <v>35451.379999999997</v>
      </c>
      <c r="G369" s="135">
        <f>ROUND('[7]2036'!G30,2)</f>
        <v>33884.97</v>
      </c>
      <c r="H369" s="135">
        <f>ROUND('[7]2036'!H30,2)</f>
        <v>32816.449999999997</v>
      </c>
      <c r="I369" s="135">
        <f>ROUND('[7]2036'!I30,2)</f>
        <v>32190.400000000001</v>
      </c>
      <c r="J369" s="135">
        <f>ROUND('[7]2036'!J30,2)</f>
        <v>31235.77</v>
      </c>
      <c r="K369" s="135">
        <f>ROUND('[7]2036'!K30,2)</f>
        <v>30279.29</v>
      </c>
      <c r="L369" s="135">
        <f>ROUND('[7]2036'!L30,2)</f>
        <v>31975.5</v>
      </c>
      <c r="M369" s="135">
        <f>ROUND('[7]2036'!M30,2)</f>
        <v>34217.199999999997</v>
      </c>
      <c r="N369" s="135">
        <f>ROUND('[7]2036'!N30,2)</f>
        <v>36238.559999999998</v>
      </c>
      <c r="O369" s="135">
        <f>ROUND('[7]2036'!O30,2)</f>
        <v>37836.629999999997</v>
      </c>
      <c r="P369" s="135">
        <f>ROUND('[7]2036'!P30,2)</f>
        <v>39140.629999999997</v>
      </c>
      <c r="Q369" s="135">
        <f>ROUND('[7]2036'!Q30,2)</f>
        <v>39740.97</v>
      </c>
      <c r="R369" s="135">
        <f>ROUND('[7]2036'!R30,2)</f>
        <v>39851.910000000003</v>
      </c>
      <c r="S369" s="135">
        <f>ROUND('[7]2036'!S30,2)</f>
        <v>39633.279999999999</v>
      </c>
      <c r="T369" s="135">
        <f>ROUND('[7]2036'!T30,2)</f>
        <v>39457.03</v>
      </c>
      <c r="U369" s="135">
        <f>ROUND('[7]2036'!U30,2)</f>
        <v>39054.410000000003</v>
      </c>
      <c r="V369" s="135">
        <f>ROUND('[7]2036'!V30,2)</f>
        <v>39427.5</v>
      </c>
      <c r="W369" s="135">
        <f>ROUND('[7]2036'!W30,2)</f>
        <v>44052.73</v>
      </c>
      <c r="X369" s="135">
        <f>ROUND('[7]2036'!X30,2)</f>
        <v>45377.16</v>
      </c>
      <c r="Y369" s="135">
        <f>ROUND('[7]2036'!Y30,2)</f>
        <v>45070.66</v>
      </c>
      <c r="Z369" s="135">
        <f>ROUND('[7]2036'!Z30,2)</f>
        <v>43687.29</v>
      </c>
      <c r="AA369" s="135">
        <f>ROUND('[7]2036'!AA30,2)</f>
        <v>41022.97</v>
      </c>
      <c r="AB369" s="135">
        <f>ROUND('[7]2036'!AB30,2)</f>
        <v>37843.17</v>
      </c>
      <c r="AC369" s="284"/>
      <c r="AD369" s="19"/>
    </row>
    <row r="370" spans="2:30" ht="18.649999999999999" hidden="1" customHeight="1" x14ac:dyDescent="0.35">
      <c r="B370" s="260">
        <v>49796</v>
      </c>
      <c r="C370" s="14" t="s">
        <v>29</v>
      </c>
      <c r="D370" s="15">
        <f>+'[7]2036'!D31</f>
        <v>20</v>
      </c>
      <c r="E370" s="137">
        <f>ROUND('[7]2036'!E31,2)</f>
        <v>36408.93</v>
      </c>
      <c r="F370" s="137">
        <f>ROUND('[7]2036'!F31,2)</f>
        <v>34514.410000000003</v>
      </c>
      <c r="G370" s="137">
        <f>ROUND('[7]2036'!G31,2)</f>
        <v>32985.660000000003</v>
      </c>
      <c r="H370" s="137">
        <f>ROUND('[7]2036'!H31,2)</f>
        <v>31678.23</v>
      </c>
      <c r="I370" s="137">
        <f>ROUND('[7]2036'!I31,2)</f>
        <v>31325.81</v>
      </c>
      <c r="J370" s="137">
        <f>ROUND('[7]2036'!J31,2)</f>
        <v>30829.65</v>
      </c>
      <c r="K370" s="137">
        <f>ROUND('[7]2036'!K31,2)</f>
        <v>31285.31</v>
      </c>
      <c r="L370" s="137">
        <f>ROUND('[7]2036'!L31,2)</f>
        <v>34650.36</v>
      </c>
      <c r="M370" s="137">
        <f>ROUND('[7]2036'!M31,2)</f>
        <v>38572.239999999998</v>
      </c>
      <c r="N370" s="137">
        <f>ROUND('[7]2036'!N31,2)</f>
        <v>40735.980000000003</v>
      </c>
      <c r="O370" s="137">
        <f>ROUND('[7]2036'!O31,2)</f>
        <v>42109.36</v>
      </c>
      <c r="P370" s="137">
        <f>ROUND('[7]2036'!P31,2)</f>
        <v>43118.58</v>
      </c>
      <c r="Q370" s="137">
        <f>ROUND('[7]2036'!Q31,2)</f>
        <v>42377.82</v>
      </c>
      <c r="R370" s="137">
        <f>ROUND('[7]2036'!R31,2)</f>
        <v>41615.56</v>
      </c>
      <c r="S370" s="137">
        <f>ROUND('[7]2036'!S31,2)</f>
        <v>41587.550000000003</v>
      </c>
      <c r="T370" s="137">
        <f>ROUND('[7]2036'!T31,2)</f>
        <v>41353.17</v>
      </c>
      <c r="U370" s="137">
        <f>ROUND('[7]2036'!U31,2)</f>
        <v>40791.31</v>
      </c>
      <c r="V370" s="137">
        <f>ROUND('[7]2036'!V31,2)</f>
        <v>41041.47</v>
      </c>
      <c r="W370" s="137">
        <f>ROUND('[7]2036'!W31,2)</f>
        <v>45495.86</v>
      </c>
      <c r="X370" s="137">
        <f>ROUND('[7]2036'!X31,2)</f>
        <v>45919.29</v>
      </c>
      <c r="Y370" s="137">
        <f>ROUND('[7]2036'!Y31,2)</f>
        <v>44440.66</v>
      </c>
      <c r="Z370" s="137">
        <f>ROUND('[7]2036'!Z31,2)</f>
        <v>42606.559999999998</v>
      </c>
      <c r="AA370" s="137">
        <f>ROUND('[7]2036'!AA31,2)</f>
        <v>40194.620000000003</v>
      </c>
      <c r="AB370" s="137">
        <f>ROUND('[7]2036'!AB31,2)</f>
        <v>37492.99</v>
      </c>
      <c r="AC370" s="282">
        <f>SUM(E370:AB370)*D370+SUM(E371:AB371)*D371+SUM(E372:AB372)*D372+SUM(E373:AB373)*D373</f>
        <v>28645768.930000003</v>
      </c>
      <c r="AD370" s="19"/>
    </row>
    <row r="371" spans="2:30" ht="18.649999999999999" hidden="1" customHeight="1" x14ac:dyDescent="0.35">
      <c r="B371" s="261"/>
      <c r="C371" s="10" t="s">
        <v>30</v>
      </c>
      <c r="D371" s="11">
        <f>+'[7]2036'!D32</f>
        <v>5</v>
      </c>
      <c r="E371" s="135">
        <f>ROUND('[7]2036'!E32,2)</f>
        <v>33565.19</v>
      </c>
      <c r="F371" s="135">
        <f>ROUND('[7]2036'!F32,2)</f>
        <v>31904.81</v>
      </c>
      <c r="G371" s="135">
        <f>ROUND('[7]2036'!G32,2)</f>
        <v>30689.57</v>
      </c>
      <c r="H371" s="135">
        <f>ROUND('[7]2036'!H32,2)</f>
        <v>29852.52</v>
      </c>
      <c r="I371" s="135">
        <f>ROUND('[7]2036'!I32,2)</f>
        <v>29745.119999999999</v>
      </c>
      <c r="J371" s="135">
        <f>ROUND('[7]2036'!J32,2)</f>
        <v>29707.72</v>
      </c>
      <c r="K371" s="135">
        <f>ROUND('[7]2036'!K32,2)</f>
        <v>30160.21</v>
      </c>
      <c r="L371" s="135">
        <f>ROUND('[7]2036'!L32,2)</f>
        <v>33694.75</v>
      </c>
      <c r="M371" s="135">
        <f>ROUND('[7]2036'!M32,2)</f>
        <v>37150.82</v>
      </c>
      <c r="N371" s="135">
        <f>ROUND('[7]2036'!N32,2)</f>
        <v>39146.519999999997</v>
      </c>
      <c r="O371" s="135">
        <f>ROUND('[7]2036'!O32,2)</f>
        <v>41096.1</v>
      </c>
      <c r="P371" s="135">
        <f>ROUND('[7]2036'!P32,2)</f>
        <v>42500.36</v>
      </c>
      <c r="Q371" s="135">
        <f>ROUND('[7]2036'!Q32,2)</f>
        <v>41573.19</v>
      </c>
      <c r="R371" s="135">
        <f>ROUND('[7]2036'!R32,2)</f>
        <v>42016.37</v>
      </c>
      <c r="S371" s="135">
        <f>ROUND('[7]2036'!S32,2)</f>
        <v>43122.3</v>
      </c>
      <c r="T371" s="135">
        <f>ROUND('[7]2036'!T32,2)</f>
        <v>43068.3</v>
      </c>
      <c r="U371" s="135">
        <f>ROUND('[7]2036'!U32,2)</f>
        <v>42447.93</v>
      </c>
      <c r="V371" s="135">
        <f>ROUND('[7]2036'!V32,2)</f>
        <v>41623.379999999997</v>
      </c>
      <c r="W371" s="135">
        <f>ROUND('[7]2036'!W32,2)</f>
        <v>44655.199999999997</v>
      </c>
      <c r="X371" s="135">
        <f>ROUND('[7]2036'!X32,2)</f>
        <v>45496.639999999999</v>
      </c>
      <c r="Y371" s="135">
        <f>ROUND('[7]2036'!Y32,2)</f>
        <v>44257.54</v>
      </c>
      <c r="Z371" s="135">
        <f>ROUND('[7]2036'!Z32,2)</f>
        <v>42223.01</v>
      </c>
      <c r="AA371" s="135">
        <f>ROUND('[7]2036'!AA32,2)</f>
        <v>39164.61</v>
      </c>
      <c r="AB371" s="135">
        <f>ROUND('[7]2036'!AB32,2)</f>
        <v>35975.01</v>
      </c>
      <c r="AC371" s="282"/>
      <c r="AD371" s="19"/>
    </row>
    <row r="372" spans="2:30" ht="18.649999999999999" hidden="1" customHeight="1" x14ac:dyDescent="0.35">
      <c r="B372" s="261"/>
      <c r="C372" s="10" t="s">
        <v>31</v>
      </c>
      <c r="D372" s="11">
        <f>+'[7]2036'!D33</f>
        <v>4</v>
      </c>
      <c r="E372" s="135">
        <f>ROUND('[7]2036'!E33,2)</f>
        <v>33540.46</v>
      </c>
      <c r="F372" s="135">
        <f>ROUND('[7]2036'!F33,2)</f>
        <v>32227.02</v>
      </c>
      <c r="G372" s="135">
        <f>ROUND('[7]2036'!G33,2)</f>
        <v>30880.02</v>
      </c>
      <c r="H372" s="135">
        <f>ROUND('[7]2036'!H33,2)</f>
        <v>30163.81</v>
      </c>
      <c r="I372" s="135">
        <f>ROUND('[7]2036'!I33,2)</f>
        <v>29934.07</v>
      </c>
      <c r="J372" s="135">
        <f>ROUND('[7]2036'!J33,2)</f>
        <v>29191.17</v>
      </c>
      <c r="K372" s="135">
        <f>ROUND('[7]2036'!K33,2)</f>
        <v>29069.79</v>
      </c>
      <c r="L372" s="135">
        <f>ROUND('[7]2036'!L33,2)</f>
        <v>31322.35</v>
      </c>
      <c r="M372" s="135">
        <f>ROUND('[7]2036'!M33,2)</f>
        <v>33934.19</v>
      </c>
      <c r="N372" s="135">
        <f>ROUND('[7]2036'!N33,2)</f>
        <v>35965.03</v>
      </c>
      <c r="O372" s="135">
        <f>ROUND('[7]2036'!O33,2)</f>
        <v>37508.959999999999</v>
      </c>
      <c r="P372" s="135">
        <f>ROUND('[7]2036'!P33,2)</f>
        <v>39427.199999999997</v>
      </c>
      <c r="Q372" s="135">
        <f>ROUND('[7]2036'!Q33,2)</f>
        <v>40501.82</v>
      </c>
      <c r="R372" s="135">
        <f>ROUND('[7]2036'!R33,2)</f>
        <v>40705.46</v>
      </c>
      <c r="S372" s="135">
        <f>ROUND('[7]2036'!S33,2)</f>
        <v>40752.36</v>
      </c>
      <c r="T372" s="135">
        <f>ROUND('[7]2036'!T33,2)</f>
        <v>40832.230000000003</v>
      </c>
      <c r="U372" s="135">
        <f>ROUND('[7]2036'!U33,2)</f>
        <v>40415.629999999997</v>
      </c>
      <c r="V372" s="135">
        <f>ROUND('[7]2036'!V33,2)</f>
        <v>40426.17</v>
      </c>
      <c r="W372" s="135">
        <f>ROUND('[7]2036'!W33,2)</f>
        <v>45183.54</v>
      </c>
      <c r="X372" s="135">
        <f>ROUND('[7]2036'!X33,2)</f>
        <v>46898.5</v>
      </c>
      <c r="Y372" s="135">
        <f>ROUND('[7]2036'!Y33,2)</f>
        <v>46612.95</v>
      </c>
      <c r="Z372" s="135">
        <f>ROUND('[7]2036'!Z33,2)</f>
        <v>45042.35</v>
      </c>
      <c r="AA372" s="135">
        <f>ROUND('[7]2036'!AA33,2)</f>
        <v>42161.81</v>
      </c>
      <c r="AB372" s="135">
        <f>ROUND('[7]2036'!AB33,2)</f>
        <v>38795.69</v>
      </c>
      <c r="AC372" s="282"/>
      <c r="AD372" s="19"/>
    </row>
    <row r="373" spans="2:30" ht="18.649999999999999" hidden="1" customHeight="1" thickBot="1" x14ac:dyDescent="0.4">
      <c r="B373" s="261"/>
      <c r="C373" s="16" t="s">
        <v>32</v>
      </c>
      <c r="D373" s="17">
        <f>+'[7]2036'!D34</f>
        <v>2</v>
      </c>
      <c r="E373" s="136">
        <f>ROUND('[7]2036'!E34,2)</f>
        <v>33540.46</v>
      </c>
      <c r="F373" s="136">
        <f>ROUND('[7]2036'!F34,2)</f>
        <v>32227.02</v>
      </c>
      <c r="G373" s="136">
        <f>ROUND('[7]2036'!G34,2)</f>
        <v>30880.02</v>
      </c>
      <c r="H373" s="136">
        <f>ROUND('[7]2036'!H34,2)</f>
        <v>30163.81</v>
      </c>
      <c r="I373" s="136">
        <f>ROUND('[7]2036'!I34,2)</f>
        <v>29934.07</v>
      </c>
      <c r="J373" s="136">
        <f>ROUND('[7]2036'!J34,2)</f>
        <v>29191.17</v>
      </c>
      <c r="K373" s="136">
        <f>ROUND('[7]2036'!K34,2)</f>
        <v>29069.79</v>
      </c>
      <c r="L373" s="136">
        <f>ROUND('[7]2036'!L34,2)</f>
        <v>31322.35</v>
      </c>
      <c r="M373" s="136">
        <f>ROUND('[7]2036'!M34,2)</f>
        <v>33934.19</v>
      </c>
      <c r="N373" s="136">
        <f>ROUND('[7]2036'!N34,2)</f>
        <v>35965.03</v>
      </c>
      <c r="O373" s="136">
        <f>ROUND('[7]2036'!O34,2)</f>
        <v>37508.959999999999</v>
      </c>
      <c r="P373" s="136">
        <f>ROUND('[7]2036'!P34,2)</f>
        <v>39427.199999999997</v>
      </c>
      <c r="Q373" s="136">
        <f>ROUND('[7]2036'!Q34,2)</f>
        <v>40501.82</v>
      </c>
      <c r="R373" s="136">
        <f>ROUND('[7]2036'!R34,2)</f>
        <v>40705.46</v>
      </c>
      <c r="S373" s="136">
        <f>ROUND('[7]2036'!S34,2)</f>
        <v>40752.36</v>
      </c>
      <c r="T373" s="136">
        <f>ROUND('[7]2036'!T34,2)</f>
        <v>40832.230000000003</v>
      </c>
      <c r="U373" s="136">
        <f>ROUND('[7]2036'!U34,2)</f>
        <v>40415.629999999997</v>
      </c>
      <c r="V373" s="136">
        <f>ROUND('[7]2036'!V34,2)</f>
        <v>40426.17</v>
      </c>
      <c r="W373" s="136">
        <f>ROUND('[7]2036'!W34,2)</f>
        <v>45183.54</v>
      </c>
      <c r="X373" s="136">
        <f>ROUND('[7]2036'!X34,2)</f>
        <v>46898.5</v>
      </c>
      <c r="Y373" s="136">
        <f>ROUND('[7]2036'!Y34,2)</f>
        <v>46612.95</v>
      </c>
      <c r="Z373" s="136">
        <f>ROUND('[7]2036'!Z34,2)</f>
        <v>45042.35</v>
      </c>
      <c r="AA373" s="136">
        <f>ROUND('[7]2036'!AA34,2)</f>
        <v>42161.81</v>
      </c>
      <c r="AB373" s="136">
        <f>ROUND('[7]2036'!AB34,2)</f>
        <v>38795.69</v>
      </c>
      <c r="AC373" s="282"/>
      <c r="AD373" s="19"/>
    </row>
    <row r="374" spans="2:30" ht="18.649999999999999" hidden="1" customHeight="1" x14ac:dyDescent="0.35">
      <c r="B374" s="263">
        <v>49827</v>
      </c>
      <c r="C374" s="7" t="s">
        <v>29</v>
      </c>
      <c r="D374" s="8">
        <f>+'[7]2036'!D35</f>
        <v>18</v>
      </c>
      <c r="E374" s="134">
        <f>ROUND('[7]2036'!E35,2)</f>
        <v>33209.4</v>
      </c>
      <c r="F374" s="134">
        <f>ROUND('[7]2036'!F35,2)</f>
        <v>31560.720000000001</v>
      </c>
      <c r="G374" s="134">
        <f>ROUND('[7]2036'!G35,2)</f>
        <v>30342.6</v>
      </c>
      <c r="H374" s="134">
        <f>ROUND('[7]2036'!H35,2)</f>
        <v>29529.75</v>
      </c>
      <c r="I374" s="134">
        <f>ROUND('[7]2036'!I35,2)</f>
        <v>29312.61</v>
      </c>
      <c r="J374" s="134">
        <f>ROUND('[7]2036'!J35,2)</f>
        <v>29001.18</v>
      </c>
      <c r="K374" s="134">
        <f>ROUND('[7]2036'!K35,2)</f>
        <v>29485.09</v>
      </c>
      <c r="L374" s="134">
        <f>ROUND('[7]2036'!L35,2)</f>
        <v>33036.699999999997</v>
      </c>
      <c r="M374" s="134">
        <f>ROUND('[7]2036'!M35,2)</f>
        <v>36941.93</v>
      </c>
      <c r="N374" s="134">
        <f>ROUND('[7]2036'!N35,2)</f>
        <v>39343.129999999997</v>
      </c>
      <c r="O374" s="134">
        <f>ROUND('[7]2036'!O35,2)</f>
        <v>41429.75</v>
      </c>
      <c r="P374" s="134">
        <f>ROUND('[7]2036'!P35,2)</f>
        <v>42578.11</v>
      </c>
      <c r="Q374" s="134">
        <f>ROUND('[7]2036'!Q35,2)</f>
        <v>41949.53</v>
      </c>
      <c r="R374" s="134">
        <f>ROUND('[7]2036'!R35,2)</f>
        <v>41229.26</v>
      </c>
      <c r="S374" s="134">
        <f>ROUND('[7]2036'!S35,2)</f>
        <v>41264.03</v>
      </c>
      <c r="T374" s="134">
        <f>ROUND('[7]2036'!T35,2)</f>
        <v>41145.379999999997</v>
      </c>
      <c r="U374" s="134">
        <f>ROUND('[7]2036'!U35,2)</f>
        <v>40728.53</v>
      </c>
      <c r="V374" s="134">
        <f>ROUND('[7]2036'!V35,2)</f>
        <v>40772.04</v>
      </c>
      <c r="W374" s="134">
        <f>ROUND('[7]2036'!W35,2)</f>
        <v>44284.49</v>
      </c>
      <c r="X374" s="134">
        <f>ROUND('[7]2036'!X35,2)</f>
        <v>44916.65</v>
      </c>
      <c r="Y374" s="134">
        <f>ROUND('[7]2036'!Y35,2)</f>
        <v>43351.65</v>
      </c>
      <c r="Z374" s="134">
        <f>ROUND('[7]2036'!Z35,2)</f>
        <v>41565.49</v>
      </c>
      <c r="AA374" s="134">
        <f>ROUND('[7]2036'!AA35,2)</f>
        <v>39361.050000000003</v>
      </c>
      <c r="AB374" s="134">
        <f>ROUND('[7]2036'!AB35,2)</f>
        <v>36870.269999999997</v>
      </c>
      <c r="AC374" s="283">
        <f>SUM(E374:AB374)*D374+SUM(E375:AB375)*D375+SUM(E376:AB376)*D376+SUM(E377:AB377)*D377</f>
        <v>26878158.920000006</v>
      </c>
      <c r="AD374" s="19"/>
    </row>
    <row r="375" spans="2:30" ht="18.649999999999999" hidden="1" customHeight="1" x14ac:dyDescent="0.35">
      <c r="B375" s="264" t="s">
        <v>34</v>
      </c>
      <c r="C375" s="10" t="s">
        <v>30</v>
      </c>
      <c r="D375" s="11">
        <f>+'[7]2036'!D36</f>
        <v>4</v>
      </c>
      <c r="E375" s="135">
        <f>ROUND('[7]2036'!E36,2)</f>
        <v>34199.370000000003</v>
      </c>
      <c r="F375" s="135">
        <f>ROUND('[7]2036'!F36,2)</f>
        <v>32516.38</v>
      </c>
      <c r="G375" s="135">
        <f>ROUND('[7]2036'!G36,2)</f>
        <v>31237.51</v>
      </c>
      <c r="H375" s="135">
        <f>ROUND('[7]2036'!H36,2)</f>
        <v>30350.15</v>
      </c>
      <c r="I375" s="135">
        <f>ROUND('[7]2036'!I36,2)</f>
        <v>30245.72</v>
      </c>
      <c r="J375" s="135">
        <f>ROUND('[7]2036'!J36,2)</f>
        <v>30585.17</v>
      </c>
      <c r="K375" s="135">
        <f>ROUND('[7]2036'!K36,2)</f>
        <v>30792.76</v>
      </c>
      <c r="L375" s="135">
        <f>ROUND('[7]2036'!L36,2)</f>
        <v>34256.870000000003</v>
      </c>
      <c r="M375" s="135">
        <f>ROUND('[7]2036'!M36,2)</f>
        <v>37916.5</v>
      </c>
      <c r="N375" s="135">
        <f>ROUND('[7]2036'!N36,2)</f>
        <v>40034.129999999997</v>
      </c>
      <c r="O375" s="135">
        <f>ROUND('[7]2036'!O36,2)</f>
        <v>42032.37</v>
      </c>
      <c r="P375" s="135">
        <f>ROUND('[7]2036'!P36,2)</f>
        <v>43336.44</v>
      </c>
      <c r="Q375" s="135">
        <f>ROUND('[7]2036'!Q36,2)</f>
        <v>42232.93</v>
      </c>
      <c r="R375" s="135">
        <f>ROUND('[7]2036'!R36,2)</f>
        <v>43248.82</v>
      </c>
      <c r="S375" s="135">
        <f>ROUND('[7]2036'!S36,2)</f>
        <v>44717.35</v>
      </c>
      <c r="T375" s="135">
        <f>ROUND('[7]2036'!T36,2)</f>
        <v>44776.08</v>
      </c>
      <c r="U375" s="135">
        <f>ROUND('[7]2036'!U36,2)</f>
        <v>43942.69</v>
      </c>
      <c r="V375" s="135">
        <f>ROUND('[7]2036'!V36,2)</f>
        <v>42498.38</v>
      </c>
      <c r="W375" s="135">
        <f>ROUND('[7]2036'!W36,2)</f>
        <v>44996.65</v>
      </c>
      <c r="X375" s="135">
        <f>ROUND('[7]2036'!X36,2)</f>
        <v>46313.27</v>
      </c>
      <c r="Y375" s="135">
        <f>ROUND('[7]2036'!Y36,2)</f>
        <v>45257.120000000003</v>
      </c>
      <c r="Z375" s="135">
        <f>ROUND('[7]2036'!Z36,2)</f>
        <v>43338.99</v>
      </c>
      <c r="AA375" s="135">
        <f>ROUND('[7]2036'!AA36,2)</f>
        <v>40211.99</v>
      </c>
      <c r="AB375" s="135">
        <f>ROUND('[7]2036'!AB36,2)</f>
        <v>36939.72</v>
      </c>
      <c r="AC375" s="282"/>
      <c r="AD375" s="19"/>
    </row>
    <row r="376" spans="2:30" ht="18.649999999999999" hidden="1" customHeight="1" x14ac:dyDescent="0.35">
      <c r="B376" s="264" t="s">
        <v>34</v>
      </c>
      <c r="C376" s="10" t="s">
        <v>31</v>
      </c>
      <c r="D376" s="11">
        <f>+'[7]2036'!D37</f>
        <v>5</v>
      </c>
      <c r="E376" s="135">
        <f>ROUND('[7]2036'!E37,2)</f>
        <v>32553.01</v>
      </c>
      <c r="F376" s="135">
        <f>ROUND('[7]2036'!F37,2)</f>
        <v>31237.29</v>
      </c>
      <c r="G376" s="135">
        <f>ROUND('[7]2036'!G37,2)</f>
        <v>30162.19</v>
      </c>
      <c r="H376" s="135">
        <f>ROUND('[7]2036'!H37,2)</f>
        <v>29465.62</v>
      </c>
      <c r="I376" s="135">
        <f>ROUND('[7]2036'!I37,2)</f>
        <v>29187.759999999998</v>
      </c>
      <c r="J376" s="135">
        <f>ROUND('[7]2036'!J37,2)</f>
        <v>28370.43</v>
      </c>
      <c r="K376" s="135">
        <f>ROUND('[7]2036'!K37,2)</f>
        <v>27997.14</v>
      </c>
      <c r="L376" s="135">
        <f>ROUND('[7]2036'!L37,2)</f>
        <v>30277.9</v>
      </c>
      <c r="M376" s="135">
        <f>ROUND('[7]2036'!M37,2)</f>
        <v>32915.33</v>
      </c>
      <c r="N376" s="135">
        <f>ROUND('[7]2036'!N37,2)</f>
        <v>34558.75</v>
      </c>
      <c r="O376" s="135">
        <f>ROUND('[7]2036'!O37,2)</f>
        <v>36507.65</v>
      </c>
      <c r="P376" s="135">
        <f>ROUND('[7]2036'!P37,2)</f>
        <v>37949.910000000003</v>
      </c>
      <c r="Q376" s="135">
        <f>ROUND('[7]2036'!Q37,2)</f>
        <v>38685.5</v>
      </c>
      <c r="R376" s="135">
        <f>ROUND('[7]2036'!R37,2)</f>
        <v>38532.160000000003</v>
      </c>
      <c r="S376" s="135">
        <f>ROUND('[7]2036'!S37,2)</f>
        <v>38211.64</v>
      </c>
      <c r="T376" s="135">
        <f>ROUND('[7]2036'!T37,2)</f>
        <v>37916.980000000003</v>
      </c>
      <c r="U376" s="135">
        <f>ROUND('[7]2036'!U37,2)</f>
        <v>37627.01</v>
      </c>
      <c r="V376" s="135">
        <f>ROUND('[7]2036'!V37,2)</f>
        <v>38194.620000000003</v>
      </c>
      <c r="W376" s="135">
        <f>ROUND('[7]2036'!W37,2)</f>
        <v>42805.47</v>
      </c>
      <c r="X376" s="135">
        <f>ROUND('[7]2036'!X37,2)</f>
        <v>44506.53</v>
      </c>
      <c r="Y376" s="135">
        <f>ROUND('[7]2036'!Y37,2)</f>
        <v>43941.760000000002</v>
      </c>
      <c r="Z376" s="135">
        <f>ROUND('[7]2036'!Z37,2)</f>
        <v>42318.22</v>
      </c>
      <c r="AA376" s="135">
        <f>ROUND('[7]2036'!AA37,2)</f>
        <v>39458.370000000003</v>
      </c>
      <c r="AB376" s="135">
        <f>ROUND('[7]2036'!AB37,2)</f>
        <v>36178.93</v>
      </c>
      <c r="AC376" s="282"/>
      <c r="AD376" s="19"/>
    </row>
    <row r="377" spans="2:30" ht="18.649999999999999" hidden="1" customHeight="1" thickBot="1" x14ac:dyDescent="0.4">
      <c r="B377" s="265" t="s">
        <v>34</v>
      </c>
      <c r="C377" s="12" t="s">
        <v>32</v>
      </c>
      <c r="D377" s="13">
        <f>+'[7]2036'!D38</f>
        <v>3</v>
      </c>
      <c r="E377" s="132">
        <f>ROUND('[7]2036'!E38,2)</f>
        <v>32553.01</v>
      </c>
      <c r="F377" s="132">
        <f>ROUND('[7]2036'!F38,2)</f>
        <v>31237.29</v>
      </c>
      <c r="G377" s="132">
        <f>ROUND('[7]2036'!G38,2)</f>
        <v>30162.19</v>
      </c>
      <c r="H377" s="132">
        <f>ROUND('[7]2036'!H38,2)</f>
        <v>29465.62</v>
      </c>
      <c r="I377" s="132">
        <f>ROUND('[7]2036'!I38,2)</f>
        <v>29187.759999999998</v>
      </c>
      <c r="J377" s="132">
        <f>ROUND('[7]2036'!J38,2)</f>
        <v>28370.43</v>
      </c>
      <c r="K377" s="132">
        <f>ROUND('[7]2036'!K38,2)</f>
        <v>27997.14</v>
      </c>
      <c r="L377" s="132">
        <f>ROUND('[7]2036'!L38,2)</f>
        <v>30277.9</v>
      </c>
      <c r="M377" s="132">
        <f>ROUND('[7]2036'!M38,2)</f>
        <v>32915.33</v>
      </c>
      <c r="N377" s="132">
        <f>ROUND('[7]2036'!N38,2)</f>
        <v>34558.75</v>
      </c>
      <c r="O377" s="132">
        <f>ROUND('[7]2036'!O38,2)</f>
        <v>36507.65</v>
      </c>
      <c r="P377" s="132">
        <f>ROUND('[7]2036'!P38,2)</f>
        <v>37949.910000000003</v>
      </c>
      <c r="Q377" s="132">
        <f>ROUND('[7]2036'!Q38,2)</f>
        <v>38685.5</v>
      </c>
      <c r="R377" s="132">
        <f>ROUND('[7]2036'!R38,2)</f>
        <v>38532.160000000003</v>
      </c>
      <c r="S377" s="132">
        <f>ROUND('[7]2036'!S38,2)</f>
        <v>38211.64</v>
      </c>
      <c r="T377" s="132">
        <f>ROUND('[7]2036'!T38,2)</f>
        <v>37916.980000000003</v>
      </c>
      <c r="U377" s="132">
        <f>ROUND('[7]2036'!U38,2)</f>
        <v>37627.01</v>
      </c>
      <c r="V377" s="132">
        <f>ROUND('[7]2036'!V38,2)</f>
        <v>38194.620000000003</v>
      </c>
      <c r="W377" s="132">
        <f>ROUND('[7]2036'!W38,2)</f>
        <v>42805.47</v>
      </c>
      <c r="X377" s="132">
        <f>ROUND('[7]2036'!X38,2)</f>
        <v>44506.53</v>
      </c>
      <c r="Y377" s="132">
        <f>ROUND('[7]2036'!Y38,2)</f>
        <v>43941.760000000002</v>
      </c>
      <c r="Z377" s="132">
        <f>ROUND('[7]2036'!Z38,2)</f>
        <v>42318.22</v>
      </c>
      <c r="AA377" s="132">
        <f>ROUND('[7]2036'!AA38,2)</f>
        <v>39458.370000000003</v>
      </c>
      <c r="AB377" s="132">
        <f>ROUND('[7]2036'!AB38,2)</f>
        <v>36178.93</v>
      </c>
      <c r="AC377" s="284"/>
      <c r="AD377" s="19"/>
    </row>
    <row r="378" spans="2:30" ht="18.649999999999999" hidden="1" customHeight="1" x14ac:dyDescent="0.35">
      <c r="B378" s="260">
        <v>49857</v>
      </c>
      <c r="C378" s="14" t="s">
        <v>29</v>
      </c>
      <c r="D378" s="8">
        <f>+'[7]2036'!D39</f>
        <v>23</v>
      </c>
      <c r="E378" s="137">
        <f>ROUND('[7]2036'!E39,2)</f>
        <v>33674.86</v>
      </c>
      <c r="F378" s="137">
        <f>ROUND('[7]2036'!F39,2)</f>
        <v>32054.25</v>
      </c>
      <c r="G378" s="137">
        <f>ROUND('[7]2036'!G39,2)</f>
        <v>30985.919999999998</v>
      </c>
      <c r="H378" s="137">
        <f>ROUND('[7]2036'!H39,2)</f>
        <v>30195.06</v>
      </c>
      <c r="I378" s="137">
        <f>ROUND('[7]2036'!I39,2)</f>
        <v>30072.39</v>
      </c>
      <c r="J378" s="137">
        <f>ROUND('[7]2036'!J39,2)</f>
        <v>29932.22</v>
      </c>
      <c r="K378" s="137">
        <f>ROUND('[7]2036'!K39,2)</f>
        <v>30207.77</v>
      </c>
      <c r="L378" s="137">
        <f>ROUND('[7]2036'!L39,2)</f>
        <v>33731.599999999999</v>
      </c>
      <c r="M378" s="137">
        <f>ROUND('[7]2036'!M39,2)</f>
        <v>37831.230000000003</v>
      </c>
      <c r="N378" s="137">
        <f>ROUND('[7]2036'!N39,2)</f>
        <v>40153.86</v>
      </c>
      <c r="O378" s="137">
        <f>ROUND('[7]2036'!O39,2)</f>
        <v>42243.01</v>
      </c>
      <c r="P378" s="137">
        <f>ROUND('[7]2036'!P39,2)</f>
        <v>43193.57</v>
      </c>
      <c r="Q378" s="137">
        <f>ROUND('[7]2036'!Q39,2)</f>
        <v>42630.1</v>
      </c>
      <c r="R378" s="137">
        <f>ROUND('[7]2036'!R39,2)</f>
        <v>42038.92</v>
      </c>
      <c r="S378" s="137">
        <f>ROUND('[7]2036'!S39,2)</f>
        <v>42107.82</v>
      </c>
      <c r="T378" s="137">
        <f>ROUND('[7]2036'!T39,2)</f>
        <v>42223.11</v>
      </c>
      <c r="U378" s="137">
        <f>ROUND('[7]2036'!U39,2)</f>
        <v>41632.730000000003</v>
      </c>
      <c r="V378" s="137">
        <f>ROUND('[7]2036'!V39,2)</f>
        <v>41539.199999999997</v>
      </c>
      <c r="W378" s="137">
        <f>ROUND('[7]2036'!W39,2)</f>
        <v>45057.56</v>
      </c>
      <c r="X378" s="137">
        <f>ROUND('[7]2036'!X39,2)</f>
        <v>46254.879999999997</v>
      </c>
      <c r="Y378" s="137">
        <f>ROUND('[7]2036'!Y39,2)</f>
        <v>44781.96</v>
      </c>
      <c r="Z378" s="137">
        <f>ROUND('[7]2036'!Z39,2)</f>
        <v>42796.4</v>
      </c>
      <c r="AA378" s="137">
        <f>ROUND('[7]2036'!AA39,2)</f>
        <v>40270.14</v>
      </c>
      <c r="AB378" s="137">
        <f>ROUND('[7]2036'!AB39,2)</f>
        <v>37578.78</v>
      </c>
      <c r="AC378" s="282">
        <f>SUM(E378:AB378)*D378+SUM(E379:AB379)*D379+SUM(E380:AB380)*D380+SUM(E381:AB381)*D381</f>
        <v>28712116.580000002</v>
      </c>
      <c r="AD378" s="19"/>
    </row>
    <row r="379" spans="2:30" ht="18.649999999999999" hidden="1" customHeight="1" x14ac:dyDescent="0.35">
      <c r="B379" s="261"/>
      <c r="C379" s="10" t="s">
        <v>30</v>
      </c>
      <c r="D379" s="11">
        <f>+'[7]2036'!D40</f>
        <v>4</v>
      </c>
      <c r="E379" s="135">
        <f>ROUND('[7]2036'!E40,2)</f>
        <v>35818.080000000002</v>
      </c>
      <c r="F379" s="135">
        <f>ROUND('[7]2036'!F40,2)</f>
        <v>33942.14</v>
      </c>
      <c r="G379" s="135">
        <f>ROUND('[7]2036'!G40,2)</f>
        <v>32567.19</v>
      </c>
      <c r="H379" s="135">
        <f>ROUND('[7]2036'!H40,2)</f>
        <v>31597.1</v>
      </c>
      <c r="I379" s="135">
        <f>ROUND('[7]2036'!I40,2)</f>
        <v>31530.21</v>
      </c>
      <c r="J379" s="135">
        <f>ROUND('[7]2036'!J40,2)</f>
        <v>32107.77</v>
      </c>
      <c r="K379" s="135">
        <f>ROUND('[7]2036'!K40,2)</f>
        <v>32296.09</v>
      </c>
      <c r="L379" s="135">
        <f>ROUND('[7]2036'!L40,2)</f>
        <v>35817.57</v>
      </c>
      <c r="M379" s="135">
        <f>ROUND('[7]2036'!M40,2)</f>
        <v>39607.99</v>
      </c>
      <c r="N379" s="135">
        <f>ROUND('[7]2036'!N40,2)</f>
        <v>41762.22</v>
      </c>
      <c r="O379" s="135">
        <f>ROUND('[7]2036'!O40,2)</f>
        <v>43939.39</v>
      </c>
      <c r="P379" s="135">
        <f>ROUND('[7]2036'!P40,2)</f>
        <v>45510.51</v>
      </c>
      <c r="Q379" s="135">
        <f>ROUND('[7]2036'!Q40,2)</f>
        <v>44321.62</v>
      </c>
      <c r="R379" s="135">
        <f>ROUND('[7]2036'!R40,2)</f>
        <v>45210.02</v>
      </c>
      <c r="S379" s="135">
        <f>ROUND('[7]2036'!S40,2)</f>
        <v>46702.93</v>
      </c>
      <c r="T379" s="135">
        <f>ROUND('[7]2036'!T40,2)</f>
        <v>46703.360000000001</v>
      </c>
      <c r="U379" s="135">
        <f>ROUND('[7]2036'!U40,2)</f>
        <v>45812.25</v>
      </c>
      <c r="V379" s="135">
        <f>ROUND('[7]2036'!V40,2)</f>
        <v>44497.68</v>
      </c>
      <c r="W379" s="135">
        <f>ROUND('[7]2036'!W40,2)</f>
        <v>47555.75</v>
      </c>
      <c r="X379" s="135">
        <f>ROUND('[7]2036'!X40,2)</f>
        <v>48535.67</v>
      </c>
      <c r="Y379" s="135">
        <f>ROUND('[7]2036'!Y40,2)</f>
        <v>47509.72</v>
      </c>
      <c r="Z379" s="135">
        <f>ROUND('[7]2036'!Z40,2)</f>
        <v>45489.35</v>
      </c>
      <c r="AA379" s="135">
        <f>ROUND('[7]2036'!AA40,2)</f>
        <v>42168.27</v>
      </c>
      <c r="AB379" s="135">
        <f>ROUND('[7]2036'!AB40,2)</f>
        <v>38593.17</v>
      </c>
      <c r="AC379" s="282"/>
      <c r="AD379" s="19"/>
    </row>
    <row r="380" spans="2:30" ht="18.649999999999999" hidden="1" customHeight="1" x14ac:dyDescent="0.35">
      <c r="B380" s="261"/>
      <c r="C380" s="10" t="s">
        <v>31</v>
      </c>
      <c r="D380" s="11">
        <f>+'[7]2036'!D41</f>
        <v>3</v>
      </c>
      <c r="E380" s="135">
        <f>ROUND('[7]2036'!E41,2)</f>
        <v>33784.160000000003</v>
      </c>
      <c r="F380" s="135">
        <f>ROUND('[7]2036'!F41,2)</f>
        <v>32427.09</v>
      </c>
      <c r="G380" s="135">
        <f>ROUND('[7]2036'!G41,2)</f>
        <v>31278.36</v>
      </c>
      <c r="H380" s="135">
        <f>ROUND('[7]2036'!H41,2)</f>
        <v>30226.78</v>
      </c>
      <c r="I380" s="135">
        <f>ROUND('[7]2036'!I41,2)</f>
        <v>29873.72</v>
      </c>
      <c r="J380" s="135">
        <f>ROUND('[7]2036'!J41,2)</f>
        <v>29408.19</v>
      </c>
      <c r="K380" s="135">
        <f>ROUND('[7]2036'!K41,2)</f>
        <v>28847.71</v>
      </c>
      <c r="L380" s="135">
        <f>ROUND('[7]2036'!L41,2)</f>
        <v>30998.76</v>
      </c>
      <c r="M380" s="135">
        <f>ROUND('[7]2036'!M41,2)</f>
        <v>33809.800000000003</v>
      </c>
      <c r="N380" s="135">
        <f>ROUND('[7]2036'!N41,2)</f>
        <v>36078.160000000003</v>
      </c>
      <c r="O380" s="135">
        <f>ROUND('[7]2036'!O41,2)</f>
        <v>37705.040000000001</v>
      </c>
      <c r="P380" s="135">
        <f>ROUND('[7]2036'!P41,2)</f>
        <v>38529.589999999997</v>
      </c>
      <c r="Q380" s="135">
        <f>ROUND('[7]2036'!Q41,2)</f>
        <v>39944.31</v>
      </c>
      <c r="R380" s="135">
        <f>ROUND('[7]2036'!R41,2)</f>
        <v>40037.24</v>
      </c>
      <c r="S380" s="135">
        <f>ROUND('[7]2036'!S41,2)</f>
        <v>39966.160000000003</v>
      </c>
      <c r="T380" s="135">
        <f>ROUND('[7]2036'!T41,2)</f>
        <v>40080.769999999997</v>
      </c>
      <c r="U380" s="135">
        <f>ROUND('[7]2036'!U41,2)</f>
        <v>39767.74</v>
      </c>
      <c r="V380" s="135">
        <f>ROUND('[7]2036'!V41,2)</f>
        <v>39407.519999999997</v>
      </c>
      <c r="W380" s="135">
        <f>ROUND('[7]2036'!W41,2)</f>
        <v>43550.93</v>
      </c>
      <c r="X380" s="135">
        <f>ROUND('[7]2036'!X41,2)</f>
        <v>45939.93</v>
      </c>
      <c r="Y380" s="135">
        <f>ROUND('[7]2036'!Y41,2)</f>
        <v>45318.71</v>
      </c>
      <c r="Z380" s="135">
        <f>ROUND('[7]2036'!Z41,2)</f>
        <v>43766.41</v>
      </c>
      <c r="AA380" s="135">
        <f>ROUND('[7]2036'!AA41,2)</f>
        <v>41141</v>
      </c>
      <c r="AB380" s="135">
        <f>ROUND('[7]2036'!AB41,2)</f>
        <v>38217.81</v>
      </c>
      <c r="AC380" s="282"/>
      <c r="AD380" s="19"/>
    </row>
    <row r="381" spans="2:30" ht="18.649999999999999" hidden="1" customHeight="1" thickBot="1" x14ac:dyDescent="0.4">
      <c r="B381" s="261"/>
      <c r="C381" s="16" t="s">
        <v>32</v>
      </c>
      <c r="D381" s="13">
        <f>+'[7]2036'!D42</f>
        <v>1</v>
      </c>
      <c r="E381" s="135">
        <f>ROUND('[7]2036'!E42,2)</f>
        <v>33784.160000000003</v>
      </c>
      <c r="F381" s="135">
        <f>ROUND('[7]2036'!F42,2)</f>
        <v>32427.09</v>
      </c>
      <c r="G381" s="135">
        <f>ROUND('[7]2036'!G42,2)</f>
        <v>31278.36</v>
      </c>
      <c r="H381" s="135">
        <f>ROUND('[7]2036'!H42,2)</f>
        <v>30226.78</v>
      </c>
      <c r="I381" s="135">
        <f>ROUND('[7]2036'!I42,2)</f>
        <v>29873.72</v>
      </c>
      <c r="J381" s="135">
        <f>ROUND('[7]2036'!J42,2)</f>
        <v>29408.19</v>
      </c>
      <c r="K381" s="135">
        <f>ROUND('[7]2036'!K42,2)</f>
        <v>28847.71</v>
      </c>
      <c r="L381" s="135">
        <f>ROUND('[7]2036'!L42,2)</f>
        <v>30998.76</v>
      </c>
      <c r="M381" s="135">
        <f>ROUND('[7]2036'!M42,2)</f>
        <v>33809.800000000003</v>
      </c>
      <c r="N381" s="135">
        <f>ROUND('[7]2036'!N42,2)</f>
        <v>36078.160000000003</v>
      </c>
      <c r="O381" s="135">
        <f>ROUND('[7]2036'!O42,2)</f>
        <v>37705.040000000001</v>
      </c>
      <c r="P381" s="135">
        <f>ROUND('[7]2036'!P42,2)</f>
        <v>38529.589999999997</v>
      </c>
      <c r="Q381" s="135">
        <f>ROUND('[7]2036'!Q42,2)</f>
        <v>39944.31</v>
      </c>
      <c r="R381" s="135">
        <f>ROUND('[7]2036'!R42,2)</f>
        <v>40037.24</v>
      </c>
      <c r="S381" s="135">
        <f>ROUND('[7]2036'!S42,2)</f>
        <v>39966.160000000003</v>
      </c>
      <c r="T381" s="135">
        <f>ROUND('[7]2036'!T42,2)</f>
        <v>40080.769999999997</v>
      </c>
      <c r="U381" s="135">
        <f>ROUND('[7]2036'!U42,2)</f>
        <v>39767.74</v>
      </c>
      <c r="V381" s="135">
        <f>ROUND('[7]2036'!V42,2)</f>
        <v>39407.519999999997</v>
      </c>
      <c r="W381" s="135">
        <f>ROUND('[7]2036'!W42,2)</f>
        <v>43550.93</v>
      </c>
      <c r="X381" s="135">
        <f>ROUND('[7]2036'!X42,2)</f>
        <v>45939.93</v>
      </c>
      <c r="Y381" s="135">
        <f>ROUND('[7]2036'!Y42,2)</f>
        <v>45318.71</v>
      </c>
      <c r="Z381" s="135">
        <f>ROUND('[7]2036'!Z42,2)</f>
        <v>43766.41</v>
      </c>
      <c r="AA381" s="135">
        <f>ROUND('[7]2036'!AA42,2)</f>
        <v>41141</v>
      </c>
      <c r="AB381" s="135">
        <f>ROUND('[7]2036'!AB42,2)</f>
        <v>38217.81</v>
      </c>
      <c r="AC381" s="282"/>
      <c r="AD381" s="19"/>
    </row>
    <row r="382" spans="2:30" ht="18.649999999999999" hidden="1" customHeight="1" x14ac:dyDescent="0.35">
      <c r="B382" s="263">
        <v>49888</v>
      </c>
      <c r="C382" s="7" t="s">
        <v>29</v>
      </c>
      <c r="D382" s="8">
        <f>+'[7]2036'!D43</f>
        <v>19</v>
      </c>
      <c r="E382" s="134">
        <f>ROUND('[7]2036'!E43,2)</f>
        <v>34955.629999999997</v>
      </c>
      <c r="F382" s="134">
        <f>ROUND('[7]2036'!F43,2)</f>
        <v>33072</v>
      </c>
      <c r="G382" s="134">
        <f>ROUND('[7]2036'!G43,2)</f>
        <v>31666.6</v>
      </c>
      <c r="H382" s="134">
        <f>ROUND('[7]2036'!H43,2)</f>
        <v>30725.42</v>
      </c>
      <c r="I382" s="134">
        <f>ROUND('[7]2036'!I43,2)</f>
        <v>30379.7</v>
      </c>
      <c r="J382" s="134">
        <f>ROUND('[7]2036'!J43,2)</f>
        <v>30292.61</v>
      </c>
      <c r="K382" s="134">
        <f>ROUND('[7]2036'!K43,2)</f>
        <v>30392.1</v>
      </c>
      <c r="L382" s="134">
        <f>ROUND('[7]2036'!L43,2)</f>
        <v>33899</v>
      </c>
      <c r="M382" s="134">
        <f>ROUND('[7]2036'!M43,2)</f>
        <v>37847.57</v>
      </c>
      <c r="N382" s="134">
        <f>ROUND('[7]2036'!N43,2)</f>
        <v>40274.33</v>
      </c>
      <c r="O382" s="134">
        <f>ROUND('[7]2036'!O43,2)</f>
        <v>42289.73</v>
      </c>
      <c r="P382" s="134">
        <f>ROUND('[7]2036'!P43,2)</f>
        <v>43575.42</v>
      </c>
      <c r="Q382" s="134">
        <f>ROUND('[7]2036'!Q43,2)</f>
        <v>42852.37</v>
      </c>
      <c r="R382" s="134">
        <f>ROUND('[7]2036'!R43,2)</f>
        <v>42241.7</v>
      </c>
      <c r="S382" s="134">
        <f>ROUND('[7]2036'!S43,2)</f>
        <v>42178.1</v>
      </c>
      <c r="T382" s="134">
        <f>ROUND('[7]2036'!T43,2)</f>
        <v>41833.919999999998</v>
      </c>
      <c r="U382" s="134">
        <f>ROUND('[7]2036'!U43,2)</f>
        <v>40995.33</v>
      </c>
      <c r="V382" s="134">
        <f>ROUND('[7]2036'!V43,2)</f>
        <v>40940.97</v>
      </c>
      <c r="W382" s="134">
        <f>ROUND('[7]2036'!W43,2)</f>
        <v>44652.75</v>
      </c>
      <c r="X382" s="134">
        <f>ROUND('[7]2036'!X43,2)</f>
        <v>45225.85</v>
      </c>
      <c r="Y382" s="134">
        <f>ROUND('[7]2036'!Y43,2)</f>
        <v>43900.49</v>
      </c>
      <c r="Z382" s="134">
        <f>ROUND('[7]2036'!Z43,2)</f>
        <v>42073.2</v>
      </c>
      <c r="AA382" s="134">
        <f>ROUND('[7]2036'!AA43,2)</f>
        <v>39495.43</v>
      </c>
      <c r="AB382" s="134">
        <f>ROUND('[7]2036'!AB43,2)</f>
        <v>36750.300000000003</v>
      </c>
      <c r="AC382" s="283">
        <f>SUM(E382:AB382)*D382+SUM(E383:AB383)*D383+SUM(E384:AB384)*D384+SUM(E385:AB385)*D385</f>
        <v>28456085.350000001</v>
      </c>
      <c r="AD382" s="19"/>
    </row>
    <row r="383" spans="2:30" ht="18.649999999999999" hidden="1" customHeight="1" x14ac:dyDescent="0.35">
      <c r="B383" s="264" t="s">
        <v>34</v>
      </c>
      <c r="C383" s="10" t="s">
        <v>30</v>
      </c>
      <c r="D383" s="11">
        <f>+'[7]2036'!D44</f>
        <v>5</v>
      </c>
      <c r="E383" s="135">
        <f>ROUND('[7]2036'!E44,2)</f>
        <v>34493.800000000003</v>
      </c>
      <c r="F383" s="135">
        <f>ROUND('[7]2036'!F44,2)</f>
        <v>32781.65</v>
      </c>
      <c r="G383" s="135">
        <f>ROUND('[7]2036'!G44,2)</f>
        <v>31472.14</v>
      </c>
      <c r="H383" s="135">
        <f>ROUND('[7]2036'!H44,2)</f>
        <v>30548.68</v>
      </c>
      <c r="I383" s="135">
        <f>ROUND('[7]2036'!I44,2)</f>
        <v>30460.52</v>
      </c>
      <c r="J383" s="135">
        <f>ROUND('[7]2036'!J44,2)</f>
        <v>30958.84</v>
      </c>
      <c r="K383" s="135">
        <f>ROUND('[7]2036'!K44,2)</f>
        <v>31289.200000000001</v>
      </c>
      <c r="L383" s="135">
        <f>ROUND('[7]2036'!L44,2)</f>
        <v>34858.75</v>
      </c>
      <c r="M383" s="135">
        <f>ROUND('[7]2036'!M44,2)</f>
        <v>38516.61</v>
      </c>
      <c r="N383" s="135">
        <f>ROUND('[7]2036'!N44,2)</f>
        <v>40588.71</v>
      </c>
      <c r="O383" s="135">
        <f>ROUND('[7]2036'!O44,2)</f>
        <v>42739.55</v>
      </c>
      <c r="P383" s="135">
        <f>ROUND('[7]2036'!P44,2)</f>
        <v>44194.87</v>
      </c>
      <c r="Q383" s="135">
        <f>ROUND('[7]2036'!Q44,2)</f>
        <v>43060.88</v>
      </c>
      <c r="R383" s="135">
        <f>ROUND('[7]2036'!R44,2)</f>
        <v>44079.26</v>
      </c>
      <c r="S383" s="135">
        <f>ROUND('[7]2036'!S44,2)</f>
        <v>45610.07</v>
      </c>
      <c r="T383" s="135">
        <f>ROUND('[7]2036'!T44,2)</f>
        <v>45642.51</v>
      </c>
      <c r="U383" s="135">
        <f>ROUND('[7]2036'!U44,2)</f>
        <v>44801.18</v>
      </c>
      <c r="V383" s="135">
        <f>ROUND('[7]2036'!V44,2)</f>
        <v>44048.17</v>
      </c>
      <c r="W383" s="135">
        <f>ROUND('[7]2036'!W44,2)</f>
        <v>47283.66</v>
      </c>
      <c r="X383" s="135">
        <f>ROUND('[7]2036'!X44,2)</f>
        <v>47091.61</v>
      </c>
      <c r="Y383" s="135">
        <f>ROUND('[7]2036'!Y44,2)</f>
        <v>45876.33</v>
      </c>
      <c r="Z383" s="135">
        <f>ROUND('[7]2036'!Z44,2)</f>
        <v>43773.7</v>
      </c>
      <c r="AA383" s="135">
        <f>ROUND('[7]2036'!AA44,2)</f>
        <v>40422.480000000003</v>
      </c>
      <c r="AB383" s="135">
        <f>ROUND('[7]2036'!AB44,2)</f>
        <v>36984.33</v>
      </c>
      <c r="AC383" s="282"/>
      <c r="AD383" s="19"/>
    </row>
    <row r="384" spans="2:30" ht="18.649999999999999" hidden="1" customHeight="1" x14ac:dyDescent="0.35">
      <c r="B384" s="264" t="s">
        <v>34</v>
      </c>
      <c r="C384" s="10" t="s">
        <v>31</v>
      </c>
      <c r="D384" s="11">
        <f>+'[7]2036'!D45</f>
        <v>5</v>
      </c>
      <c r="E384" s="135">
        <f>ROUND('[7]2036'!E45,2)</f>
        <v>34476.620000000003</v>
      </c>
      <c r="F384" s="135">
        <f>ROUND('[7]2036'!F45,2)</f>
        <v>32679.84</v>
      </c>
      <c r="G384" s="135">
        <f>ROUND('[7]2036'!G45,2)</f>
        <v>31284.34</v>
      </c>
      <c r="H384" s="135">
        <f>ROUND('[7]2036'!H45,2)</f>
        <v>30275.02</v>
      </c>
      <c r="I384" s="135">
        <f>ROUND('[7]2036'!I45,2)</f>
        <v>29851.45</v>
      </c>
      <c r="J384" s="135">
        <f>ROUND('[7]2036'!J45,2)</f>
        <v>29280.720000000001</v>
      </c>
      <c r="K384" s="135">
        <f>ROUND('[7]2036'!K45,2)</f>
        <v>28656.3</v>
      </c>
      <c r="L384" s="135">
        <f>ROUND('[7]2036'!L45,2)</f>
        <v>30741</v>
      </c>
      <c r="M384" s="135">
        <f>ROUND('[7]2036'!M45,2)</f>
        <v>33036.22</v>
      </c>
      <c r="N384" s="135">
        <f>ROUND('[7]2036'!N45,2)</f>
        <v>35104.76</v>
      </c>
      <c r="O384" s="135">
        <f>ROUND('[7]2036'!O45,2)</f>
        <v>37065.94</v>
      </c>
      <c r="P384" s="135">
        <f>ROUND('[7]2036'!P45,2)</f>
        <v>38743.99</v>
      </c>
      <c r="Q384" s="135">
        <f>ROUND('[7]2036'!Q45,2)</f>
        <v>39361.480000000003</v>
      </c>
      <c r="R384" s="135">
        <f>ROUND('[7]2036'!R45,2)</f>
        <v>39172.550000000003</v>
      </c>
      <c r="S384" s="135">
        <f>ROUND('[7]2036'!S45,2)</f>
        <v>38996.5</v>
      </c>
      <c r="T384" s="135">
        <f>ROUND('[7]2036'!T45,2)</f>
        <v>39120.769999999997</v>
      </c>
      <c r="U384" s="135">
        <f>ROUND('[7]2036'!U45,2)</f>
        <v>38763.9</v>
      </c>
      <c r="V384" s="135">
        <f>ROUND('[7]2036'!V45,2)</f>
        <v>38720.04</v>
      </c>
      <c r="W384" s="135">
        <f>ROUND('[7]2036'!W45,2)</f>
        <v>43210.67</v>
      </c>
      <c r="X384" s="135">
        <f>ROUND('[7]2036'!X45,2)</f>
        <v>45645.11</v>
      </c>
      <c r="Y384" s="135">
        <f>ROUND('[7]2036'!Y45,2)</f>
        <v>45401.67</v>
      </c>
      <c r="Z384" s="135">
        <f>ROUND('[7]2036'!Z45,2)</f>
        <v>43693.36</v>
      </c>
      <c r="AA384" s="135">
        <f>ROUND('[7]2036'!AA45,2)</f>
        <v>40731.18</v>
      </c>
      <c r="AB384" s="135">
        <f>ROUND('[7]2036'!AB45,2)</f>
        <v>37486.28</v>
      </c>
      <c r="AC384" s="282"/>
      <c r="AD384" s="19"/>
    </row>
    <row r="385" spans="2:30" ht="18.649999999999999" hidden="1" customHeight="1" thickBot="1" x14ac:dyDescent="0.4">
      <c r="B385" s="265" t="s">
        <v>34</v>
      </c>
      <c r="C385" s="12" t="s">
        <v>32</v>
      </c>
      <c r="D385" s="13">
        <f>+'[7]2036'!D46</f>
        <v>2</v>
      </c>
      <c r="E385" s="132">
        <f>ROUND('[7]2036'!E46,2)</f>
        <v>34476.620000000003</v>
      </c>
      <c r="F385" s="132">
        <f>ROUND('[7]2036'!F46,2)</f>
        <v>32679.84</v>
      </c>
      <c r="G385" s="132">
        <f>ROUND('[7]2036'!G46,2)</f>
        <v>31284.34</v>
      </c>
      <c r="H385" s="132">
        <f>ROUND('[7]2036'!H46,2)</f>
        <v>30275.02</v>
      </c>
      <c r="I385" s="132">
        <f>ROUND('[7]2036'!I46,2)</f>
        <v>29851.45</v>
      </c>
      <c r="J385" s="132">
        <f>ROUND('[7]2036'!J46,2)</f>
        <v>29280.720000000001</v>
      </c>
      <c r="K385" s="132">
        <f>ROUND('[7]2036'!K46,2)</f>
        <v>28656.3</v>
      </c>
      <c r="L385" s="132">
        <f>ROUND('[7]2036'!L46,2)</f>
        <v>30741</v>
      </c>
      <c r="M385" s="132">
        <f>ROUND('[7]2036'!M46,2)</f>
        <v>33036.22</v>
      </c>
      <c r="N385" s="132">
        <f>ROUND('[7]2036'!N46,2)</f>
        <v>35104.76</v>
      </c>
      <c r="O385" s="132">
        <f>ROUND('[7]2036'!O46,2)</f>
        <v>37065.94</v>
      </c>
      <c r="P385" s="132">
        <f>ROUND('[7]2036'!P46,2)</f>
        <v>38743.99</v>
      </c>
      <c r="Q385" s="132">
        <f>ROUND('[7]2036'!Q46,2)</f>
        <v>39361.480000000003</v>
      </c>
      <c r="R385" s="132">
        <f>ROUND('[7]2036'!R46,2)</f>
        <v>39172.550000000003</v>
      </c>
      <c r="S385" s="132">
        <f>ROUND('[7]2036'!S46,2)</f>
        <v>38996.5</v>
      </c>
      <c r="T385" s="132">
        <f>ROUND('[7]2036'!T46,2)</f>
        <v>39120.769999999997</v>
      </c>
      <c r="U385" s="132">
        <f>ROUND('[7]2036'!U46,2)</f>
        <v>38763.9</v>
      </c>
      <c r="V385" s="132">
        <f>ROUND('[7]2036'!V46,2)</f>
        <v>38720.04</v>
      </c>
      <c r="W385" s="132">
        <f>ROUND('[7]2036'!W46,2)</f>
        <v>43210.67</v>
      </c>
      <c r="X385" s="132">
        <f>ROUND('[7]2036'!X46,2)</f>
        <v>45645.11</v>
      </c>
      <c r="Y385" s="132">
        <f>ROUND('[7]2036'!Y46,2)</f>
        <v>45401.67</v>
      </c>
      <c r="Z385" s="132">
        <f>ROUND('[7]2036'!Z46,2)</f>
        <v>43693.36</v>
      </c>
      <c r="AA385" s="132">
        <f>ROUND('[7]2036'!AA46,2)</f>
        <v>40731.18</v>
      </c>
      <c r="AB385" s="132">
        <f>ROUND('[7]2036'!AB46,2)</f>
        <v>37486.28</v>
      </c>
      <c r="AC385" s="284"/>
      <c r="AD385" s="19"/>
    </row>
    <row r="386" spans="2:30" ht="18.649999999999999" hidden="1" customHeight="1" x14ac:dyDescent="0.35">
      <c r="B386" s="260">
        <v>49919</v>
      </c>
      <c r="C386" s="14" t="s">
        <v>29</v>
      </c>
      <c r="D386" s="15">
        <f>+'[7]2036'!D47</f>
        <v>22</v>
      </c>
      <c r="E386" s="137">
        <f>ROUND('[7]2036'!E47,2)</f>
        <v>35399.47</v>
      </c>
      <c r="F386" s="137">
        <f>ROUND('[7]2036'!F47,2)</f>
        <v>33592.71</v>
      </c>
      <c r="G386" s="137">
        <f>ROUND('[7]2036'!G47,2)</f>
        <v>32194.799999999999</v>
      </c>
      <c r="H386" s="137">
        <f>ROUND('[7]2036'!H47,2)</f>
        <v>31204.47</v>
      </c>
      <c r="I386" s="137">
        <f>ROUND('[7]2036'!I47,2)</f>
        <v>30913.9</v>
      </c>
      <c r="J386" s="137">
        <f>ROUND('[7]2036'!J47,2)</f>
        <v>30514.799999999999</v>
      </c>
      <c r="K386" s="137">
        <f>ROUND('[7]2036'!K47,2)</f>
        <v>30712.2</v>
      </c>
      <c r="L386" s="137">
        <f>ROUND('[7]2036'!L47,2)</f>
        <v>34364.65</v>
      </c>
      <c r="M386" s="137">
        <f>ROUND('[7]2036'!M47,2)</f>
        <v>38265.53</v>
      </c>
      <c r="N386" s="137">
        <f>ROUND('[7]2036'!N47,2)</f>
        <v>40515.19</v>
      </c>
      <c r="O386" s="137">
        <f>ROUND('[7]2036'!O47,2)</f>
        <v>42431.82</v>
      </c>
      <c r="P386" s="137">
        <f>ROUND('[7]2036'!P47,2)</f>
        <v>43383.31</v>
      </c>
      <c r="Q386" s="137">
        <f>ROUND('[7]2036'!Q47,2)</f>
        <v>42560.62</v>
      </c>
      <c r="R386" s="137">
        <f>ROUND('[7]2036'!R47,2)</f>
        <v>41946.35</v>
      </c>
      <c r="S386" s="137">
        <f>ROUND('[7]2036'!S47,2)</f>
        <v>41896.21</v>
      </c>
      <c r="T386" s="137">
        <f>ROUND('[7]2036'!T47,2)</f>
        <v>41824.19</v>
      </c>
      <c r="U386" s="137">
        <f>ROUND('[7]2036'!U47,2)</f>
        <v>41198.720000000001</v>
      </c>
      <c r="V386" s="137">
        <f>ROUND('[7]2036'!V47,2)</f>
        <v>41681.269999999997</v>
      </c>
      <c r="W386" s="137">
        <f>ROUND('[7]2036'!W47,2)</f>
        <v>46013.17</v>
      </c>
      <c r="X386" s="137">
        <f>ROUND('[7]2036'!X47,2)</f>
        <v>45574.07</v>
      </c>
      <c r="Y386" s="137">
        <f>ROUND('[7]2036'!Y47,2)</f>
        <v>43992.42</v>
      </c>
      <c r="Z386" s="137">
        <f>ROUND('[7]2036'!Z47,2)</f>
        <v>42026.68</v>
      </c>
      <c r="AA386" s="137">
        <f>ROUND('[7]2036'!AA47,2)</f>
        <v>39661.760000000002</v>
      </c>
      <c r="AB386" s="137">
        <f>ROUND('[7]2036'!AB47,2)</f>
        <v>37054.6</v>
      </c>
      <c r="AC386" s="282">
        <f>SUM(E386:AB386)*D386+SUM(E387:AB387)*D387+SUM(E388:AB388)*D388+SUM(E389:AB389)*D389</f>
        <v>28036346.98</v>
      </c>
      <c r="AD386" s="19"/>
    </row>
    <row r="387" spans="2:30" ht="18.649999999999999" hidden="1" customHeight="1" x14ac:dyDescent="0.35">
      <c r="B387" s="261"/>
      <c r="C387" s="10" t="s">
        <v>30</v>
      </c>
      <c r="D387" s="11">
        <f>+'[7]2036'!D48</f>
        <v>4</v>
      </c>
      <c r="E387" s="135">
        <f>ROUND('[7]2036'!E48,2)</f>
        <v>33093.01</v>
      </c>
      <c r="F387" s="135">
        <f>ROUND('[7]2036'!F48,2)</f>
        <v>31427.5</v>
      </c>
      <c r="G387" s="135">
        <f>ROUND('[7]2036'!G48,2)</f>
        <v>30265.32</v>
      </c>
      <c r="H387" s="135">
        <f>ROUND('[7]2036'!H48,2)</f>
        <v>29408.65</v>
      </c>
      <c r="I387" s="135">
        <f>ROUND('[7]2036'!I48,2)</f>
        <v>29422.7</v>
      </c>
      <c r="J387" s="135">
        <f>ROUND('[7]2036'!J48,2)</f>
        <v>29910.32</v>
      </c>
      <c r="K387" s="135">
        <f>ROUND('[7]2036'!K48,2)</f>
        <v>30519.15</v>
      </c>
      <c r="L387" s="135">
        <f>ROUND('[7]2036'!L48,2)</f>
        <v>34242.49</v>
      </c>
      <c r="M387" s="135">
        <f>ROUND('[7]2036'!M48,2)</f>
        <v>37869.06</v>
      </c>
      <c r="N387" s="135">
        <f>ROUND('[7]2036'!N48,2)</f>
        <v>39848.15</v>
      </c>
      <c r="O387" s="135">
        <f>ROUND('[7]2036'!O48,2)</f>
        <v>41942.25</v>
      </c>
      <c r="P387" s="135">
        <f>ROUND('[7]2036'!P48,2)</f>
        <v>43385.54</v>
      </c>
      <c r="Q387" s="135">
        <f>ROUND('[7]2036'!Q48,2)</f>
        <v>42143.13</v>
      </c>
      <c r="R387" s="135">
        <f>ROUND('[7]2036'!R48,2)</f>
        <v>43090.91</v>
      </c>
      <c r="S387" s="135">
        <f>ROUND('[7]2036'!S48,2)</f>
        <v>44689.74</v>
      </c>
      <c r="T387" s="135">
        <f>ROUND('[7]2036'!T48,2)</f>
        <v>44770.34</v>
      </c>
      <c r="U387" s="135">
        <f>ROUND('[7]2036'!U48,2)</f>
        <v>43843.8</v>
      </c>
      <c r="V387" s="135">
        <f>ROUND('[7]2036'!V48,2)</f>
        <v>43964.78</v>
      </c>
      <c r="W387" s="135">
        <f>ROUND('[7]2036'!W48,2)</f>
        <v>46616.06</v>
      </c>
      <c r="X387" s="135">
        <f>ROUND('[7]2036'!X48,2)</f>
        <v>45824.29</v>
      </c>
      <c r="Y387" s="135">
        <f>ROUND('[7]2036'!Y48,2)</f>
        <v>44358.84</v>
      </c>
      <c r="Z387" s="135">
        <f>ROUND('[7]2036'!Z48,2)</f>
        <v>42201.04</v>
      </c>
      <c r="AA387" s="135">
        <f>ROUND('[7]2036'!AA48,2)</f>
        <v>39091.81</v>
      </c>
      <c r="AB387" s="135">
        <f>ROUND('[7]2036'!AB48,2)</f>
        <v>35861.410000000003</v>
      </c>
      <c r="AC387" s="282"/>
      <c r="AD387" s="19"/>
    </row>
    <row r="388" spans="2:30" ht="18.649999999999999" hidden="1" customHeight="1" x14ac:dyDescent="0.35">
      <c r="B388" s="261"/>
      <c r="C388" s="10" t="s">
        <v>31</v>
      </c>
      <c r="D388" s="11">
        <f>+'[7]2036'!D49</f>
        <v>4</v>
      </c>
      <c r="E388" s="135">
        <f>ROUND('[7]2036'!E49,2)</f>
        <v>34101.82</v>
      </c>
      <c r="F388" s="135">
        <f>ROUND('[7]2036'!F49,2)</f>
        <v>32442.74</v>
      </c>
      <c r="G388" s="135">
        <f>ROUND('[7]2036'!G49,2)</f>
        <v>31214.58</v>
      </c>
      <c r="H388" s="135">
        <f>ROUND('[7]2036'!H49,2)</f>
        <v>30286.880000000001</v>
      </c>
      <c r="I388" s="135">
        <f>ROUND('[7]2036'!I49,2)</f>
        <v>30335.4</v>
      </c>
      <c r="J388" s="135">
        <f>ROUND('[7]2036'!J49,2)</f>
        <v>31291.45</v>
      </c>
      <c r="K388" s="135">
        <f>ROUND('[7]2036'!K49,2)</f>
        <v>31893.85</v>
      </c>
      <c r="L388" s="135">
        <f>ROUND('[7]2036'!L49,2)</f>
        <v>35843.980000000003</v>
      </c>
      <c r="M388" s="135">
        <f>ROUND('[7]2036'!M49,2)</f>
        <v>39755.17</v>
      </c>
      <c r="N388" s="135">
        <f>ROUND('[7]2036'!N49,2)</f>
        <v>41825.660000000003</v>
      </c>
      <c r="O388" s="135">
        <f>ROUND('[7]2036'!O49,2)</f>
        <v>44182.57</v>
      </c>
      <c r="P388" s="135">
        <f>ROUND('[7]2036'!P49,2)</f>
        <v>45769.31</v>
      </c>
      <c r="Q388" s="135">
        <f>ROUND('[7]2036'!Q49,2)</f>
        <v>44158.35</v>
      </c>
      <c r="R388" s="135">
        <f>ROUND('[7]2036'!R49,2)</f>
        <v>45719.89</v>
      </c>
      <c r="S388" s="135">
        <f>ROUND('[7]2036'!S49,2)</f>
        <v>47934.28</v>
      </c>
      <c r="T388" s="135">
        <f>ROUND('[7]2036'!T49,2)</f>
        <v>47994.34</v>
      </c>
      <c r="U388" s="135">
        <f>ROUND('[7]2036'!U49,2)</f>
        <v>46904.92</v>
      </c>
      <c r="V388" s="135">
        <f>ROUND('[7]2036'!V49,2)</f>
        <v>45550.55</v>
      </c>
      <c r="W388" s="135">
        <f>ROUND('[7]2036'!W49,2)</f>
        <v>48213.33</v>
      </c>
      <c r="X388" s="135">
        <f>ROUND('[7]2036'!X49,2)</f>
        <v>47857.25</v>
      </c>
      <c r="Y388" s="135">
        <f>ROUND('[7]2036'!Y49,2)</f>
        <v>46622.66</v>
      </c>
      <c r="Z388" s="135">
        <f>ROUND('[7]2036'!Z49,2)</f>
        <v>44420.12</v>
      </c>
      <c r="AA388" s="135">
        <f>ROUND('[7]2036'!AA49,2)</f>
        <v>40779.74</v>
      </c>
      <c r="AB388" s="135">
        <f>ROUND('[7]2036'!AB49,2)</f>
        <v>37121.61</v>
      </c>
      <c r="AC388" s="282"/>
      <c r="AD388" s="19"/>
    </row>
    <row r="389" spans="2:30" ht="18.649999999999999" hidden="1" customHeight="1" thickBot="1" x14ac:dyDescent="0.4">
      <c r="B389" s="261"/>
      <c r="C389" s="16" t="s">
        <v>32</v>
      </c>
      <c r="D389" s="17">
        <f>+'[7]2036'!D50</f>
        <v>0</v>
      </c>
      <c r="E389" s="199">
        <f>ROUND('[7]2036'!E50,2)</f>
        <v>0</v>
      </c>
      <c r="F389" s="115">
        <f>ROUND('[7]2036'!F50,2)</f>
        <v>0</v>
      </c>
      <c r="G389" s="115">
        <f>ROUND('[7]2036'!G50,2)</f>
        <v>0</v>
      </c>
      <c r="H389" s="115">
        <f>ROUND('[7]2036'!H50,2)</f>
        <v>0</v>
      </c>
      <c r="I389" s="115">
        <f>ROUND('[7]2036'!I50,2)</f>
        <v>0</v>
      </c>
      <c r="J389" s="115">
        <f>ROUND('[7]2036'!J50,2)</f>
        <v>0</v>
      </c>
      <c r="K389" s="115">
        <f>ROUND('[7]2036'!K50,2)</f>
        <v>0</v>
      </c>
      <c r="L389" s="115">
        <f>ROUND('[7]2036'!L50,2)</f>
        <v>0</v>
      </c>
      <c r="M389" s="115">
        <f>ROUND('[7]2036'!M50,2)</f>
        <v>0</v>
      </c>
      <c r="N389" s="115">
        <f>ROUND('[7]2036'!N50,2)</f>
        <v>0</v>
      </c>
      <c r="O389" s="115">
        <f>ROUND('[7]2036'!O50,2)</f>
        <v>0</v>
      </c>
      <c r="P389" s="115">
        <f>ROUND('[7]2036'!P50,2)</f>
        <v>0</v>
      </c>
      <c r="Q389" s="115">
        <f>ROUND('[7]2036'!Q50,2)</f>
        <v>0</v>
      </c>
      <c r="R389" s="115">
        <f>ROUND('[7]2036'!R50,2)</f>
        <v>0</v>
      </c>
      <c r="S389" s="115">
        <f>ROUND('[7]2036'!S50,2)</f>
        <v>0</v>
      </c>
      <c r="T389" s="115">
        <f>ROUND('[7]2036'!T50,2)</f>
        <v>0</v>
      </c>
      <c r="U389" s="115">
        <f>ROUND('[7]2036'!U50,2)</f>
        <v>0</v>
      </c>
      <c r="V389" s="115">
        <f>ROUND('[7]2036'!V50,2)</f>
        <v>0</v>
      </c>
      <c r="W389" s="115">
        <f>ROUND('[7]2036'!W50,2)</f>
        <v>0</v>
      </c>
      <c r="X389" s="115">
        <f>ROUND('[7]2036'!X50,2)</f>
        <v>0</v>
      </c>
      <c r="Y389" s="115">
        <f>ROUND('[7]2036'!Y50,2)</f>
        <v>0</v>
      </c>
      <c r="Z389" s="115">
        <f>ROUND('[7]2036'!Z50,2)</f>
        <v>0</v>
      </c>
      <c r="AA389" s="115">
        <f>ROUND('[7]2036'!AA50,2)</f>
        <v>0</v>
      </c>
      <c r="AB389" s="115">
        <f>ROUND('[7]2036'!AB50,2)</f>
        <v>0</v>
      </c>
      <c r="AC389" s="282"/>
      <c r="AD389" s="19"/>
    </row>
    <row r="390" spans="2:30" ht="18.649999999999999" hidden="1" customHeight="1" x14ac:dyDescent="0.35">
      <c r="B390" s="263">
        <v>49949</v>
      </c>
      <c r="C390" s="7" t="s">
        <v>29</v>
      </c>
      <c r="D390" s="8">
        <f>+'[7]2036'!D51</f>
        <v>22</v>
      </c>
      <c r="E390" s="134">
        <f>ROUND('[7]2036'!E51,2)</f>
        <v>34091.51</v>
      </c>
      <c r="F390" s="134">
        <f>ROUND('[7]2036'!F51,2)</f>
        <v>32367.58</v>
      </c>
      <c r="G390" s="134">
        <f>ROUND('[7]2036'!G51,2)</f>
        <v>30995.41</v>
      </c>
      <c r="H390" s="134">
        <f>ROUND('[7]2036'!H51,2)</f>
        <v>29861.18</v>
      </c>
      <c r="I390" s="134">
        <f>ROUND('[7]2036'!I51,2)</f>
        <v>29430.799999999999</v>
      </c>
      <c r="J390" s="134">
        <f>ROUND('[7]2036'!J51,2)</f>
        <v>29191.81</v>
      </c>
      <c r="K390" s="134">
        <f>ROUND('[7]2036'!K51,2)</f>
        <v>29808.02</v>
      </c>
      <c r="L390" s="134">
        <f>ROUND('[7]2036'!L51,2)</f>
        <v>33548</v>
      </c>
      <c r="M390" s="134">
        <f>ROUND('[7]2036'!M51,2)</f>
        <v>37370.699999999997</v>
      </c>
      <c r="N390" s="134">
        <f>ROUND('[7]2036'!N51,2)</f>
        <v>39589.79</v>
      </c>
      <c r="O390" s="134">
        <f>ROUND('[7]2036'!O51,2)</f>
        <v>41634.980000000003</v>
      </c>
      <c r="P390" s="134">
        <f>ROUND('[7]2036'!P51,2)</f>
        <v>42707.75</v>
      </c>
      <c r="Q390" s="134">
        <f>ROUND('[7]2036'!Q51,2)</f>
        <v>41948.73</v>
      </c>
      <c r="R390" s="134">
        <f>ROUND('[7]2036'!R51,2)</f>
        <v>41451.79</v>
      </c>
      <c r="S390" s="134">
        <f>ROUND('[7]2036'!S51,2)</f>
        <v>41622.47</v>
      </c>
      <c r="T390" s="134">
        <f>ROUND('[7]2036'!T51,2)</f>
        <v>41540.339999999997</v>
      </c>
      <c r="U390" s="134">
        <f>ROUND('[7]2036'!U51,2)</f>
        <v>41006.14</v>
      </c>
      <c r="V390" s="134">
        <f>ROUND('[7]2036'!V51,2)</f>
        <v>42072.23</v>
      </c>
      <c r="W390" s="134">
        <f>ROUND('[7]2036'!W51,2)</f>
        <v>45907.82</v>
      </c>
      <c r="X390" s="134">
        <f>ROUND('[7]2036'!X51,2)</f>
        <v>45140.74</v>
      </c>
      <c r="Y390" s="134">
        <f>ROUND('[7]2036'!Y51,2)</f>
        <v>43543.65</v>
      </c>
      <c r="Z390" s="134">
        <f>ROUND('[7]2036'!Z51,2)</f>
        <v>41513.949999999997</v>
      </c>
      <c r="AA390" s="134">
        <f>ROUND('[7]2036'!AA51,2)</f>
        <v>39093.129999999997</v>
      </c>
      <c r="AB390" s="134">
        <f>ROUND('[7]2036'!AB51,2)</f>
        <v>36504.620000000003</v>
      </c>
      <c r="AC390" s="283">
        <f>SUM(E390:AB390)*D390+SUM(E391:AB391)*D391+SUM(E392:AB392)*D392+SUM(E393:AB393)*D393</f>
        <v>27907462.239999991</v>
      </c>
      <c r="AD390" s="19"/>
    </row>
    <row r="391" spans="2:30" ht="18.649999999999999" hidden="1" customHeight="1" x14ac:dyDescent="0.35">
      <c r="B391" s="264" t="s">
        <v>34</v>
      </c>
      <c r="C391" s="10" t="s">
        <v>30</v>
      </c>
      <c r="D391" s="11">
        <f>+'[7]2036'!D52</f>
        <v>4</v>
      </c>
      <c r="E391" s="135">
        <f>ROUND('[7]2036'!E52,2)</f>
        <v>31686.81</v>
      </c>
      <c r="F391" s="135">
        <f>ROUND('[7]2036'!F52,2)</f>
        <v>30121.7</v>
      </c>
      <c r="G391" s="135">
        <f>ROUND('[7]2036'!G52,2)</f>
        <v>28963.69</v>
      </c>
      <c r="H391" s="135">
        <f>ROUND('[7]2036'!H52,2)</f>
        <v>28269.63</v>
      </c>
      <c r="I391" s="135">
        <f>ROUND('[7]2036'!I52,2)</f>
        <v>28366.71</v>
      </c>
      <c r="J391" s="135">
        <f>ROUND('[7]2036'!J52,2)</f>
        <v>28919.41</v>
      </c>
      <c r="K391" s="135">
        <f>ROUND('[7]2036'!K52,2)</f>
        <v>29443.52</v>
      </c>
      <c r="L391" s="135">
        <f>ROUND('[7]2036'!L52,2)</f>
        <v>32889.01</v>
      </c>
      <c r="M391" s="135">
        <f>ROUND('[7]2036'!M52,2)</f>
        <v>36328.589999999997</v>
      </c>
      <c r="N391" s="135">
        <f>ROUND('[7]2036'!N52,2)</f>
        <v>38344.17</v>
      </c>
      <c r="O391" s="135">
        <f>ROUND('[7]2036'!O52,2)</f>
        <v>40193.57</v>
      </c>
      <c r="P391" s="135">
        <f>ROUND('[7]2036'!P52,2)</f>
        <v>41573.050000000003</v>
      </c>
      <c r="Q391" s="135">
        <f>ROUND('[7]2036'!Q52,2)</f>
        <v>40403.18</v>
      </c>
      <c r="R391" s="135">
        <f>ROUND('[7]2036'!R52,2)</f>
        <v>40933.19</v>
      </c>
      <c r="S391" s="135">
        <f>ROUND('[7]2036'!S52,2)</f>
        <v>42140.33</v>
      </c>
      <c r="T391" s="135">
        <f>ROUND('[7]2036'!T52,2)</f>
        <v>42255.06</v>
      </c>
      <c r="U391" s="135">
        <f>ROUND('[7]2036'!U52,2)</f>
        <v>41707.279999999999</v>
      </c>
      <c r="V391" s="135">
        <f>ROUND('[7]2036'!V52,2)</f>
        <v>42465.03</v>
      </c>
      <c r="W391" s="135">
        <f>ROUND('[7]2036'!W52,2)</f>
        <v>45395.56</v>
      </c>
      <c r="X391" s="135">
        <f>ROUND('[7]2036'!X52,2)</f>
        <v>44513.16</v>
      </c>
      <c r="Y391" s="135">
        <f>ROUND('[7]2036'!Y52,2)</f>
        <v>42783.39</v>
      </c>
      <c r="Z391" s="135">
        <f>ROUND('[7]2036'!Z52,2)</f>
        <v>40401.81</v>
      </c>
      <c r="AA391" s="135">
        <f>ROUND('[7]2036'!AA52,2)</f>
        <v>37296.28</v>
      </c>
      <c r="AB391" s="135">
        <f>ROUND('[7]2036'!AB52,2)</f>
        <v>34183.71</v>
      </c>
      <c r="AC391" s="282"/>
      <c r="AD391" s="19"/>
    </row>
    <row r="392" spans="2:30" ht="18.649999999999999" hidden="1" customHeight="1" x14ac:dyDescent="0.35">
      <c r="B392" s="264" t="s">
        <v>34</v>
      </c>
      <c r="C392" s="10" t="s">
        <v>31</v>
      </c>
      <c r="D392" s="11">
        <f>+'[7]2036'!D53</f>
        <v>4</v>
      </c>
      <c r="E392" s="135">
        <f>ROUND('[7]2036'!E53,2)</f>
        <v>32025.59</v>
      </c>
      <c r="F392" s="135">
        <f>ROUND('[7]2036'!F53,2)</f>
        <v>30669.71</v>
      </c>
      <c r="G392" s="135">
        <f>ROUND('[7]2036'!G53,2)</f>
        <v>29591.31</v>
      </c>
      <c r="H392" s="135">
        <f>ROUND('[7]2036'!H53,2)</f>
        <v>28927.66</v>
      </c>
      <c r="I392" s="135">
        <f>ROUND('[7]2036'!I53,2)</f>
        <v>28697.25</v>
      </c>
      <c r="J392" s="135">
        <f>ROUND('[7]2036'!J53,2)</f>
        <v>28244.98</v>
      </c>
      <c r="K392" s="135">
        <f>ROUND('[7]2036'!K53,2)</f>
        <v>27573.08</v>
      </c>
      <c r="L392" s="135">
        <f>ROUND('[7]2036'!L53,2)</f>
        <v>29740.66</v>
      </c>
      <c r="M392" s="135">
        <f>ROUND('[7]2036'!M53,2)</f>
        <v>31538.880000000001</v>
      </c>
      <c r="N392" s="135">
        <f>ROUND('[7]2036'!N53,2)</f>
        <v>34045.11</v>
      </c>
      <c r="O392" s="135">
        <f>ROUND('[7]2036'!O53,2)</f>
        <v>36001.1</v>
      </c>
      <c r="P392" s="135">
        <f>ROUND('[7]2036'!P53,2)</f>
        <v>37548.11</v>
      </c>
      <c r="Q392" s="135">
        <f>ROUND('[7]2036'!Q53,2)</f>
        <v>38333.089999999997</v>
      </c>
      <c r="R392" s="135">
        <f>ROUND('[7]2036'!R53,2)</f>
        <v>38349.35</v>
      </c>
      <c r="S392" s="135">
        <f>ROUND('[7]2036'!S53,2)</f>
        <v>38412.720000000001</v>
      </c>
      <c r="T392" s="135">
        <f>ROUND('[7]2036'!T53,2)</f>
        <v>38509.46</v>
      </c>
      <c r="U392" s="135">
        <f>ROUND('[7]2036'!U53,2)</f>
        <v>38161.61</v>
      </c>
      <c r="V392" s="135">
        <f>ROUND('[7]2036'!V53,2)</f>
        <v>39782.57</v>
      </c>
      <c r="W392" s="135">
        <f>ROUND('[7]2036'!W53,2)</f>
        <v>44326.02</v>
      </c>
      <c r="X392" s="135">
        <f>ROUND('[7]2036'!X53,2)</f>
        <v>44868.69</v>
      </c>
      <c r="Y392" s="135">
        <f>ROUND('[7]2036'!Y53,2)</f>
        <v>44163.76</v>
      </c>
      <c r="Z392" s="135">
        <f>ROUND('[7]2036'!Z53,2)</f>
        <v>42497.31</v>
      </c>
      <c r="AA392" s="135">
        <f>ROUND('[7]2036'!AA53,2)</f>
        <v>39329.879999999997</v>
      </c>
      <c r="AB392" s="135">
        <f>ROUND('[7]2036'!AB53,2)</f>
        <v>35942.46</v>
      </c>
      <c r="AC392" s="282"/>
      <c r="AD392" s="19"/>
    </row>
    <row r="393" spans="2:30" ht="18.649999999999999" hidden="1" customHeight="1" thickBot="1" x14ac:dyDescent="0.4">
      <c r="B393" s="265" t="s">
        <v>34</v>
      </c>
      <c r="C393" s="12" t="s">
        <v>32</v>
      </c>
      <c r="D393" s="13">
        <f>+'[7]2036'!D54</f>
        <v>1</v>
      </c>
      <c r="E393" s="132">
        <f>ROUND('[7]2036'!E54,2)</f>
        <v>32025.59</v>
      </c>
      <c r="F393" s="132">
        <f>ROUND('[7]2036'!F54,2)</f>
        <v>30669.71</v>
      </c>
      <c r="G393" s="132">
        <f>ROUND('[7]2036'!G54,2)</f>
        <v>29591.31</v>
      </c>
      <c r="H393" s="132">
        <f>ROUND('[7]2036'!H54,2)</f>
        <v>28927.66</v>
      </c>
      <c r="I393" s="132">
        <f>ROUND('[7]2036'!I54,2)</f>
        <v>28697.25</v>
      </c>
      <c r="J393" s="132">
        <f>ROUND('[7]2036'!J54,2)</f>
        <v>28244.98</v>
      </c>
      <c r="K393" s="132">
        <f>ROUND('[7]2036'!K54,2)</f>
        <v>27573.08</v>
      </c>
      <c r="L393" s="132">
        <f>ROUND('[7]2036'!L54,2)</f>
        <v>29740.66</v>
      </c>
      <c r="M393" s="132">
        <f>ROUND('[7]2036'!M54,2)</f>
        <v>31538.880000000001</v>
      </c>
      <c r="N393" s="132">
        <f>ROUND('[7]2036'!N54,2)</f>
        <v>34045.11</v>
      </c>
      <c r="O393" s="132">
        <f>ROUND('[7]2036'!O54,2)</f>
        <v>36001.1</v>
      </c>
      <c r="P393" s="132">
        <f>ROUND('[7]2036'!P54,2)</f>
        <v>37548.11</v>
      </c>
      <c r="Q393" s="132">
        <f>ROUND('[7]2036'!Q54,2)</f>
        <v>38333.089999999997</v>
      </c>
      <c r="R393" s="132">
        <f>ROUND('[7]2036'!R54,2)</f>
        <v>38349.35</v>
      </c>
      <c r="S393" s="132">
        <f>ROUND('[7]2036'!S54,2)</f>
        <v>38412.720000000001</v>
      </c>
      <c r="T393" s="132">
        <f>ROUND('[7]2036'!T54,2)</f>
        <v>38509.46</v>
      </c>
      <c r="U393" s="132">
        <f>ROUND('[7]2036'!U54,2)</f>
        <v>38161.61</v>
      </c>
      <c r="V393" s="132">
        <f>ROUND('[7]2036'!V54,2)</f>
        <v>39782.57</v>
      </c>
      <c r="W393" s="132">
        <f>ROUND('[7]2036'!W54,2)</f>
        <v>44326.02</v>
      </c>
      <c r="X393" s="132">
        <f>ROUND('[7]2036'!X54,2)</f>
        <v>44868.69</v>
      </c>
      <c r="Y393" s="132">
        <f>ROUND('[7]2036'!Y54,2)</f>
        <v>44163.76</v>
      </c>
      <c r="Z393" s="132">
        <f>ROUND('[7]2036'!Z54,2)</f>
        <v>42497.31</v>
      </c>
      <c r="AA393" s="132">
        <f>ROUND('[7]2036'!AA54,2)</f>
        <v>39329.879999999997</v>
      </c>
      <c r="AB393" s="132">
        <f>ROUND('[7]2036'!AB54,2)</f>
        <v>35942.46</v>
      </c>
      <c r="AC393" s="284"/>
      <c r="AD393" s="19"/>
    </row>
    <row r="394" spans="2:30" ht="18.649999999999999" hidden="1" customHeight="1" x14ac:dyDescent="0.35">
      <c r="B394" s="260">
        <v>49980</v>
      </c>
      <c r="C394" s="14" t="s">
        <v>29</v>
      </c>
      <c r="D394" s="15">
        <f>+'[7]2036'!D55</f>
        <v>18</v>
      </c>
      <c r="E394" s="137">
        <f>ROUND('[7]2036'!E55,2)</f>
        <v>33704.44</v>
      </c>
      <c r="F394" s="137">
        <f>ROUND('[7]2036'!F55,2)</f>
        <v>32055.599999999999</v>
      </c>
      <c r="G394" s="137">
        <f>ROUND('[7]2036'!G55,2)</f>
        <v>30864.68</v>
      </c>
      <c r="H394" s="137">
        <f>ROUND('[7]2036'!H55,2)</f>
        <v>30084.959999999999</v>
      </c>
      <c r="I394" s="137">
        <f>ROUND('[7]2036'!I55,2)</f>
        <v>30091.919999999998</v>
      </c>
      <c r="J394" s="137">
        <f>ROUND('[7]2036'!J55,2)</f>
        <v>30342.25</v>
      </c>
      <c r="K394" s="137">
        <f>ROUND('[7]2036'!K55,2)</f>
        <v>30552.19</v>
      </c>
      <c r="L394" s="137">
        <f>ROUND('[7]2036'!L55,2)</f>
        <v>34383.53</v>
      </c>
      <c r="M394" s="137">
        <f>ROUND('[7]2036'!M55,2)</f>
        <v>38472.769999999997</v>
      </c>
      <c r="N394" s="137">
        <f>ROUND('[7]2036'!N55,2)</f>
        <v>41076.25</v>
      </c>
      <c r="O394" s="137">
        <f>ROUND('[7]2036'!O55,2)</f>
        <v>43042</v>
      </c>
      <c r="P394" s="137">
        <f>ROUND('[7]2036'!P55,2)</f>
        <v>44073.08</v>
      </c>
      <c r="Q394" s="137">
        <f>ROUND('[7]2036'!Q55,2)</f>
        <v>43188.49</v>
      </c>
      <c r="R394" s="137">
        <f>ROUND('[7]2036'!R55,2)</f>
        <v>42435.79</v>
      </c>
      <c r="S394" s="137">
        <f>ROUND('[7]2036'!S55,2)</f>
        <v>42330.44</v>
      </c>
      <c r="T394" s="137">
        <f>ROUND('[7]2036'!T55,2)</f>
        <v>42229.66</v>
      </c>
      <c r="U394" s="137">
        <f>ROUND('[7]2036'!U55,2)</f>
        <v>41797.339999999997</v>
      </c>
      <c r="V394" s="137">
        <f>ROUND('[7]2036'!V55,2)</f>
        <v>43190.9</v>
      </c>
      <c r="W394" s="137">
        <f>ROUND('[7]2036'!W55,2)</f>
        <v>47004.59</v>
      </c>
      <c r="X394" s="137">
        <f>ROUND('[7]2036'!X55,2)</f>
        <v>46014.76</v>
      </c>
      <c r="Y394" s="137">
        <f>ROUND('[7]2036'!Y55,2)</f>
        <v>44147.95</v>
      </c>
      <c r="Z394" s="137">
        <f>ROUND('[7]2036'!Z55,2)</f>
        <v>42035.97</v>
      </c>
      <c r="AA394" s="137">
        <f>ROUND('[7]2036'!AA55,2)</f>
        <v>39420.78</v>
      </c>
      <c r="AB394" s="137">
        <f>ROUND('[7]2036'!AB55,2)</f>
        <v>36584.410000000003</v>
      </c>
      <c r="AC394" s="282">
        <f>SUM(E394:AB394)*D394+SUM(E395:AB395)*D395+SUM(E396:AB396)*D396+SUM(E397:AB397)*D397</f>
        <v>27572466.919999998</v>
      </c>
      <c r="AD394" s="19"/>
    </row>
    <row r="395" spans="2:30" ht="18.649999999999999" hidden="1" customHeight="1" x14ac:dyDescent="0.35">
      <c r="B395" s="261"/>
      <c r="C395" s="10" t="s">
        <v>30</v>
      </c>
      <c r="D395" s="11">
        <f>+'[7]2036'!D56</f>
        <v>5</v>
      </c>
      <c r="E395" s="135">
        <f>ROUND('[7]2036'!E56,2)</f>
        <v>36731.300000000003</v>
      </c>
      <c r="F395" s="135">
        <f>ROUND('[7]2036'!F56,2)</f>
        <v>34872.06</v>
      </c>
      <c r="G395" s="135">
        <f>ROUND('[7]2036'!G56,2)</f>
        <v>33498.22</v>
      </c>
      <c r="H395" s="135">
        <f>ROUND('[7]2036'!H56,2)</f>
        <v>32553.23</v>
      </c>
      <c r="I395" s="135">
        <f>ROUND('[7]2036'!I56,2)</f>
        <v>32353.09</v>
      </c>
      <c r="J395" s="135">
        <f>ROUND('[7]2036'!J56,2)</f>
        <v>32577.89</v>
      </c>
      <c r="K395" s="135">
        <f>ROUND('[7]2036'!K56,2)</f>
        <v>32403.02</v>
      </c>
      <c r="L395" s="135">
        <f>ROUND('[7]2036'!L56,2)</f>
        <v>36094.65</v>
      </c>
      <c r="M395" s="135">
        <f>ROUND('[7]2036'!M56,2)</f>
        <v>39933.129999999997</v>
      </c>
      <c r="N395" s="135">
        <f>ROUND('[7]2036'!N56,2)</f>
        <v>42157.48</v>
      </c>
      <c r="O395" s="135">
        <f>ROUND('[7]2036'!O56,2)</f>
        <v>44120.58</v>
      </c>
      <c r="P395" s="135">
        <f>ROUND('[7]2036'!P56,2)</f>
        <v>45651.56</v>
      </c>
      <c r="Q395" s="135">
        <f>ROUND('[7]2036'!Q56,2)</f>
        <v>44667.17</v>
      </c>
      <c r="R395" s="135">
        <f>ROUND('[7]2036'!R56,2)</f>
        <v>45132.51</v>
      </c>
      <c r="S395" s="135">
        <f>ROUND('[7]2036'!S56,2)</f>
        <v>46422.11</v>
      </c>
      <c r="T395" s="135">
        <f>ROUND('[7]2036'!T56,2)</f>
        <v>46494.93</v>
      </c>
      <c r="U395" s="135">
        <f>ROUND('[7]2036'!U56,2)</f>
        <v>45758.04</v>
      </c>
      <c r="V395" s="135">
        <f>ROUND('[7]2036'!V56,2)</f>
        <v>45876.94</v>
      </c>
      <c r="W395" s="135">
        <f>ROUND('[7]2036'!W56,2)</f>
        <v>49734.41</v>
      </c>
      <c r="X395" s="135">
        <f>ROUND('[7]2036'!X56,2)</f>
        <v>48937.22</v>
      </c>
      <c r="Y395" s="135">
        <f>ROUND('[7]2036'!Y56,2)</f>
        <v>47358.75</v>
      </c>
      <c r="Z395" s="135">
        <f>ROUND('[7]2036'!Z56,2)</f>
        <v>45266.98</v>
      </c>
      <c r="AA395" s="135">
        <f>ROUND('[7]2036'!AA56,2)</f>
        <v>42462.23</v>
      </c>
      <c r="AB395" s="135">
        <f>ROUND('[7]2036'!AB56,2)</f>
        <v>39311.75</v>
      </c>
      <c r="AC395" s="282"/>
      <c r="AD395" s="19"/>
    </row>
    <row r="396" spans="2:30" ht="18.649999999999999" hidden="1" customHeight="1" x14ac:dyDescent="0.35">
      <c r="B396" s="261"/>
      <c r="C396" s="10" t="s">
        <v>31</v>
      </c>
      <c r="D396" s="11">
        <f>+'[7]2036'!D57</f>
        <v>5</v>
      </c>
      <c r="E396" s="135">
        <f>ROUND('[7]2036'!E57,2)</f>
        <v>33870</v>
      </c>
      <c r="F396" s="135">
        <f>ROUND('[7]2036'!F57,2)</f>
        <v>32070.43</v>
      </c>
      <c r="G396" s="135">
        <f>ROUND('[7]2036'!G57,2)</f>
        <v>30704.35</v>
      </c>
      <c r="H396" s="135">
        <f>ROUND('[7]2036'!H57,2)</f>
        <v>29655.09</v>
      </c>
      <c r="I396" s="135">
        <f>ROUND('[7]2036'!I57,2)</f>
        <v>29299.58</v>
      </c>
      <c r="J396" s="135">
        <f>ROUND('[7]2036'!J57,2)</f>
        <v>28852.76</v>
      </c>
      <c r="K396" s="135">
        <f>ROUND('[7]2036'!K57,2)</f>
        <v>28042.94</v>
      </c>
      <c r="L396" s="135">
        <f>ROUND('[7]2036'!L57,2)</f>
        <v>29890.080000000002</v>
      </c>
      <c r="M396" s="135">
        <f>ROUND('[7]2036'!M57,2)</f>
        <v>32107.88</v>
      </c>
      <c r="N396" s="135">
        <f>ROUND('[7]2036'!N57,2)</f>
        <v>33839.25</v>
      </c>
      <c r="O396" s="135">
        <f>ROUND('[7]2036'!O57,2)</f>
        <v>35257.440000000002</v>
      </c>
      <c r="P396" s="135">
        <f>ROUND('[7]2036'!P57,2)</f>
        <v>36514.51</v>
      </c>
      <c r="Q396" s="135">
        <f>ROUND('[7]2036'!Q57,2)</f>
        <v>36906.78</v>
      </c>
      <c r="R396" s="135">
        <f>ROUND('[7]2036'!R57,2)</f>
        <v>37093.86</v>
      </c>
      <c r="S396" s="135">
        <f>ROUND('[7]2036'!S57,2)</f>
        <v>36560.79</v>
      </c>
      <c r="T396" s="135">
        <f>ROUND('[7]2036'!T57,2)</f>
        <v>36598.160000000003</v>
      </c>
      <c r="U396" s="135">
        <f>ROUND('[7]2036'!U57,2)</f>
        <v>36686.97</v>
      </c>
      <c r="V396" s="135">
        <f>ROUND('[7]2036'!V57,2)</f>
        <v>38996.61</v>
      </c>
      <c r="W396" s="135">
        <f>ROUND('[7]2036'!W57,2)</f>
        <v>43513.760000000002</v>
      </c>
      <c r="X396" s="135">
        <f>ROUND('[7]2036'!X57,2)</f>
        <v>43675.06</v>
      </c>
      <c r="Y396" s="135">
        <f>ROUND('[7]2036'!Y57,2)</f>
        <v>42316.66</v>
      </c>
      <c r="Z396" s="135">
        <f>ROUND('[7]2036'!Z57,2)</f>
        <v>39778.21</v>
      </c>
      <c r="AA396" s="135">
        <f>ROUND('[7]2036'!AA57,2)</f>
        <v>36566.449999999997</v>
      </c>
      <c r="AB396" s="135">
        <f>ROUND('[7]2036'!AB57,2)</f>
        <v>33541.69</v>
      </c>
      <c r="AC396" s="282"/>
      <c r="AD396" s="19"/>
    </row>
    <row r="397" spans="2:30" ht="18.649999999999999" hidden="1" customHeight="1" thickBot="1" x14ac:dyDescent="0.4">
      <c r="B397" s="261"/>
      <c r="C397" s="16" t="s">
        <v>32</v>
      </c>
      <c r="D397" s="17">
        <f>+'[7]2036'!D58</f>
        <v>2</v>
      </c>
      <c r="E397" s="136">
        <f>ROUND('[7]2036'!E58,2)</f>
        <v>33870</v>
      </c>
      <c r="F397" s="136">
        <f>ROUND('[7]2036'!F58,2)</f>
        <v>32070.43</v>
      </c>
      <c r="G397" s="136">
        <f>ROUND('[7]2036'!G58,2)</f>
        <v>30704.35</v>
      </c>
      <c r="H397" s="136">
        <f>ROUND('[7]2036'!H58,2)</f>
        <v>29655.09</v>
      </c>
      <c r="I397" s="136">
        <f>ROUND('[7]2036'!I58,2)</f>
        <v>29299.58</v>
      </c>
      <c r="J397" s="136">
        <f>ROUND('[7]2036'!J58,2)</f>
        <v>28852.76</v>
      </c>
      <c r="K397" s="136">
        <f>ROUND('[7]2036'!K58,2)</f>
        <v>28042.94</v>
      </c>
      <c r="L397" s="136">
        <f>ROUND('[7]2036'!L58,2)</f>
        <v>29890.080000000002</v>
      </c>
      <c r="M397" s="136">
        <f>ROUND('[7]2036'!M58,2)</f>
        <v>32107.88</v>
      </c>
      <c r="N397" s="136">
        <f>ROUND('[7]2036'!N58,2)</f>
        <v>33839.25</v>
      </c>
      <c r="O397" s="136">
        <f>ROUND('[7]2036'!O58,2)</f>
        <v>35257.440000000002</v>
      </c>
      <c r="P397" s="136">
        <f>ROUND('[7]2036'!P58,2)</f>
        <v>36514.51</v>
      </c>
      <c r="Q397" s="136">
        <f>ROUND('[7]2036'!Q58,2)</f>
        <v>36906.78</v>
      </c>
      <c r="R397" s="136">
        <f>ROUND('[7]2036'!R58,2)</f>
        <v>37093.86</v>
      </c>
      <c r="S397" s="136">
        <f>ROUND('[7]2036'!S58,2)</f>
        <v>36560.79</v>
      </c>
      <c r="T397" s="136">
        <f>ROUND('[7]2036'!T58,2)</f>
        <v>36598.160000000003</v>
      </c>
      <c r="U397" s="136">
        <f>ROUND('[7]2036'!U58,2)</f>
        <v>36686.97</v>
      </c>
      <c r="V397" s="136">
        <f>ROUND('[7]2036'!V58,2)</f>
        <v>38996.61</v>
      </c>
      <c r="W397" s="136">
        <f>ROUND('[7]2036'!W58,2)</f>
        <v>43513.760000000002</v>
      </c>
      <c r="X397" s="136">
        <f>ROUND('[7]2036'!X58,2)</f>
        <v>43675.06</v>
      </c>
      <c r="Y397" s="136">
        <f>ROUND('[7]2036'!Y58,2)</f>
        <v>42316.66</v>
      </c>
      <c r="Z397" s="136">
        <f>ROUND('[7]2036'!Z58,2)</f>
        <v>39778.21</v>
      </c>
      <c r="AA397" s="136">
        <f>ROUND('[7]2036'!AA58,2)</f>
        <v>36566.449999999997</v>
      </c>
      <c r="AB397" s="136">
        <f>ROUND('[7]2036'!AB58,2)</f>
        <v>33541.69</v>
      </c>
      <c r="AC397" s="282"/>
      <c r="AD397" s="19"/>
    </row>
    <row r="398" spans="2:30" ht="18.649999999999999" hidden="1" customHeight="1" x14ac:dyDescent="0.35">
      <c r="B398" s="263">
        <v>50010</v>
      </c>
      <c r="C398" s="7" t="s">
        <v>29</v>
      </c>
      <c r="D398" s="8">
        <f>+'[7]2036'!D59</f>
        <v>21</v>
      </c>
      <c r="E398" s="134">
        <f>ROUND('[7]2036'!E59,2)</f>
        <v>35560.31</v>
      </c>
      <c r="F398" s="134">
        <f>ROUND('[7]2036'!F59,2)</f>
        <v>33683.65</v>
      </c>
      <c r="G398" s="134">
        <f>ROUND('[7]2036'!G59,2)</f>
        <v>32265.119999999999</v>
      </c>
      <c r="H398" s="134">
        <f>ROUND('[7]2036'!H59,2)</f>
        <v>31279.13</v>
      </c>
      <c r="I398" s="134">
        <f>ROUND('[7]2036'!I59,2)</f>
        <v>31062.48</v>
      </c>
      <c r="J398" s="134">
        <f>ROUND('[7]2036'!J59,2)</f>
        <v>31220.27</v>
      </c>
      <c r="K398" s="134">
        <f>ROUND('[7]2036'!K59,2)</f>
        <v>30858.38</v>
      </c>
      <c r="L398" s="134">
        <f>ROUND('[7]2036'!L59,2)</f>
        <v>34168.57</v>
      </c>
      <c r="M398" s="134">
        <f>ROUND('[7]2036'!M59,2)</f>
        <v>37781.269999999997</v>
      </c>
      <c r="N398" s="134">
        <f>ROUND('[7]2036'!N59,2)</f>
        <v>40067.03</v>
      </c>
      <c r="O398" s="134">
        <f>ROUND('[7]2036'!O59,2)</f>
        <v>41749.370000000003</v>
      </c>
      <c r="P398" s="134">
        <f>ROUND('[7]2036'!P59,2)</f>
        <v>42758.879999999997</v>
      </c>
      <c r="Q398" s="134">
        <f>ROUND('[7]2036'!Q59,2)</f>
        <v>41833.730000000003</v>
      </c>
      <c r="R398" s="134">
        <f>ROUND('[7]2036'!R59,2)</f>
        <v>41170.14</v>
      </c>
      <c r="S398" s="134">
        <f>ROUND('[7]2036'!S59,2)</f>
        <v>41270.21</v>
      </c>
      <c r="T398" s="134">
        <f>ROUND('[7]2036'!T59,2)</f>
        <v>41241.440000000002</v>
      </c>
      <c r="U398" s="134">
        <f>ROUND('[7]2036'!U59,2)</f>
        <v>40730.18</v>
      </c>
      <c r="V398" s="134">
        <f>ROUND('[7]2036'!V59,2)</f>
        <v>41822.53</v>
      </c>
      <c r="W398" s="134">
        <f>ROUND('[7]2036'!W59,2)</f>
        <v>46058.09</v>
      </c>
      <c r="X398" s="134">
        <f>ROUND('[7]2036'!X59,2)</f>
        <v>45054.47</v>
      </c>
      <c r="Y398" s="134">
        <f>ROUND('[7]2036'!Y59,2)</f>
        <v>43116.97</v>
      </c>
      <c r="Z398" s="134">
        <f>ROUND('[7]2036'!Z59,2)</f>
        <v>40994.83</v>
      </c>
      <c r="AA398" s="134">
        <f>ROUND('[7]2036'!AA59,2)</f>
        <v>38936.36</v>
      </c>
      <c r="AB398" s="134">
        <f>ROUND('[7]2036'!AB59,2)+0.1</f>
        <v>36629.769999999997</v>
      </c>
      <c r="AC398" s="283">
        <f>SUM(E398:AB398)*D398+SUM(E399:AB399)*D399+SUM(E400:AB400)*D400+SUM(E401:AB401)*D401</f>
        <v>28168380.079999998</v>
      </c>
      <c r="AD398" s="19"/>
    </row>
    <row r="399" spans="2:30" ht="18.649999999999999" hidden="1" customHeight="1" x14ac:dyDescent="0.35">
      <c r="B399" s="264" t="s">
        <v>34</v>
      </c>
      <c r="C399" s="10" t="s">
        <v>30</v>
      </c>
      <c r="D399" s="11">
        <f>+'[7]2036'!D60</f>
        <v>4</v>
      </c>
      <c r="E399" s="135">
        <f>ROUND('[7]2036'!E60,2)</f>
        <v>34902.14</v>
      </c>
      <c r="F399" s="135">
        <f>ROUND('[7]2036'!F60,2)</f>
        <v>33140.050000000003</v>
      </c>
      <c r="G399" s="135">
        <f>ROUND('[7]2036'!G60,2)</f>
        <v>31816.720000000001</v>
      </c>
      <c r="H399" s="135">
        <f>ROUND('[7]2036'!H60,2)</f>
        <v>30897.77</v>
      </c>
      <c r="I399" s="135">
        <f>ROUND('[7]2036'!I60,2)</f>
        <v>30796.959999999999</v>
      </c>
      <c r="J399" s="135">
        <f>ROUND('[7]2036'!J60,2)</f>
        <v>31293.58</v>
      </c>
      <c r="K399" s="135">
        <f>ROUND('[7]2036'!K60,2)</f>
        <v>31426.61</v>
      </c>
      <c r="L399" s="135">
        <f>ROUND('[7]2036'!L60,2)</f>
        <v>34874.339999999997</v>
      </c>
      <c r="M399" s="135">
        <f>ROUND('[7]2036'!M60,2)</f>
        <v>38448.949999999997</v>
      </c>
      <c r="N399" s="135">
        <f>ROUND('[7]2036'!N60,2)</f>
        <v>40514.870000000003</v>
      </c>
      <c r="O399" s="135">
        <f>ROUND('[7]2036'!O60,2)</f>
        <v>42533.8</v>
      </c>
      <c r="P399" s="135">
        <f>ROUND('[7]2036'!P60,2)</f>
        <v>43952.53</v>
      </c>
      <c r="Q399" s="135">
        <f>ROUND('[7]2036'!Q60,2)</f>
        <v>42846.15</v>
      </c>
      <c r="R399" s="135">
        <f>ROUND('[7]2036'!R60,2)</f>
        <v>43696.66</v>
      </c>
      <c r="S399" s="135">
        <f>ROUND('[7]2036'!S60,2)</f>
        <v>45136.13</v>
      </c>
      <c r="T399" s="135">
        <f>ROUND('[7]2036'!T60,2)</f>
        <v>45236.95</v>
      </c>
      <c r="U399" s="135">
        <f>ROUND('[7]2036'!U60,2)</f>
        <v>44459.05</v>
      </c>
      <c r="V399" s="135">
        <f>ROUND('[7]2036'!V60,2)</f>
        <v>43658.98</v>
      </c>
      <c r="W399" s="135">
        <f>ROUND('[7]2036'!W60,2)</f>
        <v>46688.32</v>
      </c>
      <c r="X399" s="135">
        <f>ROUND('[7]2036'!X60,2)</f>
        <v>46969.13</v>
      </c>
      <c r="Y399" s="135">
        <f>ROUND('[7]2036'!Y60,2)</f>
        <v>45786.73</v>
      </c>
      <c r="Z399" s="135">
        <f>ROUND('[7]2036'!Z60,2)</f>
        <v>43801.9</v>
      </c>
      <c r="AA399" s="135">
        <f>ROUND('[7]2036'!AA60,2)</f>
        <v>40760.76</v>
      </c>
      <c r="AB399" s="135">
        <f>ROUND('[7]2036'!AB60,2)</f>
        <v>37508.449999999997</v>
      </c>
      <c r="AC399" s="282"/>
      <c r="AD399" s="19"/>
    </row>
    <row r="400" spans="2:30" ht="18.649999999999999" hidden="1" customHeight="1" x14ac:dyDescent="0.35">
      <c r="B400" s="264" t="s">
        <v>34</v>
      </c>
      <c r="C400" s="10" t="s">
        <v>31</v>
      </c>
      <c r="D400" s="11">
        <f>+'[7]2036'!D61</f>
        <v>4</v>
      </c>
      <c r="E400" s="135">
        <f>ROUND('[7]2036'!E61,2)</f>
        <v>34693.129999999997</v>
      </c>
      <c r="F400" s="135">
        <f>ROUND('[7]2036'!F61,2)</f>
        <v>33617.18</v>
      </c>
      <c r="G400" s="135">
        <f>ROUND('[7]2036'!G61,2)</f>
        <v>32599.59</v>
      </c>
      <c r="H400" s="135">
        <f>ROUND('[7]2036'!H61,2)</f>
        <v>31624.14</v>
      </c>
      <c r="I400" s="135">
        <f>ROUND('[7]2036'!I61,2)</f>
        <v>31061.87</v>
      </c>
      <c r="J400" s="135">
        <f>ROUND('[7]2036'!J61,2)</f>
        <v>30248.61</v>
      </c>
      <c r="K400" s="135">
        <f>ROUND('[7]2036'!K61,2)</f>
        <v>28369.77</v>
      </c>
      <c r="L400" s="135">
        <f>ROUND('[7]2036'!L61,2)</f>
        <v>29312.28</v>
      </c>
      <c r="M400" s="135">
        <f>ROUND('[7]2036'!M61,2)</f>
        <v>30844.63</v>
      </c>
      <c r="N400" s="135">
        <f>ROUND('[7]2036'!N61,2)</f>
        <v>32283.31</v>
      </c>
      <c r="O400" s="135">
        <f>ROUND('[7]2036'!O61,2)</f>
        <v>33624.519999999997</v>
      </c>
      <c r="P400" s="135">
        <f>ROUND('[7]2036'!P61,2)</f>
        <v>34764.49</v>
      </c>
      <c r="Q400" s="135">
        <f>ROUND('[7]2036'!Q61,2)</f>
        <v>35387.58</v>
      </c>
      <c r="R400" s="135">
        <f>ROUND('[7]2036'!R61,2)</f>
        <v>35415.129999999997</v>
      </c>
      <c r="S400" s="135">
        <f>ROUND('[7]2036'!S61,2)</f>
        <v>35254.879999999997</v>
      </c>
      <c r="T400" s="135">
        <f>ROUND('[7]2036'!T61,2)</f>
        <v>35449.79</v>
      </c>
      <c r="U400" s="135">
        <f>ROUND('[7]2036'!U61,2)</f>
        <v>35433.25</v>
      </c>
      <c r="V400" s="135">
        <f>ROUND('[7]2036'!V61,2)</f>
        <v>36578.58</v>
      </c>
      <c r="W400" s="135">
        <f>ROUND('[7]2036'!W61,2)</f>
        <v>41673.54</v>
      </c>
      <c r="X400" s="135">
        <f>ROUND('[7]2036'!X61,2)</f>
        <v>42058.9</v>
      </c>
      <c r="Y400" s="135">
        <f>ROUND('[7]2036'!Y61,2)</f>
        <v>41526.120000000003</v>
      </c>
      <c r="Z400" s="135">
        <f>ROUND('[7]2036'!Z61,2)</f>
        <v>40263.51</v>
      </c>
      <c r="AA400" s="135">
        <f>ROUND('[7]2036'!AA61,2)</f>
        <v>38182.550000000003</v>
      </c>
      <c r="AB400" s="135">
        <f>ROUND('[7]2036'!AB61,2)</f>
        <v>35768.18</v>
      </c>
      <c r="AC400" s="282"/>
      <c r="AD400" s="19"/>
    </row>
    <row r="401" spans="2:50" ht="18.649999999999999" hidden="1" customHeight="1" thickBot="1" x14ac:dyDescent="0.4">
      <c r="B401" s="265" t="s">
        <v>34</v>
      </c>
      <c r="C401" s="12" t="s">
        <v>32</v>
      </c>
      <c r="D401" s="13">
        <f>+'[7]2036'!D62</f>
        <v>2</v>
      </c>
      <c r="E401" s="132">
        <f>ROUND('[7]2036'!E62,2)</f>
        <v>34693.129999999997</v>
      </c>
      <c r="F401" s="132">
        <f>ROUND('[7]2036'!F62,2)</f>
        <v>33617.18</v>
      </c>
      <c r="G401" s="132">
        <f>ROUND('[7]2036'!G62,2)</f>
        <v>32599.59</v>
      </c>
      <c r="H401" s="132">
        <f>ROUND('[7]2036'!H62,2)</f>
        <v>31624.14</v>
      </c>
      <c r="I401" s="132">
        <f>ROUND('[7]2036'!I62,2)</f>
        <v>31061.87</v>
      </c>
      <c r="J401" s="132">
        <f>ROUND('[7]2036'!J62,2)</f>
        <v>30248.61</v>
      </c>
      <c r="K401" s="132">
        <f>ROUND('[7]2036'!K62,2)</f>
        <v>28369.77</v>
      </c>
      <c r="L401" s="132">
        <f>ROUND('[7]2036'!L62,2)</f>
        <v>29312.28</v>
      </c>
      <c r="M401" s="132">
        <f>ROUND('[7]2036'!M62,2)</f>
        <v>30844.63</v>
      </c>
      <c r="N401" s="132">
        <f>ROUND('[7]2036'!N62,2)</f>
        <v>32283.31</v>
      </c>
      <c r="O401" s="132">
        <f>ROUND('[7]2036'!O62,2)</f>
        <v>33624.519999999997</v>
      </c>
      <c r="P401" s="132">
        <f>ROUND('[7]2036'!P62,2)</f>
        <v>34764.49</v>
      </c>
      <c r="Q401" s="132">
        <f>ROUND('[7]2036'!Q62,2)</f>
        <v>35387.58</v>
      </c>
      <c r="R401" s="132">
        <f>ROUND('[7]2036'!R62,2)</f>
        <v>35415.129999999997</v>
      </c>
      <c r="S401" s="132">
        <f>ROUND('[7]2036'!S62,2)</f>
        <v>35254.879999999997</v>
      </c>
      <c r="T401" s="132">
        <f>ROUND('[7]2036'!T62,2)</f>
        <v>35449.79</v>
      </c>
      <c r="U401" s="132">
        <f>ROUND('[7]2036'!U62,2)</f>
        <v>35433.25</v>
      </c>
      <c r="V401" s="132">
        <f>ROUND('[7]2036'!V62,2)</f>
        <v>36578.58</v>
      </c>
      <c r="W401" s="132">
        <f>ROUND('[7]2036'!W62,2)</f>
        <v>41673.54</v>
      </c>
      <c r="X401" s="132">
        <f>ROUND('[7]2036'!X62,2)</f>
        <v>42058.9</v>
      </c>
      <c r="Y401" s="132">
        <f>ROUND('[7]2036'!Y62,2)</f>
        <v>41526.120000000003</v>
      </c>
      <c r="Z401" s="132">
        <f>ROUND('[7]2036'!Z62,2)</f>
        <v>40263.51</v>
      </c>
      <c r="AA401" s="132">
        <f>ROUND('[7]2036'!AA62,2)</f>
        <v>38182.550000000003</v>
      </c>
      <c r="AB401" s="132">
        <f>ROUND('[7]2036'!AB62,2)</f>
        <v>35768.18</v>
      </c>
      <c r="AC401" s="284"/>
      <c r="AD401" s="19"/>
    </row>
    <row r="402" spans="2:50" ht="18.649999999999999" hidden="1" customHeight="1" thickBot="1" x14ac:dyDescent="0.4">
      <c r="Z402" s="268" t="s">
        <v>33</v>
      </c>
      <c r="AA402" s="269"/>
      <c r="AB402" s="270"/>
      <c r="AC402" s="198">
        <f>SUM(AC354:AC401)</f>
        <v>339240268.98000002</v>
      </c>
      <c r="AD402" s="18"/>
      <c r="AE402" s="19"/>
    </row>
    <row r="403" spans="2:50" ht="18.649999999999999" hidden="1" customHeight="1" x14ac:dyDescent="0.35">
      <c r="B403" s="260">
        <v>50041</v>
      </c>
      <c r="C403" s="7" t="s">
        <v>29</v>
      </c>
      <c r="D403" s="54">
        <f>+'[7]2037'!D15</f>
        <v>20</v>
      </c>
      <c r="E403" s="127">
        <f>ROUND('[7]2037'!E15,2)</f>
        <v>35844.26</v>
      </c>
      <c r="F403" s="125">
        <f>ROUND('[7]2037'!F15,2)</f>
        <v>33901.589999999997</v>
      </c>
      <c r="G403" s="125">
        <f>ROUND('[7]2037'!G15,2)</f>
        <v>32497.38</v>
      </c>
      <c r="H403" s="125">
        <f>ROUND('[7]2037'!H15,2)</f>
        <v>31515.62</v>
      </c>
      <c r="I403" s="125">
        <f>ROUND('[7]2037'!I15,2)</f>
        <v>31282.91</v>
      </c>
      <c r="J403" s="125">
        <f>ROUND('[7]2037'!J15,2)</f>
        <v>32046.57</v>
      </c>
      <c r="K403" s="125">
        <f>ROUND('[7]2037'!K15,2)</f>
        <v>31807.95</v>
      </c>
      <c r="L403" s="125">
        <f>ROUND('[7]2037'!L15,2)</f>
        <v>35569.22</v>
      </c>
      <c r="M403" s="125">
        <f>ROUND('[7]2037'!M15,2)</f>
        <v>39616.51</v>
      </c>
      <c r="N403" s="125">
        <f>ROUND('[7]2037'!N15,2)</f>
        <v>41960.28</v>
      </c>
      <c r="O403" s="125">
        <f>ROUND('[7]2037'!O15,2)</f>
        <v>44378.14</v>
      </c>
      <c r="P403" s="125">
        <f>ROUND('[7]2037'!P15,2)</f>
        <v>46097.62</v>
      </c>
      <c r="Q403" s="125">
        <f>ROUND('[7]2037'!Q15,2)</f>
        <v>44816.73</v>
      </c>
      <c r="R403" s="125">
        <f>ROUND('[7]2037'!R15,2)</f>
        <v>46074.04</v>
      </c>
      <c r="S403" s="125">
        <f>ROUND('[7]2037'!S15,2)</f>
        <v>48170.92</v>
      </c>
      <c r="T403" s="125">
        <f>ROUND('[7]2037'!T15,2)</f>
        <v>48369.8</v>
      </c>
      <c r="U403" s="125">
        <f>ROUND('[7]2037'!U15,2)</f>
        <v>47368.56</v>
      </c>
      <c r="V403" s="125">
        <f>ROUND('[7]2037'!V15,2)</f>
        <v>45465.04</v>
      </c>
      <c r="W403" s="125">
        <f>ROUND('[7]2037'!W15,2)</f>
        <v>48163.94</v>
      </c>
      <c r="X403" s="125">
        <f>ROUND('[7]2037'!X15,2)</f>
        <v>48311.63</v>
      </c>
      <c r="Y403" s="125">
        <f>ROUND('[7]2037'!Y15,2)</f>
        <v>47169.84</v>
      </c>
      <c r="Z403" s="125">
        <f>ROUND('[7]2037'!Z15,2)</f>
        <v>45347.61</v>
      </c>
      <c r="AA403" s="125">
        <f>ROUND('[7]2037'!AA15,2)</f>
        <v>42343.01</v>
      </c>
      <c r="AB403" s="125">
        <f>ROUND('[7]2037'!AB15,2)</f>
        <v>38969.43</v>
      </c>
      <c r="AC403" s="283">
        <f>SUM(E403:AB403)*D403+SUM(E404:AB404)*D404+SUM(E405:AB405)*D405+SUM(E406:AB406)*D406</f>
        <v>29779530.169999998</v>
      </c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</row>
    <row r="404" spans="2:50" ht="18.649999999999999" hidden="1" customHeight="1" x14ac:dyDescent="0.35">
      <c r="B404" s="261"/>
      <c r="C404" s="10" t="s">
        <v>30</v>
      </c>
      <c r="D404" s="11">
        <f>+'[7]2037'!D16</f>
        <v>5</v>
      </c>
      <c r="E404" s="128">
        <f>ROUND('[7]2037'!E16,2)</f>
        <v>36114.36</v>
      </c>
      <c r="F404" s="123">
        <f>ROUND('[7]2037'!F16,2)</f>
        <v>34196.83</v>
      </c>
      <c r="G404" s="123">
        <f>ROUND('[7]2037'!G16,2)</f>
        <v>32776.19</v>
      </c>
      <c r="H404" s="123">
        <f>ROUND('[7]2037'!H16,2)</f>
        <v>31655.33</v>
      </c>
      <c r="I404" s="123">
        <f>ROUND('[7]2037'!I16,2)</f>
        <v>31361.46</v>
      </c>
      <c r="J404" s="123">
        <f>ROUND('[7]2037'!J16,2)</f>
        <v>31499</v>
      </c>
      <c r="K404" s="123">
        <f>ROUND('[7]2037'!K16,2)</f>
        <v>30685.03</v>
      </c>
      <c r="L404" s="123">
        <f>ROUND('[7]2037'!L16,2)</f>
        <v>33605.730000000003</v>
      </c>
      <c r="M404" s="123">
        <f>ROUND('[7]2037'!M16,2)</f>
        <v>37463.199999999997</v>
      </c>
      <c r="N404" s="123">
        <f>ROUND('[7]2037'!N16,2)</f>
        <v>40016.03</v>
      </c>
      <c r="O404" s="123">
        <f>ROUND('[7]2037'!O16,2)</f>
        <v>42117.9</v>
      </c>
      <c r="P404" s="123">
        <f>ROUND('[7]2037'!P16,2)</f>
        <v>43435.39</v>
      </c>
      <c r="Q404" s="123">
        <f>ROUND('[7]2037'!Q16,2)</f>
        <v>42819.74</v>
      </c>
      <c r="R404" s="123">
        <f>ROUND('[7]2037'!R16,2)</f>
        <v>42388.08</v>
      </c>
      <c r="S404" s="123">
        <f>ROUND('[7]2037'!S16,2)</f>
        <v>42629.53</v>
      </c>
      <c r="T404" s="123">
        <f>ROUND('[7]2037'!T16,2)</f>
        <v>42615.95</v>
      </c>
      <c r="U404" s="123">
        <f>ROUND('[7]2037'!U16,2)</f>
        <v>41987.07</v>
      </c>
      <c r="V404" s="123">
        <f>ROUND('[7]2037'!V16,2)</f>
        <v>41665.97</v>
      </c>
      <c r="W404" s="123">
        <f>ROUND('[7]2037'!W16,2)</f>
        <v>45948.36</v>
      </c>
      <c r="X404" s="123">
        <f>ROUND('[7]2037'!X16,2)</f>
        <v>46408.41</v>
      </c>
      <c r="Y404" s="123">
        <f>ROUND('[7]2037'!Y16,2)</f>
        <v>45125.7</v>
      </c>
      <c r="Z404" s="123">
        <f>ROUND('[7]2037'!Z16,2)</f>
        <v>43528.26</v>
      </c>
      <c r="AA404" s="123">
        <f>ROUND('[7]2037'!AA16,2)</f>
        <v>41358.69</v>
      </c>
      <c r="AB404" s="123">
        <f>ROUND('[7]2037'!AB16,2)</f>
        <v>38825.18</v>
      </c>
      <c r="AC404" s="282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</row>
    <row r="405" spans="2:50" ht="18.649999999999999" hidden="1" customHeight="1" x14ac:dyDescent="0.35">
      <c r="B405" s="261"/>
      <c r="C405" s="10" t="s">
        <v>31</v>
      </c>
      <c r="D405" s="11">
        <f>+'[7]2037'!D17</f>
        <v>4</v>
      </c>
      <c r="E405" s="128">
        <f>ROUND('[7]2037'!E17,2)</f>
        <v>36516.81</v>
      </c>
      <c r="F405" s="123">
        <f>ROUND('[7]2037'!F17,2)</f>
        <v>34667.67</v>
      </c>
      <c r="G405" s="123">
        <f>ROUND('[7]2037'!G17,2)</f>
        <v>33168.06</v>
      </c>
      <c r="H405" s="123">
        <f>ROUND('[7]2037'!H17,2)</f>
        <v>31969.5</v>
      </c>
      <c r="I405" s="123">
        <f>ROUND('[7]2037'!I17,2)</f>
        <v>31360.23</v>
      </c>
      <c r="J405" s="123">
        <f>ROUND('[7]2037'!J17,2)</f>
        <v>31059.75</v>
      </c>
      <c r="K405" s="123">
        <f>ROUND('[7]2037'!K17,2)</f>
        <v>29458.09</v>
      </c>
      <c r="L405" s="123">
        <f>ROUND('[7]2037'!L17,2)</f>
        <v>30774.6</v>
      </c>
      <c r="M405" s="123">
        <f>ROUND('[7]2037'!M17,2)</f>
        <v>32973.629999999997</v>
      </c>
      <c r="N405" s="123">
        <f>ROUND('[7]2037'!N17,2)</f>
        <v>35214.51</v>
      </c>
      <c r="O405" s="123">
        <f>ROUND('[7]2037'!O17,2)</f>
        <v>36592.68</v>
      </c>
      <c r="P405" s="123">
        <f>ROUND('[7]2037'!P17,2)</f>
        <v>37819.89</v>
      </c>
      <c r="Q405" s="123">
        <f>ROUND('[7]2037'!Q17,2)</f>
        <v>38550.559999999998</v>
      </c>
      <c r="R405" s="123">
        <f>ROUND('[7]2037'!R17,2)</f>
        <v>38715.279999999999</v>
      </c>
      <c r="S405" s="123">
        <f>ROUND('[7]2037'!S17,2)</f>
        <v>38822.629999999997</v>
      </c>
      <c r="T405" s="123">
        <f>ROUND('[7]2037'!T17,2)</f>
        <v>38887.160000000003</v>
      </c>
      <c r="U405" s="123">
        <f>ROUND('[7]2037'!U17,2)</f>
        <v>38659.480000000003</v>
      </c>
      <c r="V405" s="123">
        <f>ROUND('[7]2037'!V17,2)</f>
        <v>38698.949999999997</v>
      </c>
      <c r="W405" s="123">
        <f>ROUND('[7]2037'!W17,2)</f>
        <v>43385.93</v>
      </c>
      <c r="X405" s="123">
        <f>ROUND('[7]2037'!X17,2)</f>
        <v>44802.81</v>
      </c>
      <c r="Y405" s="123">
        <f>ROUND('[7]2037'!Y17,2)</f>
        <v>44640.18</v>
      </c>
      <c r="Z405" s="123">
        <f>ROUND('[7]2037'!Z17,2)</f>
        <v>43406.720000000001</v>
      </c>
      <c r="AA405" s="123">
        <f>ROUND('[7]2037'!AA17,2)</f>
        <v>41073.26</v>
      </c>
      <c r="AB405" s="123">
        <f>ROUND('[7]2037'!AB17,2)</f>
        <v>38218.49</v>
      </c>
      <c r="AC405" s="282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</row>
    <row r="406" spans="2:50" ht="18.649999999999999" hidden="1" customHeight="1" thickBot="1" x14ac:dyDescent="0.4">
      <c r="B406" s="261"/>
      <c r="C406" s="16" t="s">
        <v>32</v>
      </c>
      <c r="D406" s="17">
        <f>+'[7]2037'!D18</f>
        <v>2</v>
      </c>
      <c r="E406" s="129">
        <f>ROUND('[7]2037'!E18,2)</f>
        <v>36516.81</v>
      </c>
      <c r="F406" s="124">
        <f>ROUND('[7]2037'!F18,2)</f>
        <v>34667.67</v>
      </c>
      <c r="G406" s="124">
        <f>ROUND('[7]2037'!G18,2)</f>
        <v>33168.06</v>
      </c>
      <c r="H406" s="124">
        <f>ROUND('[7]2037'!H18,2)</f>
        <v>31969.5</v>
      </c>
      <c r="I406" s="124">
        <f>ROUND('[7]2037'!I18,2)</f>
        <v>31360.23</v>
      </c>
      <c r="J406" s="124">
        <f>ROUND('[7]2037'!J18,2)</f>
        <v>31059.75</v>
      </c>
      <c r="K406" s="124">
        <f>ROUND('[7]2037'!K18,2)</f>
        <v>29458.09</v>
      </c>
      <c r="L406" s="124">
        <f>ROUND('[7]2037'!L18,2)</f>
        <v>30774.6</v>
      </c>
      <c r="M406" s="124">
        <f>ROUND('[7]2037'!M18,2)</f>
        <v>32973.629999999997</v>
      </c>
      <c r="N406" s="124">
        <f>ROUND('[7]2037'!N18,2)</f>
        <v>35214.51</v>
      </c>
      <c r="O406" s="124">
        <f>ROUND('[7]2037'!O18,2)</f>
        <v>36592.68</v>
      </c>
      <c r="P406" s="124">
        <f>ROUND('[7]2037'!P18,2)</f>
        <v>37819.89</v>
      </c>
      <c r="Q406" s="124">
        <f>ROUND('[7]2037'!Q18,2)</f>
        <v>38550.559999999998</v>
      </c>
      <c r="R406" s="124">
        <f>ROUND('[7]2037'!R18,2)</f>
        <v>38715.279999999999</v>
      </c>
      <c r="S406" s="124">
        <f>ROUND('[7]2037'!S18,2)</f>
        <v>38822.629999999997</v>
      </c>
      <c r="T406" s="124">
        <f>ROUND('[7]2037'!T18,2)</f>
        <v>38887.160000000003</v>
      </c>
      <c r="U406" s="124">
        <f>ROUND('[7]2037'!U18,2)</f>
        <v>38659.480000000003</v>
      </c>
      <c r="V406" s="124">
        <f>ROUND('[7]2037'!V18,2)</f>
        <v>38698.949999999997</v>
      </c>
      <c r="W406" s="124">
        <f>ROUND('[7]2037'!W18,2)</f>
        <v>43385.93</v>
      </c>
      <c r="X406" s="124">
        <f>ROUND('[7]2037'!X18,2)</f>
        <v>44802.81</v>
      </c>
      <c r="Y406" s="124">
        <f>ROUND('[7]2037'!Y18,2)</f>
        <v>44640.18</v>
      </c>
      <c r="Z406" s="124">
        <f>ROUND('[7]2037'!Z18,2)</f>
        <v>43406.720000000001</v>
      </c>
      <c r="AA406" s="124">
        <f>ROUND('[7]2037'!AA18,2)</f>
        <v>41073.26</v>
      </c>
      <c r="AB406" s="124">
        <f>ROUND('[7]2037'!AB18,2)</f>
        <v>38218.49</v>
      </c>
      <c r="AC406" s="282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</row>
    <row r="407" spans="2:50" ht="18.649999999999999" hidden="1" customHeight="1" x14ac:dyDescent="0.35">
      <c r="B407" s="263">
        <v>50072</v>
      </c>
      <c r="C407" s="7" t="s">
        <v>29</v>
      </c>
      <c r="D407" s="8">
        <f>+'[7]2037'!D19</f>
        <v>20</v>
      </c>
      <c r="E407" s="127">
        <f>ROUND('[7]2037'!E19,2)</f>
        <v>37148.69</v>
      </c>
      <c r="F407" s="125">
        <f>ROUND('[7]2037'!F19,2)</f>
        <v>35188.39</v>
      </c>
      <c r="G407" s="125">
        <f>ROUND('[7]2037'!G19,2)</f>
        <v>33788.17</v>
      </c>
      <c r="H407" s="125">
        <f>ROUND('[7]2037'!H19,2)</f>
        <v>32871.58</v>
      </c>
      <c r="I407" s="125">
        <f>ROUND('[7]2037'!I19,2)</f>
        <v>32938.879999999997</v>
      </c>
      <c r="J407" s="125">
        <f>ROUND('[7]2037'!J19,2)</f>
        <v>34768.400000000001</v>
      </c>
      <c r="K407" s="125">
        <f>ROUND('[7]2037'!K19,2)</f>
        <v>34675.51</v>
      </c>
      <c r="L407" s="125">
        <f>ROUND('[7]2037'!L19,2)</f>
        <v>38255.26</v>
      </c>
      <c r="M407" s="125">
        <f>ROUND('[7]2037'!M19,2)</f>
        <v>41864.910000000003</v>
      </c>
      <c r="N407" s="125">
        <f>ROUND('[7]2037'!N19,2)</f>
        <v>43637.47</v>
      </c>
      <c r="O407" s="125">
        <f>ROUND('[7]2037'!O19,2)</f>
        <v>45755.14</v>
      </c>
      <c r="P407" s="125">
        <f>ROUND('[7]2037'!P19,2)</f>
        <v>47175.91</v>
      </c>
      <c r="Q407" s="125">
        <f>ROUND('[7]2037'!Q19,2)</f>
        <v>45400.4</v>
      </c>
      <c r="R407" s="125">
        <f>ROUND('[7]2037'!R19,2)</f>
        <v>47019.58</v>
      </c>
      <c r="S407" s="125">
        <f>ROUND('[7]2037'!S19,2)</f>
        <v>49399.34</v>
      </c>
      <c r="T407" s="125">
        <f>ROUND('[7]2037'!T19,2)</f>
        <v>49705.19</v>
      </c>
      <c r="U407" s="125">
        <f>ROUND('[7]2037'!U19,2)</f>
        <v>48834.67</v>
      </c>
      <c r="V407" s="125">
        <f>ROUND('[7]2037'!V19,2)</f>
        <v>46754.94</v>
      </c>
      <c r="W407" s="125">
        <f>ROUND('[7]2037'!W19,2)</f>
        <v>49240.07</v>
      </c>
      <c r="X407" s="125">
        <f>ROUND('[7]2037'!X19,2)</f>
        <v>50037.03</v>
      </c>
      <c r="Y407" s="125">
        <f>ROUND('[7]2037'!Y19,2)</f>
        <v>49046.27</v>
      </c>
      <c r="Z407" s="125">
        <f>ROUND('[7]2037'!Z19,2)</f>
        <v>46910.42</v>
      </c>
      <c r="AA407" s="125">
        <f>ROUND('[7]2037'!AA19,2)</f>
        <v>43429.25</v>
      </c>
      <c r="AB407" s="125">
        <f>ROUND('[7]2037'!AB19,2)</f>
        <v>39928.57</v>
      </c>
      <c r="AC407" s="283">
        <f>SUM(E407:AB407)*D407+SUM(E408:AB408)*D408+SUM(E409:AB409)*D409+SUM(E410:AB410)*D410</f>
        <v>28133739.600000001</v>
      </c>
      <c r="AD407" s="19"/>
    </row>
    <row r="408" spans="2:50" ht="18.649999999999999" hidden="1" customHeight="1" x14ac:dyDescent="0.35">
      <c r="B408" s="264" t="s">
        <v>34</v>
      </c>
      <c r="C408" s="10" t="s">
        <v>30</v>
      </c>
      <c r="D408" s="11">
        <f>+'[7]2037'!D20</f>
        <v>4</v>
      </c>
      <c r="E408" s="128">
        <f>ROUND('[7]2037'!E20,2)</f>
        <v>37267.15</v>
      </c>
      <c r="F408" s="123">
        <f>ROUND('[7]2037'!F20,2)</f>
        <v>35452.559999999998</v>
      </c>
      <c r="G408" s="123">
        <f>ROUND('[7]2037'!G20,2)</f>
        <v>33875.42</v>
      </c>
      <c r="H408" s="123">
        <f>ROUND('[7]2037'!H20,2)</f>
        <v>32805.61</v>
      </c>
      <c r="I408" s="123">
        <f>ROUND('[7]2037'!I20,2)</f>
        <v>32397.15</v>
      </c>
      <c r="J408" s="123">
        <f>ROUND('[7]2037'!J20,2)</f>
        <v>32721.33</v>
      </c>
      <c r="K408" s="123">
        <f>ROUND('[7]2037'!K20,2)</f>
        <v>32391.45</v>
      </c>
      <c r="L408" s="123">
        <f>ROUND('[7]2037'!L20,2)</f>
        <v>35610.49</v>
      </c>
      <c r="M408" s="123">
        <f>ROUND('[7]2037'!M20,2)</f>
        <v>39480.870000000003</v>
      </c>
      <c r="N408" s="123">
        <f>ROUND('[7]2037'!N20,2)</f>
        <v>41911.800000000003</v>
      </c>
      <c r="O408" s="123">
        <f>ROUND('[7]2037'!O20,2)</f>
        <v>43899.4</v>
      </c>
      <c r="P408" s="123">
        <f>ROUND('[7]2037'!P20,2)</f>
        <v>45215.87</v>
      </c>
      <c r="Q408" s="123">
        <f>ROUND('[7]2037'!Q20,2)</f>
        <v>44427.16</v>
      </c>
      <c r="R408" s="123">
        <f>ROUND('[7]2037'!R20,2)</f>
        <v>43908.84</v>
      </c>
      <c r="S408" s="123">
        <f>ROUND('[7]2037'!S20,2)</f>
        <v>44139.39</v>
      </c>
      <c r="T408" s="123">
        <f>ROUND('[7]2037'!T20,2)</f>
        <v>44133.85</v>
      </c>
      <c r="U408" s="123">
        <f>ROUND('[7]2037'!U20,2)</f>
        <v>43463.82</v>
      </c>
      <c r="V408" s="123">
        <f>ROUND('[7]2037'!V20,2)</f>
        <v>43161.07</v>
      </c>
      <c r="W408" s="123">
        <f>ROUND('[7]2037'!W20,2)</f>
        <v>47276.6</v>
      </c>
      <c r="X408" s="123">
        <f>ROUND('[7]2037'!X20,2)</f>
        <v>48237.38</v>
      </c>
      <c r="Y408" s="123">
        <f>ROUND('[7]2037'!Y20,2)</f>
        <v>46983.96</v>
      </c>
      <c r="Z408" s="123">
        <f>ROUND('[7]2037'!Z20,2)</f>
        <v>45291.1</v>
      </c>
      <c r="AA408" s="123">
        <f>ROUND('[7]2037'!AA20,2)</f>
        <v>42990.3</v>
      </c>
      <c r="AB408" s="123">
        <f>ROUND('[7]2037'!AB20,2)</f>
        <v>40284.160000000003</v>
      </c>
      <c r="AC408" s="282"/>
      <c r="AD408" s="19"/>
    </row>
    <row r="409" spans="2:50" ht="18.649999999999999" hidden="1" customHeight="1" x14ac:dyDescent="0.35">
      <c r="B409" s="264" t="s">
        <v>34</v>
      </c>
      <c r="C409" s="10" t="s">
        <v>31</v>
      </c>
      <c r="D409" s="11">
        <f>+'[7]2037'!D21</f>
        <v>4</v>
      </c>
      <c r="E409" s="128">
        <f>ROUND('[7]2037'!E21,2)</f>
        <v>37846.47</v>
      </c>
      <c r="F409" s="123">
        <f>ROUND('[7]2037'!F21,2)</f>
        <v>35908.69</v>
      </c>
      <c r="G409" s="123">
        <f>ROUND('[7]2037'!G21,2)</f>
        <v>34409.67</v>
      </c>
      <c r="H409" s="123">
        <f>ROUND('[7]2037'!H21,2)</f>
        <v>33310.019999999997</v>
      </c>
      <c r="I409" s="123">
        <f>ROUND('[7]2037'!I21,2)</f>
        <v>32613.56</v>
      </c>
      <c r="J409" s="123">
        <f>ROUND('[7]2037'!J21,2)</f>
        <v>32467.27</v>
      </c>
      <c r="K409" s="123">
        <f>ROUND('[7]2037'!K21,2)</f>
        <v>31036.46</v>
      </c>
      <c r="L409" s="123">
        <f>ROUND('[7]2037'!L21,2)</f>
        <v>32423.200000000001</v>
      </c>
      <c r="M409" s="123">
        <f>ROUND('[7]2037'!M21,2)</f>
        <v>34693.86</v>
      </c>
      <c r="N409" s="123">
        <f>ROUND('[7]2037'!N21,2)</f>
        <v>36755.81</v>
      </c>
      <c r="O409" s="123">
        <f>ROUND('[7]2037'!O21,2)</f>
        <v>38259.57</v>
      </c>
      <c r="P409" s="123">
        <f>ROUND('[7]2037'!P21,2)</f>
        <v>39788.99</v>
      </c>
      <c r="Q409" s="123">
        <f>ROUND('[7]2037'!Q21,2)</f>
        <v>40666.160000000003</v>
      </c>
      <c r="R409" s="123">
        <f>ROUND('[7]2037'!R21,2)</f>
        <v>40934.949999999997</v>
      </c>
      <c r="S409" s="123">
        <f>ROUND('[7]2037'!S21,2)</f>
        <v>41178.230000000003</v>
      </c>
      <c r="T409" s="123">
        <f>ROUND('[7]2037'!T21,2)</f>
        <v>41366.35</v>
      </c>
      <c r="U409" s="123">
        <f>ROUND('[7]2037'!U21,2)</f>
        <v>41095</v>
      </c>
      <c r="V409" s="123">
        <f>ROUND('[7]2037'!V21,2)</f>
        <v>40998.720000000001</v>
      </c>
      <c r="W409" s="123">
        <f>ROUND('[7]2037'!W21,2)</f>
        <v>45585.43</v>
      </c>
      <c r="X409" s="123">
        <f>ROUND('[7]2037'!X21,2)</f>
        <v>47638.79</v>
      </c>
      <c r="Y409" s="123">
        <f>ROUND('[7]2037'!Y21,2)</f>
        <v>47674.04</v>
      </c>
      <c r="Z409" s="123">
        <f>ROUND('[7]2037'!Z21,2)</f>
        <v>46491.55</v>
      </c>
      <c r="AA409" s="123">
        <f>ROUND('[7]2037'!AA21,2)</f>
        <v>43709.85</v>
      </c>
      <c r="AB409" s="123">
        <f>ROUND('[7]2037'!AB21,2)</f>
        <v>40385.33</v>
      </c>
      <c r="AC409" s="282"/>
      <c r="AD409" s="19"/>
    </row>
    <row r="410" spans="2:50" ht="18.649999999999999" hidden="1" customHeight="1" thickBot="1" x14ac:dyDescent="0.4">
      <c r="B410" s="265" t="s">
        <v>34</v>
      </c>
      <c r="C410" s="12" t="s">
        <v>32</v>
      </c>
      <c r="D410" s="13">
        <f>+'[7]2037'!D22</f>
        <v>0</v>
      </c>
      <c r="E410" s="115">
        <f>ROUND('[7]2037'!E22,2)</f>
        <v>0</v>
      </c>
      <c r="F410" s="115">
        <f>ROUND('[7]2037'!F22,2)</f>
        <v>0</v>
      </c>
      <c r="G410" s="115">
        <f>ROUND('[7]2037'!G22,2)</f>
        <v>0</v>
      </c>
      <c r="H410" s="115">
        <f>ROUND('[7]2037'!H22,2)</f>
        <v>0</v>
      </c>
      <c r="I410" s="115">
        <f>ROUND('[7]2037'!I22,2)</f>
        <v>0</v>
      </c>
      <c r="J410" s="115">
        <f>ROUND('[7]2037'!J22,2)</f>
        <v>0</v>
      </c>
      <c r="K410" s="115">
        <f>ROUND('[7]2037'!K22,2)</f>
        <v>0</v>
      </c>
      <c r="L410" s="115">
        <f>ROUND('[7]2037'!L22,2)</f>
        <v>0</v>
      </c>
      <c r="M410" s="115">
        <f>ROUND('[7]2037'!M22,2)</f>
        <v>0</v>
      </c>
      <c r="N410" s="115">
        <f>ROUND('[7]2037'!N22,2)</f>
        <v>0</v>
      </c>
      <c r="O410" s="115">
        <f>ROUND('[7]2037'!O22,2)</f>
        <v>0</v>
      </c>
      <c r="P410" s="115">
        <f>ROUND('[7]2037'!P22,2)</f>
        <v>0</v>
      </c>
      <c r="Q410" s="115">
        <f>ROUND('[7]2037'!Q22,2)</f>
        <v>0</v>
      </c>
      <c r="R410" s="115">
        <f>ROUND('[7]2037'!R22,2)</f>
        <v>0</v>
      </c>
      <c r="S410" s="115">
        <f>ROUND('[7]2037'!S22,2)</f>
        <v>0</v>
      </c>
      <c r="T410" s="115">
        <f>ROUND('[7]2037'!T22,2)</f>
        <v>0</v>
      </c>
      <c r="U410" s="115">
        <f>ROUND('[7]2037'!U22,2)</f>
        <v>0</v>
      </c>
      <c r="V410" s="115">
        <f>ROUND('[7]2037'!V22,2)</f>
        <v>0</v>
      </c>
      <c r="W410" s="115">
        <f>ROUND('[7]2037'!W22,2)</f>
        <v>0</v>
      </c>
      <c r="X410" s="115">
        <f>ROUND('[7]2037'!X22,2)</f>
        <v>0</v>
      </c>
      <c r="Y410" s="115">
        <f>ROUND('[7]2037'!Y22,2)</f>
        <v>0</v>
      </c>
      <c r="Z410" s="115">
        <f>ROUND('[7]2037'!Z22,2)</f>
        <v>0</v>
      </c>
      <c r="AA410" s="115">
        <f>ROUND('[7]2037'!AA22,2)</f>
        <v>0</v>
      </c>
      <c r="AB410" s="115">
        <f>ROUND('[7]2037'!AB22,2)</f>
        <v>0</v>
      </c>
      <c r="AC410" s="284"/>
      <c r="AD410" s="19"/>
    </row>
    <row r="411" spans="2:50" ht="18.649999999999999" hidden="1" customHeight="1" x14ac:dyDescent="0.35">
      <c r="B411" s="260">
        <v>50100</v>
      </c>
      <c r="C411" s="14" t="s">
        <v>29</v>
      </c>
      <c r="D411" s="15">
        <f>+'[7]2037'!D23</f>
        <v>21</v>
      </c>
      <c r="E411" s="131">
        <f>ROUND('[7]2037'!E23,2)</f>
        <v>37334.5</v>
      </c>
      <c r="F411" s="122">
        <f>ROUND('[7]2037'!F23,2)</f>
        <v>35361.46</v>
      </c>
      <c r="G411" s="122">
        <f>ROUND('[7]2037'!G23,2)</f>
        <v>33874.58</v>
      </c>
      <c r="H411" s="122">
        <f>ROUND('[7]2037'!H23,2)</f>
        <v>32777.230000000003</v>
      </c>
      <c r="I411" s="122">
        <f>ROUND('[7]2037'!I23,2)</f>
        <v>32612.29</v>
      </c>
      <c r="J411" s="122">
        <f>ROUND('[7]2037'!J23,2)</f>
        <v>33806.43</v>
      </c>
      <c r="K411" s="122">
        <f>ROUND('[7]2037'!K23,2)</f>
        <v>33574.26</v>
      </c>
      <c r="L411" s="122">
        <f>ROUND('[7]2037'!L23,2)</f>
        <v>37422.800000000003</v>
      </c>
      <c r="M411" s="122">
        <f>ROUND('[7]2037'!M23,2)</f>
        <v>41304.300000000003</v>
      </c>
      <c r="N411" s="122">
        <f>ROUND('[7]2037'!N23,2)</f>
        <v>43335.73</v>
      </c>
      <c r="O411" s="122">
        <f>ROUND('[7]2037'!O23,2)</f>
        <v>45639.97</v>
      </c>
      <c r="P411" s="122">
        <f>ROUND('[7]2037'!P23,2)</f>
        <v>47140.13</v>
      </c>
      <c r="Q411" s="122">
        <f>ROUND('[7]2037'!Q23,2)</f>
        <v>45443.53</v>
      </c>
      <c r="R411" s="122">
        <f>ROUND('[7]2037'!R23,2)</f>
        <v>47254.53</v>
      </c>
      <c r="S411" s="122">
        <f>ROUND('[7]2037'!S23,2)</f>
        <v>49449.599999999999</v>
      </c>
      <c r="T411" s="122">
        <f>ROUND('[7]2037'!T23,2)</f>
        <v>49685.46</v>
      </c>
      <c r="U411" s="122">
        <f>ROUND('[7]2037'!U23,2)</f>
        <v>48821.99</v>
      </c>
      <c r="V411" s="122">
        <f>ROUND('[7]2037'!V23,2)</f>
        <v>46736.5</v>
      </c>
      <c r="W411" s="122">
        <f>ROUND('[7]2037'!W23,2)</f>
        <v>48833.04</v>
      </c>
      <c r="X411" s="122">
        <f>ROUND('[7]2037'!X23,2)</f>
        <v>49443.4</v>
      </c>
      <c r="Y411" s="122">
        <f>ROUND('[7]2037'!Y23,2)</f>
        <v>48554.49</v>
      </c>
      <c r="Z411" s="122">
        <f>ROUND('[7]2037'!Z23,2)</f>
        <v>46670.43</v>
      </c>
      <c r="AA411" s="122">
        <f>ROUND('[7]2037'!AA23,2)</f>
        <v>43722.84</v>
      </c>
      <c r="AB411" s="122">
        <f>ROUND('[7]2037'!AB23,2)</f>
        <v>40407.15</v>
      </c>
      <c r="AC411" s="282">
        <f>SUM(E411:AB411)*D411+SUM(E412:AB412)*D412+SUM(E413:AB413)*D413+SUM(E414:AB414)*D414</f>
        <v>30597487.240000006</v>
      </c>
      <c r="AD411" s="19"/>
    </row>
    <row r="412" spans="2:50" ht="18.649999999999999" hidden="1" customHeight="1" x14ac:dyDescent="0.35">
      <c r="B412" s="261"/>
      <c r="C412" s="10" t="s">
        <v>30</v>
      </c>
      <c r="D412" s="11">
        <f>+'[7]2037'!D24</f>
        <v>4</v>
      </c>
      <c r="E412" s="128">
        <f>ROUND('[7]2037'!E24,2)</f>
        <v>37442.949999999997</v>
      </c>
      <c r="F412" s="123">
        <f>ROUND('[7]2037'!F24,2)</f>
        <v>35407.279999999999</v>
      </c>
      <c r="G412" s="123">
        <f>ROUND('[7]2037'!G24,2)</f>
        <v>33973.35</v>
      </c>
      <c r="H412" s="123">
        <f>ROUND('[7]2037'!H24,2)</f>
        <v>32838.58</v>
      </c>
      <c r="I412" s="123">
        <f>ROUND('[7]2037'!I24,2)</f>
        <v>32161.17</v>
      </c>
      <c r="J412" s="123">
        <f>ROUND('[7]2037'!J24,2)</f>
        <v>32057.61</v>
      </c>
      <c r="K412" s="123">
        <f>ROUND('[7]2037'!K24,2)</f>
        <v>31588.05</v>
      </c>
      <c r="L412" s="123">
        <f>ROUND('[7]2037'!L24,2)</f>
        <v>34609.949999999997</v>
      </c>
      <c r="M412" s="123">
        <f>ROUND('[7]2037'!M24,2)</f>
        <v>38252.639999999999</v>
      </c>
      <c r="N412" s="123">
        <f>ROUND('[7]2037'!N24,2)</f>
        <v>40533.769999999997</v>
      </c>
      <c r="O412" s="123">
        <f>ROUND('[7]2037'!O24,2)</f>
        <v>42350.879999999997</v>
      </c>
      <c r="P412" s="123">
        <f>ROUND('[7]2037'!P24,2)</f>
        <v>43512.55</v>
      </c>
      <c r="Q412" s="123">
        <f>ROUND('[7]2037'!Q24,2)</f>
        <v>42895.49</v>
      </c>
      <c r="R412" s="123">
        <f>ROUND('[7]2037'!R24,2)</f>
        <v>42448.58</v>
      </c>
      <c r="S412" s="123">
        <f>ROUND('[7]2037'!S24,2)</f>
        <v>42193.31</v>
      </c>
      <c r="T412" s="123">
        <f>ROUND('[7]2037'!T24,2)</f>
        <v>43235.360000000001</v>
      </c>
      <c r="U412" s="123">
        <f>ROUND('[7]2037'!U24,2)</f>
        <v>41769.79</v>
      </c>
      <c r="V412" s="123">
        <f>ROUND('[7]2037'!V24,2)</f>
        <v>41430.67</v>
      </c>
      <c r="W412" s="123">
        <f>ROUND('[7]2037'!W24,2)</f>
        <v>45768.34</v>
      </c>
      <c r="X412" s="123">
        <f>ROUND('[7]2037'!X24,2)</f>
        <v>46451.06</v>
      </c>
      <c r="Y412" s="123">
        <f>ROUND('[7]2037'!Y24,2)</f>
        <v>45323.03</v>
      </c>
      <c r="Z412" s="123">
        <f>ROUND('[7]2037'!Z24,2)</f>
        <v>43871.39</v>
      </c>
      <c r="AA412" s="123">
        <f>ROUND('[7]2037'!AA24,2)</f>
        <v>41946.03</v>
      </c>
      <c r="AB412" s="123">
        <f>ROUND('[7]2037'!AB24,2)</f>
        <v>39498.94</v>
      </c>
      <c r="AC412" s="282"/>
      <c r="AD412" s="19"/>
    </row>
    <row r="413" spans="2:50" ht="18.649999999999999" hidden="1" customHeight="1" x14ac:dyDescent="0.35">
      <c r="B413" s="261"/>
      <c r="C413" s="10" t="s">
        <v>31</v>
      </c>
      <c r="D413" s="11">
        <f>+'[7]2037'!D25</f>
        <v>5</v>
      </c>
      <c r="E413" s="128">
        <f>ROUND('[7]2037'!E25,2)</f>
        <v>37143.050000000003</v>
      </c>
      <c r="F413" s="123">
        <f>ROUND('[7]2037'!F25,2)</f>
        <v>35241.58</v>
      </c>
      <c r="G413" s="123">
        <f>ROUND('[7]2037'!G25,2)</f>
        <v>33544.300000000003</v>
      </c>
      <c r="H413" s="123">
        <f>ROUND('[7]2037'!H25,2)</f>
        <v>32353.53</v>
      </c>
      <c r="I413" s="123">
        <f>ROUND('[7]2037'!I25,2)</f>
        <v>31801.35</v>
      </c>
      <c r="J413" s="123">
        <f>ROUND('[7]2037'!J25,2)</f>
        <v>31441.63</v>
      </c>
      <c r="K413" s="123">
        <f>ROUND('[7]2037'!K25,2)</f>
        <v>29905.61</v>
      </c>
      <c r="L413" s="123">
        <f>ROUND('[7]2037'!L25,2)</f>
        <v>31343.78</v>
      </c>
      <c r="M413" s="123">
        <f>ROUND('[7]2037'!M25,2)</f>
        <v>33427.54</v>
      </c>
      <c r="N413" s="123">
        <f>ROUND('[7]2037'!N25,2)</f>
        <v>35332.85</v>
      </c>
      <c r="O413" s="123">
        <f>ROUND('[7]2037'!O25,2)</f>
        <v>36777.25</v>
      </c>
      <c r="P413" s="123">
        <f>ROUND('[7]2037'!P25,2)</f>
        <v>38142.79</v>
      </c>
      <c r="Q413" s="123">
        <f>ROUND('[7]2037'!Q25,2)</f>
        <v>38828.74</v>
      </c>
      <c r="R413" s="123">
        <f>ROUND('[7]2037'!R25,2)</f>
        <v>39004.01</v>
      </c>
      <c r="S413" s="123">
        <f>ROUND('[7]2037'!S25,2)</f>
        <v>39204.589999999997</v>
      </c>
      <c r="T413" s="123">
        <f>ROUND('[7]2037'!T25,2)</f>
        <v>39484.1</v>
      </c>
      <c r="U413" s="123">
        <f>ROUND('[7]2037'!U25,2)</f>
        <v>38996.19</v>
      </c>
      <c r="V413" s="123">
        <f>ROUND('[7]2037'!V25,2)</f>
        <v>39090</v>
      </c>
      <c r="W413" s="123">
        <f>ROUND('[7]2037'!W25,2)</f>
        <v>43298.91</v>
      </c>
      <c r="X413" s="123">
        <f>ROUND('[7]2037'!X25,2)</f>
        <v>44855.42</v>
      </c>
      <c r="Y413" s="123">
        <f>ROUND('[7]2037'!Y25,2)</f>
        <v>44774.82</v>
      </c>
      <c r="Z413" s="123">
        <f>ROUND('[7]2037'!Z25,2)</f>
        <v>43907.38</v>
      </c>
      <c r="AA413" s="123">
        <f>ROUND('[7]2037'!AA25,2)</f>
        <v>41573.519999999997</v>
      </c>
      <c r="AB413" s="123">
        <f>ROUND('[7]2037'!AB25,2)</f>
        <v>38511.18</v>
      </c>
      <c r="AC413" s="282"/>
      <c r="AD413" s="19"/>
    </row>
    <row r="414" spans="2:50" ht="18.649999999999999" hidden="1" customHeight="1" thickBot="1" x14ac:dyDescent="0.4">
      <c r="B414" s="261"/>
      <c r="C414" s="16" t="s">
        <v>32</v>
      </c>
      <c r="D414" s="17">
        <f>+'[7]2037'!D26</f>
        <v>1</v>
      </c>
      <c r="E414" s="129">
        <f>ROUND('[7]2037'!E26,2)</f>
        <v>37143.050000000003</v>
      </c>
      <c r="F414" s="124">
        <f>ROUND('[7]2037'!F26,2)</f>
        <v>35241.58</v>
      </c>
      <c r="G414" s="124">
        <f>ROUND('[7]2037'!G26,2)</f>
        <v>33544.300000000003</v>
      </c>
      <c r="H414" s="124">
        <f>ROUND('[7]2037'!H26,2)</f>
        <v>32353.53</v>
      </c>
      <c r="I414" s="124">
        <f>ROUND('[7]2037'!I26,2)</f>
        <v>31801.35</v>
      </c>
      <c r="J414" s="124">
        <f>ROUND('[7]2037'!J26,2)</f>
        <v>31441.63</v>
      </c>
      <c r="K414" s="124">
        <f>ROUND('[7]2037'!K26,2)</f>
        <v>29905.61</v>
      </c>
      <c r="L414" s="124">
        <f>ROUND('[7]2037'!L26,2)</f>
        <v>31343.78</v>
      </c>
      <c r="M414" s="124">
        <f>ROUND('[7]2037'!M26,2)</f>
        <v>33427.54</v>
      </c>
      <c r="N414" s="124">
        <f>ROUND('[7]2037'!N26,2)</f>
        <v>35332.85</v>
      </c>
      <c r="O414" s="124">
        <f>ROUND('[7]2037'!O26,2)</f>
        <v>36777.25</v>
      </c>
      <c r="P414" s="124">
        <f>ROUND('[7]2037'!P26,2)</f>
        <v>38142.79</v>
      </c>
      <c r="Q414" s="124">
        <f>ROUND('[7]2037'!Q26,2)</f>
        <v>38828.74</v>
      </c>
      <c r="R414" s="124">
        <f>ROUND('[7]2037'!R26,2)</f>
        <v>39004.01</v>
      </c>
      <c r="S414" s="124">
        <f>ROUND('[7]2037'!S26,2)</f>
        <v>39204.589999999997</v>
      </c>
      <c r="T414" s="124">
        <f>ROUND('[7]2037'!T26,2)</f>
        <v>39484.1</v>
      </c>
      <c r="U414" s="124">
        <f>ROUND('[7]2037'!U26,2)</f>
        <v>38996.19</v>
      </c>
      <c r="V414" s="124">
        <f>ROUND('[7]2037'!V26,2)</f>
        <v>39090</v>
      </c>
      <c r="W414" s="124">
        <f>ROUND('[7]2037'!W26,2)</f>
        <v>43298.91</v>
      </c>
      <c r="X414" s="124">
        <f>ROUND('[7]2037'!X26,2)</f>
        <v>44855.42</v>
      </c>
      <c r="Y414" s="124">
        <f>ROUND('[7]2037'!Y26,2)</f>
        <v>44774.82</v>
      </c>
      <c r="Z414" s="124">
        <f>ROUND('[7]2037'!Z26,2)</f>
        <v>43907.38</v>
      </c>
      <c r="AA414" s="124">
        <f>ROUND('[7]2037'!AA26,2)</f>
        <v>41573.519999999997</v>
      </c>
      <c r="AB414" s="124">
        <f>ROUND('[7]2037'!AB26,2)</f>
        <v>38511.18</v>
      </c>
      <c r="AC414" s="282"/>
      <c r="AD414" s="19"/>
    </row>
    <row r="415" spans="2:50" ht="18.649999999999999" hidden="1" customHeight="1" x14ac:dyDescent="0.35">
      <c r="B415" s="263">
        <v>50131</v>
      </c>
      <c r="C415" s="7" t="s">
        <v>29</v>
      </c>
      <c r="D415" s="8">
        <f>+'[7]2037'!D27</f>
        <v>20</v>
      </c>
      <c r="E415" s="127">
        <f>ROUND('[7]2037'!E27,2)</f>
        <v>36803.85</v>
      </c>
      <c r="F415" s="125">
        <f>ROUND('[7]2037'!F27,2)</f>
        <v>35217.08</v>
      </c>
      <c r="G415" s="125">
        <f>ROUND('[7]2037'!G27,2)</f>
        <v>33661.78</v>
      </c>
      <c r="H415" s="125">
        <f>ROUND('[7]2037'!H27,2)</f>
        <v>32792.480000000003</v>
      </c>
      <c r="I415" s="125">
        <f>ROUND('[7]2037'!I27,2)</f>
        <v>32584.77</v>
      </c>
      <c r="J415" s="125">
        <f>ROUND('[7]2037'!J27,2)</f>
        <v>32246.5</v>
      </c>
      <c r="K415" s="125">
        <f>ROUND('[7]2037'!K27,2)</f>
        <v>32358.45</v>
      </c>
      <c r="L415" s="125">
        <f>ROUND('[7]2037'!L27,2)</f>
        <v>35995.74</v>
      </c>
      <c r="M415" s="125">
        <f>ROUND('[7]2037'!M27,2)</f>
        <v>40124.25</v>
      </c>
      <c r="N415" s="125">
        <f>ROUND('[7]2037'!N27,2)</f>
        <v>42563.72</v>
      </c>
      <c r="O415" s="125">
        <f>ROUND('[7]2037'!O27,2)</f>
        <v>44591.72</v>
      </c>
      <c r="P415" s="125">
        <f>ROUND('[7]2037'!P27,2)</f>
        <v>45869.440000000002</v>
      </c>
      <c r="Q415" s="125">
        <f>ROUND('[7]2037'!Q27,2)</f>
        <v>45016.99</v>
      </c>
      <c r="R415" s="125">
        <f>ROUND('[7]2037'!R27,2)</f>
        <v>44477.13</v>
      </c>
      <c r="S415" s="125">
        <f>ROUND('[7]2037'!S27,2)</f>
        <v>44785.69</v>
      </c>
      <c r="T415" s="125">
        <f>ROUND('[7]2037'!T27,2)</f>
        <v>44779.05</v>
      </c>
      <c r="U415" s="125">
        <f>ROUND('[7]2037'!U27,2)</f>
        <v>44074.82</v>
      </c>
      <c r="V415" s="125">
        <f>ROUND('[7]2037'!V27,2)</f>
        <v>43820.28</v>
      </c>
      <c r="W415" s="125">
        <f>ROUND('[7]2037'!W27,2)</f>
        <v>48265.760000000002</v>
      </c>
      <c r="X415" s="125">
        <f>ROUND('[7]2037'!X27,2)</f>
        <v>48649.79</v>
      </c>
      <c r="Y415" s="125">
        <f>ROUND('[7]2037'!Y27,2)</f>
        <v>47458.38</v>
      </c>
      <c r="Z415" s="125">
        <f>ROUND('[7]2037'!Z27,2)</f>
        <v>45809.68</v>
      </c>
      <c r="AA415" s="125">
        <f>ROUND('[7]2037'!AA27,2)</f>
        <v>43556.480000000003</v>
      </c>
      <c r="AB415" s="125">
        <f>ROUND('[7]2037'!AB27,2)</f>
        <v>40827.08</v>
      </c>
      <c r="AC415" s="283">
        <f>SUM(E415:AB415)*D415+SUM(E416:AB416)*D416+SUM(E417:AB417)*D417+SUM(E418:AB418)*D418</f>
        <v>29205603.920000002</v>
      </c>
      <c r="AD415" s="19"/>
    </row>
    <row r="416" spans="2:50" ht="18.649999999999999" hidden="1" customHeight="1" x14ac:dyDescent="0.35">
      <c r="B416" s="264" t="s">
        <v>34</v>
      </c>
      <c r="C416" s="10" t="s">
        <v>30</v>
      </c>
      <c r="D416" s="11">
        <f>+'[7]2037'!D28</f>
        <v>4</v>
      </c>
      <c r="E416" s="128">
        <f>ROUND('[7]2037'!E28,2)</f>
        <v>35533.599999999999</v>
      </c>
      <c r="F416" s="123">
        <f>ROUND('[7]2037'!F28,2)</f>
        <v>33782.32</v>
      </c>
      <c r="G416" s="123">
        <f>ROUND('[7]2037'!G28,2)</f>
        <v>32452.03</v>
      </c>
      <c r="H416" s="123">
        <f>ROUND('[7]2037'!H28,2)</f>
        <v>31471.119999999999</v>
      </c>
      <c r="I416" s="123">
        <f>ROUND('[7]2037'!I28,2)</f>
        <v>31500.51</v>
      </c>
      <c r="J416" s="123">
        <f>ROUND('[7]2037'!J28,2)</f>
        <v>31889.01</v>
      </c>
      <c r="K416" s="123">
        <f>ROUND('[7]2037'!K28,2)</f>
        <v>32605.5</v>
      </c>
      <c r="L416" s="123">
        <f>ROUND('[7]2037'!L28,2)</f>
        <v>36153.4</v>
      </c>
      <c r="M416" s="123">
        <f>ROUND('[7]2037'!M28,2)</f>
        <v>39799.19</v>
      </c>
      <c r="N416" s="123">
        <f>ROUND('[7]2037'!N28,2)</f>
        <v>41922.92</v>
      </c>
      <c r="O416" s="123">
        <f>ROUND('[7]2037'!O28,2)</f>
        <v>43827.54</v>
      </c>
      <c r="P416" s="123">
        <f>ROUND('[7]2037'!P28,2)</f>
        <v>45142.35</v>
      </c>
      <c r="Q416" s="123">
        <f>ROUND('[7]2037'!Q28,2)</f>
        <v>43907.37</v>
      </c>
      <c r="R416" s="123">
        <f>ROUND('[7]2037'!R28,2)</f>
        <v>44773.83</v>
      </c>
      <c r="S416" s="123">
        <f>ROUND('[7]2037'!S28,2)</f>
        <v>46265.85</v>
      </c>
      <c r="T416" s="123">
        <f>ROUND('[7]2037'!T28,2)</f>
        <v>46365.29</v>
      </c>
      <c r="U416" s="123">
        <f>ROUND('[7]2037'!U28,2)</f>
        <v>45635.11</v>
      </c>
      <c r="V416" s="123">
        <f>ROUND('[7]2037'!V28,2)</f>
        <v>44638.38</v>
      </c>
      <c r="W416" s="123">
        <f>ROUND('[7]2037'!W28,2)</f>
        <v>47714.559999999998</v>
      </c>
      <c r="X416" s="123">
        <f>ROUND('[7]2037'!X28,2)</f>
        <v>48127.06</v>
      </c>
      <c r="Y416" s="123">
        <f>ROUND('[7]2037'!Y28,2)</f>
        <v>46873.53</v>
      </c>
      <c r="Z416" s="123">
        <f>ROUND('[7]2037'!Z28,2)</f>
        <v>44817.83</v>
      </c>
      <c r="AA416" s="123">
        <f>ROUND('[7]2037'!AA28,2)</f>
        <v>41590.050000000003</v>
      </c>
      <c r="AB416" s="123">
        <f>ROUND('[7]2037'!AB28,2)</f>
        <v>38025.61</v>
      </c>
      <c r="AC416" s="282"/>
      <c r="AD416" s="19"/>
    </row>
    <row r="417" spans="2:30" ht="18.649999999999999" hidden="1" customHeight="1" x14ac:dyDescent="0.35">
      <c r="B417" s="264" t="s">
        <v>34</v>
      </c>
      <c r="C417" s="10" t="s">
        <v>31</v>
      </c>
      <c r="D417" s="11">
        <f>+'[7]2037'!D29</f>
        <v>4</v>
      </c>
      <c r="E417" s="128">
        <f>ROUND('[7]2037'!E29,2)</f>
        <v>38294.620000000003</v>
      </c>
      <c r="F417" s="123">
        <f>ROUND('[7]2037'!F29,2)</f>
        <v>36355.49</v>
      </c>
      <c r="G417" s="123">
        <f>ROUND('[7]2037'!G29,2)</f>
        <v>34749.14</v>
      </c>
      <c r="H417" s="123">
        <f>ROUND('[7]2037'!H29,2)</f>
        <v>33653.370000000003</v>
      </c>
      <c r="I417" s="123">
        <f>ROUND('[7]2037'!I29,2)</f>
        <v>33011.35</v>
      </c>
      <c r="J417" s="123">
        <f>ROUND('[7]2037'!J29,2)</f>
        <v>32032.37</v>
      </c>
      <c r="K417" s="123">
        <f>ROUND('[7]2037'!K29,2)</f>
        <v>31051.5</v>
      </c>
      <c r="L417" s="123">
        <f>ROUND('[7]2037'!L29,2)</f>
        <v>32790.97</v>
      </c>
      <c r="M417" s="123">
        <f>ROUND('[7]2037'!M29,2)</f>
        <v>35089.839999999997</v>
      </c>
      <c r="N417" s="123">
        <f>ROUND('[7]2037'!N29,2)</f>
        <v>37162.75</v>
      </c>
      <c r="O417" s="123">
        <f>ROUND('[7]2037'!O29,2)</f>
        <v>38801.58</v>
      </c>
      <c r="P417" s="123">
        <f>ROUND('[7]2037'!P29,2)</f>
        <v>40138.839999999997</v>
      </c>
      <c r="Q417" s="123">
        <f>ROUND('[7]2037'!Q29,2)</f>
        <v>40754.480000000003</v>
      </c>
      <c r="R417" s="123">
        <f>ROUND('[7]2037'!R29,2)</f>
        <v>40868.26</v>
      </c>
      <c r="S417" s="123">
        <f>ROUND('[7]2037'!S29,2)</f>
        <v>40644.050000000003</v>
      </c>
      <c r="T417" s="123">
        <f>ROUND('[7]2037'!T29,2)</f>
        <v>40463.31</v>
      </c>
      <c r="U417" s="123">
        <f>ROUND('[7]2037'!U29,2)</f>
        <v>40050.410000000003</v>
      </c>
      <c r="V417" s="123">
        <f>ROUND('[7]2037'!V29,2)</f>
        <v>40433.019999999997</v>
      </c>
      <c r="W417" s="123">
        <f>ROUND('[7]2037'!W29,2)</f>
        <v>45176.2</v>
      </c>
      <c r="X417" s="123">
        <f>ROUND('[7]2037'!X29,2)</f>
        <v>46534.42</v>
      </c>
      <c r="Y417" s="123">
        <f>ROUND('[7]2037'!Y29,2)</f>
        <v>46220.09</v>
      </c>
      <c r="Z417" s="123">
        <f>ROUND('[7]2037'!Z29,2)</f>
        <v>44801.45</v>
      </c>
      <c r="AA417" s="123">
        <f>ROUND('[7]2037'!AA29,2)</f>
        <v>42069.18</v>
      </c>
      <c r="AB417" s="123">
        <f>ROUND('[7]2037'!AB29,2)</f>
        <v>38808.29</v>
      </c>
      <c r="AC417" s="282"/>
      <c r="AD417" s="19"/>
    </row>
    <row r="418" spans="2:30" ht="18.649999999999999" hidden="1" customHeight="1" thickBot="1" x14ac:dyDescent="0.4">
      <c r="B418" s="265" t="s">
        <v>34</v>
      </c>
      <c r="C418" s="12" t="s">
        <v>32</v>
      </c>
      <c r="D418" s="13">
        <f>+'[7]2037'!D30</f>
        <v>2</v>
      </c>
      <c r="E418" s="128">
        <f>ROUND('[7]2037'!E30,2)</f>
        <v>38294.620000000003</v>
      </c>
      <c r="F418" s="123">
        <f>ROUND('[7]2037'!F30,2)</f>
        <v>36355.49</v>
      </c>
      <c r="G418" s="123">
        <f>ROUND('[7]2037'!G30,2)</f>
        <v>34749.14</v>
      </c>
      <c r="H418" s="123">
        <f>ROUND('[7]2037'!H30,2)</f>
        <v>33653.370000000003</v>
      </c>
      <c r="I418" s="123">
        <f>ROUND('[7]2037'!I30,2)</f>
        <v>33011.35</v>
      </c>
      <c r="J418" s="123">
        <f>ROUND('[7]2037'!J30,2)</f>
        <v>32032.37</v>
      </c>
      <c r="K418" s="123">
        <f>ROUND('[7]2037'!K30,2)</f>
        <v>31051.5</v>
      </c>
      <c r="L418" s="123">
        <f>ROUND('[7]2037'!L30,2)</f>
        <v>32790.97</v>
      </c>
      <c r="M418" s="123">
        <f>ROUND('[7]2037'!M30,2)</f>
        <v>35089.839999999997</v>
      </c>
      <c r="N418" s="123">
        <f>ROUND('[7]2037'!N30,2)</f>
        <v>37162.75</v>
      </c>
      <c r="O418" s="123">
        <f>ROUND('[7]2037'!O30,2)</f>
        <v>38801.58</v>
      </c>
      <c r="P418" s="123">
        <f>ROUND('[7]2037'!P30,2)</f>
        <v>40138.839999999997</v>
      </c>
      <c r="Q418" s="123">
        <f>ROUND('[7]2037'!Q30,2)</f>
        <v>40754.480000000003</v>
      </c>
      <c r="R418" s="123">
        <f>ROUND('[7]2037'!R30,2)</f>
        <v>40868.26</v>
      </c>
      <c r="S418" s="123">
        <f>ROUND('[7]2037'!S30,2)</f>
        <v>40644.050000000003</v>
      </c>
      <c r="T418" s="123">
        <f>ROUND('[7]2037'!T30,2)</f>
        <v>40463.31</v>
      </c>
      <c r="U418" s="123">
        <f>ROUND('[7]2037'!U30,2)</f>
        <v>40050.410000000003</v>
      </c>
      <c r="V418" s="123">
        <f>ROUND('[7]2037'!V30,2)</f>
        <v>40433.019999999997</v>
      </c>
      <c r="W418" s="123">
        <f>ROUND('[7]2037'!W30,2)</f>
        <v>45176.2</v>
      </c>
      <c r="X418" s="123">
        <f>ROUND('[7]2037'!X30,2)</f>
        <v>46534.42</v>
      </c>
      <c r="Y418" s="123">
        <f>ROUND('[7]2037'!Y30,2)</f>
        <v>46220.09</v>
      </c>
      <c r="Z418" s="123">
        <f>ROUND('[7]2037'!Z30,2)</f>
        <v>44801.45</v>
      </c>
      <c r="AA418" s="123">
        <f>ROUND('[7]2037'!AA30,2)</f>
        <v>42069.18</v>
      </c>
      <c r="AB418" s="123">
        <f>ROUND('[7]2037'!AB30,2)</f>
        <v>38808.29</v>
      </c>
      <c r="AC418" s="284"/>
      <c r="AD418" s="19"/>
    </row>
    <row r="419" spans="2:30" ht="18.649999999999999" hidden="1" customHeight="1" x14ac:dyDescent="0.35">
      <c r="B419" s="260">
        <v>50161</v>
      </c>
      <c r="C419" s="14" t="s">
        <v>29</v>
      </c>
      <c r="D419" s="15">
        <f>+'[7]2037'!D31</f>
        <v>19</v>
      </c>
      <c r="E419" s="131">
        <f>ROUND('[7]2037'!E31,2)</f>
        <v>37366.68</v>
      </c>
      <c r="F419" s="122">
        <f>ROUND('[7]2037'!F31,2)</f>
        <v>35422.32</v>
      </c>
      <c r="G419" s="122">
        <f>ROUND('[7]2037'!G31,2)</f>
        <v>33853.35</v>
      </c>
      <c r="H419" s="122">
        <f>ROUND('[7]2037'!H31,2)</f>
        <v>32511.53</v>
      </c>
      <c r="I419" s="122">
        <f>ROUND('[7]2037'!I31,2)</f>
        <v>32149.84</v>
      </c>
      <c r="J419" s="122">
        <f>ROUND('[7]2037'!J31,2)</f>
        <v>31640.639999999999</v>
      </c>
      <c r="K419" s="122">
        <f>ROUND('[7]2037'!K31,2)</f>
        <v>32108.28</v>
      </c>
      <c r="L419" s="122">
        <f>ROUND('[7]2037'!L31,2)</f>
        <v>35561.839999999997</v>
      </c>
      <c r="M419" s="122">
        <f>ROUND('[7]2037'!M31,2)</f>
        <v>39586.9</v>
      </c>
      <c r="N419" s="122">
        <f>ROUND('[7]2037'!N31,2)</f>
        <v>41807.550000000003</v>
      </c>
      <c r="O419" s="122">
        <f>ROUND('[7]2037'!O31,2)</f>
        <v>43217.06</v>
      </c>
      <c r="P419" s="122">
        <f>ROUND('[7]2037'!P31,2)</f>
        <v>44252.83</v>
      </c>
      <c r="Q419" s="122">
        <f>ROUND('[7]2037'!Q31,2)</f>
        <v>43492.58</v>
      </c>
      <c r="R419" s="122">
        <f>ROUND('[7]2037'!R31,2)</f>
        <v>42710.27</v>
      </c>
      <c r="S419" s="122">
        <f>ROUND('[7]2037'!S31,2)</f>
        <v>42681.52</v>
      </c>
      <c r="T419" s="122">
        <f>ROUND('[7]2037'!T31,2)</f>
        <v>42440.97</v>
      </c>
      <c r="U419" s="122">
        <f>ROUND('[7]2037'!U31,2)</f>
        <v>41864.339999999997</v>
      </c>
      <c r="V419" s="122">
        <f>ROUND('[7]2037'!V31,2)</f>
        <v>42121.08</v>
      </c>
      <c r="W419" s="122">
        <f>ROUND('[7]2037'!W31,2)</f>
        <v>46692.639999999999</v>
      </c>
      <c r="X419" s="122">
        <f>ROUND('[7]2037'!X31,2)</f>
        <v>47127.21</v>
      </c>
      <c r="Y419" s="122">
        <f>ROUND('[7]2037'!Y31,2)</f>
        <v>45609.69</v>
      </c>
      <c r="Z419" s="122">
        <f>ROUND('[7]2037'!Z31,2)</f>
        <v>43727.34</v>
      </c>
      <c r="AA419" s="122">
        <f>ROUND('[7]2037'!AA31,2)</f>
        <v>41251.949999999997</v>
      </c>
      <c r="AB419" s="122">
        <f>ROUND('[7]2037'!AB31,2)</f>
        <v>38479.26</v>
      </c>
      <c r="AC419" s="282">
        <f>SUM(E419:AB419)*D419+SUM(E420:AB420)*D420+SUM(E421:AB421)*D421+SUM(E422:AB422)*D422</f>
        <v>29366832.959999993</v>
      </c>
      <c r="AD419" s="19"/>
    </row>
    <row r="420" spans="2:30" ht="18.649999999999999" hidden="1" customHeight="1" x14ac:dyDescent="0.35">
      <c r="B420" s="261"/>
      <c r="C420" s="10" t="s">
        <v>30</v>
      </c>
      <c r="D420" s="11">
        <f>+'[7]2037'!D32</f>
        <v>5</v>
      </c>
      <c r="E420" s="128">
        <f>ROUND('[7]2037'!E32,2)</f>
        <v>34448.129999999997</v>
      </c>
      <c r="F420" s="123">
        <f>ROUND('[7]2037'!F32,2)</f>
        <v>32744.080000000002</v>
      </c>
      <c r="G420" s="123">
        <f>ROUND('[7]2037'!G32,2)</f>
        <v>31496.87</v>
      </c>
      <c r="H420" s="123">
        <f>ROUND('[7]2037'!H32,2)</f>
        <v>30637.8</v>
      </c>
      <c r="I420" s="123">
        <f>ROUND('[7]2037'!I32,2)</f>
        <v>30527.57</v>
      </c>
      <c r="J420" s="123">
        <f>ROUND('[7]2037'!J32,2)</f>
        <v>30489.19</v>
      </c>
      <c r="K420" s="123">
        <f>ROUND('[7]2037'!K32,2)</f>
        <v>30953.58</v>
      </c>
      <c r="L420" s="123">
        <f>ROUND('[7]2037'!L32,2)</f>
        <v>34581.1</v>
      </c>
      <c r="M420" s="123">
        <f>ROUND('[7]2037'!M32,2)</f>
        <v>38128.089999999997</v>
      </c>
      <c r="N420" s="123">
        <f>ROUND('[7]2037'!N32,2)</f>
        <v>40176.28</v>
      </c>
      <c r="O420" s="123">
        <f>ROUND('[7]2037'!O32,2)</f>
        <v>42177.14</v>
      </c>
      <c r="P420" s="123">
        <f>ROUND('[7]2037'!P32,2)</f>
        <v>43618.34</v>
      </c>
      <c r="Q420" s="123">
        <f>ROUND('[7]2037'!Q32,2)</f>
        <v>42666.79</v>
      </c>
      <c r="R420" s="123">
        <f>ROUND('[7]2037'!R32,2)</f>
        <v>43121.62</v>
      </c>
      <c r="S420" s="123">
        <f>ROUND('[7]2037'!S32,2)</f>
        <v>44256.65</v>
      </c>
      <c r="T420" s="123">
        <f>ROUND('[7]2037'!T32,2)</f>
        <v>44201.22</v>
      </c>
      <c r="U420" s="123">
        <f>ROUND('[7]2037'!U32,2)</f>
        <v>43564.53</v>
      </c>
      <c r="V420" s="123">
        <f>ROUND('[7]2037'!V32,2)</f>
        <v>42718.29</v>
      </c>
      <c r="W420" s="123">
        <f>ROUND('[7]2037'!W32,2)</f>
        <v>45829.86</v>
      </c>
      <c r="X420" s="123">
        <f>ROUND('[7]2037'!X32,2)</f>
        <v>46693.440000000002</v>
      </c>
      <c r="Y420" s="123">
        <f>ROUND('[7]2037'!Y32,2)</f>
        <v>45421.75</v>
      </c>
      <c r="Z420" s="123">
        <f>ROUND('[7]2037'!Z32,2)</f>
        <v>43333.7</v>
      </c>
      <c r="AA420" s="123">
        <f>ROUND('[7]2037'!AA32,2)</f>
        <v>40194.85</v>
      </c>
      <c r="AB420" s="123">
        <f>ROUND('[7]2037'!AB32,2)</f>
        <v>36921.35</v>
      </c>
      <c r="AC420" s="282"/>
      <c r="AD420" s="19"/>
    </row>
    <row r="421" spans="2:30" ht="18.649999999999999" hidden="1" customHeight="1" x14ac:dyDescent="0.35">
      <c r="B421" s="261"/>
      <c r="C421" s="10" t="s">
        <v>31</v>
      </c>
      <c r="D421" s="11">
        <f>+'[7]2037'!D33</f>
        <v>5</v>
      </c>
      <c r="E421" s="128">
        <f>ROUND('[7]2037'!E33,2)</f>
        <v>34422.75</v>
      </c>
      <c r="F421" s="123">
        <f>ROUND('[7]2037'!F33,2)</f>
        <v>33074.76</v>
      </c>
      <c r="G421" s="123">
        <f>ROUND('[7]2037'!G33,2)</f>
        <v>31692.33</v>
      </c>
      <c r="H421" s="123">
        <f>ROUND('[7]2037'!H33,2)</f>
        <v>30957.27</v>
      </c>
      <c r="I421" s="123">
        <f>ROUND('[7]2037'!I33,2)</f>
        <v>30721.5</v>
      </c>
      <c r="J421" s="123">
        <f>ROUND('[7]2037'!J33,2)</f>
        <v>29959.05</v>
      </c>
      <c r="K421" s="123">
        <f>ROUND('[7]2037'!K33,2)</f>
        <v>29834.48</v>
      </c>
      <c r="L421" s="123">
        <f>ROUND('[7]2037'!L33,2)</f>
        <v>32146.3</v>
      </c>
      <c r="M421" s="123">
        <f>ROUND('[7]2037'!M33,2)</f>
        <v>34826.839999999997</v>
      </c>
      <c r="N421" s="123">
        <f>ROUND('[7]2037'!N33,2)</f>
        <v>36911.1</v>
      </c>
      <c r="O421" s="123">
        <f>ROUND('[7]2037'!O33,2)</f>
        <v>38495.64</v>
      </c>
      <c r="P421" s="123">
        <f>ROUND('[7]2037'!P33,2)</f>
        <v>40464.35</v>
      </c>
      <c r="Q421" s="123">
        <f>ROUND('[7]2037'!Q33,2)</f>
        <v>41567.230000000003</v>
      </c>
      <c r="R421" s="123">
        <f>ROUND('[7]2037'!R33,2)</f>
        <v>41776.22</v>
      </c>
      <c r="S421" s="123">
        <f>ROUND('[7]2037'!S33,2)</f>
        <v>41824.36</v>
      </c>
      <c r="T421" s="123">
        <f>ROUND('[7]2037'!T33,2)</f>
        <v>41906.33</v>
      </c>
      <c r="U421" s="123">
        <f>ROUND('[7]2037'!U33,2)</f>
        <v>41478.78</v>
      </c>
      <c r="V421" s="123">
        <f>ROUND('[7]2037'!V33,2)</f>
        <v>41489.589999999997</v>
      </c>
      <c r="W421" s="123">
        <f>ROUND('[7]2037'!W33,2)</f>
        <v>46372.11</v>
      </c>
      <c r="X421" s="123">
        <f>ROUND('[7]2037'!X33,2)</f>
        <v>48132.17</v>
      </c>
      <c r="Y421" s="123">
        <f>ROUND('[7]2037'!Y33,2)</f>
        <v>47839.12</v>
      </c>
      <c r="Z421" s="123">
        <f>ROUND('[7]2037'!Z33,2)</f>
        <v>46227.199999999997</v>
      </c>
      <c r="AA421" s="123">
        <f>ROUND('[7]2037'!AA33,2)</f>
        <v>43270.89</v>
      </c>
      <c r="AB421" s="123">
        <f>ROUND('[7]2037'!AB33,2)</f>
        <v>39816.22</v>
      </c>
      <c r="AC421" s="282"/>
      <c r="AD421" s="19"/>
    </row>
    <row r="422" spans="2:30" ht="18.649999999999999" hidden="1" customHeight="1" thickBot="1" x14ac:dyDescent="0.4">
      <c r="B422" s="261"/>
      <c r="C422" s="16" t="s">
        <v>32</v>
      </c>
      <c r="D422" s="17">
        <f>+'[7]2037'!D34</f>
        <v>2</v>
      </c>
      <c r="E422" s="129">
        <f>ROUND('[7]2037'!E34,2)</f>
        <v>34422.75</v>
      </c>
      <c r="F422" s="124">
        <f>ROUND('[7]2037'!F34,2)</f>
        <v>33074.76</v>
      </c>
      <c r="G422" s="124">
        <f>ROUND('[7]2037'!G34,2)</f>
        <v>31692.33</v>
      </c>
      <c r="H422" s="124">
        <f>ROUND('[7]2037'!H34,2)</f>
        <v>30957.27</v>
      </c>
      <c r="I422" s="124">
        <f>ROUND('[7]2037'!I34,2)</f>
        <v>30721.5</v>
      </c>
      <c r="J422" s="124">
        <f>ROUND('[7]2037'!J34,2)</f>
        <v>29959.05</v>
      </c>
      <c r="K422" s="124">
        <f>ROUND('[7]2037'!K34,2)</f>
        <v>29834.48</v>
      </c>
      <c r="L422" s="124">
        <f>ROUND('[7]2037'!L34,2)</f>
        <v>32146.3</v>
      </c>
      <c r="M422" s="124">
        <f>ROUND('[7]2037'!M34,2)</f>
        <v>34826.839999999997</v>
      </c>
      <c r="N422" s="124">
        <f>ROUND('[7]2037'!N34,2)</f>
        <v>36911.1</v>
      </c>
      <c r="O422" s="124">
        <f>ROUND('[7]2037'!O34,2)</f>
        <v>38495.64</v>
      </c>
      <c r="P422" s="124">
        <f>ROUND('[7]2037'!P34,2)</f>
        <v>40464.35</v>
      </c>
      <c r="Q422" s="124">
        <f>ROUND('[7]2037'!Q34,2)</f>
        <v>41567.230000000003</v>
      </c>
      <c r="R422" s="124">
        <f>ROUND('[7]2037'!R34,2)</f>
        <v>41776.22</v>
      </c>
      <c r="S422" s="124">
        <f>ROUND('[7]2037'!S34,2)</f>
        <v>41824.36</v>
      </c>
      <c r="T422" s="124">
        <f>ROUND('[7]2037'!T34,2)</f>
        <v>41906.33</v>
      </c>
      <c r="U422" s="124">
        <f>ROUND('[7]2037'!U34,2)</f>
        <v>41478.78</v>
      </c>
      <c r="V422" s="124">
        <f>ROUND('[7]2037'!V34,2)</f>
        <v>41489.589999999997</v>
      </c>
      <c r="W422" s="124">
        <f>ROUND('[7]2037'!W34,2)</f>
        <v>46372.11</v>
      </c>
      <c r="X422" s="124">
        <f>ROUND('[7]2037'!X34,2)</f>
        <v>48132.17</v>
      </c>
      <c r="Y422" s="124">
        <f>ROUND('[7]2037'!Y34,2)</f>
        <v>47839.12</v>
      </c>
      <c r="Z422" s="124">
        <f>ROUND('[7]2037'!Z34,2)</f>
        <v>46227.199999999997</v>
      </c>
      <c r="AA422" s="124">
        <f>ROUND('[7]2037'!AA34,2)</f>
        <v>43270.89</v>
      </c>
      <c r="AB422" s="124">
        <f>ROUND('[7]2037'!AB34,2)</f>
        <v>39816.22</v>
      </c>
      <c r="AC422" s="282"/>
      <c r="AD422" s="19"/>
    </row>
    <row r="423" spans="2:30" ht="18.649999999999999" hidden="1" customHeight="1" x14ac:dyDescent="0.35">
      <c r="B423" s="263">
        <v>50192</v>
      </c>
      <c r="C423" s="7" t="s">
        <v>29</v>
      </c>
      <c r="D423" s="8">
        <f>+'[7]2037'!D35</f>
        <v>19</v>
      </c>
      <c r="E423" s="127">
        <f>ROUND('[7]2037'!E35,2)</f>
        <v>34023.410000000003</v>
      </c>
      <c r="F423" s="125">
        <f>ROUND('[7]2037'!F35,2)</f>
        <v>32334.31</v>
      </c>
      <c r="G423" s="125">
        <f>ROUND('[7]2037'!G35,2)</f>
        <v>31086.34</v>
      </c>
      <c r="H423" s="125">
        <f>ROUND('[7]2037'!H35,2)</f>
        <v>30253.56</v>
      </c>
      <c r="I423" s="125">
        <f>ROUND('[7]2037'!I35,2)</f>
        <v>30031.1</v>
      </c>
      <c r="J423" s="125">
        <f>ROUND('[7]2037'!J35,2)</f>
        <v>29712.04</v>
      </c>
      <c r="K423" s="125">
        <f>ROUND('[7]2037'!K35,2)</f>
        <v>30207.81</v>
      </c>
      <c r="L423" s="125">
        <f>ROUND('[7]2037'!L35,2)</f>
        <v>33846.47</v>
      </c>
      <c r="M423" s="125">
        <f>ROUND('[7]2037'!M35,2)</f>
        <v>37847.43</v>
      </c>
      <c r="N423" s="125">
        <f>ROUND('[7]2037'!N35,2)</f>
        <v>40307.480000000003</v>
      </c>
      <c r="O423" s="125">
        <f>ROUND('[7]2037'!O35,2)</f>
        <v>42445.24</v>
      </c>
      <c r="P423" s="125">
        <f>ROUND('[7]2037'!P35,2)</f>
        <v>43621.760000000002</v>
      </c>
      <c r="Q423" s="125">
        <f>ROUND('[7]2037'!Q35,2)</f>
        <v>42977.77</v>
      </c>
      <c r="R423" s="125">
        <f>ROUND('[7]2037'!R35,2)</f>
        <v>42239.839999999997</v>
      </c>
      <c r="S423" s="125">
        <f>ROUND('[7]2037'!S35,2)</f>
        <v>42275.47</v>
      </c>
      <c r="T423" s="125">
        <f>ROUND('[7]2037'!T35,2)</f>
        <v>42153.91</v>
      </c>
      <c r="U423" s="125">
        <f>ROUND('[7]2037'!U35,2)</f>
        <v>41726.839999999997</v>
      </c>
      <c r="V423" s="125">
        <f>ROUND('[7]2037'!V35,2)</f>
        <v>41771.410000000003</v>
      </c>
      <c r="W423" s="125">
        <f>ROUND('[7]2037'!W35,2)</f>
        <v>45369.96</v>
      </c>
      <c r="X423" s="125">
        <f>ROUND('[7]2037'!X35,2)</f>
        <v>46017.62</v>
      </c>
      <c r="Y423" s="125">
        <f>ROUND('[7]2037'!Y35,2)</f>
        <v>44414.25</v>
      </c>
      <c r="Z423" s="125">
        <f>ROUND('[7]2037'!Z35,2)</f>
        <v>42584.31</v>
      </c>
      <c r="AA423" s="125">
        <f>ROUND('[7]2037'!AA35,2)</f>
        <v>40325.839999999997</v>
      </c>
      <c r="AB423" s="125">
        <f>ROUND('[7]2037'!AB35,2)</f>
        <v>37774.01</v>
      </c>
      <c r="AC423" s="283">
        <f>SUM(E423:AB423)*D423+SUM(E424:AB424)*D424+SUM(E425:AB425)*D425+SUM(E426:AB426)*D426</f>
        <v>27581696.870000005</v>
      </c>
      <c r="AD423" s="19"/>
    </row>
    <row r="424" spans="2:30" ht="18.649999999999999" hidden="1" customHeight="1" x14ac:dyDescent="0.35">
      <c r="B424" s="264" t="s">
        <v>34</v>
      </c>
      <c r="C424" s="10" t="s">
        <v>30</v>
      </c>
      <c r="D424" s="11">
        <f>+'[7]2037'!D36</f>
        <v>4</v>
      </c>
      <c r="E424" s="128">
        <f>ROUND('[7]2037'!E36,2)</f>
        <v>35037.64</v>
      </c>
      <c r="F424" s="123">
        <f>ROUND('[7]2037'!F36,2)</f>
        <v>33313.4</v>
      </c>
      <c r="G424" s="123">
        <f>ROUND('[7]2037'!G36,2)</f>
        <v>32003.19</v>
      </c>
      <c r="H424" s="123">
        <f>ROUND('[7]2037'!H36,2)</f>
        <v>31094.07</v>
      </c>
      <c r="I424" s="123">
        <f>ROUND('[7]2037'!I36,2)</f>
        <v>30987.09</v>
      </c>
      <c r="J424" s="123">
        <f>ROUND('[7]2037'!J36,2)</f>
        <v>31334.86</v>
      </c>
      <c r="K424" s="123">
        <f>ROUND('[7]2037'!K36,2)</f>
        <v>31547.53</v>
      </c>
      <c r="L424" s="123">
        <f>ROUND('[7]2037'!L36,2)</f>
        <v>35096.550000000003</v>
      </c>
      <c r="M424" s="123">
        <f>ROUND('[7]2037'!M36,2)</f>
        <v>38845.89</v>
      </c>
      <c r="N424" s="123">
        <f>ROUND('[7]2037'!N36,2)</f>
        <v>41015.42</v>
      </c>
      <c r="O424" s="123">
        <f>ROUND('[7]2037'!O36,2)</f>
        <v>43062.63</v>
      </c>
      <c r="P424" s="123">
        <f>ROUND('[7]2037'!P36,2)</f>
        <v>44398.68</v>
      </c>
      <c r="Q424" s="123">
        <f>ROUND('[7]2037'!Q36,2)</f>
        <v>43268.11</v>
      </c>
      <c r="R424" s="123">
        <f>ROUND('[7]2037'!R36,2)</f>
        <v>44308.91</v>
      </c>
      <c r="S424" s="123">
        <f>ROUND('[7]2037'!S36,2)</f>
        <v>45813.43</v>
      </c>
      <c r="T424" s="123">
        <f>ROUND('[7]2037'!T36,2)</f>
        <v>45873.599999999999</v>
      </c>
      <c r="U424" s="123">
        <f>ROUND('[7]2037'!U36,2)</f>
        <v>45019.78</v>
      </c>
      <c r="V424" s="123">
        <f>ROUND('[7]2037'!V36,2)</f>
        <v>43540.07</v>
      </c>
      <c r="W424" s="123">
        <f>ROUND('[7]2037'!W36,2)</f>
        <v>46099.58</v>
      </c>
      <c r="X424" s="123">
        <f>ROUND('[7]2037'!X36,2)</f>
        <v>47448.47</v>
      </c>
      <c r="Y424" s="123">
        <f>ROUND('[7]2037'!Y36,2)</f>
        <v>46366.43</v>
      </c>
      <c r="Z424" s="123">
        <f>ROUND('[7]2037'!Z36,2)</f>
        <v>44401.29</v>
      </c>
      <c r="AA424" s="123">
        <f>ROUND('[7]2037'!AA36,2)</f>
        <v>41197.64</v>
      </c>
      <c r="AB424" s="123">
        <f>ROUND('[7]2037'!AB36,2)</f>
        <v>37845.160000000003</v>
      </c>
      <c r="AC424" s="282"/>
      <c r="AD424" s="19"/>
    </row>
    <row r="425" spans="2:30" ht="18.649999999999999" hidden="1" customHeight="1" x14ac:dyDescent="0.35">
      <c r="B425" s="264" t="s">
        <v>34</v>
      </c>
      <c r="C425" s="10" t="s">
        <v>31</v>
      </c>
      <c r="D425" s="11">
        <f>+'[7]2037'!D37</f>
        <v>4</v>
      </c>
      <c r="E425" s="128">
        <f>ROUND('[7]2037'!E37,2)</f>
        <v>33350.93</v>
      </c>
      <c r="F425" s="123">
        <f>ROUND('[7]2037'!F37,2)</f>
        <v>32002.959999999999</v>
      </c>
      <c r="G425" s="123">
        <f>ROUND('[7]2037'!G37,2)</f>
        <v>30901.5</v>
      </c>
      <c r="H425" s="123">
        <f>ROUND('[7]2037'!H37,2)</f>
        <v>30187.86</v>
      </c>
      <c r="I425" s="123">
        <f>ROUND('[7]2037'!I37,2)</f>
        <v>29903.19</v>
      </c>
      <c r="J425" s="123">
        <f>ROUND('[7]2037'!J37,2)</f>
        <v>29065.83</v>
      </c>
      <c r="K425" s="123">
        <f>ROUND('[7]2037'!K37,2)</f>
        <v>28683.39</v>
      </c>
      <c r="L425" s="123">
        <f>ROUND('[7]2037'!L37,2)</f>
        <v>31020.05</v>
      </c>
      <c r="M425" s="123">
        <f>ROUND('[7]2037'!M37,2)</f>
        <v>33722.129999999997</v>
      </c>
      <c r="N425" s="123">
        <f>ROUND('[7]2037'!N37,2)</f>
        <v>35405.83</v>
      </c>
      <c r="O425" s="123">
        <f>ROUND('[7]2037'!O37,2)</f>
        <v>37402.5</v>
      </c>
      <c r="P425" s="123">
        <f>ROUND('[7]2037'!P37,2)</f>
        <v>38880.11</v>
      </c>
      <c r="Q425" s="123">
        <f>ROUND('[7]2037'!Q37,2)</f>
        <v>39633.730000000003</v>
      </c>
      <c r="R425" s="123">
        <f>ROUND('[7]2037'!R37,2)</f>
        <v>39476.629999999997</v>
      </c>
      <c r="S425" s="123">
        <f>ROUND('[7]2037'!S37,2)</f>
        <v>39148.26</v>
      </c>
      <c r="T425" s="123">
        <f>ROUND('[7]2037'!T37,2)</f>
        <v>38846.379999999997</v>
      </c>
      <c r="U425" s="123">
        <f>ROUND('[7]2037'!U37,2)</f>
        <v>38549.300000000003</v>
      </c>
      <c r="V425" s="123">
        <f>ROUND('[7]2037'!V37,2)</f>
        <v>39130.82</v>
      </c>
      <c r="W425" s="123">
        <f>ROUND('[7]2037'!W37,2)</f>
        <v>43854.69</v>
      </c>
      <c r="X425" s="123">
        <f>ROUND('[7]2037'!X37,2)</f>
        <v>45597.440000000002</v>
      </c>
      <c r="Y425" s="123">
        <f>ROUND('[7]2037'!Y37,2)</f>
        <v>45018.83</v>
      </c>
      <c r="Z425" s="123">
        <f>ROUND('[7]2037'!Z37,2)</f>
        <v>43355.49</v>
      </c>
      <c r="AA425" s="123">
        <f>ROUND('[7]2037'!AA37,2)</f>
        <v>40425.54</v>
      </c>
      <c r="AB425" s="123">
        <f>ROUND('[7]2037'!AB37,2)</f>
        <v>37065.72</v>
      </c>
      <c r="AC425" s="282"/>
      <c r="AD425" s="19"/>
    </row>
    <row r="426" spans="2:30" ht="18.649999999999999" hidden="1" customHeight="1" thickBot="1" x14ac:dyDescent="0.4">
      <c r="B426" s="265" t="s">
        <v>34</v>
      </c>
      <c r="C426" s="12" t="s">
        <v>32</v>
      </c>
      <c r="D426" s="13">
        <f>+'[7]2037'!D38</f>
        <v>3</v>
      </c>
      <c r="E426" s="130">
        <f>ROUND('[7]2037'!E38,2)</f>
        <v>33350.93</v>
      </c>
      <c r="F426" s="126">
        <f>ROUND('[7]2037'!F38,2)</f>
        <v>32002.959999999999</v>
      </c>
      <c r="G426" s="126">
        <f>ROUND('[7]2037'!G38,2)</f>
        <v>30901.5</v>
      </c>
      <c r="H426" s="126">
        <f>ROUND('[7]2037'!H38,2)</f>
        <v>30187.86</v>
      </c>
      <c r="I426" s="126">
        <f>ROUND('[7]2037'!I38,2)</f>
        <v>29903.19</v>
      </c>
      <c r="J426" s="126">
        <f>ROUND('[7]2037'!J38,2)</f>
        <v>29065.83</v>
      </c>
      <c r="K426" s="126">
        <f>ROUND('[7]2037'!K38,2)</f>
        <v>28683.39</v>
      </c>
      <c r="L426" s="126">
        <f>ROUND('[7]2037'!L38,2)</f>
        <v>31020.05</v>
      </c>
      <c r="M426" s="126">
        <f>ROUND('[7]2037'!M38,2)</f>
        <v>33722.129999999997</v>
      </c>
      <c r="N426" s="126">
        <f>ROUND('[7]2037'!N38,2)</f>
        <v>35405.83</v>
      </c>
      <c r="O426" s="126">
        <f>ROUND('[7]2037'!O38,2)</f>
        <v>37402.5</v>
      </c>
      <c r="P426" s="126">
        <f>ROUND('[7]2037'!P38,2)</f>
        <v>38880.11</v>
      </c>
      <c r="Q426" s="126">
        <f>ROUND('[7]2037'!Q38,2)</f>
        <v>39633.730000000003</v>
      </c>
      <c r="R426" s="126">
        <f>ROUND('[7]2037'!R38,2)</f>
        <v>39476.629999999997</v>
      </c>
      <c r="S426" s="126">
        <f>ROUND('[7]2037'!S38,2)</f>
        <v>39148.26</v>
      </c>
      <c r="T426" s="126">
        <f>ROUND('[7]2037'!T38,2)</f>
        <v>38846.379999999997</v>
      </c>
      <c r="U426" s="126">
        <f>ROUND('[7]2037'!U38,2)</f>
        <v>38549.300000000003</v>
      </c>
      <c r="V426" s="126">
        <f>ROUND('[7]2037'!V38,2)</f>
        <v>39130.82</v>
      </c>
      <c r="W426" s="126">
        <f>ROUND('[7]2037'!W38,2)</f>
        <v>43854.69</v>
      </c>
      <c r="X426" s="126">
        <f>ROUND('[7]2037'!X38,2)</f>
        <v>45597.440000000002</v>
      </c>
      <c r="Y426" s="126">
        <f>ROUND('[7]2037'!Y38,2)</f>
        <v>45018.83</v>
      </c>
      <c r="Z426" s="126">
        <f>ROUND('[7]2037'!Z38,2)</f>
        <v>43355.49</v>
      </c>
      <c r="AA426" s="126">
        <f>ROUND('[7]2037'!AA38,2)</f>
        <v>40425.54</v>
      </c>
      <c r="AB426" s="126">
        <f>ROUND('[7]2037'!AB38,2)</f>
        <v>37065.72</v>
      </c>
      <c r="AC426" s="284"/>
      <c r="AD426" s="19"/>
    </row>
    <row r="427" spans="2:30" ht="18.649999999999999" hidden="1" customHeight="1" x14ac:dyDescent="0.35">
      <c r="B427" s="260">
        <v>50222</v>
      </c>
      <c r="C427" s="14" t="s">
        <v>29</v>
      </c>
      <c r="D427" s="15">
        <f>+'[7]2037'!D39</f>
        <v>22</v>
      </c>
      <c r="E427" s="131">
        <f>ROUND('[7]2037'!E39,2)</f>
        <v>34558.81</v>
      </c>
      <c r="F427" s="122">
        <f>ROUND('[7]2037'!F39,2)</f>
        <v>32895.65</v>
      </c>
      <c r="G427" s="122">
        <f>ROUND('[7]2037'!G39,2)</f>
        <v>31799.29</v>
      </c>
      <c r="H427" s="122">
        <f>ROUND('[7]2037'!H39,2)</f>
        <v>30987.66</v>
      </c>
      <c r="I427" s="122">
        <f>ROUND('[7]2037'!I39,2)</f>
        <v>30861.78</v>
      </c>
      <c r="J427" s="122">
        <f>ROUND('[7]2037'!J39,2)</f>
        <v>30717.93</v>
      </c>
      <c r="K427" s="122">
        <f>ROUND('[7]2037'!K39,2)</f>
        <v>31000.7</v>
      </c>
      <c r="L427" s="122">
        <f>ROUND('[7]2037'!L39,2)</f>
        <v>34617.040000000001</v>
      </c>
      <c r="M427" s="122">
        <f>ROUND('[7]2037'!M39,2)</f>
        <v>38824.28</v>
      </c>
      <c r="N427" s="122">
        <f>ROUND('[7]2037'!N39,2)</f>
        <v>41207.879999999997</v>
      </c>
      <c r="O427" s="122">
        <f>ROUND('[7]2037'!O39,2)</f>
        <v>43351.87</v>
      </c>
      <c r="P427" s="122">
        <f>ROUND('[7]2037'!P39,2)</f>
        <v>44327.38</v>
      </c>
      <c r="Q427" s="122">
        <f>ROUND('[7]2037'!Q39,2)</f>
        <v>43749.120000000003</v>
      </c>
      <c r="R427" s="122">
        <f>ROUND('[7]2037'!R39,2)</f>
        <v>43142.42</v>
      </c>
      <c r="S427" s="122">
        <f>ROUND('[7]2037'!S39,2)</f>
        <v>43213.13</v>
      </c>
      <c r="T427" s="122">
        <f>ROUND('[7]2037'!T39,2)</f>
        <v>43331.44</v>
      </c>
      <c r="U427" s="122">
        <f>ROUND('[7]2037'!U39,2)</f>
        <v>42725.57</v>
      </c>
      <c r="V427" s="122">
        <f>ROUND('[7]2037'!V39,2)</f>
        <v>42629.59</v>
      </c>
      <c r="W427" s="122">
        <f>ROUND('[7]2037'!W39,2)</f>
        <v>46240.3</v>
      </c>
      <c r="X427" s="122">
        <f>ROUND('[7]2037'!X39,2)</f>
        <v>47469.05</v>
      </c>
      <c r="Y427" s="122">
        <f>ROUND('[7]2037'!Y39,2)</f>
        <v>45957.46</v>
      </c>
      <c r="Z427" s="122">
        <f>ROUND('[7]2037'!Z39,2)</f>
        <v>43919.79</v>
      </c>
      <c r="AA427" s="122">
        <f>ROUND('[7]2037'!AA39,2)</f>
        <v>41327.21</v>
      </c>
      <c r="AB427" s="122">
        <f>ROUND('[7]2037'!AB39,2)</f>
        <v>38565.199999999997</v>
      </c>
      <c r="AC427" s="282">
        <f>SUM(E427:AB427)*D427+SUM(E428:AB428)*D428+SUM(E429:AB429)*D429+SUM(E430:AB430)*D430</f>
        <v>29431845.679999992</v>
      </c>
      <c r="AD427" s="19"/>
    </row>
    <row r="428" spans="2:30" ht="18.649999999999999" hidden="1" customHeight="1" x14ac:dyDescent="0.35">
      <c r="B428" s="261"/>
      <c r="C428" s="10" t="s">
        <v>30</v>
      </c>
      <c r="D428" s="11">
        <f>+'[7]2037'!D40</f>
        <v>4</v>
      </c>
      <c r="E428" s="128">
        <f>ROUND('[7]2037'!E40,2)</f>
        <v>36758.29</v>
      </c>
      <c r="F428" s="123">
        <f>ROUND('[7]2037'!F40,2)</f>
        <v>34833.11</v>
      </c>
      <c r="G428" s="123">
        <f>ROUND('[7]2037'!G40,2)</f>
        <v>33422.06</v>
      </c>
      <c r="H428" s="123">
        <f>ROUND('[7]2037'!H40,2)</f>
        <v>32426.5</v>
      </c>
      <c r="I428" s="123">
        <f>ROUND('[7]2037'!I40,2)</f>
        <v>32357.86</v>
      </c>
      <c r="J428" s="123">
        <f>ROUND('[7]2037'!J40,2)</f>
        <v>32950.589999999997</v>
      </c>
      <c r="K428" s="123">
        <f>ROUND('[7]2037'!K40,2)</f>
        <v>33143.839999999997</v>
      </c>
      <c r="L428" s="123">
        <f>ROUND('[7]2037'!L40,2)</f>
        <v>36757.760000000002</v>
      </c>
      <c r="M428" s="123">
        <f>ROUND('[7]2037'!M40,2)</f>
        <v>40647.68</v>
      </c>
      <c r="N428" s="123">
        <f>ROUND('[7]2037'!N40,2)</f>
        <v>42858.46</v>
      </c>
      <c r="O428" s="123">
        <f>ROUND('[7]2037'!O40,2)</f>
        <v>45092.78</v>
      </c>
      <c r="P428" s="123">
        <f>ROUND('[7]2037'!P40,2)</f>
        <v>46705.14</v>
      </c>
      <c r="Q428" s="123">
        <f>ROUND('[7]2037'!Q40,2)</f>
        <v>45485.04</v>
      </c>
      <c r="R428" s="123">
        <f>ROUND('[7]2037'!R40,2)</f>
        <v>46396.76</v>
      </c>
      <c r="S428" s="123">
        <f>ROUND('[7]2037'!S40,2)</f>
        <v>47928.86</v>
      </c>
      <c r="T428" s="123">
        <f>ROUND('[7]2037'!T40,2)</f>
        <v>47929.3</v>
      </c>
      <c r="U428" s="123">
        <f>ROUND('[7]2037'!U40,2)</f>
        <v>47014.8</v>
      </c>
      <c r="V428" s="123">
        <f>ROUND('[7]2037'!V40,2)</f>
        <v>45665.72</v>
      </c>
      <c r="W428" s="123">
        <f>ROUND('[7]2037'!W40,2)</f>
        <v>48804.06</v>
      </c>
      <c r="X428" s="123">
        <f>ROUND('[7]2037'!X40,2)</f>
        <v>49809.71</v>
      </c>
      <c r="Y428" s="123">
        <f>ROUND('[7]2037'!Y40,2)</f>
        <v>48756.83</v>
      </c>
      <c r="Z428" s="123">
        <f>ROUND('[7]2037'!Z40,2)</f>
        <v>46683.43</v>
      </c>
      <c r="AA428" s="123">
        <f>ROUND('[7]2037'!AA40,2)</f>
        <v>43275.17</v>
      </c>
      <c r="AB428" s="123">
        <f>ROUND('[7]2037'!AB40,2)</f>
        <v>39606.22</v>
      </c>
      <c r="AC428" s="282"/>
      <c r="AD428" s="19"/>
    </row>
    <row r="429" spans="2:30" ht="18.649999999999999" hidden="1" customHeight="1" x14ac:dyDescent="0.35">
      <c r="B429" s="261"/>
      <c r="C429" s="10" t="s">
        <v>31</v>
      </c>
      <c r="D429" s="11">
        <f>+'[7]2037'!D41</f>
        <v>4</v>
      </c>
      <c r="E429" s="128">
        <f>ROUND('[7]2037'!E41,2)</f>
        <v>34670.980000000003</v>
      </c>
      <c r="F429" s="123">
        <f>ROUND('[7]2037'!F41,2)</f>
        <v>33278.29</v>
      </c>
      <c r="G429" s="123">
        <f>ROUND('[7]2037'!G41,2)</f>
        <v>32099.4</v>
      </c>
      <c r="H429" s="123">
        <f>ROUND('[7]2037'!H41,2)</f>
        <v>31020.21</v>
      </c>
      <c r="I429" s="123">
        <f>ROUND('[7]2037'!I41,2)</f>
        <v>30657.89</v>
      </c>
      <c r="J429" s="123">
        <f>ROUND('[7]2037'!J41,2)</f>
        <v>30180.14</v>
      </c>
      <c r="K429" s="123">
        <f>ROUND('[7]2037'!K41,2)</f>
        <v>29604.95</v>
      </c>
      <c r="L429" s="123">
        <f>ROUND('[7]2037'!L41,2)</f>
        <v>31812.47</v>
      </c>
      <c r="M429" s="123">
        <f>ROUND('[7]2037'!M41,2)</f>
        <v>34697.29</v>
      </c>
      <c r="N429" s="123">
        <f>ROUND('[7]2037'!N41,2)</f>
        <v>37025.199999999997</v>
      </c>
      <c r="O429" s="123">
        <f>ROUND('[7]2037'!O41,2)</f>
        <v>38694.78</v>
      </c>
      <c r="P429" s="123">
        <f>ROUND('[7]2037'!P41,2)</f>
        <v>39540.97</v>
      </c>
      <c r="Q429" s="123">
        <f>ROUND('[7]2037'!Q41,2)</f>
        <v>40992.83</v>
      </c>
      <c r="R429" s="123">
        <f>ROUND('[7]2037'!R41,2)</f>
        <v>41088.199999999997</v>
      </c>
      <c r="S429" s="123">
        <f>ROUND('[7]2037'!S41,2)</f>
        <v>41015.25</v>
      </c>
      <c r="T429" s="123">
        <f>ROUND('[7]2037'!T41,2)</f>
        <v>41132.870000000003</v>
      </c>
      <c r="U429" s="123">
        <f>ROUND('[7]2037'!U41,2)</f>
        <v>40811.620000000003</v>
      </c>
      <c r="V429" s="123">
        <f>ROUND('[7]2037'!V41,2)</f>
        <v>40441.949999999997</v>
      </c>
      <c r="W429" s="123">
        <f>ROUND('[7]2037'!W41,2)</f>
        <v>44694.12</v>
      </c>
      <c r="X429" s="123">
        <f>ROUND('[7]2037'!X41,2)</f>
        <v>47145.84</v>
      </c>
      <c r="Y429" s="123">
        <f>ROUND('[7]2037'!Y41,2)</f>
        <v>46508.3</v>
      </c>
      <c r="Z429" s="123">
        <f>ROUND('[7]2037'!Z41,2)</f>
        <v>44915.25</v>
      </c>
      <c r="AA429" s="123">
        <f>ROUND('[7]2037'!AA41,2)</f>
        <v>42220.93</v>
      </c>
      <c r="AB429" s="123">
        <f>ROUND('[7]2037'!AB41,2)</f>
        <v>39221.01</v>
      </c>
      <c r="AC429" s="282"/>
      <c r="AD429" s="19"/>
    </row>
    <row r="430" spans="2:30" ht="18.649999999999999" hidden="1" customHeight="1" thickBot="1" x14ac:dyDescent="0.4">
      <c r="B430" s="261"/>
      <c r="C430" s="16" t="s">
        <v>32</v>
      </c>
      <c r="D430" s="17">
        <f>+'[7]2037'!D42</f>
        <v>1</v>
      </c>
      <c r="E430" s="128">
        <f>ROUND('[7]2037'!E42,2)</f>
        <v>34670.980000000003</v>
      </c>
      <c r="F430" s="123">
        <f>ROUND('[7]2037'!F42,2)</f>
        <v>33278.29</v>
      </c>
      <c r="G430" s="123">
        <f>ROUND('[7]2037'!G42,2)</f>
        <v>32099.4</v>
      </c>
      <c r="H430" s="123">
        <f>ROUND('[7]2037'!H42,2)</f>
        <v>31020.21</v>
      </c>
      <c r="I430" s="123">
        <f>ROUND('[7]2037'!I42,2)</f>
        <v>30657.89</v>
      </c>
      <c r="J430" s="123">
        <f>ROUND('[7]2037'!J42,2)</f>
        <v>30180.14</v>
      </c>
      <c r="K430" s="123">
        <f>ROUND('[7]2037'!K42,2)</f>
        <v>29604.95</v>
      </c>
      <c r="L430" s="123">
        <f>ROUND('[7]2037'!L42,2)</f>
        <v>31812.47</v>
      </c>
      <c r="M430" s="123">
        <f>ROUND('[7]2037'!M42,2)</f>
        <v>34697.29</v>
      </c>
      <c r="N430" s="123">
        <f>ROUND('[7]2037'!N42,2)</f>
        <v>37025.199999999997</v>
      </c>
      <c r="O430" s="123">
        <f>ROUND('[7]2037'!O42,2)</f>
        <v>38694.78</v>
      </c>
      <c r="P430" s="123">
        <f>ROUND('[7]2037'!P42,2)</f>
        <v>39540.97</v>
      </c>
      <c r="Q430" s="123">
        <f>ROUND('[7]2037'!Q42,2)</f>
        <v>40992.83</v>
      </c>
      <c r="R430" s="123">
        <f>ROUND('[7]2037'!R42,2)</f>
        <v>41088.199999999997</v>
      </c>
      <c r="S430" s="123">
        <f>ROUND('[7]2037'!S42,2)</f>
        <v>41015.25</v>
      </c>
      <c r="T430" s="123">
        <f>ROUND('[7]2037'!T42,2)</f>
        <v>41132.870000000003</v>
      </c>
      <c r="U430" s="123">
        <f>ROUND('[7]2037'!U42,2)</f>
        <v>40811.620000000003</v>
      </c>
      <c r="V430" s="123">
        <f>ROUND('[7]2037'!V42,2)</f>
        <v>40441.949999999997</v>
      </c>
      <c r="W430" s="123">
        <f>ROUND('[7]2037'!W42,2)</f>
        <v>44694.12</v>
      </c>
      <c r="X430" s="123">
        <f>ROUND('[7]2037'!X42,2)</f>
        <v>47145.84</v>
      </c>
      <c r="Y430" s="123">
        <f>ROUND('[7]2037'!Y42,2)</f>
        <v>46508.3</v>
      </c>
      <c r="Z430" s="123">
        <f>ROUND('[7]2037'!Z42,2)</f>
        <v>44915.25</v>
      </c>
      <c r="AA430" s="123">
        <f>ROUND('[7]2037'!AA42,2)</f>
        <v>42220.93</v>
      </c>
      <c r="AB430" s="123">
        <f>ROUND('[7]2037'!AB42,2)</f>
        <v>39221.01</v>
      </c>
      <c r="AC430" s="282"/>
      <c r="AD430" s="19"/>
    </row>
    <row r="431" spans="2:30" ht="18.649999999999999" hidden="1" customHeight="1" x14ac:dyDescent="0.35">
      <c r="B431" s="263">
        <v>50253</v>
      </c>
      <c r="C431" s="7" t="s">
        <v>29</v>
      </c>
      <c r="D431" s="8">
        <f>+'[7]2037'!D43</f>
        <v>19</v>
      </c>
      <c r="E431" s="127">
        <f>ROUND('[7]2037'!E43,2)</f>
        <v>35843.339999999997</v>
      </c>
      <c r="F431" s="125">
        <f>ROUND('[7]2037'!F43,2)</f>
        <v>33911.870000000003</v>
      </c>
      <c r="G431" s="125">
        <f>ROUND('[7]2037'!G43,2)</f>
        <v>32470.78</v>
      </c>
      <c r="H431" s="125">
        <f>ROUND('[7]2037'!H43,2)</f>
        <v>31505.7</v>
      </c>
      <c r="I431" s="125">
        <f>ROUND('[7]2037'!I43,2)</f>
        <v>31151.21</v>
      </c>
      <c r="J431" s="125">
        <f>ROUND('[7]2037'!J43,2)</f>
        <v>31061.9</v>
      </c>
      <c r="K431" s="125">
        <f>ROUND('[7]2037'!K43,2)</f>
        <v>31163.919999999998</v>
      </c>
      <c r="L431" s="125">
        <f>ROUND('[7]2037'!L43,2)</f>
        <v>34759.870000000003</v>
      </c>
      <c r="M431" s="125">
        <f>ROUND('[7]2037'!M43,2)</f>
        <v>38808.720000000001</v>
      </c>
      <c r="N431" s="125">
        <f>ROUND('[7]2037'!N43,2)</f>
        <v>41297.120000000003</v>
      </c>
      <c r="O431" s="125">
        <f>ROUND('[7]2037'!O43,2)</f>
        <v>43363.7</v>
      </c>
      <c r="P431" s="125">
        <f>ROUND('[7]2037'!P43,2)</f>
        <v>44682.03</v>
      </c>
      <c r="Q431" s="125">
        <f>ROUND('[7]2037'!Q43,2)</f>
        <v>43940.63</v>
      </c>
      <c r="R431" s="125">
        <f>ROUND('[7]2037'!R43,2)</f>
        <v>43314.45</v>
      </c>
      <c r="S431" s="125">
        <f>ROUND('[7]2037'!S43,2)</f>
        <v>43249.23</v>
      </c>
      <c r="T431" s="125">
        <f>ROUND('[7]2037'!T43,2)</f>
        <v>42896.31</v>
      </c>
      <c r="U431" s="125">
        <f>ROUND('[7]2037'!U43,2)</f>
        <v>42036.42</v>
      </c>
      <c r="V431" s="125">
        <f>ROUND('[7]2037'!V43,2)</f>
        <v>41980.68</v>
      </c>
      <c r="W431" s="125">
        <f>ROUND('[7]2037'!W43,2)</f>
        <v>45786.720000000001</v>
      </c>
      <c r="X431" s="125">
        <f>ROUND('[7]2037'!X43,2)</f>
        <v>46374.38</v>
      </c>
      <c r="Y431" s="125">
        <f>ROUND('[7]2037'!Y43,2)</f>
        <v>45015.360000000001</v>
      </c>
      <c r="Z431" s="125">
        <f>ROUND('[7]2037'!Z43,2)</f>
        <v>43141.66</v>
      </c>
      <c r="AA431" s="125">
        <f>ROUND('[7]2037'!AA43,2)</f>
        <v>40498.43</v>
      </c>
      <c r="AB431" s="125">
        <f>ROUND('[7]2037'!AB43,2)</f>
        <v>37683.589999999997</v>
      </c>
      <c r="AC431" s="283">
        <f>SUM(E431:AB431)*D431+SUM(E432:AB432)*D432+SUM(E433:AB433)*D433+SUM(E434:AB434)*D434</f>
        <v>29178738.25</v>
      </c>
      <c r="AD431" s="19"/>
    </row>
    <row r="432" spans="2:30" ht="18.649999999999999" hidden="1" customHeight="1" x14ac:dyDescent="0.35">
      <c r="B432" s="264" t="s">
        <v>34</v>
      </c>
      <c r="C432" s="10" t="s">
        <v>30</v>
      </c>
      <c r="D432" s="11">
        <f>+'[7]2037'!D44</f>
        <v>5</v>
      </c>
      <c r="E432" s="128">
        <f>ROUND('[7]2037'!E44,2)</f>
        <v>35369.79</v>
      </c>
      <c r="F432" s="123">
        <f>ROUND('[7]2037'!F44,2)</f>
        <v>33614.15</v>
      </c>
      <c r="G432" s="123">
        <f>ROUND('[7]2037'!G44,2)</f>
        <v>32271.39</v>
      </c>
      <c r="H432" s="123">
        <f>ROUND('[7]2037'!H44,2)</f>
        <v>31324.48</v>
      </c>
      <c r="I432" s="123">
        <f>ROUND('[7]2037'!I44,2)</f>
        <v>31234.080000000002</v>
      </c>
      <c r="J432" s="123">
        <f>ROUND('[7]2037'!J44,2)</f>
        <v>31745.05</v>
      </c>
      <c r="K432" s="123">
        <f>ROUND('[7]2037'!K44,2)</f>
        <v>32083.8</v>
      </c>
      <c r="L432" s="123">
        <f>ROUND('[7]2037'!L44,2)</f>
        <v>35744</v>
      </c>
      <c r="M432" s="123">
        <f>ROUND('[7]2037'!M44,2)</f>
        <v>39494.76</v>
      </c>
      <c r="N432" s="123">
        <f>ROUND('[7]2037'!N44,2)</f>
        <v>41619.480000000003</v>
      </c>
      <c r="O432" s="123">
        <f>ROUND('[7]2037'!O44,2)</f>
        <v>43824.94</v>
      </c>
      <c r="P432" s="123">
        <f>ROUND('[7]2037'!P44,2)</f>
        <v>45317.22</v>
      </c>
      <c r="Q432" s="123">
        <f>ROUND('[7]2037'!Q44,2)</f>
        <v>44154.42</v>
      </c>
      <c r="R432" s="123">
        <f>ROUND('[7]2037'!R44,2)</f>
        <v>45198.67</v>
      </c>
      <c r="S432" s="123">
        <f>ROUND('[7]2037'!S44,2)</f>
        <v>46768.35</v>
      </c>
      <c r="T432" s="123">
        <f>ROUND('[7]2037'!T44,2)</f>
        <v>46801.61</v>
      </c>
      <c r="U432" s="123">
        <f>ROUND('[7]2037'!U44,2)</f>
        <v>45938.92</v>
      </c>
      <c r="V432" s="123">
        <f>ROUND('[7]2037'!V44,2)</f>
        <v>45166.79</v>
      </c>
      <c r="W432" s="123">
        <f>ROUND('[7]2037'!W44,2)</f>
        <v>48484.45</v>
      </c>
      <c r="X432" s="123">
        <f>ROUND('[7]2037'!X44,2)</f>
        <v>48287.519999999997</v>
      </c>
      <c r="Y432" s="123">
        <f>ROUND('[7]2037'!Y44,2)</f>
        <v>47041.37</v>
      </c>
      <c r="Z432" s="123">
        <f>ROUND('[7]2037'!Z44,2)</f>
        <v>44885.35</v>
      </c>
      <c r="AA432" s="123">
        <f>ROUND('[7]2037'!AA44,2)</f>
        <v>41449.03</v>
      </c>
      <c r="AB432" s="123">
        <f>ROUND('[7]2037'!AB44,2)</f>
        <v>37923.56</v>
      </c>
      <c r="AC432" s="282"/>
      <c r="AD432" s="19"/>
    </row>
    <row r="433" spans="2:30" ht="18.649999999999999" hidden="1" customHeight="1" x14ac:dyDescent="0.35">
      <c r="B433" s="264" t="s">
        <v>34</v>
      </c>
      <c r="C433" s="10" t="s">
        <v>31</v>
      </c>
      <c r="D433" s="11">
        <f>+'[7]2037'!D45</f>
        <v>5</v>
      </c>
      <c r="E433" s="128">
        <f>ROUND('[7]2037'!E45,2)</f>
        <v>35352.160000000003</v>
      </c>
      <c r="F433" s="123">
        <f>ROUND('[7]2037'!F45,2)</f>
        <v>33509.760000000002</v>
      </c>
      <c r="G433" s="123">
        <f>ROUND('[7]2037'!G45,2)</f>
        <v>32078.82</v>
      </c>
      <c r="H433" s="123">
        <f>ROUND('[7]2037'!H45,2)</f>
        <v>31043.86</v>
      </c>
      <c r="I433" s="123">
        <f>ROUND('[7]2037'!I45,2)</f>
        <v>30609.54</v>
      </c>
      <c r="J433" s="123">
        <f>ROUND('[7]2037'!J45,2)</f>
        <v>30024.32</v>
      </c>
      <c r="K433" s="123">
        <f>ROUND('[7]2037'!K45,2)</f>
        <v>29384.04</v>
      </c>
      <c r="L433" s="123">
        <f>ROUND('[7]2037'!L45,2)</f>
        <v>31521.68</v>
      </c>
      <c r="M433" s="123">
        <f>ROUND('[7]2037'!M45,2)</f>
        <v>33875.18</v>
      </c>
      <c r="N433" s="123">
        <f>ROUND('[7]2037'!N45,2)</f>
        <v>35996.26</v>
      </c>
      <c r="O433" s="123">
        <f>ROUND('[7]2037'!O45,2)</f>
        <v>38007.24</v>
      </c>
      <c r="P433" s="123">
        <f>ROUND('[7]2037'!P45,2)</f>
        <v>39727.910000000003</v>
      </c>
      <c r="Q433" s="123">
        <f>ROUND('[7]2037'!Q45,2)</f>
        <v>40361.08</v>
      </c>
      <c r="R433" s="123">
        <f>ROUND('[7]2037'!R45,2)</f>
        <v>40167.35</v>
      </c>
      <c r="S433" s="123">
        <f>ROUND('[7]2037'!S45,2)</f>
        <v>39986.83</v>
      </c>
      <c r="T433" s="123">
        <f>ROUND('[7]2037'!T45,2)</f>
        <v>40114.26</v>
      </c>
      <c r="U433" s="123">
        <f>ROUND('[7]2037'!U45,2)</f>
        <v>39748.32</v>
      </c>
      <c r="V433" s="123">
        <f>ROUND('[7]2037'!V45,2)</f>
        <v>39703.35</v>
      </c>
      <c r="W433" s="123">
        <f>ROUND('[7]2037'!W45,2)</f>
        <v>44308.02</v>
      </c>
      <c r="X433" s="123">
        <f>ROUND('[7]2037'!X45,2)</f>
        <v>46804.29</v>
      </c>
      <c r="Y433" s="123">
        <f>ROUND('[7]2037'!Y45,2)</f>
        <v>46554.66</v>
      </c>
      <c r="Z433" s="123">
        <f>ROUND('[7]2037'!Z45,2)</f>
        <v>44802.97</v>
      </c>
      <c r="AA433" s="123">
        <f>ROUND('[7]2037'!AA45,2)</f>
        <v>41765.56</v>
      </c>
      <c r="AB433" s="123">
        <f>ROUND('[7]2037'!AB45,2)</f>
        <v>38438.25</v>
      </c>
      <c r="AC433" s="282"/>
      <c r="AD433" s="19"/>
    </row>
    <row r="434" spans="2:30" ht="18.649999999999999" hidden="1" customHeight="1" thickBot="1" x14ac:dyDescent="0.4">
      <c r="B434" s="265" t="s">
        <v>34</v>
      </c>
      <c r="C434" s="12" t="s">
        <v>32</v>
      </c>
      <c r="D434" s="13">
        <f>+'[7]2037'!D46</f>
        <v>2</v>
      </c>
      <c r="E434" s="130">
        <f>ROUND('[7]2037'!E46,2)</f>
        <v>35352.160000000003</v>
      </c>
      <c r="F434" s="126">
        <f>ROUND('[7]2037'!F46,2)</f>
        <v>33509.760000000002</v>
      </c>
      <c r="G434" s="126">
        <f>ROUND('[7]2037'!G46,2)</f>
        <v>32078.82</v>
      </c>
      <c r="H434" s="126">
        <f>ROUND('[7]2037'!H46,2)</f>
        <v>31043.86</v>
      </c>
      <c r="I434" s="126">
        <f>ROUND('[7]2037'!I46,2)</f>
        <v>30609.54</v>
      </c>
      <c r="J434" s="126">
        <f>ROUND('[7]2037'!J46,2)</f>
        <v>30024.32</v>
      </c>
      <c r="K434" s="126">
        <f>ROUND('[7]2037'!K46,2)</f>
        <v>29384.04</v>
      </c>
      <c r="L434" s="126">
        <f>ROUND('[7]2037'!L46,2)</f>
        <v>31521.68</v>
      </c>
      <c r="M434" s="126">
        <f>ROUND('[7]2037'!M46,2)</f>
        <v>33875.18</v>
      </c>
      <c r="N434" s="126">
        <f>ROUND('[7]2037'!N46,2)</f>
        <v>35996.26</v>
      </c>
      <c r="O434" s="126">
        <f>ROUND('[7]2037'!O46,2)</f>
        <v>38007.24</v>
      </c>
      <c r="P434" s="126">
        <f>ROUND('[7]2037'!P46,2)</f>
        <v>39727.910000000003</v>
      </c>
      <c r="Q434" s="126">
        <f>ROUND('[7]2037'!Q46,2)</f>
        <v>40361.08</v>
      </c>
      <c r="R434" s="126">
        <f>ROUND('[7]2037'!R46,2)</f>
        <v>40167.35</v>
      </c>
      <c r="S434" s="126">
        <f>ROUND('[7]2037'!S46,2)</f>
        <v>39986.83</v>
      </c>
      <c r="T434" s="126">
        <f>ROUND('[7]2037'!T46,2)</f>
        <v>40114.26</v>
      </c>
      <c r="U434" s="126">
        <f>ROUND('[7]2037'!U46,2)</f>
        <v>39748.32</v>
      </c>
      <c r="V434" s="126">
        <f>ROUND('[7]2037'!V46,2)</f>
        <v>39703.35</v>
      </c>
      <c r="W434" s="126">
        <f>ROUND('[7]2037'!W46,2)</f>
        <v>44308.02</v>
      </c>
      <c r="X434" s="126">
        <f>ROUND('[7]2037'!X46,2)</f>
        <v>46804.29</v>
      </c>
      <c r="Y434" s="126">
        <f>ROUND('[7]2037'!Y46,2)</f>
        <v>46554.66</v>
      </c>
      <c r="Z434" s="126">
        <f>ROUND('[7]2037'!Z46,2)</f>
        <v>44802.97</v>
      </c>
      <c r="AA434" s="126">
        <f>ROUND('[7]2037'!AA46,2)</f>
        <v>41765.56</v>
      </c>
      <c r="AB434" s="126">
        <f>ROUND('[7]2037'!AB46,2)</f>
        <v>38438.25</v>
      </c>
      <c r="AC434" s="284"/>
      <c r="AD434" s="19"/>
    </row>
    <row r="435" spans="2:30" ht="18.649999999999999" hidden="1" customHeight="1" x14ac:dyDescent="0.35">
      <c r="B435" s="260">
        <v>50284</v>
      </c>
      <c r="C435" s="14" t="s">
        <v>29</v>
      </c>
      <c r="D435" s="15">
        <f>+'[7]2037'!D47</f>
        <v>22</v>
      </c>
      <c r="E435" s="131">
        <f>ROUND('[7]2037'!E47,2)</f>
        <v>36302.660000000003</v>
      </c>
      <c r="F435" s="122">
        <f>ROUND('[7]2037'!F47,2)</f>
        <v>34449.800000000003</v>
      </c>
      <c r="G435" s="122">
        <f>ROUND('[7]2037'!G47,2)</f>
        <v>33016.22</v>
      </c>
      <c r="H435" s="122">
        <f>ROUND('[7]2037'!H47,2)</f>
        <v>32000.63</v>
      </c>
      <c r="I435" s="122">
        <f>ROUND('[7]2037'!I47,2)</f>
        <v>31702.639999999999</v>
      </c>
      <c r="J435" s="122">
        <f>ROUND('[7]2037'!J47,2)</f>
        <v>31293.360000000001</v>
      </c>
      <c r="K435" s="122">
        <f>ROUND('[7]2037'!K47,2)</f>
        <v>31495.8</v>
      </c>
      <c r="L435" s="122">
        <f>ROUND('[7]2037'!L47,2)</f>
        <v>35241.440000000002</v>
      </c>
      <c r="M435" s="122">
        <f>ROUND('[7]2037'!M47,2)</f>
        <v>39241.839999999997</v>
      </c>
      <c r="N435" s="122">
        <f>ROUND('[7]2037'!N47,2)</f>
        <v>41548.9</v>
      </c>
      <c r="O435" s="122">
        <f>ROUND('[7]2037'!O47,2)</f>
        <v>43514.43</v>
      </c>
      <c r="P435" s="122">
        <f>ROUND('[7]2037'!P47,2)</f>
        <v>44490.2</v>
      </c>
      <c r="Q435" s="122">
        <f>ROUND('[7]2037'!Q47,2)</f>
        <v>43646.52</v>
      </c>
      <c r="R435" s="122">
        <f>ROUND('[7]2037'!R47,2)</f>
        <v>43016.58</v>
      </c>
      <c r="S435" s="122">
        <f>ROUND('[7]2037'!S47,2)</f>
        <v>42965.16</v>
      </c>
      <c r="T435" s="122">
        <f>ROUND('[7]2037'!T47,2)</f>
        <v>42891.3</v>
      </c>
      <c r="U435" s="122">
        <f>ROUND('[7]2037'!U47,2)</f>
        <v>42249.87</v>
      </c>
      <c r="V435" s="122">
        <f>ROUND('[7]2037'!V47,2)</f>
        <v>42744.74</v>
      </c>
      <c r="W435" s="122">
        <f>ROUND('[7]2037'!W47,2)</f>
        <v>47187.16</v>
      </c>
      <c r="X435" s="122">
        <f>ROUND('[7]2037'!X47,2)</f>
        <v>46736.86</v>
      </c>
      <c r="Y435" s="122">
        <f>ROUND('[7]2037'!Y47,2)</f>
        <v>45114.85</v>
      </c>
      <c r="Z435" s="122">
        <f>ROUND('[7]2037'!Z47,2)</f>
        <v>43098.96</v>
      </c>
      <c r="AA435" s="122">
        <f>ROUND('[7]2037'!AA47,2)</f>
        <v>40673.699999999997</v>
      </c>
      <c r="AB435" s="122">
        <f>ROUND('[7]2037'!AB47,2)</f>
        <v>38000.019999999997</v>
      </c>
      <c r="AC435" s="282">
        <f>SUM(E435:AB435)*D435+SUM(E436:AB436)*D436+SUM(E437:AB437)*D437+SUM(E438:AB438)*D438</f>
        <v>28751672.16</v>
      </c>
      <c r="AD435" s="19"/>
    </row>
    <row r="436" spans="2:30" ht="18.649999999999999" hidden="1" customHeight="1" x14ac:dyDescent="0.35">
      <c r="B436" s="261"/>
      <c r="C436" s="10" t="s">
        <v>30</v>
      </c>
      <c r="D436" s="11">
        <f>+'[7]2037'!D48</f>
        <v>4</v>
      </c>
      <c r="E436" s="128">
        <f>ROUND('[7]2037'!E48,2)</f>
        <v>33937.360000000001</v>
      </c>
      <c r="F436" s="123">
        <f>ROUND('[7]2037'!F48,2)</f>
        <v>32229.35</v>
      </c>
      <c r="G436" s="123">
        <f>ROUND('[7]2037'!G48,2)</f>
        <v>31037.51</v>
      </c>
      <c r="H436" s="123">
        <f>ROUND('[7]2037'!H48,2)</f>
        <v>30158.99</v>
      </c>
      <c r="I436" s="123">
        <f>ROUND('[7]2037'!I48,2)</f>
        <v>30173.4</v>
      </c>
      <c r="J436" s="123">
        <f>ROUND('[7]2037'!J48,2)</f>
        <v>30673.46</v>
      </c>
      <c r="K436" s="123">
        <f>ROUND('[7]2037'!K48,2)</f>
        <v>31297.82</v>
      </c>
      <c r="L436" s="123">
        <f>ROUND('[7]2037'!L48,2)</f>
        <v>35116.160000000003</v>
      </c>
      <c r="M436" s="123">
        <f>ROUND('[7]2037'!M48,2)</f>
        <v>38835.26</v>
      </c>
      <c r="N436" s="123">
        <f>ROUND('[7]2037'!N48,2)</f>
        <v>40864.839999999997</v>
      </c>
      <c r="O436" s="123">
        <f>ROUND('[7]2037'!O48,2)</f>
        <v>43012.37</v>
      </c>
      <c r="P436" s="123">
        <f>ROUND('[7]2037'!P48,2)</f>
        <v>44492.49</v>
      </c>
      <c r="Q436" s="123">
        <f>ROUND('[7]2037'!Q48,2)</f>
        <v>43218.38</v>
      </c>
      <c r="R436" s="123">
        <f>ROUND('[7]2037'!R48,2)</f>
        <v>44190.34</v>
      </c>
      <c r="S436" s="123">
        <f>ROUND('[7]2037'!S48,2)</f>
        <v>45829.96</v>
      </c>
      <c r="T436" s="123">
        <f>ROUND('[7]2037'!T48,2)</f>
        <v>45912.61</v>
      </c>
      <c r="U436" s="123">
        <f>ROUND('[7]2037'!U48,2)</f>
        <v>44962.44</v>
      </c>
      <c r="V436" s="123">
        <f>ROUND('[7]2037'!V48,2)</f>
        <v>45086.51</v>
      </c>
      <c r="W436" s="123">
        <f>ROUND('[7]2037'!W48,2)</f>
        <v>47805.43</v>
      </c>
      <c r="X436" s="123">
        <f>ROUND('[7]2037'!X48,2)</f>
        <v>46993.46</v>
      </c>
      <c r="Y436" s="123">
        <f>ROUND('[7]2037'!Y48,2)</f>
        <v>45490.62</v>
      </c>
      <c r="Z436" s="123">
        <f>ROUND('[7]2037'!Z48,2)</f>
        <v>43277.77</v>
      </c>
      <c r="AA436" s="123">
        <f>ROUND('[7]2037'!AA48,2)</f>
        <v>40089.21</v>
      </c>
      <c r="AB436" s="123">
        <f>ROUND('[7]2037'!AB48,2)</f>
        <v>36776.39</v>
      </c>
      <c r="AC436" s="282"/>
      <c r="AD436" s="19"/>
    </row>
    <row r="437" spans="2:30" ht="18.649999999999999" hidden="1" customHeight="1" x14ac:dyDescent="0.35">
      <c r="B437" s="261"/>
      <c r="C437" s="10" t="s">
        <v>31</v>
      </c>
      <c r="D437" s="11">
        <f>+'[7]2037'!D49</f>
        <v>4</v>
      </c>
      <c r="E437" s="128">
        <f>ROUND('[7]2037'!E49,2)</f>
        <v>34971.9</v>
      </c>
      <c r="F437" s="123">
        <f>ROUND('[7]2037'!F49,2)</f>
        <v>33270.49</v>
      </c>
      <c r="G437" s="123">
        <f>ROUND('[7]2037'!G49,2)</f>
        <v>32010.99</v>
      </c>
      <c r="H437" s="123">
        <f>ROUND('[7]2037'!H49,2)</f>
        <v>31059.63</v>
      </c>
      <c r="I437" s="123">
        <f>ROUND('[7]2037'!I49,2)</f>
        <v>31109.39</v>
      </c>
      <c r="J437" s="123">
        <f>ROUND('[7]2037'!J49,2)</f>
        <v>32089.83</v>
      </c>
      <c r="K437" s="123">
        <f>ROUND('[7]2037'!K49,2)</f>
        <v>32707.59</v>
      </c>
      <c r="L437" s="123">
        <f>ROUND('[7]2037'!L49,2)</f>
        <v>36758.51</v>
      </c>
      <c r="M437" s="123">
        <f>ROUND('[7]2037'!M49,2)</f>
        <v>40769.49</v>
      </c>
      <c r="N437" s="123">
        <f>ROUND('[7]2037'!N49,2)</f>
        <v>42892.81</v>
      </c>
      <c r="O437" s="123">
        <f>ROUND('[7]2037'!O49,2)</f>
        <v>45309.85</v>
      </c>
      <c r="P437" s="123">
        <f>ROUND('[7]2037'!P49,2)</f>
        <v>46937.08</v>
      </c>
      <c r="Q437" s="123">
        <f>ROUND('[7]2037'!Q49,2)</f>
        <v>45285.01</v>
      </c>
      <c r="R437" s="123">
        <f>ROUND('[7]2037'!R49,2)</f>
        <v>46886.39</v>
      </c>
      <c r="S437" s="123">
        <f>ROUND('[7]2037'!S49,2)</f>
        <v>49157.29</v>
      </c>
      <c r="T437" s="123">
        <f>ROUND('[7]2037'!T49,2)</f>
        <v>49218.879999999997</v>
      </c>
      <c r="U437" s="123">
        <f>ROUND('[7]2037'!U49,2)</f>
        <v>48101.66</v>
      </c>
      <c r="V437" s="123">
        <f>ROUND('[7]2037'!V49,2)</f>
        <v>46712.74</v>
      </c>
      <c r="W437" s="123">
        <f>ROUND('[7]2037'!W49,2)</f>
        <v>49443.46</v>
      </c>
      <c r="X437" s="123">
        <f>ROUND('[7]2037'!X49,2)</f>
        <v>49078.29</v>
      </c>
      <c r="Y437" s="123">
        <f>ROUND('[7]2037'!Y49,2)</f>
        <v>47812.2</v>
      </c>
      <c r="Z437" s="123">
        <f>ROUND('[7]2037'!Z49,2)</f>
        <v>45553.47</v>
      </c>
      <c r="AA437" s="123">
        <f>ROUND('[7]2037'!AA49,2)</f>
        <v>41820.199999999997</v>
      </c>
      <c r="AB437" s="123">
        <f>ROUND('[7]2037'!AB49,2)</f>
        <v>38068.74</v>
      </c>
      <c r="AC437" s="282"/>
      <c r="AD437" s="19"/>
    </row>
    <row r="438" spans="2:30" ht="18.649999999999999" hidden="1" customHeight="1" thickBot="1" x14ac:dyDescent="0.4">
      <c r="B438" s="261"/>
      <c r="C438" s="16" t="s">
        <v>32</v>
      </c>
      <c r="D438" s="17">
        <f>+'[7]2037'!D50</f>
        <v>0</v>
      </c>
      <c r="E438" s="115">
        <f>ROUND('[7]2037'!E50,2)</f>
        <v>0</v>
      </c>
      <c r="F438" s="115">
        <f>ROUND('[7]2037'!F50,2)</f>
        <v>0</v>
      </c>
      <c r="G438" s="115">
        <f>ROUND('[7]2037'!G50,2)</f>
        <v>0</v>
      </c>
      <c r="H438" s="115">
        <f>ROUND('[7]2037'!H50,2)</f>
        <v>0</v>
      </c>
      <c r="I438" s="115">
        <f>ROUND('[7]2037'!I50,2)</f>
        <v>0</v>
      </c>
      <c r="J438" s="115">
        <f>ROUND('[7]2037'!J50,2)</f>
        <v>0</v>
      </c>
      <c r="K438" s="115">
        <f>ROUND('[7]2037'!K50,2)</f>
        <v>0</v>
      </c>
      <c r="L438" s="115">
        <f>ROUND('[7]2037'!L50,2)</f>
        <v>0</v>
      </c>
      <c r="M438" s="115">
        <f>ROUND('[7]2037'!M50,2)</f>
        <v>0</v>
      </c>
      <c r="N438" s="115">
        <f>ROUND('[7]2037'!N50,2)</f>
        <v>0</v>
      </c>
      <c r="O438" s="115">
        <f>ROUND('[7]2037'!O50,2)</f>
        <v>0</v>
      </c>
      <c r="P438" s="115">
        <f>ROUND('[7]2037'!P50,2)</f>
        <v>0</v>
      </c>
      <c r="Q438" s="115">
        <f>ROUND('[7]2037'!Q50,2)</f>
        <v>0</v>
      </c>
      <c r="R438" s="115">
        <f>ROUND('[7]2037'!R50,2)</f>
        <v>0</v>
      </c>
      <c r="S438" s="115">
        <f>ROUND('[7]2037'!S50,2)</f>
        <v>0</v>
      </c>
      <c r="T438" s="115">
        <f>ROUND('[7]2037'!T50,2)</f>
        <v>0</v>
      </c>
      <c r="U438" s="115">
        <f>ROUND('[7]2037'!U50,2)</f>
        <v>0</v>
      </c>
      <c r="V438" s="115">
        <f>ROUND('[7]2037'!V50,2)</f>
        <v>0</v>
      </c>
      <c r="W438" s="115">
        <f>ROUND('[7]2037'!W50,2)</f>
        <v>0</v>
      </c>
      <c r="X438" s="115">
        <f>ROUND('[7]2037'!X50,2)</f>
        <v>0</v>
      </c>
      <c r="Y438" s="115">
        <f>ROUND('[7]2037'!Y50,2)</f>
        <v>0</v>
      </c>
      <c r="Z438" s="115">
        <f>ROUND('[7]2037'!Z50,2)</f>
        <v>0</v>
      </c>
      <c r="AA438" s="115">
        <f>ROUND('[7]2037'!AA50,2)</f>
        <v>0</v>
      </c>
      <c r="AB438" s="115">
        <f>ROUND('[7]2037'!AB50,2)</f>
        <v>0</v>
      </c>
      <c r="AC438" s="282"/>
      <c r="AD438" s="19"/>
    </row>
    <row r="439" spans="2:30" ht="18.649999999999999" hidden="1" customHeight="1" x14ac:dyDescent="0.35">
      <c r="B439" s="263">
        <v>50314</v>
      </c>
      <c r="C439" s="7" t="s">
        <v>29</v>
      </c>
      <c r="D439" s="8">
        <f>+'[7]2037'!D51</f>
        <v>21</v>
      </c>
      <c r="E439" s="127">
        <f>ROUND('[7]2037'!E51,2)</f>
        <v>34997.550000000003</v>
      </c>
      <c r="F439" s="125">
        <f>ROUND('[7]2037'!F51,2)</f>
        <v>33227.81</v>
      </c>
      <c r="G439" s="125">
        <f>ROUND('[7]2037'!G51,2)</f>
        <v>31819.17</v>
      </c>
      <c r="H439" s="125">
        <f>ROUND('[7]2037'!H51,2)</f>
        <v>30654.79</v>
      </c>
      <c r="I439" s="125">
        <f>ROUND('[7]2037'!I51,2)</f>
        <v>30212.98</v>
      </c>
      <c r="J439" s="125">
        <f>ROUND('[7]2037'!J51,2)</f>
        <v>29967.64</v>
      </c>
      <c r="K439" s="125">
        <f>ROUND('[7]2037'!K51,2)</f>
        <v>30600.22</v>
      </c>
      <c r="L439" s="125">
        <f>ROUND('[7]2037'!L51,2)</f>
        <v>34439.599999999999</v>
      </c>
      <c r="M439" s="125">
        <f>ROUND('[7]2037'!M51,2)</f>
        <v>38363.89</v>
      </c>
      <c r="N439" s="125">
        <f>ROUND('[7]2037'!N51,2)</f>
        <v>40641.96</v>
      </c>
      <c r="O439" s="125">
        <f>ROUND('[7]2037'!O51,2)</f>
        <v>42741.5</v>
      </c>
      <c r="P439" s="125">
        <f>ROUND('[7]2037'!P51,2)</f>
        <v>43842.79</v>
      </c>
      <c r="Q439" s="125">
        <f>ROUND('[7]2037'!Q51,2)</f>
        <v>43063.6</v>
      </c>
      <c r="R439" s="125">
        <f>ROUND('[7]2037'!R51,2)</f>
        <v>42553.45</v>
      </c>
      <c r="S439" s="125">
        <f>ROUND('[7]2037'!S51,2)</f>
        <v>42728.67</v>
      </c>
      <c r="T439" s="125">
        <f>ROUND('[7]2037'!T51,2)</f>
        <v>42644.35</v>
      </c>
      <c r="U439" s="125">
        <f>ROUND('[7]2037'!U51,2)</f>
        <v>42095.96</v>
      </c>
      <c r="V439" s="125">
        <f>ROUND('[7]2037'!V51,2)</f>
        <v>43190.38</v>
      </c>
      <c r="W439" s="125">
        <f>ROUND('[7]2037'!W51,2)</f>
        <v>47127.91</v>
      </c>
      <c r="X439" s="125">
        <f>ROUND('[7]2037'!X51,2)</f>
        <v>46340.44</v>
      </c>
      <c r="Y439" s="125">
        <f>ROUND('[7]2037'!Y51,2)</f>
        <v>44700.9</v>
      </c>
      <c r="Z439" s="125">
        <f>ROUND('[7]2037'!Z51,2)</f>
        <v>42617.26</v>
      </c>
      <c r="AA439" s="125">
        <f>ROUND('[7]2037'!AA51,2)</f>
        <v>40132.11</v>
      </c>
      <c r="AB439" s="125">
        <f>ROUND('[7]2037'!AB51,2)</f>
        <v>37474.800000000003</v>
      </c>
      <c r="AC439" s="283">
        <f>SUM(E439:AB439)*D439+SUM(E440:AB440)*D440+SUM(E441:AB441)*D441+SUM(E442:AB442)*D442</f>
        <v>28626195.429999996</v>
      </c>
      <c r="AD439" s="19"/>
    </row>
    <row r="440" spans="2:30" ht="18.649999999999999" hidden="1" customHeight="1" x14ac:dyDescent="0.35">
      <c r="B440" s="264" t="s">
        <v>34</v>
      </c>
      <c r="C440" s="10" t="s">
        <v>30</v>
      </c>
      <c r="D440" s="11">
        <f>+'[7]2037'!D52</f>
        <v>5</v>
      </c>
      <c r="E440" s="128">
        <f>ROUND('[7]2037'!E52,2)</f>
        <v>32528.94</v>
      </c>
      <c r="F440" s="123">
        <f>ROUND('[7]2037'!F52,2)</f>
        <v>30922.240000000002</v>
      </c>
      <c r="G440" s="123">
        <f>ROUND('[7]2037'!G52,2)</f>
        <v>29733.46</v>
      </c>
      <c r="H440" s="123">
        <f>ROUND('[7]2037'!H52,2)</f>
        <v>29020.95</v>
      </c>
      <c r="I440" s="123">
        <f>ROUND('[7]2037'!I52,2)</f>
        <v>29120.61</v>
      </c>
      <c r="J440" s="123">
        <f>ROUND('[7]2037'!J52,2)</f>
        <v>29688</v>
      </c>
      <c r="K440" s="123">
        <f>ROUND('[7]2037'!K52,2)</f>
        <v>30226.03</v>
      </c>
      <c r="L440" s="123">
        <f>ROUND('[7]2037'!L52,2)</f>
        <v>33763.1</v>
      </c>
      <c r="M440" s="123">
        <f>ROUND('[7]2037'!M52,2)</f>
        <v>37294.089999999997</v>
      </c>
      <c r="N440" s="123">
        <f>ROUND('[7]2037'!N52,2)</f>
        <v>39363.24</v>
      </c>
      <c r="O440" s="123">
        <f>ROUND('[7]2037'!O52,2)</f>
        <v>41261.79</v>
      </c>
      <c r="P440" s="123">
        <f>ROUND('[7]2037'!P52,2)</f>
        <v>42677.94</v>
      </c>
      <c r="Q440" s="123">
        <f>ROUND('[7]2037'!Q52,2)</f>
        <v>41476.97</v>
      </c>
      <c r="R440" s="123">
        <f>ROUND('[7]2037'!R52,2)</f>
        <v>42021.06</v>
      </c>
      <c r="S440" s="123">
        <f>ROUND('[7]2037'!S52,2)</f>
        <v>43260.28</v>
      </c>
      <c r="T440" s="123">
        <f>ROUND('[7]2037'!T52,2)</f>
        <v>43378.06</v>
      </c>
      <c r="U440" s="123">
        <f>ROUND('[7]2037'!U52,2)</f>
        <v>42815.73</v>
      </c>
      <c r="V440" s="123">
        <f>ROUND('[7]2037'!V52,2)</f>
        <v>43593.62</v>
      </c>
      <c r="W440" s="123">
        <f>ROUND('[7]2037'!W52,2)</f>
        <v>46602.03</v>
      </c>
      <c r="X440" s="123">
        <f>ROUND('[7]2037'!X52,2)</f>
        <v>45696.18</v>
      </c>
      <c r="Y440" s="123">
        <f>ROUND('[7]2037'!Y52,2)</f>
        <v>43920.44</v>
      </c>
      <c r="Z440" s="123">
        <f>ROUND('[7]2037'!Z52,2)</f>
        <v>41475.57</v>
      </c>
      <c r="AA440" s="123">
        <f>ROUND('[7]2037'!AA52,2)</f>
        <v>38287.5</v>
      </c>
      <c r="AB440" s="123">
        <f>ROUND('[7]2037'!AB52,2)</f>
        <v>35092.21</v>
      </c>
      <c r="AC440" s="282"/>
      <c r="AD440" s="19"/>
    </row>
    <row r="441" spans="2:30" ht="18.649999999999999" hidden="1" customHeight="1" x14ac:dyDescent="0.35">
      <c r="B441" s="264" t="s">
        <v>34</v>
      </c>
      <c r="C441" s="10" t="s">
        <v>31</v>
      </c>
      <c r="D441" s="11">
        <f>+'[7]2037'!D53</f>
        <v>4</v>
      </c>
      <c r="E441" s="128">
        <f>ROUND('[7]2037'!E53,2)</f>
        <v>32876.730000000003</v>
      </c>
      <c r="F441" s="123">
        <f>ROUND('[7]2037'!F53,2)</f>
        <v>31484.82</v>
      </c>
      <c r="G441" s="123">
        <f>ROUND('[7]2037'!G53,2)</f>
        <v>30377.75</v>
      </c>
      <c r="H441" s="123">
        <f>ROUND('[7]2037'!H53,2)</f>
        <v>29696.47</v>
      </c>
      <c r="I441" s="123">
        <f>ROUND('[7]2037'!I53,2)</f>
        <v>29459.93</v>
      </c>
      <c r="J441" s="123">
        <f>ROUND('[7]2037'!J53,2)</f>
        <v>28995.65</v>
      </c>
      <c r="K441" s="123">
        <f>ROUND('[7]2037'!K53,2)</f>
        <v>28305.89</v>
      </c>
      <c r="L441" s="123">
        <f>ROUND('[7]2037'!L53,2)</f>
        <v>30531.07</v>
      </c>
      <c r="M441" s="123">
        <f>ROUND('[7]2037'!M53,2)</f>
        <v>32377.08</v>
      </c>
      <c r="N441" s="123">
        <f>ROUND('[7]2037'!N53,2)</f>
        <v>34949.919999999998</v>
      </c>
      <c r="O441" s="123">
        <f>ROUND('[7]2037'!O53,2)</f>
        <v>36957.89</v>
      </c>
      <c r="P441" s="123">
        <f>ROUND('[7]2037'!P53,2)</f>
        <v>38546.019999999997</v>
      </c>
      <c r="Q441" s="123">
        <f>ROUND('[7]2037'!Q53,2)</f>
        <v>39351.86</v>
      </c>
      <c r="R441" s="123">
        <f>ROUND('[7]2037'!R53,2)</f>
        <v>39368.550000000003</v>
      </c>
      <c r="S441" s="123">
        <f>ROUND('[7]2037'!S53,2)</f>
        <v>39433.61</v>
      </c>
      <c r="T441" s="123">
        <f>ROUND('[7]2037'!T53,2)</f>
        <v>39532.92</v>
      </c>
      <c r="U441" s="123">
        <f>ROUND('[7]2037'!U53,2)</f>
        <v>39175.83</v>
      </c>
      <c r="V441" s="123">
        <f>ROUND('[7]2037'!V53,2)</f>
        <v>40839.870000000003</v>
      </c>
      <c r="W441" s="123">
        <f>ROUND('[7]2037'!W53,2)</f>
        <v>45504.06</v>
      </c>
      <c r="X441" s="123">
        <f>ROUND('[7]2037'!X53,2)</f>
        <v>46061.16</v>
      </c>
      <c r="Y441" s="123">
        <f>ROUND('[7]2037'!Y53,2)</f>
        <v>45337.5</v>
      </c>
      <c r="Z441" s="123">
        <f>ROUND('[7]2037'!Z53,2)</f>
        <v>43626.75</v>
      </c>
      <c r="AA441" s="123">
        <f>ROUND('[7]2037'!AA53,2)</f>
        <v>40375.15</v>
      </c>
      <c r="AB441" s="123">
        <f>ROUND('[7]2037'!AB53,2)</f>
        <v>36897.699999999997</v>
      </c>
      <c r="AC441" s="282"/>
      <c r="AD441" s="19"/>
    </row>
    <row r="442" spans="2:30" ht="18.649999999999999" hidden="1" customHeight="1" thickBot="1" x14ac:dyDescent="0.4">
      <c r="B442" s="265" t="s">
        <v>34</v>
      </c>
      <c r="C442" s="12" t="s">
        <v>32</v>
      </c>
      <c r="D442" s="13">
        <f>+'[7]2037'!D54</f>
        <v>1</v>
      </c>
      <c r="E442" s="130">
        <f>ROUND('[7]2037'!E54,2)</f>
        <v>32876.730000000003</v>
      </c>
      <c r="F442" s="126">
        <f>ROUND('[7]2037'!F54,2)</f>
        <v>31484.82</v>
      </c>
      <c r="G442" s="126">
        <f>ROUND('[7]2037'!G54,2)</f>
        <v>30377.75</v>
      </c>
      <c r="H442" s="126">
        <f>ROUND('[7]2037'!H54,2)</f>
        <v>29696.47</v>
      </c>
      <c r="I442" s="126">
        <f>ROUND('[7]2037'!I54,2)</f>
        <v>29459.93</v>
      </c>
      <c r="J442" s="126">
        <f>ROUND('[7]2037'!J54,2)</f>
        <v>28995.65</v>
      </c>
      <c r="K442" s="126">
        <f>ROUND('[7]2037'!K54,2)</f>
        <v>28305.89</v>
      </c>
      <c r="L442" s="126">
        <f>ROUND('[7]2037'!L54,2)</f>
        <v>30531.07</v>
      </c>
      <c r="M442" s="126">
        <f>ROUND('[7]2037'!M54,2)</f>
        <v>32377.08</v>
      </c>
      <c r="N442" s="126">
        <f>ROUND('[7]2037'!N54,2)</f>
        <v>34949.919999999998</v>
      </c>
      <c r="O442" s="126">
        <f>ROUND('[7]2037'!O54,2)</f>
        <v>36957.89</v>
      </c>
      <c r="P442" s="126">
        <f>ROUND('[7]2037'!P54,2)</f>
        <v>38546.019999999997</v>
      </c>
      <c r="Q442" s="126">
        <f>ROUND('[7]2037'!Q54,2)</f>
        <v>39351.86</v>
      </c>
      <c r="R442" s="126">
        <f>ROUND('[7]2037'!R54,2)</f>
        <v>39368.550000000003</v>
      </c>
      <c r="S442" s="126">
        <f>ROUND('[7]2037'!S54,2)</f>
        <v>39433.61</v>
      </c>
      <c r="T442" s="126">
        <f>ROUND('[7]2037'!T54,2)</f>
        <v>39532.92</v>
      </c>
      <c r="U442" s="126">
        <f>ROUND('[7]2037'!U54,2)</f>
        <v>39175.83</v>
      </c>
      <c r="V442" s="126">
        <f>ROUND('[7]2037'!V54,2)</f>
        <v>40839.870000000003</v>
      </c>
      <c r="W442" s="126">
        <f>ROUND('[7]2037'!W54,2)</f>
        <v>45504.06</v>
      </c>
      <c r="X442" s="126">
        <f>ROUND('[7]2037'!X54,2)</f>
        <v>46061.16</v>
      </c>
      <c r="Y442" s="126">
        <f>ROUND('[7]2037'!Y54,2)</f>
        <v>45337.5</v>
      </c>
      <c r="Z442" s="126">
        <f>ROUND('[7]2037'!Z54,2)</f>
        <v>43626.75</v>
      </c>
      <c r="AA442" s="126">
        <f>ROUND('[7]2037'!AA54,2)</f>
        <v>40375.15</v>
      </c>
      <c r="AB442" s="126">
        <f>ROUND('[7]2037'!AB54,2)</f>
        <v>36897.699999999997</v>
      </c>
      <c r="AC442" s="284"/>
      <c r="AD442" s="19"/>
    </row>
    <row r="443" spans="2:30" ht="18.649999999999999" hidden="1" customHeight="1" x14ac:dyDescent="0.35">
      <c r="B443" s="260">
        <v>50345</v>
      </c>
      <c r="C443" s="14" t="s">
        <v>29</v>
      </c>
      <c r="D443" s="15">
        <f>+'[7]2037'!D55</f>
        <v>19</v>
      </c>
      <c r="E443" s="131">
        <f>ROUND('[7]2037'!E55,2)</f>
        <v>34651.08</v>
      </c>
      <c r="F443" s="122">
        <f>ROUND('[7]2037'!F55,2)</f>
        <v>32955.93</v>
      </c>
      <c r="G443" s="122">
        <f>ROUND('[7]2037'!G55,2)</f>
        <v>31731.57</v>
      </c>
      <c r="H443" s="122">
        <f>ROUND('[7]2037'!H55,2)</f>
        <v>30929.94</v>
      </c>
      <c r="I443" s="122">
        <f>ROUND('[7]2037'!I55,2)</f>
        <v>30937.1</v>
      </c>
      <c r="J443" s="122">
        <f>ROUND('[7]2037'!J55,2)</f>
        <v>31194.46</v>
      </c>
      <c r="K443" s="122">
        <f>ROUND('[7]2037'!K55,2)</f>
        <v>31410.29</v>
      </c>
      <c r="L443" s="122">
        <f>ROUND('[7]2037'!L55,2)</f>
        <v>35349.24</v>
      </c>
      <c r="M443" s="122">
        <f>ROUND('[7]2037'!M55,2)</f>
        <v>39553.33</v>
      </c>
      <c r="N443" s="122">
        <f>ROUND('[7]2037'!N55,2)</f>
        <v>42229.94</v>
      </c>
      <c r="O443" s="122">
        <f>ROUND('[7]2037'!O55,2)</f>
        <v>44250.9</v>
      </c>
      <c r="P443" s="122">
        <f>ROUND('[7]2037'!P55,2)</f>
        <v>45310.94</v>
      </c>
      <c r="Q443" s="122">
        <f>ROUND('[7]2037'!Q55,2)</f>
        <v>44401.5</v>
      </c>
      <c r="R443" s="122">
        <f>ROUND('[7]2037'!R55,2)</f>
        <v>43627.66</v>
      </c>
      <c r="S443" s="122">
        <f>ROUND('[7]2037'!S55,2)</f>
        <v>43519.360000000001</v>
      </c>
      <c r="T443" s="122">
        <f>ROUND('[7]2037'!T55,2)</f>
        <v>43415.75</v>
      </c>
      <c r="U443" s="122">
        <f>ROUND('[7]2037'!U55,2)</f>
        <v>42971.28</v>
      </c>
      <c r="V443" s="122">
        <f>ROUND('[7]2037'!V55,2)</f>
        <v>44403.98</v>
      </c>
      <c r="W443" s="122">
        <f>ROUND('[7]2037'!W55,2)</f>
        <v>48324.78</v>
      </c>
      <c r="X443" s="122">
        <f>ROUND('[7]2037'!X55,2)</f>
        <v>47307.16</v>
      </c>
      <c r="Y443" s="122">
        <f>ROUND('[7]2037'!Y55,2)</f>
        <v>45387.91</v>
      </c>
      <c r="Z443" s="122">
        <f>ROUND('[7]2037'!Z55,2)</f>
        <v>43216.62</v>
      </c>
      <c r="AA443" s="122">
        <f>ROUND('[7]2037'!AA55,2)</f>
        <v>40527.980000000003</v>
      </c>
      <c r="AB443" s="122">
        <f>ROUND('[7]2037'!AB55,2)</f>
        <v>37611.94</v>
      </c>
      <c r="AC443" s="282">
        <f>SUM(E443:AB443)*D443+SUM(E444:AB444)*D444+SUM(E445:AB445)*D445+SUM(E446:AB446)*D446</f>
        <v>28283917.290000007</v>
      </c>
      <c r="AD443" s="19"/>
    </row>
    <row r="444" spans="2:30" ht="18.649999999999999" hidden="1" customHeight="1" x14ac:dyDescent="0.35">
      <c r="B444" s="261"/>
      <c r="C444" s="10" t="s">
        <v>30</v>
      </c>
      <c r="D444" s="11">
        <f>+'[7]2037'!D56</f>
        <v>4</v>
      </c>
      <c r="E444" s="128">
        <f>ROUND('[7]2037'!E56,2)</f>
        <v>37762.949999999997</v>
      </c>
      <c r="F444" s="123">
        <f>ROUND('[7]2037'!F56,2)</f>
        <v>35851.49</v>
      </c>
      <c r="G444" s="123">
        <f>ROUND('[7]2037'!G56,2)</f>
        <v>34439.07</v>
      </c>
      <c r="H444" s="123">
        <f>ROUND('[7]2037'!H56,2)</f>
        <v>33467.53</v>
      </c>
      <c r="I444" s="123">
        <f>ROUND('[7]2037'!I56,2)</f>
        <v>33261.78</v>
      </c>
      <c r="J444" s="123">
        <f>ROUND('[7]2037'!J56,2)</f>
        <v>33492.89</v>
      </c>
      <c r="K444" s="123">
        <f>ROUND('[7]2037'!K56,2)</f>
        <v>33313.11</v>
      </c>
      <c r="L444" s="123">
        <f>ROUND('[7]2037'!L56,2)</f>
        <v>37108.43</v>
      </c>
      <c r="M444" s="123">
        <f>ROUND('[7]2037'!M56,2)</f>
        <v>41054.720000000001</v>
      </c>
      <c r="N444" s="123">
        <f>ROUND('[7]2037'!N56,2)</f>
        <v>43341.54</v>
      </c>
      <c r="O444" s="123">
        <f>ROUND('[7]2037'!O56,2)</f>
        <v>45359.77</v>
      </c>
      <c r="P444" s="123">
        <f>ROUND('[7]2037'!P56,2)</f>
        <v>46933.75</v>
      </c>
      <c r="Q444" s="123">
        <f>ROUND('[7]2037'!Q56,2)</f>
        <v>45921.71</v>
      </c>
      <c r="R444" s="123">
        <f>ROUND('[7]2037'!R56,2)</f>
        <v>46400.12</v>
      </c>
      <c r="S444" s="123">
        <f>ROUND('[7]2037'!S56,2)</f>
        <v>47725.95</v>
      </c>
      <c r="T444" s="123">
        <f>ROUND('[7]2037'!T56,2)</f>
        <v>47800.81</v>
      </c>
      <c r="U444" s="123">
        <f>ROUND('[7]2037'!U56,2)</f>
        <v>47043.23</v>
      </c>
      <c r="V444" s="123">
        <f>ROUND('[7]2037'!V56,2)</f>
        <v>47165.46</v>
      </c>
      <c r="W444" s="123">
        <f>ROUND('[7]2037'!W56,2)</f>
        <v>51131.28</v>
      </c>
      <c r="X444" s="123">
        <f>ROUND('[7]2037'!X56,2)</f>
        <v>50311.7</v>
      </c>
      <c r="Y444" s="123">
        <f>ROUND('[7]2037'!Y56,2)</f>
        <v>48688.9</v>
      </c>
      <c r="Z444" s="123">
        <f>ROUND('[7]2037'!Z56,2)</f>
        <v>46538.37</v>
      </c>
      <c r="AA444" s="123">
        <f>ROUND('[7]2037'!AA56,2)</f>
        <v>43654.85</v>
      </c>
      <c r="AB444" s="123">
        <f>ROUND('[7]2037'!AB56,2)</f>
        <v>40415.879999999997</v>
      </c>
      <c r="AC444" s="282"/>
      <c r="AD444" s="19"/>
    </row>
    <row r="445" spans="2:30" ht="18.649999999999999" hidden="1" customHeight="1" x14ac:dyDescent="0.35">
      <c r="B445" s="261"/>
      <c r="C445" s="10" t="s">
        <v>31</v>
      </c>
      <c r="D445" s="11">
        <f>+'[7]2037'!D57</f>
        <v>5</v>
      </c>
      <c r="E445" s="128">
        <f>ROUND('[7]2037'!E57,2)</f>
        <v>34821.300000000003</v>
      </c>
      <c r="F445" s="123">
        <f>ROUND('[7]2037'!F57,2)</f>
        <v>32971.18</v>
      </c>
      <c r="G445" s="123">
        <f>ROUND('[7]2037'!G57,2)</f>
        <v>31566.73</v>
      </c>
      <c r="H445" s="123">
        <f>ROUND('[7]2037'!H57,2)</f>
        <v>30488</v>
      </c>
      <c r="I445" s="123">
        <f>ROUND('[7]2037'!I57,2)</f>
        <v>30122.5</v>
      </c>
      <c r="J445" s="123">
        <f>ROUND('[7]2037'!J57,2)</f>
        <v>29663.14</v>
      </c>
      <c r="K445" s="123">
        <f>ROUND('[7]2037'!K57,2)</f>
        <v>28830.57</v>
      </c>
      <c r="L445" s="123">
        <f>ROUND('[7]2037'!L57,2)</f>
        <v>30729.59</v>
      </c>
      <c r="M445" s="123">
        <f>ROUND('[7]2037'!M57,2)</f>
        <v>33009.68</v>
      </c>
      <c r="N445" s="123">
        <f>ROUND('[7]2037'!N57,2)</f>
        <v>34789.67</v>
      </c>
      <c r="O445" s="123">
        <f>ROUND('[7]2037'!O57,2)</f>
        <v>36247.699999999997</v>
      </c>
      <c r="P445" s="123">
        <f>ROUND('[7]2037'!P57,2)</f>
        <v>37540.080000000002</v>
      </c>
      <c r="Q445" s="123">
        <f>ROUND('[7]2037'!Q57,2)</f>
        <v>37943.360000000001</v>
      </c>
      <c r="R445" s="123">
        <f>ROUND('[7]2037'!R57,2)</f>
        <v>38135.69</v>
      </c>
      <c r="S445" s="123">
        <f>ROUND('[7]2037'!S57,2)</f>
        <v>37587.65</v>
      </c>
      <c r="T445" s="123">
        <f>ROUND('[7]2037'!T57,2)</f>
        <v>37626.07</v>
      </c>
      <c r="U445" s="123">
        <f>ROUND('[7]2037'!U57,2)</f>
        <v>37717.379999999997</v>
      </c>
      <c r="V445" s="123">
        <f>ROUND('[7]2037'!V57,2)</f>
        <v>40091.89</v>
      </c>
      <c r="W445" s="123">
        <f>ROUND('[7]2037'!W57,2)</f>
        <v>44735.91</v>
      </c>
      <c r="X445" s="123">
        <f>ROUND('[7]2037'!X57,2)</f>
        <v>44901.75</v>
      </c>
      <c r="Y445" s="123">
        <f>ROUND('[7]2037'!Y57,2)</f>
        <v>43505.19</v>
      </c>
      <c r="Z445" s="123">
        <f>ROUND('[7]2037'!Z57,2)</f>
        <v>40895.440000000002</v>
      </c>
      <c r="AA445" s="123">
        <f>ROUND('[7]2037'!AA57,2)</f>
        <v>37593.480000000003</v>
      </c>
      <c r="AB445" s="123">
        <f>ROUND('[7]2037'!AB57,2)</f>
        <v>34483.760000000002</v>
      </c>
      <c r="AC445" s="282"/>
      <c r="AD445" s="19"/>
    </row>
    <row r="446" spans="2:30" ht="18.649999999999999" hidden="1" customHeight="1" thickBot="1" x14ac:dyDescent="0.4">
      <c r="B446" s="261"/>
      <c r="C446" s="16" t="s">
        <v>32</v>
      </c>
      <c r="D446" s="17">
        <f>+'[7]2037'!D58</f>
        <v>2</v>
      </c>
      <c r="E446" s="129">
        <f>ROUND('[7]2037'!E58,2)</f>
        <v>34821.300000000003</v>
      </c>
      <c r="F446" s="124">
        <f>ROUND('[7]2037'!F58,2)</f>
        <v>32971.18</v>
      </c>
      <c r="G446" s="124">
        <f>ROUND('[7]2037'!G58,2)</f>
        <v>31566.73</v>
      </c>
      <c r="H446" s="124">
        <f>ROUND('[7]2037'!H58,2)</f>
        <v>30488</v>
      </c>
      <c r="I446" s="124">
        <f>ROUND('[7]2037'!I58,2)</f>
        <v>30122.5</v>
      </c>
      <c r="J446" s="124">
        <f>ROUND('[7]2037'!J58,2)</f>
        <v>29663.14</v>
      </c>
      <c r="K446" s="124">
        <f>ROUND('[7]2037'!K58,2)</f>
        <v>28830.57</v>
      </c>
      <c r="L446" s="124">
        <f>ROUND('[7]2037'!L58,2)</f>
        <v>30729.59</v>
      </c>
      <c r="M446" s="124">
        <f>ROUND('[7]2037'!M58,2)</f>
        <v>33009.68</v>
      </c>
      <c r="N446" s="124">
        <f>ROUND('[7]2037'!N58,2)</f>
        <v>34789.67</v>
      </c>
      <c r="O446" s="124">
        <f>ROUND('[7]2037'!O58,2)</f>
        <v>36247.699999999997</v>
      </c>
      <c r="P446" s="124">
        <f>ROUND('[7]2037'!P58,2)</f>
        <v>37540.080000000002</v>
      </c>
      <c r="Q446" s="124">
        <f>ROUND('[7]2037'!Q58,2)</f>
        <v>37943.360000000001</v>
      </c>
      <c r="R446" s="124">
        <f>ROUND('[7]2037'!R58,2)</f>
        <v>38135.69</v>
      </c>
      <c r="S446" s="124">
        <f>ROUND('[7]2037'!S58,2)</f>
        <v>37587.65</v>
      </c>
      <c r="T446" s="124">
        <f>ROUND('[7]2037'!T58,2)</f>
        <v>37626.07</v>
      </c>
      <c r="U446" s="124">
        <f>ROUND('[7]2037'!U58,2)</f>
        <v>37717.379999999997</v>
      </c>
      <c r="V446" s="124">
        <f>ROUND('[7]2037'!V58,2)</f>
        <v>40091.89</v>
      </c>
      <c r="W446" s="124">
        <f>ROUND('[7]2037'!W58,2)</f>
        <v>44735.91</v>
      </c>
      <c r="X446" s="124">
        <f>ROUND('[7]2037'!X58,2)</f>
        <v>44901.75</v>
      </c>
      <c r="Y446" s="124">
        <f>ROUND('[7]2037'!Y58,2)</f>
        <v>43505.19</v>
      </c>
      <c r="Z446" s="124">
        <f>ROUND('[7]2037'!Z58,2)</f>
        <v>40895.440000000002</v>
      </c>
      <c r="AA446" s="124">
        <f>ROUND('[7]2037'!AA58,2)</f>
        <v>37593.480000000003</v>
      </c>
      <c r="AB446" s="124">
        <f>ROUND('[7]2037'!AB58,2)</f>
        <v>34483.760000000002</v>
      </c>
      <c r="AC446" s="282"/>
      <c r="AD446" s="19"/>
    </row>
    <row r="447" spans="2:30" ht="18.649999999999999" hidden="1" customHeight="1" x14ac:dyDescent="0.35">
      <c r="B447" s="263">
        <v>50375</v>
      </c>
      <c r="C447" s="7" t="s">
        <v>29</v>
      </c>
      <c r="D447" s="8">
        <f>+'[7]2037'!D59</f>
        <v>21</v>
      </c>
      <c r="E447" s="127">
        <f>ROUND('[7]2037'!E59,2)</f>
        <v>36471.82</v>
      </c>
      <c r="F447" s="125">
        <f>ROUND('[7]2037'!F59,2)</f>
        <v>34547.06</v>
      </c>
      <c r="G447" s="125">
        <f>ROUND('[7]2037'!G59,2)</f>
        <v>33092.17</v>
      </c>
      <c r="H447" s="125">
        <f>ROUND('[7]2037'!H59,2)</f>
        <v>32080.9</v>
      </c>
      <c r="I447" s="125">
        <f>ROUND('[7]2037'!I59,2)</f>
        <v>31858.7</v>
      </c>
      <c r="J447" s="125">
        <f>ROUND('[7]2037'!J59,2)</f>
        <v>32020.53</v>
      </c>
      <c r="K447" s="125">
        <f>ROUND('[7]2037'!K59,2)</f>
        <v>31649.37</v>
      </c>
      <c r="L447" s="125">
        <f>ROUND('[7]2037'!L59,2)</f>
        <v>35044.410000000003</v>
      </c>
      <c r="M447" s="125">
        <f>ROUND('[7]2037'!M59,2)</f>
        <v>38749.72</v>
      </c>
      <c r="N447" s="125">
        <f>ROUND('[7]2037'!N59,2)</f>
        <v>41094.06</v>
      </c>
      <c r="O447" s="125">
        <f>ROUND('[7]2037'!O59,2)</f>
        <v>42819.519999999997</v>
      </c>
      <c r="P447" s="125">
        <f>ROUND('[7]2037'!P59,2)</f>
        <v>43854.92</v>
      </c>
      <c r="Q447" s="125">
        <f>ROUND('[7]2037'!Q59,2)</f>
        <v>42906.05</v>
      </c>
      <c r="R447" s="125">
        <f>ROUND('[7]2037'!R59,2)</f>
        <v>42225.45</v>
      </c>
      <c r="S447" s="125">
        <f>ROUND('[7]2037'!S59,2)</f>
        <v>42328.09</v>
      </c>
      <c r="T447" s="125">
        <f>ROUND('[7]2037'!T59,2)</f>
        <v>42298.58</v>
      </c>
      <c r="U447" s="125">
        <f>ROUND('[7]2037'!U59,2)</f>
        <v>41774.21</v>
      </c>
      <c r="V447" s="125">
        <f>ROUND('[7]2037'!V59,2)</f>
        <v>42894.559999999998</v>
      </c>
      <c r="W447" s="125">
        <f>ROUND('[7]2037'!W59,2)</f>
        <v>47238.69</v>
      </c>
      <c r="X447" s="125">
        <f>ROUND('[7]2037'!X59,2)</f>
        <v>46209.34</v>
      </c>
      <c r="Y447" s="125">
        <f>ROUND('[7]2037'!Y59,2)</f>
        <v>44222.18</v>
      </c>
      <c r="Z447" s="125">
        <f>ROUND('[7]2037'!Z59,2)</f>
        <v>42045.65</v>
      </c>
      <c r="AA447" s="125">
        <f>ROUND('[7]2037'!AA59,2)</f>
        <v>39934.410000000003</v>
      </c>
      <c r="AB447" s="125">
        <f>ROUND('[7]2037'!AB59,2)+0.1</f>
        <v>37568.689999999995</v>
      </c>
      <c r="AC447" s="283">
        <f>SUM(E447:AB447)*D447+SUM(E448:AB448)*D448+SUM(E449:AB449)*D449+SUM(E450:AB450)*D450</f>
        <v>28890416.379999995</v>
      </c>
      <c r="AD447" s="19"/>
    </row>
    <row r="448" spans="2:30" ht="18.649999999999999" hidden="1" customHeight="1" x14ac:dyDescent="0.35">
      <c r="B448" s="264" t="s">
        <v>34</v>
      </c>
      <c r="C448" s="10" t="s">
        <v>30</v>
      </c>
      <c r="D448" s="11">
        <f>+'[7]2037'!D60</f>
        <v>4</v>
      </c>
      <c r="E448" s="128">
        <f>ROUND('[7]2037'!E60,2)</f>
        <v>35796.78</v>
      </c>
      <c r="F448" s="123">
        <f>ROUND('[7]2037'!F60,2)</f>
        <v>33989.53</v>
      </c>
      <c r="G448" s="123">
        <f>ROUND('[7]2037'!G60,2)</f>
        <v>32632.27</v>
      </c>
      <c r="H448" s="123">
        <f>ROUND('[7]2037'!H60,2)</f>
        <v>31689.77</v>
      </c>
      <c r="I448" s="123">
        <f>ROUND('[7]2037'!I60,2)</f>
        <v>31586.37</v>
      </c>
      <c r="J448" s="123">
        <f>ROUND('[7]2037'!J60,2)</f>
        <v>32095.72</v>
      </c>
      <c r="K448" s="123">
        <f>ROUND('[7]2037'!K60,2)</f>
        <v>32232.16</v>
      </c>
      <c r="L448" s="123">
        <f>ROUND('[7]2037'!L60,2)</f>
        <v>35768.269999999997</v>
      </c>
      <c r="M448" s="123">
        <f>ROUND('[7]2037'!M60,2)</f>
        <v>39434.5</v>
      </c>
      <c r="N448" s="123">
        <f>ROUND('[7]2037'!N60,2)</f>
        <v>41553.379999999997</v>
      </c>
      <c r="O448" s="123">
        <f>ROUND('[7]2037'!O60,2)</f>
        <v>43624.07</v>
      </c>
      <c r="P448" s="123">
        <f>ROUND('[7]2037'!P60,2)</f>
        <v>45079.16</v>
      </c>
      <c r="Q448" s="123">
        <f>ROUND('[7]2037'!Q60,2)</f>
        <v>43944.42</v>
      </c>
      <c r="R448" s="123">
        <f>ROUND('[7]2037'!R60,2)</f>
        <v>44816.73</v>
      </c>
      <c r="S448" s="123">
        <f>ROUND('[7]2037'!S60,2)</f>
        <v>46293.1</v>
      </c>
      <c r="T448" s="123">
        <f>ROUND('[7]2037'!T60,2)</f>
        <v>46396.51</v>
      </c>
      <c r="U448" s="123">
        <f>ROUND('[7]2037'!U60,2)</f>
        <v>45598.67</v>
      </c>
      <c r="V448" s="123">
        <f>ROUND('[7]2037'!V60,2)</f>
        <v>44778.09</v>
      </c>
      <c r="W448" s="123">
        <f>ROUND('[7]2037'!W60,2)</f>
        <v>47885.07</v>
      </c>
      <c r="X448" s="123">
        <f>ROUND('[7]2037'!X60,2)</f>
        <v>48173.09</v>
      </c>
      <c r="Y448" s="123">
        <f>ROUND('[7]2037'!Y60,2)</f>
        <v>46960.37</v>
      </c>
      <c r="Z448" s="123">
        <f>ROUND('[7]2037'!Z60,2)</f>
        <v>44924.67</v>
      </c>
      <c r="AA448" s="123">
        <f>ROUND('[7]2037'!AA60,2)</f>
        <v>41805.57</v>
      </c>
      <c r="AB448" s="123">
        <f>ROUND('[7]2037'!AB60,2)</f>
        <v>38469.89</v>
      </c>
      <c r="AC448" s="282"/>
      <c r="AD448" s="19"/>
    </row>
    <row r="449" spans="2:50" ht="18.649999999999999" hidden="1" customHeight="1" x14ac:dyDescent="0.35">
      <c r="B449" s="264" t="s">
        <v>34</v>
      </c>
      <c r="C449" s="10" t="s">
        <v>31</v>
      </c>
      <c r="D449" s="11">
        <f>+'[7]2037'!D61</f>
        <v>4</v>
      </c>
      <c r="E449" s="128">
        <f>ROUND('[7]2037'!E61,2)</f>
        <v>35582.410000000003</v>
      </c>
      <c r="F449" s="123">
        <f>ROUND('[7]2037'!F61,2)</f>
        <v>34478.879999999997</v>
      </c>
      <c r="G449" s="123">
        <f>ROUND('[7]2037'!G61,2)</f>
        <v>33435.21</v>
      </c>
      <c r="H449" s="123">
        <f>ROUND('[7]2037'!H61,2)</f>
        <v>32434.76</v>
      </c>
      <c r="I449" s="123">
        <f>ROUND('[7]2037'!I61,2)</f>
        <v>31858.080000000002</v>
      </c>
      <c r="J449" s="123">
        <f>ROUND('[7]2037'!J61,2)</f>
        <v>31023.97</v>
      </c>
      <c r="K449" s="123">
        <f>ROUND('[7]2037'!K61,2)</f>
        <v>29096.97</v>
      </c>
      <c r="L449" s="123">
        <f>ROUND('[7]2037'!L61,2)</f>
        <v>30063.64</v>
      </c>
      <c r="M449" s="123">
        <f>ROUND('[7]2037'!M61,2)</f>
        <v>31635.27</v>
      </c>
      <c r="N449" s="123">
        <f>ROUND('[7]2037'!N61,2)</f>
        <v>33110.82</v>
      </c>
      <c r="O449" s="123">
        <f>ROUND('[7]2037'!O61,2)</f>
        <v>34486.42</v>
      </c>
      <c r="P449" s="123">
        <f>ROUND('[7]2037'!P61,2)</f>
        <v>35655.61</v>
      </c>
      <c r="Q449" s="123">
        <f>ROUND('[7]2037'!Q61,2)</f>
        <v>36294.67</v>
      </c>
      <c r="R449" s="123">
        <f>ROUND('[7]2037'!R61,2)</f>
        <v>36322.92</v>
      </c>
      <c r="S449" s="123">
        <f>ROUND('[7]2037'!S61,2)</f>
        <v>36158.559999999998</v>
      </c>
      <c r="T449" s="123">
        <f>ROUND('[7]2037'!T61,2)</f>
        <v>36358.46</v>
      </c>
      <c r="U449" s="123">
        <f>ROUND('[7]2037'!U61,2)</f>
        <v>36341.5</v>
      </c>
      <c r="V449" s="123">
        <f>ROUND('[7]2037'!V61,2)</f>
        <v>37516.19</v>
      </c>
      <c r="W449" s="123">
        <f>ROUND('[7]2037'!W61,2)</f>
        <v>42741.75</v>
      </c>
      <c r="X449" s="123">
        <f>ROUND('[7]2037'!X61,2)</f>
        <v>43136.99</v>
      </c>
      <c r="Y449" s="123">
        <f>ROUND('[7]2037'!Y61,2)</f>
        <v>42590.55</v>
      </c>
      <c r="Z449" s="123">
        <f>ROUND('[7]2037'!Z61,2)</f>
        <v>41295.58</v>
      </c>
      <c r="AA449" s="123">
        <f>ROUND('[7]2037'!AA61,2)</f>
        <v>39161.279999999999</v>
      </c>
      <c r="AB449" s="123">
        <f>ROUND('[7]2037'!AB61,2)</f>
        <v>36685.019999999997</v>
      </c>
      <c r="AC449" s="282"/>
      <c r="AD449" s="19"/>
    </row>
    <row r="450" spans="2:50" ht="18.649999999999999" hidden="1" customHeight="1" thickBot="1" x14ac:dyDescent="0.4">
      <c r="B450" s="265" t="s">
        <v>34</v>
      </c>
      <c r="C450" s="12" t="s">
        <v>32</v>
      </c>
      <c r="D450" s="13">
        <f>+'[7]2037'!D62</f>
        <v>2</v>
      </c>
      <c r="E450" s="130">
        <f>ROUND('[7]2037'!E62,2)</f>
        <v>35582.410000000003</v>
      </c>
      <c r="F450" s="126">
        <f>ROUND('[7]2037'!F62,2)</f>
        <v>34478.879999999997</v>
      </c>
      <c r="G450" s="126">
        <f>ROUND('[7]2037'!G62,2)</f>
        <v>33435.21</v>
      </c>
      <c r="H450" s="126">
        <f>ROUND('[7]2037'!H62,2)</f>
        <v>32434.76</v>
      </c>
      <c r="I450" s="126">
        <f>ROUND('[7]2037'!I62,2)</f>
        <v>31858.080000000002</v>
      </c>
      <c r="J450" s="126">
        <f>ROUND('[7]2037'!J62,2)</f>
        <v>31023.97</v>
      </c>
      <c r="K450" s="126">
        <f>ROUND('[7]2037'!K62,2)</f>
        <v>29096.97</v>
      </c>
      <c r="L450" s="126">
        <f>ROUND('[7]2037'!L62,2)</f>
        <v>30063.64</v>
      </c>
      <c r="M450" s="126">
        <f>ROUND('[7]2037'!M62,2)</f>
        <v>31635.27</v>
      </c>
      <c r="N450" s="126">
        <f>ROUND('[7]2037'!N62,2)</f>
        <v>33110.82</v>
      </c>
      <c r="O450" s="126">
        <f>ROUND('[7]2037'!O62,2)</f>
        <v>34486.42</v>
      </c>
      <c r="P450" s="126">
        <f>ROUND('[7]2037'!P62,2)</f>
        <v>35655.61</v>
      </c>
      <c r="Q450" s="126">
        <f>ROUND('[7]2037'!Q62,2)</f>
        <v>36294.67</v>
      </c>
      <c r="R450" s="126">
        <f>ROUND('[7]2037'!R62,2)</f>
        <v>36322.92</v>
      </c>
      <c r="S450" s="126">
        <f>ROUND('[7]2037'!S62,2)</f>
        <v>36158.559999999998</v>
      </c>
      <c r="T450" s="126">
        <f>ROUND('[7]2037'!T62,2)</f>
        <v>36358.46</v>
      </c>
      <c r="U450" s="126">
        <f>ROUND('[7]2037'!U62,2)</f>
        <v>36341.5</v>
      </c>
      <c r="V450" s="126">
        <f>ROUND('[7]2037'!V62,2)</f>
        <v>37516.19</v>
      </c>
      <c r="W450" s="126">
        <f>ROUND('[7]2037'!W62,2)</f>
        <v>42741.75</v>
      </c>
      <c r="X450" s="126">
        <f>ROUND('[7]2037'!X62,2)</f>
        <v>43136.99</v>
      </c>
      <c r="Y450" s="126">
        <f>ROUND('[7]2037'!Y62,2)</f>
        <v>42590.55</v>
      </c>
      <c r="Z450" s="126">
        <f>ROUND('[7]2037'!Z62,2)</f>
        <v>41295.58</v>
      </c>
      <c r="AA450" s="126">
        <f>ROUND('[7]2037'!AA62,2)</f>
        <v>39161.279999999999</v>
      </c>
      <c r="AB450" s="126">
        <f>ROUND('[7]2037'!AB62,2)</f>
        <v>36685.019999999997</v>
      </c>
      <c r="AC450" s="284"/>
      <c r="AD450" s="19"/>
    </row>
    <row r="451" spans="2:50" ht="18.5" hidden="1" customHeight="1" thickBot="1" x14ac:dyDescent="0.4">
      <c r="Z451" s="268" t="s">
        <v>33</v>
      </c>
      <c r="AA451" s="269"/>
      <c r="AB451" s="270"/>
      <c r="AC451" s="198">
        <f>SUM(AC403:AC450)</f>
        <v>347827675.94999999</v>
      </c>
      <c r="AD451" s="18"/>
      <c r="AE451" s="19"/>
    </row>
    <row r="452" spans="2:50" s="188" customFormat="1" ht="18.649999999999999" hidden="1" customHeight="1" x14ac:dyDescent="0.35">
      <c r="B452" s="260">
        <v>50406</v>
      </c>
      <c r="C452" s="7" t="s">
        <v>29</v>
      </c>
      <c r="D452" s="54">
        <f>+'[7]2038'!D15</f>
        <v>19</v>
      </c>
      <c r="E452" s="134">
        <f>ROUND('[7]2038'!E15,2)</f>
        <v>36757.39</v>
      </c>
      <c r="F452" s="134">
        <f>ROUND('[7]2038'!F15,2)</f>
        <v>34765.230000000003</v>
      </c>
      <c r="G452" s="134">
        <f>ROUND('[7]2038'!G15,2)</f>
        <v>33325.26</v>
      </c>
      <c r="H452" s="134">
        <f>ROUND('[7]2038'!H15,2)</f>
        <v>32318.48</v>
      </c>
      <c r="I452" s="134">
        <f>ROUND('[7]2038'!I15,2)</f>
        <v>32079.84</v>
      </c>
      <c r="J452" s="134">
        <f>ROUND('[7]2038'!J15,2)</f>
        <v>32862.959999999999</v>
      </c>
      <c r="K452" s="134">
        <f>ROUND('[7]2038'!K15,2)</f>
        <v>32618.26</v>
      </c>
      <c r="L452" s="134">
        <f>ROUND('[7]2038'!L15,2)</f>
        <v>36475.35</v>
      </c>
      <c r="M452" s="134">
        <f>ROUND('[7]2038'!M15,2)</f>
        <v>40625.75</v>
      </c>
      <c r="N452" s="134">
        <f>ROUND('[7]2038'!N15,2)</f>
        <v>43029.22</v>
      </c>
      <c r="O452" s="134">
        <f>ROUND('[7]2038'!O15,2)</f>
        <v>45508.67</v>
      </c>
      <c r="P452" s="134">
        <f>ROUND('[7]2038'!P15,2)</f>
        <v>47271.96</v>
      </c>
      <c r="Q452" s="134">
        <f>ROUND('[7]2038'!Q15,2)</f>
        <v>45958.44</v>
      </c>
      <c r="R452" s="134">
        <f>ROUND('[7]2038'!R15,2)</f>
        <v>47247.78</v>
      </c>
      <c r="S452" s="134">
        <f>ROUND('[7]2038'!S15,2)</f>
        <v>49398.080000000002</v>
      </c>
      <c r="T452" s="134">
        <f>ROUND('[7]2038'!T15,2)</f>
        <v>49602.03</v>
      </c>
      <c r="U452" s="134">
        <f>ROUND('[7]2038'!U15,2)</f>
        <v>48575.28</v>
      </c>
      <c r="V452" s="134">
        <f>ROUND('[7]2038'!V15,2)</f>
        <v>46623.27</v>
      </c>
      <c r="W452" s="134">
        <f>ROUND('[7]2038'!W15,2)</f>
        <v>49390.92</v>
      </c>
      <c r="X452" s="134">
        <f>ROUND('[7]2038'!X15,2)</f>
        <v>49542.37</v>
      </c>
      <c r="Y452" s="134">
        <f>ROUND('[7]2038'!Y15,2)</f>
        <v>48371.5</v>
      </c>
      <c r="Z452" s="134">
        <f>ROUND('[7]2038'!Z15,2)</f>
        <v>46502.85</v>
      </c>
      <c r="AA452" s="134">
        <f>ROUND('[7]2038'!AA15,2)</f>
        <v>43421.71</v>
      </c>
      <c r="AB452" s="134">
        <f>ROUND('[7]2038'!AB15,2)</f>
        <v>39962.18</v>
      </c>
      <c r="AC452" s="283">
        <f>SUM(E452:AB452)*D452+SUM(E453:AB453)*D453+SUM(E454:AB454)*D454+SUM(E455:AB455)*D455</f>
        <v>30438027.570000004</v>
      </c>
      <c r="AD452" s="187"/>
      <c r="AE452" s="187"/>
      <c r="AF452" s="187"/>
      <c r="AG452" s="187"/>
      <c r="AH452" s="187"/>
      <c r="AI452" s="187"/>
      <c r="AJ452" s="187"/>
      <c r="AK452" s="187"/>
      <c r="AL452" s="187"/>
      <c r="AM452" s="187"/>
      <c r="AN452" s="187"/>
      <c r="AO452" s="187"/>
      <c r="AP452" s="187"/>
      <c r="AQ452" s="187"/>
      <c r="AR452" s="187"/>
      <c r="AS452" s="187"/>
      <c r="AT452" s="187"/>
      <c r="AU452" s="187"/>
      <c r="AV452" s="187"/>
      <c r="AW452" s="187"/>
      <c r="AX452" s="187"/>
    </row>
    <row r="453" spans="2:50" s="188" customFormat="1" ht="18.649999999999999" hidden="1" customHeight="1" x14ac:dyDescent="0.35">
      <c r="B453" s="261"/>
      <c r="C453" s="10" t="s">
        <v>30</v>
      </c>
      <c r="D453" s="11">
        <f>+'[7]2038'!D16</f>
        <v>5</v>
      </c>
      <c r="E453" s="135">
        <f>ROUND('[7]2038'!E16,2)</f>
        <v>37034.379999999997</v>
      </c>
      <c r="F453" s="135">
        <f>ROUND('[7]2038'!F16,2)</f>
        <v>35068</v>
      </c>
      <c r="G453" s="135">
        <f>ROUND('[7]2038'!G16,2)</f>
        <v>33611.17</v>
      </c>
      <c r="H453" s="135">
        <f>ROUND('[7]2038'!H16,2)</f>
        <v>32461.759999999998</v>
      </c>
      <c r="I453" s="135">
        <f>ROUND('[7]2038'!I16,2)</f>
        <v>32160.400000000001</v>
      </c>
      <c r="J453" s="135">
        <f>ROUND('[7]2038'!J16,2)</f>
        <v>32301.439999999999</v>
      </c>
      <c r="K453" s="135">
        <f>ROUND('[7]2038'!K16,2)</f>
        <v>31466.73</v>
      </c>
      <c r="L453" s="135">
        <f>ROUND('[7]2038'!L16,2)</f>
        <v>34461.83</v>
      </c>
      <c r="M453" s="135">
        <f>ROUND('[7]2038'!M16,2)</f>
        <v>38417.58</v>
      </c>
      <c r="N453" s="135">
        <f>ROUND('[7]2038'!N16,2)</f>
        <v>41035.440000000002</v>
      </c>
      <c r="O453" s="135">
        <f>ROUND('[7]2038'!O16,2)</f>
        <v>43190.86</v>
      </c>
      <c r="P453" s="135">
        <f>ROUND('[7]2038'!P16,2)</f>
        <v>44541.91</v>
      </c>
      <c r="Q453" s="135">
        <f>ROUND('[7]2038'!Q16,2)</f>
        <v>43910.58</v>
      </c>
      <c r="R453" s="135">
        <f>ROUND('[7]2038'!R16,2)</f>
        <v>43467.92</v>
      </c>
      <c r="S453" s="135">
        <f>ROUND('[7]2038'!S16,2)</f>
        <v>43715.519999999997</v>
      </c>
      <c r="T453" s="135">
        <f>ROUND('[7]2038'!T16,2)</f>
        <v>43701.599999999999</v>
      </c>
      <c r="U453" s="135">
        <f>ROUND('[7]2038'!U16,2)</f>
        <v>43056.7</v>
      </c>
      <c r="V453" s="135">
        <f>ROUND('[7]2038'!V16,2)</f>
        <v>42727.41</v>
      </c>
      <c r="W453" s="135">
        <f>ROUND('[7]2038'!W16,2)</f>
        <v>47118.9</v>
      </c>
      <c r="X453" s="135">
        <f>ROUND('[7]2038'!X16,2)</f>
        <v>47590.67</v>
      </c>
      <c r="Y453" s="135">
        <f>ROUND('[7]2038'!Y16,2)</f>
        <v>46275.28</v>
      </c>
      <c r="Z453" s="135">
        <f>ROUND('[7]2038'!Z16,2)</f>
        <v>44637.15</v>
      </c>
      <c r="AA453" s="135">
        <f>ROUND('[7]2038'!AA16,2)</f>
        <v>42412.3</v>
      </c>
      <c r="AB453" s="135">
        <f>ROUND('[7]2038'!AB16,2)</f>
        <v>39814.26</v>
      </c>
      <c r="AC453" s="282"/>
      <c r="AD453" s="187"/>
      <c r="AE453" s="187"/>
      <c r="AF453" s="187"/>
      <c r="AG453" s="187"/>
      <c r="AH453" s="187"/>
      <c r="AI453" s="187"/>
      <c r="AJ453" s="187"/>
      <c r="AK453" s="187"/>
      <c r="AL453" s="187"/>
      <c r="AM453" s="187"/>
      <c r="AN453" s="187"/>
      <c r="AO453" s="187"/>
      <c r="AP453" s="187"/>
      <c r="AQ453" s="187"/>
      <c r="AR453" s="187"/>
      <c r="AS453" s="187"/>
      <c r="AT453" s="187"/>
      <c r="AU453" s="187"/>
      <c r="AV453" s="187"/>
      <c r="AW453" s="187"/>
      <c r="AX453" s="187"/>
    </row>
    <row r="454" spans="2:50" s="188" customFormat="1" ht="18.649999999999999" hidden="1" customHeight="1" x14ac:dyDescent="0.35">
      <c r="B454" s="261"/>
      <c r="C454" s="10" t="s">
        <v>31</v>
      </c>
      <c r="D454" s="11">
        <f>+'[7]2038'!D17</f>
        <v>5</v>
      </c>
      <c r="E454" s="135">
        <f>ROUND('[7]2038'!E17,2)</f>
        <v>37447.08</v>
      </c>
      <c r="F454" s="135">
        <f>ROUND('[7]2038'!F17,2)</f>
        <v>35550.83</v>
      </c>
      <c r="G454" s="135">
        <f>ROUND('[7]2038'!G17,2)</f>
        <v>34013.019999999997</v>
      </c>
      <c r="H454" s="135">
        <f>ROUND('[7]2038'!H17,2)</f>
        <v>32783.919999999998</v>
      </c>
      <c r="I454" s="135">
        <f>ROUND('[7]2038'!I17,2)</f>
        <v>32159.14</v>
      </c>
      <c r="J454" s="135">
        <f>ROUND('[7]2038'!J17,2)</f>
        <v>31851.01</v>
      </c>
      <c r="K454" s="135">
        <f>ROUND('[7]2038'!K17,2)</f>
        <v>30208.54</v>
      </c>
      <c r="L454" s="135">
        <f>ROUND('[7]2038'!L17,2)</f>
        <v>31558.59</v>
      </c>
      <c r="M454" s="135">
        <f>ROUND('[7]2038'!M17,2)</f>
        <v>33813.64</v>
      </c>
      <c r="N454" s="135">
        <f>ROUND('[7]2038'!N17,2)</f>
        <v>36111.61</v>
      </c>
      <c r="O454" s="135">
        <f>ROUND('[7]2038'!O17,2)</f>
        <v>37524.879999999997</v>
      </c>
      <c r="P454" s="135">
        <f>ROUND('[7]2038'!P17,2)</f>
        <v>38783.35</v>
      </c>
      <c r="Q454" s="135">
        <f>ROUND('[7]2038'!Q17,2)</f>
        <v>39532.639999999999</v>
      </c>
      <c r="R454" s="135">
        <f>ROUND('[7]2038'!R17,2)</f>
        <v>39701.56</v>
      </c>
      <c r="S454" s="135">
        <f>ROUND('[7]2038'!S17,2)</f>
        <v>39811.64</v>
      </c>
      <c r="T454" s="135">
        <f>ROUND('[7]2038'!T17,2)</f>
        <v>39877.82</v>
      </c>
      <c r="U454" s="135">
        <f>ROUND('[7]2038'!U17,2)</f>
        <v>39644.339999999997</v>
      </c>
      <c r="V454" s="135">
        <f>ROUND('[7]2038'!V17,2)</f>
        <v>39684.81</v>
      </c>
      <c r="W454" s="135">
        <f>ROUND('[7]2038'!W17,2)</f>
        <v>44491.19</v>
      </c>
      <c r="X454" s="135">
        <f>ROUND('[7]2038'!X17,2)</f>
        <v>45944.17</v>
      </c>
      <c r="Y454" s="135">
        <f>ROUND('[7]2038'!Y17,2)</f>
        <v>45777.39</v>
      </c>
      <c r="Z454" s="135">
        <f>ROUND('[7]2038'!Z17,2)</f>
        <v>44512.51</v>
      </c>
      <c r="AA454" s="135">
        <f>ROUND('[7]2038'!AA17,2)</f>
        <v>42119.61</v>
      </c>
      <c r="AB454" s="135">
        <f>ROUND('[7]2038'!AB17,2)</f>
        <v>39192.11</v>
      </c>
      <c r="AC454" s="282"/>
      <c r="AD454" s="187"/>
      <c r="AE454" s="187"/>
      <c r="AF454" s="187"/>
      <c r="AG454" s="187"/>
      <c r="AH454" s="187"/>
      <c r="AI454" s="187"/>
      <c r="AJ454" s="187"/>
      <c r="AK454" s="187"/>
      <c r="AL454" s="187"/>
      <c r="AM454" s="187"/>
      <c r="AN454" s="187"/>
      <c r="AO454" s="187"/>
      <c r="AP454" s="187"/>
      <c r="AQ454" s="187"/>
      <c r="AR454" s="187"/>
      <c r="AS454" s="187"/>
      <c r="AT454" s="187"/>
      <c r="AU454" s="187"/>
      <c r="AV454" s="187"/>
      <c r="AW454" s="187"/>
      <c r="AX454" s="187"/>
    </row>
    <row r="455" spans="2:50" s="188" customFormat="1" ht="18.649999999999999" hidden="1" customHeight="1" thickBot="1" x14ac:dyDescent="0.4">
      <c r="B455" s="261"/>
      <c r="C455" s="16" t="s">
        <v>32</v>
      </c>
      <c r="D455" s="17">
        <f>+'[7]2038'!D18</f>
        <v>2</v>
      </c>
      <c r="E455" s="136">
        <f>ROUND('[7]2038'!E18,2)</f>
        <v>37447.08</v>
      </c>
      <c r="F455" s="136">
        <f>ROUND('[7]2038'!F18,2)</f>
        <v>35550.83</v>
      </c>
      <c r="G455" s="136">
        <f>ROUND('[7]2038'!G18,2)</f>
        <v>34013.019999999997</v>
      </c>
      <c r="H455" s="136">
        <f>ROUND('[7]2038'!H18,2)</f>
        <v>32783.919999999998</v>
      </c>
      <c r="I455" s="136">
        <f>ROUND('[7]2038'!I18,2)</f>
        <v>32159.14</v>
      </c>
      <c r="J455" s="136">
        <f>ROUND('[7]2038'!J18,2)</f>
        <v>31851.01</v>
      </c>
      <c r="K455" s="136">
        <f>ROUND('[7]2038'!K18,2)</f>
        <v>30208.54</v>
      </c>
      <c r="L455" s="136">
        <f>ROUND('[7]2038'!L18,2)</f>
        <v>31558.59</v>
      </c>
      <c r="M455" s="136">
        <f>ROUND('[7]2038'!M18,2)</f>
        <v>33813.64</v>
      </c>
      <c r="N455" s="136">
        <f>ROUND('[7]2038'!N18,2)</f>
        <v>36111.61</v>
      </c>
      <c r="O455" s="136">
        <f>ROUND('[7]2038'!O18,2)</f>
        <v>37524.879999999997</v>
      </c>
      <c r="P455" s="136">
        <f>ROUND('[7]2038'!P18,2)</f>
        <v>38783.35</v>
      </c>
      <c r="Q455" s="136">
        <f>ROUND('[7]2038'!Q18,2)</f>
        <v>39532.639999999999</v>
      </c>
      <c r="R455" s="136">
        <f>ROUND('[7]2038'!R18,2)</f>
        <v>39701.56</v>
      </c>
      <c r="S455" s="136">
        <f>ROUND('[7]2038'!S18,2)</f>
        <v>39811.64</v>
      </c>
      <c r="T455" s="136">
        <f>ROUND('[7]2038'!T18,2)</f>
        <v>39877.82</v>
      </c>
      <c r="U455" s="136">
        <f>ROUND('[7]2038'!U18,2)</f>
        <v>39644.339999999997</v>
      </c>
      <c r="V455" s="136">
        <f>ROUND('[7]2038'!V18,2)</f>
        <v>39684.81</v>
      </c>
      <c r="W455" s="136">
        <f>ROUND('[7]2038'!W18,2)</f>
        <v>44491.19</v>
      </c>
      <c r="X455" s="136">
        <f>ROUND('[7]2038'!X18,2)</f>
        <v>45944.17</v>
      </c>
      <c r="Y455" s="136">
        <f>ROUND('[7]2038'!Y18,2)</f>
        <v>45777.39</v>
      </c>
      <c r="Z455" s="136">
        <f>ROUND('[7]2038'!Z18,2)</f>
        <v>44512.51</v>
      </c>
      <c r="AA455" s="136">
        <f>ROUND('[7]2038'!AA18,2)</f>
        <v>42119.61</v>
      </c>
      <c r="AB455" s="136">
        <f>ROUND('[7]2038'!AB18,2)</f>
        <v>39192.11</v>
      </c>
      <c r="AC455" s="282"/>
      <c r="AD455" s="187"/>
      <c r="AE455" s="187"/>
      <c r="AF455" s="187"/>
      <c r="AG455" s="187"/>
      <c r="AH455" s="187"/>
      <c r="AI455" s="187"/>
      <c r="AJ455" s="187"/>
      <c r="AK455" s="187"/>
      <c r="AL455" s="187"/>
      <c r="AM455" s="187"/>
      <c r="AN455" s="187"/>
      <c r="AO455" s="187"/>
      <c r="AP455" s="187"/>
      <c r="AQ455" s="187"/>
      <c r="AR455" s="187"/>
      <c r="AS455" s="187"/>
      <c r="AT455" s="187"/>
      <c r="AU455" s="187"/>
      <c r="AV455" s="187"/>
      <c r="AW455" s="187"/>
      <c r="AX455" s="187"/>
    </row>
    <row r="456" spans="2:50" s="188" customFormat="1" ht="18.649999999999999" hidden="1" customHeight="1" x14ac:dyDescent="0.35">
      <c r="B456" s="263">
        <v>50437</v>
      </c>
      <c r="C456" s="7" t="s">
        <v>29</v>
      </c>
      <c r="D456" s="8">
        <f>+'[7]2038'!D19</f>
        <v>20</v>
      </c>
      <c r="E456" s="134">
        <f>ROUND('[7]2038'!E19,2)</f>
        <v>38006.81</v>
      </c>
      <c r="F456" s="134">
        <f>ROUND('[7]2038'!F19,2)</f>
        <v>36001.230000000003</v>
      </c>
      <c r="G456" s="134">
        <f>ROUND('[7]2038'!G19,2)</f>
        <v>34568.660000000003</v>
      </c>
      <c r="H456" s="134">
        <f>ROUND('[7]2038'!H19,2)</f>
        <v>33630.9</v>
      </c>
      <c r="I456" s="134">
        <f>ROUND('[7]2038'!I19,2)</f>
        <v>33699.760000000002</v>
      </c>
      <c r="J456" s="134">
        <f>ROUND('[7]2038'!J19,2)</f>
        <v>35571.54</v>
      </c>
      <c r="K456" s="134">
        <f>ROUND('[7]2038'!K19,2)</f>
        <v>35476.5</v>
      </c>
      <c r="L456" s="134">
        <f>ROUND('[7]2038'!L19,2)</f>
        <v>39138.949999999997</v>
      </c>
      <c r="M456" s="134">
        <f>ROUND('[7]2038'!M19,2)</f>
        <v>42831.98</v>
      </c>
      <c r="N456" s="134">
        <f>ROUND('[7]2038'!N19,2)</f>
        <v>44645.48</v>
      </c>
      <c r="O456" s="134">
        <f>ROUND('[7]2038'!O19,2)</f>
        <v>46812.07</v>
      </c>
      <c r="P456" s="134">
        <f>ROUND('[7]2038'!P19,2)</f>
        <v>48265.66</v>
      </c>
      <c r="Q456" s="134">
        <f>ROUND('[7]2038'!Q19,2)</f>
        <v>46449.14</v>
      </c>
      <c r="R456" s="134">
        <f>ROUND('[7]2038'!R19,2)</f>
        <v>48105.72</v>
      </c>
      <c r="S456" s="134">
        <f>ROUND('[7]2038'!S19,2)</f>
        <v>50540.45</v>
      </c>
      <c r="T456" s="134">
        <f>ROUND('[7]2038'!T19,2)</f>
        <v>50853.36</v>
      </c>
      <c r="U456" s="134">
        <f>ROUND('[7]2038'!U19,2)</f>
        <v>49962.73</v>
      </c>
      <c r="V456" s="134">
        <f>ROUND('[7]2038'!V19,2)</f>
        <v>47834.97</v>
      </c>
      <c r="W456" s="134">
        <f>ROUND('[7]2038'!W19,2)</f>
        <v>50377.51</v>
      </c>
      <c r="X456" s="134">
        <f>ROUND('[7]2038'!X19,2)</f>
        <v>51192.87</v>
      </c>
      <c r="Y456" s="134">
        <f>ROUND('[7]2038'!Y19,2)</f>
        <v>50179.23</v>
      </c>
      <c r="Z456" s="134">
        <f>ROUND('[7]2038'!Z19,2)</f>
        <v>47994.04</v>
      </c>
      <c r="AA456" s="134">
        <f>ROUND('[7]2038'!AA19,2)</f>
        <v>44432.45</v>
      </c>
      <c r="AB456" s="134">
        <f>ROUND('[7]2038'!AB19,2)</f>
        <v>40850.910000000003</v>
      </c>
      <c r="AC456" s="283">
        <f>SUM(E456:AB456)*D456+SUM(E457:AB457)*D457+SUM(E458:AB458)*D458+SUM(E459:AB459)*D459</f>
        <v>28783620.839999996</v>
      </c>
      <c r="AD456" s="187"/>
    </row>
    <row r="457" spans="2:50" s="188" customFormat="1" ht="18.649999999999999" hidden="1" customHeight="1" x14ac:dyDescent="0.35">
      <c r="B457" s="264" t="s">
        <v>34</v>
      </c>
      <c r="C457" s="10" t="s">
        <v>30</v>
      </c>
      <c r="D457" s="11">
        <f>+'[7]2038'!D20</f>
        <v>4</v>
      </c>
      <c r="E457" s="135">
        <f>ROUND('[7]2038'!E20,2)</f>
        <v>38128.019999999997</v>
      </c>
      <c r="F457" s="135">
        <f>ROUND('[7]2038'!F20,2)</f>
        <v>36271.5</v>
      </c>
      <c r="G457" s="135">
        <f>ROUND('[7]2038'!G20,2)</f>
        <v>34657.93</v>
      </c>
      <c r="H457" s="135">
        <f>ROUND('[7]2038'!H20,2)</f>
        <v>33563.410000000003</v>
      </c>
      <c r="I457" s="135">
        <f>ROUND('[7]2038'!I20,2)</f>
        <v>33145.51</v>
      </c>
      <c r="J457" s="135">
        <f>ROUND('[7]2038'!J20,2)</f>
        <v>33477.18</v>
      </c>
      <c r="K457" s="135">
        <f>ROUND('[7]2038'!K20,2)</f>
        <v>33139.68</v>
      </c>
      <c r="L457" s="135">
        <f>ROUND('[7]2038'!L20,2)</f>
        <v>36433.08</v>
      </c>
      <c r="M457" s="135">
        <f>ROUND('[7]2038'!M20,2)</f>
        <v>40392.870000000003</v>
      </c>
      <c r="N457" s="135">
        <f>ROUND('[7]2038'!N20,2)</f>
        <v>42879.95</v>
      </c>
      <c r="O457" s="135">
        <f>ROUND('[7]2038'!O20,2)</f>
        <v>44913.46</v>
      </c>
      <c r="P457" s="135">
        <f>ROUND('[7]2038'!P20,2)</f>
        <v>46260.35</v>
      </c>
      <c r="Q457" s="135">
        <f>ROUND('[7]2038'!Q20,2)</f>
        <v>45453.42</v>
      </c>
      <c r="R457" s="135">
        <f>ROUND('[7]2038'!R20,2)</f>
        <v>44923.12</v>
      </c>
      <c r="S457" s="135">
        <f>ROUND('[7]2038'!S20,2)</f>
        <v>45159</v>
      </c>
      <c r="T457" s="135">
        <f>ROUND('[7]2038'!T20,2)</f>
        <v>45153.33</v>
      </c>
      <c r="U457" s="135">
        <f>ROUND('[7]2038'!U20,2)</f>
        <v>44467.82</v>
      </c>
      <c r="V457" s="135">
        <f>ROUND('[7]2038'!V20,2)</f>
        <v>44158.080000000002</v>
      </c>
      <c r="W457" s="135">
        <f>ROUND('[7]2038'!W20,2)</f>
        <v>48368.68</v>
      </c>
      <c r="X457" s="135">
        <f>ROUND('[7]2038'!X20,2)</f>
        <v>49351.65</v>
      </c>
      <c r="Y457" s="135">
        <f>ROUND('[7]2038'!Y20,2)</f>
        <v>48069.27</v>
      </c>
      <c r="Z457" s="135">
        <f>ROUND('[7]2038'!Z20,2)</f>
        <v>46337.31</v>
      </c>
      <c r="AA457" s="135">
        <f>ROUND('[7]2038'!AA20,2)</f>
        <v>43983.360000000001</v>
      </c>
      <c r="AB457" s="135">
        <f>ROUND('[7]2038'!AB20,2)</f>
        <v>41214.71</v>
      </c>
      <c r="AC457" s="282"/>
      <c r="AD457" s="187"/>
    </row>
    <row r="458" spans="2:50" s="188" customFormat="1" ht="18.649999999999999" hidden="1" customHeight="1" x14ac:dyDescent="0.35">
      <c r="B458" s="264" t="s">
        <v>34</v>
      </c>
      <c r="C458" s="10" t="s">
        <v>31</v>
      </c>
      <c r="D458" s="11">
        <f>+'[7]2038'!D21</f>
        <v>4</v>
      </c>
      <c r="E458" s="135">
        <f>ROUND('[7]2038'!E21,2)</f>
        <v>38720.71</v>
      </c>
      <c r="F458" s="135">
        <f>ROUND('[7]2038'!F21,2)</f>
        <v>36738.18</v>
      </c>
      <c r="G458" s="135">
        <f>ROUND('[7]2038'!G21,2)</f>
        <v>35204.53</v>
      </c>
      <c r="H458" s="135">
        <f>ROUND('[7]2038'!H21,2)</f>
        <v>34079.47</v>
      </c>
      <c r="I458" s="135">
        <f>ROUND('[7]2038'!I21,2)</f>
        <v>33366.92</v>
      </c>
      <c r="J458" s="135">
        <f>ROUND('[7]2038'!J21,2)</f>
        <v>33217.25</v>
      </c>
      <c r="K458" s="135">
        <f>ROUND('[7]2038'!K21,2)</f>
        <v>31753.4</v>
      </c>
      <c r="L458" s="135">
        <f>ROUND('[7]2038'!L21,2)</f>
        <v>33172.160000000003</v>
      </c>
      <c r="M458" s="135">
        <f>ROUND('[7]2038'!M21,2)</f>
        <v>35495.279999999999</v>
      </c>
      <c r="N458" s="135">
        <f>ROUND('[7]2038'!N21,2)</f>
        <v>37604.86</v>
      </c>
      <c r="O458" s="135">
        <f>ROUND('[7]2038'!O21,2)</f>
        <v>39143.360000000001</v>
      </c>
      <c r="P458" s="135">
        <f>ROUND('[7]2038'!P21,2)</f>
        <v>40708.11</v>
      </c>
      <c r="Q458" s="135">
        <f>ROUND('[7]2038'!Q21,2)</f>
        <v>41605.54</v>
      </c>
      <c r="R458" s="135">
        <f>ROUND('[7]2038'!R21,2)</f>
        <v>41880.54</v>
      </c>
      <c r="S458" s="135">
        <f>ROUND('[7]2038'!S21,2)</f>
        <v>42129.440000000002</v>
      </c>
      <c r="T458" s="135">
        <f>ROUND('[7]2038'!T21,2)</f>
        <v>42321.9</v>
      </c>
      <c r="U458" s="135">
        <f>ROUND('[7]2038'!U21,2)</f>
        <v>42044.28</v>
      </c>
      <c r="V458" s="135">
        <f>ROUND('[7]2038'!V21,2)</f>
        <v>41945.78</v>
      </c>
      <c r="W458" s="135">
        <f>ROUND('[7]2038'!W21,2)</f>
        <v>46638.44</v>
      </c>
      <c r="X458" s="135">
        <f>ROUND('[7]2038'!X21,2)</f>
        <v>48739.23</v>
      </c>
      <c r="Y458" s="135">
        <f>ROUND('[7]2038'!Y21,2)</f>
        <v>48775.3</v>
      </c>
      <c r="Z458" s="135">
        <f>ROUND('[7]2038'!Z21,2)</f>
        <v>47565.49</v>
      </c>
      <c r="AA458" s="135">
        <f>ROUND('[7]2038'!AA21,2)</f>
        <v>44719.53</v>
      </c>
      <c r="AB458" s="135">
        <f>ROUND('[7]2038'!AB21,2)</f>
        <v>41318.22</v>
      </c>
      <c r="AC458" s="282"/>
      <c r="AD458" s="187"/>
    </row>
    <row r="459" spans="2:50" s="188" customFormat="1" ht="18.649999999999999" hidden="1" customHeight="1" thickBot="1" x14ac:dyDescent="0.4">
      <c r="B459" s="265" t="s">
        <v>34</v>
      </c>
      <c r="C459" s="12" t="s">
        <v>32</v>
      </c>
      <c r="D459" s="13">
        <f>+'[7]2038'!D22</f>
        <v>0</v>
      </c>
      <c r="E459" s="199">
        <f>ROUND('[7]2038'!E22,2)</f>
        <v>0</v>
      </c>
      <c r="F459" s="115">
        <f>ROUND('[7]2038'!F22,2)</f>
        <v>0</v>
      </c>
      <c r="G459" s="115">
        <f>ROUND('[7]2038'!G22,2)</f>
        <v>0</v>
      </c>
      <c r="H459" s="115">
        <f>ROUND('[7]2038'!H22,2)</f>
        <v>0</v>
      </c>
      <c r="I459" s="115">
        <f>ROUND('[7]2038'!I22,2)</f>
        <v>0</v>
      </c>
      <c r="J459" s="115">
        <f>ROUND('[7]2038'!J22,2)</f>
        <v>0</v>
      </c>
      <c r="K459" s="115">
        <f>ROUND('[7]2038'!K22,2)</f>
        <v>0</v>
      </c>
      <c r="L459" s="115">
        <f>ROUND('[7]2038'!L22,2)</f>
        <v>0</v>
      </c>
      <c r="M459" s="115">
        <f>ROUND('[7]2038'!M22,2)</f>
        <v>0</v>
      </c>
      <c r="N459" s="115">
        <f>ROUND('[7]2038'!N22,2)</f>
        <v>0</v>
      </c>
      <c r="O459" s="115">
        <f>ROUND('[7]2038'!O22,2)</f>
        <v>0</v>
      </c>
      <c r="P459" s="115">
        <f>ROUND('[7]2038'!P22,2)</f>
        <v>0</v>
      </c>
      <c r="Q459" s="115">
        <f>ROUND('[7]2038'!Q22,2)</f>
        <v>0</v>
      </c>
      <c r="R459" s="115">
        <f>ROUND('[7]2038'!R22,2)</f>
        <v>0</v>
      </c>
      <c r="S459" s="115">
        <f>ROUND('[7]2038'!S22,2)</f>
        <v>0</v>
      </c>
      <c r="T459" s="115">
        <f>ROUND('[7]2038'!T22,2)</f>
        <v>0</v>
      </c>
      <c r="U459" s="115">
        <f>ROUND('[7]2038'!U22,2)</f>
        <v>0</v>
      </c>
      <c r="V459" s="115">
        <f>ROUND('[7]2038'!V22,2)</f>
        <v>0</v>
      </c>
      <c r="W459" s="115">
        <f>ROUND('[7]2038'!W22,2)</f>
        <v>0</v>
      </c>
      <c r="X459" s="115">
        <f>ROUND('[7]2038'!X22,2)</f>
        <v>0</v>
      </c>
      <c r="Y459" s="115">
        <f>ROUND('[7]2038'!Y22,2)</f>
        <v>0</v>
      </c>
      <c r="Z459" s="115">
        <f>ROUND('[7]2038'!Z22,2)</f>
        <v>0</v>
      </c>
      <c r="AA459" s="115">
        <f>ROUND('[7]2038'!AA22,2)</f>
        <v>0</v>
      </c>
      <c r="AB459" s="115">
        <f>ROUND('[7]2038'!AB22,2)</f>
        <v>0</v>
      </c>
      <c r="AC459" s="284"/>
      <c r="AD459" s="187"/>
    </row>
    <row r="460" spans="2:50" s="188" customFormat="1" ht="18.649999999999999" hidden="1" customHeight="1" x14ac:dyDescent="0.35">
      <c r="B460" s="260">
        <v>50465</v>
      </c>
      <c r="C460" s="14" t="s">
        <v>29</v>
      </c>
      <c r="D460" s="15">
        <f>+'[7]2038'!D23</f>
        <v>20</v>
      </c>
      <c r="E460" s="137">
        <f>ROUND('[7]2038'!E23,2)</f>
        <v>38248.49</v>
      </c>
      <c r="F460" s="137">
        <f>ROUND('[7]2038'!F23,2)</f>
        <v>36227.15</v>
      </c>
      <c r="G460" s="137">
        <f>ROUND('[7]2038'!G23,2)</f>
        <v>34703.870000000003</v>
      </c>
      <c r="H460" s="137">
        <f>ROUND('[7]2038'!H23,2)</f>
        <v>33579.65</v>
      </c>
      <c r="I460" s="137">
        <f>ROUND('[7]2038'!I23,2)</f>
        <v>33410.67</v>
      </c>
      <c r="J460" s="137">
        <f>ROUND('[7]2038'!J23,2)</f>
        <v>34634.050000000003</v>
      </c>
      <c r="K460" s="137">
        <f>ROUND('[7]2038'!K23,2)</f>
        <v>34396.199999999997</v>
      </c>
      <c r="L460" s="137">
        <f>ROUND('[7]2038'!L23,2)</f>
        <v>38338.949999999997</v>
      </c>
      <c r="M460" s="137">
        <f>ROUND('[7]2038'!M23,2)</f>
        <v>42315.47</v>
      </c>
      <c r="N460" s="137">
        <f>ROUND('[7]2038'!N23,2)</f>
        <v>44396.63</v>
      </c>
      <c r="O460" s="137">
        <f>ROUND('[7]2038'!O23,2)</f>
        <v>46757.29</v>
      </c>
      <c r="P460" s="137">
        <f>ROUND('[7]2038'!P23,2)</f>
        <v>48294.17</v>
      </c>
      <c r="Q460" s="137">
        <f>ROUND('[7]2038'!Q23,2)</f>
        <v>46556.04</v>
      </c>
      <c r="R460" s="137">
        <f>ROUND('[7]2038'!R23,2)</f>
        <v>48411.38</v>
      </c>
      <c r="S460" s="137">
        <f>ROUND('[7]2038'!S23,2)</f>
        <v>50660.18</v>
      </c>
      <c r="T460" s="137">
        <f>ROUND('[7]2038'!T23,2)</f>
        <v>50901.82</v>
      </c>
      <c r="U460" s="137">
        <f>ROUND('[7]2038'!U23,2)</f>
        <v>50017.2</v>
      </c>
      <c r="V460" s="137">
        <f>ROUND('[7]2038'!V23,2)</f>
        <v>47880.66</v>
      </c>
      <c r="W460" s="137">
        <f>ROUND('[7]2038'!W23,2)</f>
        <v>50028.53</v>
      </c>
      <c r="X460" s="137">
        <f>ROUND('[7]2038'!X23,2)</f>
        <v>50653.83</v>
      </c>
      <c r="Y460" s="137">
        <f>ROUND('[7]2038'!Y23,2)</f>
        <v>49743.16</v>
      </c>
      <c r="Z460" s="137">
        <f>ROUND('[7]2038'!Z23,2)</f>
        <v>47812.97</v>
      </c>
      <c r="AA460" s="137">
        <f>ROUND('[7]2038'!AA23,2)</f>
        <v>44793.23</v>
      </c>
      <c r="AB460" s="137">
        <f>ROUND('[7]2038'!AB23,2)</f>
        <v>41396.36</v>
      </c>
      <c r="AC460" s="282">
        <f>SUM(E460:AB460)*D460+SUM(E461:AB461)*D461+SUM(E462:AB462)*D462+SUM(E463:AB463)*D463</f>
        <v>31277245.829999998</v>
      </c>
      <c r="AD460" s="187"/>
    </row>
    <row r="461" spans="2:50" s="188" customFormat="1" ht="18.649999999999999" hidden="1" customHeight="1" x14ac:dyDescent="0.35">
      <c r="B461" s="261"/>
      <c r="C461" s="10" t="s">
        <v>30</v>
      </c>
      <c r="D461" s="11">
        <f>+'[7]2038'!D24</f>
        <v>5</v>
      </c>
      <c r="E461" s="135">
        <f>ROUND('[7]2038'!E24,2)</f>
        <v>38359.599999999999</v>
      </c>
      <c r="F461" s="135">
        <f>ROUND('[7]2038'!F24,2)</f>
        <v>36274.089999999997</v>
      </c>
      <c r="G461" s="135">
        <f>ROUND('[7]2038'!G24,2)</f>
        <v>34805.050000000003</v>
      </c>
      <c r="H461" s="135">
        <f>ROUND('[7]2038'!H24,2)</f>
        <v>33642.5</v>
      </c>
      <c r="I461" s="135">
        <f>ROUND('[7]2038'!I24,2)</f>
        <v>32948.51</v>
      </c>
      <c r="J461" s="135">
        <f>ROUND('[7]2038'!J24,2)</f>
        <v>32842.42</v>
      </c>
      <c r="K461" s="135">
        <f>ROUND('[7]2038'!K24,2)</f>
        <v>32361.37</v>
      </c>
      <c r="L461" s="135">
        <f>ROUND('[7]2038'!L24,2)</f>
        <v>35457.24</v>
      </c>
      <c r="M461" s="135">
        <f>ROUND('[7]2038'!M24,2)</f>
        <v>39189.11</v>
      </c>
      <c r="N461" s="135">
        <f>ROUND('[7]2038'!N24,2)</f>
        <v>41526.080000000002</v>
      </c>
      <c r="O461" s="135">
        <f>ROUND('[7]2038'!O24,2)</f>
        <v>43387.68</v>
      </c>
      <c r="P461" s="135">
        <f>ROUND('[7]2038'!P24,2)</f>
        <v>44577.78</v>
      </c>
      <c r="Q461" s="135">
        <f>ROUND('[7]2038'!Q24,2)</f>
        <v>43945.61</v>
      </c>
      <c r="R461" s="135">
        <f>ROUND('[7]2038'!R24,2)</f>
        <v>43487.77</v>
      </c>
      <c r="S461" s="135">
        <f>ROUND('[7]2038'!S24,2)</f>
        <v>43226.239999999998</v>
      </c>
      <c r="T461" s="135">
        <f>ROUND('[7]2038'!T24,2)</f>
        <v>44293.81</v>
      </c>
      <c r="U461" s="135">
        <f>ROUND('[7]2038'!U24,2)</f>
        <v>42792.36</v>
      </c>
      <c r="V461" s="135">
        <f>ROUND('[7]2038'!V24,2)</f>
        <v>42444.94</v>
      </c>
      <c r="W461" s="135">
        <f>ROUND('[7]2038'!W24,2)</f>
        <v>46888.800000000003</v>
      </c>
      <c r="X461" s="135">
        <f>ROUND('[7]2038'!X24,2)</f>
        <v>47588.24</v>
      </c>
      <c r="Y461" s="135">
        <f>ROUND('[7]2038'!Y24,2)</f>
        <v>46432.59</v>
      </c>
      <c r="Z461" s="135">
        <f>ROUND('[7]2038'!Z24,2)</f>
        <v>44945.41</v>
      </c>
      <c r="AA461" s="135">
        <f>ROUND('[7]2038'!AA24,2)</f>
        <v>42972.91</v>
      </c>
      <c r="AB461" s="135">
        <f>ROUND('[7]2038'!AB24,2)</f>
        <v>40465.919999999998</v>
      </c>
      <c r="AC461" s="282"/>
      <c r="AD461" s="187"/>
    </row>
    <row r="462" spans="2:50" s="188" customFormat="1" ht="18.649999999999999" hidden="1" customHeight="1" x14ac:dyDescent="0.35">
      <c r="B462" s="261"/>
      <c r="C462" s="10" t="s">
        <v>31</v>
      </c>
      <c r="D462" s="11">
        <f>+'[7]2038'!D25</f>
        <v>5</v>
      </c>
      <c r="E462" s="135">
        <f>ROUND('[7]2038'!E25,2)</f>
        <v>38052.36</v>
      </c>
      <c r="F462" s="135">
        <f>ROUND('[7]2038'!F25,2)</f>
        <v>36104.33</v>
      </c>
      <c r="G462" s="135">
        <f>ROUND('[7]2038'!G25,2)</f>
        <v>34365.5</v>
      </c>
      <c r="H462" s="135">
        <f>ROUND('[7]2038'!H25,2)</f>
        <v>33145.58</v>
      </c>
      <c r="I462" s="135">
        <f>ROUND('[7]2038'!I25,2)</f>
        <v>32579.88</v>
      </c>
      <c r="J462" s="135">
        <f>ROUND('[7]2038'!J25,2)</f>
        <v>32211.360000000001</v>
      </c>
      <c r="K462" s="135">
        <f>ROUND('[7]2038'!K25,2)</f>
        <v>30637.73</v>
      </c>
      <c r="L462" s="135">
        <f>ROUND('[7]2038'!L25,2)</f>
        <v>32111.11</v>
      </c>
      <c r="M462" s="135">
        <f>ROUND('[7]2038'!M25,2)</f>
        <v>34245.89</v>
      </c>
      <c r="N462" s="135">
        <f>ROUND('[7]2038'!N25,2)</f>
        <v>36197.839999999997</v>
      </c>
      <c r="O462" s="135">
        <f>ROUND('[7]2038'!O25,2)</f>
        <v>37677.589999999997</v>
      </c>
      <c r="P462" s="135">
        <f>ROUND('[7]2038'!P25,2)</f>
        <v>39076.57</v>
      </c>
      <c r="Q462" s="135">
        <f>ROUND('[7]2038'!Q25,2)</f>
        <v>39779.31</v>
      </c>
      <c r="R462" s="135">
        <f>ROUND('[7]2038'!R25,2)</f>
        <v>39958.870000000003</v>
      </c>
      <c r="S462" s="135">
        <f>ROUND('[7]2038'!S25,2)</f>
        <v>40164.370000000003</v>
      </c>
      <c r="T462" s="135">
        <f>ROUND('[7]2038'!T25,2)</f>
        <v>40450.71</v>
      </c>
      <c r="U462" s="135">
        <f>ROUND('[7]2038'!U25,2)</f>
        <v>39950.86</v>
      </c>
      <c r="V462" s="135">
        <f>ROUND('[7]2038'!V25,2)</f>
        <v>40046.959999999999</v>
      </c>
      <c r="W462" s="135">
        <f>ROUND('[7]2038'!W25,2)</f>
        <v>44358.92</v>
      </c>
      <c r="X462" s="135">
        <f>ROUND('[7]2038'!X25,2)</f>
        <v>45953.53</v>
      </c>
      <c r="Y462" s="135">
        <f>ROUND('[7]2038'!Y25,2)</f>
        <v>45870.96</v>
      </c>
      <c r="Z462" s="135">
        <f>ROUND('[7]2038'!Z25,2)</f>
        <v>44982.28</v>
      </c>
      <c r="AA462" s="135">
        <f>ROUND('[7]2038'!AA25,2)</f>
        <v>42591.29</v>
      </c>
      <c r="AB462" s="135">
        <f>ROUND('[7]2038'!AB25,2)</f>
        <v>39453.980000000003</v>
      </c>
      <c r="AC462" s="282"/>
      <c r="AD462" s="187"/>
    </row>
    <row r="463" spans="2:50" s="188" customFormat="1" ht="18.649999999999999" hidden="1" customHeight="1" thickBot="1" x14ac:dyDescent="0.4">
      <c r="B463" s="261"/>
      <c r="C463" s="16" t="s">
        <v>32</v>
      </c>
      <c r="D463" s="17">
        <f>+'[7]2038'!D26</f>
        <v>1</v>
      </c>
      <c r="E463" s="136">
        <f>ROUND('[7]2038'!E26,2)</f>
        <v>38052.36</v>
      </c>
      <c r="F463" s="136">
        <f>ROUND('[7]2038'!F26,2)</f>
        <v>36104.33</v>
      </c>
      <c r="G463" s="136">
        <f>ROUND('[7]2038'!G26,2)</f>
        <v>34365.5</v>
      </c>
      <c r="H463" s="136">
        <f>ROUND('[7]2038'!H26,2)</f>
        <v>33145.58</v>
      </c>
      <c r="I463" s="136">
        <f>ROUND('[7]2038'!I26,2)</f>
        <v>32579.88</v>
      </c>
      <c r="J463" s="136">
        <f>ROUND('[7]2038'!J26,2)</f>
        <v>32211.360000000001</v>
      </c>
      <c r="K463" s="136">
        <f>ROUND('[7]2038'!K26,2)</f>
        <v>30637.73</v>
      </c>
      <c r="L463" s="136">
        <f>ROUND('[7]2038'!L26,2)</f>
        <v>32111.11</v>
      </c>
      <c r="M463" s="136">
        <f>ROUND('[7]2038'!M26,2)</f>
        <v>34245.89</v>
      </c>
      <c r="N463" s="136">
        <f>ROUND('[7]2038'!N26,2)</f>
        <v>36197.839999999997</v>
      </c>
      <c r="O463" s="136">
        <f>ROUND('[7]2038'!O26,2)</f>
        <v>37677.589999999997</v>
      </c>
      <c r="P463" s="136">
        <f>ROUND('[7]2038'!P26,2)</f>
        <v>39076.57</v>
      </c>
      <c r="Q463" s="136">
        <f>ROUND('[7]2038'!Q26,2)</f>
        <v>39779.31</v>
      </c>
      <c r="R463" s="136">
        <f>ROUND('[7]2038'!R26,2)</f>
        <v>39958.870000000003</v>
      </c>
      <c r="S463" s="136">
        <f>ROUND('[7]2038'!S26,2)</f>
        <v>40164.370000000003</v>
      </c>
      <c r="T463" s="136">
        <f>ROUND('[7]2038'!T26,2)</f>
        <v>40450.71</v>
      </c>
      <c r="U463" s="136">
        <f>ROUND('[7]2038'!U26,2)</f>
        <v>39950.86</v>
      </c>
      <c r="V463" s="136">
        <f>ROUND('[7]2038'!V26,2)</f>
        <v>40046.959999999999</v>
      </c>
      <c r="W463" s="136">
        <f>ROUND('[7]2038'!W26,2)</f>
        <v>44358.92</v>
      </c>
      <c r="X463" s="136">
        <f>ROUND('[7]2038'!X26,2)</f>
        <v>45953.53</v>
      </c>
      <c r="Y463" s="136">
        <f>ROUND('[7]2038'!Y26,2)</f>
        <v>45870.96</v>
      </c>
      <c r="Z463" s="136">
        <f>ROUND('[7]2038'!Z26,2)</f>
        <v>44982.28</v>
      </c>
      <c r="AA463" s="136">
        <f>ROUND('[7]2038'!AA26,2)</f>
        <v>42591.29</v>
      </c>
      <c r="AB463" s="136">
        <f>ROUND('[7]2038'!AB26,2)</f>
        <v>39453.980000000003</v>
      </c>
      <c r="AC463" s="282"/>
      <c r="AD463" s="187"/>
    </row>
    <row r="464" spans="2:50" s="188" customFormat="1" ht="18.649999999999999" hidden="1" customHeight="1" x14ac:dyDescent="0.35">
      <c r="B464" s="263">
        <v>50496</v>
      </c>
      <c r="C464" s="7" t="s">
        <v>29</v>
      </c>
      <c r="D464" s="8">
        <f>+'[7]2038'!D27</f>
        <v>20</v>
      </c>
      <c r="E464" s="134">
        <f>ROUND('[7]2038'!E27,2)</f>
        <v>37662.050000000003</v>
      </c>
      <c r="F464" s="134">
        <f>ROUND('[7]2038'!F27,2)</f>
        <v>36038.28</v>
      </c>
      <c r="G464" s="134">
        <f>ROUND('[7]2038'!G27,2)</f>
        <v>34446.71</v>
      </c>
      <c r="H464" s="134">
        <f>ROUND('[7]2038'!H27,2)</f>
        <v>33557.14</v>
      </c>
      <c r="I464" s="134">
        <f>ROUND('[7]2038'!I27,2)</f>
        <v>33344.589999999997</v>
      </c>
      <c r="J464" s="134">
        <f>ROUND('[7]2038'!J27,2)</f>
        <v>32998.44</v>
      </c>
      <c r="K464" s="134">
        <f>ROUND('[7]2038'!K27,2)</f>
        <v>33113</v>
      </c>
      <c r="L464" s="134">
        <f>ROUND('[7]2038'!L27,2)</f>
        <v>36835.089999999997</v>
      </c>
      <c r="M464" s="134">
        <f>ROUND('[7]2038'!M27,2)</f>
        <v>41059.879999999997</v>
      </c>
      <c r="N464" s="134">
        <f>ROUND('[7]2038'!N27,2)</f>
        <v>43556.24</v>
      </c>
      <c r="O464" s="134">
        <f>ROUND('[7]2038'!O27,2)</f>
        <v>45631.519999999997</v>
      </c>
      <c r="P464" s="134">
        <f>ROUND('[7]2038'!P27,2)</f>
        <v>46939.040000000001</v>
      </c>
      <c r="Q464" s="134">
        <f>ROUND('[7]2038'!Q27,2)</f>
        <v>46066.71</v>
      </c>
      <c r="R464" s="134">
        <f>ROUND('[7]2038'!R27,2)</f>
        <v>45514.26</v>
      </c>
      <c r="S464" s="134">
        <f>ROUND('[7]2038'!S27,2)</f>
        <v>45830.02</v>
      </c>
      <c r="T464" s="134">
        <f>ROUND('[7]2038'!T27,2)</f>
        <v>45823.22</v>
      </c>
      <c r="U464" s="134">
        <f>ROUND('[7]2038'!U27,2)</f>
        <v>45102.57</v>
      </c>
      <c r="V464" s="134">
        <f>ROUND('[7]2038'!V27,2)</f>
        <v>44842.1</v>
      </c>
      <c r="W464" s="134">
        <f>ROUND('[7]2038'!W27,2)</f>
        <v>49391.23</v>
      </c>
      <c r="X464" s="134">
        <f>ROUND('[7]2038'!X27,2)</f>
        <v>49784.22</v>
      </c>
      <c r="Y464" s="134">
        <f>ROUND('[7]2038'!Y27,2)</f>
        <v>48565.02</v>
      </c>
      <c r="Z464" s="134">
        <f>ROUND('[7]2038'!Z27,2)</f>
        <v>46877.88</v>
      </c>
      <c r="AA464" s="134">
        <f>ROUND('[7]2038'!AA27,2)</f>
        <v>44572.14</v>
      </c>
      <c r="AB464" s="134">
        <f>ROUND('[7]2038'!AB27,2)</f>
        <v>41779.1</v>
      </c>
      <c r="AC464" s="283">
        <f>SUM(E464:AB464)*D464+SUM(E465:AB465)*D465+SUM(E466:AB466)*D466+SUM(E467:AB467)*D467</f>
        <v>29886628.059999999</v>
      </c>
      <c r="AD464" s="187"/>
    </row>
    <row r="465" spans="2:30" s="188" customFormat="1" ht="18.649999999999999" hidden="1" customHeight="1" x14ac:dyDescent="0.35">
      <c r="B465" s="264" t="s">
        <v>34</v>
      </c>
      <c r="C465" s="10" t="s">
        <v>30</v>
      </c>
      <c r="D465" s="11">
        <f>+'[7]2038'!D28</f>
        <v>4</v>
      </c>
      <c r="E465" s="135">
        <f>ROUND('[7]2038'!E28,2)</f>
        <v>36362.18</v>
      </c>
      <c r="F465" s="135">
        <f>ROUND('[7]2038'!F28,2)</f>
        <v>34570.06</v>
      </c>
      <c r="G465" s="135">
        <f>ROUND('[7]2038'!G28,2)</f>
        <v>33208.75</v>
      </c>
      <c r="H465" s="135">
        <f>ROUND('[7]2038'!H28,2)</f>
        <v>32204.97</v>
      </c>
      <c r="I465" s="135">
        <f>ROUND('[7]2038'!I28,2)</f>
        <v>32235.05</v>
      </c>
      <c r="J465" s="135">
        <f>ROUND('[7]2038'!J28,2)</f>
        <v>32632.6</v>
      </c>
      <c r="K465" s="135">
        <f>ROUND('[7]2038'!K28,2)</f>
        <v>33365.800000000003</v>
      </c>
      <c r="L465" s="135">
        <f>ROUND('[7]2038'!L28,2)</f>
        <v>36996.44</v>
      </c>
      <c r="M465" s="135">
        <f>ROUND('[7]2038'!M28,2)</f>
        <v>40727.24</v>
      </c>
      <c r="N465" s="135">
        <f>ROUND('[7]2038'!N28,2)</f>
        <v>42900.49</v>
      </c>
      <c r="O465" s="135">
        <f>ROUND('[7]2038'!O28,2)</f>
        <v>44849.52</v>
      </c>
      <c r="P465" s="135">
        <f>ROUND('[7]2038'!P28,2)</f>
        <v>46194.99</v>
      </c>
      <c r="Q465" s="135">
        <f>ROUND('[7]2038'!Q28,2)</f>
        <v>44931.21</v>
      </c>
      <c r="R465" s="135">
        <f>ROUND('[7]2038'!R28,2)</f>
        <v>45817.88</v>
      </c>
      <c r="S465" s="135">
        <f>ROUND('[7]2038'!S28,2)</f>
        <v>47344.69</v>
      </c>
      <c r="T465" s="135">
        <f>ROUND('[7]2038'!T28,2)</f>
        <v>47446.45</v>
      </c>
      <c r="U465" s="135">
        <f>ROUND('[7]2038'!U28,2)</f>
        <v>46699.24</v>
      </c>
      <c r="V465" s="135">
        <f>ROUND('[7]2038'!V28,2)</f>
        <v>45679.27</v>
      </c>
      <c r="W465" s="135">
        <f>ROUND('[7]2038'!W28,2)</f>
        <v>48827.18</v>
      </c>
      <c r="X465" s="135">
        <f>ROUND('[7]2038'!X28,2)</f>
        <v>49249.3</v>
      </c>
      <c r="Y465" s="135">
        <f>ROUND('[7]2038'!Y28,2)</f>
        <v>47966.54</v>
      </c>
      <c r="Z465" s="135">
        <f>ROUND('[7]2038'!Z28,2)</f>
        <v>45862.9</v>
      </c>
      <c r="AA465" s="135">
        <f>ROUND('[7]2038'!AA28,2)</f>
        <v>42559.85</v>
      </c>
      <c r="AB465" s="135">
        <f>ROUND('[7]2038'!AB28,2)</f>
        <v>38912.300000000003</v>
      </c>
      <c r="AC465" s="282"/>
      <c r="AD465" s="187"/>
    </row>
    <row r="466" spans="2:30" s="188" customFormat="1" ht="18.649999999999999" hidden="1" customHeight="1" x14ac:dyDescent="0.35">
      <c r="B466" s="264" t="s">
        <v>34</v>
      </c>
      <c r="C466" s="10" t="s">
        <v>31</v>
      </c>
      <c r="D466" s="11">
        <f>+'[7]2038'!D29</f>
        <v>4</v>
      </c>
      <c r="E466" s="135">
        <f>ROUND('[7]2038'!E29,2)</f>
        <v>39187.58</v>
      </c>
      <c r="F466" s="135">
        <f>ROUND('[7]2038'!F29,2)</f>
        <v>37203.24</v>
      </c>
      <c r="G466" s="135">
        <f>ROUND('[7]2038'!G29,2)</f>
        <v>35559.43</v>
      </c>
      <c r="H466" s="135">
        <f>ROUND('[7]2038'!H29,2)</f>
        <v>34438.1</v>
      </c>
      <c r="I466" s="135">
        <f>ROUND('[7]2038'!I29,2)</f>
        <v>33781.120000000003</v>
      </c>
      <c r="J466" s="135">
        <f>ROUND('[7]2038'!J29,2)</f>
        <v>32779.31</v>
      </c>
      <c r="K466" s="135">
        <f>ROUND('[7]2038'!K29,2)</f>
        <v>31775.57</v>
      </c>
      <c r="L466" s="135">
        <f>ROUND('[7]2038'!L29,2)</f>
        <v>33555.599999999999</v>
      </c>
      <c r="M466" s="135">
        <f>ROUND('[7]2038'!M29,2)</f>
        <v>35908.080000000002</v>
      </c>
      <c r="N466" s="135">
        <f>ROUND('[7]2038'!N29,2)</f>
        <v>38029.33</v>
      </c>
      <c r="O466" s="135">
        <f>ROUND('[7]2038'!O29,2)</f>
        <v>39706.370000000003</v>
      </c>
      <c r="P466" s="135">
        <f>ROUND('[7]2038'!P29,2)</f>
        <v>41074.800000000003</v>
      </c>
      <c r="Q466" s="135">
        <f>ROUND('[7]2038'!Q29,2)</f>
        <v>41704.800000000003</v>
      </c>
      <c r="R466" s="135">
        <f>ROUND('[7]2038'!R29,2)</f>
        <v>41821.230000000003</v>
      </c>
      <c r="S466" s="135">
        <f>ROUND('[7]2038'!S29,2)</f>
        <v>41591.800000000003</v>
      </c>
      <c r="T466" s="135">
        <f>ROUND('[7]2038'!T29,2)</f>
        <v>41406.839999999997</v>
      </c>
      <c r="U466" s="135">
        <f>ROUND('[7]2038'!U29,2)</f>
        <v>40984.32</v>
      </c>
      <c r="V466" s="135">
        <f>ROUND('[7]2038'!V29,2)</f>
        <v>41375.839999999997</v>
      </c>
      <c r="W466" s="135">
        <f>ROUND('[7]2038'!W29,2)</f>
        <v>46229.63</v>
      </c>
      <c r="X466" s="135">
        <f>ROUND('[7]2038'!X29,2)</f>
        <v>47619.519999999997</v>
      </c>
      <c r="Y466" s="135">
        <f>ROUND('[7]2038'!Y29,2)</f>
        <v>47297.87</v>
      </c>
      <c r="Z466" s="135">
        <f>ROUND('[7]2038'!Z29,2)</f>
        <v>45846.14</v>
      </c>
      <c r="AA466" s="135">
        <f>ROUND('[7]2038'!AA29,2)</f>
        <v>43050.16</v>
      </c>
      <c r="AB466" s="135">
        <f>ROUND('[7]2038'!AB29,2)</f>
        <v>39713.230000000003</v>
      </c>
      <c r="AC466" s="282"/>
      <c r="AD466" s="187"/>
    </row>
    <row r="467" spans="2:30" s="188" customFormat="1" ht="18.649999999999999" hidden="1" customHeight="1" thickBot="1" x14ac:dyDescent="0.4">
      <c r="B467" s="265" t="s">
        <v>34</v>
      </c>
      <c r="C467" s="12" t="s">
        <v>32</v>
      </c>
      <c r="D467" s="13">
        <f>+'[7]2038'!D30</f>
        <v>2</v>
      </c>
      <c r="E467" s="140">
        <f>ROUND('[7]2038'!E30,2)</f>
        <v>39187.58</v>
      </c>
      <c r="F467" s="115">
        <f>ROUND('[7]2038'!F30,2)</f>
        <v>37203.24</v>
      </c>
      <c r="G467" s="115">
        <f>ROUND('[7]2038'!G30,2)</f>
        <v>35559.43</v>
      </c>
      <c r="H467" s="115">
        <f>ROUND('[7]2038'!H30,2)</f>
        <v>34438.1</v>
      </c>
      <c r="I467" s="115">
        <f>ROUND('[7]2038'!I30,2)</f>
        <v>33781.120000000003</v>
      </c>
      <c r="J467" s="115">
        <f>ROUND('[7]2038'!J30,2)</f>
        <v>32779.31</v>
      </c>
      <c r="K467" s="115">
        <f>ROUND('[7]2038'!K30,2)</f>
        <v>31775.57</v>
      </c>
      <c r="L467" s="115">
        <f>ROUND('[7]2038'!L30,2)</f>
        <v>33555.599999999999</v>
      </c>
      <c r="M467" s="115">
        <f>ROUND('[7]2038'!M30,2)</f>
        <v>35908.080000000002</v>
      </c>
      <c r="N467" s="115">
        <f>ROUND('[7]2038'!N30,2)</f>
        <v>38029.33</v>
      </c>
      <c r="O467" s="115">
        <f>ROUND('[7]2038'!O30,2)</f>
        <v>39706.370000000003</v>
      </c>
      <c r="P467" s="115">
        <f>ROUND('[7]2038'!P30,2)</f>
        <v>41074.800000000003</v>
      </c>
      <c r="Q467" s="115">
        <f>ROUND('[7]2038'!Q30,2)</f>
        <v>41704.800000000003</v>
      </c>
      <c r="R467" s="115">
        <f>ROUND('[7]2038'!R30,2)</f>
        <v>41821.230000000003</v>
      </c>
      <c r="S467" s="115">
        <f>ROUND('[7]2038'!S30,2)</f>
        <v>41591.800000000003</v>
      </c>
      <c r="T467" s="115">
        <f>ROUND('[7]2038'!T30,2)</f>
        <v>41406.839999999997</v>
      </c>
      <c r="U467" s="115">
        <f>ROUND('[7]2038'!U30,2)</f>
        <v>40984.32</v>
      </c>
      <c r="V467" s="115">
        <f>ROUND('[7]2038'!V30,2)</f>
        <v>41375.839999999997</v>
      </c>
      <c r="W467" s="115">
        <f>ROUND('[7]2038'!W30,2)</f>
        <v>46229.63</v>
      </c>
      <c r="X467" s="115">
        <f>ROUND('[7]2038'!X30,2)</f>
        <v>47619.519999999997</v>
      </c>
      <c r="Y467" s="115">
        <f>ROUND('[7]2038'!Y30,2)</f>
        <v>47297.87</v>
      </c>
      <c r="Z467" s="115">
        <f>ROUND('[7]2038'!Z30,2)</f>
        <v>45846.14</v>
      </c>
      <c r="AA467" s="115">
        <f>ROUND('[7]2038'!AA30,2)</f>
        <v>43050.16</v>
      </c>
      <c r="AB467" s="115">
        <f>ROUND('[7]2038'!AB30,2)</f>
        <v>39713.230000000003</v>
      </c>
      <c r="AC467" s="284"/>
      <c r="AD467" s="187"/>
    </row>
    <row r="468" spans="2:30" s="188" customFormat="1" ht="18.649999999999999" hidden="1" customHeight="1" x14ac:dyDescent="0.35">
      <c r="B468" s="260">
        <v>50526</v>
      </c>
      <c r="C468" s="14" t="s">
        <v>29</v>
      </c>
      <c r="D468" s="15">
        <f>+'[7]2038'!D31</f>
        <v>21</v>
      </c>
      <c r="E468" s="137">
        <f>ROUND('[7]2038'!E31,2)</f>
        <v>38159.449999999997</v>
      </c>
      <c r="F468" s="137">
        <f>ROUND('[7]2038'!F31,2)</f>
        <v>36173.839999999997</v>
      </c>
      <c r="G468" s="137">
        <f>ROUND('[7]2038'!G31,2)</f>
        <v>34571.589999999997</v>
      </c>
      <c r="H468" s="137">
        <f>ROUND('[7]2038'!H31,2)</f>
        <v>33201.300000000003</v>
      </c>
      <c r="I468" s="137">
        <f>ROUND('[7]2038'!I31,2)</f>
        <v>32831.93</v>
      </c>
      <c r="J468" s="137">
        <f>ROUND('[7]2038'!J31,2)</f>
        <v>32311.93</v>
      </c>
      <c r="K468" s="137">
        <f>ROUND('[7]2038'!K31,2)</f>
        <v>32789.49</v>
      </c>
      <c r="L468" s="137">
        <f>ROUND('[7]2038'!L31,2)</f>
        <v>36316.33</v>
      </c>
      <c r="M468" s="137">
        <f>ROUND('[7]2038'!M31,2)</f>
        <v>40426.78</v>
      </c>
      <c r="N468" s="137">
        <f>ROUND('[7]2038'!N31,2)</f>
        <v>42694.54</v>
      </c>
      <c r="O468" s="137">
        <f>ROUND('[7]2038'!O31,2)</f>
        <v>44133.95</v>
      </c>
      <c r="P468" s="137">
        <f>ROUND('[7]2038'!P31,2)</f>
        <v>45191.7</v>
      </c>
      <c r="Q468" s="137">
        <f>ROUND('[7]2038'!Q31,2)</f>
        <v>44415.32</v>
      </c>
      <c r="R468" s="137">
        <f>ROUND('[7]2038'!R31,2)</f>
        <v>43616.42</v>
      </c>
      <c r="S468" s="137">
        <f>ROUND('[7]2038'!S31,2)</f>
        <v>43587.05</v>
      </c>
      <c r="T468" s="137">
        <f>ROUND('[7]2038'!T31,2)</f>
        <v>43341.4</v>
      </c>
      <c r="U468" s="137">
        <f>ROUND('[7]2038'!U31,2)</f>
        <v>42752.54</v>
      </c>
      <c r="V468" s="137">
        <f>ROUND('[7]2038'!V31,2)</f>
        <v>43014.720000000001</v>
      </c>
      <c r="W468" s="137">
        <f>ROUND('[7]2038'!W31,2)</f>
        <v>47683.27</v>
      </c>
      <c r="X468" s="137">
        <f>ROUND('[7]2038'!X31,2)</f>
        <v>48127.06</v>
      </c>
      <c r="Y468" s="137">
        <f>ROUND('[7]2038'!Y31,2)</f>
        <v>46577.34</v>
      </c>
      <c r="Z468" s="137">
        <f>ROUND('[7]2038'!Z31,2)</f>
        <v>44655.06</v>
      </c>
      <c r="AA468" s="137">
        <f>ROUND('[7]2038'!AA31,2)</f>
        <v>42127.15</v>
      </c>
      <c r="AB468" s="137">
        <f>ROUND('[7]2038'!AB31,2)</f>
        <v>39295.64</v>
      </c>
      <c r="AC468" s="282">
        <f>SUM(E468:AB468)*D468+SUM(E469:AB469)*D469+SUM(E470:AB470)*D470+SUM(E471:AB471)*D471</f>
        <v>30042215.260000002</v>
      </c>
      <c r="AD468" s="187"/>
    </row>
    <row r="469" spans="2:30" s="188" customFormat="1" ht="18.649999999999999" hidden="1" customHeight="1" x14ac:dyDescent="0.35">
      <c r="B469" s="261"/>
      <c r="C469" s="10" t="s">
        <v>30</v>
      </c>
      <c r="D469" s="11">
        <f>+'[7]2038'!D32</f>
        <v>4</v>
      </c>
      <c r="E469" s="135">
        <f>ROUND('[7]2038'!E32,2)</f>
        <v>35178.980000000003</v>
      </c>
      <c r="F469" s="135">
        <f>ROUND('[7]2038'!F32,2)</f>
        <v>33438.78</v>
      </c>
      <c r="G469" s="135">
        <f>ROUND('[7]2038'!G32,2)</f>
        <v>32165.11</v>
      </c>
      <c r="H469" s="135">
        <f>ROUND('[7]2038'!H32,2)</f>
        <v>31287.82</v>
      </c>
      <c r="I469" s="135">
        <f>ROUND('[7]2038'!I32,2)</f>
        <v>31175.24</v>
      </c>
      <c r="J469" s="135">
        <f>ROUND('[7]2038'!J32,2)</f>
        <v>31136.05</v>
      </c>
      <c r="K469" s="135">
        <f>ROUND('[7]2038'!K32,2)</f>
        <v>31610.3</v>
      </c>
      <c r="L469" s="135">
        <f>ROUND('[7]2038'!L32,2)</f>
        <v>35314.78</v>
      </c>
      <c r="M469" s="135">
        <f>ROUND('[7]2038'!M32,2)</f>
        <v>38937.019999999997</v>
      </c>
      <c r="N469" s="135">
        <f>ROUND('[7]2038'!N32,2)</f>
        <v>41028.660000000003</v>
      </c>
      <c r="O469" s="135">
        <f>ROUND('[7]2038'!O32,2)</f>
        <v>43071.98</v>
      </c>
      <c r="P469" s="135">
        <f>ROUND('[7]2038'!P32,2)</f>
        <v>44543.76</v>
      </c>
      <c r="Q469" s="135">
        <f>ROUND('[7]2038'!Q32,2)</f>
        <v>43572.01</v>
      </c>
      <c r="R469" s="135">
        <f>ROUND('[7]2038'!R32,2)</f>
        <v>44036.49</v>
      </c>
      <c r="S469" s="135">
        <f>ROUND('[7]2038'!S32,2)</f>
        <v>45195.6</v>
      </c>
      <c r="T469" s="135">
        <f>ROUND('[7]2038'!T32,2)</f>
        <v>45139</v>
      </c>
      <c r="U469" s="135">
        <f>ROUND('[7]2038'!U32,2)</f>
        <v>44488.800000000003</v>
      </c>
      <c r="V469" s="135">
        <f>ROUND('[7]2038'!V32,2)</f>
        <v>43624.61</v>
      </c>
      <c r="W469" s="135">
        <f>ROUND('[7]2038'!W32,2)</f>
        <v>46802.19</v>
      </c>
      <c r="X469" s="135">
        <f>ROUND('[7]2038'!X32,2)</f>
        <v>47684.09</v>
      </c>
      <c r="Y469" s="135">
        <f>ROUND('[7]2038'!Y32,2)</f>
        <v>46385.42</v>
      </c>
      <c r="Z469" s="135">
        <f>ROUND('[7]2038'!Z32,2)</f>
        <v>44253.07</v>
      </c>
      <c r="AA469" s="135">
        <f>ROUND('[7]2038'!AA32,2)</f>
        <v>41047.629999999997</v>
      </c>
      <c r="AB469" s="135">
        <f>ROUND('[7]2038'!AB32,2)</f>
        <v>37704.67</v>
      </c>
      <c r="AC469" s="282"/>
      <c r="AD469" s="187"/>
    </row>
    <row r="470" spans="2:30" s="188" customFormat="1" ht="18.649999999999999" hidden="1" customHeight="1" x14ac:dyDescent="0.35">
      <c r="B470" s="261"/>
      <c r="C470" s="10" t="s">
        <v>31</v>
      </c>
      <c r="D470" s="11">
        <f>+'[7]2038'!D33</f>
        <v>5</v>
      </c>
      <c r="E470" s="135">
        <f>ROUND('[7]2038'!E33,2)</f>
        <v>35153.07</v>
      </c>
      <c r="F470" s="135">
        <f>ROUND('[7]2038'!F33,2)</f>
        <v>33776.480000000003</v>
      </c>
      <c r="G470" s="135">
        <f>ROUND('[7]2038'!G33,2)</f>
        <v>32364.720000000001</v>
      </c>
      <c r="H470" s="135">
        <f>ROUND('[7]2038'!H33,2)</f>
        <v>31614.07</v>
      </c>
      <c r="I470" s="135">
        <f>ROUND('[7]2038'!I33,2)</f>
        <v>31373.29</v>
      </c>
      <c r="J470" s="135">
        <f>ROUND('[7]2038'!J33,2)</f>
        <v>30594.67</v>
      </c>
      <c r="K470" s="135">
        <f>ROUND('[7]2038'!K33,2)</f>
        <v>30467.45</v>
      </c>
      <c r="L470" s="135">
        <f>ROUND('[7]2038'!L33,2)</f>
        <v>32828.31</v>
      </c>
      <c r="M470" s="135">
        <f>ROUND('[7]2038'!M33,2)</f>
        <v>35565.730000000003</v>
      </c>
      <c r="N470" s="135">
        <f>ROUND('[7]2038'!N33,2)</f>
        <v>37694.21</v>
      </c>
      <c r="O470" s="135">
        <f>ROUND('[7]2038'!O33,2)</f>
        <v>39312.370000000003</v>
      </c>
      <c r="P470" s="135">
        <f>ROUND('[7]2038'!P33,2)</f>
        <v>41322.839999999997</v>
      </c>
      <c r="Q470" s="135">
        <f>ROUND('[7]2038'!Q33,2)</f>
        <v>42449.13</v>
      </c>
      <c r="R470" s="135">
        <f>ROUND('[7]2038'!R33,2)</f>
        <v>42662.55</v>
      </c>
      <c r="S470" s="135">
        <f>ROUND('[7]2038'!S33,2)</f>
        <v>42711.71</v>
      </c>
      <c r="T470" s="135">
        <f>ROUND('[7]2038'!T33,2)</f>
        <v>42795.42</v>
      </c>
      <c r="U470" s="135">
        <f>ROUND('[7]2038'!U33,2)</f>
        <v>42358.79</v>
      </c>
      <c r="V470" s="135">
        <f>ROUND('[7]2038'!V33,2)</f>
        <v>42369.83</v>
      </c>
      <c r="W470" s="135">
        <f>ROUND('[7]2038'!W33,2)</f>
        <v>47355.94</v>
      </c>
      <c r="X470" s="135">
        <f>ROUND('[7]2038'!X33,2)</f>
        <v>49153.35</v>
      </c>
      <c r="Y470" s="135">
        <f>ROUND('[7]2038'!Y33,2)</f>
        <v>48854.080000000002</v>
      </c>
      <c r="Z470" s="135">
        <f>ROUND('[7]2038'!Z33,2)</f>
        <v>47207.96</v>
      </c>
      <c r="AA470" s="135">
        <f>ROUND('[7]2038'!AA33,2)</f>
        <v>44188.93</v>
      </c>
      <c r="AB470" s="135">
        <f>ROUND('[7]2038'!AB33,2)</f>
        <v>40660.97</v>
      </c>
      <c r="AC470" s="282"/>
      <c r="AD470" s="187"/>
    </row>
    <row r="471" spans="2:30" s="188" customFormat="1" ht="18.649999999999999" hidden="1" customHeight="1" thickBot="1" x14ac:dyDescent="0.4">
      <c r="B471" s="261"/>
      <c r="C471" s="16" t="s">
        <v>32</v>
      </c>
      <c r="D471" s="17">
        <f>+'[7]2038'!D34</f>
        <v>1</v>
      </c>
      <c r="E471" s="136">
        <f>ROUND('[7]2038'!E34,2)</f>
        <v>35153.07</v>
      </c>
      <c r="F471" s="136">
        <f>ROUND('[7]2038'!F34,2)</f>
        <v>33776.480000000003</v>
      </c>
      <c r="G471" s="136">
        <f>ROUND('[7]2038'!G34,2)</f>
        <v>32364.720000000001</v>
      </c>
      <c r="H471" s="136">
        <f>ROUND('[7]2038'!H34,2)</f>
        <v>31614.07</v>
      </c>
      <c r="I471" s="136">
        <f>ROUND('[7]2038'!I34,2)</f>
        <v>31373.29</v>
      </c>
      <c r="J471" s="136">
        <f>ROUND('[7]2038'!J34,2)</f>
        <v>30594.67</v>
      </c>
      <c r="K471" s="136">
        <f>ROUND('[7]2038'!K34,2)</f>
        <v>30467.45</v>
      </c>
      <c r="L471" s="136">
        <f>ROUND('[7]2038'!L34,2)</f>
        <v>32828.31</v>
      </c>
      <c r="M471" s="136">
        <f>ROUND('[7]2038'!M34,2)</f>
        <v>35565.730000000003</v>
      </c>
      <c r="N471" s="136">
        <f>ROUND('[7]2038'!N34,2)</f>
        <v>37694.21</v>
      </c>
      <c r="O471" s="136">
        <f>ROUND('[7]2038'!O34,2)</f>
        <v>39312.370000000003</v>
      </c>
      <c r="P471" s="136">
        <f>ROUND('[7]2038'!P34,2)</f>
        <v>41322.839999999997</v>
      </c>
      <c r="Q471" s="136">
        <f>ROUND('[7]2038'!Q34,2)</f>
        <v>42449.13</v>
      </c>
      <c r="R471" s="136">
        <f>ROUND('[7]2038'!R34,2)</f>
        <v>42662.55</v>
      </c>
      <c r="S471" s="136">
        <f>ROUND('[7]2038'!S34,2)</f>
        <v>42711.71</v>
      </c>
      <c r="T471" s="136">
        <f>ROUND('[7]2038'!T34,2)</f>
        <v>42795.42</v>
      </c>
      <c r="U471" s="136">
        <f>ROUND('[7]2038'!U34,2)</f>
        <v>42358.79</v>
      </c>
      <c r="V471" s="136">
        <f>ROUND('[7]2038'!V34,2)</f>
        <v>42369.83</v>
      </c>
      <c r="W471" s="136">
        <f>ROUND('[7]2038'!W34,2)</f>
        <v>47355.94</v>
      </c>
      <c r="X471" s="136">
        <f>ROUND('[7]2038'!X34,2)</f>
        <v>49153.35</v>
      </c>
      <c r="Y471" s="136">
        <f>ROUND('[7]2038'!Y34,2)</f>
        <v>48854.080000000002</v>
      </c>
      <c r="Z471" s="136">
        <f>ROUND('[7]2038'!Z34,2)</f>
        <v>47207.96</v>
      </c>
      <c r="AA471" s="136">
        <f>ROUND('[7]2038'!AA34,2)</f>
        <v>44188.93</v>
      </c>
      <c r="AB471" s="136">
        <f>ROUND('[7]2038'!AB34,2)</f>
        <v>40660.97</v>
      </c>
      <c r="AC471" s="282"/>
      <c r="AD471" s="187"/>
    </row>
    <row r="472" spans="2:30" s="188" customFormat="1" ht="18.649999999999999" hidden="1" customHeight="1" x14ac:dyDescent="0.35">
      <c r="B472" s="263">
        <v>50557</v>
      </c>
      <c r="C472" s="7" t="s">
        <v>29</v>
      </c>
      <c r="D472" s="8">
        <f>+'[7]2038'!D35</f>
        <v>20</v>
      </c>
      <c r="E472" s="134">
        <f>ROUND('[7]2038'!E35,2)</f>
        <v>34782.46</v>
      </c>
      <c r="F472" s="134">
        <f>ROUND('[7]2038'!F35,2)</f>
        <v>33055.68</v>
      </c>
      <c r="G472" s="134">
        <f>ROUND('[7]2038'!G35,2)</f>
        <v>31779.87</v>
      </c>
      <c r="H472" s="134">
        <f>ROUND('[7]2038'!H35,2)</f>
        <v>30928.51</v>
      </c>
      <c r="I472" s="134">
        <f>ROUND('[7]2038'!I35,2)</f>
        <v>30701.09</v>
      </c>
      <c r="J472" s="134">
        <f>ROUND('[7]2038'!J35,2)</f>
        <v>30374.9</v>
      </c>
      <c r="K472" s="134">
        <f>ROUND('[7]2038'!K35,2)</f>
        <v>30881.74</v>
      </c>
      <c r="L472" s="134">
        <f>ROUND('[7]2038'!L35,2)</f>
        <v>34601.58</v>
      </c>
      <c r="M472" s="134">
        <f>ROUND('[7]2038'!M35,2)</f>
        <v>38691.79</v>
      </c>
      <c r="N472" s="134">
        <f>ROUND('[7]2038'!N35,2)</f>
        <v>41206.730000000003</v>
      </c>
      <c r="O472" s="134">
        <f>ROUND('[7]2038'!O35,2)</f>
        <v>43392.18</v>
      </c>
      <c r="P472" s="134">
        <f>ROUND('[7]2038'!P35,2)</f>
        <v>44594.95</v>
      </c>
      <c r="Q472" s="134">
        <f>ROUND('[7]2038'!Q35,2)</f>
        <v>43936.59</v>
      </c>
      <c r="R472" s="134">
        <f>ROUND('[7]2038'!R35,2)</f>
        <v>43182.2</v>
      </c>
      <c r="S472" s="134">
        <f>ROUND('[7]2038'!S35,2)</f>
        <v>43218.62</v>
      </c>
      <c r="T472" s="134">
        <f>ROUND('[7]2038'!T35,2)</f>
        <v>43094.35</v>
      </c>
      <c r="U472" s="134">
        <f>ROUND('[7]2038'!U35,2)</f>
        <v>42657.760000000002</v>
      </c>
      <c r="V472" s="134">
        <f>ROUND('[7]2038'!V35,2)</f>
        <v>42703.32</v>
      </c>
      <c r="W472" s="134">
        <f>ROUND('[7]2038'!W35,2)</f>
        <v>46382.15</v>
      </c>
      <c r="X472" s="134">
        <f>ROUND('[7]2038'!X35,2)</f>
        <v>47044.26</v>
      </c>
      <c r="Y472" s="134">
        <f>ROUND('[7]2038'!Y35,2)</f>
        <v>45405.120000000003</v>
      </c>
      <c r="Z472" s="134">
        <f>ROUND('[7]2038'!Z35,2)</f>
        <v>43534.35</v>
      </c>
      <c r="AA472" s="134">
        <f>ROUND('[7]2038'!AA35,2)</f>
        <v>41225.5</v>
      </c>
      <c r="AB472" s="134">
        <f>ROUND('[7]2038'!AB35,2)</f>
        <v>38616.74</v>
      </c>
      <c r="AC472" s="283">
        <f>SUM(E472:AB472)*D472+SUM(E473:AB473)*D473+SUM(E474:AB474)*D474+SUM(E475:AB475)*D475</f>
        <v>28242753.479999997</v>
      </c>
      <c r="AD472" s="187"/>
    </row>
    <row r="473" spans="2:30" s="188" customFormat="1" ht="18.649999999999999" hidden="1" customHeight="1" x14ac:dyDescent="0.35">
      <c r="B473" s="264" t="s">
        <v>34</v>
      </c>
      <c r="C473" s="10" t="s">
        <v>30</v>
      </c>
      <c r="D473" s="11">
        <f>+'[7]2038'!D36</f>
        <v>4</v>
      </c>
      <c r="E473" s="135">
        <f>ROUND('[7]2038'!E36,2)</f>
        <v>35819.32</v>
      </c>
      <c r="F473" s="135">
        <f>ROUND('[7]2038'!F36,2)</f>
        <v>34056.61</v>
      </c>
      <c r="G473" s="135">
        <f>ROUND('[7]2038'!G36,2)</f>
        <v>32717.17</v>
      </c>
      <c r="H473" s="135">
        <f>ROUND('[7]2038'!H36,2)</f>
        <v>31787.77</v>
      </c>
      <c r="I473" s="135">
        <f>ROUND('[7]2038'!I36,2)</f>
        <v>31678.400000000001</v>
      </c>
      <c r="J473" s="135">
        <f>ROUND('[7]2038'!J36,2)</f>
        <v>32033.93</v>
      </c>
      <c r="K473" s="135">
        <f>ROUND('[7]2038'!K36,2)</f>
        <v>32251.34</v>
      </c>
      <c r="L473" s="135">
        <f>ROUND('[7]2038'!L36,2)</f>
        <v>35879.54</v>
      </c>
      <c r="M473" s="135">
        <f>ROUND('[7]2038'!M36,2)</f>
        <v>39712.53</v>
      </c>
      <c r="N473" s="135">
        <f>ROUND('[7]2038'!N36,2)</f>
        <v>41930.46</v>
      </c>
      <c r="O473" s="135">
        <f>ROUND('[7]2038'!O36,2)</f>
        <v>44023.35</v>
      </c>
      <c r="P473" s="135">
        <f>ROUND('[7]2038'!P36,2)</f>
        <v>45389.2</v>
      </c>
      <c r="Q473" s="135">
        <f>ROUND('[7]2038'!Q36,2)</f>
        <v>44233.41</v>
      </c>
      <c r="R473" s="135">
        <f>ROUND('[7]2038'!R36,2)</f>
        <v>45297.43</v>
      </c>
      <c r="S473" s="135">
        <f>ROUND('[7]2038'!S36,2)</f>
        <v>46835.51</v>
      </c>
      <c r="T473" s="135">
        <f>ROUND('[7]2038'!T36,2)</f>
        <v>46897.03</v>
      </c>
      <c r="U473" s="135">
        <f>ROUND('[7]2038'!U36,2)</f>
        <v>46024.160000000003</v>
      </c>
      <c r="V473" s="135">
        <f>ROUND('[7]2038'!V36,2)</f>
        <v>44511.43</v>
      </c>
      <c r="W473" s="135">
        <f>ROUND('[7]2038'!W36,2)</f>
        <v>47128.05</v>
      </c>
      <c r="X473" s="135">
        <f>ROUND('[7]2038'!X36,2)</f>
        <v>48507.03</v>
      </c>
      <c r="Y473" s="135">
        <f>ROUND('[7]2038'!Y36,2)</f>
        <v>47400.85</v>
      </c>
      <c r="Z473" s="135">
        <f>ROUND('[7]2038'!Z36,2)</f>
        <v>45391.87</v>
      </c>
      <c r="AA473" s="135">
        <f>ROUND('[7]2038'!AA36,2)</f>
        <v>42116.75</v>
      </c>
      <c r="AB473" s="135">
        <f>ROUND('[7]2038'!AB36,2)</f>
        <v>38689.480000000003</v>
      </c>
      <c r="AC473" s="282"/>
      <c r="AD473" s="187"/>
    </row>
    <row r="474" spans="2:30" s="188" customFormat="1" ht="18.649999999999999" hidden="1" customHeight="1" x14ac:dyDescent="0.35">
      <c r="B474" s="264" t="s">
        <v>34</v>
      </c>
      <c r="C474" s="10" t="s">
        <v>31</v>
      </c>
      <c r="D474" s="11">
        <f>+'[7]2038'!D37</f>
        <v>4</v>
      </c>
      <c r="E474" s="135">
        <f>ROUND('[7]2038'!E37,2)</f>
        <v>34094.980000000003</v>
      </c>
      <c r="F474" s="135">
        <f>ROUND('[7]2038'!F37,2)</f>
        <v>32716.94</v>
      </c>
      <c r="G474" s="135">
        <f>ROUND('[7]2038'!G37,2)</f>
        <v>31590.9</v>
      </c>
      <c r="H474" s="135">
        <f>ROUND('[7]2038'!H37,2)</f>
        <v>30861.34</v>
      </c>
      <c r="I474" s="135">
        <f>ROUND('[7]2038'!I37,2)</f>
        <v>30570.32</v>
      </c>
      <c r="J474" s="135">
        <f>ROUND('[7]2038'!J37,2)</f>
        <v>29714.28</v>
      </c>
      <c r="K474" s="135">
        <f>ROUND('[7]2038'!K37,2)</f>
        <v>29323.31</v>
      </c>
      <c r="L474" s="135">
        <f>ROUND('[7]2038'!L37,2)</f>
        <v>31712.1</v>
      </c>
      <c r="M474" s="135">
        <f>ROUND('[7]2038'!M37,2)</f>
        <v>34474.46</v>
      </c>
      <c r="N474" s="135">
        <f>ROUND('[7]2038'!N37,2)</f>
        <v>36195.72</v>
      </c>
      <c r="O474" s="135">
        <f>ROUND('[7]2038'!O37,2)</f>
        <v>38236.94</v>
      </c>
      <c r="P474" s="135">
        <f>ROUND('[7]2038'!P37,2)</f>
        <v>39747.519999999997</v>
      </c>
      <c r="Q474" s="135">
        <f>ROUND('[7]2038'!Q37,2)</f>
        <v>40517.949999999997</v>
      </c>
      <c r="R474" s="135">
        <f>ROUND('[7]2038'!R37,2)</f>
        <v>40357.339999999997</v>
      </c>
      <c r="S474" s="135">
        <f>ROUND('[7]2038'!S37,2)</f>
        <v>40021.65</v>
      </c>
      <c r="T474" s="135">
        <f>ROUND('[7]2038'!T37,2)</f>
        <v>39713.03</v>
      </c>
      <c r="U474" s="135">
        <f>ROUND('[7]2038'!U37,2)</f>
        <v>39409.32</v>
      </c>
      <c r="V474" s="135">
        <f>ROUND('[7]2038'!V37,2)</f>
        <v>40003.81</v>
      </c>
      <c r="W474" s="135">
        <f>ROUND('[7]2038'!W37,2)</f>
        <v>44833.07</v>
      </c>
      <c r="X474" s="135">
        <f>ROUND('[7]2038'!X37,2)</f>
        <v>46614.71</v>
      </c>
      <c r="Y474" s="135">
        <f>ROUND('[7]2038'!Y37,2)</f>
        <v>46023.19</v>
      </c>
      <c r="Z474" s="135">
        <f>ROUND('[7]2038'!Z37,2)</f>
        <v>44322.74</v>
      </c>
      <c r="AA474" s="135">
        <f>ROUND('[7]2038'!AA37,2)</f>
        <v>41327.43</v>
      </c>
      <c r="AB474" s="135">
        <f>ROUND('[7]2038'!AB37,2)</f>
        <v>37892.65</v>
      </c>
      <c r="AC474" s="282"/>
      <c r="AD474" s="187"/>
    </row>
    <row r="475" spans="2:30" s="188" customFormat="1" ht="18.649999999999999" hidden="1" customHeight="1" thickBot="1" x14ac:dyDescent="0.4">
      <c r="B475" s="265" t="s">
        <v>34</v>
      </c>
      <c r="C475" s="12" t="s">
        <v>32</v>
      </c>
      <c r="D475" s="13">
        <f>+'[7]2038'!D38</f>
        <v>2</v>
      </c>
      <c r="E475" s="132">
        <f>ROUND('[7]2038'!E38,2)</f>
        <v>34094.980000000003</v>
      </c>
      <c r="F475" s="132">
        <f>ROUND('[7]2038'!F38,2)</f>
        <v>32716.94</v>
      </c>
      <c r="G475" s="132">
        <f>ROUND('[7]2038'!G38,2)</f>
        <v>31590.9</v>
      </c>
      <c r="H475" s="132">
        <f>ROUND('[7]2038'!H38,2)</f>
        <v>30861.34</v>
      </c>
      <c r="I475" s="132">
        <f>ROUND('[7]2038'!I38,2)</f>
        <v>30570.32</v>
      </c>
      <c r="J475" s="132">
        <f>ROUND('[7]2038'!J38,2)</f>
        <v>29714.28</v>
      </c>
      <c r="K475" s="132">
        <f>ROUND('[7]2038'!K38,2)</f>
        <v>29323.31</v>
      </c>
      <c r="L475" s="132">
        <f>ROUND('[7]2038'!L38,2)</f>
        <v>31712.1</v>
      </c>
      <c r="M475" s="132">
        <f>ROUND('[7]2038'!M38,2)</f>
        <v>34474.46</v>
      </c>
      <c r="N475" s="132">
        <f>ROUND('[7]2038'!N38,2)</f>
        <v>36195.72</v>
      </c>
      <c r="O475" s="132">
        <f>ROUND('[7]2038'!O38,2)</f>
        <v>38236.94</v>
      </c>
      <c r="P475" s="132">
        <f>ROUND('[7]2038'!P38,2)</f>
        <v>39747.519999999997</v>
      </c>
      <c r="Q475" s="132">
        <f>ROUND('[7]2038'!Q38,2)</f>
        <v>40517.949999999997</v>
      </c>
      <c r="R475" s="132">
        <f>ROUND('[7]2038'!R38,2)</f>
        <v>40357.339999999997</v>
      </c>
      <c r="S475" s="132">
        <f>ROUND('[7]2038'!S38,2)</f>
        <v>40021.65</v>
      </c>
      <c r="T475" s="132">
        <f>ROUND('[7]2038'!T38,2)</f>
        <v>39713.03</v>
      </c>
      <c r="U475" s="132">
        <f>ROUND('[7]2038'!U38,2)</f>
        <v>39409.32</v>
      </c>
      <c r="V475" s="132">
        <f>ROUND('[7]2038'!V38,2)</f>
        <v>40003.81</v>
      </c>
      <c r="W475" s="132">
        <f>ROUND('[7]2038'!W38,2)</f>
        <v>44833.07</v>
      </c>
      <c r="X475" s="132">
        <f>ROUND('[7]2038'!X38,2)</f>
        <v>46614.71</v>
      </c>
      <c r="Y475" s="132">
        <f>ROUND('[7]2038'!Y38,2)</f>
        <v>46023.19</v>
      </c>
      <c r="Z475" s="132">
        <f>ROUND('[7]2038'!Z38,2)</f>
        <v>44322.74</v>
      </c>
      <c r="AA475" s="132">
        <f>ROUND('[7]2038'!AA38,2)</f>
        <v>41327.43</v>
      </c>
      <c r="AB475" s="132">
        <f>ROUND('[7]2038'!AB38,2)</f>
        <v>37892.65</v>
      </c>
      <c r="AC475" s="284"/>
      <c r="AD475" s="187"/>
    </row>
    <row r="476" spans="2:30" s="188" customFormat="1" ht="18.649999999999999" hidden="1" customHeight="1" x14ac:dyDescent="0.35">
      <c r="B476" s="260">
        <v>50587</v>
      </c>
      <c r="C476" s="14" t="s">
        <v>29</v>
      </c>
      <c r="D476" s="15">
        <f>+'[7]2038'!D39</f>
        <v>20</v>
      </c>
      <c r="E476" s="137">
        <f>ROUND('[7]2038'!E39,2)</f>
        <v>35321.370000000003</v>
      </c>
      <c r="F476" s="137">
        <f>ROUND('[7]2038'!F39,2)</f>
        <v>33621.519999999997</v>
      </c>
      <c r="G476" s="137">
        <f>ROUND('[7]2038'!G39,2)</f>
        <v>32500.959999999999</v>
      </c>
      <c r="H476" s="137">
        <f>ROUND('[7]2038'!H39,2)</f>
        <v>31671.42</v>
      </c>
      <c r="I476" s="137">
        <f>ROUND('[7]2038'!I39,2)</f>
        <v>31542.76</v>
      </c>
      <c r="J476" s="137">
        <f>ROUND('[7]2038'!J39,2)</f>
        <v>31395.74</v>
      </c>
      <c r="K476" s="137">
        <f>ROUND('[7]2038'!K39,2)</f>
        <v>31684.75</v>
      </c>
      <c r="L476" s="137">
        <f>ROUND('[7]2038'!L39,2)</f>
        <v>35380.89</v>
      </c>
      <c r="M476" s="137">
        <f>ROUND('[7]2038'!M39,2)</f>
        <v>39680.959999999999</v>
      </c>
      <c r="N476" s="137">
        <f>ROUND('[7]2038'!N39,2)</f>
        <v>42117.15</v>
      </c>
      <c r="O476" s="137">
        <f>ROUND('[7]2038'!O39,2)</f>
        <v>44308.45</v>
      </c>
      <c r="P476" s="137">
        <f>ROUND('[7]2038'!P39,2)</f>
        <v>45305.49</v>
      </c>
      <c r="Q476" s="137">
        <f>ROUND('[7]2038'!Q39,2)</f>
        <v>44714.47</v>
      </c>
      <c r="R476" s="137">
        <f>ROUND('[7]2038'!R39,2)</f>
        <v>44094.38</v>
      </c>
      <c r="S476" s="137">
        <f>ROUND('[7]2038'!S39,2)</f>
        <v>44166.65</v>
      </c>
      <c r="T476" s="137">
        <f>ROUND('[7]2038'!T39,2)</f>
        <v>44287.58</v>
      </c>
      <c r="U476" s="137">
        <f>ROUND('[7]2038'!U39,2)</f>
        <v>43668.34</v>
      </c>
      <c r="V476" s="137">
        <f>ROUND('[7]2038'!V39,2)</f>
        <v>43570.239999999998</v>
      </c>
      <c r="W476" s="137">
        <f>ROUND('[7]2038'!W39,2)</f>
        <v>47260.62</v>
      </c>
      <c r="X476" s="137">
        <f>ROUND('[7]2038'!X39,2)</f>
        <v>48516.480000000003</v>
      </c>
      <c r="Y476" s="137">
        <f>ROUND('[7]2038'!Y39,2)</f>
        <v>46971.54</v>
      </c>
      <c r="Z476" s="137">
        <f>ROUND('[7]2038'!Z39,2)</f>
        <v>44888.9</v>
      </c>
      <c r="AA476" s="137">
        <f>ROUND('[7]2038'!AA39,2)</f>
        <v>42239.12</v>
      </c>
      <c r="AB476" s="137">
        <f>ROUND('[7]2038'!AB39,2)</f>
        <v>39416.17</v>
      </c>
      <c r="AC476" s="282">
        <f>SUM(E476:AB476)*D476+SUM(E477:AB477)*D477+SUM(E478:AB478)*D478+SUM(E479:AB479)*D479</f>
        <v>30105744.789999999</v>
      </c>
      <c r="AD476" s="187"/>
    </row>
    <row r="477" spans="2:30" s="188" customFormat="1" ht="18.649999999999999" hidden="1" customHeight="1" x14ac:dyDescent="0.35">
      <c r="B477" s="261"/>
      <c r="C477" s="10" t="s">
        <v>30</v>
      </c>
      <c r="D477" s="11">
        <f>+'[7]2038'!D40</f>
        <v>5</v>
      </c>
      <c r="E477" s="135">
        <f>ROUND('[7]2038'!E40,2)</f>
        <v>37569.379999999997</v>
      </c>
      <c r="F477" s="135">
        <f>ROUND('[7]2038'!F40,2)</f>
        <v>35601.72</v>
      </c>
      <c r="G477" s="135">
        <f>ROUND('[7]2038'!G40,2)</f>
        <v>34159.54</v>
      </c>
      <c r="H477" s="135">
        <f>ROUND('[7]2038'!H40,2)</f>
        <v>33142.01</v>
      </c>
      <c r="I477" s="135">
        <f>ROUND('[7]2038'!I40,2)</f>
        <v>33071.85</v>
      </c>
      <c r="J477" s="135">
        <f>ROUND('[7]2038'!J40,2)</f>
        <v>33677.660000000003</v>
      </c>
      <c r="K477" s="135">
        <f>ROUND('[7]2038'!K40,2)</f>
        <v>33875.18</v>
      </c>
      <c r="L477" s="135">
        <f>ROUND('[7]2038'!L40,2)</f>
        <v>37568.839999999997</v>
      </c>
      <c r="M477" s="135">
        <f>ROUND('[7]2038'!M40,2)</f>
        <v>41544.6</v>
      </c>
      <c r="N477" s="135">
        <f>ROUND('[7]2038'!N40,2)</f>
        <v>43804.15</v>
      </c>
      <c r="O477" s="135">
        <f>ROUND('[7]2038'!O40,2)</f>
        <v>46087.78</v>
      </c>
      <c r="P477" s="135">
        <f>ROUND('[7]2038'!P40,2)</f>
        <v>47735.71</v>
      </c>
      <c r="Q477" s="135">
        <f>ROUND('[7]2038'!Q40,2)</f>
        <v>46488.69</v>
      </c>
      <c r="R477" s="135">
        <f>ROUND('[7]2038'!R40,2)</f>
        <v>47420.54</v>
      </c>
      <c r="S477" s="135">
        <f>ROUND('[7]2038'!S40,2)</f>
        <v>48986.44</v>
      </c>
      <c r="T477" s="135">
        <f>ROUND('[7]2038'!T40,2)</f>
        <v>48986.89</v>
      </c>
      <c r="U477" s="135">
        <f>ROUND('[7]2038'!U40,2)</f>
        <v>48052.21</v>
      </c>
      <c r="V477" s="135">
        <f>ROUND('[7]2038'!V40,2)</f>
        <v>46673.37</v>
      </c>
      <c r="W477" s="135">
        <f>ROUND('[7]2038'!W40,2)</f>
        <v>49880.95</v>
      </c>
      <c r="X477" s="135">
        <f>ROUND('[7]2038'!X40,2)</f>
        <v>50908.79</v>
      </c>
      <c r="Y477" s="135">
        <f>ROUND('[7]2038'!Y40,2)</f>
        <v>49832.67</v>
      </c>
      <c r="Z477" s="135">
        <f>ROUND('[7]2038'!Z40,2)</f>
        <v>47713.52</v>
      </c>
      <c r="AA477" s="135">
        <f>ROUND('[7]2038'!AA40,2)</f>
        <v>44230.06</v>
      </c>
      <c r="AB477" s="135">
        <f>ROUND('[7]2038'!AB40,2)</f>
        <v>40480.160000000003</v>
      </c>
      <c r="AC477" s="282"/>
      <c r="AD477" s="187"/>
    </row>
    <row r="478" spans="2:30" s="188" customFormat="1" ht="18.649999999999999" hidden="1" customHeight="1" x14ac:dyDescent="0.35">
      <c r="B478" s="261"/>
      <c r="C478" s="10" t="s">
        <v>31</v>
      </c>
      <c r="D478" s="11">
        <f>+'[7]2038'!D41</f>
        <v>4</v>
      </c>
      <c r="E478" s="135">
        <f>ROUND('[7]2038'!E41,2)</f>
        <v>35436.019999999997</v>
      </c>
      <c r="F478" s="135">
        <f>ROUND('[7]2038'!F41,2)</f>
        <v>34012.589999999997</v>
      </c>
      <c r="G478" s="135">
        <f>ROUND('[7]2038'!G41,2)</f>
        <v>32807.69</v>
      </c>
      <c r="H478" s="135">
        <f>ROUND('[7]2038'!H41,2)</f>
        <v>31704.69</v>
      </c>
      <c r="I478" s="135">
        <f>ROUND('[7]2038'!I41,2)</f>
        <v>31334.38</v>
      </c>
      <c r="J478" s="135">
        <f>ROUND('[7]2038'!J41,2)</f>
        <v>30846.080000000002</v>
      </c>
      <c r="K478" s="135">
        <f>ROUND('[7]2038'!K41,2)</f>
        <v>30258.2</v>
      </c>
      <c r="L478" s="135">
        <f>ROUND('[7]2038'!L41,2)</f>
        <v>32514.43</v>
      </c>
      <c r="M478" s="135">
        <f>ROUND('[7]2038'!M41,2)</f>
        <v>35462.910000000003</v>
      </c>
      <c r="N478" s="135">
        <f>ROUND('[7]2038'!N41,2)</f>
        <v>37842.18</v>
      </c>
      <c r="O478" s="135">
        <f>ROUND('[7]2038'!O41,2)</f>
        <v>39548.61</v>
      </c>
      <c r="P478" s="135">
        <f>ROUND('[7]2038'!P41,2)</f>
        <v>40413.46</v>
      </c>
      <c r="Q478" s="135">
        <f>ROUND('[7]2038'!Q41,2)</f>
        <v>41897.360000000001</v>
      </c>
      <c r="R478" s="135">
        <f>ROUND('[7]2038'!R41,2)</f>
        <v>41994.84</v>
      </c>
      <c r="S478" s="135">
        <f>ROUND('[7]2038'!S41,2)</f>
        <v>41920.28</v>
      </c>
      <c r="T478" s="135">
        <f>ROUND('[7]2038'!T41,2)</f>
        <v>42040.49</v>
      </c>
      <c r="U478" s="135">
        <f>ROUND('[7]2038'!U41,2)</f>
        <v>41712.160000000003</v>
      </c>
      <c r="V478" s="135">
        <f>ROUND('[7]2038'!V41,2)</f>
        <v>41334.32</v>
      </c>
      <c r="W478" s="135">
        <f>ROUND('[7]2038'!W41,2)</f>
        <v>45680.33</v>
      </c>
      <c r="X478" s="135">
        <f>ROUND('[7]2038'!X41,2)</f>
        <v>48186.14</v>
      </c>
      <c r="Y478" s="135">
        <f>ROUND('[7]2038'!Y41,2)</f>
        <v>47534.54</v>
      </c>
      <c r="Z478" s="135">
        <f>ROUND('[7]2038'!Z41,2)</f>
        <v>45906.34</v>
      </c>
      <c r="AA478" s="135">
        <f>ROUND('[7]2038'!AA41,2)</f>
        <v>43152.56</v>
      </c>
      <c r="AB478" s="135">
        <f>ROUND('[7]2038'!AB41,2)</f>
        <v>40086.44</v>
      </c>
      <c r="AC478" s="282"/>
      <c r="AD478" s="187"/>
    </row>
    <row r="479" spans="2:30" s="188" customFormat="1" ht="18.649999999999999" hidden="1" customHeight="1" thickBot="1" x14ac:dyDescent="0.4">
      <c r="B479" s="261"/>
      <c r="C479" s="16" t="s">
        <v>32</v>
      </c>
      <c r="D479" s="17">
        <f>+'[7]2038'!D42</f>
        <v>2</v>
      </c>
      <c r="E479" s="135">
        <f>ROUND('[7]2038'!E42,2)</f>
        <v>35436.019999999997</v>
      </c>
      <c r="F479" s="135">
        <f>ROUND('[7]2038'!F42,2)</f>
        <v>34012.589999999997</v>
      </c>
      <c r="G479" s="135">
        <f>ROUND('[7]2038'!G42,2)</f>
        <v>32807.69</v>
      </c>
      <c r="H479" s="135">
        <f>ROUND('[7]2038'!H42,2)</f>
        <v>31704.69</v>
      </c>
      <c r="I479" s="135">
        <f>ROUND('[7]2038'!I42,2)</f>
        <v>31334.38</v>
      </c>
      <c r="J479" s="135">
        <f>ROUND('[7]2038'!J42,2)</f>
        <v>30846.080000000002</v>
      </c>
      <c r="K479" s="135">
        <f>ROUND('[7]2038'!K42,2)</f>
        <v>30258.2</v>
      </c>
      <c r="L479" s="135">
        <f>ROUND('[7]2038'!L42,2)</f>
        <v>32514.43</v>
      </c>
      <c r="M479" s="135">
        <f>ROUND('[7]2038'!M42,2)</f>
        <v>35462.910000000003</v>
      </c>
      <c r="N479" s="135">
        <f>ROUND('[7]2038'!N42,2)</f>
        <v>37842.18</v>
      </c>
      <c r="O479" s="135">
        <f>ROUND('[7]2038'!O42,2)</f>
        <v>39548.61</v>
      </c>
      <c r="P479" s="135">
        <f>ROUND('[7]2038'!P42,2)</f>
        <v>40413.46</v>
      </c>
      <c r="Q479" s="135">
        <f>ROUND('[7]2038'!Q42,2)</f>
        <v>41897.360000000001</v>
      </c>
      <c r="R479" s="135">
        <f>ROUND('[7]2038'!R42,2)</f>
        <v>41994.84</v>
      </c>
      <c r="S479" s="135">
        <f>ROUND('[7]2038'!S42,2)</f>
        <v>41920.28</v>
      </c>
      <c r="T479" s="135">
        <f>ROUND('[7]2038'!T42,2)</f>
        <v>42040.49</v>
      </c>
      <c r="U479" s="135">
        <f>ROUND('[7]2038'!U42,2)</f>
        <v>41712.160000000003</v>
      </c>
      <c r="V479" s="135">
        <f>ROUND('[7]2038'!V42,2)</f>
        <v>41334.32</v>
      </c>
      <c r="W479" s="135">
        <f>ROUND('[7]2038'!W42,2)</f>
        <v>45680.33</v>
      </c>
      <c r="X479" s="135">
        <f>ROUND('[7]2038'!X42,2)</f>
        <v>48186.14</v>
      </c>
      <c r="Y479" s="135">
        <f>ROUND('[7]2038'!Y42,2)</f>
        <v>47534.54</v>
      </c>
      <c r="Z479" s="135">
        <f>ROUND('[7]2038'!Z42,2)</f>
        <v>45906.34</v>
      </c>
      <c r="AA479" s="135">
        <f>ROUND('[7]2038'!AA42,2)</f>
        <v>43152.56</v>
      </c>
      <c r="AB479" s="135">
        <f>ROUND('[7]2038'!AB42,2)</f>
        <v>40086.44</v>
      </c>
      <c r="AC479" s="282"/>
      <c r="AD479" s="187"/>
    </row>
    <row r="480" spans="2:30" s="188" customFormat="1" ht="18.649999999999999" hidden="1" customHeight="1" x14ac:dyDescent="0.35">
      <c r="B480" s="263">
        <v>50618</v>
      </c>
      <c r="C480" s="7" t="s">
        <v>29</v>
      </c>
      <c r="D480" s="8">
        <f>+'[7]2038'!D43</f>
        <v>21</v>
      </c>
      <c r="E480" s="134">
        <f>ROUND('[7]2038'!E43,2)</f>
        <v>36750.49</v>
      </c>
      <c r="F480" s="134">
        <f>ROUND('[7]2038'!F43,2)</f>
        <v>34770.15</v>
      </c>
      <c r="G480" s="134">
        <f>ROUND('[7]2038'!G43,2)</f>
        <v>33292.58</v>
      </c>
      <c r="H480" s="134">
        <f>ROUND('[7]2038'!H43,2)</f>
        <v>32303.08</v>
      </c>
      <c r="I480" s="134">
        <f>ROUND('[7]2038'!I43,2)</f>
        <v>31939.61</v>
      </c>
      <c r="J480" s="134">
        <f>ROUND('[7]2038'!J43,2)</f>
        <v>31848.05</v>
      </c>
      <c r="K480" s="134">
        <f>ROUND('[7]2038'!K43,2)</f>
        <v>31952.65</v>
      </c>
      <c r="L480" s="134">
        <f>ROUND('[7]2038'!L43,2)</f>
        <v>35639.61</v>
      </c>
      <c r="M480" s="134">
        <f>ROUND('[7]2038'!M43,2)</f>
        <v>39790.93</v>
      </c>
      <c r="N480" s="134">
        <f>ROUND('[7]2038'!N43,2)</f>
        <v>42342.3</v>
      </c>
      <c r="O480" s="134">
        <f>ROUND('[7]2038'!O43,2)</f>
        <v>44461.19</v>
      </c>
      <c r="P480" s="134">
        <f>ROUND('[7]2038'!P43,2)</f>
        <v>45812.89</v>
      </c>
      <c r="Q480" s="134">
        <f>ROUND('[7]2038'!Q43,2)</f>
        <v>45052.72</v>
      </c>
      <c r="R480" s="134">
        <f>ROUND('[7]2038'!R43,2)</f>
        <v>44410.69</v>
      </c>
      <c r="S480" s="134">
        <f>ROUND('[7]2038'!S43,2)</f>
        <v>44343.82</v>
      </c>
      <c r="T480" s="134">
        <f>ROUND('[7]2038'!T43,2)</f>
        <v>43981.97</v>
      </c>
      <c r="U480" s="134">
        <f>ROUND('[7]2038'!U43,2)</f>
        <v>43100.32</v>
      </c>
      <c r="V480" s="134">
        <f>ROUND('[7]2038'!V43,2)</f>
        <v>43043.17</v>
      </c>
      <c r="W480" s="134">
        <f>ROUND('[7]2038'!W43,2)</f>
        <v>46945.54</v>
      </c>
      <c r="X480" s="134">
        <f>ROUND('[7]2038'!X43,2)</f>
        <v>47548.07</v>
      </c>
      <c r="Y480" s="134">
        <f>ROUND('[7]2038'!Y43,2)</f>
        <v>46154.65</v>
      </c>
      <c r="Z480" s="134">
        <f>ROUND('[7]2038'!Z43,2)</f>
        <v>44233.53</v>
      </c>
      <c r="AA480" s="134">
        <f>ROUND('[7]2038'!AA43,2)</f>
        <v>41523.4</v>
      </c>
      <c r="AB480" s="134">
        <f>ROUND('[7]2038'!AB43,2)</f>
        <v>38637.32</v>
      </c>
      <c r="AC480" s="283">
        <f>SUM(E480:AB480)*D480+SUM(E481:AB481)*D481+SUM(E482:AB482)*D482+SUM(E483:AB483)*D483</f>
        <v>29856102.889999997</v>
      </c>
      <c r="AD480" s="187"/>
    </row>
    <row r="481" spans="2:30" s="188" customFormat="1" ht="18.649999999999999" hidden="1" customHeight="1" x14ac:dyDescent="0.35">
      <c r="B481" s="264" t="s">
        <v>34</v>
      </c>
      <c r="C481" s="10" t="s">
        <v>30</v>
      </c>
      <c r="D481" s="11">
        <f>+'[7]2038'!D44</f>
        <v>3</v>
      </c>
      <c r="E481" s="135">
        <f>ROUND('[7]2038'!E44,2)</f>
        <v>36264.959999999999</v>
      </c>
      <c r="F481" s="135">
        <f>ROUND('[7]2038'!F44,2)</f>
        <v>34464.89</v>
      </c>
      <c r="G481" s="135">
        <f>ROUND('[7]2038'!G44,2)</f>
        <v>33088.14</v>
      </c>
      <c r="H481" s="135">
        <f>ROUND('[7]2038'!H44,2)</f>
        <v>32117.27</v>
      </c>
      <c r="I481" s="135">
        <f>ROUND('[7]2038'!I44,2)</f>
        <v>32024.58</v>
      </c>
      <c r="J481" s="135">
        <f>ROUND('[7]2038'!J44,2)</f>
        <v>32548.49</v>
      </c>
      <c r="K481" s="135">
        <f>ROUND('[7]2038'!K44,2)</f>
        <v>32895.81</v>
      </c>
      <c r="L481" s="135">
        <f>ROUND('[7]2038'!L44,2)</f>
        <v>36648.639999999999</v>
      </c>
      <c r="M481" s="135">
        <f>ROUND('[7]2038'!M44,2)</f>
        <v>40494.33</v>
      </c>
      <c r="N481" s="135">
        <f>ROUND('[7]2038'!N44,2)</f>
        <v>42672.82</v>
      </c>
      <c r="O481" s="135">
        <f>ROUND('[7]2038'!O44,2)</f>
        <v>44934.1</v>
      </c>
      <c r="P481" s="135">
        <f>ROUND('[7]2038'!P44,2)</f>
        <v>46464.15</v>
      </c>
      <c r="Q481" s="135">
        <f>ROUND('[7]2038'!Q44,2)</f>
        <v>45271.93</v>
      </c>
      <c r="R481" s="135">
        <f>ROUND('[7]2038'!R44,2)</f>
        <v>46342.61</v>
      </c>
      <c r="S481" s="135">
        <f>ROUND('[7]2038'!S44,2)</f>
        <v>47952.01</v>
      </c>
      <c r="T481" s="135">
        <f>ROUND('[7]2038'!T44,2)</f>
        <v>47986.12</v>
      </c>
      <c r="U481" s="135">
        <f>ROUND('[7]2038'!U44,2)</f>
        <v>47101.59</v>
      </c>
      <c r="V481" s="135">
        <f>ROUND('[7]2038'!V44,2)</f>
        <v>46309.919999999998</v>
      </c>
      <c r="W481" s="135">
        <f>ROUND('[7]2038'!W44,2)</f>
        <v>49711.54</v>
      </c>
      <c r="X481" s="135">
        <f>ROUND('[7]2038'!X44,2)</f>
        <v>49509.62</v>
      </c>
      <c r="Y481" s="135">
        <f>ROUND('[7]2038'!Y44,2)</f>
        <v>48231.94</v>
      </c>
      <c r="Z481" s="135">
        <f>ROUND('[7]2038'!Z44,2)</f>
        <v>46021.35</v>
      </c>
      <c r="AA481" s="135">
        <f>ROUND('[7]2038'!AA44,2)</f>
        <v>42498.06</v>
      </c>
      <c r="AB481" s="135">
        <f>ROUND('[7]2038'!AB44,2)</f>
        <v>38883.370000000003</v>
      </c>
      <c r="AC481" s="282"/>
      <c r="AD481" s="187"/>
    </row>
    <row r="482" spans="2:30" s="188" customFormat="1" ht="18.649999999999999" hidden="1" customHeight="1" x14ac:dyDescent="0.35">
      <c r="B482" s="264" t="s">
        <v>34</v>
      </c>
      <c r="C482" s="10" t="s">
        <v>31</v>
      </c>
      <c r="D482" s="11">
        <f>+'[7]2038'!D45</f>
        <v>5</v>
      </c>
      <c r="E482" s="135">
        <f>ROUND('[7]2038'!E45,2)</f>
        <v>36246.89</v>
      </c>
      <c r="F482" s="135">
        <f>ROUND('[7]2038'!F45,2)</f>
        <v>34357.85</v>
      </c>
      <c r="G482" s="135">
        <f>ROUND('[7]2038'!G45,2)</f>
        <v>32890.699999999997</v>
      </c>
      <c r="H482" s="135">
        <f>ROUND('[7]2038'!H45,2)</f>
        <v>31829.55</v>
      </c>
      <c r="I482" s="135">
        <f>ROUND('[7]2038'!I45,2)</f>
        <v>31384.23</v>
      </c>
      <c r="J482" s="135">
        <f>ROUND('[7]2038'!J45,2)</f>
        <v>30784.2</v>
      </c>
      <c r="K482" s="135">
        <f>ROUND('[7]2038'!K45,2)</f>
        <v>30127.72</v>
      </c>
      <c r="L482" s="135">
        <f>ROUND('[7]2038'!L45,2)</f>
        <v>32319.46</v>
      </c>
      <c r="M482" s="135">
        <f>ROUND('[7]2038'!M45,2)</f>
        <v>34732.53</v>
      </c>
      <c r="N482" s="135">
        <f>ROUND('[7]2038'!N45,2)</f>
        <v>36907.29</v>
      </c>
      <c r="O482" s="135">
        <f>ROUND('[7]2038'!O45,2)</f>
        <v>38969.160000000003</v>
      </c>
      <c r="P482" s="135">
        <f>ROUND('[7]2038'!P45,2)</f>
        <v>40733.379999999997</v>
      </c>
      <c r="Q482" s="135">
        <f>ROUND('[7]2038'!Q45,2)</f>
        <v>41382.58</v>
      </c>
      <c r="R482" s="135">
        <f>ROUND('[7]2038'!R45,2)</f>
        <v>41183.949999999997</v>
      </c>
      <c r="S482" s="135">
        <f>ROUND('[7]2038'!S45,2)</f>
        <v>40998.85</v>
      </c>
      <c r="T482" s="135">
        <f>ROUND('[7]2038'!T45,2)</f>
        <v>41129.51</v>
      </c>
      <c r="U482" s="135">
        <f>ROUND('[7]2038'!U45,2)</f>
        <v>40754.31</v>
      </c>
      <c r="V482" s="135">
        <f>ROUND('[7]2038'!V45,2)</f>
        <v>40708.199999999997</v>
      </c>
      <c r="W482" s="135">
        <f>ROUND('[7]2038'!W45,2)</f>
        <v>45429.41</v>
      </c>
      <c r="X482" s="135">
        <f>ROUND('[7]2038'!X45,2)</f>
        <v>47988.85</v>
      </c>
      <c r="Y482" s="135">
        <f>ROUND('[7]2038'!Y45,2)</f>
        <v>47732.91</v>
      </c>
      <c r="Z482" s="135">
        <f>ROUND('[7]2038'!Z45,2)</f>
        <v>45936.89</v>
      </c>
      <c r="AA482" s="135">
        <f>ROUND('[7]2038'!AA45,2)</f>
        <v>42822.61</v>
      </c>
      <c r="AB482" s="135">
        <f>ROUND('[7]2038'!AB45,2)</f>
        <v>39411.089999999997</v>
      </c>
      <c r="AC482" s="282"/>
      <c r="AD482" s="187"/>
    </row>
    <row r="483" spans="2:30" s="188" customFormat="1" ht="18.649999999999999" hidden="1" customHeight="1" thickBot="1" x14ac:dyDescent="0.4">
      <c r="B483" s="265" t="s">
        <v>34</v>
      </c>
      <c r="C483" s="12" t="s">
        <v>32</v>
      </c>
      <c r="D483" s="13">
        <f>+'[7]2038'!D46</f>
        <v>2</v>
      </c>
      <c r="E483" s="132">
        <f>ROUND('[7]2038'!E46,2)</f>
        <v>36246.89</v>
      </c>
      <c r="F483" s="132">
        <f>ROUND('[7]2038'!F46,2)</f>
        <v>34357.85</v>
      </c>
      <c r="G483" s="132">
        <f>ROUND('[7]2038'!G46,2)</f>
        <v>32890.699999999997</v>
      </c>
      <c r="H483" s="132">
        <f>ROUND('[7]2038'!H46,2)</f>
        <v>31829.55</v>
      </c>
      <c r="I483" s="132">
        <f>ROUND('[7]2038'!I46,2)</f>
        <v>31384.23</v>
      </c>
      <c r="J483" s="132">
        <f>ROUND('[7]2038'!J46,2)</f>
        <v>30784.2</v>
      </c>
      <c r="K483" s="132">
        <f>ROUND('[7]2038'!K46,2)</f>
        <v>30127.72</v>
      </c>
      <c r="L483" s="132">
        <f>ROUND('[7]2038'!L46,2)</f>
        <v>32319.46</v>
      </c>
      <c r="M483" s="132">
        <f>ROUND('[7]2038'!M46,2)</f>
        <v>34732.53</v>
      </c>
      <c r="N483" s="132">
        <f>ROUND('[7]2038'!N46,2)</f>
        <v>36907.29</v>
      </c>
      <c r="O483" s="132">
        <f>ROUND('[7]2038'!O46,2)</f>
        <v>38969.160000000003</v>
      </c>
      <c r="P483" s="132">
        <f>ROUND('[7]2038'!P46,2)</f>
        <v>40733.379999999997</v>
      </c>
      <c r="Q483" s="132">
        <f>ROUND('[7]2038'!Q46,2)</f>
        <v>41382.58</v>
      </c>
      <c r="R483" s="132">
        <f>ROUND('[7]2038'!R46,2)</f>
        <v>41183.949999999997</v>
      </c>
      <c r="S483" s="132">
        <f>ROUND('[7]2038'!S46,2)</f>
        <v>40998.85</v>
      </c>
      <c r="T483" s="132">
        <f>ROUND('[7]2038'!T46,2)</f>
        <v>41129.51</v>
      </c>
      <c r="U483" s="132">
        <f>ROUND('[7]2038'!U46,2)</f>
        <v>40754.31</v>
      </c>
      <c r="V483" s="132">
        <f>ROUND('[7]2038'!V46,2)</f>
        <v>40708.199999999997</v>
      </c>
      <c r="W483" s="132">
        <f>ROUND('[7]2038'!W46,2)</f>
        <v>45429.41</v>
      </c>
      <c r="X483" s="132">
        <f>ROUND('[7]2038'!X46,2)</f>
        <v>47988.85</v>
      </c>
      <c r="Y483" s="132">
        <f>ROUND('[7]2038'!Y46,2)</f>
        <v>47732.91</v>
      </c>
      <c r="Z483" s="132">
        <f>ROUND('[7]2038'!Z46,2)</f>
        <v>45936.89</v>
      </c>
      <c r="AA483" s="132">
        <f>ROUND('[7]2038'!AA46,2)</f>
        <v>42822.61</v>
      </c>
      <c r="AB483" s="132">
        <f>ROUND('[7]2038'!AB46,2)</f>
        <v>39411.089999999997</v>
      </c>
      <c r="AC483" s="284"/>
      <c r="AD483" s="187"/>
    </row>
    <row r="484" spans="2:30" s="188" customFormat="1" ht="18.649999999999999" hidden="1" customHeight="1" x14ac:dyDescent="0.35">
      <c r="B484" s="260">
        <v>50649</v>
      </c>
      <c r="C484" s="14" t="s">
        <v>29</v>
      </c>
      <c r="D484" s="15">
        <f>+'[7]2038'!D47</f>
        <v>22</v>
      </c>
      <c r="E484" s="137">
        <f>ROUND('[7]2038'!E47,2)</f>
        <v>37149.57</v>
      </c>
      <c r="F484" s="137">
        <f>ROUND('[7]2038'!F47,2)</f>
        <v>35253.49</v>
      </c>
      <c r="G484" s="137">
        <f>ROUND('[7]2038'!G47,2)</f>
        <v>33786.46</v>
      </c>
      <c r="H484" s="137">
        <f>ROUND('[7]2038'!H47,2)</f>
        <v>32747.18</v>
      </c>
      <c r="I484" s="137">
        <f>ROUND('[7]2038'!I47,2)</f>
        <v>32442.240000000002</v>
      </c>
      <c r="J484" s="137">
        <f>ROUND('[7]2038'!J47,2)</f>
        <v>32023.41</v>
      </c>
      <c r="K484" s="137">
        <f>ROUND('[7]2038'!K47,2)</f>
        <v>32230.560000000001</v>
      </c>
      <c r="L484" s="137">
        <f>ROUND('[7]2038'!L47,2)</f>
        <v>36063.589999999997</v>
      </c>
      <c r="M484" s="137">
        <f>ROUND('[7]2038'!M47,2)</f>
        <v>40157.32</v>
      </c>
      <c r="N484" s="137">
        <f>ROUND('[7]2038'!N47,2)</f>
        <v>42518.2</v>
      </c>
      <c r="O484" s="137">
        <f>ROUND('[7]2038'!O47,2)</f>
        <v>44529.58</v>
      </c>
      <c r="P484" s="137">
        <f>ROUND('[7]2038'!P47,2)</f>
        <v>45528.12</v>
      </c>
      <c r="Q484" s="137">
        <f>ROUND('[7]2038'!Q47,2)</f>
        <v>44664.75</v>
      </c>
      <c r="R484" s="137">
        <f>ROUND('[7]2038'!R47,2)</f>
        <v>44020.12</v>
      </c>
      <c r="S484" s="137">
        <f>ROUND('[7]2038'!S47,2)</f>
        <v>43967.5</v>
      </c>
      <c r="T484" s="137">
        <f>ROUND('[7]2038'!T47,2)</f>
        <v>43891.92</v>
      </c>
      <c r="U484" s="137">
        <f>ROUND('[7]2038'!U47,2)</f>
        <v>43235.519999999997</v>
      </c>
      <c r="V484" s="137">
        <f>ROUND('[7]2038'!V47,2)</f>
        <v>43741.93</v>
      </c>
      <c r="W484" s="137">
        <f>ROUND('[7]2038'!W47,2)</f>
        <v>48287.99</v>
      </c>
      <c r="X484" s="137">
        <f>ROUND('[7]2038'!X47,2)</f>
        <v>47827.19</v>
      </c>
      <c r="Y484" s="137">
        <f>ROUND('[7]2038'!Y47,2)</f>
        <v>46167.34</v>
      </c>
      <c r="Z484" s="137">
        <f>ROUND('[7]2038'!Z47,2)</f>
        <v>44104.42</v>
      </c>
      <c r="AA484" s="137">
        <f>ROUND('[7]2038'!AA47,2)</f>
        <v>41622.58</v>
      </c>
      <c r="AB484" s="137">
        <f>ROUND('[7]2038'!AB47,2)</f>
        <v>38886.519999999997</v>
      </c>
      <c r="AC484" s="282">
        <f>SUM(E484:AB484)*D484+SUM(E485:AB485)*D485+SUM(E486:AB486)*D486+SUM(E487:AB487)*D487</f>
        <v>29422423.080000002</v>
      </c>
      <c r="AD484" s="187"/>
    </row>
    <row r="485" spans="2:30" s="188" customFormat="1" ht="18.649999999999999" hidden="1" customHeight="1" x14ac:dyDescent="0.35">
      <c r="B485" s="261"/>
      <c r="C485" s="10" t="s">
        <v>30</v>
      </c>
      <c r="D485" s="11">
        <f>+'[7]2038'!D48</f>
        <v>4</v>
      </c>
      <c r="E485" s="135">
        <f>ROUND('[7]2038'!E48,2)</f>
        <v>34729.08</v>
      </c>
      <c r="F485" s="135">
        <f>ROUND('[7]2038'!F48,2)</f>
        <v>32981.230000000003</v>
      </c>
      <c r="G485" s="135">
        <f>ROUND('[7]2038'!G48,2)</f>
        <v>31761.59</v>
      </c>
      <c r="H485" s="135">
        <f>ROUND('[7]2038'!H48,2)</f>
        <v>30862.57</v>
      </c>
      <c r="I485" s="135">
        <f>ROUND('[7]2038'!I48,2)</f>
        <v>30877.32</v>
      </c>
      <c r="J485" s="135">
        <f>ROUND('[7]2038'!J48,2)</f>
        <v>31389.05</v>
      </c>
      <c r="K485" s="135">
        <f>ROUND('[7]2038'!K48,2)</f>
        <v>32027.97</v>
      </c>
      <c r="L485" s="135">
        <f>ROUND('[7]2038'!L48,2)</f>
        <v>35935.39</v>
      </c>
      <c r="M485" s="135">
        <f>ROUND('[7]2038'!M48,2)</f>
        <v>39741.25</v>
      </c>
      <c r="N485" s="135">
        <f>ROUND('[7]2038'!N48,2)</f>
        <v>41818.18</v>
      </c>
      <c r="O485" s="135">
        <f>ROUND('[7]2038'!O48,2)</f>
        <v>44015.81</v>
      </c>
      <c r="P485" s="135">
        <f>ROUND('[7]2038'!P48,2)</f>
        <v>45530.46</v>
      </c>
      <c r="Q485" s="135">
        <f>ROUND('[7]2038'!Q48,2)</f>
        <v>44226.63</v>
      </c>
      <c r="R485" s="135">
        <f>ROUND('[7]2038'!R48,2)</f>
        <v>45221.27</v>
      </c>
      <c r="S485" s="135">
        <f>ROUND('[7]2038'!S48,2)</f>
        <v>46899.14</v>
      </c>
      <c r="T485" s="135">
        <f>ROUND('[7]2038'!T48,2)</f>
        <v>46983.72</v>
      </c>
      <c r="U485" s="135">
        <f>ROUND('[7]2038'!U48,2)</f>
        <v>46011.38</v>
      </c>
      <c r="V485" s="135">
        <f>ROUND('[7]2038'!V48,2)</f>
        <v>46138.34</v>
      </c>
      <c r="W485" s="135">
        <f>ROUND('[7]2038'!W48,2)</f>
        <v>48920.69</v>
      </c>
      <c r="X485" s="135">
        <f>ROUND('[7]2038'!X48,2)</f>
        <v>48089.77</v>
      </c>
      <c r="Y485" s="135">
        <f>ROUND('[7]2038'!Y48,2)</f>
        <v>46551.87</v>
      </c>
      <c r="Z485" s="135">
        <f>ROUND('[7]2038'!Z48,2)</f>
        <v>44287.4</v>
      </c>
      <c r="AA485" s="135">
        <f>ROUND('[7]2038'!AA48,2)</f>
        <v>41024.46</v>
      </c>
      <c r="AB485" s="135">
        <f>ROUND('[7]2038'!AB48,2)</f>
        <v>37634.35</v>
      </c>
      <c r="AC485" s="282"/>
      <c r="AD485" s="187"/>
    </row>
    <row r="486" spans="2:30" s="188" customFormat="1" ht="18.649999999999999" hidden="1" customHeight="1" x14ac:dyDescent="0.35">
      <c r="B486" s="261"/>
      <c r="C486" s="10" t="s">
        <v>31</v>
      </c>
      <c r="D486" s="11">
        <f>+'[7]2038'!D49</f>
        <v>4</v>
      </c>
      <c r="E486" s="135">
        <f>ROUND('[7]2038'!E49,2)</f>
        <v>35787.769999999997</v>
      </c>
      <c r="F486" s="135">
        <f>ROUND('[7]2038'!F49,2)</f>
        <v>34046.660000000003</v>
      </c>
      <c r="G486" s="135">
        <f>ROUND('[7]2038'!G49,2)</f>
        <v>32757.78</v>
      </c>
      <c r="H486" s="135">
        <f>ROUND('[7]2038'!H49,2)</f>
        <v>31784.22</v>
      </c>
      <c r="I486" s="135">
        <f>ROUND('[7]2038'!I49,2)</f>
        <v>31835.14</v>
      </c>
      <c r="J486" s="135">
        <f>ROUND('[7]2038'!J49,2)</f>
        <v>32838.46</v>
      </c>
      <c r="K486" s="135">
        <f>ROUND('[7]2038'!K49,2)</f>
        <v>33470.629999999997</v>
      </c>
      <c r="L486" s="135">
        <f>ROUND('[7]2038'!L49,2)</f>
        <v>37616.050000000003</v>
      </c>
      <c r="M486" s="135">
        <f>ROUND('[7]2038'!M49,2)</f>
        <v>41720.61</v>
      </c>
      <c r="N486" s="135">
        <f>ROUND('[7]2038'!N49,2)</f>
        <v>43893.46</v>
      </c>
      <c r="O486" s="135">
        <f>ROUND('[7]2038'!O49,2)</f>
        <v>46366.89</v>
      </c>
      <c r="P486" s="135">
        <f>ROUND('[7]2038'!P49,2)</f>
        <v>48032.08</v>
      </c>
      <c r="Q486" s="135">
        <f>ROUND('[7]2038'!Q49,2)</f>
        <v>46341.47</v>
      </c>
      <c r="R486" s="135">
        <f>ROUND('[7]2038'!R49,2)</f>
        <v>47980.21</v>
      </c>
      <c r="S486" s="135">
        <f>ROUND('[7]2038'!S49,2)</f>
        <v>50304.08</v>
      </c>
      <c r="T486" s="135">
        <f>ROUND('[7]2038'!T49,2)</f>
        <v>50367.11</v>
      </c>
      <c r="U486" s="135">
        <f>ROUND('[7]2038'!U49,2)</f>
        <v>49223.83</v>
      </c>
      <c r="V486" s="135">
        <f>ROUND('[7]2038'!V49,2)</f>
        <v>47802.5</v>
      </c>
      <c r="W486" s="135">
        <f>ROUND('[7]2038'!W49,2)</f>
        <v>50596.93</v>
      </c>
      <c r="X486" s="135">
        <f>ROUND('[7]2038'!X49,2)</f>
        <v>50223.24</v>
      </c>
      <c r="Y486" s="135">
        <f>ROUND('[7]2038'!Y49,2)</f>
        <v>48927.61</v>
      </c>
      <c r="Z486" s="135">
        <f>ROUND('[7]2038'!Z49,2)</f>
        <v>46616.19</v>
      </c>
      <c r="AA486" s="135">
        <f>ROUND('[7]2038'!AA49,2)</f>
        <v>42795.83</v>
      </c>
      <c r="AB486" s="135">
        <f>ROUND('[7]2038'!AB49,2)</f>
        <v>38956.85</v>
      </c>
      <c r="AC486" s="282"/>
      <c r="AD486" s="187"/>
    </row>
    <row r="487" spans="2:30" s="188" customFormat="1" ht="18.649999999999999" hidden="1" customHeight="1" thickBot="1" x14ac:dyDescent="0.4">
      <c r="B487" s="261"/>
      <c r="C487" s="16" t="s">
        <v>32</v>
      </c>
      <c r="D487" s="17">
        <f>+'[7]2038'!D50</f>
        <v>0</v>
      </c>
      <c r="E487" s="199">
        <f>ROUND('[7]2038'!E50,2)</f>
        <v>0</v>
      </c>
      <c r="F487" s="115">
        <f>ROUND('[7]2038'!F50,2)</f>
        <v>0</v>
      </c>
      <c r="G487" s="115">
        <f>ROUND('[7]2038'!G50,2)</f>
        <v>0</v>
      </c>
      <c r="H487" s="115">
        <f>ROUND('[7]2038'!H50,2)</f>
        <v>0</v>
      </c>
      <c r="I487" s="115">
        <f>ROUND('[7]2038'!I50,2)</f>
        <v>0</v>
      </c>
      <c r="J487" s="115">
        <f>ROUND('[7]2038'!J50,2)</f>
        <v>0</v>
      </c>
      <c r="K487" s="115">
        <f>ROUND('[7]2038'!K50,2)</f>
        <v>0</v>
      </c>
      <c r="L487" s="115">
        <f>ROUND('[7]2038'!L50,2)</f>
        <v>0</v>
      </c>
      <c r="M487" s="115">
        <f>ROUND('[7]2038'!M50,2)</f>
        <v>0</v>
      </c>
      <c r="N487" s="115">
        <f>ROUND('[7]2038'!N50,2)</f>
        <v>0</v>
      </c>
      <c r="O487" s="115">
        <f>ROUND('[7]2038'!O50,2)</f>
        <v>0</v>
      </c>
      <c r="P487" s="115">
        <f>ROUND('[7]2038'!P50,2)</f>
        <v>0</v>
      </c>
      <c r="Q487" s="115">
        <f>ROUND('[7]2038'!Q50,2)</f>
        <v>0</v>
      </c>
      <c r="R487" s="115">
        <f>ROUND('[7]2038'!R50,2)</f>
        <v>0</v>
      </c>
      <c r="S487" s="115">
        <f>ROUND('[7]2038'!S50,2)</f>
        <v>0</v>
      </c>
      <c r="T487" s="115">
        <f>ROUND('[7]2038'!T50,2)</f>
        <v>0</v>
      </c>
      <c r="U487" s="115">
        <f>ROUND('[7]2038'!U50,2)</f>
        <v>0</v>
      </c>
      <c r="V487" s="115">
        <f>ROUND('[7]2038'!V50,2)</f>
        <v>0</v>
      </c>
      <c r="W487" s="115">
        <f>ROUND('[7]2038'!W50,2)</f>
        <v>0</v>
      </c>
      <c r="X487" s="115">
        <f>ROUND('[7]2038'!X50,2)</f>
        <v>0</v>
      </c>
      <c r="Y487" s="115">
        <f>ROUND('[7]2038'!Y50,2)</f>
        <v>0</v>
      </c>
      <c r="Z487" s="115">
        <f>ROUND('[7]2038'!Z50,2)</f>
        <v>0</v>
      </c>
      <c r="AA487" s="115">
        <f>ROUND('[7]2038'!AA50,2)</f>
        <v>0</v>
      </c>
      <c r="AB487" s="115">
        <f>ROUND('[7]2038'!AB50,2)</f>
        <v>0</v>
      </c>
      <c r="AC487" s="282"/>
      <c r="AD487" s="187"/>
    </row>
    <row r="488" spans="2:30" s="188" customFormat="1" ht="18.649999999999999" hidden="1" customHeight="1" x14ac:dyDescent="0.35">
      <c r="B488" s="263">
        <v>50679</v>
      </c>
      <c r="C488" s="7" t="s">
        <v>29</v>
      </c>
      <c r="D488" s="8">
        <f>+'[7]2038'!D51</f>
        <v>20</v>
      </c>
      <c r="E488" s="134">
        <f>ROUND('[7]2038'!E51,2)</f>
        <v>35892.49</v>
      </c>
      <c r="F488" s="134">
        <f>ROUND('[7]2038'!F51,2)</f>
        <v>34077.480000000003</v>
      </c>
      <c r="G488" s="134">
        <f>ROUND('[7]2038'!G51,2)</f>
        <v>32632.83</v>
      </c>
      <c r="H488" s="134">
        <f>ROUND('[7]2038'!H51,2)</f>
        <v>31438.68</v>
      </c>
      <c r="I488" s="134">
        <f>ROUND('[7]2038'!I51,2)</f>
        <v>30985.57</v>
      </c>
      <c r="J488" s="134">
        <f>ROUND('[7]2038'!J51,2)</f>
        <v>30733.95</v>
      </c>
      <c r="K488" s="134">
        <f>ROUND('[7]2038'!K51,2)</f>
        <v>31382.71</v>
      </c>
      <c r="L488" s="134">
        <f>ROUND('[7]2038'!L51,2)</f>
        <v>35320.269999999997</v>
      </c>
      <c r="M488" s="134">
        <f>ROUND('[7]2038'!M51,2)</f>
        <v>39344.910000000003</v>
      </c>
      <c r="N488" s="134">
        <f>ROUND('[7]2038'!N51,2)</f>
        <v>41681.230000000003</v>
      </c>
      <c r="O488" s="134">
        <f>ROUND('[7]2038'!O51,2)</f>
        <v>43834.46</v>
      </c>
      <c r="P488" s="134">
        <f>ROUND('[7]2038'!P51,2)</f>
        <v>44963.91</v>
      </c>
      <c r="Q488" s="134">
        <f>ROUND('[7]2038'!Q51,2)</f>
        <v>44164.79</v>
      </c>
      <c r="R488" s="134">
        <f>ROUND('[7]2038'!R51,2)</f>
        <v>43641.599999999999</v>
      </c>
      <c r="S488" s="134">
        <f>ROUND('[7]2038'!S51,2)</f>
        <v>43821.29</v>
      </c>
      <c r="T488" s="134">
        <f>ROUND('[7]2038'!T51,2)</f>
        <v>43734.82</v>
      </c>
      <c r="U488" s="134">
        <f>ROUND('[7]2038'!U51,2)</f>
        <v>43172.41</v>
      </c>
      <c r="V488" s="134">
        <f>ROUND('[7]2038'!V51,2)</f>
        <v>44294.82</v>
      </c>
      <c r="W488" s="134">
        <f>ROUND('[7]2038'!W51,2)</f>
        <v>48333.03</v>
      </c>
      <c r="X488" s="134">
        <f>ROUND('[7]2038'!X51,2)</f>
        <v>47525.43</v>
      </c>
      <c r="Y488" s="134">
        <f>ROUND('[7]2038'!Y51,2)</f>
        <v>45843.97</v>
      </c>
      <c r="Z488" s="134">
        <f>ROUND('[7]2038'!Z51,2)</f>
        <v>43707.040000000001</v>
      </c>
      <c r="AA488" s="134">
        <f>ROUND('[7]2038'!AA51,2)</f>
        <v>41158.339999999997</v>
      </c>
      <c r="AB488" s="134">
        <f>ROUND('[7]2038'!AB51,2)</f>
        <v>38433.08</v>
      </c>
      <c r="AC488" s="283">
        <f>SUM(E488:AB488)*D488+SUM(E489:AB489)*D489+SUM(E490:AB490)*D490+SUM(E491:AB491)*D491</f>
        <v>29300654.789999995</v>
      </c>
      <c r="AD488" s="187"/>
    </row>
    <row r="489" spans="2:30" s="188" customFormat="1" ht="18.649999999999999" hidden="1" customHeight="1" x14ac:dyDescent="0.35">
      <c r="B489" s="264" t="s">
        <v>34</v>
      </c>
      <c r="C489" s="10" t="s">
        <v>30</v>
      </c>
      <c r="D489" s="11">
        <f>+'[7]2038'!D52</f>
        <v>5</v>
      </c>
      <c r="E489" s="135">
        <f>ROUND('[7]2038'!E52,2)</f>
        <v>33360.75</v>
      </c>
      <c r="F489" s="135">
        <f>ROUND('[7]2038'!F52,2)</f>
        <v>31712.959999999999</v>
      </c>
      <c r="G489" s="135">
        <f>ROUND('[7]2038'!G52,2)</f>
        <v>30493.78</v>
      </c>
      <c r="H489" s="135">
        <f>ROUND('[7]2038'!H52,2)</f>
        <v>29763.06</v>
      </c>
      <c r="I489" s="135">
        <f>ROUND('[7]2038'!I52,2)</f>
        <v>29865.26</v>
      </c>
      <c r="J489" s="135">
        <f>ROUND('[7]2038'!J52,2)</f>
        <v>30447.16</v>
      </c>
      <c r="K489" s="135">
        <f>ROUND('[7]2038'!K52,2)</f>
        <v>30998.95</v>
      </c>
      <c r="L489" s="135">
        <f>ROUND('[7]2038'!L52,2)</f>
        <v>34626.46</v>
      </c>
      <c r="M489" s="135">
        <f>ROUND('[7]2038'!M52,2)</f>
        <v>38247.75</v>
      </c>
      <c r="N489" s="135">
        <f>ROUND('[7]2038'!N52,2)</f>
        <v>40369.81</v>
      </c>
      <c r="O489" s="135">
        <f>ROUND('[7]2038'!O52,2)</f>
        <v>42316.9</v>
      </c>
      <c r="P489" s="135">
        <f>ROUND('[7]2038'!P52,2)</f>
        <v>43769.27</v>
      </c>
      <c r="Q489" s="135">
        <f>ROUND('[7]2038'!Q52,2)</f>
        <v>42537.59</v>
      </c>
      <c r="R489" s="135">
        <f>ROUND('[7]2038'!R52,2)</f>
        <v>43095.6</v>
      </c>
      <c r="S489" s="135">
        <f>ROUND('[7]2038'!S52,2)</f>
        <v>44366.51</v>
      </c>
      <c r="T489" s="135">
        <f>ROUND('[7]2038'!T52,2)</f>
        <v>44487.3</v>
      </c>
      <c r="U489" s="135">
        <f>ROUND('[7]2038'!U52,2)</f>
        <v>43910.59</v>
      </c>
      <c r="V489" s="135">
        <f>ROUND('[7]2038'!V52,2)</f>
        <v>44708.36</v>
      </c>
      <c r="W489" s="135">
        <f>ROUND('[7]2038'!W52,2)</f>
        <v>47793.71</v>
      </c>
      <c r="X489" s="135">
        <f>ROUND('[7]2038'!X52,2)</f>
        <v>46864.69</v>
      </c>
      <c r="Y489" s="135">
        <f>ROUND('[7]2038'!Y52,2)</f>
        <v>45043.54</v>
      </c>
      <c r="Z489" s="135">
        <f>ROUND('[7]2038'!Z52,2)</f>
        <v>42536.15</v>
      </c>
      <c r="AA489" s="135">
        <f>ROUND('[7]2038'!AA52,2)</f>
        <v>39266.559999999998</v>
      </c>
      <c r="AB489" s="135">
        <f>ROUND('[7]2038'!AB52,2)</f>
        <v>35989.56</v>
      </c>
      <c r="AC489" s="282"/>
      <c r="AD489" s="187"/>
    </row>
    <row r="490" spans="2:30" s="188" customFormat="1" ht="18.649999999999999" hidden="1" customHeight="1" x14ac:dyDescent="0.35">
      <c r="B490" s="264" t="s">
        <v>34</v>
      </c>
      <c r="C490" s="10" t="s">
        <v>31</v>
      </c>
      <c r="D490" s="11">
        <f>+'[7]2038'!D53</f>
        <v>5</v>
      </c>
      <c r="E490" s="135">
        <f>ROUND('[7]2038'!E53,2)</f>
        <v>33717.43</v>
      </c>
      <c r="F490" s="135">
        <f>ROUND('[7]2038'!F53,2)</f>
        <v>32289.93</v>
      </c>
      <c r="G490" s="135">
        <f>ROUND('[7]2038'!G53,2)</f>
        <v>31154.55</v>
      </c>
      <c r="H490" s="135">
        <f>ROUND('[7]2038'!H53,2)</f>
        <v>30455.84</v>
      </c>
      <c r="I490" s="135">
        <f>ROUND('[7]2038'!I53,2)</f>
        <v>30213.26</v>
      </c>
      <c r="J490" s="135">
        <f>ROUND('[7]2038'!J53,2)</f>
        <v>29737.1</v>
      </c>
      <c r="K490" s="135">
        <f>ROUND('[7]2038'!K53,2)</f>
        <v>29029.71</v>
      </c>
      <c r="L490" s="135">
        <f>ROUND('[7]2038'!L53,2)</f>
        <v>31311.79</v>
      </c>
      <c r="M490" s="135">
        <f>ROUND('[7]2038'!M53,2)</f>
        <v>33205.01</v>
      </c>
      <c r="N490" s="135">
        <f>ROUND('[7]2038'!N53,2)</f>
        <v>35843.629999999997</v>
      </c>
      <c r="O490" s="135">
        <f>ROUND('[7]2038'!O53,2)</f>
        <v>37902.949999999997</v>
      </c>
      <c r="P490" s="135">
        <f>ROUND('[7]2038'!P53,2)</f>
        <v>39531.69</v>
      </c>
      <c r="Q490" s="135">
        <f>ROUND('[7]2038'!Q53,2)</f>
        <v>40358.14</v>
      </c>
      <c r="R490" s="135">
        <f>ROUND('[7]2038'!R53,2)</f>
        <v>40375.26</v>
      </c>
      <c r="S490" s="135">
        <f>ROUND('[7]2038'!S53,2)</f>
        <v>40441.980000000003</v>
      </c>
      <c r="T490" s="135">
        <f>ROUND('[7]2038'!T53,2)</f>
        <v>40543.82</v>
      </c>
      <c r="U490" s="135">
        <f>ROUND('[7]2038'!U53,2)</f>
        <v>40177.599999999999</v>
      </c>
      <c r="V490" s="135">
        <f>ROUND('[7]2038'!V53,2)</f>
        <v>41884.199999999997</v>
      </c>
      <c r="W490" s="135">
        <f>ROUND('[7]2038'!W53,2)</f>
        <v>46667.66</v>
      </c>
      <c r="X490" s="135">
        <f>ROUND('[7]2038'!X53,2)</f>
        <v>47239</v>
      </c>
      <c r="Y490" s="135">
        <f>ROUND('[7]2038'!Y53,2)</f>
        <v>46496.84</v>
      </c>
      <c r="Z490" s="135">
        <f>ROUND('[7]2038'!Z53,2)</f>
        <v>44742.34</v>
      </c>
      <c r="AA490" s="135">
        <f>ROUND('[7]2038'!AA53,2)</f>
        <v>41407.589999999997</v>
      </c>
      <c r="AB490" s="135">
        <f>ROUND('[7]2038'!AB53,2)</f>
        <v>37841.22</v>
      </c>
      <c r="AC490" s="282"/>
      <c r="AD490" s="187"/>
    </row>
    <row r="491" spans="2:30" s="188" customFormat="1" ht="18.649999999999999" hidden="1" customHeight="1" thickBot="1" x14ac:dyDescent="0.4">
      <c r="B491" s="265" t="s">
        <v>34</v>
      </c>
      <c r="C491" s="12" t="s">
        <v>32</v>
      </c>
      <c r="D491" s="13">
        <f>+'[7]2038'!D54</f>
        <v>1</v>
      </c>
      <c r="E491" s="132">
        <f>ROUND('[7]2038'!E54,2)</f>
        <v>33717.43</v>
      </c>
      <c r="F491" s="132">
        <f>ROUND('[7]2038'!F54,2)</f>
        <v>32289.93</v>
      </c>
      <c r="G491" s="132">
        <f>ROUND('[7]2038'!G54,2)</f>
        <v>31154.55</v>
      </c>
      <c r="H491" s="132">
        <f>ROUND('[7]2038'!H54,2)</f>
        <v>30455.84</v>
      </c>
      <c r="I491" s="132">
        <f>ROUND('[7]2038'!I54,2)</f>
        <v>30213.26</v>
      </c>
      <c r="J491" s="132">
        <f>ROUND('[7]2038'!J54,2)</f>
        <v>29737.1</v>
      </c>
      <c r="K491" s="132">
        <f>ROUND('[7]2038'!K54,2)</f>
        <v>29029.71</v>
      </c>
      <c r="L491" s="132">
        <f>ROUND('[7]2038'!L54,2)</f>
        <v>31311.79</v>
      </c>
      <c r="M491" s="132">
        <f>ROUND('[7]2038'!M54,2)</f>
        <v>33205.01</v>
      </c>
      <c r="N491" s="132">
        <f>ROUND('[7]2038'!N54,2)</f>
        <v>35843.629999999997</v>
      </c>
      <c r="O491" s="132">
        <f>ROUND('[7]2038'!O54,2)</f>
        <v>37902.949999999997</v>
      </c>
      <c r="P491" s="132">
        <f>ROUND('[7]2038'!P54,2)</f>
        <v>39531.69</v>
      </c>
      <c r="Q491" s="132">
        <f>ROUND('[7]2038'!Q54,2)</f>
        <v>40358.14</v>
      </c>
      <c r="R491" s="132">
        <f>ROUND('[7]2038'!R54,2)</f>
        <v>40375.26</v>
      </c>
      <c r="S491" s="132">
        <f>ROUND('[7]2038'!S54,2)</f>
        <v>40441.980000000003</v>
      </c>
      <c r="T491" s="132">
        <f>ROUND('[7]2038'!T54,2)</f>
        <v>40543.82</v>
      </c>
      <c r="U491" s="132">
        <f>ROUND('[7]2038'!U54,2)</f>
        <v>40177.599999999999</v>
      </c>
      <c r="V491" s="132">
        <f>ROUND('[7]2038'!V54,2)</f>
        <v>41884.199999999997</v>
      </c>
      <c r="W491" s="132">
        <f>ROUND('[7]2038'!W54,2)</f>
        <v>46667.66</v>
      </c>
      <c r="X491" s="132">
        <f>ROUND('[7]2038'!X54,2)</f>
        <v>47239</v>
      </c>
      <c r="Y491" s="132">
        <f>ROUND('[7]2038'!Y54,2)</f>
        <v>46496.84</v>
      </c>
      <c r="Z491" s="132">
        <f>ROUND('[7]2038'!Z54,2)</f>
        <v>44742.34</v>
      </c>
      <c r="AA491" s="132">
        <f>ROUND('[7]2038'!AA54,2)</f>
        <v>41407.589999999997</v>
      </c>
      <c r="AB491" s="132">
        <f>ROUND('[7]2038'!AB54,2)</f>
        <v>37841.22</v>
      </c>
      <c r="AC491" s="284"/>
      <c r="AD491" s="187"/>
    </row>
    <row r="492" spans="2:30" s="188" customFormat="1" ht="18.649999999999999" hidden="1" customHeight="1" x14ac:dyDescent="0.35">
      <c r="B492" s="260">
        <v>50710</v>
      </c>
      <c r="C492" s="14" t="s">
        <v>29</v>
      </c>
      <c r="D492" s="15">
        <f>+'[7]2038'!D55</f>
        <v>20</v>
      </c>
      <c r="E492" s="137">
        <f>ROUND('[7]2038'!E55,2)</f>
        <v>35357.58</v>
      </c>
      <c r="F492" s="137">
        <f>ROUND('[7]2038'!F55,2)</f>
        <v>33627.870000000003</v>
      </c>
      <c r="G492" s="137">
        <f>ROUND('[7]2038'!G55,2)</f>
        <v>32378.55</v>
      </c>
      <c r="H492" s="137">
        <f>ROUND('[7]2038'!H55,2)</f>
        <v>31560.58</v>
      </c>
      <c r="I492" s="137">
        <f>ROUND('[7]2038'!I55,2)</f>
        <v>31567.88</v>
      </c>
      <c r="J492" s="137">
        <f>ROUND('[7]2038'!J55,2)</f>
        <v>31830.48</v>
      </c>
      <c r="K492" s="137">
        <f>ROUND('[7]2038'!K55,2)</f>
        <v>32050.720000000001</v>
      </c>
      <c r="L492" s="137">
        <f>ROUND('[7]2038'!L55,2)</f>
        <v>36069.980000000003</v>
      </c>
      <c r="M492" s="137">
        <f>ROUND('[7]2038'!M55,2)</f>
        <v>40359.79</v>
      </c>
      <c r="N492" s="137">
        <f>ROUND('[7]2038'!N55,2)</f>
        <v>43090.97</v>
      </c>
      <c r="O492" s="137">
        <f>ROUND('[7]2038'!O55,2)</f>
        <v>45153.14</v>
      </c>
      <c r="P492" s="137">
        <f>ROUND('[7]2038'!P55,2)</f>
        <v>46234.79</v>
      </c>
      <c r="Q492" s="137">
        <f>ROUND('[7]2038'!Q55,2)</f>
        <v>45306.81</v>
      </c>
      <c r="R492" s="137">
        <f>ROUND('[7]2038'!R55,2)</f>
        <v>44517.19</v>
      </c>
      <c r="S492" s="137">
        <f>ROUND('[7]2038'!S55,2)</f>
        <v>44406.68</v>
      </c>
      <c r="T492" s="137">
        <f>ROUND('[7]2038'!T55,2)</f>
        <v>44300.959999999999</v>
      </c>
      <c r="U492" s="137">
        <f>ROUND('[7]2038'!U55,2)</f>
        <v>43847.43</v>
      </c>
      <c r="V492" s="137">
        <f>ROUND('[7]2038'!V55,2)</f>
        <v>45309.34</v>
      </c>
      <c r="W492" s="137">
        <f>ROUND('[7]2038'!W55,2)</f>
        <v>49310.09</v>
      </c>
      <c r="X492" s="137">
        <f>ROUND('[7]2038'!X55,2)</f>
        <v>48271.71</v>
      </c>
      <c r="Y492" s="137">
        <f>ROUND('[7]2038'!Y55,2)</f>
        <v>46313.33</v>
      </c>
      <c r="Z492" s="137">
        <f>ROUND('[7]2038'!Z55,2)</f>
        <v>44097.77</v>
      </c>
      <c r="AA492" s="137">
        <f>ROUND('[7]2038'!AA55,2)</f>
        <v>41354.31</v>
      </c>
      <c r="AB492" s="137">
        <f>ROUND('[7]2038'!AB55,2)</f>
        <v>38378.81</v>
      </c>
      <c r="AC492" s="282">
        <f>SUM(E492:AB492)*D492+SUM(E493:AB493)*D493+SUM(E494:AB494)*D494+SUM(E495:AB495)*D495</f>
        <v>28951644.080000002</v>
      </c>
      <c r="AD492" s="187"/>
    </row>
    <row r="493" spans="2:30" s="188" customFormat="1" ht="18.649999999999999" hidden="1" customHeight="1" x14ac:dyDescent="0.35">
      <c r="B493" s="261"/>
      <c r="C493" s="10" t="s">
        <v>30</v>
      </c>
      <c r="D493" s="11">
        <f>+'[7]2038'!D56</f>
        <v>4</v>
      </c>
      <c r="E493" s="135">
        <f>ROUND('[7]2038'!E56,2)</f>
        <v>38532.910000000003</v>
      </c>
      <c r="F493" s="135">
        <f>ROUND('[7]2038'!F56,2)</f>
        <v>36582.47</v>
      </c>
      <c r="G493" s="135">
        <f>ROUND('[7]2038'!G56,2)</f>
        <v>35141.25</v>
      </c>
      <c r="H493" s="135">
        <f>ROUND('[7]2038'!H56,2)</f>
        <v>34149.910000000003</v>
      </c>
      <c r="I493" s="135">
        <f>ROUND('[7]2038'!I56,2)</f>
        <v>33939.96</v>
      </c>
      <c r="J493" s="135">
        <f>ROUND('[7]2038'!J56,2)</f>
        <v>34175.78</v>
      </c>
      <c r="K493" s="135">
        <f>ROUND('[7]2038'!K56,2)</f>
        <v>33992.339999999997</v>
      </c>
      <c r="L493" s="135">
        <f>ROUND('[7]2038'!L56,2)</f>
        <v>37865.040000000001</v>
      </c>
      <c r="M493" s="135">
        <f>ROUND('[7]2038'!M56,2)</f>
        <v>41891.79</v>
      </c>
      <c r="N493" s="135">
        <f>ROUND('[7]2038'!N56,2)</f>
        <v>44225.23</v>
      </c>
      <c r="O493" s="135">
        <f>ROUND('[7]2038'!O56,2)</f>
        <v>46284.62</v>
      </c>
      <c r="P493" s="135">
        <f>ROUND('[7]2038'!P56,2)</f>
        <v>47890.69</v>
      </c>
      <c r="Q493" s="135">
        <f>ROUND('[7]2038'!Q56,2)</f>
        <v>46858.02</v>
      </c>
      <c r="R493" s="135">
        <f>ROUND('[7]2038'!R56,2)</f>
        <v>47346.18</v>
      </c>
      <c r="S493" s="135">
        <f>ROUND('[7]2038'!S56,2)</f>
        <v>48699.040000000001</v>
      </c>
      <c r="T493" s="135">
        <f>ROUND('[7]2038'!T56,2)</f>
        <v>48775.43</v>
      </c>
      <c r="U493" s="135">
        <f>ROUND('[7]2038'!U56,2)</f>
        <v>48002.400000000001</v>
      </c>
      <c r="V493" s="135">
        <f>ROUND('[7]2038'!V56,2)</f>
        <v>48127.13</v>
      </c>
      <c r="W493" s="135">
        <f>ROUND('[7]2038'!W56,2)</f>
        <v>52173.8</v>
      </c>
      <c r="X493" s="135">
        <f>ROUND('[7]2038'!X56,2)</f>
        <v>51337.51</v>
      </c>
      <c r="Y493" s="135">
        <f>ROUND('[7]2038'!Y56,2)</f>
        <v>49681.62</v>
      </c>
      <c r="Z493" s="135">
        <f>ROUND('[7]2038'!Z56,2)</f>
        <v>47487.25</v>
      </c>
      <c r="AA493" s="135">
        <f>ROUND('[7]2038'!AA56,2)</f>
        <v>44544.93</v>
      </c>
      <c r="AB493" s="135">
        <f>ROUND('[7]2038'!AB56,2)</f>
        <v>41239.93</v>
      </c>
      <c r="AC493" s="282"/>
      <c r="AD493" s="187"/>
    </row>
    <row r="494" spans="2:30" s="188" customFormat="1" ht="18.649999999999999" hidden="1" customHeight="1" x14ac:dyDescent="0.35">
      <c r="B494" s="261"/>
      <c r="C494" s="10" t="s">
        <v>31</v>
      </c>
      <c r="D494" s="11">
        <f>+'[7]2038'!D57</f>
        <v>4</v>
      </c>
      <c r="E494" s="135">
        <f>ROUND('[7]2038'!E57,2)</f>
        <v>35531.269999999997</v>
      </c>
      <c r="F494" s="135">
        <f>ROUND('[7]2038'!F57,2)</f>
        <v>33643.440000000002</v>
      </c>
      <c r="G494" s="135">
        <f>ROUND('[7]2038'!G57,2)</f>
        <v>32210.35</v>
      </c>
      <c r="H494" s="135">
        <f>ROUND('[7]2038'!H57,2)</f>
        <v>31109.63</v>
      </c>
      <c r="I494" s="135">
        <f>ROUND('[7]2038'!I57,2)</f>
        <v>30736.68</v>
      </c>
      <c r="J494" s="135">
        <f>ROUND('[7]2038'!J57,2)</f>
        <v>30267.94</v>
      </c>
      <c r="K494" s="135">
        <f>ROUND('[7]2038'!K57,2)</f>
        <v>29418.400000000001</v>
      </c>
      <c r="L494" s="135">
        <f>ROUND('[7]2038'!L57,2)</f>
        <v>31356.14</v>
      </c>
      <c r="M494" s="135">
        <f>ROUND('[7]2038'!M57,2)</f>
        <v>33682.71</v>
      </c>
      <c r="N494" s="135">
        <f>ROUND('[7]2038'!N57,2)</f>
        <v>35499.01</v>
      </c>
      <c r="O494" s="135">
        <f>ROUND('[7]2038'!O57,2)</f>
        <v>36986.76</v>
      </c>
      <c r="P494" s="135">
        <f>ROUND('[7]2038'!P57,2)</f>
        <v>38305.49</v>
      </c>
      <c r="Q494" s="135">
        <f>ROUND('[7]2038'!Q57,2)</f>
        <v>38717</v>
      </c>
      <c r="R494" s="135">
        <f>ROUND('[7]2038'!R57,2)</f>
        <v>38913.25</v>
      </c>
      <c r="S494" s="135">
        <f>ROUND('[7]2038'!S57,2)</f>
        <v>38354.03</v>
      </c>
      <c r="T494" s="135">
        <f>ROUND('[7]2038'!T57,2)</f>
        <v>38393.24</v>
      </c>
      <c r="U494" s="135">
        <f>ROUND('[7]2038'!U57,2)</f>
        <v>38486.400000000001</v>
      </c>
      <c r="V494" s="135">
        <f>ROUND('[7]2038'!V57,2)</f>
        <v>40909.32</v>
      </c>
      <c r="W494" s="135">
        <f>ROUND('[7]2038'!W57,2)</f>
        <v>45648.04</v>
      </c>
      <c r="X494" s="135">
        <f>ROUND('[7]2038'!X57,2)</f>
        <v>45817.25</v>
      </c>
      <c r="Y494" s="135">
        <f>ROUND('[7]2038'!Y57,2)</f>
        <v>44392.22</v>
      </c>
      <c r="Z494" s="135">
        <f>ROUND('[7]2038'!Z57,2)</f>
        <v>41729.26</v>
      </c>
      <c r="AA494" s="135">
        <f>ROUND('[7]2038'!AA57,2)</f>
        <v>38359.97</v>
      </c>
      <c r="AB494" s="135">
        <f>ROUND('[7]2038'!AB57,2)</f>
        <v>35186.86</v>
      </c>
      <c r="AC494" s="282"/>
      <c r="AD494" s="187"/>
    </row>
    <row r="495" spans="2:30" s="188" customFormat="1" ht="18.649999999999999" hidden="1" customHeight="1" thickBot="1" x14ac:dyDescent="0.4">
      <c r="B495" s="261"/>
      <c r="C495" s="16" t="s">
        <v>32</v>
      </c>
      <c r="D495" s="17">
        <f>+'[7]2038'!D58</f>
        <v>2</v>
      </c>
      <c r="E495" s="136">
        <f>ROUND('[7]2038'!E58,2)</f>
        <v>35531.269999999997</v>
      </c>
      <c r="F495" s="136">
        <f>ROUND('[7]2038'!F58,2)</f>
        <v>33643.440000000002</v>
      </c>
      <c r="G495" s="136">
        <f>ROUND('[7]2038'!G58,2)</f>
        <v>32210.35</v>
      </c>
      <c r="H495" s="136">
        <f>ROUND('[7]2038'!H58,2)</f>
        <v>31109.63</v>
      </c>
      <c r="I495" s="136">
        <f>ROUND('[7]2038'!I58,2)</f>
        <v>30736.68</v>
      </c>
      <c r="J495" s="136">
        <f>ROUND('[7]2038'!J58,2)</f>
        <v>30267.94</v>
      </c>
      <c r="K495" s="136">
        <f>ROUND('[7]2038'!K58,2)</f>
        <v>29418.400000000001</v>
      </c>
      <c r="L495" s="136">
        <f>ROUND('[7]2038'!L58,2)</f>
        <v>31356.14</v>
      </c>
      <c r="M495" s="136">
        <f>ROUND('[7]2038'!M58,2)</f>
        <v>33682.71</v>
      </c>
      <c r="N495" s="136">
        <f>ROUND('[7]2038'!N58,2)</f>
        <v>35499.01</v>
      </c>
      <c r="O495" s="136">
        <f>ROUND('[7]2038'!O58,2)</f>
        <v>36986.76</v>
      </c>
      <c r="P495" s="136">
        <f>ROUND('[7]2038'!P58,2)</f>
        <v>38305.49</v>
      </c>
      <c r="Q495" s="136">
        <f>ROUND('[7]2038'!Q58,2)</f>
        <v>38717</v>
      </c>
      <c r="R495" s="136">
        <f>ROUND('[7]2038'!R58,2)</f>
        <v>38913.25</v>
      </c>
      <c r="S495" s="136">
        <f>ROUND('[7]2038'!S58,2)</f>
        <v>38354.03</v>
      </c>
      <c r="T495" s="136">
        <f>ROUND('[7]2038'!T58,2)</f>
        <v>38393.24</v>
      </c>
      <c r="U495" s="136">
        <f>ROUND('[7]2038'!U58,2)</f>
        <v>38486.400000000001</v>
      </c>
      <c r="V495" s="136">
        <f>ROUND('[7]2038'!V58,2)</f>
        <v>40909.32</v>
      </c>
      <c r="W495" s="136">
        <f>ROUND('[7]2038'!W58,2)</f>
        <v>45648.04</v>
      </c>
      <c r="X495" s="136">
        <f>ROUND('[7]2038'!X58,2)</f>
        <v>45817.25</v>
      </c>
      <c r="Y495" s="136">
        <f>ROUND('[7]2038'!Y58,2)</f>
        <v>44392.22</v>
      </c>
      <c r="Z495" s="136">
        <f>ROUND('[7]2038'!Z58,2)</f>
        <v>41729.26</v>
      </c>
      <c r="AA495" s="136">
        <f>ROUND('[7]2038'!AA58,2)</f>
        <v>38359.97</v>
      </c>
      <c r="AB495" s="136">
        <f>ROUND('[7]2038'!AB58,2)</f>
        <v>35186.86</v>
      </c>
      <c r="AC495" s="282"/>
      <c r="AD495" s="187"/>
    </row>
    <row r="496" spans="2:30" s="188" customFormat="1" ht="18.649999999999999" hidden="1" customHeight="1" x14ac:dyDescent="0.35">
      <c r="B496" s="263">
        <v>50740</v>
      </c>
      <c r="C496" s="7" t="s">
        <v>29</v>
      </c>
      <c r="D496" s="8">
        <f>+'[7]2038'!D59</f>
        <v>23</v>
      </c>
      <c r="E496" s="134">
        <f>ROUND('[7]2038'!E59,2)</f>
        <v>37253.53</v>
      </c>
      <c r="F496" s="134">
        <f>ROUND('[7]2038'!F59,2)</f>
        <v>35287.519999999997</v>
      </c>
      <c r="G496" s="134">
        <f>ROUND('[7]2038'!G59,2)</f>
        <v>33801.440000000002</v>
      </c>
      <c r="H496" s="134">
        <f>ROUND('[7]2038'!H59,2)</f>
        <v>32768.5</v>
      </c>
      <c r="I496" s="134">
        <f>ROUND('[7]2038'!I59,2)</f>
        <v>32541.53</v>
      </c>
      <c r="J496" s="134">
        <f>ROUND('[7]2038'!J59,2)</f>
        <v>32706.84</v>
      </c>
      <c r="K496" s="134">
        <f>ROUND('[7]2038'!K59,2)</f>
        <v>32327.72</v>
      </c>
      <c r="L496" s="134">
        <f>ROUND('[7]2038'!L59,2)</f>
        <v>35795.53</v>
      </c>
      <c r="M496" s="134">
        <f>ROUND('[7]2038'!M59,2)</f>
        <v>39580.25</v>
      </c>
      <c r="N496" s="134">
        <f>ROUND('[7]2038'!N59,2)</f>
        <v>41974.84</v>
      </c>
      <c r="O496" s="134">
        <f>ROUND('[7]2038'!O59,2)</f>
        <v>43737.29</v>
      </c>
      <c r="P496" s="134">
        <f>ROUND('[7]2038'!P59,2)</f>
        <v>44794.87</v>
      </c>
      <c r="Q496" s="134">
        <f>ROUND('[7]2038'!Q59,2)</f>
        <v>43825.67</v>
      </c>
      <c r="R496" s="134">
        <f>ROUND('[7]2038'!R59,2)</f>
        <v>43130.48</v>
      </c>
      <c r="S496" s="134">
        <f>ROUND('[7]2038'!S59,2)</f>
        <v>43235.32</v>
      </c>
      <c r="T496" s="134">
        <f>ROUND('[7]2038'!T59,2)</f>
        <v>43205.18</v>
      </c>
      <c r="U496" s="134">
        <f>ROUND('[7]2038'!U59,2)</f>
        <v>42669.57</v>
      </c>
      <c r="V496" s="134">
        <f>ROUND('[7]2038'!V59,2)</f>
        <v>43813.93</v>
      </c>
      <c r="W496" s="134">
        <f>ROUND('[7]2038'!W59,2)</f>
        <v>48251.17</v>
      </c>
      <c r="X496" s="134">
        <f>ROUND('[7]2038'!X59,2)</f>
        <v>47199.76</v>
      </c>
      <c r="Y496" s="134">
        <f>ROUND('[7]2038'!Y59,2)</f>
        <v>45170</v>
      </c>
      <c r="Z496" s="134">
        <f>ROUND('[7]2038'!Z59,2)</f>
        <v>42946.82</v>
      </c>
      <c r="AA496" s="134">
        <f>ROUND('[7]2038'!AA59,2)</f>
        <v>40790.339999999997</v>
      </c>
      <c r="AB496" s="134">
        <f>ROUND('[7]2038'!AB59,2)</f>
        <v>38373.81</v>
      </c>
      <c r="AC496" s="283">
        <f>SUM(E496:AB496)*D496+SUM(E497:AB497)*D497+SUM(E498:AB498)*D498+SUM(E499:AB499)*D499</f>
        <v>29567713.91</v>
      </c>
      <c r="AD496" s="187"/>
    </row>
    <row r="497" spans="2:50" s="188" customFormat="1" ht="18.649999999999999" hidden="1" customHeight="1" x14ac:dyDescent="0.35">
      <c r="B497" s="264" t="s">
        <v>34</v>
      </c>
      <c r="C497" s="10" t="s">
        <v>30</v>
      </c>
      <c r="D497" s="11">
        <f>+'[7]2038'!D60</f>
        <v>3</v>
      </c>
      <c r="E497" s="135">
        <f>ROUND('[7]2038'!E60,2)</f>
        <v>36564.03</v>
      </c>
      <c r="F497" s="135">
        <f>ROUND('[7]2038'!F60,2)</f>
        <v>34718.03</v>
      </c>
      <c r="G497" s="135">
        <f>ROUND('[7]2038'!G60,2)</f>
        <v>33331.69</v>
      </c>
      <c r="H497" s="135">
        <f>ROUND('[7]2038'!H60,2)</f>
        <v>32368.99</v>
      </c>
      <c r="I497" s="135">
        <f>ROUND('[7]2038'!I60,2)</f>
        <v>32263.37</v>
      </c>
      <c r="J497" s="135">
        <f>ROUND('[7]2038'!J60,2)</f>
        <v>32783.64</v>
      </c>
      <c r="K497" s="135">
        <f>ROUND('[7]2038'!K60,2)</f>
        <v>32923.01</v>
      </c>
      <c r="L497" s="135">
        <f>ROUND('[7]2038'!L60,2)</f>
        <v>36534.9</v>
      </c>
      <c r="M497" s="135">
        <f>ROUND('[7]2038'!M60,2)</f>
        <v>40279.72</v>
      </c>
      <c r="N497" s="135">
        <f>ROUND('[7]2038'!N60,2)</f>
        <v>42444.01</v>
      </c>
      <c r="O497" s="135">
        <f>ROUND('[7]2038'!O60,2)</f>
        <v>44559.07</v>
      </c>
      <c r="P497" s="135">
        <f>ROUND('[7]2038'!P60,2)</f>
        <v>46045.35</v>
      </c>
      <c r="Q497" s="135">
        <f>ROUND('[7]2038'!Q60,2)</f>
        <v>44886.29</v>
      </c>
      <c r="R497" s="135">
        <f>ROUND('[7]2038'!R60,2)</f>
        <v>45777.3</v>
      </c>
      <c r="S497" s="135">
        <f>ROUND('[7]2038'!S60,2)</f>
        <v>47285.31</v>
      </c>
      <c r="T497" s="135">
        <f>ROUND('[7]2038'!T60,2)</f>
        <v>47390.94</v>
      </c>
      <c r="U497" s="135">
        <f>ROUND('[7]2038'!U60,2)</f>
        <v>46576</v>
      </c>
      <c r="V497" s="135">
        <f>ROUND('[7]2038'!V60,2)</f>
        <v>45737.83</v>
      </c>
      <c r="W497" s="135">
        <f>ROUND('[7]2038'!W60,2)</f>
        <v>48911.41</v>
      </c>
      <c r="X497" s="135">
        <f>ROUND('[7]2038'!X60,2)</f>
        <v>49205.59</v>
      </c>
      <c r="Y497" s="135">
        <f>ROUND('[7]2038'!Y60,2)</f>
        <v>47966.89</v>
      </c>
      <c r="Z497" s="135">
        <f>ROUND('[7]2038'!Z60,2)</f>
        <v>45887.55</v>
      </c>
      <c r="AA497" s="135">
        <f>ROUND('[7]2038'!AA60,2)</f>
        <v>42701.61</v>
      </c>
      <c r="AB497" s="135">
        <f>ROUND('[7]2038'!AB60,2)</f>
        <v>39294.43</v>
      </c>
      <c r="AC497" s="282"/>
      <c r="AD497" s="187"/>
    </row>
    <row r="498" spans="2:50" s="188" customFormat="1" ht="18.649999999999999" hidden="1" customHeight="1" x14ac:dyDescent="0.35">
      <c r="B498" s="264" t="s">
        <v>34</v>
      </c>
      <c r="C498" s="10" t="s">
        <v>31</v>
      </c>
      <c r="D498" s="11">
        <f>+'[7]2038'!D61</f>
        <v>4</v>
      </c>
      <c r="E498" s="135">
        <f>ROUND('[7]2038'!E61,2)</f>
        <v>36345.06</v>
      </c>
      <c r="F498" s="135">
        <f>ROUND('[7]2038'!F61,2)</f>
        <v>35217.879999999997</v>
      </c>
      <c r="G498" s="135">
        <f>ROUND('[7]2038'!G61,2)</f>
        <v>34151.839999999997</v>
      </c>
      <c r="H498" s="135">
        <f>ROUND('[7]2038'!H61,2)</f>
        <v>33129.94</v>
      </c>
      <c r="I498" s="135">
        <f>ROUND('[7]2038'!I61,2)</f>
        <v>32540.9</v>
      </c>
      <c r="J498" s="135">
        <f>ROUND('[7]2038'!J61,2)</f>
        <v>31688.92</v>
      </c>
      <c r="K498" s="135">
        <f>ROUND('[7]2038'!K61,2)</f>
        <v>29720.62</v>
      </c>
      <c r="L498" s="135">
        <f>ROUND('[7]2038'!L61,2)</f>
        <v>30708</v>
      </c>
      <c r="M498" s="135">
        <f>ROUND('[7]2038'!M61,2)</f>
        <v>32313.31</v>
      </c>
      <c r="N498" s="135">
        <f>ROUND('[7]2038'!N61,2)</f>
        <v>33820.5</v>
      </c>
      <c r="O498" s="135">
        <f>ROUND('[7]2038'!O61,2)</f>
        <v>35225.57</v>
      </c>
      <c r="P498" s="135">
        <f>ROUND('[7]2038'!P61,2)</f>
        <v>36419.83</v>
      </c>
      <c r="Q498" s="135">
        <f>ROUND('[7]2038'!Q61,2)</f>
        <v>37072.58</v>
      </c>
      <c r="R498" s="135">
        <f>ROUND('[7]2038'!R61,2)</f>
        <v>37101.440000000002</v>
      </c>
      <c r="S498" s="135">
        <f>ROUND('[7]2038'!S61,2)</f>
        <v>36933.56</v>
      </c>
      <c r="T498" s="135">
        <f>ROUND('[7]2038'!T61,2)</f>
        <v>37137.75</v>
      </c>
      <c r="U498" s="135">
        <f>ROUND('[7]2038'!U61,2)</f>
        <v>37120.42</v>
      </c>
      <c r="V498" s="135">
        <f>ROUND('[7]2038'!V61,2)</f>
        <v>38320.28</v>
      </c>
      <c r="W498" s="135">
        <f>ROUND('[7]2038'!W61,2)</f>
        <v>43657.85</v>
      </c>
      <c r="X498" s="135">
        <f>ROUND('[7]2038'!X61,2)</f>
        <v>44061.55</v>
      </c>
      <c r="Y498" s="135">
        <f>ROUND('[7]2038'!Y61,2)</f>
        <v>43503.41</v>
      </c>
      <c r="Z498" s="135">
        <f>ROUND('[7]2038'!Z61,2)</f>
        <v>42180.68</v>
      </c>
      <c r="AA498" s="135">
        <f>ROUND('[7]2038'!AA61,2)</f>
        <v>40000.629999999997</v>
      </c>
      <c r="AB498" s="135">
        <f>ROUND('[7]2038'!AB61,2)</f>
        <v>37471.300000000003</v>
      </c>
      <c r="AC498" s="282"/>
      <c r="AD498" s="187"/>
    </row>
    <row r="499" spans="2:50" s="188" customFormat="1" ht="18.649999999999999" hidden="1" customHeight="1" thickBot="1" x14ac:dyDescent="0.4">
      <c r="B499" s="265" t="s">
        <v>34</v>
      </c>
      <c r="C499" s="12" t="s">
        <v>32</v>
      </c>
      <c r="D499" s="13">
        <f>+'[7]2038'!D62</f>
        <v>1</v>
      </c>
      <c r="E499" s="132">
        <f>ROUND('[7]2038'!E62,2)</f>
        <v>36345.06</v>
      </c>
      <c r="F499" s="132">
        <f>ROUND('[7]2038'!F62,2)</f>
        <v>35217.879999999997</v>
      </c>
      <c r="G499" s="132">
        <f>ROUND('[7]2038'!G62,2)</f>
        <v>34151.839999999997</v>
      </c>
      <c r="H499" s="132">
        <f>ROUND('[7]2038'!H62,2)</f>
        <v>33129.94</v>
      </c>
      <c r="I499" s="132">
        <f>ROUND('[7]2038'!I62,2)</f>
        <v>32540.9</v>
      </c>
      <c r="J499" s="132">
        <f>ROUND('[7]2038'!J62,2)</f>
        <v>31688.92</v>
      </c>
      <c r="K499" s="132">
        <f>ROUND('[7]2038'!K62,2)</f>
        <v>29720.62</v>
      </c>
      <c r="L499" s="132">
        <f>ROUND('[7]2038'!L62,2)</f>
        <v>30708</v>
      </c>
      <c r="M499" s="132">
        <f>ROUND('[7]2038'!M62,2)</f>
        <v>32313.31</v>
      </c>
      <c r="N499" s="132">
        <f>ROUND('[7]2038'!N62,2)</f>
        <v>33820.5</v>
      </c>
      <c r="O499" s="132">
        <f>ROUND('[7]2038'!O62,2)</f>
        <v>35225.57</v>
      </c>
      <c r="P499" s="132">
        <f>ROUND('[7]2038'!P62,2)</f>
        <v>36419.83</v>
      </c>
      <c r="Q499" s="132">
        <f>ROUND('[7]2038'!Q62,2)</f>
        <v>37072.58</v>
      </c>
      <c r="R499" s="132">
        <f>ROUND('[7]2038'!R62,2)</f>
        <v>37101.440000000002</v>
      </c>
      <c r="S499" s="132">
        <f>ROUND('[7]2038'!S62,2)</f>
        <v>36933.56</v>
      </c>
      <c r="T499" s="132">
        <f>ROUND('[7]2038'!T62,2)</f>
        <v>37137.75</v>
      </c>
      <c r="U499" s="132">
        <f>ROUND('[7]2038'!U62,2)</f>
        <v>37120.42</v>
      </c>
      <c r="V499" s="132">
        <f>ROUND('[7]2038'!V62,2)</f>
        <v>38320.28</v>
      </c>
      <c r="W499" s="132">
        <f>ROUND('[7]2038'!W62,2)</f>
        <v>43657.85</v>
      </c>
      <c r="X499" s="132">
        <f>ROUND('[7]2038'!X62,2)</f>
        <v>44061.55</v>
      </c>
      <c r="Y499" s="132">
        <f>ROUND('[7]2038'!Y62,2)</f>
        <v>43503.41</v>
      </c>
      <c r="Z499" s="132">
        <f>ROUND('[7]2038'!Z62,2)</f>
        <v>42180.68</v>
      </c>
      <c r="AA499" s="132">
        <f>ROUND('[7]2038'!AA62,2)</f>
        <v>40000.629999999997</v>
      </c>
      <c r="AB499" s="132">
        <f>ROUND('[7]2038'!AB62,2)</f>
        <v>37471.300000000003</v>
      </c>
      <c r="AC499" s="284"/>
      <c r="AD499" s="187"/>
    </row>
    <row r="500" spans="2:50" s="188" customFormat="1" ht="18.649999999999999" hidden="1" customHeight="1" thickBot="1" x14ac:dyDescent="0.4">
      <c r="C500" s="192" t="s">
        <v>32</v>
      </c>
      <c r="D500" s="192">
        <v>1</v>
      </c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285" t="s">
        <v>33</v>
      </c>
      <c r="AA500" s="286"/>
      <c r="AB500" s="287"/>
      <c r="AC500" s="198">
        <f>SUM(AC452:AC499)</f>
        <v>355874774.57999998</v>
      </c>
      <c r="AD500" s="190"/>
      <c r="AE500" s="187"/>
    </row>
    <row r="501" spans="2:50" s="188" customFormat="1" ht="18.649999999999999" hidden="1" customHeight="1" x14ac:dyDescent="0.35">
      <c r="B501" s="260">
        <v>50771</v>
      </c>
      <c r="C501" s="7" t="s">
        <v>29</v>
      </c>
      <c r="D501" s="54">
        <f>+'[7]2039'!D15</f>
        <v>20</v>
      </c>
      <c r="E501" s="134">
        <f>ROUND('[7]2039'!E15,2)</f>
        <v>37492.97</v>
      </c>
      <c r="F501" s="134">
        <f>ROUND('[7]2039'!F15,2)</f>
        <v>35460.94</v>
      </c>
      <c r="G501" s="134">
        <f>ROUND('[7]2039'!G15,2)</f>
        <v>33992.15</v>
      </c>
      <c r="H501" s="134">
        <f>ROUND('[7]2039'!H15,2)</f>
        <v>32965.230000000003</v>
      </c>
      <c r="I501" s="134">
        <f>ROUND('[7]2039'!I15,2)</f>
        <v>32721.81</v>
      </c>
      <c r="J501" s="134">
        <f>ROUND('[7]2039'!J15,2)</f>
        <v>33520.6</v>
      </c>
      <c r="K501" s="134">
        <f>ROUND('[7]2039'!K15,2)</f>
        <v>33271.01</v>
      </c>
      <c r="L501" s="134">
        <f>ROUND('[7]2039'!L15,2)</f>
        <v>37205.279999999999</v>
      </c>
      <c r="M501" s="134">
        <f>ROUND('[7]2039'!M15,2)</f>
        <v>41438.730000000003</v>
      </c>
      <c r="N501" s="134">
        <f>ROUND('[7]2039'!N15,2)</f>
        <v>43890.3</v>
      </c>
      <c r="O501" s="134">
        <f>ROUND('[7]2039'!O15,2)</f>
        <v>46419.37</v>
      </c>
      <c r="P501" s="134">
        <f>ROUND('[7]2039'!P15,2)</f>
        <v>48217.95</v>
      </c>
      <c r="Q501" s="134">
        <f>ROUND('[7]2039'!Q15,2)</f>
        <v>46878.14</v>
      </c>
      <c r="R501" s="134">
        <f>ROUND('[7]2039'!R15,2)</f>
        <v>48193.29</v>
      </c>
      <c r="S501" s="134">
        <f>ROUND('[7]2039'!S15,2)</f>
        <v>50386.61</v>
      </c>
      <c r="T501" s="134">
        <f>ROUND('[7]2039'!T15,2)</f>
        <v>50594.65</v>
      </c>
      <c r="U501" s="134">
        <f>ROUND('[7]2039'!U15,2)</f>
        <v>49547.35</v>
      </c>
      <c r="V501" s="134">
        <f>ROUND('[7]2039'!V15,2)</f>
        <v>47556.27</v>
      </c>
      <c r="W501" s="134">
        <f>ROUND('[7]2039'!W15,2)</f>
        <v>50379.31</v>
      </c>
      <c r="X501" s="134">
        <f>ROUND('[7]2039'!X15,2)</f>
        <v>50533.79</v>
      </c>
      <c r="Y501" s="134">
        <f>ROUND('[7]2039'!Y15,2)</f>
        <v>49339.49</v>
      </c>
      <c r="Z501" s="134">
        <f>ROUND('[7]2039'!Z15,2)</f>
        <v>47433.440000000002</v>
      </c>
      <c r="AA501" s="134">
        <f>ROUND('[7]2039'!AA15,2)</f>
        <v>44290.64</v>
      </c>
      <c r="AB501" s="134">
        <f>ROUND('[7]2039'!AB15,2)</f>
        <v>40761.879999999997</v>
      </c>
      <c r="AC501" s="283">
        <f>SUM(E501:AB501)*D501+SUM(E502:AB502)*D502+SUM(E503:AB503)*D503+SUM(E504:AB504)*D504</f>
        <v>31096157.009999998</v>
      </c>
      <c r="AD501" s="187"/>
      <c r="AE501" s="187"/>
      <c r="AF501" s="187"/>
      <c r="AG501" s="187"/>
      <c r="AH501" s="187"/>
      <c r="AI501" s="187"/>
      <c r="AJ501" s="187"/>
      <c r="AK501" s="187"/>
      <c r="AL501" s="187"/>
      <c r="AM501" s="187"/>
      <c r="AN501" s="187"/>
      <c r="AO501" s="187"/>
      <c r="AP501" s="187"/>
      <c r="AQ501" s="187"/>
      <c r="AR501" s="187"/>
      <c r="AS501" s="187"/>
      <c r="AT501" s="187"/>
      <c r="AU501" s="187"/>
      <c r="AV501" s="187"/>
      <c r="AW501" s="187"/>
      <c r="AX501" s="187"/>
    </row>
    <row r="502" spans="2:50" s="188" customFormat="1" ht="18.649999999999999" hidden="1" customHeight="1" x14ac:dyDescent="0.35">
      <c r="B502" s="261"/>
      <c r="C502" s="10" t="s">
        <v>30</v>
      </c>
      <c r="D502" s="11">
        <f>+'[7]2039'!D16</f>
        <v>4</v>
      </c>
      <c r="E502" s="135">
        <f>ROUND('[7]2039'!E16,2)</f>
        <v>37775.5</v>
      </c>
      <c r="F502" s="135">
        <f>ROUND('[7]2039'!F16,2)</f>
        <v>35769.769999999997</v>
      </c>
      <c r="G502" s="135">
        <f>ROUND('[7]2039'!G16,2)</f>
        <v>34283.78</v>
      </c>
      <c r="H502" s="135">
        <f>ROUND('[7]2039'!H16,2)</f>
        <v>33111.370000000003</v>
      </c>
      <c r="I502" s="135">
        <f>ROUND('[7]2039'!I16,2)</f>
        <v>32803.980000000003</v>
      </c>
      <c r="J502" s="135">
        <f>ROUND('[7]2039'!J16,2)</f>
        <v>32947.85</v>
      </c>
      <c r="K502" s="135">
        <f>ROUND('[7]2039'!K16,2)</f>
        <v>32096.43</v>
      </c>
      <c r="L502" s="135">
        <f>ROUND('[7]2039'!L16,2)</f>
        <v>35151.47</v>
      </c>
      <c r="M502" s="135">
        <f>ROUND('[7]2039'!M16,2)</f>
        <v>39186.370000000003</v>
      </c>
      <c r="N502" s="135">
        <f>ROUND('[7]2039'!N16,2)</f>
        <v>41856.620000000003</v>
      </c>
      <c r="O502" s="135">
        <f>ROUND('[7]2039'!O16,2)</f>
        <v>44055.18</v>
      </c>
      <c r="P502" s="135">
        <f>ROUND('[7]2039'!P16,2)</f>
        <v>45433.27</v>
      </c>
      <c r="Q502" s="135">
        <f>ROUND('[7]2039'!Q16,2)</f>
        <v>44789.3</v>
      </c>
      <c r="R502" s="135">
        <f>ROUND('[7]2039'!R16,2)</f>
        <v>44337.78</v>
      </c>
      <c r="S502" s="135">
        <f>ROUND('[7]2039'!S16,2)</f>
        <v>44590.34</v>
      </c>
      <c r="T502" s="135">
        <f>ROUND('[7]2039'!T16,2)</f>
        <v>44576.14</v>
      </c>
      <c r="U502" s="135">
        <f>ROUND('[7]2039'!U16,2)</f>
        <v>43918.33</v>
      </c>
      <c r="V502" s="135">
        <f>ROUND('[7]2039'!V16,2)</f>
        <v>43582.45</v>
      </c>
      <c r="W502" s="135">
        <f>ROUND('[7]2039'!W16,2)</f>
        <v>48061.82</v>
      </c>
      <c r="X502" s="135">
        <f>ROUND('[7]2039'!X16,2)</f>
        <v>48543.03</v>
      </c>
      <c r="Y502" s="135">
        <f>ROUND('[7]2039'!Y16,2)</f>
        <v>47201.32</v>
      </c>
      <c r="Z502" s="135">
        <f>ROUND('[7]2039'!Z16,2)</f>
        <v>45530.41</v>
      </c>
      <c r="AA502" s="135">
        <f>ROUND('[7]2039'!AA16,2)</f>
        <v>43261.04</v>
      </c>
      <c r="AB502" s="135">
        <f>ROUND('[7]2039'!AB16,2)</f>
        <v>40611</v>
      </c>
      <c r="AC502" s="282"/>
      <c r="AD502" s="187"/>
      <c r="AE502" s="187"/>
      <c r="AF502" s="187"/>
      <c r="AG502" s="187"/>
      <c r="AH502" s="187"/>
      <c r="AI502" s="187"/>
      <c r="AJ502" s="187"/>
      <c r="AK502" s="187"/>
      <c r="AL502" s="187"/>
      <c r="AM502" s="187"/>
      <c r="AN502" s="187"/>
      <c r="AO502" s="187"/>
      <c r="AP502" s="187"/>
      <c r="AQ502" s="187"/>
      <c r="AR502" s="187"/>
      <c r="AS502" s="187"/>
      <c r="AT502" s="187"/>
      <c r="AU502" s="187"/>
      <c r="AV502" s="187"/>
      <c r="AW502" s="187"/>
      <c r="AX502" s="187"/>
    </row>
    <row r="503" spans="2:50" s="188" customFormat="1" ht="18.649999999999999" hidden="1" customHeight="1" x14ac:dyDescent="0.35">
      <c r="B503" s="261"/>
      <c r="C503" s="10" t="s">
        <v>31</v>
      </c>
      <c r="D503" s="11">
        <f>+'[7]2039'!D17</f>
        <v>5</v>
      </c>
      <c r="E503" s="135">
        <f>ROUND('[7]2039'!E17,2)</f>
        <v>38196.449999999997</v>
      </c>
      <c r="F503" s="135">
        <f>ROUND('[7]2039'!F17,2)</f>
        <v>36262.26</v>
      </c>
      <c r="G503" s="135">
        <f>ROUND('[7]2039'!G17,2)</f>
        <v>34693.67</v>
      </c>
      <c r="H503" s="135">
        <f>ROUND('[7]2039'!H17,2)</f>
        <v>33439.980000000003</v>
      </c>
      <c r="I503" s="135">
        <f>ROUND('[7]2039'!I17,2)</f>
        <v>32802.69</v>
      </c>
      <c r="J503" s="135">
        <f>ROUND('[7]2039'!J17,2)</f>
        <v>32488.39</v>
      </c>
      <c r="K503" s="135">
        <f>ROUND('[7]2039'!K17,2)</f>
        <v>30813.06</v>
      </c>
      <c r="L503" s="135">
        <f>ROUND('[7]2039'!L17,2)</f>
        <v>32190.13</v>
      </c>
      <c r="M503" s="135">
        <f>ROUND('[7]2039'!M17,2)</f>
        <v>34490.300000000003</v>
      </c>
      <c r="N503" s="135">
        <f>ROUND('[7]2039'!N17,2)</f>
        <v>36834.26</v>
      </c>
      <c r="O503" s="135">
        <f>ROUND('[7]2039'!O17,2)</f>
        <v>38275.81</v>
      </c>
      <c r="P503" s="135">
        <f>ROUND('[7]2039'!P17,2)</f>
        <v>39559.47</v>
      </c>
      <c r="Q503" s="135">
        <f>ROUND('[7]2039'!Q17,2)</f>
        <v>40323.75</v>
      </c>
      <c r="R503" s="135">
        <f>ROUND('[7]2039'!R17,2)</f>
        <v>40496.050000000003</v>
      </c>
      <c r="S503" s="135">
        <f>ROUND('[7]2039'!S17,2)</f>
        <v>40608.339999999997</v>
      </c>
      <c r="T503" s="135">
        <f>ROUND('[7]2039'!T17,2)</f>
        <v>40675.83</v>
      </c>
      <c r="U503" s="135">
        <f>ROUND('[7]2039'!U17,2)</f>
        <v>40437.68</v>
      </c>
      <c r="V503" s="135">
        <f>ROUND('[7]2039'!V17,2)</f>
        <v>40478.97</v>
      </c>
      <c r="W503" s="135">
        <f>ROUND('[7]2039'!W17,2)</f>
        <v>45381.53</v>
      </c>
      <c r="X503" s="135">
        <f>ROUND('[7]2039'!X17,2)</f>
        <v>46863.58</v>
      </c>
      <c r="Y503" s="135">
        <f>ROUND('[7]2039'!Y17,2)</f>
        <v>46693.47</v>
      </c>
      <c r="Z503" s="135">
        <f>ROUND('[7]2039'!Z17,2)</f>
        <v>45403.27</v>
      </c>
      <c r="AA503" s="135">
        <f>ROUND('[7]2039'!AA17,2)</f>
        <v>42962.49</v>
      </c>
      <c r="AB503" s="135">
        <f>ROUND('[7]2039'!AB17,2)</f>
        <v>39976.400000000001</v>
      </c>
      <c r="AC503" s="282"/>
      <c r="AD503" s="187"/>
      <c r="AE503" s="187"/>
      <c r="AF503" s="187"/>
      <c r="AG503" s="187"/>
      <c r="AH503" s="187"/>
      <c r="AI503" s="187"/>
      <c r="AJ503" s="187"/>
      <c r="AK503" s="187"/>
      <c r="AL503" s="187"/>
      <c r="AM503" s="187"/>
      <c r="AN503" s="187"/>
      <c r="AO503" s="187"/>
      <c r="AP503" s="187"/>
      <c r="AQ503" s="187"/>
      <c r="AR503" s="187"/>
      <c r="AS503" s="187"/>
      <c r="AT503" s="187"/>
      <c r="AU503" s="187"/>
      <c r="AV503" s="187"/>
      <c r="AW503" s="187"/>
      <c r="AX503" s="187"/>
    </row>
    <row r="504" spans="2:50" s="188" customFormat="1" ht="18.649999999999999" hidden="1" customHeight="1" thickBot="1" x14ac:dyDescent="0.4">
      <c r="B504" s="261"/>
      <c r="C504" s="16" t="s">
        <v>32</v>
      </c>
      <c r="D504" s="17">
        <f>+'[7]2039'!D18</f>
        <v>2</v>
      </c>
      <c r="E504" s="136">
        <f>ROUND('[7]2039'!E18,2)</f>
        <v>38196.449999999997</v>
      </c>
      <c r="F504" s="136">
        <f>ROUND('[7]2039'!F18,2)</f>
        <v>36262.26</v>
      </c>
      <c r="G504" s="136">
        <f>ROUND('[7]2039'!G18,2)</f>
        <v>34693.67</v>
      </c>
      <c r="H504" s="136">
        <f>ROUND('[7]2039'!H18,2)</f>
        <v>33439.980000000003</v>
      </c>
      <c r="I504" s="136">
        <f>ROUND('[7]2039'!I18,2)</f>
        <v>32802.69</v>
      </c>
      <c r="J504" s="136">
        <f>ROUND('[7]2039'!J18,2)</f>
        <v>32488.39</v>
      </c>
      <c r="K504" s="136">
        <f>ROUND('[7]2039'!K18,2)</f>
        <v>30813.06</v>
      </c>
      <c r="L504" s="136">
        <f>ROUND('[7]2039'!L18,2)</f>
        <v>32190.13</v>
      </c>
      <c r="M504" s="136">
        <f>ROUND('[7]2039'!M18,2)</f>
        <v>34490.300000000003</v>
      </c>
      <c r="N504" s="136">
        <f>ROUND('[7]2039'!N18,2)</f>
        <v>36834.26</v>
      </c>
      <c r="O504" s="136">
        <f>ROUND('[7]2039'!O18,2)</f>
        <v>38275.81</v>
      </c>
      <c r="P504" s="136">
        <f>ROUND('[7]2039'!P18,2)</f>
        <v>39559.47</v>
      </c>
      <c r="Q504" s="136">
        <f>ROUND('[7]2039'!Q18,2)</f>
        <v>40323.75</v>
      </c>
      <c r="R504" s="136">
        <f>ROUND('[7]2039'!R18,2)</f>
        <v>40496.050000000003</v>
      </c>
      <c r="S504" s="136">
        <f>ROUND('[7]2039'!S18,2)</f>
        <v>40608.339999999997</v>
      </c>
      <c r="T504" s="136">
        <f>ROUND('[7]2039'!T18,2)</f>
        <v>40675.83</v>
      </c>
      <c r="U504" s="136">
        <f>ROUND('[7]2039'!U18,2)</f>
        <v>40437.68</v>
      </c>
      <c r="V504" s="136">
        <f>ROUND('[7]2039'!V18,2)</f>
        <v>40478.97</v>
      </c>
      <c r="W504" s="136">
        <f>ROUND('[7]2039'!W18,2)</f>
        <v>45381.53</v>
      </c>
      <c r="X504" s="136">
        <f>ROUND('[7]2039'!X18,2)</f>
        <v>46863.58</v>
      </c>
      <c r="Y504" s="136">
        <f>ROUND('[7]2039'!Y18,2)</f>
        <v>46693.47</v>
      </c>
      <c r="Z504" s="136">
        <f>ROUND('[7]2039'!Z18,2)</f>
        <v>45403.27</v>
      </c>
      <c r="AA504" s="136">
        <f>ROUND('[7]2039'!AA18,2)</f>
        <v>42962.49</v>
      </c>
      <c r="AB504" s="136">
        <f>ROUND('[7]2039'!AB18,2)</f>
        <v>39976.400000000001</v>
      </c>
      <c r="AC504" s="282"/>
      <c r="AD504" s="187"/>
      <c r="AE504" s="187"/>
      <c r="AF504" s="187"/>
      <c r="AG504" s="187"/>
      <c r="AH504" s="187"/>
      <c r="AI504" s="187"/>
      <c r="AJ504" s="187"/>
      <c r="AK504" s="187"/>
      <c r="AL504" s="187"/>
      <c r="AM504" s="187"/>
      <c r="AN504" s="187"/>
      <c r="AO504" s="187"/>
      <c r="AP504" s="187"/>
      <c r="AQ504" s="187"/>
      <c r="AR504" s="187"/>
      <c r="AS504" s="187"/>
      <c r="AT504" s="187"/>
      <c r="AU504" s="187"/>
      <c r="AV504" s="187"/>
      <c r="AW504" s="187"/>
      <c r="AX504" s="187"/>
    </row>
    <row r="505" spans="2:50" s="188" customFormat="1" ht="18.649999999999999" hidden="1" customHeight="1" x14ac:dyDescent="0.35">
      <c r="B505" s="263">
        <v>50802</v>
      </c>
      <c r="C505" s="7" t="s">
        <v>29</v>
      </c>
      <c r="D505" s="8">
        <f>+'[7]2039'!D19</f>
        <v>20</v>
      </c>
      <c r="E505" s="134">
        <f>ROUND('[7]2039'!E19,2)</f>
        <v>38864.980000000003</v>
      </c>
      <c r="F505" s="134">
        <f>ROUND('[7]2039'!F19,2)</f>
        <v>36814.11</v>
      </c>
      <c r="G505" s="134">
        <f>ROUND('[7]2039'!G19,2)</f>
        <v>35349.199999999997</v>
      </c>
      <c r="H505" s="134">
        <f>ROUND('[7]2039'!H19,2)</f>
        <v>34390.26</v>
      </c>
      <c r="I505" s="134">
        <f>ROUND('[7]2039'!I19,2)</f>
        <v>34460.67</v>
      </c>
      <c r="J505" s="134">
        <f>ROUND('[7]2039'!J19,2)</f>
        <v>36374.720000000001</v>
      </c>
      <c r="K505" s="134">
        <f>ROUND('[7]2039'!K19,2)</f>
        <v>36277.54</v>
      </c>
      <c r="L505" s="134">
        <f>ROUND('[7]2039'!L19,2)</f>
        <v>40022.68</v>
      </c>
      <c r="M505" s="134">
        <f>ROUND('[7]2039'!M19,2)</f>
        <v>43799.09</v>
      </c>
      <c r="N505" s="134">
        <f>ROUND('[7]2039'!N19,2)</f>
        <v>45653.55</v>
      </c>
      <c r="O505" s="134">
        <f>ROUND('[7]2039'!O19,2)</f>
        <v>47869.06</v>
      </c>
      <c r="P505" s="134">
        <f>ROUND('[7]2039'!P19,2)</f>
        <v>49355.47</v>
      </c>
      <c r="Q505" s="134">
        <f>ROUND('[7]2039'!Q19,2)</f>
        <v>47497.93</v>
      </c>
      <c r="R505" s="134">
        <f>ROUND('[7]2039'!R19,2)</f>
        <v>49191.91</v>
      </c>
      <c r="S505" s="134">
        <f>ROUND('[7]2039'!S19,2)</f>
        <v>51681.61</v>
      </c>
      <c r="T505" s="134">
        <f>ROUND('[7]2039'!T19,2)</f>
        <v>52001.59</v>
      </c>
      <c r="U505" s="134">
        <f>ROUND('[7]2039'!U19,2)</f>
        <v>51090.85</v>
      </c>
      <c r="V505" s="134">
        <f>ROUND('[7]2039'!V19,2)</f>
        <v>48915.05</v>
      </c>
      <c r="W505" s="134">
        <f>ROUND('[7]2039'!W19,2)</f>
        <v>51514.99</v>
      </c>
      <c r="X505" s="134">
        <f>ROUND('[7]2039'!X19,2)</f>
        <v>52348.77</v>
      </c>
      <c r="Y505" s="134">
        <f>ROUND('[7]2039'!Y19,2)</f>
        <v>51312.24</v>
      </c>
      <c r="Z505" s="134">
        <f>ROUND('[7]2039'!Z19,2)</f>
        <v>49077.71</v>
      </c>
      <c r="AA505" s="134">
        <f>ROUND('[7]2039'!AA19,2)</f>
        <v>45435.71</v>
      </c>
      <c r="AB505" s="134">
        <f>ROUND('[7]2039'!AB19,2)</f>
        <v>41773.300000000003</v>
      </c>
      <c r="AC505" s="283">
        <f>SUM(E505:AB505)*D505+SUM(E506:AB506)*D506+SUM(E507:AB507)*D507+SUM(E508:AB508)*D508</f>
        <v>29433534.600000001</v>
      </c>
      <c r="AD505" s="187"/>
    </row>
    <row r="506" spans="2:50" s="188" customFormat="1" ht="18.649999999999999" hidden="1" customHeight="1" x14ac:dyDescent="0.35">
      <c r="B506" s="264" t="s">
        <v>34</v>
      </c>
      <c r="C506" s="10" t="s">
        <v>30</v>
      </c>
      <c r="D506" s="11">
        <f>+'[7]2039'!D20</f>
        <v>4</v>
      </c>
      <c r="E506" s="135">
        <f>ROUND('[7]2039'!E20,2)</f>
        <v>38988.92</v>
      </c>
      <c r="F506" s="135">
        <f>ROUND('[7]2039'!F20,2)</f>
        <v>37090.480000000003</v>
      </c>
      <c r="G506" s="135">
        <f>ROUND('[7]2039'!G20,2)</f>
        <v>35440.480000000003</v>
      </c>
      <c r="H506" s="135">
        <f>ROUND('[7]2039'!H20,2)</f>
        <v>34321.25</v>
      </c>
      <c r="I506" s="135">
        <f>ROUND('[7]2039'!I20,2)</f>
        <v>33893.910000000003</v>
      </c>
      <c r="J506" s="135">
        <f>ROUND('[7]2039'!J20,2)</f>
        <v>34233.07</v>
      </c>
      <c r="K506" s="135">
        <f>ROUND('[7]2039'!K20,2)</f>
        <v>33887.949999999997</v>
      </c>
      <c r="L506" s="135">
        <f>ROUND('[7]2039'!L20,2)</f>
        <v>37255.71</v>
      </c>
      <c r="M506" s="135">
        <f>ROUND('[7]2039'!M20,2)</f>
        <v>41304.910000000003</v>
      </c>
      <c r="N506" s="135">
        <f>ROUND('[7]2039'!N20,2)</f>
        <v>43848.15</v>
      </c>
      <c r="O506" s="135">
        <f>ROUND('[7]2039'!O20,2)</f>
        <v>45927.58</v>
      </c>
      <c r="P506" s="135">
        <f>ROUND('[7]2039'!P20,2)</f>
        <v>47304.87</v>
      </c>
      <c r="Q506" s="135">
        <f>ROUND('[7]2039'!Q20,2)</f>
        <v>46479.73</v>
      </c>
      <c r="R506" s="135">
        <f>ROUND('[7]2039'!R20,2)</f>
        <v>45937.45</v>
      </c>
      <c r="S506" s="135">
        <f>ROUND('[7]2039'!S20,2)</f>
        <v>46178.65</v>
      </c>
      <c r="T506" s="135">
        <f>ROUND('[7]2039'!T20,2)</f>
        <v>46172.86</v>
      </c>
      <c r="U506" s="135">
        <f>ROUND('[7]2039'!U20,2)</f>
        <v>45471.87</v>
      </c>
      <c r="V506" s="135">
        <f>ROUND('[7]2039'!V20,2)</f>
        <v>45155.14</v>
      </c>
      <c r="W506" s="135">
        <f>ROUND('[7]2039'!W20,2)</f>
        <v>49460.81</v>
      </c>
      <c r="X506" s="135">
        <f>ROUND('[7]2039'!X20,2)</f>
        <v>50465.97</v>
      </c>
      <c r="Y506" s="135">
        <f>ROUND('[7]2039'!Y20,2)</f>
        <v>49154.64</v>
      </c>
      <c r="Z506" s="135">
        <f>ROUND('[7]2039'!Z20,2)</f>
        <v>47383.57</v>
      </c>
      <c r="AA506" s="135">
        <f>ROUND('[7]2039'!AA20,2)</f>
        <v>44976.47</v>
      </c>
      <c r="AB506" s="135">
        <f>ROUND('[7]2039'!AB20,2)</f>
        <v>42145.31</v>
      </c>
      <c r="AC506" s="282"/>
      <c r="AD506" s="187"/>
    </row>
    <row r="507" spans="2:50" s="188" customFormat="1" ht="18.649999999999999" hidden="1" customHeight="1" x14ac:dyDescent="0.35">
      <c r="B507" s="264" t="s">
        <v>34</v>
      </c>
      <c r="C507" s="10" t="s">
        <v>31</v>
      </c>
      <c r="D507" s="11">
        <f>+'[7]2039'!D21</f>
        <v>4</v>
      </c>
      <c r="E507" s="135">
        <f>ROUND('[7]2039'!E21,2)</f>
        <v>39595</v>
      </c>
      <c r="F507" s="135">
        <f>ROUND('[7]2039'!F21,2)</f>
        <v>37567.699999999997</v>
      </c>
      <c r="G507" s="135">
        <f>ROUND('[7]2039'!G21,2)</f>
        <v>35999.42</v>
      </c>
      <c r="H507" s="135">
        <f>ROUND('[7]2039'!H21,2)</f>
        <v>34848.959999999999</v>
      </c>
      <c r="I507" s="135">
        <f>ROUND('[7]2039'!I21,2)</f>
        <v>34120.32</v>
      </c>
      <c r="J507" s="135">
        <f>ROUND('[7]2039'!J21,2)</f>
        <v>33967.279999999999</v>
      </c>
      <c r="K507" s="135">
        <f>ROUND('[7]2039'!K21,2)</f>
        <v>32470.37</v>
      </c>
      <c r="L507" s="135">
        <f>ROUND('[7]2039'!L21,2)</f>
        <v>33921.17</v>
      </c>
      <c r="M507" s="135">
        <f>ROUND('[7]2039'!M21,2)</f>
        <v>36296.74</v>
      </c>
      <c r="N507" s="135">
        <f>ROUND('[7]2039'!N21,2)</f>
        <v>38453.949999999997</v>
      </c>
      <c r="O507" s="135">
        <f>ROUND('[7]2039'!O21,2)</f>
        <v>40027.19</v>
      </c>
      <c r="P507" s="135">
        <f>ROUND('[7]2039'!P21,2)</f>
        <v>41627.269999999997</v>
      </c>
      <c r="Q507" s="135">
        <f>ROUND('[7]2039'!Q21,2)</f>
        <v>42544.959999999999</v>
      </c>
      <c r="R507" s="135">
        <f>ROUND('[7]2039'!R21,2)</f>
        <v>42826.17</v>
      </c>
      <c r="S507" s="135">
        <f>ROUND('[7]2039'!S21,2)</f>
        <v>43080.69</v>
      </c>
      <c r="T507" s="135">
        <f>ROUND('[7]2039'!T21,2)</f>
        <v>43277.5</v>
      </c>
      <c r="U507" s="135">
        <f>ROUND('[7]2039'!U21,2)</f>
        <v>42993.61</v>
      </c>
      <c r="V507" s="135">
        <f>ROUND('[7]2039'!V21,2)</f>
        <v>42892.89</v>
      </c>
      <c r="W507" s="135">
        <f>ROUND('[7]2039'!W21,2)</f>
        <v>47691.5</v>
      </c>
      <c r="X507" s="135">
        <f>ROUND('[7]2039'!X21,2)</f>
        <v>49839.73</v>
      </c>
      <c r="Y507" s="135">
        <f>ROUND('[7]2039'!Y21,2)</f>
        <v>49876.61</v>
      </c>
      <c r="Z507" s="135">
        <f>ROUND('[7]2039'!Z21,2)</f>
        <v>48639.49</v>
      </c>
      <c r="AA507" s="135">
        <f>ROUND('[7]2039'!AA21,2)</f>
        <v>45729.27</v>
      </c>
      <c r="AB507" s="135">
        <f>ROUND('[7]2039'!AB21,2)</f>
        <v>42251.16</v>
      </c>
      <c r="AC507" s="282"/>
      <c r="AD507" s="187"/>
    </row>
    <row r="508" spans="2:50" s="188" customFormat="1" ht="18.649999999999999" hidden="1" customHeight="1" thickBot="1" x14ac:dyDescent="0.4">
      <c r="B508" s="265" t="s">
        <v>34</v>
      </c>
      <c r="C508" s="12" t="s">
        <v>32</v>
      </c>
      <c r="D508" s="13">
        <f>+'[7]2039'!D22</f>
        <v>0</v>
      </c>
      <c r="E508" s="199">
        <f>ROUND('[7]2039'!E22,2)</f>
        <v>0</v>
      </c>
      <c r="F508" s="115">
        <f>ROUND('[7]2039'!F22,2)</f>
        <v>0</v>
      </c>
      <c r="G508" s="115">
        <f>ROUND('[7]2039'!G22,2)</f>
        <v>0</v>
      </c>
      <c r="H508" s="115">
        <f>ROUND('[7]2039'!H22,2)</f>
        <v>0</v>
      </c>
      <c r="I508" s="115">
        <f>ROUND('[7]2039'!I22,2)</f>
        <v>0</v>
      </c>
      <c r="J508" s="115">
        <f>ROUND('[7]2039'!J22,2)</f>
        <v>0</v>
      </c>
      <c r="K508" s="115">
        <f>ROUND('[7]2039'!K22,2)</f>
        <v>0</v>
      </c>
      <c r="L508" s="115">
        <f>ROUND('[7]2039'!L22,2)</f>
        <v>0</v>
      </c>
      <c r="M508" s="115">
        <f>ROUND('[7]2039'!M22,2)</f>
        <v>0</v>
      </c>
      <c r="N508" s="115">
        <f>ROUND('[7]2039'!N22,2)</f>
        <v>0</v>
      </c>
      <c r="O508" s="115">
        <f>ROUND('[7]2039'!O22,2)</f>
        <v>0</v>
      </c>
      <c r="P508" s="115">
        <f>ROUND('[7]2039'!P22,2)</f>
        <v>0</v>
      </c>
      <c r="Q508" s="115">
        <f>ROUND('[7]2039'!Q22,2)</f>
        <v>0</v>
      </c>
      <c r="R508" s="115">
        <f>ROUND('[7]2039'!R22,2)</f>
        <v>0</v>
      </c>
      <c r="S508" s="115">
        <f>ROUND('[7]2039'!S22,2)</f>
        <v>0</v>
      </c>
      <c r="T508" s="115">
        <f>ROUND('[7]2039'!T22,2)</f>
        <v>0</v>
      </c>
      <c r="U508" s="115">
        <f>ROUND('[7]2039'!U22,2)</f>
        <v>0</v>
      </c>
      <c r="V508" s="115">
        <f>ROUND('[7]2039'!V22,2)</f>
        <v>0</v>
      </c>
      <c r="W508" s="115">
        <f>ROUND('[7]2039'!W22,2)</f>
        <v>0</v>
      </c>
      <c r="X508" s="115">
        <f>ROUND('[7]2039'!X22,2)</f>
        <v>0</v>
      </c>
      <c r="Y508" s="115">
        <f>ROUND('[7]2039'!Y22,2)</f>
        <v>0</v>
      </c>
      <c r="Z508" s="115">
        <f>ROUND('[7]2039'!Z22,2)</f>
        <v>0</v>
      </c>
      <c r="AA508" s="115">
        <f>ROUND('[7]2039'!AA22,2)</f>
        <v>0</v>
      </c>
      <c r="AB508" s="115">
        <f>ROUND('[7]2039'!AB22,2)</f>
        <v>0</v>
      </c>
      <c r="AC508" s="284"/>
      <c r="AD508" s="187"/>
    </row>
    <row r="509" spans="2:50" s="188" customFormat="1" ht="18.649999999999999" hidden="1" customHeight="1" x14ac:dyDescent="0.35">
      <c r="B509" s="260">
        <v>50830</v>
      </c>
      <c r="C509" s="14" t="s">
        <v>29</v>
      </c>
      <c r="D509" s="15">
        <f>+'[7]2039'!D23</f>
        <v>22</v>
      </c>
      <c r="E509" s="137">
        <f>ROUND('[7]2039'!E23,2)</f>
        <v>38839.08</v>
      </c>
      <c r="F509" s="137">
        <f>ROUND('[7]2039'!F23,2)</f>
        <v>36786.519999999997</v>
      </c>
      <c r="G509" s="137">
        <f>ROUND('[7]2039'!G23,2)</f>
        <v>35239.72</v>
      </c>
      <c r="H509" s="137">
        <f>ROUND('[7]2039'!H23,2)</f>
        <v>34098.15</v>
      </c>
      <c r="I509" s="137">
        <f>ROUND('[7]2039'!I23,2)</f>
        <v>33926.559999999998</v>
      </c>
      <c r="J509" s="137">
        <f>ROUND('[7]2039'!J23,2)</f>
        <v>35168.82</v>
      </c>
      <c r="K509" s="137">
        <f>ROUND('[7]2039'!K23,2)</f>
        <v>34927.300000000003</v>
      </c>
      <c r="L509" s="137">
        <f>ROUND('[7]2039'!L23,2)</f>
        <v>38930.93</v>
      </c>
      <c r="M509" s="137">
        <f>ROUND('[7]2039'!M23,2)</f>
        <v>42968.85</v>
      </c>
      <c r="N509" s="137">
        <f>ROUND('[7]2039'!N23,2)</f>
        <v>45082.15</v>
      </c>
      <c r="O509" s="137">
        <f>ROUND('[7]2039'!O23,2)</f>
        <v>47479.25</v>
      </c>
      <c r="P509" s="137">
        <f>ROUND('[7]2039'!P23,2)</f>
        <v>49039.87</v>
      </c>
      <c r="Q509" s="137">
        <f>ROUND('[7]2039'!Q23,2)</f>
        <v>47274.9</v>
      </c>
      <c r="R509" s="137">
        <f>ROUND('[7]2039'!R23,2)</f>
        <v>49158.879999999997</v>
      </c>
      <c r="S509" s="137">
        <f>ROUND('[7]2039'!S23,2)</f>
        <v>51442.41</v>
      </c>
      <c r="T509" s="137">
        <f>ROUND('[7]2039'!T23,2)</f>
        <v>51687.78</v>
      </c>
      <c r="U509" s="137">
        <f>ROUND('[7]2039'!U23,2)</f>
        <v>50789.51</v>
      </c>
      <c r="V509" s="137">
        <f>ROUND('[7]2039'!V23,2)</f>
        <v>48619.97</v>
      </c>
      <c r="W509" s="137">
        <f>ROUND('[7]2039'!W23,2)</f>
        <v>50801</v>
      </c>
      <c r="X509" s="137">
        <f>ROUND('[7]2039'!X23,2)</f>
        <v>51435.96</v>
      </c>
      <c r="Y509" s="137">
        <f>ROUND('[7]2039'!Y23,2)</f>
        <v>50511.23</v>
      </c>
      <c r="Z509" s="137">
        <f>ROUND('[7]2039'!Z23,2)</f>
        <v>48551.24</v>
      </c>
      <c r="AA509" s="137">
        <f>ROUND('[7]2039'!AA23,2)</f>
        <v>45484.87</v>
      </c>
      <c r="AB509" s="137">
        <f>ROUND('[7]2039'!AB23,2)</f>
        <v>42035.55</v>
      </c>
      <c r="AC509" s="282">
        <f>SUM(E509:AB509)*D509+SUM(E510:AB510)*D510+SUM(E511:AB511)*D511+SUM(E512:AB512)*D512</f>
        <v>31956669.030000001</v>
      </c>
      <c r="AD509" s="187"/>
    </row>
    <row r="510" spans="2:50" s="188" customFormat="1" ht="18.649999999999999" hidden="1" customHeight="1" x14ac:dyDescent="0.35">
      <c r="B510" s="261"/>
      <c r="C510" s="10" t="s">
        <v>30</v>
      </c>
      <c r="D510" s="11">
        <f>+'[7]2039'!D24</f>
        <v>4</v>
      </c>
      <c r="E510" s="135">
        <f>ROUND('[7]2039'!E24,2)</f>
        <v>38951.9</v>
      </c>
      <c r="F510" s="135">
        <f>ROUND('[7]2039'!F24,2)</f>
        <v>36834.19</v>
      </c>
      <c r="G510" s="135">
        <f>ROUND('[7]2039'!G24,2)</f>
        <v>35342.47</v>
      </c>
      <c r="H510" s="135">
        <f>ROUND('[7]2039'!H24,2)</f>
        <v>34161.97</v>
      </c>
      <c r="I510" s="135">
        <f>ROUND('[7]2039'!I24,2)</f>
        <v>33457.26</v>
      </c>
      <c r="J510" s="135">
        <f>ROUND('[7]2039'!J24,2)</f>
        <v>33349.53</v>
      </c>
      <c r="K510" s="135">
        <f>ROUND('[7]2039'!K24,2)</f>
        <v>32861.050000000003</v>
      </c>
      <c r="L510" s="135">
        <f>ROUND('[7]2039'!L24,2)</f>
        <v>36004.730000000003</v>
      </c>
      <c r="M510" s="135">
        <f>ROUND('[7]2039'!M24,2)</f>
        <v>39794.22</v>
      </c>
      <c r="N510" s="135">
        <f>ROUND('[7]2039'!N24,2)</f>
        <v>42167.28</v>
      </c>
      <c r="O510" s="135">
        <f>ROUND('[7]2039'!O24,2)</f>
        <v>44057.62</v>
      </c>
      <c r="P510" s="135">
        <f>ROUND('[7]2039'!P24,2)</f>
        <v>45266.1</v>
      </c>
      <c r="Q510" s="135">
        <f>ROUND('[7]2039'!Q24,2)</f>
        <v>44624.17</v>
      </c>
      <c r="R510" s="135">
        <f>ROUND('[7]2039'!R24,2)</f>
        <v>44159.25</v>
      </c>
      <c r="S510" s="135">
        <f>ROUND('[7]2039'!S24,2)</f>
        <v>43893.69</v>
      </c>
      <c r="T510" s="135">
        <f>ROUND('[7]2039'!T24,2)</f>
        <v>44977.74</v>
      </c>
      <c r="U510" s="135">
        <f>ROUND('[7]2039'!U24,2)</f>
        <v>43453.11</v>
      </c>
      <c r="V510" s="135">
        <f>ROUND('[7]2039'!V24,2)</f>
        <v>43100.32</v>
      </c>
      <c r="W510" s="135">
        <f>ROUND('[7]2039'!W24,2)</f>
        <v>47612.800000000003</v>
      </c>
      <c r="X510" s="135">
        <f>ROUND('[7]2039'!X24,2)</f>
        <v>48323.03</v>
      </c>
      <c r="Y510" s="135">
        <f>ROUND('[7]2039'!Y24,2)</f>
        <v>47149.54</v>
      </c>
      <c r="Z510" s="135">
        <f>ROUND('[7]2039'!Z24,2)</f>
        <v>45639.4</v>
      </c>
      <c r="AA510" s="135">
        <f>ROUND('[7]2039'!AA24,2)</f>
        <v>43636.45</v>
      </c>
      <c r="AB510" s="135">
        <f>ROUND('[7]2039'!AB24,2)</f>
        <v>41090.75</v>
      </c>
      <c r="AC510" s="282"/>
      <c r="AD510" s="187"/>
    </row>
    <row r="511" spans="2:50" s="188" customFormat="1" ht="18.649999999999999" hidden="1" customHeight="1" x14ac:dyDescent="0.35">
      <c r="B511" s="261"/>
      <c r="C511" s="10" t="s">
        <v>31</v>
      </c>
      <c r="D511" s="11">
        <f>+'[7]2039'!D25</f>
        <v>4</v>
      </c>
      <c r="E511" s="135">
        <f>ROUND('[7]2039'!E25,2)</f>
        <v>38639.910000000003</v>
      </c>
      <c r="F511" s="135">
        <f>ROUND('[7]2039'!F25,2)</f>
        <v>36661.81</v>
      </c>
      <c r="G511" s="135">
        <f>ROUND('[7]2039'!G25,2)</f>
        <v>34896.129999999997</v>
      </c>
      <c r="H511" s="135">
        <f>ROUND('[7]2039'!H25,2)</f>
        <v>33657.370000000003</v>
      </c>
      <c r="I511" s="135">
        <f>ROUND('[7]2039'!I25,2)</f>
        <v>33082.94</v>
      </c>
      <c r="J511" s="135">
        <f>ROUND('[7]2039'!J25,2)</f>
        <v>32708.720000000001</v>
      </c>
      <c r="K511" s="135">
        <f>ROUND('[7]2039'!K25,2)</f>
        <v>31110.799999999999</v>
      </c>
      <c r="L511" s="135">
        <f>ROUND('[7]2039'!L25,2)</f>
        <v>32606.93</v>
      </c>
      <c r="M511" s="135">
        <f>ROUND('[7]2039'!M25,2)</f>
        <v>34774.67</v>
      </c>
      <c r="N511" s="135">
        <f>ROUND('[7]2039'!N25,2)</f>
        <v>36756.76</v>
      </c>
      <c r="O511" s="135">
        <f>ROUND('[7]2039'!O25,2)</f>
        <v>38259.360000000001</v>
      </c>
      <c r="P511" s="135">
        <f>ROUND('[7]2039'!P25,2)</f>
        <v>39679.94</v>
      </c>
      <c r="Q511" s="135">
        <f>ROUND('[7]2039'!Q25,2)</f>
        <v>40393.53</v>
      </c>
      <c r="R511" s="135">
        <f>ROUND('[7]2039'!R25,2)</f>
        <v>40575.86</v>
      </c>
      <c r="S511" s="135">
        <f>ROUND('[7]2039'!S25,2)</f>
        <v>40784.53</v>
      </c>
      <c r="T511" s="135">
        <f>ROUND('[7]2039'!T25,2)</f>
        <v>41075.300000000003</v>
      </c>
      <c r="U511" s="135">
        <f>ROUND('[7]2039'!U25,2)</f>
        <v>40567.730000000003</v>
      </c>
      <c r="V511" s="135">
        <f>ROUND('[7]2039'!V25,2)</f>
        <v>40665.32</v>
      </c>
      <c r="W511" s="135">
        <f>ROUND('[7]2039'!W25,2)</f>
        <v>45043.86</v>
      </c>
      <c r="X511" s="135">
        <f>ROUND('[7]2039'!X25,2)</f>
        <v>46663.09</v>
      </c>
      <c r="Y511" s="135">
        <f>ROUND('[7]2039'!Y25,2)</f>
        <v>46579.24</v>
      </c>
      <c r="Z511" s="135">
        <f>ROUND('[7]2039'!Z25,2)</f>
        <v>45676.84</v>
      </c>
      <c r="AA511" s="135">
        <f>ROUND('[7]2039'!AA25,2)</f>
        <v>43248.93</v>
      </c>
      <c r="AB511" s="135">
        <f>ROUND('[7]2039'!AB25,2)</f>
        <v>40063.18</v>
      </c>
      <c r="AC511" s="282"/>
      <c r="AD511" s="187"/>
    </row>
    <row r="512" spans="2:50" s="188" customFormat="1" ht="18.649999999999999" hidden="1" customHeight="1" thickBot="1" x14ac:dyDescent="0.4">
      <c r="B512" s="261"/>
      <c r="C512" s="16" t="s">
        <v>32</v>
      </c>
      <c r="D512" s="17">
        <f>+'[7]2039'!D26</f>
        <v>1</v>
      </c>
      <c r="E512" s="136">
        <f>ROUND('[7]2039'!E26,2)</f>
        <v>38639.910000000003</v>
      </c>
      <c r="F512" s="136">
        <f>ROUND('[7]2039'!F26,2)</f>
        <v>36661.81</v>
      </c>
      <c r="G512" s="136">
        <f>ROUND('[7]2039'!G26,2)</f>
        <v>34896.129999999997</v>
      </c>
      <c r="H512" s="136">
        <f>ROUND('[7]2039'!H26,2)</f>
        <v>33657.370000000003</v>
      </c>
      <c r="I512" s="136">
        <f>ROUND('[7]2039'!I26,2)</f>
        <v>33082.94</v>
      </c>
      <c r="J512" s="136">
        <f>ROUND('[7]2039'!J26,2)</f>
        <v>32708.720000000001</v>
      </c>
      <c r="K512" s="136">
        <f>ROUND('[7]2039'!K26,2)</f>
        <v>31110.799999999999</v>
      </c>
      <c r="L512" s="136">
        <f>ROUND('[7]2039'!L26,2)</f>
        <v>32606.93</v>
      </c>
      <c r="M512" s="136">
        <f>ROUND('[7]2039'!M26,2)</f>
        <v>34774.67</v>
      </c>
      <c r="N512" s="136">
        <f>ROUND('[7]2039'!N26,2)</f>
        <v>36756.76</v>
      </c>
      <c r="O512" s="136">
        <f>ROUND('[7]2039'!O26,2)</f>
        <v>38259.360000000001</v>
      </c>
      <c r="P512" s="136">
        <f>ROUND('[7]2039'!P26,2)</f>
        <v>39679.94</v>
      </c>
      <c r="Q512" s="136">
        <f>ROUND('[7]2039'!Q26,2)</f>
        <v>40393.53</v>
      </c>
      <c r="R512" s="136">
        <f>ROUND('[7]2039'!R26,2)</f>
        <v>40575.86</v>
      </c>
      <c r="S512" s="136">
        <f>ROUND('[7]2039'!S26,2)</f>
        <v>40784.53</v>
      </c>
      <c r="T512" s="136">
        <f>ROUND('[7]2039'!T26,2)</f>
        <v>41075.300000000003</v>
      </c>
      <c r="U512" s="136">
        <f>ROUND('[7]2039'!U26,2)</f>
        <v>40567.730000000003</v>
      </c>
      <c r="V512" s="136">
        <f>ROUND('[7]2039'!V26,2)</f>
        <v>40665.32</v>
      </c>
      <c r="W512" s="136">
        <f>ROUND('[7]2039'!W26,2)</f>
        <v>45043.86</v>
      </c>
      <c r="X512" s="136">
        <f>ROUND('[7]2039'!X26,2)</f>
        <v>46663.09</v>
      </c>
      <c r="Y512" s="136">
        <f>ROUND('[7]2039'!Y26,2)</f>
        <v>46579.24</v>
      </c>
      <c r="Z512" s="136">
        <f>ROUND('[7]2039'!Z26,2)</f>
        <v>45676.84</v>
      </c>
      <c r="AA512" s="136">
        <f>ROUND('[7]2039'!AA26,2)</f>
        <v>43248.93</v>
      </c>
      <c r="AB512" s="136">
        <f>ROUND('[7]2039'!AB26,2)</f>
        <v>40063.18</v>
      </c>
      <c r="AC512" s="282"/>
      <c r="AD512" s="187"/>
    </row>
    <row r="513" spans="2:30" s="188" customFormat="1" ht="18.649999999999999" hidden="1" customHeight="1" x14ac:dyDescent="0.35">
      <c r="B513" s="263">
        <v>50861</v>
      </c>
      <c r="C513" s="7" t="s">
        <v>29</v>
      </c>
      <c r="D513" s="8">
        <f>+'[7]2039'!D27</f>
        <v>19</v>
      </c>
      <c r="E513" s="134">
        <f>ROUND('[7]2039'!E27,2)</f>
        <v>38535.599999999999</v>
      </c>
      <c r="F513" s="134">
        <f>ROUND('[7]2039'!F27,2)</f>
        <v>36874.160000000003</v>
      </c>
      <c r="G513" s="134">
        <f>ROUND('[7]2039'!G27,2)</f>
        <v>35245.68</v>
      </c>
      <c r="H513" s="134">
        <f>ROUND('[7]2039'!H27,2)</f>
        <v>34335.480000000003</v>
      </c>
      <c r="I513" s="134">
        <f>ROUND('[7]2039'!I27,2)</f>
        <v>34118</v>
      </c>
      <c r="J513" s="134">
        <f>ROUND('[7]2039'!J27,2)</f>
        <v>33763.82</v>
      </c>
      <c r="K513" s="134">
        <f>ROUND('[7]2039'!K27,2)</f>
        <v>33881.03</v>
      </c>
      <c r="L513" s="134">
        <f>ROUND('[7]2039'!L27,2)</f>
        <v>37689.46</v>
      </c>
      <c r="M513" s="134">
        <f>ROUND('[7]2039'!M27,2)</f>
        <v>42012.24</v>
      </c>
      <c r="N513" s="134">
        <f>ROUND('[7]2039'!N27,2)</f>
        <v>44566.5</v>
      </c>
      <c r="O513" s="134">
        <f>ROUND('[7]2039'!O27,2)</f>
        <v>46689.91</v>
      </c>
      <c r="P513" s="134">
        <f>ROUND('[7]2039'!P27,2)</f>
        <v>48027.76</v>
      </c>
      <c r="Q513" s="134">
        <f>ROUND('[7]2039'!Q27,2)</f>
        <v>47135.199999999997</v>
      </c>
      <c r="R513" s="134">
        <f>ROUND('[7]2039'!R27,2)</f>
        <v>46569.94</v>
      </c>
      <c r="S513" s="134">
        <f>ROUND('[7]2039'!S27,2)</f>
        <v>46893.02</v>
      </c>
      <c r="T513" s="134">
        <f>ROUND('[7]2039'!T27,2)</f>
        <v>46886.06</v>
      </c>
      <c r="U513" s="134">
        <f>ROUND('[7]2039'!U27,2)</f>
        <v>46148.69</v>
      </c>
      <c r="V513" s="134">
        <f>ROUND('[7]2039'!V27,2)</f>
        <v>45882.18</v>
      </c>
      <c r="W513" s="134">
        <f>ROUND('[7]2039'!W27,2)</f>
        <v>50536.83</v>
      </c>
      <c r="X513" s="134">
        <f>ROUND('[7]2039'!X27,2)</f>
        <v>50938.94</v>
      </c>
      <c r="Y513" s="134">
        <f>ROUND('[7]2039'!Y27,2)</f>
        <v>49691.46</v>
      </c>
      <c r="Z513" s="134">
        <f>ROUND('[7]2039'!Z27,2)</f>
        <v>47965.18</v>
      </c>
      <c r="AA513" s="134">
        <f>ROUND('[7]2039'!AA27,2)</f>
        <v>45605.96</v>
      </c>
      <c r="AB513" s="134">
        <f>ROUND('[7]2039'!AB27,2)</f>
        <v>42748.14</v>
      </c>
      <c r="AC513" s="283">
        <f>SUM(E513:AB513)*D513+SUM(E514:AB514)*D514+SUM(E515:AB515)*D515+SUM(E516:AB516)*D516</f>
        <v>30567770.899999999</v>
      </c>
      <c r="AD513" s="187"/>
    </row>
    <row r="514" spans="2:30" s="188" customFormat="1" ht="18.649999999999999" hidden="1" customHeight="1" x14ac:dyDescent="0.35">
      <c r="B514" s="264" t="s">
        <v>34</v>
      </c>
      <c r="C514" s="10" t="s">
        <v>30</v>
      </c>
      <c r="D514" s="11">
        <f>+'[7]2039'!D28</f>
        <v>5</v>
      </c>
      <c r="E514" s="135">
        <f>ROUND('[7]2039'!E28,2)</f>
        <v>37205.58</v>
      </c>
      <c r="F514" s="135">
        <f>ROUND('[7]2039'!F28,2)</f>
        <v>35371.9</v>
      </c>
      <c r="G514" s="135">
        <f>ROUND('[7]2039'!G28,2)</f>
        <v>33979.01</v>
      </c>
      <c r="H514" s="135">
        <f>ROUND('[7]2039'!H28,2)</f>
        <v>32951.949999999997</v>
      </c>
      <c r="I514" s="135">
        <f>ROUND('[7]2039'!I28,2)</f>
        <v>32982.720000000001</v>
      </c>
      <c r="J514" s="135">
        <f>ROUND('[7]2039'!J28,2)</f>
        <v>33389.5</v>
      </c>
      <c r="K514" s="135">
        <f>ROUND('[7]2039'!K28,2)</f>
        <v>34139.699999999997</v>
      </c>
      <c r="L514" s="135">
        <f>ROUND('[7]2039'!L28,2)</f>
        <v>37854.550000000003</v>
      </c>
      <c r="M514" s="135">
        <f>ROUND('[7]2039'!M28,2)</f>
        <v>41671.879999999997</v>
      </c>
      <c r="N514" s="135">
        <f>ROUND('[7]2039'!N28,2)</f>
        <v>43895.54</v>
      </c>
      <c r="O514" s="135">
        <f>ROUND('[7]2039'!O28,2)</f>
        <v>45889.78</v>
      </c>
      <c r="P514" s="135">
        <f>ROUND('[7]2039'!P28,2)</f>
        <v>47266.45</v>
      </c>
      <c r="Q514" s="135">
        <f>ROUND('[7]2039'!Q28,2)</f>
        <v>45973.36</v>
      </c>
      <c r="R514" s="135">
        <f>ROUND('[7]2039'!R28,2)</f>
        <v>46880.6</v>
      </c>
      <c r="S514" s="135">
        <f>ROUND('[7]2039'!S28,2)</f>
        <v>48442.82</v>
      </c>
      <c r="T514" s="135">
        <f>ROUND('[7]2039'!T28,2)</f>
        <v>48546.94</v>
      </c>
      <c r="U514" s="135">
        <f>ROUND('[7]2039'!U28,2)</f>
        <v>47782.400000000001</v>
      </c>
      <c r="V514" s="135">
        <f>ROUND('[7]2039'!V28,2)</f>
        <v>46738.77</v>
      </c>
      <c r="W514" s="135">
        <f>ROUND('[7]2039'!W28,2)</f>
        <v>49959.7</v>
      </c>
      <c r="X514" s="135">
        <f>ROUND('[7]2039'!X28,2)</f>
        <v>50391.61</v>
      </c>
      <c r="Y514" s="135">
        <f>ROUND('[7]2039'!Y28,2)</f>
        <v>49079.09</v>
      </c>
      <c r="Z514" s="135">
        <f>ROUND('[7]2039'!Z28,2)</f>
        <v>46926.66</v>
      </c>
      <c r="AA514" s="135">
        <f>ROUND('[7]2039'!AA28,2)</f>
        <v>43547</v>
      </c>
      <c r="AB514" s="135">
        <f>ROUND('[7]2039'!AB28,2)</f>
        <v>39814.85</v>
      </c>
      <c r="AC514" s="282"/>
      <c r="AD514" s="187"/>
    </row>
    <row r="515" spans="2:30" s="188" customFormat="1" ht="18.649999999999999" hidden="1" customHeight="1" x14ac:dyDescent="0.35">
      <c r="B515" s="264" t="s">
        <v>34</v>
      </c>
      <c r="C515" s="10" t="s">
        <v>31</v>
      </c>
      <c r="D515" s="11">
        <f>+'[7]2039'!D29</f>
        <v>4</v>
      </c>
      <c r="E515" s="135">
        <f>ROUND('[7]2039'!E29,2)</f>
        <v>40096.51</v>
      </c>
      <c r="F515" s="135">
        <f>ROUND('[7]2039'!F29,2)</f>
        <v>38066.15</v>
      </c>
      <c r="G515" s="135">
        <f>ROUND('[7]2039'!G29,2)</f>
        <v>36384.21</v>
      </c>
      <c r="H515" s="135">
        <f>ROUND('[7]2039'!H29,2)</f>
        <v>35236.870000000003</v>
      </c>
      <c r="I515" s="135">
        <f>ROUND('[7]2039'!I29,2)</f>
        <v>34564.65</v>
      </c>
      <c r="J515" s="135">
        <f>ROUND('[7]2039'!J29,2)</f>
        <v>33539.61</v>
      </c>
      <c r="K515" s="135">
        <f>ROUND('[7]2039'!K29,2)</f>
        <v>32512.58</v>
      </c>
      <c r="L515" s="135">
        <f>ROUND('[7]2039'!L29,2)</f>
        <v>34333.9</v>
      </c>
      <c r="M515" s="135">
        <f>ROUND('[7]2039'!M29,2)</f>
        <v>36740.94</v>
      </c>
      <c r="N515" s="135">
        <f>ROUND('[7]2039'!N29,2)</f>
        <v>38911.39</v>
      </c>
      <c r="O515" s="135">
        <f>ROUND('[7]2039'!O29,2)</f>
        <v>40627.33</v>
      </c>
      <c r="P515" s="135">
        <f>ROUND('[7]2039'!P29,2)</f>
        <v>42027.51</v>
      </c>
      <c r="Q515" s="135">
        <f>ROUND('[7]2039'!Q29,2)</f>
        <v>42672.12</v>
      </c>
      <c r="R515" s="135">
        <f>ROUND('[7]2039'!R29,2)</f>
        <v>42791.25</v>
      </c>
      <c r="S515" s="135">
        <f>ROUND('[7]2039'!S29,2)</f>
        <v>42556.5</v>
      </c>
      <c r="T515" s="135">
        <f>ROUND('[7]2039'!T29,2)</f>
        <v>42367.25</v>
      </c>
      <c r="U515" s="135">
        <f>ROUND('[7]2039'!U29,2)</f>
        <v>41934.92</v>
      </c>
      <c r="V515" s="135">
        <f>ROUND('[7]2039'!V29,2)</f>
        <v>42335.53</v>
      </c>
      <c r="W515" s="135">
        <f>ROUND('[7]2039'!W29,2)</f>
        <v>47301.9</v>
      </c>
      <c r="X515" s="135">
        <f>ROUND('[7]2039'!X29,2)</f>
        <v>48724.02</v>
      </c>
      <c r="Y515" s="135">
        <f>ROUND('[7]2039'!Y29,2)</f>
        <v>48394.91</v>
      </c>
      <c r="Z515" s="135">
        <f>ROUND('[7]2039'!Z29,2)</f>
        <v>46909.51</v>
      </c>
      <c r="AA515" s="135">
        <f>ROUND('[7]2039'!AA29,2)</f>
        <v>44048.68</v>
      </c>
      <c r="AB515" s="135">
        <f>ROUND('[7]2039'!AB29,2)</f>
        <v>40634.35</v>
      </c>
      <c r="AC515" s="282"/>
      <c r="AD515" s="187"/>
    </row>
    <row r="516" spans="2:30" s="188" customFormat="1" ht="18.649999999999999" hidden="1" customHeight="1" thickBot="1" x14ac:dyDescent="0.4">
      <c r="B516" s="265" t="s">
        <v>34</v>
      </c>
      <c r="C516" s="12" t="s">
        <v>32</v>
      </c>
      <c r="D516" s="13">
        <f>+'[7]2039'!D30</f>
        <v>2</v>
      </c>
      <c r="E516" s="135">
        <f>ROUND('[7]2039'!E30,2)</f>
        <v>40096.51</v>
      </c>
      <c r="F516" s="135">
        <f>ROUND('[7]2039'!F30,2)</f>
        <v>38066.15</v>
      </c>
      <c r="G516" s="135">
        <f>ROUND('[7]2039'!G30,2)</f>
        <v>36384.21</v>
      </c>
      <c r="H516" s="135">
        <f>ROUND('[7]2039'!H30,2)</f>
        <v>35236.870000000003</v>
      </c>
      <c r="I516" s="135">
        <f>ROUND('[7]2039'!I30,2)</f>
        <v>34564.65</v>
      </c>
      <c r="J516" s="135">
        <f>ROUND('[7]2039'!J30,2)</f>
        <v>33539.61</v>
      </c>
      <c r="K516" s="135">
        <f>ROUND('[7]2039'!K30,2)</f>
        <v>32512.58</v>
      </c>
      <c r="L516" s="135">
        <f>ROUND('[7]2039'!L30,2)</f>
        <v>34333.9</v>
      </c>
      <c r="M516" s="135">
        <f>ROUND('[7]2039'!M30,2)</f>
        <v>36740.94</v>
      </c>
      <c r="N516" s="135">
        <f>ROUND('[7]2039'!N30,2)</f>
        <v>38911.39</v>
      </c>
      <c r="O516" s="135">
        <f>ROUND('[7]2039'!O30,2)</f>
        <v>40627.33</v>
      </c>
      <c r="P516" s="135">
        <f>ROUND('[7]2039'!P30,2)</f>
        <v>42027.51</v>
      </c>
      <c r="Q516" s="135">
        <f>ROUND('[7]2039'!Q30,2)</f>
        <v>42672.12</v>
      </c>
      <c r="R516" s="135">
        <f>ROUND('[7]2039'!R30,2)</f>
        <v>42791.25</v>
      </c>
      <c r="S516" s="135">
        <f>ROUND('[7]2039'!S30,2)</f>
        <v>42556.5</v>
      </c>
      <c r="T516" s="135">
        <f>ROUND('[7]2039'!T30,2)</f>
        <v>42367.25</v>
      </c>
      <c r="U516" s="135">
        <f>ROUND('[7]2039'!U30,2)</f>
        <v>41934.92</v>
      </c>
      <c r="V516" s="135">
        <f>ROUND('[7]2039'!V30,2)</f>
        <v>42335.53</v>
      </c>
      <c r="W516" s="135">
        <f>ROUND('[7]2039'!W30,2)</f>
        <v>47301.9</v>
      </c>
      <c r="X516" s="135">
        <f>ROUND('[7]2039'!X30,2)</f>
        <v>48724.02</v>
      </c>
      <c r="Y516" s="135">
        <f>ROUND('[7]2039'!Y30,2)</f>
        <v>48394.91</v>
      </c>
      <c r="Z516" s="135">
        <f>ROUND('[7]2039'!Z30,2)</f>
        <v>46909.51</v>
      </c>
      <c r="AA516" s="135">
        <f>ROUND('[7]2039'!AA30,2)</f>
        <v>44048.68</v>
      </c>
      <c r="AB516" s="135">
        <f>ROUND('[7]2039'!AB30,2)</f>
        <v>40634.35</v>
      </c>
      <c r="AC516" s="284"/>
      <c r="AD516" s="187"/>
    </row>
    <row r="517" spans="2:30" s="188" customFormat="1" ht="18.649999999999999" hidden="1" customHeight="1" x14ac:dyDescent="0.35">
      <c r="B517" s="260">
        <v>50891</v>
      </c>
      <c r="C517" s="14" t="s">
        <v>29</v>
      </c>
      <c r="D517" s="15">
        <f>+'[7]2039'!D31</f>
        <v>21</v>
      </c>
      <c r="E517" s="137">
        <f>ROUND('[7]2039'!E31,2)</f>
        <v>39017.31</v>
      </c>
      <c r="F517" s="137">
        <f>ROUND('[7]2039'!F31,2)</f>
        <v>36987.06</v>
      </c>
      <c r="G517" s="137">
        <f>ROUND('[7]2039'!G31,2)</f>
        <v>35348.79</v>
      </c>
      <c r="H517" s="137">
        <f>ROUND('[7]2039'!H31,2)</f>
        <v>33947.69</v>
      </c>
      <c r="I517" s="137">
        <f>ROUND('[7]2039'!I31,2)</f>
        <v>33570.019999999997</v>
      </c>
      <c r="J517" s="137">
        <f>ROUND('[7]2039'!J31,2)</f>
        <v>33038.33</v>
      </c>
      <c r="K517" s="137">
        <f>ROUND('[7]2039'!K31,2)</f>
        <v>33526.629999999997</v>
      </c>
      <c r="L517" s="137">
        <f>ROUND('[7]2039'!L31,2)</f>
        <v>37132.75</v>
      </c>
      <c r="M517" s="137">
        <f>ROUND('[7]2039'!M31,2)</f>
        <v>41335.61</v>
      </c>
      <c r="N517" s="137">
        <f>ROUND('[7]2039'!N31,2)</f>
        <v>43654.35</v>
      </c>
      <c r="O517" s="137">
        <f>ROUND('[7]2039'!O31,2)</f>
        <v>45126.12</v>
      </c>
      <c r="P517" s="137">
        <f>ROUND('[7]2039'!P31,2)</f>
        <v>46207.65</v>
      </c>
      <c r="Q517" s="137">
        <f>ROUND('[7]2039'!Q31,2)</f>
        <v>45413.82</v>
      </c>
      <c r="R517" s="137">
        <f>ROUND('[7]2039'!R31,2)</f>
        <v>44596.95</v>
      </c>
      <c r="S517" s="137">
        <f>ROUND('[7]2039'!S31,2)</f>
        <v>44566.93</v>
      </c>
      <c r="T517" s="137">
        <f>ROUND('[7]2039'!T31,2)</f>
        <v>44315.75</v>
      </c>
      <c r="U517" s="137">
        <f>ROUND('[7]2039'!U31,2)</f>
        <v>43713.65</v>
      </c>
      <c r="V517" s="137">
        <f>ROUND('[7]2039'!V31,2)</f>
        <v>43981.73</v>
      </c>
      <c r="W517" s="137">
        <f>ROUND('[7]2039'!W31,2)</f>
        <v>48755.23</v>
      </c>
      <c r="X517" s="137">
        <f>ROUND('[7]2039'!X31,2)</f>
        <v>49209</v>
      </c>
      <c r="Y517" s="137">
        <f>ROUND('[7]2039'!Y31,2)</f>
        <v>47624.44</v>
      </c>
      <c r="Z517" s="137">
        <f>ROUND('[7]2039'!Z31,2)</f>
        <v>45658.94</v>
      </c>
      <c r="AA517" s="137">
        <f>ROUND('[7]2039'!AA31,2)</f>
        <v>43074.21</v>
      </c>
      <c r="AB517" s="137">
        <f>ROUND('[7]2039'!AB31,2)</f>
        <v>40179.040000000001</v>
      </c>
      <c r="AC517" s="282">
        <f>SUM(E517:AB517)*D517+SUM(E518:AB518)*D518+SUM(E519:AB519)*D519+SUM(E520:AB520)*D520</f>
        <v>30717590.080000002</v>
      </c>
      <c r="AD517" s="187"/>
    </row>
    <row r="518" spans="2:30" s="188" customFormat="1" ht="18.649999999999999" hidden="1" customHeight="1" x14ac:dyDescent="0.35">
      <c r="B518" s="261"/>
      <c r="C518" s="10" t="s">
        <v>30</v>
      </c>
      <c r="D518" s="11">
        <f>+'[7]2039'!D32</f>
        <v>4</v>
      </c>
      <c r="E518" s="135">
        <f>ROUND('[7]2039'!E32,2)</f>
        <v>35969.83</v>
      </c>
      <c r="F518" s="135">
        <f>ROUND('[7]2039'!F32,2)</f>
        <v>34190.51</v>
      </c>
      <c r="G518" s="135">
        <f>ROUND('[7]2039'!G32,2)</f>
        <v>32888.21</v>
      </c>
      <c r="H518" s="135">
        <f>ROUND('[7]2039'!H32,2)</f>
        <v>31991.19</v>
      </c>
      <c r="I518" s="135">
        <f>ROUND('[7]2039'!I32,2)</f>
        <v>31876.09</v>
      </c>
      <c r="J518" s="135">
        <f>ROUND('[7]2039'!J32,2)</f>
        <v>31836.02</v>
      </c>
      <c r="K518" s="135">
        <f>ROUND('[7]2039'!K32,2)</f>
        <v>32320.92</v>
      </c>
      <c r="L518" s="135">
        <f>ROUND('[7]2039'!L32,2)</f>
        <v>36108.68</v>
      </c>
      <c r="M518" s="135">
        <f>ROUND('[7]2039'!M32,2)</f>
        <v>39812.35</v>
      </c>
      <c r="N518" s="135">
        <f>ROUND('[7]2039'!N32,2)</f>
        <v>41951.02</v>
      </c>
      <c r="O518" s="135">
        <f>ROUND('[7]2039'!O32,2)</f>
        <v>44040.27</v>
      </c>
      <c r="P518" s="135">
        <f>ROUND('[7]2039'!P32,2)</f>
        <v>45545.14</v>
      </c>
      <c r="Q518" s="135">
        <f>ROUND('[7]2039'!Q32,2)</f>
        <v>44551.55</v>
      </c>
      <c r="R518" s="135">
        <f>ROUND('[7]2039'!R32,2)</f>
        <v>45026.47</v>
      </c>
      <c r="S518" s="135">
        <f>ROUND('[7]2039'!S32,2)</f>
        <v>46211.64</v>
      </c>
      <c r="T518" s="135">
        <f>ROUND('[7]2039'!T32,2)</f>
        <v>46153.760000000002</v>
      </c>
      <c r="U518" s="135">
        <f>ROUND('[7]2039'!U32,2)</f>
        <v>45488.95</v>
      </c>
      <c r="V518" s="135">
        <f>ROUND('[7]2039'!V32,2)</f>
        <v>44605.33</v>
      </c>
      <c r="W518" s="135">
        <f>ROUND('[7]2039'!W32,2)</f>
        <v>47854.35</v>
      </c>
      <c r="X518" s="135">
        <f>ROUND('[7]2039'!X32,2)</f>
        <v>48756.07</v>
      </c>
      <c r="Y518" s="135">
        <f>ROUND('[7]2039'!Y32,2)</f>
        <v>47428.2</v>
      </c>
      <c r="Z518" s="135">
        <f>ROUND('[7]2039'!Z32,2)</f>
        <v>45247.91</v>
      </c>
      <c r="AA518" s="135">
        <f>ROUND('[7]2039'!AA32,2)</f>
        <v>41970.41</v>
      </c>
      <c r="AB518" s="135">
        <f>ROUND('[7]2039'!AB32,2)</f>
        <v>38552.31</v>
      </c>
      <c r="AC518" s="282"/>
      <c r="AD518" s="187"/>
    </row>
    <row r="519" spans="2:30" s="188" customFormat="1" ht="18.649999999999999" hidden="1" customHeight="1" x14ac:dyDescent="0.35">
      <c r="B519" s="261"/>
      <c r="C519" s="10" t="s">
        <v>31</v>
      </c>
      <c r="D519" s="11">
        <f>+'[7]2039'!D33</f>
        <v>4</v>
      </c>
      <c r="E519" s="135">
        <f>ROUND('[7]2039'!E33,2)</f>
        <v>35943.339999999997</v>
      </c>
      <c r="F519" s="135">
        <f>ROUND('[7]2039'!F33,2)</f>
        <v>34535.800000000003</v>
      </c>
      <c r="G519" s="135">
        <f>ROUND('[7]2039'!G33,2)</f>
        <v>33092.300000000003</v>
      </c>
      <c r="H519" s="135">
        <f>ROUND('[7]2039'!H33,2)</f>
        <v>32324.78</v>
      </c>
      <c r="I519" s="135">
        <f>ROUND('[7]2039'!I33,2)</f>
        <v>32078.59</v>
      </c>
      <c r="J519" s="135">
        <f>ROUND('[7]2039'!J33,2)</f>
        <v>31282.46</v>
      </c>
      <c r="K519" s="135">
        <f>ROUND('[7]2039'!K33,2)</f>
        <v>31152.38</v>
      </c>
      <c r="L519" s="135">
        <f>ROUND('[7]2039'!L33,2)</f>
        <v>33566.32</v>
      </c>
      <c r="M519" s="135">
        <f>ROUND('[7]2039'!M33,2)</f>
        <v>36365.279999999999</v>
      </c>
      <c r="N519" s="135">
        <f>ROUND('[7]2039'!N33,2)</f>
        <v>38541.61</v>
      </c>
      <c r="O519" s="135">
        <f>ROUND('[7]2039'!O33,2)</f>
        <v>40196.14</v>
      </c>
      <c r="P519" s="135">
        <f>ROUND('[7]2039'!P33,2)</f>
        <v>42251.81</v>
      </c>
      <c r="Q519" s="135">
        <f>ROUND('[7]2039'!Q33,2)</f>
        <v>43403.42</v>
      </c>
      <c r="R519" s="135">
        <f>ROUND('[7]2039'!R33,2)</f>
        <v>43621.64</v>
      </c>
      <c r="S519" s="135">
        <f>ROUND('[7]2039'!S33,2)</f>
        <v>43671.9</v>
      </c>
      <c r="T519" s="135">
        <f>ROUND('[7]2039'!T33,2)</f>
        <v>43757.5</v>
      </c>
      <c r="U519" s="135">
        <f>ROUND('[7]2039'!U33,2)</f>
        <v>43311.05</v>
      </c>
      <c r="V519" s="135">
        <f>ROUND('[7]2039'!V33,2)</f>
        <v>43322.34</v>
      </c>
      <c r="W519" s="135">
        <f>ROUND('[7]2039'!W33,2)</f>
        <v>48420.55</v>
      </c>
      <c r="X519" s="135">
        <f>ROUND('[7]2039'!X33,2)</f>
        <v>50258.36</v>
      </c>
      <c r="Y519" s="135">
        <f>ROUND('[7]2039'!Y33,2)</f>
        <v>49952.36</v>
      </c>
      <c r="Z519" s="135">
        <f>ROUND('[7]2039'!Z33,2)</f>
        <v>48269.24</v>
      </c>
      <c r="AA519" s="135">
        <f>ROUND('[7]2039'!AA33,2)</f>
        <v>45182.33</v>
      </c>
      <c r="AB519" s="135">
        <f>ROUND('[7]2039'!AB33,2)</f>
        <v>41575.06</v>
      </c>
      <c r="AC519" s="282"/>
      <c r="AD519" s="187"/>
    </row>
    <row r="520" spans="2:30" s="188" customFormat="1" ht="18.649999999999999" hidden="1" customHeight="1" thickBot="1" x14ac:dyDescent="0.4">
      <c r="B520" s="261"/>
      <c r="C520" s="16" t="s">
        <v>32</v>
      </c>
      <c r="D520" s="17">
        <f>+'[7]2039'!D34</f>
        <v>2</v>
      </c>
      <c r="E520" s="136">
        <f>ROUND('[7]2039'!E34,2)</f>
        <v>35943.339999999997</v>
      </c>
      <c r="F520" s="136">
        <f>ROUND('[7]2039'!F34,2)</f>
        <v>34535.800000000003</v>
      </c>
      <c r="G520" s="136">
        <f>ROUND('[7]2039'!G34,2)</f>
        <v>33092.300000000003</v>
      </c>
      <c r="H520" s="136">
        <f>ROUND('[7]2039'!H34,2)</f>
        <v>32324.78</v>
      </c>
      <c r="I520" s="136">
        <f>ROUND('[7]2039'!I34,2)</f>
        <v>32078.59</v>
      </c>
      <c r="J520" s="136">
        <f>ROUND('[7]2039'!J34,2)</f>
        <v>31282.46</v>
      </c>
      <c r="K520" s="136">
        <f>ROUND('[7]2039'!K34,2)</f>
        <v>31152.38</v>
      </c>
      <c r="L520" s="136">
        <f>ROUND('[7]2039'!L34,2)</f>
        <v>33566.32</v>
      </c>
      <c r="M520" s="136">
        <f>ROUND('[7]2039'!M34,2)</f>
        <v>36365.279999999999</v>
      </c>
      <c r="N520" s="136">
        <f>ROUND('[7]2039'!N34,2)</f>
        <v>38541.61</v>
      </c>
      <c r="O520" s="136">
        <f>ROUND('[7]2039'!O34,2)</f>
        <v>40196.14</v>
      </c>
      <c r="P520" s="136">
        <f>ROUND('[7]2039'!P34,2)</f>
        <v>42251.81</v>
      </c>
      <c r="Q520" s="136">
        <f>ROUND('[7]2039'!Q34,2)</f>
        <v>43403.42</v>
      </c>
      <c r="R520" s="136">
        <f>ROUND('[7]2039'!R34,2)</f>
        <v>43621.64</v>
      </c>
      <c r="S520" s="136">
        <f>ROUND('[7]2039'!S34,2)</f>
        <v>43671.9</v>
      </c>
      <c r="T520" s="136">
        <f>ROUND('[7]2039'!T34,2)</f>
        <v>43757.5</v>
      </c>
      <c r="U520" s="136">
        <f>ROUND('[7]2039'!U34,2)</f>
        <v>43311.05</v>
      </c>
      <c r="V520" s="136">
        <f>ROUND('[7]2039'!V34,2)</f>
        <v>43322.34</v>
      </c>
      <c r="W520" s="136">
        <f>ROUND('[7]2039'!W34,2)</f>
        <v>48420.55</v>
      </c>
      <c r="X520" s="136">
        <f>ROUND('[7]2039'!X34,2)</f>
        <v>50258.36</v>
      </c>
      <c r="Y520" s="136">
        <f>ROUND('[7]2039'!Y34,2)</f>
        <v>49952.36</v>
      </c>
      <c r="Z520" s="136">
        <f>ROUND('[7]2039'!Z34,2)</f>
        <v>48269.24</v>
      </c>
      <c r="AA520" s="136">
        <f>ROUND('[7]2039'!AA34,2)</f>
        <v>45182.33</v>
      </c>
      <c r="AB520" s="136">
        <f>ROUND('[7]2039'!AB34,2)</f>
        <v>41575.06</v>
      </c>
      <c r="AC520" s="282"/>
      <c r="AD520" s="187"/>
    </row>
    <row r="521" spans="2:30" s="188" customFormat="1" ht="18.649999999999999" hidden="1" customHeight="1" x14ac:dyDescent="0.35">
      <c r="B521" s="263">
        <v>50922</v>
      </c>
      <c r="C521" s="7" t="s">
        <v>29</v>
      </c>
      <c r="D521" s="8">
        <f>+'[7]2039'!D35</f>
        <v>20</v>
      </c>
      <c r="E521" s="134">
        <f>ROUND('[7]2039'!E35,2)</f>
        <v>35597.019999999997</v>
      </c>
      <c r="F521" s="134">
        <f>ROUND('[7]2039'!F35,2)</f>
        <v>33829.81</v>
      </c>
      <c r="G521" s="134">
        <f>ROUND('[7]2039'!G35,2)</f>
        <v>32524.12</v>
      </c>
      <c r="H521" s="134">
        <f>ROUND('[7]2039'!H35,2)</f>
        <v>31652.82</v>
      </c>
      <c r="I521" s="134">
        <f>ROUND('[7]2039'!I35,2)</f>
        <v>31420.07</v>
      </c>
      <c r="J521" s="134">
        <f>ROUND('[7]2039'!J35,2)</f>
        <v>31086.25</v>
      </c>
      <c r="K521" s="134">
        <f>ROUND('[7]2039'!K35,2)</f>
        <v>31604.95</v>
      </c>
      <c r="L521" s="134">
        <f>ROUND('[7]2039'!L35,2)</f>
        <v>35411.910000000003</v>
      </c>
      <c r="M521" s="134">
        <f>ROUND('[7]2039'!M35,2)</f>
        <v>39597.910000000003</v>
      </c>
      <c r="N521" s="134">
        <f>ROUND('[7]2039'!N35,2)</f>
        <v>42171.75</v>
      </c>
      <c r="O521" s="134">
        <f>ROUND('[7]2039'!O35,2)</f>
        <v>44408.38</v>
      </c>
      <c r="P521" s="134">
        <f>ROUND('[7]2039'!P35,2)</f>
        <v>45639.31</v>
      </c>
      <c r="Q521" s="134">
        <f>ROUND('[7]2039'!Q35,2)</f>
        <v>44965.53</v>
      </c>
      <c r="R521" s="134">
        <f>ROUND('[7]2039'!R35,2)</f>
        <v>44193.47</v>
      </c>
      <c r="S521" s="134">
        <f>ROUND('[7]2039'!S35,2)</f>
        <v>44230.75</v>
      </c>
      <c r="T521" s="134">
        <f>ROUND('[7]2039'!T35,2)</f>
        <v>44103.57</v>
      </c>
      <c r="U521" s="134">
        <f>ROUND('[7]2039'!U35,2)</f>
        <v>43656.75</v>
      </c>
      <c r="V521" s="134">
        <f>ROUND('[7]2039'!V35,2)</f>
        <v>43703.38</v>
      </c>
      <c r="W521" s="134">
        <f>ROUND('[7]2039'!W35,2)</f>
        <v>47468.37</v>
      </c>
      <c r="X521" s="134">
        <f>ROUND('[7]2039'!X35,2)</f>
        <v>48145.98</v>
      </c>
      <c r="Y521" s="134">
        <f>ROUND('[7]2039'!Y35,2)</f>
        <v>46468.46</v>
      </c>
      <c r="Z521" s="134">
        <f>ROUND('[7]2039'!Z35,2)</f>
        <v>44553.88</v>
      </c>
      <c r="AA521" s="134">
        <f>ROUND('[7]2039'!AA35,2)</f>
        <v>42190.96</v>
      </c>
      <c r="AB521" s="134">
        <f>ROUND('[7]2039'!AB35,2)</f>
        <v>39521.1</v>
      </c>
      <c r="AC521" s="283">
        <f>SUM(E521:AB521)*D521+SUM(E522:AB522)*D522+SUM(E523:AB523)*D523+SUM(E524:AB524)*D524</f>
        <v>28904166.279999994</v>
      </c>
      <c r="AD521" s="187"/>
    </row>
    <row r="522" spans="2:30" s="188" customFormat="1" ht="18.649999999999999" hidden="1" customHeight="1" x14ac:dyDescent="0.35">
      <c r="B522" s="264" t="s">
        <v>34</v>
      </c>
      <c r="C522" s="10" t="s">
        <v>30</v>
      </c>
      <c r="D522" s="11">
        <f>+'[7]2039'!D36</f>
        <v>4</v>
      </c>
      <c r="E522" s="135">
        <f>ROUND('[7]2039'!E36,2)</f>
        <v>36658.160000000003</v>
      </c>
      <c r="F522" s="135">
        <f>ROUND('[7]2039'!F36,2)</f>
        <v>34854.17</v>
      </c>
      <c r="G522" s="135">
        <f>ROUND('[7]2039'!G36,2)</f>
        <v>33483.370000000003</v>
      </c>
      <c r="H522" s="135">
        <f>ROUND('[7]2039'!H36,2)</f>
        <v>32532.2</v>
      </c>
      <c r="I522" s="135">
        <f>ROUND('[7]2039'!I36,2)</f>
        <v>32420.27</v>
      </c>
      <c r="J522" s="135">
        <f>ROUND('[7]2039'!J36,2)</f>
        <v>32784.129999999997</v>
      </c>
      <c r="K522" s="135">
        <f>ROUND('[7]2039'!K36,2)</f>
        <v>33006.629999999997</v>
      </c>
      <c r="L522" s="135">
        <f>ROUND('[7]2039'!L36,2)</f>
        <v>36719.800000000003</v>
      </c>
      <c r="M522" s="135">
        <f>ROUND('[7]2039'!M36,2)</f>
        <v>40642.550000000003</v>
      </c>
      <c r="N522" s="135">
        <f>ROUND('[7]2039'!N36,2)</f>
        <v>42912.43</v>
      </c>
      <c r="O522" s="135">
        <f>ROUND('[7]2039'!O36,2)</f>
        <v>45054.33</v>
      </c>
      <c r="P522" s="135">
        <f>ROUND('[7]2039'!P36,2)</f>
        <v>46452.160000000003</v>
      </c>
      <c r="Q522" s="135">
        <f>ROUND('[7]2039'!Q36,2)</f>
        <v>45269.3</v>
      </c>
      <c r="R522" s="135">
        <f>ROUND('[7]2039'!R36,2)</f>
        <v>46358.239999999998</v>
      </c>
      <c r="S522" s="135">
        <f>ROUND('[7]2039'!S36,2)</f>
        <v>47932.35</v>
      </c>
      <c r="T522" s="135">
        <f>ROUND('[7]2039'!T36,2)</f>
        <v>47995.3</v>
      </c>
      <c r="U522" s="135">
        <f>ROUND('[7]2039'!U36,2)</f>
        <v>47101.99</v>
      </c>
      <c r="V522" s="135">
        <f>ROUND('[7]2039'!V36,2)</f>
        <v>45553.84</v>
      </c>
      <c r="W522" s="135">
        <f>ROUND('[7]2039'!W36,2)</f>
        <v>48231.73</v>
      </c>
      <c r="X522" s="135">
        <f>ROUND('[7]2039'!X36,2)</f>
        <v>49643.01</v>
      </c>
      <c r="Y522" s="135">
        <f>ROUND('[7]2039'!Y36,2)</f>
        <v>48510.93</v>
      </c>
      <c r="Z522" s="135">
        <f>ROUND('[7]2039'!Z36,2)</f>
        <v>46454.89</v>
      </c>
      <c r="AA522" s="135">
        <f>ROUND('[7]2039'!AA36,2)</f>
        <v>43103.07</v>
      </c>
      <c r="AB522" s="135">
        <f>ROUND('[7]2039'!AB36,2)</f>
        <v>39595.54</v>
      </c>
      <c r="AC522" s="282"/>
      <c r="AD522" s="187"/>
    </row>
    <row r="523" spans="2:30" s="188" customFormat="1" ht="18.649999999999999" hidden="1" customHeight="1" x14ac:dyDescent="0.35">
      <c r="B523" s="264" t="s">
        <v>34</v>
      </c>
      <c r="C523" s="10" t="s">
        <v>31</v>
      </c>
      <c r="D523" s="11">
        <f>+'[7]2039'!D37</f>
        <v>4</v>
      </c>
      <c r="E523" s="135">
        <f>ROUND('[7]2039'!E37,2)</f>
        <v>34893.440000000002</v>
      </c>
      <c r="F523" s="135">
        <f>ROUND('[7]2039'!F37,2)</f>
        <v>33483.129999999997</v>
      </c>
      <c r="G523" s="135">
        <f>ROUND('[7]2039'!G37,2)</f>
        <v>32330.73</v>
      </c>
      <c r="H523" s="135">
        <f>ROUND('[7]2039'!H37,2)</f>
        <v>31584.07</v>
      </c>
      <c r="I523" s="135">
        <f>ROUND('[7]2039'!I37,2)</f>
        <v>31286.25</v>
      </c>
      <c r="J523" s="135">
        <f>ROUND('[7]2039'!J37,2)</f>
        <v>30410.15</v>
      </c>
      <c r="K523" s="135">
        <f>ROUND('[7]2039'!K37,2)</f>
        <v>30010.03</v>
      </c>
      <c r="L523" s="135">
        <f>ROUND('[7]2039'!L37,2)</f>
        <v>32454.76</v>
      </c>
      <c r="M523" s="135">
        <f>ROUND('[7]2039'!M37,2)</f>
        <v>35281.81</v>
      </c>
      <c r="N523" s="135">
        <f>ROUND('[7]2039'!N37,2)</f>
        <v>37043.39</v>
      </c>
      <c r="O523" s="135">
        <f>ROUND('[7]2039'!O37,2)</f>
        <v>39132.410000000003</v>
      </c>
      <c r="P523" s="135">
        <f>ROUND('[7]2039'!P37,2)</f>
        <v>40678.36</v>
      </c>
      <c r="Q523" s="135">
        <f>ROUND('[7]2039'!Q37,2)</f>
        <v>41466.83</v>
      </c>
      <c r="R523" s="135">
        <f>ROUND('[7]2039'!R37,2)</f>
        <v>41302.46</v>
      </c>
      <c r="S523" s="135">
        <f>ROUND('[7]2039'!S37,2)</f>
        <v>40958.910000000003</v>
      </c>
      <c r="T523" s="135">
        <f>ROUND('[7]2039'!T37,2)</f>
        <v>40643.06</v>
      </c>
      <c r="U523" s="135">
        <f>ROUND('[7]2039'!U37,2)</f>
        <v>40332.239999999998</v>
      </c>
      <c r="V523" s="135">
        <f>ROUND('[7]2039'!V37,2)</f>
        <v>40940.660000000003</v>
      </c>
      <c r="W523" s="135">
        <f>ROUND('[7]2039'!W37,2)</f>
        <v>45883.01</v>
      </c>
      <c r="X523" s="135">
        <f>ROUND('[7]2039'!X37,2)</f>
        <v>47706.37</v>
      </c>
      <c r="Y523" s="135">
        <f>ROUND('[7]2039'!Y37,2)</f>
        <v>47101</v>
      </c>
      <c r="Z523" s="135">
        <f>ROUND('[7]2039'!Z37,2)</f>
        <v>45360.73</v>
      </c>
      <c r="AA523" s="135">
        <f>ROUND('[7]2039'!AA37,2)</f>
        <v>42295.27</v>
      </c>
      <c r="AB523" s="135">
        <f>ROUND('[7]2039'!AB37,2)</f>
        <v>38780.050000000003</v>
      </c>
      <c r="AC523" s="282"/>
      <c r="AD523" s="187"/>
    </row>
    <row r="524" spans="2:30" s="188" customFormat="1" ht="18.649999999999999" hidden="1" customHeight="1" thickBot="1" x14ac:dyDescent="0.4">
      <c r="B524" s="265" t="s">
        <v>34</v>
      </c>
      <c r="C524" s="12" t="s">
        <v>32</v>
      </c>
      <c r="D524" s="13">
        <f>+'[7]2039'!D38</f>
        <v>2</v>
      </c>
      <c r="E524" s="132">
        <f>ROUND('[7]2039'!E38,2)</f>
        <v>34893.440000000002</v>
      </c>
      <c r="F524" s="132">
        <f>ROUND('[7]2039'!F38,2)</f>
        <v>33483.129999999997</v>
      </c>
      <c r="G524" s="132">
        <f>ROUND('[7]2039'!G38,2)</f>
        <v>32330.73</v>
      </c>
      <c r="H524" s="132">
        <f>ROUND('[7]2039'!H38,2)</f>
        <v>31584.07</v>
      </c>
      <c r="I524" s="132">
        <f>ROUND('[7]2039'!I38,2)</f>
        <v>31286.25</v>
      </c>
      <c r="J524" s="132">
        <f>ROUND('[7]2039'!J38,2)</f>
        <v>30410.15</v>
      </c>
      <c r="K524" s="132">
        <f>ROUND('[7]2039'!K38,2)</f>
        <v>30010.03</v>
      </c>
      <c r="L524" s="132">
        <f>ROUND('[7]2039'!L38,2)</f>
        <v>32454.76</v>
      </c>
      <c r="M524" s="132">
        <f>ROUND('[7]2039'!M38,2)</f>
        <v>35281.81</v>
      </c>
      <c r="N524" s="132">
        <f>ROUND('[7]2039'!N38,2)</f>
        <v>37043.39</v>
      </c>
      <c r="O524" s="132">
        <f>ROUND('[7]2039'!O38,2)</f>
        <v>39132.410000000003</v>
      </c>
      <c r="P524" s="132">
        <f>ROUND('[7]2039'!P38,2)</f>
        <v>40678.36</v>
      </c>
      <c r="Q524" s="132">
        <f>ROUND('[7]2039'!Q38,2)</f>
        <v>41466.83</v>
      </c>
      <c r="R524" s="132">
        <f>ROUND('[7]2039'!R38,2)</f>
        <v>41302.46</v>
      </c>
      <c r="S524" s="132">
        <f>ROUND('[7]2039'!S38,2)</f>
        <v>40958.910000000003</v>
      </c>
      <c r="T524" s="132">
        <f>ROUND('[7]2039'!T38,2)</f>
        <v>40643.06</v>
      </c>
      <c r="U524" s="132">
        <f>ROUND('[7]2039'!U38,2)</f>
        <v>40332.239999999998</v>
      </c>
      <c r="V524" s="132">
        <f>ROUND('[7]2039'!V38,2)</f>
        <v>40940.660000000003</v>
      </c>
      <c r="W524" s="132">
        <f>ROUND('[7]2039'!W38,2)</f>
        <v>45883.01</v>
      </c>
      <c r="X524" s="132">
        <f>ROUND('[7]2039'!X38,2)</f>
        <v>47706.37</v>
      </c>
      <c r="Y524" s="132">
        <f>ROUND('[7]2039'!Y38,2)</f>
        <v>47101</v>
      </c>
      <c r="Z524" s="132">
        <f>ROUND('[7]2039'!Z38,2)</f>
        <v>45360.73</v>
      </c>
      <c r="AA524" s="132">
        <f>ROUND('[7]2039'!AA38,2)</f>
        <v>42295.27</v>
      </c>
      <c r="AB524" s="132">
        <f>ROUND('[7]2039'!AB38,2)</f>
        <v>38780.050000000003</v>
      </c>
      <c r="AC524" s="284"/>
      <c r="AD524" s="187"/>
    </row>
    <row r="525" spans="2:30" s="188" customFormat="1" ht="18.649999999999999" hidden="1" customHeight="1" x14ac:dyDescent="0.35">
      <c r="B525" s="260">
        <v>50952</v>
      </c>
      <c r="C525" s="14" t="s">
        <v>29</v>
      </c>
      <c r="D525" s="8">
        <f>+'[7]2039'!D39</f>
        <v>19</v>
      </c>
      <c r="E525" s="137">
        <f>ROUND('[7]2039'!E39,2)</f>
        <v>36153.629999999997</v>
      </c>
      <c r="F525" s="137">
        <f>ROUND('[7]2039'!F39,2)</f>
        <v>34413.72</v>
      </c>
      <c r="G525" s="137">
        <f>ROUND('[7]2039'!G39,2)</f>
        <v>33266.76</v>
      </c>
      <c r="H525" s="137">
        <f>ROUND('[7]2039'!H39,2)</f>
        <v>32417.68</v>
      </c>
      <c r="I525" s="137">
        <f>ROUND('[7]2039'!I39,2)</f>
        <v>32285.99</v>
      </c>
      <c r="J525" s="137">
        <f>ROUND('[7]2039'!J39,2)</f>
        <v>32135.5</v>
      </c>
      <c r="K525" s="137">
        <f>ROUND('[7]2039'!K39,2)</f>
        <v>32431.33</v>
      </c>
      <c r="L525" s="137">
        <f>ROUND('[7]2039'!L39,2)</f>
        <v>36214.550000000003</v>
      </c>
      <c r="M525" s="137">
        <f>ROUND('[7]2039'!M39,2)</f>
        <v>40615.94</v>
      </c>
      <c r="N525" s="137">
        <f>ROUND('[7]2039'!N39,2)</f>
        <v>43109.54</v>
      </c>
      <c r="O525" s="137">
        <f>ROUND('[7]2039'!O39,2)</f>
        <v>45352.47</v>
      </c>
      <c r="P525" s="137">
        <f>ROUND('[7]2039'!P39,2)</f>
        <v>46373.01</v>
      </c>
      <c r="Q525" s="137">
        <f>ROUND('[7]2039'!Q39,2)</f>
        <v>45768.06</v>
      </c>
      <c r="R525" s="137">
        <f>ROUND('[7]2039'!R39,2)</f>
        <v>45133.36</v>
      </c>
      <c r="S525" s="137">
        <f>ROUND('[7]2039'!S39,2)</f>
        <v>45207.33</v>
      </c>
      <c r="T525" s="137">
        <f>ROUND('[7]2039'!T39,2)</f>
        <v>45331.11</v>
      </c>
      <c r="U525" s="137">
        <f>ROUND('[7]2039'!U39,2)</f>
        <v>44697.27</v>
      </c>
      <c r="V525" s="137">
        <f>ROUND('[7]2039'!V39,2)</f>
        <v>44596.86</v>
      </c>
      <c r="W525" s="137">
        <f>ROUND('[7]2039'!W39,2)</f>
        <v>48374.2</v>
      </c>
      <c r="X525" s="137">
        <f>ROUND('[7]2039'!X39,2)</f>
        <v>49659.66</v>
      </c>
      <c r="Y525" s="137">
        <f>ROUND('[7]2039'!Y39,2)</f>
        <v>48078.31</v>
      </c>
      <c r="Z525" s="137">
        <f>ROUND('[7]2039'!Z39,2)</f>
        <v>45946.6</v>
      </c>
      <c r="AA525" s="137">
        <f>ROUND('[7]2039'!AA39,2)</f>
        <v>43234.38</v>
      </c>
      <c r="AB525" s="137">
        <f>ROUND('[7]2039'!AB39,2)</f>
        <v>40344.910000000003</v>
      </c>
      <c r="AC525" s="282">
        <f>SUM(E525:AB525)*D525+SUM(E526:AB526)*D526+SUM(E527:AB527)*D527+SUM(E528:AB528)*D528</f>
        <v>30779595.990000002</v>
      </c>
      <c r="AD525" s="187"/>
    </row>
    <row r="526" spans="2:30" s="188" customFormat="1" ht="18.649999999999999" hidden="1" customHeight="1" x14ac:dyDescent="0.35">
      <c r="B526" s="261"/>
      <c r="C526" s="10" t="s">
        <v>30</v>
      </c>
      <c r="D526" s="11">
        <f>+'[7]2039'!D40</f>
        <v>5</v>
      </c>
      <c r="E526" s="135">
        <f>ROUND('[7]2039'!E40,2)</f>
        <v>38454.61</v>
      </c>
      <c r="F526" s="135">
        <f>ROUND('[7]2039'!F40,2)</f>
        <v>36440.589999999997</v>
      </c>
      <c r="G526" s="135">
        <f>ROUND('[7]2039'!G40,2)</f>
        <v>34964.43</v>
      </c>
      <c r="H526" s="135">
        <f>ROUND('[7]2039'!H40,2)</f>
        <v>33922.92</v>
      </c>
      <c r="I526" s="135">
        <f>ROUND('[7]2039'!I40,2)</f>
        <v>33851.11</v>
      </c>
      <c r="J526" s="135">
        <f>ROUND('[7]2039'!J40,2)</f>
        <v>34471.19</v>
      </c>
      <c r="K526" s="135">
        <f>ROUND('[7]2039'!K40,2)</f>
        <v>34673.370000000003</v>
      </c>
      <c r="L526" s="135">
        <f>ROUND('[7]2039'!L40,2)</f>
        <v>38454.06</v>
      </c>
      <c r="M526" s="135">
        <f>ROUND('[7]2039'!M40,2)</f>
        <v>42523.5</v>
      </c>
      <c r="N526" s="135">
        <f>ROUND('[7]2039'!N40,2)</f>
        <v>44836.29</v>
      </c>
      <c r="O526" s="135">
        <f>ROUND('[7]2039'!O40,2)</f>
        <v>47173.72</v>
      </c>
      <c r="P526" s="135">
        <f>ROUND('[7]2039'!P40,2)</f>
        <v>48860.49</v>
      </c>
      <c r="Q526" s="135">
        <f>ROUND('[7]2039'!Q40,2)</f>
        <v>47584.09</v>
      </c>
      <c r="R526" s="135">
        <f>ROUND('[7]2039'!R40,2)</f>
        <v>48537.88</v>
      </c>
      <c r="S526" s="135">
        <f>ROUND('[7]2039'!S40,2)</f>
        <v>50140.68</v>
      </c>
      <c r="T526" s="135">
        <f>ROUND('[7]2039'!T40,2)</f>
        <v>50141.15</v>
      </c>
      <c r="U526" s="135">
        <f>ROUND('[7]2039'!U40,2)</f>
        <v>49184.44</v>
      </c>
      <c r="V526" s="135">
        <f>ROUND('[7]2039'!V40,2)</f>
        <v>47773.11</v>
      </c>
      <c r="W526" s="135">
        <f>ROUND('[7]2039'!W40,2)</f>
        <v>51056.27</v>
      </c>
      <c r="X526" s="135">
        <f>ROUND('[7]2039'!X40,2)</f>
        <v>52108.33</v>
      </c>
      <c r="Y526" s="135">
        <f>ROUND('[7]2039'!Y40,2)</f>
        <v>51006.86</v>
      </c>
      <c r="Z526" s="135">
        <f>ROUND('[7]2039'!Z40,2)</f>
        <v>48837.78</v>
      </c>
      <c r="AA526" s="135">
        <f>ROUND('[7]2039'!AA40,2)</f>
        <v>45272.23</v>
      </c>
      <c r="AB526" s="135">
        <f>ROUND('[7]2039'!AB40,2)</f>
        <v>41433.97</v>
      </c>
      <c r="AC526" s="282"/>
      <c r="AD526" s="187"/>
    </row>
    <row r="527" spans="2:30" s="188" customFormat="1" ht="18.649999999999999" hidden="1" customHeight="1" x14ac:dyDescent="0.35">
      <c r="B527" s="261"/>
      <c r="C527" s="10" t="s">
        <v>31</v>
      </c>
      <c r="D527" s="11">
        <f>+'[7]2039'!D41</f>
        <v>5</v>
      </c>
      <c r="E527" s="135">
        <f>ROUND('[7]2039'!E41,2)</f>
        <v>36270.980000000003</v>
      </c>
      <c r="F527" s="135">
        <f>ROUND('[7]2039'!F41,2)</f>
        <v>34814.01</v>
      </c>
      <c r="G527" s="135">
        <f>ROUND('[7]2039'!G41,2)</f>
        <v>33580.720000000001</v>
      </c>
      <c r="H527" s="135">
        <f>ROUND('[7]2039'!H41,2)</f>
        <v>32451.74</v>
      </c>
      <c r="I527" s="135">
        <f>ROUND('[7]2039'!I41,2)</f>
        <v>32072.69</v>
      </c>
      <c r="J527" s="135">
        <f>ROUND('[7]2039'!J41,2)</f>
        <v>31572.9</v>
      </c>
      <c r="K527" s="135">
        <f>ROUND('[7]2039'!K41,2)</f>
        <v>30971.16</v>
      </c>
      <c r="L527" s="135">
        <f>ROUND('[7]2039'!L41,2)</f>
        <v>33280.550000000003</v>
      </c>
      <c r="M527" s="135">
        <f>ROUND('[7]2039'!M41,2)</f>
        <v>36298.5</v>
      </c>
      <c r="N527" s="135">
        <f>ROUND('[7]2039'!N41,2)</f>
        <v>38733.839999999997</v>
      </c>
      <c r="O527" s="135">
        <f>ROUND('[7]2039'!O41,2)</f>
        <v>40480.47</v>
      </c>
      <c r="P527" s="135">
        <f>ROUND('[7]2039'!P41,2)</f>
        <v>41365.71</v>
      </c>
      <c r="Q527" s="135">
        <f>ROUND('[7]2039'!Q41,2)</f>
        <v>42884.57</v>
      </c>
      <c r="R527" s="135">
        <f>ROUND('[7]2039'!R41,2)</f>
        <v>42984.34</v>
      </c>
      <c r="S527" s="135">
        <f>ROUND('[7]2039'!S41,2)</f>
        <v>42908.02</v>
      </c>
      <c r="T527" s="135">
        <f>ROUND('[7]2039'!T41,2)</f>
        <v>43031.07</v>
      </c>
      <c r="U527" s="135">
        <f>ROUND('[7]2039'!U41,2)</f>
        <v>42695</v>
      </c>
      <c r="V527" s="135">
        <f>ROUND('[7]2039'!V41,2)</f>
        <v>42308.26</v>
      </c>
      <c r="W527" s="135">
        <f>ROUND('[7]2039'!W41,2)</f>
        <v>46756.67</v>
      </c>
      <c r="X527" s="135">
        <f>ROUND('[7]2039'!X41,2)</f>
        <v>49321.52</v>
      </c>
      <c r="Y527" s="135">
        <f>ROUND('[7]2039'!Y41,2)</f>
        <v>48654.57</v>
      </c>
      <c r="Z527" s="135">
        <f>ROUND('[7]2039'!Z41,2)</f>
        <v>46988.01</v>
      </c>
      <c r="AA527" s="135">
        <f>ROUND('[7]2039'!AA41,2)</f>
        <v>44169.35</v>
      </c>
      <c r="AB527" s="135">
        <f>ROUND('[7]2039'!AB41,2)</f>
        <v>41030.980000000003</v>
      </c>
      <c r="AC527" s="282"/>
      <c r="AD527" s="187"/>
    </row>
    <row r="528" spans="2:30" s="188" customFormat="1" ht="18.649999999999999" hidden="1" customHeight="1" thickBot="1" x14ac:dyDescent="0.4">
      <c r="B528" s="261"/>
      <c r="C528" s="16" t="s">
        <v>32</v>
      </c>
      <c r="D528" s="13">
        <f>+'[7]2039'!D42</f>
        <v>2</v>
      </c>
      <c r="E528" s="135">
        <f>ROUND('[7]2039'!E42,2)</f>
        <v>36270.980000000003</v>
      </c>
      <c r="F528" s="135">
        <f>ROUND('[7]2039'!F42,2)</f>
        <v>34814.01</v>
      </c>
      <c r="G528" s="135">
        <f>ROUND('[7]2039'!G42,2)</f>
        <v>33580.720000000001</v>
      </c>
      <c r="H528" s="135">
        <f>ROUND('[7]2039'!H42,2)</f>
        <v>32451.74</v>
      </c>
      <c r="I528" s="135">
        <f>ROUND('[7]2039'!I42,2)</f>
        <v>32072.69</v>
      </c>
      <c r="J528" s="135">
        <f>ROUND('[7]2039'!J42,2)</f>
        <v>31572.9</v>
      </c>
      <c r="K528" s="135">
        <f>ROUND('[7]2039'!K42,2)</f>
        <v>30971.16</v>
      </c>
      <c r="L528" s="135">
        <f>ROUND('[7]2039'!L42,2)</f>
        <v>33280.550000000003</v>
      </c>
      <c r="M528" s="135">
        <f>ROUND('[7]2039'!M42,2)</f>
        <v>36298.5</v>
      </c>
      <c r="N528" s="135">
        <f>ROUND('[7]2039'!N42,2)</f>
        <v>38733.839999999997</v>
      </c>
      <c r="O528" s="135">
        <f>ROUND('[7]2039'!O42,2)</f>
        <v>40480.47</v>
      </c>
      <c r="P528" s="135">
        <f>ROUND('[7]2039'!P42,2)</f>
        <v>41365.71</v>
      </c>
      <c r="Q528" s="135">
        <f>ROUND('[7]2039'!Q42,2)</f>
        <v>42884.57</v>
      </c>
      <c r="R528" s="135">
        <f>ROUND('[7]2039'!R42,2)</f>
        <v>42984.34</v>
      </c>
      <c r="S528" s="135">
        <f>ROUND('[7]2039'!S42,2)</f>
        <v>42908.02</v>
      </c>
      <c r="T528" s="135">
        <f>ROUND('[7]2039'!T42,2)</f>
        <v>43031.07</v>
      </c>
      <c r="U528" s="135">
        <f>ROUND('[7]2039'!U42,2)</f>
        <v>42695</v>
      </c>
      <c r="V528" s="135">
        <f>ROUND('[7]2039'!V42,2)</f>
        <v>42308.26</v>
      </c>
      <c r="W528" s="135">
        <f>ROUND('[7]2039'!W42,2)</f>
        <v>46756.67</v>
      </c>
      <c r="X528" s="135">
        <f>ROUND('[7]2039'!X42,2)</f>
        <v>49321.52</v>
      </c>
      <c r="Y528" s="135">
        <f>ROUND('[7]2039'!Y42,2)</f>
        <v>48654.57</v>
      </c>
      <c r="Z528" s="135">
        <f>ROUND('[7]2039'!Z42,2)</f>
        <v>46988.01</v>
      </c>
      <c r="AA528" s="135">
        <f>ROUND('[7]2039'!AA42,2)</f>
        <v>44169.35</v>
      </c>
      <c r="AB528" s="135">
        <f>ROUND('[7]2039'!AB42,2)</f>
        <v>41030.980000000003</v>
      </c>
      <c r="AC528" s="282"/>
      <c r="AD528" s="187"/>
    </row>
    <row r="529" spans="2:30" s="188" customFormat="1" ht="18.649999999999999" hidden="1" customHeight="1" x14ac:dyDescent="0.35">
      <c r="B529" s="263">
        <v>50983</v>
      </c>
      <c r="C529" s="7" t="s">
        <v>29</v>
      </c>
      <c r="D529" s="8">
        <f>+'[7]2039'!D43</f>
        <v>22</v>
      </c>
      <c r="E529" s="134">
        <f>ROUND('[7]2039'!E43,2)</f>
        <v>37437.919999999998</v>
      </c>
      <c r="F529" s="134">
        <f>ROUND('[7]2039'!F43,2)</f>
        <v>35420.53</v>
      </c>
      <c r="G529" s="134">
        <f>ROUND('[7]2039'!G43,2)</f>
        <v>33915.33</v>
      </c>
      <c r="H529" s="134">
        <f>ROUND('[7]2039'!H43,2)</f>
        <v>32907.32</v>
      </c>
      <c r="I529" s="134">
        <f>ROUND('[7]2039'!I43,2)</f>
        <v>32537.05</v>
      </c>
      <c r="J529" s="134">
        <f>ROUND('[7]2039'!J43,2)</f>
        <v>32443.77</v>
      </c>
      <c r="K529" s="134">
        <f>ROUND('[7]2039'!K43,2)</f>
        <v>32550.33</v>
      </c>
      <c r="L529" s="134">
        <f>ROUND('[7]2039'!L43,2)</f>
        <v>36306.26</v>
      </c>
      <c r="M529" s="134">
        <f>ROUND('[7]2039'!M43,2)</f>
        <v>40535.230000000003</v>
      </c>
      <c r="N529" s="134">
        <f>ROUND('[7]2039'!N43,2)</f>
        <v>43134.33</v>
      </c>
      <c r="O529" s="134">
        <f>ROUND('[7]2039'!O43,2)</f>
        <v>45292.85</v>
      </c>
      <c r="P529" s="134">
        <f>ROUND('[7]2039'!P43,2)</f>
        <v>46669.83</v>
      </c>
      <c r="Q529" s="134">
        <f>ROUND('[7]2039'!Q43,2)</f>
        <v>45895.44</v>
      </c>
      <c r="R529" s="134">
        <f>ROUND('[7]2039'!R43,2)</f>
        <v>45241.4</v>
      </c>
      <c r="S529" s="134">
        <f>ROUND('[7]2039'!S43,2)</f>
        <v>45173.279999999999</v>
      </c>
      <c r="T529" s="134">
        <f>ROUND('[7]2039'!T43,2)</f>
        <v>44804.66</v>
      </c>
      <c r="U529" s="134">
        <f>ROUND('[7]2039'!U43,2)</f>
        <v>43906.52</v>
      </c>
      <c r="V529" s="134">
        <f>ROUND('[7]2039'!V43,2)</f>
        <v>43848.3</v>
      </c>
      <c r="W529" s="134">
        <f>ROUND('[7]2039'!W43,2)</f>
        <v>47823.66</v>
      </c>
      <c r="X529" s="134">
        <f>ROUND('[7]2039'!X43,2)</f>
        <v>48437.47</v>
      </c>
      <c r="Y529" s="134">
        <f>ROUND('[7]2039'!Y43,2)</f>
        <v>47017.98</v>
      </c>
      <c r="Z529" s="134">
        <f>ROUND('[7]2039'!Z43,2)</f>
        <v>45060.93</v>
      </c>
      <c r="AA529" s="134">
        <f>ROUND('[7]2039'!AA43,2)</f>
        <v>42300.11</v>
      </c>
      <c r="AB529" s="134">
        <f>ROUND('[7]2039'!AB43,2)</f>
        <v>39360.04</v>
      </c>
      <c r="AC529" s="283">
        <f>SUM(E529:AB529)*D529+SUM(E530:AB530)*D530+SUM(E531:AB531)*D531+SUM(E532:AB532)*D532</f>
        <v>30533545.670000002</v>
      </c>
      <c r="AD529" s="187"/>
    </row>
    <row r="530" spans="2:30" s="188" customFormat="1" ht="18.649999999999999" hidden="1" customHeight="1" x14ac:dyDescent="0.35">
      <c r="B530" s="264" t="s">
        <v>34</v>
      </c>
      <c r="C530" s="10" t="s">
        <v>30</v>
      </c>
      <c r="D530" s="11">
        <f>+'[7]2039'!D44</f>
        <v>4</v>
      </c>
      <c r="E530" s="135">
        <f>ROUND('[7]2039'!E44,2)</f>
        <v>36943.31</v>
      </c>
      <c r="F530" s="135">
        <f>ROUND('[7]2039'!F44,2)</f>
        <v>35109.56</v>
      </c>
      <c r="G530" s="135">
        <f>ROUND('[7]2039'!G44,2)</f>
        <v>33707.06</v>
      </c>
      <c r="H530" s="135">
        <f>ROUND('[7]2039'!H44,2)</f>
        <v>32718.03</v>
      </c>
      <c r="I530" s="135">
        <f>ROUND('[7]2039'!I44,2)</f>
        <v>32623.61</v>
      </c>
      <c r="J530" s="135">
        <f>ROUND('[7]2039'!J44,2)</f>
        <v>33157.32</v>
      </c>
      <c r="K530" s="135">
        <f>ROUND('[7]2039'!K44,2)</f>
        <v>33511.129999999997</v>
      </c>
      <c r="L530" s="135">
        <f>ROUND('[7]2039'!L44,2)</f>
        <v>37334.160000000003</v>
      </c>
      <c r="M530" s="135">
        <f>ROUND('[7]2039'!M44,2)</f>
        <v>41251.79</v>
      </c>
      <c r="N530" s="135">
        <f>ROUND('[7]2039'!N44,2)</f>
        <v>43471.03</v>
      </c>
      <c r="O530" s="135">
        <f>ROUND('[7]2039'!O44,2)</f>
        <v>45774.6</v>
      </c>
      <c r="P530" s="135">
        <f>ROUND('[7]2039'!P44,2)</f>
        <v>47333.27</v>
      </c>
      <c r="Q530" s="135">
        <f>ROUND('[7]2039'!Q44,2)</f>
        <v>46118.75</v>
      </c>
      <c r="R530" s="135">
        <f>ROUND('[7]2039'!R44,2)</f>
        <v>47209.45</v>
      </c>
      <c r="S530" s="135">
        <f>ROUND('[7]2039'!S44,2)</f>
        <v>48848.97</v>
      </c>
      <c r="T530" s="135">
        <f>ROUND('[7]2039'!T44,2)</f>
        <v>48883.71</v>
      </c>
      <c r="U530" s="135">
        <f>ROUND('[7]2039'!U44,2)</f>
        <v>47982.63</v>
      </c>
      <c r="V530" s="135">
        <f>ROUND('[7]2039'!V44,2)</f>
        <v>47176.15</v>
      </c>
      <c r="W530" s="135">
        <f>ROUND('[7]2039'!W44,2)</f>
        <v>50641.41</v>
      </c>
      <c r="X530" s="135">
        <f>ROUND('[7]2039'!X44,2)</f>
        <v>50435.71</v>
      </c>
      <c r="Y530" s="135">
        <f>ROUND('[7]2039'!Y44,2)</f>
        <v>49134.13</v>
      </c>
      <c r="Z530" s="135">
        <f>ROUND('[7]2039'!Z44,2)</f>
        <v>46882.19</v>
      </c>
      <c r="AA530" s="135">
        <f>ROUND('[7]2039'!AA44,2)</f>
        <v>43293</v>
      </c>
      <c r="AB530" s="135">
        <f>ROUND('[7]2039'!AB44,2)</f>
        <v>39610.69</v>
      </c>
      <c r="AC530" s="282"/>
      <c r="AD530" s="187"/>
    </row>
    <row r="531" spans="2:30" s="188" customFormat="1" ht="18.649999999999999" hidden="1" customHeight="1" x14ac:dyDescent="0.35">
      <c r="B531" s="264" t="s">
        <v>34</v>
      </c>
      <c r="C531" s="10" t="s">
        <v>31</v>
      </c>
      <c r="D531" s="11">
        <f>+'[7]2039'!D45</f>
        <v>3</v>
      </c>
      <c r="E531" s="135">
        <f>ROUND('[7]2039'!E45,2)</f>
        <v>36924.9</v>
      </c>
      <c r="F531" s="135">
        <f>ROUND('[7]2039'!F45,2)</f>
        <v>35000.519999999997</v>
      </c>
      <c r="G531" s="135">
        <f>ROUND('[7]2039'!G45,2)</f>
        <v>33505.93</v>
      </c>
      <c r="H531" s="135">
        <f>ROUND('[7]2039'!H45,2)</f>
        <v>32424.93</v>
      </c>
      <c r="I531" s="135">
        <f>ROUND('[7]2039'!I45,2)</f>
        <v>31971.279999999999</v>
      </c>
      <c r="J531" s="135">
        <f>ROUND('[7]2039'!J45,2)</f>
        <v>31360.03</v>
      </c>
      <c r="K531" s="135">
        <f>ROUND('[7]2039'!K45,2)</f>
        <v>30691.27</v>
      </c>
      <c r="L531" s="135">
        <f>ROUND('[7]2039'!L45,2)</f>
        <v>32924</v>
      </c>
      <c r="M531" s="135">
        <f>ROUND('[7]2039'!M45,2)</f>
        <v>35382.21</v>
      </c>
      <c r="N531" s="135">
        <f>ROUND('[7]2039'!N45,2)</f>
        <v>37597.65</v>
      </c>
      <c r="O531" s="135">
        <f>ROUND('[7]2039'!O45,2)</f>
        <v>39698.089999999997</v>
      </c>
      <c r="P531" s="135">
        <f>ROUND('[7]2039'!P45,2)</f>
        <v>41495.31</v>
      </c>
      <c r="Q531" s="135">
        <f>ROUND('[7]2039'!Q45,2)</f>
        <v>42156.65</v>
      </c>
      <c r="R531" s="135">
        <f>ROUND('[7]2039'!R45,2)</f>
        <v>41954.3</v>
      </c>
      <c r="S531" s="135">
        <f>ROUND('[7]2039'!S45,2)</f>
        <v>41765.75</v>
      </c>
      <c r="T531" s="135">
        <f>ROUND('[7]2039'!T45,2)</f>
        <v>41898.839999999997</v>
      </c>
      <c r="U531" s="135">
        <f>ROUND('[7]2039'!U45,2)</f>
        <v>41516.629999999997</v>
      </c>
      <c r="V531" s="135">
        <f>ROUND('[7]2039'!V45,2)</f>
        <v>41469.660000000003</v>
      </c>
      <c r="W531" s="135">
        <f>ROUND('[7]2039'!W45,2)</f>
        <v>46279.17</v>
      </c>
      <c r="X531" s="135">
        <f>ROUND('[7]2039'!X45,2)</f>
        <v>48886.5</v>
      </c>
      <c r="Y531" s="135">
        <f>ROUND('[7]2039'!Y45,2)</f>
        <v>48625.77</v>
      </c>
      <c r="Z531" s="135">
        <f>ROUND('[7]2039'!Z45,2)</f>
        <v>46796.15</v>
      </c>
      <c r="AA531" s="135">
        <f>ROUND('[7]2039'!AA45,2)</f>
        <v>43623.61</v>
      </c>
      <c r="AB531" s="135">
        <f>ROUND('[7]2039'!AB45,2)</f>
        <v>40148.28</v>
      </c>
      <c r="AC531" s="282"/>
      <c r="AD531" s="187"/>
    </row>
    <row r="532" spans="2:30" s="188" customFormat="1" ht="18.649999999999999" hidden="1" customHeight="1" thickBot="1" x14ac:dyDescent="0.4">
      <c r="B532" s="265" t="s">
        <v>34</v>
      </c>
      <c r="C532" s="12" t="s">
        <v>32</v>
      </c>
      <c r="D532" s="13">
        <f>+'[7]2039'!D46</f>
        <v>2</v>
      </c>
      <c r="E532" s="132">
        <f>ROUND('[7]2039'!E46,2)</f>
        <v>36924.9</v>
      </c>
      <c r="F532" s="132">
        <f>ROUND('[7]2039'!F46,2)</f>
        <v>35000.519999999997</v>
      </c>
      <c r="G532" s="132">
        <f>ROUND('[7]2039'!G46,2)</f>
        <v>33505.93</v>
      </c>
      <c r="H532" s="132">
        <f>ROUND('[7]2039'!H46,2)</f>
        <v>32424.93</v>
      </c>
      <c r="I532" s="132">
        <f>ROUND('[7]2039'!I46,2)</f>
        <v>31971.279999999999</v>
      </c>
      <c r="J532" s="132">
        <f>ROUND('[7]2039'!J46,2)</f>
        <v>31360.03</v>
      </c>
      <c r="K532" s="132">
        <f>ROUND('[7]2039'!K46,2)</f>
        <v>30691.27</v>
      </c>
      <c r="L532" s="132">
        <f>ROUND('[7]2039'!L46,2)</f>
        <v>32924</v>
      </c>
      <c r="M532" s="132">
        <f>ROUND('[7]2039'!M46,2)</f>
        <v>35382.21</v>
      </c>
      <c r="N532" s="132">
        <f>ROUND('[7]2039'!N46,2)</f>
        <v>37597.65</v>
      </c>
      <c r="O532" s="132">
        <f>ROUND('[7]2039'!O46,2)</f>
        <v>39698.089999999997</v>
      </c>
      <c r="P532" s="132">
        <f>ROUND('[7]2039'!P46,2)</f>
        <v>41495.31</v>
      </c>
      <c r="Q532" s="132">
        <f>ROUND('[7]2039'!Q46,2)</f>
        <v>42156.65</v>
      </c>
      <c r="R532" s="132">
        <f>ROUND('[7]2039'!R46,2)</f>
        <v>41954.3</v>
      </c>
      <c r="S532" s="132">
        <f>ROUND('[7]2039'!S46,2)</f>
        <v>41765.75</v>
      </c>
      <c r="T532" s="132">
        <f>ROUND('[7]2039'!T46,2)</f>
        <v>41898.839999999997</v>
      </c>
      <c r="U532" s="132">
        <f>ROUND('[7]2039'!U46,2)</f>
        <v>41516.629999999997</v>
      </c>
      <c r="V532" s="132">
        <f>ROUND('[7]2039'!V46,2)</f>
        <v>41469.660000000003</v>
      </c>
      <c r="W532" s="132">
        <f>ROUND('[7]2039'!W46,2)</f>
        <v>46279.17</v>
      </c>
      <c r="X532" s="132">
        <f>ROUND('[7]2039'!X46,2)</f>
        <v>48886.5</v>
      </c>
      <c r="Y532" s="132">
        <f>ROUND('[7]2039'!Y46,2)</f>
        <v>48625.77</v>
      </c>
      <c r="Z532" s="132">
        <f>ROUND('[7]2039'!Z46,2)</f>
        <v>46796.15</v>
      </c>
      <c r="AA532" s="132">
        <f>ROUND('[7]2039'!AA46,2)</f>
        <v>43623.61</v>
      </c>
      <c r="AB532" s="132">
        <f>ROUND('[7]2039'!AB46,2)</f>
        <v>40148.28</v>
      </c>
      <c r="AC532" s="284"/>
      <c r="AD532" s="187"/>
    </row>
    <row r="533" spans="2:30" s="188" customFormat="1" ht="18.649999999999999" hidden="1" customHeight="1" x14ac:dyDescent="0.35">
      <c r="B533" s="260">
        <v>51014</v>
      </c>
      <c r="C533" s="14" t="s">
        <v>29</v>
      </c>
      <c r="D533" s="15">
        <f>+'[7]2039'!D47</f>
        <v>22</v>
      </c>
      <c r="E533" s="137">
        <f>ROUND('[7]2039'!E47,2)</f>
        <v>37996.629999999997</v>
      </c>
      <c r="F533" s="137">
        <f>ROUND('[7]2039'!F47,2)</f>
        <v>36057.32</v>
      </c>
      <c r="G533" s="137">
        <f>ROUND('[7]2039'!G47,2)</f>
        <v>34556.839999999997</v>
      </c>
      <c r="H533" s="137">
        <f>ROUND('[7]2039'!H47,2)</f>
        <v>33493.86</v>
      </c>
      <c r="I533" s="137">
        <f>ROUND('[7]2039'!I47,2)</f>
        <v>33181.96</v>
      </c>
      <c r="J533" s="137">
        <f>ROUND('[7]2039'!J47,2)</f>
        <v>32753.59</v>
      </c>
      <c r="K533" s="137">
        <f>ROUND('[7]2039'!K47,2)</f>
        <v>32965.47</v>
      </c>
      <c r="L533" s="137">
        <f>ROUND('[7]2039'!L47,2)</f>
        <v>36885.89</v>
      </c>
      <c r="M533" s="137">
        <f>ROUND('[7]2039'!M47,2)</f>
        <v>41072.959999999999</v>
      </c>
      <c r="N533" s="137">
        <f>ROUND('[7]2039'!N47,2)</f>
        <v>43487.68</v>
      </c>
      <c r="O533" s="137">
        <f>ROUND('[7]2039'!O47,2)</f>
        <v>45544.92</v>
      </c>
      <c r="P533" s="137">
        <f>ROUND('[7]2039'!P47,2)</f>
        <v>46566.22</v>
      </c>
      <c r="Q533" s="137">
        <f>ROUND('[7]2039'!Q47,2)</f>
        <v>45683.17</v>
      </c>
      <c r="R533" s="137">
        <f>ROUND('[7]2039'!R47,2)</f>
        <v>45023.839999999997</v>
      </c>
      <c r="S533" s="137">
        <f>ROUND('[7]2039'!S47,2)</f>
        <v>44970.02</v>
      </c>
      <c r="T533" s="137">
        <f>ROUND('[7]2039'!T47,2)</f>
        <v>44892.72</v>
      </c>
      <c r="U533" s="137">
        <f>ROUND('[7]2039'!U47,2)</f>
        <v>44221.35</v>
      </c>
      <c r="V533" s="137">
        <f>ROUND('[7]2039'!V47,2)</f>
        <v>44739.31</v>
      </c>
      <c r="W533" s="137">
        <f>ROUND('[7]2039'!W47,2)</f>
        <v>49389.03</v>
      </c>
      <c r="X533" s="137">
        <f>ROUND('[7]2039'!X47,2)</f>
        <v>48917.72</v>
      </c>
      <c r="Y533" s="137">
        <f>ROUND('[7]2039'!Y47,2)</f>
        <v>47220.02</v>
      </c>
      <c r="Z533" s="137">
        <f>ROUND('[7]2039'!Z47,2)</f>
        <v>45110.06</v>
      </c>
      <c r="AA533" s="137">
        <f>ROUND('[7]2039'!AA47,2)</f>
        <v>42571.64</v>
      </c>
      <c r="AB533" s="137">
        <f>ROUND('[7]2039'!AB47,2)</f>
        <v>39773.19</v>
      </c>
      <c r="AC533" s="282">
        <f>SUM(E533:AB533)*D533+SUM(E534:AB534)*D534+SUM(E535:AB535)*D535+SUM(E536:AB536)*D536</f>
        <v>30093296.300000001</v>
      </c>
      <c r="AD533" s="187"/>
    </row>
    <row r="534" spans="2:30" s="188" customFormat="1" ht="18.649999999999999" hidden="1" customHeight="1" x14ac:dyDescent="0.35">
      <c r="B534" s="261"/>
      <c r="C534" s="10" t="s">
        <v>30</v>
      </c>
      <c r="D534" s="11">
        <f>+'[7]2039'!D48</f>
        <v>4</v>
      </c>
      <c r="E534" s="135">
        <f>ROUND('[7]2039'!E48,2)</f>
        <v>35520.959999999999</v>
      </c>
      <c r="F534" s="135">
        <f>ROUND('[7]2039'!F48,2)</f>
        <v>33733.25</v>
      </c>
      <c r="G534" s="135">
        <f>ROUND('[7]2039'!G48,2)</f>
        <v>32485.8</v>
      </c>
      <c r="H534" s="135">
        <f>ROUND('[7]2039'!H48,2)</f>
        <v>31566.28</v>
      </c>
      <c r="I534" s="135">
        <f>ROUND('[7]2039'!I48,2)</f>
        <v>31581.37</v>
      </c>
      <c r="J534" s="135">
        <f>ROUND('[7]2039'!J48,2)</f>
        <v>32104.76</v>
      </c>
      <c r="K534" s="135">
        <f>ROUND('[7]2039'!K48,2)</f>
        <v>32758.25</v>
      </c>
      <c r="L534" s="135">
        <f>ROUND('[7]2039'!L48,2)</f>
        <v>36754.769999999997</v>
      </c>
      <c r="M534" s="135">
        <f>ROUND('[7]2039'!M48,2)</f>
        <v>40647.410000000003</v>
      </c>
      <c r="N534" s="135">
        <f>ROUND('[7]2039'!N48,2)</f>
        <v>42771.7</v>
      </c>
      <c r="O534" s="135">
        <f>ROUND('[7]2039'!O48,2)</f>
        <v>45019.44</v>
      </c>
      <c r="P534" s="135">
        <f>ROUND('[7]2039'!P48,2)</f>
        <v>46568.62</v>
      </c>
      <c r="Q534" s="135">
        <f>ROUND('[7]2039'!Q48,2)</f>
        <v>45235.06</v>
      </c>
      <c r="R534" s="135">
        <f>ROUND('[7]2039'!R48,2)</f>
        <v>46252.38</v>
      </c>
      <c r="S534" s="135">
        <f>ROUND('[7]2039'!S48,2)</f>
        <v>47968.5</v>
      </c>
      <c r="T534" s="135">
        <f>ROUND('[7]2039'!T48,2)</f>
        <v>48055.01</v>
      </c>
      <c r="U534" s="135">
        <f>ROUND('[7]2039'!U48,2)</f>
        <v>47060.5</v>
      </c>
      <c r="V534" s="135">
        <f>ROUND('[7]2039'!V48,2)</f>
        <v>47190.36</v>
      </c>
      <c r="W534" s="135">
        <f>ROUND('[7]2039'!W48,2)</f>
        <v>50036.15</v>
      </c>
      <c r="X534" s="135">
        <f>ROUND('[7]2039'!X48,2)</f>
        <v>49186.29</v>
      </c>
      <c r="Y534" s="135">
        <f>ROUND('[7]2039'!Y48,2)</f>
        <v>47613.32</v>
      </c>
      <c r="Z534" s="135">
        <f>ROUND('[7]2039'!Z48,2)</f>
        <v>45297.21</v>
      </c>
      <c r="AA534" s="135">
        <f>ROUND('[7]2039'!AA48,2)</f>
        <v>41959.87</v>
      </c>
      <c r="AB534" s="135">
        <f>ROUND('[7]2039'!AB48,2)</f>
        <v>38492.47</v>
      </c>
      <c r="AC534" s="282"/>
      <c r="AD534" s="187"/>
    </row>
    <row r="535" spans="2:30" s="188" customFormat="1" ht="18.649999999999999" hidden="1" customHeight="1" x14ac:dyDescent="0.35">
      <c r="B535" s="261"/>
      <c r="C535" s="10" t="s">
        <v>31</v>
      </c>
      <c r="D535" s="11">
        <f>+'[7]2039'!D49</f>
        <v>4</v>
      </c>
      <c r="E535" s="135">
        <f>ROUND('[7]2039'!E49,2)</f>
        <v>36603.78</v>
      </c>
      <c r="F535" s="135">
        <f>ROUND('[7]2039'!F49,2)</f>
        <v>34822.97</v>
      </c>
      <c r="G535" s="135">
        <f>ROUND('[7]2039'!G49,2)</f>
        <v>33504.71</v>
      </c>
      <c r="H535" s="135">
        <f>ROUND('[7]2039'!H49,2)</f>
        <v>32508.95</v>
      </c>
      <c r="I535" s="135">
        <f>ROUND('[7]2039'!I49,2)</f>
        <v>32561.03</v>
      </c>
      <c r="J535" s="135">
        <f>ROUND('[7]2039'!J49,2)</f>
        <v>33587.22</v>
      </c>
      <c r="K535" s="135">
        <f>ROUND('[7]2039'!K49,2)</f>
        <v>34233.81</v>
      </c>
      <c r="L535" s="135">
        <f>ROUND('[7]2039'!L49,2)</f>
        <v>38473.75</v>
      </c>
      <c r="M535" s="135">
        <f>ROUND('[7]2039'!M49,2)</f>
        <v>42671.9</v>
      </c>
      <c r="N535" s="135">
        <f>ROUND('[7]2039'!N49,2)</f>
        <v>44894.3</v>
      </c>
      <c r="O535" s="135">
        <f>ROUND('[7]2039'!O49,2)</f>
        <v>47424.12</v>
      </c>
      <c r="P535" s="135">
        <f>ROUND('[7]2039'!P49,2)</f>
        <v>49127.28</v>
      </c>
      <c r="Q535" s="135">
        <f>ROUND('[7]2039'!Q49,2)</f>
        <v>47398.12</v>
      </c>
      <c r="R535" s="135">
        <f>ROUND('[7]2039'!R49,2)</f>
        <v>49074.23</v>
      </c>
      <c r="S535" s="135">
        <f>ROUND('[7]2039'!S49,2)</f>
        <v>51451.09</v>
      </c>
      <c r="T535" s="135">
        <f>ROUND('[7]2039'!T49,2)</f>
        <v>51515.55</v>
      </c>
      <c r="U535" s="135">
        <f>ROUND('[7]2039'!U49,2)</f>
        <v>50346.21</v>
      </c>
      <c r="V535" s="135">
        <f>ROUND('[7]2039'!V49,2)</f>
        <v>48892.47</v>
      </c>
      <c r="W535" s="135">
        <f>ROUND('[7]2039'!W49,2)</f>
        <v>51750.61</v>
      </c>
      <c r="X535" s="135">
        <f>ROUND('[7]2039'!X49,2)</f>
        <v>51368.4</v>
      </c>
      <c r="Y535" s="135">
        <f>ROUND('[7]2039'!Y49,2)</f>
        <v>50043.23</v>
      </c>
      <c r="Z535" s="135">
        <f>ROUND('[7]2039'!Z49,2)</f>
        <v>47679.1</v>
      </c>
      <c r="AA535" s="135">
        <f>ROUND('[7]2039'!AA49,2)</f>
        <v>43771.64</v>
      </c>
      <c r="AB535" s="135">
        <f>ROUND('[7]2039'!AB49,2)</f>
        <v>39845.120000000003</v>
      </c>
      <c r="AC535" s="282"/>
      <c r="AD535" s="187"/>
    </row>
    <row r="536" spans="2:30" s="188" customFormat="1" ht="18.649999999999999" hidden="1" customHeight="1" thickBot="1" x14ac:dyDescent="0.4">
      <c r="B536" s="261"/>
      <c r="C536" s="16" t="s">
        <v>32</v>
      </c>
      <c r="D536" s="17">
        <f>+'[7]2039'!D50</f>
        <v>0</v>
      </c>
      <c r="E536" s="199">
        <f>ROUND('[7]2039'!E50,2)</f>
        <v>0</v>
      </c>
      <c r="F536" s="115">
        <f>ROUND('[7]2039'!F50,2)</f>
        <v>0</v>
      </c>
      <c r="G536" s="115">
        <f>ROUND('[7]2039'!G50,2)</f>
        <v>0</v>
      </c>
      <c r="H536" s="115">
        <f>ROUND('[7]2039'!H50,2)</f>
        <v>0</v>
      </c>
      <c r="I536" s="115">
        <f>ROUND('[7]2039'!I50,2)</f>
        <v>0</v>
      </c>
      <c r="J536" s="115">
        <f>ROUND('[7]2039'!J50,2)</f>
        <v>0</v>
      </c>
      <c r="K536" s="115">
        <f>ROUND('[7]2039'!K50,2)</f>
        <v>0</v>
      </c>
      <c r="L536" s="115">
        <f>ROUND('[7]2039'!L50,2)</f>
        <v>0</v>
      </c>
      <c r="M536" s="115">
        <f>ROUND('[7]2039'!M50,2)</f>
        <v>0</v>
      </c>
      <c r="N536" s="115">
        <f>ROUND('[7]2039'!N50,2)</f>
        <v>0</v>
      </c>
      <c r="O536" s="115">
        <f>ROUND('[7]2039'!O50,2)</f>
        <v>0</v>
      </c>
      <c r="P536" s="115">
        <f>ROUND('[7]2039'!P50,2)</f>
        <v>0</v>
      </c>
      <c r="Q536" s="115">
        <f>ROUND('[7]2039'!Q50,2)</f>
        <v>0</v>
      </c>
      <c r="R536" s="115">
        <f>ROUND('[7]2039'!R50,2)</f>
        <v>0</v>
      </c>
      <c r="S536" s="115">
        <f>ROUND('[7]2039'!S50,2)</f>
        <v>0</v>
      </c>
      <c r="T536" s="115">
        <f>ROUND('[7]2039'!T50,2)</f>
        <v>0</v>
      </c>
      <c r="U536" s="115">
        <f>ROUND('[7]2039'!U50,2)</f>
        <v>0</v>
      </c>
      <c r="V536" s="115">
        <f>ROUND('[7]2039'!V50,2)</f>
        <v>0</v>
      </c>
      <c r="W536" s="115">
        <f>ROUND('[7]2039'!W50,2)</f>
        <v>0</v>
      </c>
      <c r="X536" s="115">
        <f>ROUND('[7]2039'!X50,2)</f>
        <v>0</v>
      </c>
      <c r="Y536" s="115">
        <f>ROUND('[7]2039'!Y50,2)</f>
        <v>0</v>
      </c>
      <c r="Z536" s="115">
        <f>ROUND('[7]2039'!Z50,2)</f>
        <v>0</v>
      </c>
      <c r="AA536" s="115">
        <f>ROUND('[7]2039'!AA50,2)</f>
        <v>0</v>
      </c>
      <c r="AB536" s="115">
        <f>ROUND('[7]2039'!AB50,2)</f>
        <v>0</v>
      </c>
      <c r="AC536" s="282"/>
      <c r="AD536" s="187"/>
    </row>
    <row r="537" spans="2:30" s="188" customFormat="1" ht="18.649999999999999" hidden="1" customHeight="1" x14ac:dyDescent="0.35">
      <c r="B537" s="263">
        <v>51044</v>
      </c>
      <c r="C537" s="7" t="s">
        <v>29</v>
      </c>
      <c r="D537" s="8">
        <f>+'[7]2039'!D51</f>
        <v>20</v>
      </c>
      <c r="E537" s="134">
        <f>ROUND('[7]2039'!E51,2)</f>
        <v>36718.94</v>
      </c>
      <c r="F537" s="134">
        <f>ROUND('[7]2039'!F51,2)</f>
        <v>34862.14</v>
      </c>
      <c r="G537" s="134">
        <f>ROUND('[7]2039'!G51,2)</f>
        <v>33384.22</v>
      </c>
      <c r="H537" s="134">
        <f>ROUND('[7]2039'!H51,2)</f>
        <v>32162.58</v>
      </c>
      <c r="I537" s="134">
        <f>ROUND('[7]2039'!I51,2)</f>
        <v>31699.040000000001</v>
      </c>
      <c r="J537" s="134">
        <f>ROUND('[7]2039'!J51,2)</f>
        <v>31441.63</v>
      </c>
      <c r="K537" s="134">
        <f>ROUND('[7]2039'!K51,2)</f>
        <v>32105.32</v>
      </c>
      <c r="L537" s="134">
        <f>ROUND('[7]2039'!L51,2)</f>
        <v>36133.54</v>
      </c>
      <c r="M537" s="134">
        <f>ROUND('[7]2039'!M51,2)</f>
        <v>40250.86</v>
      </c>
      <c r="N537" s="134">
        <f>ROUND('[7]2039'!N51,2)</f>
        <v>42640.97</v>
      </c>
      <c r="O537" s="134">
        <f>ROUND('[7]2039'!O51,2)</f>
        <v>44843.78</v>
      </c>
      <c r="P537" s="134">
        <f>ROUND('[7]2039'!P51,2)</f>
        <v>45999.24</v>
      </c>
      <c r="Q537" s="134">
        <f>ROUND('[7]2039'!Q51,2)</f>
        <v>45181.72</v>
      </c>
      <c r="R537" s="134">
        <f>ROUND('[7]2039'!R51,2)</f>
        <v>44646.48</v>
      </c>
      <c r="S537" s="134">
        <f>ROUND('[7]2039'!S51,2)</f>
        <v>44830.31</v>
      </c>
      <c r="T537" s="134">
        <f>ROUND('[7]2039'!T51,2)</f>
        <v>44741.85</v>
      </c>
      <c r="U537" s="134">
        <f>ROUND('[7]2039'!U51,2)</f>
        <v>44166.48</v>
      </c>
      <c r="V537" s="134">
        <f>ROUND('[7]2039'!V51,2)</f>
        <v>45314.74</v>
      </c>
      <c r="W537" s="134">
        <f>ROUND('[7]2039'!W51,2)</f>
        <v>49445.94</v>
      </c>
      <c r="X537" s="134">
        <f>ROUND('[7]2039'!X51,2)</f>
        <v>48619.74</v>
      </c>
      <c r="Y537" s="134">
        <f>ROUND('[7]2039'!Y51,2)</f>
        <v>46899.56</v>
      </c>
      <c r="Z537" s="134">
        <f>ROUND('[7]2039'!Z51,2)</f>
        <v>44713.43</v>
      </c>
      <c r="AA537" s="134">
        <f>ROUND('[7]2039'!AA51,2)</f>
        <v>42106.04</v>
      </c>
      <c r="AB537" s="134">
        <f>ROUND('[7]2039'!AB51,2)</f>
        <v>39318.03</v>
      </c>
      <c r="AC537" s="283">
        <f>SUM(E537:AB537)*D537+SUM(E538:AB538)*D538+SUM(E539:AB539)*D539+SUM(E540:AB540)*D540</f>
        <v>29975324.750000004</v>
      </c>
      <c r="AD537" s="187"/>
    </row>
    <row r="538" spans="2:30" s="188" customFormat="1" ht="18.649999999999999" hidden="1" customHeight="1" x14ac:dyDescent="0.35">
      <c r="B538" s="264" t="s">
        <v>34</v>
      </c>
      <c r="C538" s="10" t="s">
        <v>30</v>
      </c>
      <c r="D538" s="11">
        <f>+'[7]2039'!D52</f>
        <v>5</v>
      </c>
      <c r="E538" s="135">
        <f>ROUND('[7]2039'!E52,2)</f>
        <v>34128.910000000003</v>
      </c>
      <c r="F538" s="135">
        <f>ROUND('[7]2039'!F52,2)</f>
        <v>32443.18</v>
      </c>
      <c r="G538" s="135">
        <f>ROUND('[7]2039'!G52,2)</f>
        <v>31195.919999999998</v>
      </c>
      <c r="H538" s="135">
        <f>ROUND('[7]2039'!H52,2)</f>
        <v>30448.37</v>
      </c>
      <c r="I538" s="135">
        <f>ROUND('[7]2039'!I52,2)</f>
        <v>30552.93</v>
      </c>
      <c r="J538" s="135">
        <f>ROUND('[7]2039'!J52,2)</f>
        <v>31148.23</v>
      </c>
      <c r="K538" s="135">
        <f>ROUND('[7]2039'!K52,2)</f>
        <v>31712.73</v>
      </c>
      <c r="L538" s="135">
        <f>ROUND('[7]2039'!L52,2)</f>
        <v>35423.760000000002</v>
      </c>
      <c r="M538" s="135">
        <f>ROUND('[7]2039'!M52,2)</f>
        <v>39128.44</v>
      </c>
      <c r="N538" s="135">
        <f>ROUND('[7]2039'!N52,2)</f>
        <v>41299.35</v>
      </c>
      <c r="O538" s="135">
        <f>ROUND('[7]2039'!O52,2)</f>
        <v>43291.28</v>
      </c>
      <c r="P538" s="135">
        <f>ROUND('[7]2039'!P52,2)</f>
        <v>44777.09</v>
      </c>
      <c r="Q538" s="135">
        <f>ROUND('[7]2039'!Q52,2)</f>
        <v>43517.05</v>
      </c>
      <c r="R538" s="135">
        <f>ROUND('[7]2039'!R52,2)</f>
        <v>44087.9</v>
      </c>
      <c r="S538" s="135">
        <f>ROUND('[7]2039'!S52,2)</f>
        <v>45388.08</v>
      </c>
      <c r="T538" s="135">
        <f>ROUND('[7]2039'!T52,2)</f>
        <v>45511.65</v>
      </c>
      <c r="U538" s="135">
        <f>ROUND('[7]2039'!U52,2)</f>
        <v>44921.66</v>
      </c>
      <c r="V538" s="135">
        <f>ROUND('[7]2039'!V52,2)</f>
        <v>45737.81</v>
      </c>
      <c r="W538" s="135">
        <f>ROUND('[7]2039'!W52,2)</f>
        <v>48894.19</v>
      </c>
      <c r="X538" s="135">
        <f>ROUND('[7]2039'!X52,2)</f>
        <v>47943.78</v>
      </c>
      <c r="Y538" s="135">
        <f>ROUND('[7]2039'!Y52,2)</f>
        <v>46080.71</v>
      </c>
      <c r="Z538" s="135">
        <f>ROUND('[7]2039'!Z52,2)</f>
        <v>43515.58</v>
      </c>
      <c r="AA538" s="135">
        <f>ROUND('[7]2039'!AA52,2)</f>
        <v>40170.699999999997</v>
      </c>
      <c r="AB538" s="135">
        <f>ROUND('[7]2039'!AB52,2)</f>
        <v>36818.25</v>
      </c>
      <c r="AC538" s="282"/>
      <c r="AD538" s="187"/>
    </row>
    <row r="539" spans="2:30" s="188" customFormat="1" ht="18.649999999999999" hidden="1" customHeight="1" x14ac:dyDescent="0.35">
      <c r="B539" s="264" t="s">
        <v>34</v>
      </c>
      <c r="C539" s="10" t="s">
        <v>31</v>
      </c>
      <c r="D539" s="11">
        <f>+'[7]2039'!D53</f>
        <v>5</v>
      </c>
      <c r="E539" s="135">
        <f>ROUND('[7]2039'!E53,2)</f>
        <v>34493.800000000003</v>
      </c>
      <c r="F539" s="135">
        <f>ROUND('[7]2039'!F53,2)</f>
        <v>33033.43</v>
      </c>
      <c r="G539" s="135">
        <f>ROUND('[7]2039'!G53,2)</f>
        <v>31871.91</v>
      </c>
      <c r="H539" s="135">
        <f>ROUND('[7]2039'!H53,2)</f>
        <v>31157.11</v>
      </c>
      <c r="I539" s="135">
        <f>ROUND('[7]2039'!I53,2)</f>
        <v>30908.95</v>
      </c>
      <c r="J539" s="135">
        <f>ROUND('[7]2039'!J53,2)</f>
        <v>30421.82</v>
      </c>
      <c r="K539" s="135">
        <f>ROUND('[7]2039'!K53,2)</f>
        <v>29698.14</v>
      </c>
      <c r="L539" s="135">
        <f>ROUND('[7]2039'!L53,2)</f>
        <v>32032.77</v>
      </c>
      <c r="M539" s="135">
        <f>ROUND('[7]2039'!M53,2)</f>
        <v>33969.58</v>
      </c>
      <c r="N539" s="135">
        <f>ROUND('[7]2039'!N53,2)</f>
        <v>36668.959999999999</v>
      </c>
      <c r="O539" s="135">
        <f>ROUND('[7]2039'!O53,2)</f>
        <v>38775.699999999997</v>
      </c>
      <c r="P539" s="135">
        <f>ROUND('[7]2039'!P53,2)</f>
        <v>40441.94</v>
      </c>
      <c r="Q539" s="135">
        <f>ROUND('[7]2039'!Q53,2)</f>
        <v>41287.42</v>
      </c>
      <c r="R539" s="135">
        <f>ROUND('[7]2039'!R53,2)</f>
        <v>41304.93</v>
      </c>
      <c r="S539" s="135">
        <f>ROUND('[7]2039'!S53,2)</f>
        <v>41373.19</v>
      </c>
      <c r="T539" s="135">
        <f>ROUND('[7]2039'!T53,2)</f>
        <v>41477.379999999997</v>
      </c>
      <c r="U539" s="135">
        <f>ROUND('[7]2039'!U53,2)</f>
        <v>41102.720000000001</v>
      </c>
      <c r="V539" s="135">
        <f>ROUND('[7]2039'!V53,2)</f>
        <v>42848.61</v>
      </c>
      <c r="W539" s="135">
        <f>ROUND('[7]2039'!W53,2)</f>
        <v>47742.22</v>
      </c>
      <c r="X539" s="135">
        <f>ROUND('[7]2039'!X53,2)</f>
        <v>48326.71</v>
      </c>
      <c r="Y539" s="135">
        <f>ROUND('[7]2039'!Y53,2)</f>
        <v>47567.46</v>
      </c>
      <c r="Z539" s="135">
        <f>ROUND('[7]2039'!Z53,2)</f>
        <v>45772.57</v>
      </c>
      <c r="AA539" s="135">
        <f>ROUND('[7]2039'!AA53,2)</f>
        <v>42361.04</v>
      </c>
      <c r="AB539" s="135">
        <f>ROUND('[7]2039'!AB53,2)</f>
        <v>38712.54</v>
      </c>
      <c r="AC539" s="282"/>
      <c r="AD539" s="187"/>
    </row>
    <row r="540" spans="2:30" s="188" customFormat="1" ht="18.649999999999999" hidden="1" customHeight="1" thickBot="1" x14ac:dyDescent="0.4">
      <c r="B540" s="265" t="s">
        <v>34</v>
      </c>
      <c r="C540" s="12" t="s">
        <v>32</v>
      </c>
      <c r="D540" s="13">
        <f>+'[7]2039'!D54</f>
        <v>1</v>
      </c>
      <c r="E540" s="132">
        <f>ROUND('[7]2039'!E54,2)</f>
        <v>34493.800000000003</v>
      </c>
      <c r="F540" s="132">
        <f>ROUND('[7]2039'!F54,2)</f>
        <v>33033.43</v>
      </c>
      <c r="G540" s="132">
        <f>ROUND('[7]2039'!G54,2)</f>
        <v>31871.91</v>
      </c>
      <c r="H540" s="132">
        <f>ROUND('[7]2039'!H54,2)</f>
        <v>31157.11</v>
      </c>
      <c r="I540" s="132">
        <f>ROUND('[7]2039'!I54,2)</f>
        <v>30908.95</v>
      </c>
      <c r="J540" s="132">
        <f>ROUND('[7]2039'!J54,2)</f>
        <v>30421.82</v>
      </c>
      <c r="K540" s="132">
        <f>ROUND('[7]2039'!K54,2)</f>
        <v>29698.14</v>
      </c>
      <c r="L540" s="132">
        <f>ROUND('[7]2039'!L54,2)</f>
        <v>32032.77</v>
      </c>
      <c r="M540" s="132">
        <f>ROUND('[7]2039'!M54,2)</f>
        <v>33969.58</v>
      </c>
      <c r="N540" s="132">
        <f>ROUND('[7]2039'!N54,2)</f>
        <v>36668.959999999999</v>
      </c>
      <c r="O540" s="132">
        <f>ROUND('[7]2039'!O54,2)</f>
        <v>38775.699999999997</v>
      </c>
      <c r="P540" s="132">
        <f>ROUND('[7]2039'!P54,2)</f>
        <v>40441.94</v>
      </c>
      <c r="Q540" s="132">
        <f>ROUND('[7]2039'!Q54,2)</f>
        <v>41287.42</v>
      </c>
      <c r="R540" s="132">
        <f>ROUND('[7]2039'!R54,2)</f>
        <v>41304.93</v>
      </c>
      <c r="S540" s="132">
        <f>ROUND('[7]2039'!S54,2)</f>
        <v>41373.19</v>
      </c>
      <c r="T540" s="132">
        <f>ROUND('[7]2039'!T54,2)</f>
        <v>41477.379999999997</v>
      </c>
      <c r="U540" s="132">
        <f>ROUND('[7]2039'!U54,2)</f>
        <v>41102.720000000001</v>
      </c>
      <c r="V540" s="132">
        <f>ROUND('[7]2039'!V54,2)</f>
        <v>42848.61</v>
      </c>
      <c r="W540" s="132">
        <f>ROUND('[7]2039'!W54,2)</f>
        <v>47742.22</v>
      </c>
      <c r="X540" s="132">
        <f>ROUND('[7]2039'!X54,2)</f>
        <v>48326.71</v>
      </c>
      <c r="Y540" s="132">
        <f>ROUND('[7]2039'!Y54,2)</f>
        <v>47567.46</v>
      </c>
      <c r="Z540" s="132">
        <f>ROUND('[7]2039'!Z54,2)</f>
        <v>45772.57</v>
      </c>
      <c r="AA540" s="132">
        <f>ROUND('[7]2039'!AA54,2)</f>
        <v>42361.04</v>
      </c>
      <c r="AB540" s="132">
        <f>ROUND('[7]2039'!AB54,2)</f>
        <v>38712.54</v>
      </c>
      <c r="AC540" s="284"/>
      <c r="AD540" s="187"/>
    </row>
    <row r="541" spans="2:30" s="188" customFormat="1" ht="18.649999999999999" hidden="1" customHeight="1" x14ac:dyDescent="0.35">
      <c r="B541" s="260">
        <v>51075</v>
      </c>
      <c r="C541" s="14" t="s">
        <v>29</v>
      </c>
      <c r="D541" s="15">
        <f>+'[7]2039'!D55</f>
        <v>20</v>
      </c>
      <c r="E541" s="137">
        <f>ROUND('[7]2039'!E55,2)</f>
        <v>36173.33</v>
      </c>
      <c r="F541" s="137">
        <f>ROUND('[7]2039'!F55,2)</f>
        <v>34403.71</v>
      </c>
      <c r="G541" s="137">
        <f>ROUND('[7]2039'!G55,2)</f>
        <v>33125.56</v>
      </c>
      <c r="H541" s="137">
        <f>ROUND('[7]2039'!H55,2)</f>
        <v>32288.73</v>
      </c>
      <c r="I541" s="137">
        <f>ROUND('[7]2039'!I55,2)</f>
        <v>32296.2</v>
      </c>
      <c r="J541" s="137">
        <f>ROUND('[7]2039'!J55,2)</f>
        <v>32564.86</v>
      </c>
      <c r="K541" s="137">
        <f>ROUND('[7]2039'!K55,2)</f>
        <v>32790.17</v>
      </c>
      <c r="L541" s="137">
        <f>ROUND('[7]2039'!L55,2)</f>
        <v>36902.17</v>
      </c>
      <c r="M541" s="137">
        <f>ROUND('[7]2039'!M55,2)</f>
        <v>41290.949999999997</v>
      </c>
      <c r="N541" s="137">
        <f>ROUND('[7]2039'!N55,2)</f>
        <v>44085.14</v>
      </c>
      <c r="O541" s="137">
        <f>ROUND('[7]2039'!O55,2)</f>
        <v>46194.89</v>
      </c>
      <c r="P541" s="137">
        <f>ROUND('[7]2039'!P55,2)</f>
        <v>47301.49</v>
      </c>
      <c r="Q541" s="137">
        <f>ROUND('[7]2039'!Q55,2)</f>
        <v>46352.1</v>
      </c>
      <c r="R541" s="137">
        <f>ROUND('[7]2039'!R55,2)</f>
        <v>45544.26</v>
      </c>
      <c r="S541" s="137">
        <f>ROUND('[7]2039'!S55,2)</f>
        <v>45431.199999999997</v>
      </c>
      <c r="T541" s="137">
        <f>ROUND('[7]2039'!T55,2)</f>
        <v>45323.040000000001</v>
      </c>
      <c r="U541" s="137">
        <f>ROUND('[7]2039'!U55,2)</f>
        <v>44859.05</v>
      </c>
      <c r="V541" s="137">
        <f>ROUND('[7]2039'!V55,2)</f>
        <v>46354.69</v>
      </c>
      <c r="W541" s="137">
        <f>ROUND('[7]2039'!W55,2)</f>
        <v>50447.74</v>
      </c>
      <c r="X541" s="137">
        <f>ROUND('[7]2039'!X55,2)</f>
        <v>49385.4</v>
      </c>
      <c r="Y541" s="137">
        <f>ROUND('[7]2039'!Y55,2)</f>
        <v>47381.84</v>
      </c>
      <c r="Z541" s="137">
        <f>ROUND('[7]2039'!Z55,2)</f>
        <v>45115.17</v>
      </c>
      <c r="AA541" s="137">
        <f>ROUND('[7]2039'!AA55,2)</f>
        <v>42308.41</v>
      </c>
      <c r="AB541" s="137">
        <f>ROUND('[7]2039'!AB55,2)</f>
        <v>39264.269999999997</v>
      </c>
      <c r="AC541" s="282">
        <f>SUM(E541:AB541)*D541+SUM(E542:AB542)*D542+SUM(E543:AB543)*D543+SUM(E544:AB544)*D544</f>
        <v>29619598.380000003</v>
      </c>
      <c r="AD541" s="187"/>
    </row>
    <row r="542" spans="2:30" s="188" customFormat="1" ht="18.649999999999999" hidden="1" customHeight="1" x14ac:dyDescent="0.35">
      <c r="B542" s="261"/>
      <c r="C542" s="10" t="s">
        <v>30</v>
      </c>
      <c r="D542" s="11">
        <f>+'[7]2039'!D56</f>
        <v>4</v>
      </c>
      <c r="E542" s="135">
        <f>ROUND('[7]2039'!E56,2)</f>
        <v>39421.910000000003</v>
      </c>
      <c r="F542" s="135">
        <f>ROUND('[7]2039'!F56,2)</f>
        <v>37426.480000000003</v>
      </c>
      <c r="G542" s="135">
        <f>ROUND('[7]2039'!G56,2)</f>
        <v>35952</v>
      </c>
      <c r="H542" s="135">
        <f>ROUND('[7]2039'!H56,2)</f>
        <v>34937.79</v>
      </c>
      <c r="I542" s="135">
        <f>ROUND('[7]2039'!I56,2)</f>
        <v>34723</v>
      </c>
      <c r="J542" s="135">
        <f>ROUND('[7]2039'!J56,2)</f>
        <v>34964.26</v>
      </c>
      <c r="K542" s="135">
        <f>ROUND('[7]2039'!K56,2)</f>
        <v>34776.589999999997</v>
      </c>
      <c r="L542" s="135">
        <f>ROUND('[7]2039'!L56,2)</f>
        <v>38738.629999999997</v>
      </c>
      <c r="M542" s="135">
        <f>ROUND('[7]2039'!M56,2)</f>
        <v>42858.29</v>
      </c>
      <c r="N542" s="135">
        <f>ROUND('[7]2039'!N56,2)</f>
        <v>45245.57</v>
      </c>
      <c r="O542" s="135">
        <f>ROUND('[7]2039'!O56,2)</f>
        <v>47352.47</v>
      </c>
      <c r="P542" s="135">
        <f>ROUND('[7]2039'!P56,2)</f>
        <v>48995.6</v>
      </c>
      <c r="Q542" s="135">
        <f>ROUND('[7]2039'!Q56,2)</f>
        <v>47939.1</v>
      </c>
      <c r="R542" s="135">
        <f>ROUND('[7]2039'!R56,2)</f>
        <v>48438.52</v>
      </c>
      <c r="S542" s="135">
        <f>ROUND('[7]2039'!S56,2)</f>
        <v>49822.6</v>
      </c>
      <c r="T542" s="135">
        <f>ROUND('[7]2039'!T56,2)</f>
        <v>49900.74</v>
      </c>
      <c r="U542" s="135">
        <f>ROUND('[7]2039'!U56,2)</f>
        <v>49109.88</v>
      </c>
      <c r="V542" s="135">
        <f>ROUND('[7]2039'!V56,2)</f>
        <v>49237.48</v>
      </c>
      <c r="W542" s="135">
        <f>ROUND('[7]2039'!W56,2)</f>
        <v>53377.52</v>
      </c>
      <c r="X542" s="135">
        <f>ROUND('[7]2039'!X56,2)</f>
        <v>52521.94</v>
      </c>
      <c r="Y542" s="135">
        <f>ROUND('[7]2039'!Y56,2)</f>
        <v>50827.839999999997</v>
      </c>
      <c r="Z542" s="135">
        <f>ROUND('[7]2039'!Z56,2)</f>
        <v>48582.84</v>
      </c>
      <c r="AA542" s="135">
        <f>ROUND('[7]2039'!AA56,2)</f>
        <v>45572.65</v>
      </c>
      <c r="AB542" s="135">
        <f>ROUND('[7]2039'!AB56,2)</f>
        <v>42191.39</v>
      </c>
      <c r="AC542" s="282"/>
      <c r="AD542" s="187"/>
    </row>
    <row r="543" spans="2:30" s="188" customFormat="1" ht="18.649999999999999" hidden="1" customHeight="1" x14ac:dyDescent="0.35">
      <c r="B543" s="261"/>
      <c r="C543" s="10" t="s">
        <v>31</v>
      </c>
      <c r="D543" s="11">
        <f>+'[7]2039'!D57</f>
        <v>4</v>
      </c>
      <c r="E543" s="135">
        <f>ROUND('[7]2039'!E57,2)</f>
        <v>36351.03</v>
      </c>
      <c r="F543" s="135">
        <f>ROUND('[7]2039'!F57,2)</f>
        <v>34419.64</v>
      </c>
      <c r="G543" s="135">
        <f>ROUND('[7]2039'!G57,2)</f>
        <v>32953.49</v>
      </c>
      <c r="H543" s="135">
        <f>ROUND('[7]2039'!H57,2)</f>
        <v>31827.37</v>
      </c>
      <c r="I543" s="135">
        <f>ROUND('[7]2039'!I57,2)</f>
        <v>31445.81</v>
      </c>
      <c r="J543" s="135">
        <f>ROUND('[7]2039'!J57,2)</f>
        <v>30966.26</v>
      </c>
      <c r="K543" s="135">
        <f>ROUND('[7]2039'!K57,2)</f>
        <v>30097.119999999999</v>
      </c>
      <c r="L543" s="135">
        <f>ROUND('[7]2039'!L57,2)</f>
        <v>32079.56</v>
      </c>
      <c r="M543" s="135">
        <f>ROUND('[7]2039'!M57,2)</f>
        <v>34459.82</v>
      </c>
      <c r="N543" s="135">
        <f>ROUND('[7]2039'!N57,2)</f>
        <v>36318.019999999997</v>
      </c>
      <c r="O543" s="135">
        <f>ROUND('[7]2039'!O57,2)</f>
        <v>37840.089999999997</v>
      </c>
      <c r="P543" s="135">
        <f>ROUND('[7]2039'!P57,2)</f>
        <v>39189.25</v>
      </c>
      <c r="Q543" s="135">
        <f>ROUND('[7]2039'!Q57,2)</f>
        <v>39610.25</v>
      </c>
      <c r="R543" s="135">
        <f>ROUND('[7]2039'!R57,2)</f>
        <v>39811.03</v>
      </c>
      <c r="S543" s="135">
        <f>ROUND('[7]2039'!S57,2)</f>
        <v>39238.910000000003</v>
      </c>
      <c r="T543" s="135">
        <f>ROUND('[7]2039'!T57,2)</f>
        <v>39279.019999999997</v>
      </c>
      <c r="U543" s="135">
        <f>ROUND('[7]2039'!U57,2)</f>
        <v>39374.339999999997</v>
      </c>
      <c r="V543" s="135">
        <f>ROUND('[7]2039'!V57,2)</f>
        <v>41853.160000000003</v>
      </c>
      <c r="W543" s="135">
        <f>ROUND('[7]2039'!W57,2)</f>
        <v>46701.2</v>
      </c>
      <c r="X543" s="135">
        <f>ROUND('[7]2039'!X57,2)</f>
        <v>46874.32</v>
      </c>
      <c r="Y543" s="135">
        <f>ROUND('[7]2039'!Y57,2)</f>
        <v>45416.41</v>
      </c>
      <c r="Z543" s="135">
        <f>ROUND('[7]2039'!Z57,2)</f>
        <v>42692.01</v>
      </c>
      <c r="AA543" s="135">
        <f>ROUND('[7]2039'!AA57,2)</f>
        <v>39244.99</v>
      </c>
      <c r="AB543" s="135">
        <f>ROUND('[7]2039'!AB57,2)</f>
        <v>35998.67</v>
      </c>
      <c r="AC543" s="282"/>
      <c r="AD543" s="187"/>
    </row>
    <row r="544" spans="2:30" s="188" customFormat="1" ht="18.649999999999999" hidden="1" customHeight="1" thickBot="1" x14ac:dyDescent="0.4">
      <c r="B544" s="261"/>
      <c r="C544" s="16" t="s">
        <v>32</v>
      </c>
      <c r="D544" s="17">
        <f>+'[7]2039'!D58</f>
        <v>2</v>
      </c>
      <c r="E544" s="136">
        <f>ROUND('[7]2039'!E58,2)</f>
        <v>36351.03</v>
      </c>
      <c r="F544" s="136">
        <f>ROUND('[7]2039'!F58,2)</f>
        <v>34419.64</v>
      </c>
      <c r="G544" s="136">
        <f>ROUND('[7]2039'!G58,2)</f>
        <v>32953.49</v>
      </c>
      <c r="H544" s="136">
        <f>ROUND('[7]2039'!H58,2)</f>
        <v>31827.37</v>
      </c>
      <c r="I544" s="136">
        <f>ROUND('[7]2039'!I58,2)</f>
        <v>31445.81</v>
      </c>
      <c r="J544" s="136">
        <f>ROUND('[7]2039'!J58,2)</f>
        <v>30966.26</v>
      </c>
      <c r="K544" s="136">
        <f>ROUND('[7]2039'!K58,2)</f>
        <v>30097.119999999999</v>
      </c>
      <c r="L544" s="136">
        <f>ROUND('[7]2039'!L58,2)</f>
        <v>32079.56</v>
      </c>
      <c r="M544" s="136">
        <f>ROUND('[7]2039'!M58,2)</f>
        <v>34459.82</v>
      </c>
      <c r="N544" s="136">
        <f>ROUND('[7]2039'!N58,2)</f>
        <v>36318.019999999997</v>
      </c>
      <c r="O544" s="136">
        <f>ROUND('[7]2039'!O58,2)</f>
        <v>37840.089999999997</v>
      </c>
      <c r="P544" s="136">
        <f>ROUND('[7]2039'!P58,2)</f>
        <v>39189.25</v>
      </c>
      <c r="Q544" s="136">
        <f>ROUND('[7]2039'!Q58,2)</f>
        <v>39610.25</v>
      </c>
      <c r="R544" s="136">
        <f>ROUND('[7]2039'!R58,2)</f>
        <v>39811.03</v>
      </c>
      <c r="S544" s="136">
        <f>ROUND('[7]2039'!S58,2)</f>
        <v>39238.910000000003</v>
      </c>
      <c r="T544" s="136">
        <f>ROUND('[7]2039'!T58,2)</f>
        <v>39279.019999999997</v>
      </c>
      <c r="U544" s="136">
        <f>ROUND('[7]2039'!U58,2)</f>
        <v>39374.339999999997</v>
      </c>
      <c r="V544" s="136">
        <f>ROUND('[7]2039'!V58,2)</f>
        <v>41853.160000000003</v>
      </c>
      <c r="W544" s="136">
        <f>ROUND('[7]2039'!W58,2)</f>
        <v>46701.2</v>
      </c>
      <c r="X544" s="136">
        <f>ROUND('[7]2039'!X58,2)</f>
        <v>46874.32</v>
      </c>
      <c r="Y544" s="136">
        <f>ROUND('[7]2039'!Y58,2)</f>
        <v>45416.41</v>
      </c>
      <c r="Z544" s="136">
        <f>ROUND('[7]2039'!Z58,2)</f>
        <v>42692.01</v>
      </c>
      <c r="AA544" s="136">
        <f>ROUND('[7]2039'!AA58,2)</f>
        <v>39244.99</v>
      </c>
      <c r="AB544" s="136">
        <f>ROUND('[7]2039'!AB58,2)</f>
        <v>35998.67</v>
      </c>
      <c r="AC544" s="282"/>
      <c r="AD544" s="187"/>
    </row>
    <row r="545" spans="2:50" s="188" customFormat="1" ht="18.649999999999999" hidden="1" customHeight="1" x14ac:dyDescent="0.35">
      <c r="B545" s="263">
        <v>51105</v>
      </c>
      <c r="C545" s="7" t="s">
        <v>29</v>
      </c>
      <c r="D545" s="8">
        <f>+'[7]2039'!D59</f>
        <v>21</v>
      </c>
      <c r="E545" s="134">
        <f>ROUND('[7]2039'!E59,2)</f>
        <v>38026.699999999997</v>
      </c>
      <c r="F545" s="134">
        <f>ROUND('[7]2039'!F59,2)</f>
        <v>36019.89</v>
      </c>
      <c r="G545" s="134">
        <f>ROUND('[7]2039'!G59,2)</f>
        <v>34502.97</v>
      </c>
      <c r="H545" s="134">
        <f>ROUND('[7]2039'!H59,2)</f>
        <v>33448.589999999997</v>
      </c>
      <c r="I545" s="134">
        <f>ROUND('[7]2039'!I59,2)</f>
        <v>33216.910000000003</v>
      </c>
      <c r="J545" s="134">
        <f>ROUND('[7]2039'!J59,2)</f>
        <v>33385.65</v>
      </c>
      <c r="K545" s="134">
        <f>ROUND('[7]2039'!K59,2)</f>
        <v>32998.67</v>
      </c>
      <c r="L545" s="134">
        <f>ROUND('[7]2039'!L59,2)</f>
        <v>36538.44</v>
      </c>
      <c r="M545" s="134">
        <f>ROUND('[7]2039'!M59,2)</f>
        <v>40401.71</v>
      </c>
      <c r="N545" s="134">
        <f>ROUND('[7]2039'!N59,2)</f>
        <v>42846</v>
      </c>
      <c r="O545" s="134">
        <f>ROUND('[7]2039'!O59,2)</f>
        <v>44645.03</v>
      </c>
      <c r="P545" s="134">
        <f>ROUND('[7]2039'!P59,2)</f>
        <v>45724.56</v>
      </c>
      <c r="Q545" s="134">
        <f>ROUND('[7]2039'!Q59,2)</f>
        <v>44735.24</v>
      </c>
      <c r="R545" s="134">
        <f>ROUND('[7]2039'!R59,2)</f>
        <v>44025.62</v>
      </c>
      <c r="S545" s="134">
        <f>ROUND('[7]2039'!S59,2)</f>
        <v>44132.639999999999</v>
      </c>
      <c r="T545" s="134">
        <f>ROUND('[7]2039'!T59,2)</f>
        <v>44101.88</v>
      </c>
      <c r="U545" s="134">
        <f>ROUND('[7]2039'!U59,2)</f>
        <v>43555.15</v>
      </c>
      <c r="V545" s="134">
        <f>ROUND('[7]2039'!V59,2)</f>
        <v>44723.27</v>
      </c>
      <c r="W545" s="134">
        <f>ROUND('[7]2039'!W59,2)</f>
        <v>49252.59</v>
      </c>
      <c r="X545" s="134">
        <f>ROUND('[7]2039'!X59,2)</f>
        <v>48179.360000000001</v>
      </c>
      <c r="Y545" s="134">
        <f>ROUND('[7]2039'!Y59,2)</f>
        <v>46107.48</v>
      </c>
      <c r="Z545" s="134">
        <f>ROUND('[7]2039'!Z59,2)</f>
        <v>43838.16</v>
      </c>
      <c r="AA545" s="134">
        <f>ROUND('[7]2039'!AA59,2)</f>
        <v>41636.92</v>
      </c>
      <c r="AB545" s="134">
        <f>ROUND('[7]2039'!AB59,2)</f>
        <v>39170.230000000003</v>
      </c>
      <c r="AC545" s="283">
        <f>SUM(E545:AB545)*D545+SUM(E546:AB546)*D546+SUM(E547:AB547)*D547+SUM(E548:AB548)*D548</f>
        <v>30245181.010000002</v>
      </c>
      <c r="AD545" s="187"/>
    </row>
    <row r="546" spans="2:50" s="188" customFormat="1" ht="18.649999999999999" hidden="1" customHeight="1" x14ac:dyDescent="0.35">
      <c r="B546" s="264" t="s">
        <v>34</v>
      </c>
      <c r="C546" s="10" t="s">
        <v>30</v>
      </c>
      <c r="D546" s="11">
        <f>+'[7]2039'!D60</f>
        <v>5</v>
      </c>
      <c r="E546" s="135">
        <f>ROUND('[7]2039'!E60,2)</f>
        <v>37322.89</v>
      </c>
      <c r="F546" s="135">
        <f>ROUND('[7]2039'!F60,2)</f>
        <v>35438.58</v>
      </c>
      <c r="G546" s="135">
        <f>ROUND('[7]2039'!G60,2)</f>
        <v>34023.47</v>
      </c>
      <c r="H546" s="135">
        <f>ROUND('[7]2039'!H60,2)</f>
        <v>33040.79</v>
      </c>
      <c r="I546" s="135">
        <f>ROUND('[7]2039'!I60,2)</f>
        <v>32932.980000000003</v>
      </c>
      <c r="J546" s="135">
        <f>ROUND('[7]2039'!J60,2)</f>
        <v>33464.050000000003</v>
      </c>
      <c r="K546" s="135">
        <f>ROUND('[7]2039'!K60,2)</f>
        <v>33606.300000000003</v>
      </c>
      <c r="L546" s="135">
        <f>ROUND('[7]2039'!L60,2)</f>
        <v>37293.160000000003</v>
      </c>
      <c r="M546" s="135">
        <f>ROUND('[7]2039'!M60,2)</f>
        <v>41115.699999999997</v>
      </c>
      <c r="N546" s="135">
        <f>ROUND('[7]2039'!N60,2)</f>
        <v>43324.91</v>
      </c>
      <c r="O546" s="135">
        <f>ROUND('[7]2039'!O60,2)</f>
        <v>45483.87</v>
      </c>
      <c r="P546" s="135">
        <f>ROUND('[7]2039'!P60,2)</f>
        <v>47001</v>
      </c>
      <c r="Q546" s="135">
        <f>ROUND('[7]2039'!Q60,2)</f>
        <v>45817.88</v>
      </c>
      <c r="R546" s="135">
        <f>ROUND('[7]2039'!R60,2)</f>
        <v>46727.38</v>
      </c>
      <c r="S546" s="135">
        <f>ROUND('[7]2039'!S60,2)</f>
        <v>48266.69</v>
      </c>
      <c r="T546" s="135">
        <f>ROUND('[7]2039'!T60,2)</f>
        <v>48374.5</v>
      </c>
      <c r="U546" s="135">
        <f>ROUND('[7]2039'!U60,2)</f>
        <v>47542.65</v>
      </c>
      <c r="V546" s="135">
        <f>ROUND('[7]2039'!V60,2)</f>
        <v>46687.09</v>
      </c>
      <c r="W546" s="135">
        <f>ROUND('[7]2039'!W60,2)</f>
        <v>49926.53</v>
      </c>
      <c r="X546" s="135">
        <f>ROUND('[7]2039'!X60,2)</f>
        <v>50226.83</v>
      </c>
      <c r="Y546" s="135">
        <f>ROUND('[7]2039'!Y60,2)</f>
        <v>48962.41</v>
      </c>
      <c r="Z546" s="135">
        <f>ROUND('[7]2039'!Z60,2)</f>
        <v>46839.92</v>
      </c>
      <c r="AA546" s="135">
        <f>ROUND('[7]2039'!AA60,2)</f>
        <v>43587.85</v>
      </c>
      <c r="AB546" s="135">
        <f>ROUND('[7]2039'!AB60,2)</f>
        <v>40109.96</v>
      </c>
      <c r="AC546" s="282"/>
      <c r="AD546" s="187"/>
    </row>
    <row r="547" spans="2:50" s="188" customFormat="1" ht="18.649999999999999" hidden="1" customHeight="1" x14ac:dyDescent="0.35">
      <c r="B547" s="264" t="s">
        <v>34</v>
      </c>
      <c r="C547" s="10" t="s">
        <v>31</v>
      </c>
      <c r="D547" s="11">
        <f>+'[7]2039'!D61</f>
        <v>3</v>
      </c>
      <c r="E547" s="135">
        <f>ROUND('[7]2039'!E61,2)</f>
        <v>37099.379999999997</v>
      </c>
      <c r="F547" s="135">
        <f>ROUND('[7]2039'!F61,2)</f>
        <v>35948.81</v>
      </c>
      <c r="G547" s="135">
        <f>ROUND('[7]2039'!G61,2)</f>
        <v>34860.639999999999</v>
      </c>
      <c r="H547" s="135">
        <f>ROUND('[7]2039'!H61,2)</f>
        <v>33817.54</v>
      </c>
      <c r="I547" s="135">
        <f>ROUND('[7]2039'!I61,2)</f>
        <v>33216.269999999997</v>
      </c>
      <c r="J547" s="135">
        <f>ROUND('[7]2039'!J61,2)</f>
        <v>32346.6</v>
      </c>
      <c r="K547" s="135">
        <f>ROUND('[7]2039'!K61,2)</f>
        <v>30337.45</v>
      </c>
      <c r="L547" s="135">
        <f>ROUND('[7]2039'!L61,2)</f>
        <v>31345.33</v>
      </c>
      <c r="M547" s="135">
        <f>ROUND('[7]2039'!M61,2)</f>
        <v>32983.96</v>
      </c>
      <c r="N547" s="135">
        <f>ROUND('[7]2039'!N61,2)</f>
        <v>34522.42</v>
      </c>
      <c r="O547" s="135">
        <f>ROUND('[7]2039'!O61,2)</f>
        <v>35956.660000000003</v>
      </c>
      <c r="P547" s="135">
        <f>ROUND('[7]2039'!P61,2)</f>
        <v>37175.699999999997</v>
      </c>
      <c r="Q547" s="135">
        <f>ROUND('[7]2039'!Q61,2)</f>
        <v>37842</v>
      </c>
      <c r="R547" s="135">
        <f>ROUND('[7]2039'!R61,2)</f>
        <v>37871.449999999997</v>
      </c>
      <c r="S547" s="135">
        <f>ROUND('[7]2039'!S61,2)</f>
        <v>37700.089999999997</v>
      </c>
      <c r="T547" s="135">
        <f>ROUND('[7]2039'!T61,2)</f>
        <v>37908.519999999997</v>
      </c>
      <c r="U547" s="135">
        <f>ROUND('[7]2039'!U61,2)</f>
        <v>37890.83</v>
      </c>
      <c r="V547" s="135">
        <f>ROUND('[7]2039'!V61,2)</f>
        <v>39115.599999999999</v>
      </c>
      <c r="W547" s="135">
        <f>ROUND('[7]2039'!W61,2)</f>
        <v>44563.94</v>
      </c>
      <c r="X547" s="135">
        <f>ROUND('[7]2039'!X61,2)</f>
        <v>44976.03</v>
      </c>
      <c r="Y547" s="135">
        <f>ROUND('[7]2039'!Y61,2)</f>
        <v>44406.29</v>
      </c>
      <c r="Z547" s="135">
        <f>ROUND('[7]2039'!Z61,2)</f>
        <v>43056.11</v>
      </c>
      <c r="AA547" s="135">
        <f>ROUND('[7]2039'!AA61,2)</f>
        <v>40830.82</v>
      </c>
      <c r="AB547" s="135">
        <f>ROUND('[7]2039'!AB61,2)</f>
        <v>38249</v>
      </c>
      <c r="AC547" s="282"/>
      <c r="AD547" s="187"/>
    </row>
    <row r="548" spans="2:50" s="188" customFormat="1" ht="18.649999999999999" hidden="1" customHeight="1" thickBot="1" x14ac:dyDescent="0.4">
      <c r="B548" s="265" t="s">
        <v>34</v>
      </c>
      <c r="C548" s="12" t="s">
        <v>32</v>
      </c>
      <c r="D548" s="13">
        <f>+'[7]2039'!D62</f>
        <v>2</v>
      </c>
      <c r="E548" s="132">
        <f>ROUND('[7]2039'!E62,2)</f>
        <v>37099.379999999997</v>
      </c>
      <c r="F548" s="132">
        <f>ROUND('[7]2039'!F62,2)</f>
        <v>35948.81</v>
      </c>
      <c r="G548" s="132">
        <f>ROUND('[7]2039'!G62,2)</f>
        <v>34860.639999999999</v>
      </c>
      <c r="H548" s="132">
        <f>ROUND('[7]2039'!H62,2)</f>
        <v>33817.54</v>
      </c>
      <c r="I548" s="132">
        <f>ROUND('[7]2039'!I62,2)</f>
        <v>33216.269999999997</v>
      </c>
      <c r="J548" s="132">
        <f>ROUND('[7]2039'!J62,2)</f>
        <v>32346.6</v>
      </c>
      <c r="K548" s="132">
        <f>ROUND('[7]2039'!K62,2)</f>
        <v>30337.45</v>
      </c>
      <c r="L548" s="132">
        <f>ROUND('[7]2039'!L62,2)</f>
        <v>31345.33</v>
      </c>
      <c r="M548" s="132">
        <f>ROUND('[7]2039'!M62,2)</f>
        <v>32983.96</v>
      </c>
      <c r="N548" s="132">
        <f>ROUND('[7]2039'!N62,2)</f>
        <v>34522.42</v>
      </c>
      <c r="O548" s="132">
        <f>ROUND('[7]2039'!O62,2)</f>
        <v>35956.660000000003</v>
      </c>
      <c r="P548" s="132">
        <f>ROUND('[7]2039'!P62,2)</f>
        <v>37175.699999999997</v>
      </c>
      <c r="Q548" s="132">
        <f>ROUND('[7]2039'!Q62,2)</f>
        <v>37842</v>
      </c>
      <c r="R548" s="132">
        <f>ROUND('[7]2039'!R62,2)</f>
        <v>37871.449999999997</v>
      </c>
      <c r="S548" s="132">
        <f>ROUND('[7]2039'!S62,2)</f>
        <v>37700.089999999997</v>
      </c>
      <c r="T548" s="132">
        <f>ROUND('[7]2039'!T62,2)</f>
        <v>37908.519999999997</v>
      </c>
      <c r="U548" s="132">
        <f>ROUND('[7]2039'!U62,2)</f>
        <v>37890.83</v>
      </c>
      <c r="V548" s="132">
        <f>ROUND('[7]2039'!V62,2)</f>
        <v>39115.599999999999</v>
      </c>
      <c r="W548" s="132">
        <f>ROUND('[7]2039'!W62,2)</f>
        <v>44563.94</v>
      </c>
      <c r="X548" s="132">
        <f>ROUND('[7]2039'!X62,2)</f>
        <v>44976.03</v>
      </c>
      <c r="Y548" s="132">
        <f>ROUND('[7]2039'!Y62,2)</f>
        <v>44406.29</v>
      </c>
      <c r="Z548" s="132">
        <f>ROUND('[7]2039'!Z62,2)</f>
        <v>43056.11</v>
      </c>
      <c r="AA548" s="132">
        <f>ROUND('[7]2039'!AA62,2)</f>
        <v>40830.82</v>
      </c>
      <c r="AB548" s="132">
        <f>ROUND('[7]2039'!AB62,2)</f>
        <v>38249</v>
      </c>
      <c r="AC548" s="284"/>
      <c r="AD548" s="187"/>
    </row>
    <row r="549" spans="2:50" s="188" customFormat="1" ht="18.649999999999999" hidden="1" customHeight="1" thickBot="1" x14ac:dyDescent="0.4">
      <c r="E549" s="191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268" t="s">
        <v>33</v>
      </c>
      <c r="AA549" s="269"/>
      <c r="AB549" s="270"/>
      <c r="AC549" s="198">
        <f>SUM(AC501:AC548)</f>
        <v>363922430</v>
      </c>
      <c r="AD549" s="190"/>
      <c r="AE549" s="187"/>
    </row>
    <row r="550" spans="2:50" s="188" customFormat="1" ht="18.649999999999999" customHeight="1" x14ac:dyDescent="0.35">
      <c r="B550" s="260">
        <v>51136</v>
      </c>
      <c r="C550" s="7" t="s">
        <v>29</v>
      </c>
      <c r="D550" s="54">
        <f>+'[7]2040'!D15</f>
        <v>21</v>
      </c>
      <c r="E550" s="127">
        <f>ROUND('[7]2040'!E15,2)</f>
        <v>39727.97</v>
      </c>
      <c r="F550" s="127">
        <f>ROUND('[7]2040'!F15,2)</f>
        <v>37574.81</v>
      </c>
      <c r="G550" s="127">
        <f>ROUND('[7]2040'!G15,2)</f>
        <v>36018.46</v>
      </c>
      <c r="H550" s="127">
        <f>ROUND('[7]2040'!H15,2)</f>
        <v>34930.33</v>
      </c>
      <c r="I550" s="127">
        <f>ROUND('[7]2040'!I15,2)</f>
        <v>34672.400000000001</v>
      </c>
      <c r="J550" s="127">
        <f>ROUND('[7]2040'!J15,2)</f>
        <v>35518.800000000003</v>
      </c>
      <c r="K550" s="127">
        <f>ROUND('[7]2040'!K15,2)</f>
        <v>35254.33</v>
      </c>
      <c r="L550" s="127">
        <f>ROUND('[7]2040'!L15,2)</f>
        <v>39423.14</v>
      </c>
      <c r="M550" s="127">
        <f>ROUND('[7]2040'!M15,2)</f>
        <v>43908.95</v>
      </c>
      <c r="N550" s="127">
        <f>ROUND('[7]2040'!N15,2)</f>
        <v>46506.66</v>
      </c>
      <c r="O550" s="127">
        <f>ROUND('[7]2040'!O15,2)</f>
        <v>49186.49</v>
      </c>
      <c r="P550" s="127">
        <f>ROUND('[7]2040'!P15,2)</f>
        <v>51092.28</v>
      </c>
      <c r="Q550" s="127">
        <f>ROUND('[7]2040'!Q15,2)</f>
        <v>49672.61</v>
      </c>
      <c r="R550" s="127">
        <f>ROUND('[7]2040'!R15,2)</f>
        <v>51066.15</v>
      </c>
      <c r="S550" s="127">
        <f>ROUND('[7]2040'!S15,2)</f>
        <v>53390.23</v>
      </c>
      <c r="T550" s="127">
        <f>ROUND('[7]2040'!T15,2)</f>
        <v>53610.66</v>
      </c>
      <c r="U550" s="127">
        <f>ROUND('[7]2040'!U15,2)</f>
        <v>52500.93</v>
      </c>
      <c r="V550" s="127">
        <f>ROUND('[7]2040'!V15,2)</f>
        <v>50391.16</v>
      </c>
      <c r="W550" s="127">
        <f>ROUND('[7]2040'!W15,2)</f>
        <v>53382.49</v>
      </c>
      <c r="X550" s="127">
        <f>ROUND('[7]2040'!X15,2)</f>
        <v>53546.18</v>
      </c>
      <c r="Y550" s="127">
        <f>ROUND('[7]2040'!Y15,2)</f>
        <v>52280.68</v>
      </c>
      <c r="Z550" s="127">
        <f>ROUND('[7]2040'!Z15,2)</f>
        <v>50261.01</v>
      </c>
      <c r="AA550" s="127">
        <f>ROUND('[7]2040'!AA15,2)</f>
        <v>46930.87</v>
      </c>
      <c r="AB550" s="127">
        <f>ROUND('[7]2040'!AB15,2)</f>
        <v>43191.75</v>
      </c>
      <c r="AC550" s="283">
        <f>SUM(E550:AB550)*D550+SUM(E551:AB551)*D551+SUM(E552:AB552)*D552+SUM(E553:AB553)*D553</f>
        <v>33058071.640000008</v>
      </c>
      <c r="AD550" s="187"/>
      <c r="AE550" s="187"/>
      <c r="AF550" s="187"/>
      <c r="AG550" s="187"/>
      <c r="AH550" s="187"/>
      <c r="AI550" s="187"/>
      <c r="AJ550" s="187"/>
      <c r="AK550" s="187"/>
      <c r="AL550" s="187"/>
      <c r="AM550" s="187"/>
      <c r="AN550" s="187"/>
      <c r="AO550" s="187"/>
      <c r="AP550" s="187"/>
      <c r="AQ550" s="187"/>
      <c r="AR550" s="187"/>
      <c r="AS550" s="187"/>
      <c r="AT550" s="187"/>
      <c r="AU550" s="187"/>
      <c r="AV550" s="187"/>
      <c r="AW550" s="187"/>
      <c r="AX550" s="187"/>
    </row>
    <row r="551" spans="2:50" s="188" customFormat="1" ht="18.649999999999999" customHeight="1" x14ac:dyDescent="0.35">
      <c r="B551" s="261"/>
      <c r="C551" s="10" t="s">
        <v>30</v>
      </c>
      <c r="D551" s="11">
        <f>+'[7]2040'!D16</f>
        <v>4</v>
      </c>
      <c r="E551" s="128">
        <f>ROUND('[7]2040'!E16,2)</f>
        <v>40027.339999999997</v>
      </c>
      <c r="F551" s="123">
        <f>ROUND('[7]2040'!F16,2)</f>
        <v>37902.050000000003</v>
      </c>
      <c r="G551" s="123">
        <f>ROUND('[7]2040'!G16,2)</f>
        <v>36327.480000000003</v>
      </c>
      <c r="H551" s="123">
        <f>ROUND('[7]2040'!H16,2)</f>
        <v>35085.18</v>
      </c>
      <c r="I551" s="123">
        <f>ROUND('[7]2040'!I16,2)</f>
        <v>34759.47</v>
      </c>
      <c r="J551" s="123">
        <f>ROUND('[7]2040'!J16,2)</f>
        <v>34911.910000000003</v>
      </c>
      <c r="K551" s="123">
        <f>ROUND('[7]2040'!K16,2)</f>
        <v>34009.74</v>
      </c>
      <c r="L551" s="123">
        <f>ROUND('[7]2040'!L16,2)</f>
        <v>37246.9</v>
      </c>
      <c r="M551" s="123">
        <f>ROUND('[7]2040'!M16,2)</f>
        <v>41522.33</v>
      </c>
      <c r="N551" s="123">
        <f>ROUND('[7]2040'!N16,2)</f>
        <v>44351.75</v>
      </c>
      <c r="O551" s="123">
        <f>ROUND('[7]2040'!O16,2)</f>
        <v>46681.37</v>
      </c>
      <c r="P551" s="123">
        <f>ROUND('[7]2040'!P16,2)</f>
        <v>48141.599999999999</v>
      </c>
      <c r="Q551" s="123">
        <f>ROUND('[7]2040'!Q16,2)</f>
        <v>47459.25</v>
      </c>
      <c r="R551" s="123">
        <f>ROUND('[7]2040'!R16,2)</f>
        <v>46980.81</v>
      </c>
      <c r="S551" s="123">
        <f>ROUND('[7]2040'!S16,2)</f>
        <v>47248.43</v>
      </c>
      <c r="T551" s="123">
        <f>ROUND('[7]2040'!T16,2)</f>
        <v>47233.38</v>
      </c>
      <c r="U551" s="123">
        <f>ROUND('[7]2040'!U16,2)</f>
        <v>46536.36</v>
      </c>
      <c r="V551" s="123">
        <f>ROUND('[7]2040'!V16,2)</f>
        <v>46180.46</v>
      </c>
      <c r="W551" s="123">
        <f>ROUND('[7]2040'!W16,2)</f>
        <v>50926.85</v>
      </c>
      <c r="X551" s="123">
        <f>ROUND('[7]2040'!X16,2)</f>
        <v>51436.75</v>
      </c>
      <c r="Y551" s="123">
        <f>ROUND('[7]2040'!Y16,2)</f>
        <v>50015.05</v>
      </c>
      <c r="Z551" s="123">
        <f>ROUND('[7]2040'!Z16,2)</f>
        <v>48244.54</v>
      </c>
      <c r="AA551" s="123">
        <f>ROUND('[7]2040'!AA16,2)</f>
        <v>45839.89</v>
      </c>
      <c r="AB551" s="123">
        <f>ROUND('[7]2040'!AB16,2)</f>
        <v>43031.88</v>
      </c>
      <c r="AC551" s="282"/>
      <c r="AD551" s="187"/>
      <c r="AE551" s="187"/>
      <c r="AF551" s="187"/>
      <c r="AG551" s="187"/>
      <c r="AH551" s="187"/>
      <c r="AI551" s="187"/>
      <c r="AJ551" s="187"/>
      <c r="AK551" s="187"/>
      <c r="AL551" s="187"/>
      <c r="AM551" s="187"/>
      <c r="AN551" s="187"/>
      <c r="AO551" s="187"/>
      <c r="AP551" s="187"/>
      <c r="AQ551" s="187"/>
      <c r="AR551" s="187"/>
      <c r="AS551" s="187"/>
      <c r="AT551" s="187"/>
      <c r="AU551" s="187"/>
      <c r="AV551" s="187"/>
      <c r="AW551" s="187"/>
      <c r="AX551" s="187"/>
    </row>
    <row r="552" spans="2:50" s="188" customFormat="1" ht="18.649999999999999" customHeight="1" x14ac:dyDescent="0.35">
      <c r="B552" s="261"/>
      <c r="C552" s="10" t="s">
        <v>31</v>
      </c>
      <c r="D552" s="11">
        <f>+'[7]2040'!D17</f>
        <v>4</v>
      </c>
      <c r="E552" s="128">
        <f>ROUND('[7]2040'!E17,2)</f>
        <v>40473.39</v>
      </c>
      <c r="F552" s="123">
        <f>ROUND('[7]2040'!F17,2)</f>
        <v>38423.9</v>
      </c>
      <c r="G552" s="123">
        <f>ROUND('[7]2040'!G17,2)</f>
        <v>36761.81</v>
      </c>
      <c r="H552" s="123">
        <f>ROUND('[7]2040'!H17,2)</f>
        <v>35433.379999999997</v>
      </c>
      <c r="I552" s="123">
        <f>ROUND('[7]2040'!I17,2)</f>
        <v>34758.1</v>
      </c>
      <c r="J552" s="123">
        <f>ROUND('[7]2040'!J17,2)</f>
        <v>34425.07</v>
      </c>
      <c r="K552" s="123">
        <f>ROUND('[7]2040'!K17,2)</f>
        <v>32649.86</v>
      </c>
      <c r="L552" s="123">
        <f>ROUND('[7]2040'!L17,2)</f>
        <v>34109.019999999997</v>
      </c>
      <c r="M552" s="123">
        <f>ROUND('[7]2040'!M17,2)</f>
        <v>36546.31</v>
      </c>
      <c r="N552" s="123">
        <f>ROUND('[7]2040'!N17,2)</f>
        <v>39030</v>
      </c>
      <c r="O552" s="123">
        <f>ROUND('[7]2040'!O17,2)</f>
        <v>40557.480000000003</v>
      </c>
      <c r="P552" s="123">
        <f>ROUND('[7]2040'!P17,2)</f>
        <v>41917.660000000003</v>
      </c>
      <c r="Q552" s="123">
        <f>ROUND('[7]2040'!Q17,2)</f>
        <v>42727.5</v>
      </c>
      <c r="R552" s="123">
        <f>ROUND('[7]2040'!R17,2)</f>
        <v>42910.07</v>
      </c>
      <c r="S552" s="123">
        <f>ROUND('[7]2040'!S17,2)</f>
        <v>43029.05</v>
      </c>
      <c r="T552" s="123">
        <f>ROUND('[7]2040'!T17,2)</f>
        <v>43100.57</v>
      </c>
      <c r="U552" s="123">
        <f>ROUND('[7]2040'!U17,2)</f>
        <v>42848.23</v>
      </c>
      <c r="V552" s="123">
        <f>ROUND('[7]2040'!V17,2)</f>
        <v>42891.97</v>
      </c>
      <c r="W552" s="123">
        <f>ROUND('[7]2040'!W17,2)</f>
        <v>48086.78</v>
      </c>
      <c r="X552" s="123">
        <f>ROUND('[7]2040'!X17,2)</f>
        <v>49657.18</v>
      </c>
      <c r="Y552" s="123">
        <f>ROUND('[7]2040'!Y17,2)</f>
        <v>49476.93</v>
      </c>
      <c r="Z552" s="123">
        <f>ROUND('[7]2040'!Z17,2)</f>
        <v>48109.82</v>
      </c>
      <c r="AA552" s="123">
        <f>ROUND('[7]2040'!AA17,2)</f>
        <v>45523.54</v>
      </c>
      <c r="AB552" s="123">
        <f>ROUND('[7]2040'!AB17,2)</f>
        <v>42359.45</v>
      </c>
      <c r="AC552" s="282"/>
      <c r="AD552" s="187"/>
      <c r="AE552" s="187"/>
      <c r="AF552" s="187"/>
      <c r="AG552" s="187"/>
      <c r="AH552" s="187"/>
      <c r="AI552" s="187"/>
      <c r="AJ552" s="187"/>
      <c r="AK552" s="187"/>
      <c r="AL552" s="187"/>
      <c r="AM552" s="187"/>
      <c r="AN552" s="187"/>
      <c r="AO552" s="187"/>
      <c r="AP552" s="187"/>
      <c r="AQ552" s="187"/>
      <c r="AR552" s="187"/>
      <c r="AS552" s="187"/>
      <c r="AT552" s="187"/>
      <c r="AU552" s="187"/>
      <c r="AV552" s="187"/>
      <c r="AW552" s="187"/>
      <c r="AX552" s="187"/>
    </row>
    <row r="553" spans="2:50" s="188" customFormat="1" ht="18.649999999999999" customHeight="1" thickBot="1" x14ac:dyDescent="0.4">
      <c r="B553" s="261"/>
      <c r="C553" s="16" t="s">
        <v>32</v>
      </c>
      <c r="D553" s="17">
        <f>+'[7]2040'!D18</f>
        <v>2</v>
      </c>
      <c r="E553" s="129">
        <f>ROUND('[7]2040'!E18,2)</f>
        <v>40473.39</v>
      </c>
      <c r="F553" s="124">
        <f>ROUND('[7]2040'!F18,2)</f>
        <v>38423.9</v>
      </c>
      <c r="G553" s="124">
        <f>ROUND('[7]2040'!G18,2)</f>
        <v>36761.81</v>
      </c>
      <c r="H553" s="124">
        <f>ROUND('[7]2040'!H18,2)</f>
        <v>35433.379999999997</v>
      </c>
      <c r="I553" s="124">
        <f>ROUND('[7]2040'!I18,2)</f>
        <v>34758.1</v>
      </c>
      <c r="J553" s="124">
        <f>ROUND('[7]2040'!J18,2)</f>
        <v>34425.07</v>
      </c>
      <c r="K553" s="124">
        <f>ROUND('[7]2040'!K18,2)</f>
        <v>32649.86</v>
      </c>
      <c r="L553" s="124">
        <f>ROUND('[7]2040'!L18,2)</f>
        <v>34109.019999999997</v>
      </c>
      <c r="M553" s="124">
        <f>ROUND('[7]2040'!M18,2)</f>
        <v>36546.31</v>
      </c>
      <c r="N553" s="124">
        <f>ROUND('[7]2040'!N18,2)</f>
        <v>39030</v>
      </c>
      <c r="O553" s="124">
        <f>ROUND('[7]2040'!O18,2)</f>
        <v>40557.480000000003</v>
      </c>
      <c r="P553" s="124">
        <f>ROUND('[7]2040'!P18,2)</f>
        <v>41917.660000000003</v>
      </c>
      <c r="Q553" s="124">
        <f>ROUND('[7]2040'!Q18,2)</f>
        <v>42727.5</v>
      </c>
      <c r="R553" s="124">
        <f>ROUND('[7]2040'!R18,2)</f>
        <v>42910.07</v>
      </c>
      <c r="S553" s="124">
        <f>ROUND('[7]2040'!S18,2)</f>
        <v>43029.05</v>
      </c>
      <c r="T553" s="124">
        <f>ROUND('[7]2040'!T18,2)</f>
        <v>43100.57</v>
      </c>
      <c r="U553" s="124">
        <f>ROUND('[7]2040'!U18,2)</f>
        <v>42848.23</v>
      </c>
      <c r="V553" s="124">
        <f>ROUND('[7]2040'!V18,2)</f>
        <v>42891.97</v>
      </c>
      <c r="W553" s="124">
        <f>ROUND('[7]2040'!W18,2)</f>
        <v>48086.78</v>
      </c>
      <c r="X553" s="124">
        <f>ROUND('[7]2040'!X18,2)</f>
        <v>49657.18</v>
      </c>
      <c r="Y553" s="124">
        <f>ROUND('[7]2040'!Y18,2)</f>
        <v>49476.93</v>
      </c>
      <c r="Z553" s="124">
        <f>ROUND('[7]2040'!Z18,2)</f>
        <v>48109.82</v>
      </c>
      <c r="AA553" s="124">
        <f>ROUND('[7]2040'!AA18,2)</f>
        <v>45523.54</v>
      </c>
      <c r="AB553" s="124">
        <f>ROUND('[7]2040'!AB18,2)</f>
        <v>42359.45</v>
      </c>
      <c r="AC553" s="282"/>
      <c r="AD553" s="187"/>
      <c r="AE553" s="187"/>
      <c r="AF553" s="187"/>
      <c r="AG553" s="187"/>
      <c r="AH553" s="187"/>
      <c r="AI553" s="187"/>
      <c r="AJ553" s="187"/>
      <c r="AK553" s="187"/>
      <c r="AL553" s="187"/>
      <c r="AM553" s="187"/>
      <c r="AN553" s="187"/>
      <c r="AO553" s="187"/>
      <c r="AP553" s="187"/>
      <c r="AQ553" s="187"/>
      <c r="AR553" s="187"/>
      <c r="AS553" s="187"/>
      <c r="AT553" s="187"/>
      <c r="AU553" s="187"/>
      <c r="AV553" s="187"/>
      <c r="AW553" s="187"/>
      <c r="AX553" s="187"/>
    </row>
    <row r="554" spans="2:50" s="188" customFormat="1" ht="18.649999999999999" customHeight="1" x14ac:dyDescent="0.35">
      <c r="B554" s="263">
        <v>51167</v>
      </c>
      <c r="C554" s="7" t="s">
        <v>29</v>
      </c>
      <c r="D554" s="8">
        <f>+'[7]2040'!D19</f>
        <v>21</v>
      </c>
      <c r="E554" s="127">
        <f>ROUND('[7]2040'!E19,2)</f>
        <v>39902.58</v>
      </c>
      <c r="F554" s="125">
        <f>ROUND('[7]2040'!F19,2)</f>
        <v>37796.959999999999</v>
      </c>
      <c r="G554" s="125">
        <f>ROUND('[7]2040'!G19,2)</f>
        <v>36292.94</v>
      </c>
      <c r="H554" s="125">
        <f>ROUND('[7]2040'!H19,2)</f>
        <v>35308.400000000001</v>
      </c>
      <c r="I554" s="125">
        <f>ROUND('[7]2040'!I19,2)</f>
        <v>35380.69</v>
      </c>
      <c r="J554" s="125">
        <f>ROUND('[7]2040'!J19,2)</f>
        <v>37345.839999999997</v>
      </c>
      <c r="K554" s="125">
        <f>ROUND('[7]2040'!K19,2)</f>
        <v>37246.06</v>
      </c>
      <c r="L554" s="125">
        <f>ROUND('[7]2040'!L19,2)</f>
        <v>41091.19</v>
      </c>
      <c r="M554" s="125">
        <f>ROUND('[7]2040'!M19,2)</f>
        <v>44968.43</v>
      </c>
      <c r="N554" s="125">
        <f>ROUND('[7]2040'!N19,2)</f>
        <v>46872.39</v>
      </c>
      <c r="O554" s="125">
        <f>ROUND('[7]2040'!O19,2)</f>
        <v>49147.05</v>
      </c>
      <c r="P554" s="125">
        <f>ROUND('[7]2040'!P19,2)</f>
        <v>50673.14</v>
      </c>
      <c r="Q554" s="125">
        <f>ROUND('[7]2040'!Q19,2)</f>
        <v>48766.01</v>
      </c>
      <c r="R554" s="125">
        <f>ROUND('[7]2040'!R19,2)</f>
        <v>50505.22</v>
      </c>
      <c r="S554" s="125">
        <f>ROUND('[7]2040'!S19,2)</f>
        <v>53061.39</v>
      </c>
      <c r="T554" s="125">
        <f>ROUND('[7]2040'!T19,2)</f>
        <v>53389.919999999998</v>
      </c>
      <c r="U554" s="125">
        <f>ROUND('[7]2040'!U19,2)</f>
        <v>52454.86</v>
      </c>
      <c r="V554" s="125">
        <f>ROUND('[7]2040'!V19,2)</f>
        <v>50220.97</v>
      </c>
      <c r="W554" s="125">
        <f>ROUND('[7]2040'!W19,2)</f>
        <v>52890.32</v>
      </c>
      <c r="X554" s="125">
        <f>ROUND('[7]2040'!X19,2)</f>
        <v>53746.36</v>
      </c>
      <c r="Y554" s="125">
        <f>ROUND('[7]2040'!Y19,2)</f>
        <v>52682.15</v>
      </c>
      <c r="Z554" s="125">
        <f>ROUND('[7]2040'!Z19,2)</f>
        <v>50387.97</v>
      </c>
      <c r="AA554" s="125">
        <f>ROUND('[7]2040'!AA19,2)</f>
        <v>46648.73</v>
      </c>
      <c r="AB554" s="125">
        <f>ROUND('[7]2040'!AB19,2)</f>
        <v>42888.55</v>
      </c>
      <c r="AC554" s="283">
        <f>SUM(E554:AB554)*D554+SUM(E555:AB555)*D555+SUM(E556:AB556)*D556+SUM(E557:AB557)*D557</f>
        <v>31319009.040000003</v>
      </c>
      <c r="AD554" s="187"/>
    </row>
    <row r="555" spans="2:50" s="188" customFormat="1" ht="18.649999999999999" customHeight="1" x14ac:dyDescent="0.35">
      <c r="B555" s="264" t="s">
        <v>34</v>
      </c>
      <c r="C555" s="10" t="s">
        <v>30</v>
      </c>
      <c r="D555" s="11">
        <f>+'[7]2040'!D20</f>
        <v>4</v>
      </c>
      <c r="E555" s="128">
        <f>ROUND('[7]2040'!E20,2)</f>
        <v>40029.83</v>
      </c>
      <c r="F555" s="123">
        <f>ROUND('[7]2040'!F20,2)</f>
        <v>38080.71</v>
      </c>
      <c r="G555" s="123">
        <f>ROUND('[7]2040'!G20,2)</f>
        <v>36386.660000000003</v>
      </c>
      <c r="H555" s="123">
        <f>ROUND('[7]2040'!H20,2)</f>
        <v>35237.54</v>
      </c>
      <c r="I555" s="123">
        <f>ROUND('[7]2040'!I20,2)</f>
        <v>34798.800000000003</v>
      </c>
      <c r="J555" s="123">
        <f>ROUND('[7]2040'!J20,2)</f>
        <v>35147.01</v>
      </c>
      <c r="K555" s="123">
        <f>ROUND('[7]2040'!K20,2)</f>
        <v>34792.68</v>
      </c>
      <c r="L555" s="123">
        <f>ROUND('[7]2040'!L20,2)</f>
        <v>38250.35</v>
      </c>
      <c r="M555" s="123">
        <f>ROUND('[7]2040'!M20,2)</f>
        <v>42407.65</v>
      </c>
      <c r="N555" s="123">
        <f>ROUND('[7]2040'!N20,2)</f>
        <v>45018.79</v>
      </c>
      <c r="O555" s="123">
        <f>ROUND('[7]2040'!O20,2)</f>
        <v>47153.74</v>
      </c>
      <c r="P555" s="123">
        <f>ROUND('[7]2040'!P20,2)</f>
        <v>48567.8</v>
      </c>
      <c r="Q555" s="123">
        <f>ROUND('[7]2040'!Q20,2)</f>
        <v>47720.63</v>
      </c>
      <c r="R555" s="123">
        <f>ROUND('[7]2040'!R20,2)</f>
        <v>47163.88</v>
      </c>
      <c r="S555" s="123">
        <f>ROUND('[7]2040'!S20,2)</f>
        <v>47411.519999999997</v>
      </c>
      <c r="T555" s="123">
        <f>ROUND('[7]2040'!T20,2)</f>
        <v>47405.57</v>
      </c>
      <c r="U555" s="123">
        <f>ROUND('[7]2040'!U20,2)</f>
        <v>46685.87</v>
      </c>
      <c r="V555" s="123">
        <f>ROUND('[7]2040'!V20,2)</f>
        <v>46360.68</v>
      </c>
      <c r="W555" s="123">
        <f>ROUND('[7]2040'!W20,2)</f>
        <v>50781.3</v>
      </c>
      <c r="X555" s="123">
        <f>ROUND('[7]2040'!X20,2)</f>
        <v>51813.29</v>
      </c>
      <c r="Y555" s="123">
        <f>ROUND('[7]2040'!Y20,2)</f>
        <v>50466.96</v>
      </c>
      <c r="Z555" s="123">
        <f>ROUND('[7]2040'!Z20,2)</f>
        <v>48648.61</v>
      </c>
      <c r="AA555" s="123">
        <f>ROUND('[7]2040'!AA20,2)</f>
        <v>46177.24</v>
      </c>
      <c r="AB555" s="123">
        <f>ROUND('[7]2040'!AB20,2)</f>
        <v>43270.49</v>
      </c>
      <c r="AC555" s="282"/>
      <c r="AD555" s="187"/>
    </row>
    <row r="556" spans="2:50" s="188" customFormat="1" ht="18.649999999999999" customHeight="1" x14ac:dyDescent="0.35">
      <c r="B556" s="264" t="s">
        <v>34</v>
      </c>
      <c r="C556" s="10" t="s">
        <v>31</v>
      </c>
      <c r="D556" s="11">
        <f>+'[7]2040'!D21</f>
        <v>4</v>
      </c>
      <c r="E556" s="128">
        <f>ROUND('[7]2040'!E21,2)</f>
        <v>40652.089999999997</v>
      </c>
      <c r="F556" s="123">
        <f>ROUND('[7]2040'!F21,2)</f>
        <v>38570.67</v>
      </c>
      <c r="G556" s="123">
        <f>ROUND('[7]2040'!G21,2)</f>
        <v>36960.519999999997</v>
      </c>
      <c r="H556" s="123">
        <f>ROUND('[7]2040'!H21,2)</f>
        <v>35779.339999999997</v>
      </c>
      <c r="I556" s="123">
        <f>ROUND('[7]2040'!I21,2)</f>
        <v>35031.26</v>
      </c>
      <c r="J556" s="123">
        <f>ROUND('[7]2040'!J21,2)</f>
        <v>34874.120000000003</v>
      </c>
      <c r="K556" s="123">
        <f>ROUND('[7]2040'!K21,2)</f>
        <v>33337.25</v>
      </c>
      <c r="L556" s="123">
        <f>ROUND('[7]2040'!L21,2)</f>
        <v>34826.78</v>
      </c>
      <c r="M556" s="123">
        <f>ROUND('[7]2040'!M21,2)</f>
        <v>37265.78</v>
      </c>
      <c r="N556" s="123">
        <f>ROUND('[7]2040'!N21,2)</f>
        <v>39480.58</v>
      </c>
      <c r="O556" s="123">
        <f>ROUND('[7]2040'!O21,2)</f>
        <v>41095.82</v>
      </c>
      <c r="P556" s="123">
        <f>ROUND('[7]2040'!P21,2)</f>
        <v>42738.62</v>
      </c>
      <c r="Q556" s="123">
        <f>ROUND('[7]2040'!Q21,2)</f>
        <v>43680.81</v>
      </c>
      <c r="R556" s="123">
        <f>ROUND('[7]2040'!R21,2)</f>
        <v>43969.53</v>
      </c>
      <c r="S556" s="123">
        <f>ROUND('[7]2040'!S21,2)</f>
        <v>44230.84</v>
      </c>
      <c r="T556" s="123">
        <f>ROUND('[7]2040'!T21,2)</f>
        <v>44432.91</v>
      </c>
      <c r="U556" s="123">
        <f>ROUND('[7]2040'!U21,2)</f>
        <v>44141.440000000002</v>
      </c>
      <c r="V556" s="123">
        <f>ROUND('[7]2040'!V21,2)</f>
        <v>44038.03</v>
      </c>
      <c r="W556" s="123">
        <f>ROUND('[7]2040'!W21,2)</f>
        <v>48964.76</v>
      </c>
      <c r="X556" s="123">
        <f>ROUND('[7]2040'!X21,2)</f>
        <v>51170.33</v>
      </c>
      <c r="Y556" s="123">
        <f>ROUND('[7]2040'!Y21,2)</f>
        <v>51208.2</v>
      </c>
      <c r="Z556" s="123">
        <f>ROUND('[7]2040'!Z21,2)</f>
        <v>49938.05</v>
      </c>
      <c r="AA556" s="123">
        <f>ROUND('[7]2040'!AA21,2)</f>
        <v>46950.13</v>
      </c>
      <c r="AB556" s="123">
        <f>ROUND('[7]2040'!AB21,2)</f>
        <v>43379.17</v>
      </c>
      <c r="AC556" s="282"/>
      <c r="AD556" s="187"/>
    </row>
    <row r="557" spans="2:50" s="188" customFormat="1" ht="18.649999999999999" customHeight="1" thickBot="1" x14ac:dyDescent="0.4">
      <c r="B557" s="265" t="s">
        <v>34</v>
      </c>
      <c r="C557" s="12" t="s">
        <v>32</v>
      </c>
      <c r="D557" s="13">
        <f>+'[7]2040'!D22</f>
        <v>0</v>
      </c>
      <c r="E557" s="115">
        <f>ROUND('[7]2040'!E22,2)</f>
        <v>0</v>
      </c>
      <c r="F557" s="115">
        <f>ROUND('[7]2040'!F22,2)</f>
        <v>0</v>
      </c>
      <c r="G557" s="115">
        <f>ROUND('[7]2040'!G22,2)</f>
        <v>0</v>
      </c>
      <c r="H557" s="115">
        <f>ROUND('[7]2040'!H22,2)</f>
        <v>0</v>
      </c>
      <c r="I557" s="115">
        <f>ROUND('[7]2040'!I22,2)</f>
        <v>0</v>
      </c>
      <c r="J557" s="115">
        <f>ROUND('[7]2040'!J22,2)</f>
        <v>0</v>
      </c>
      <c r="K557" s="115">
        <f>ROUND('[7]2040'!K22,2)</f>
        <v>0</v>
      </c>
      <c r="L557" s="115">
        <f>ROUND('[7]2040'!L22,2)</f>
        <v>0</v>
      </c>
      <c r="M557" s="115">
        <f>ROUND('[7]2040'!M22,2)</f>
        <v>0</v>
      </c>
      <c r="N557" s="115">
        <f>ROUND('[7]2040'!N22,2)</f>
        <v>0</v>
      </c>
      <c r="O557" s="115">
        <f>ROUND('[7]2040'!O22,2)</f>
        <v>0</v>
      </c>
      <c r="P557" s="115">
        <f>ROUND('[7]2040'!P22,2)</f>
        <v>0</v>
      </c>
      <c r="Q557" s="115">
        <f>ROUND('[7]2040'!Q22,2)</f>
        <v>0</v>
      </c>
      <c r="R557" s="115">
        <f>ROUND('[7]2040'!R22,2)</f>
        <v>0</v>
      </c>
      <c r="S557" s="115">
        <f>ROUND('[7]2040'!S22,2)</f>
        <v>0</v>
      </c>
      <c r="T557" s="115">
        <f>ROUND('[7]2040'!T22,2)</f>
        <v>0</v>
      </c>
      <c r="U557" s="115">
        <f>ROUND('[7]2040'!U22,2)</f>
        <v>0</v>
      </c>
      <c r="V557" s="115">
        <f>ROUND('[7]2040'!V22,2)</f>
        <v>0</v>
      </c>
      <c r="W557" s="115">
        <f>ROUND('[7]2040'!W22,2)</f>
        <v>0</v>
      </c>
      <c r="X557" s="115">
        <f>ROUND('[7]2040'!X22,2)</f>
        <v>0</v>
      </c>
      <c r="Y557" s="115">
        <f>ROUND('[7]2040'!Y22,2)</f>
        <v>0</v>
      </c>
      <c r="Z557" s="115">
        <f>ROUND('[7]2040'!Z22,2)</f>
        <v>0</v>
      </c>
      <c r="AA557" s="115">
        <f>ROUND('[7]2040'!AA22,2)</f>
        <v>0</v>
      </c>
      <c r="AB557" s="115">
        <f>ROUND('[7]2040'!AB22,2)</f>
        <v>0</v>
      </c>
      <c r="AC557" s="284"/>
      <c r="AD557" s="187"/>
    </row>
    <row r="558" spans="2:50" s="188" customFormat="1" ht="18.649999999999999" customHeight="1" x14ac:dyDescent="0.35">
      <c r="B558" s="260">
        <v>51196</v>
      </c>
      <c r="C558" s="14" t="s">
        <v>29</v>
      </c>
      <c r="D558" s="15">
        <f>+'[7]2040'!D23</f>
        <v>19</v>
      </c>
      <c r="E558" s="131">
        <f>ROUND('[7]2040'!E23,2)</f>
        <v>41714.550000000003</v>
      </c>
      <c r="F558" s="122">
        <f>ROUND('[7]2040'!F23,2)</f>
        <v>39510.03</v>
      </c>
      <c r="G558" s="122">
        <f>ROUND('[7]2040'!G23,2)</f>
        <v>37848.71</v>
      </c>
      <c r="H558" s="122">
        <f>ROUND('[7]2040'!H23,2)</f>
        <v>36622.620000000003</v>
      </c>
      <c r="I558" s="122">
        <f>ROUND('[7]2040'!I23,2)</f>
        <v>36438.33</v>
      </c>
      <c r="J558" s="122">
        <f>ROUND('[7]2040'!J23,2)</f>
        <v>37772.559999999998</v>
      </c>
      <c r="K558" s="122">
        <f>ROUND('[7]2040'!K23,2)</f>
        <v>37513.160000000003</v>
      </c>
      <c r="L558" s="122">
        <f>ROUND('[7]2040'!L23,2)</f>
        <v>41813.199999999997</v>
      </c>
      <c r="M558" s="122">
        <f>ROUND('[7]2040'!M23,2)</f>
        <v>46150.080000000002</v>
      </c>
      <c r="N558" s="122">
        <f>ROUND('[7]2040'!N23,2)</f>
        <v>48419.83</v>
      </c>
      <c r="O558" s="122">
        <f>ROUND('[7]2040'!O23,2)</f>
        <v>50994.41</v>
      </c>
      <c r="P558" s="122">
        <f>ROUND('[7]2040'!P23,2)</f>
        <v>52670.559999999998</v>
      </c>
      <c r="Q558" s="122">
        <f>ROUND('[7]2040'!Q23,2)</f>
        <v>50774.92</v>
      </c>
      <c r="R558" s="122">
        <f>ROUND('[7]2040'!R23,2)</f>
        <v>52798.39</v>
      </c>
      <c r="S558" s="122">
        <f>ROUND('[7]2040'!S23,2)</f>
        <v>55250.98</v>
      </c>
      <c r="T558" s="122">
        <f>ROUND('[7]2040'!T23,2)</f>
        <v>55514.51</v>
      </c>
      <c r="U558" s="122">
        <f>ROUND('[7]2040'!U23,2)</f>
        <v>54549.74</v>
      </c>
      <c r="V558" s="122">
        <f>ROUND('[7]2040'!V23,2)</f>
        <v>52219.58</v>
      </c>
      <c r="W558" s="122">
        <f>ROUND('[7]2040'!W23,2)</f>
        <v>54562.080000000002</v>
      </c>
      <c r="X558" s="122">
        <f>ROUND('[7]2040'!X23,2)</f>
        <v>55244.05</v>
      </c>
      <c r="Y558" s="122">
        <f>ROUND('[7]2040'!Y23,2)</f>
        <v>54250.85</v>
      </c>
      <c r="Z558" s="122">
        <f>ROUND('[7]2040'!Z23,2)</f>
        <v>52145.760000000002</v>
      </c>
      <c r="AA558" s="122">
        <f>ROUND('[7]2040'!AA23,2)</f>
        <v>48852.36</v>
      </c>
      <c r="AB558" s="122">
        <f>ROUND('[7]2040'!AB23,2)</f>
        <v>45147.67</v>
      </c>
      <c r="AC558" s="282">
        <f>SUM(E558:AB558)*D558+SUM(E559:AB559)*D559+SUM(E560:AB560)*D560+SUM(E561:AB561)*D561</f>
        <v>33976127.579999998</v>
      </c>
      <c r="AD558" s="187"/>
    </row>
    <row r="559" spans="2:50" s="188" customFormat="1" ht="18.649999999999999" customHeight="1" x14ac:dyDescent="0.35">
      <c r="B559" s="261"/>
      <c r="C559" s="10" t="s">
        <v>30</v>
      </c>
      <c r="D559" s="11">
        <f>+'[7]2040'!D24</f>
        <v>5</v>
      </c>
      <c r="E559" s="128">
        <f>ROUND('[7]2040'!E24,2)</f>
        <v>41835.72</v>
      </c>
      <c r="F559" s="123">
        <f>ROUND('[7]2040'!F24,2)</f>
        <v>39561.230000000003</v>
      </c>
      <c r="G559" s="123">
        <f>ROUND('[7]2040'!G24,2)</f>
        <v>37959.07</v>
      </c>
      <c r="H559" s="123">
        <f>ROUND('[7]2040'!H24,2)</f>
        <v>36691.17</v>
      </c>
      <c r="I559" s="123">
        <f>ROUND('[7]2040'!I24,2)</f>
        <v>35934.29</v>
      </c>
      <c r="J559" s="123">
        <f>ROUND('[7]2040'!J24,2)</f>
        <v>35818.58</v>
      </c>
      <c r="K559" s="123">
        <f>ROUND('[7]2040'!K24,2)</f>
        <v>35293.93</v>
      </c>
      <c r="L559" s="123">
        <f>ROUND('[7]2040'!L24,2)</f>
        <v>38670.36</v>
      </c>
      <c r="M559" s="123">
        <f>ROUND('[7]2040'!M24,2)</f>
        <v>42740.4</v>
      </c>
      <c r="N559" s="123">
        <f>ROUND('[7]2040'!N24,2)</f>
        <v>45289.15</v>
      </c>
      <c r="O559" s="123">
        <f>ROUND('[7]2040'!O24,2)</f>
        <v>47319.45</v>
      </c>
      <c r="P559" s="123">
        <f>ROUND('[7]2040'!P24,2)</f>
        <v>48617.4</v>
      </c>
      <c r="Q559" s="123">
        <f>ROUND('[7]2040'!Q24,2)</f>
        <v>47927.94</v>
      </c>
      <c r="R559" s="123">
        <f>ROUND('[7]2040'!R24,2)</f>
        <v>47428.61</v>
      </c>
      <c r="S559" s="123">
        <f>ROUND('[7]2040'!S24,2)</f>
        <v>47143.38</v>
      </c>
      <c r="T559" s="123">
        <f>ROUND('[7]2040'!T24,2)</f>
        <v>48307.69</v>
      </c>
      <c r="U559" s="123">
        <f>ROUND('[7]2040'!U24,2)</f>
        <v>46670.18</v>
      </c>
      <c r="V559" s="123">
        <f>ROUND('[7]2040'!V24,2)</f>
        <v>46291.27</v>
      </c>
      <c r="W559" s="123">
        <f>ROUND('[7]2040'!W24,2)</f>
        <v>51137.84</v>
      </c>
      <c r="X559" s="123">
        <f>ROUND('[7]2040'!X24,2)</f>
        <v>51900.66</v>
      </c>
      <c r="Y559" s="123">
        <f>ROUND('[7]2040'!Y24,2)</f>
        <v>50640.29</v>
      </c>
      <c r="Z559" s="123">
        <f>ROUND('[7]2040'!Z24,2)</f>
        <v>49018.34</v>
      </c>
      <c r="AA559" s="123">
        <f>ROUND('[7]2040'!AA24,2)</f>
        <v>46867.09</v>
      </c>
      <c r="AB559" s="123">
        <f>ROUND('[7]2040'!AB24,2)</f>
        <v>44132.92</v>
      </c>
      <c r="AC559" s="282"/>
      <c r="AD559" s="187"/>
    </row>
    <row r="560" spans="2:50" s="188" customFormat="1" ht="18.649999999999999" customHeight="1" x14ac:dyDescent="0.35">
      <c r="B560" s="261"/>
      <c r="C560" s="10" t="s">
        <v>31</v>
      </c>
      <c r="D560" s="11">
        <f>+'[7]2040'!D25</f>
        <v>4</v>
      </c>
      <c r="E560" s="128">
        <f>ROUND('[7]2040'!E25,2)</f>
        <v>41500.639999999999</v>
      </c>
      <c r="F560" s="123">
        <f>ROUND('[7]2040'!F25,2)</f>
        <v>39376.080000000002</v>
      </c>
      <c r="G560" s="123">
        <f>ROUND('[7]2040'!G25,2)</f>
        <v>37479.69</v>
      </c>
      <c r="H560" s="123">
        <f>ROUND('[7]2040'!H25,2)</f>
        <v>36149.22</v>
      </c>
      <c r="I560" s="123">
        <f>ROUND('[7]2040'!I25,2)</f>
        <v>35532.25</v>
      </c>
      <c r="J560" s="123">
        <f>ROUND('[7]2040'!J25,2)</f>
        <v>35130.33</v>
      </c>
      <c r="K560" s="123">
        <f>ROUND('[7]2040'!K25,2)</f>
        <v>33414.1</v>
      </c>
      <c r="L560" s="123">
        <f>ROUND('[7]2040'!L25,2)</f>
        <v>35021</v>
      </c>
      <c r="M560" s="123">
        <f>ROUND('[7]2040'!M25,2)</f>
        <v>37349.230000000003</v>
      </c>
      <c r="N560" s="123">
        <f>ROUND('[7]2040'!N25,2)</f>
        <v>39478.06</v>
      </c>
      <c r="O560" s="123">
        <f>ROUND('[7]2040'!O25,2)</f>
        <v>41091.919999999998</v>
      </c>
      <c r="P560" s="123">
        <f>ROUND('[7]2040'!P25,2)</f>
        <v>42617.67</v>
      </c>
      <c r="Q560" s="123">
        <f>ROUND('[7]2040'!Q25,2)</f>
        <v>43384.09</v>
      </c>
      <c r="R560" s="123">
        <f>ROUND('[7]2040'!R25,2)</f>
        <v>43579.92</v>
      </c>
      <c r="S560" s="123">
        <f>ROUND('[7]2040'!S25,2)</f>
        <v>43804.04</v>
      </c>
      <c r="T560" s="123">
        <f>ROUND('[7]2040'!T25,2)</f>
        <v>44116.33</v>
      </c>
      <c r="U560" s="123">
        <f>ROUND('[7]2040'!U25,2)</f>
        <v>43571.18</v>
      </c>
      <c r="V560" s="123">
        <f>ROUND('[7]2040'!V25,2)</f>
        <v>43676</v>
      </c>
      <c r="W560" s="123">
        <f>ROUND('[7]2040'!W25,2)</f>
        <v>48378.7</v>
      </c>
      <c r="X560" s="123">
        <f>ROUND('[7]2040'!X25,2)</f>
        <v>50117.81</v>
      </c>
      <c r="Y560" s="123">
        <f>ROUND('[7]2040'!Y25,2)</f>
        <v>50027.76</v>
      </c>
      <c r="Z560" s="123">
        <f>ROUND('[7]2040'!Z25,2)</f>
        <v>49058.55</v>
      </c>
      <c r="AA560" s="123">
        <f>ROUND('[7]2040'!AA25,2)</f>
        <v>46450.879999999997</v>
      </c>
      <c r="AB560" s="123">
        <f>ROUND('[7]2040'!AB25,2)</f>
        <v>43029.279999999999</v>
      </c>
      <c r="AC560" s="282"/>
      <c r="AD560" s="187"/>
    </row>
    <row r="561" spans="2:30" s="188" customFormat="1" ht="18.649999999999999" customHeight="1" thickBot="1" x14ac:dyDescent="0.4">
      <c r="B561" s="261"/>
      <c r="C561" s="16" t="s">
        <v>32</v>
      </c>
      <c r="D561" s="17">
        <f>+'[7]2040'!D26</f>
        <v>3</v>
      </c>
      <c r="E561" s="129">
        <f>ROUND('[7]2040'!E26,2)</f>
        <v>41500.639999999999</v>
      </c>
      <c r="F561" s="124">
        <f>ROUND('[7]2040'!F26,2)</f>
        <v>39376.080000000002</v>
      </c>
      <c r="G561" s="124">
        <f>ROUND('[7]2040'!G26,2)</f>
        <v>37479.69</v>
      </c>
      <c r="H561" s="124">
        <f>ROUND('[7]2040'!H26,2)</f>
        <v>36149.22</v>
      </c>
      <c r="I561" s="124">
        <f>ROUND('[7]2040'!I26,2)</f>
        <v>35532.25</v>
      </c>
      <c r="J561" s="124">
        <f>ROUND('[7]2040'!J26,2)</f>
        <v>35130.33</v>
      </c>
      <c r="K561" s="124">
        <f>ROUND('[7]2040'!K26,2)</f>
        <v>33414.1</v>
      </c>
      <c r="L561" s="124">
        <f>ROUND('[7]2040'!L26,2)</f>
        <v>35021</v>
      </c>
      <c r="M561" s="124">
        <f>ROUND('[7]2040'!M26,2)</f>
        <v>37349.230000000003</v>
      </c>
      <c r="N561" s="124">
        <f>ROUND('[7]2040'!N26,2)</f>
        <v>39478.06</v>
      </c>
      <c r="O561" s="124">
        <f>ROUND('[7]2040'!O26,2)</f>
        <v>41091.919999999998</v>
      </c>
      <c r="P561" s="124">
        <f>ROUND('[7]2040'!P26,2)</f>
        <v>42617.67</v>
      </c>
      <c r="Q561" s="124">
        <f>ROUND('[7]2040'!Q26,2)</f>
        <v>43384.09</v>
      </c>
      <c r="R561" s="124">
        <f>ROUND('[7]2040'!R26,2)</f>
        <v>43579.92</v>
      </c>
      <c r="S561" s="124">
        <f>ROUND('[7]2040'!S26,2)</f>
        <v>43804.04</v>
      </c>
      <c r="T561" s="124">
        <f>ROUND('[7]2040'!T26,2)</f>
        <v>44116.33</v>
      </c>
      <c r="U561" s="124">
        <f>ROUND('[7]2040'!U26,2)</f>
        <v>43571.18</v>
      </c>
      <c r="V561" s="124">
        <f>ROUND('[7]2040'!V26,2)</f>
        <v>43676</v>
      </c>
      <c r="W561" s="124">
        <f>ROUND('[7]2040'!W26,2)</f>
        <v>48378.7</v>
      </c>
      <c r="X561" s="124">
        <f>ROUND('[7]2040'!X26,2)</f>
        <v>50117.81</v>
      </c>
      <c r="Y561" s="124">
        <f>ROUND('[7]2040'!Y26,2)</f>
        <v>50027.76</v>
      </c>
      <c r="Z561" s="124">
        <f>ROUND('[7]2040'!Z26,2)</f>
        <v>49058.55</v>
      </c>
      <c r="AA561" s="124">
        <f>ROUND('[7]2040'!AA26,2)</f>
        <v>46450.879999999997</v>
      </c>
      <c r="AB561" s="124">
        <f>ROUND('[7]2040'!AB26,2)</f>
        <v>43029.279999999999</v>
      </c>
      <c r="AC561" s="282"/>
      <c r="AD561" s="187"/>
    </row>
    <row r="562" spans="2:30" s="188" customFormat="1" ht="18.649999999999999" customHeight="1" x14ac:dyDescent="0.35">
      <c r="B562" s="263">
        <v>51227</v>
      </c>
      <c r="C562" s="7" t="s">
        <v>29</v>
      </c>
      <c r="D562" s="8">
        <f>+'[7]2040'!D27</f>
        <v>21</v>
      </c>
      <c r="E562" s="127">
        <f>ROUND('[7]2040'!E27,2)</f>
        <v>40917.21</v>
      </c>
      <c r="F562" s="125">
        <f>ROUND('[7]2040'!F27,2)</f>
        <v>39153.089999999997</v>
      </c>
      <c r="G562" s="125">
        <f>ROUND('[7]2040'!G27,2)</f>
        <v>37423.97</v>
      </c>
      <c r="H562" s="125">
        <f>ROUND('[7]2040'!H27,2)</f>
        <v>36457.519999999997</v>
      </c>
      <c r="I562" s="125">
        <f>ROUND('[7]2040'!I27,2)</f>
        <v>36226.589999999997</v>
      </c>
      <c r="J562" s="125">
        <f>ROUND('[7]2040'!J27,2)</f>
        <v>35850.519999999997</v>
      </c>
      <c r="K562" s="125">
        <f>ROUND('[7]2040'!K27,2)</f>
        <v>35974.980000000003</v>
      </c>
      <c r="L562" s="125">
        <f>ROUND('[7]2040'!L27,2)</f>
        <v>40018.78</v>
      </c>
      <c r="M562" s="125">
        <f>ROUND('[7]2040'!M27,2)</f>
        <v>44608.72</v>
      </c>
      <c r="N562" s="125">
        <f>ROUND('[7]2040'!N27,2)</f>
        <v>47320.84</v>
      </c>
      <c r="O562" s="125">
        <f>ROUND('[7]2040'!O27,2)</f>
        <v>49575.49</v>
      </c>
      <c r="P562" s="125">
        <f>ROUND('[7]2040'!P27,2)</f>
        <v>50996.02</v>
      </c>
      <c r="Q562" s="125">
        <f>ROUND('[7]2040'!Q27,2)</f>
        <v>50048.29</v>
      </c>
      <c r="R562" s="125">
        <f>ROUND('[7]2040'!R27,2)</f>
        <v>49448.1</v>
      </c>
      <c r="S562" s="125">
        <f>ROUND('[7]2040'!S27,2)</f>
        <v>49791.15</v>
      </c>
      <c r="T562" s="125">
        <f>ROUND('[7]2040'!T27,2)</f>
        <v>49783.76</v>
      </c>
      <c r="U562" s="125">
        <f>ROUND('[7]2040'!U27,2)</f>
        <v>49000.82</v>
      </c>
      <c r="V562" s="125">
        <f>ROUND('[7]2040'!V27,2)</f>
        <v>48717.84</v>
      </c>
      <c r="W562" s="125">
        <f>ROUND('[7]2040'!W27,2)</f>
        <v>53660.15</v>
      </c>
      <c r="X562" s="125">
        <f>ROUND('[7]2040'!X27,2)</f>
        <v>54087.11</v>
      </c>
      <c r="Y562" s="125">
        <f>ROUND('[7]2040'!Y27,2)</f>
        <v>52762.54</v>
      </c>
      <c r="Z562" s="125">
        <f>ROUND('[7]2040'!Z27,2)</f>
        <v>50929.57</v>
      </c>
      <c r="AA562" s="125">
        <f>ROUND('[7]2040'!AA27,2)</f>
        <v>48424.54</v>
      </c>
      <c r="AB562" s="125">
        <f>ROUND('[7]2040'!AB27,2)</f>
        <v>45390.1</v>
      </c>
      <c r="AC562" s="283">
        <f>SUM(E562:AB562)*D562+SUM(E563:AB563)*D563+SUM(E564:AB564)*D564+SUM(E565:AB565)*D565</f>
        <v>32532430.489999998</v>
      </c>
      <c r="AD562" s="187"/>
    </row>
    <row r="563" spans="2:30" s="188" customFormat="1" ht="18.649999999999999" customHeight="1" x14ac:dyDescent="0.35">
      <c r="B563" s="264" t="s">
        <v>34</v>
      </c>
      <c r="C563" s="10" t="s">
        <v>30</v>
      </c>
      <c r="D563" s="11">
        <f>+'[7]2040'!D28</f>
        <v>4</v>
      </c>
      <c r="E563" s="128">
        <f>ROUND('[7]2040'!E28,2)</f>
        <v>39505</v>
      </c>
      <c r="F563" s="123">
        <f>ROUND('[7]2040'!F28,2)</f>
        <v>37557.980000000003</v>
      </c>
      <c r="G563" s="123">
        <f>ROUND('[7]2040'!G28,2)</f>
        <v>36079.01</v>
      </c>
      <c r="H563" s="123">
        <f>ROUND('[7]2040'!H28,2)</f>
        <v>34988.47</v>
      </c>
      <c r="I563" s="123">
        <f>ROUND('[7]2040'!I28,2)</f>
        <v>35021.15</v>
      </c>
      <c r="J563" s="123">
        <f>ROUND('[7]2040'!J28,2)</f>
        <v>35453.07</v>
      </c>
      <c r="K563" s="123">
        <f>ROUND('[7]2040'!K28,2)</f>
        <v>36249.64</v>
      </c>
      <c r="L563" s="123">
        <f>ROUND('[7]2040'!L28,2)</f>
        <v>40194.07</v>
      </c>
      <c r="M563" s="123">
        <f>ROUND('[7]2040'!M28,2)</f>
        <v>44247.33</v>
      </c>
      <c r="N563" s="123">
        <f>ROUND('[7]2040'!N28,2)</f>
        <v>46608.41</v>
      </c>
      <c r="O563" s="123">
        <f>ROUND('[7]2040'!O28,2)</f>
        <v>48725.9</v>
      </c>
      <c r="P563" s="123">
        <f>ROUND('[7]2040'!P28,2)</f>
        <v>50187.66</v>
      </c>
      <c r="Q563" s="123">
        <f>ROUND('[7]2040'!Q28,2)</f>
        <v>48814.65</v>
      </c>
      <c r="R563" s="123">
        <f>ROUND('[7]2040'!R28,2)</f>
        <v>49777.96</v>
      </c>
      <c r="S563" s="123">
        <f>ROUND('[7]2040'!S28,2)</f>
        <v>51436.73</v>
      </c>
      <c r="T563" s="123">
        <f>ROUND('[7]2040'!T28,2)</f>
        <v>51547.29</v>
      </c>
      <c r="U563" s="123">
        <f>ROUND('[7]2040'!U28,2)</f>
        <v>50735.49</v>
      </c>
      <c r="V563" s="123">
        <f>ROUND('[7]2040'!V28,2)</f>
        <v>49627.37</v>
      </c>
      <c r="W563" s="123">
        <f>ROUND('[7]2040'!W28,2)</f>
        <v>53047.360000000001</v>
      </c>
      <c r="X563" s="123">
        <f>ROUND('[7]2040'!X28,2)</f>
        <v>53505.96</v>
      </c>
      <c r="Y563" s="123">
        <f>ROUND('[7]2040'!Y28,2)</f>
        <v>52112.33</v>
      </c>
      <c r="Z563" s="123">
        <f>ROUND('[7]2040'!Z28,2)</f>
        <v>49826.87</v>
      </c>
      <c r="AA563" s="123">
        <f>ROUND('[7]2040'!AA28,2)</f>
        <v>46238.34</v>
      </c>
      <c r="AB563" s="123">
        <f>ROUND('[7]2040'!AB28,2)</f>
        <v>42275.519999999997</v>
      </c>
      <c r="AC563" s="282"/>
      <c r="AD563" s="187"/>
    </row>
    <row r="564" spans="2:30" s="188" customFormat="1" ht="18.649999999999999" customHeight="1" x14ac:dyDescent="0.35">
      <c r="B564" s="264" t="s">
        <v>34</v>
      </c>
      <c r="C564" s="10" t="s">
        <v>31</v>
      </c>
      <c r="D564" s="11">
        <f>+'[7]2040'!D29</f>
        <v>5</v>
      </c>
      <c r="E564" s="128">
        <f>ROUND('[7]2040'!E29,2)</f>
        <v>42574.6</v>
      </c>
      <c r="F564" s="123">
        <f>ROUND('[7]2040'!F29,2)</f>
        <v>40418.75</v>
      </c>
      <c r="G564" s="123">
        <f>ROUND('[7]2040'!G29,2)</f>
        <v>38632.86</v>
      </c>
      <c r="H564" s="123">
        <f>ROUND('[7]2040'!H29,2)</f>
        <v>37414.620000000003</v>
      </c>
      <c r="I564" s="123">
        <f>ROUND('[7]2040'!I29,2)</f>
        <v>36700.85</v>
      </c>
      <c r="J564" s="123">
        <f>ROUND('[7]2040'!J29,2)</f>
        <v>35612.449999999997</v>
      </c>
      <c r="K564" s="123">
        <f>ROUND('[7]2040'!K29,2)</f>
        <v>34521.96</v>
      </c>
      <c r="L564" s="123">
        <f>ROUND('[7]2040'!L29,2)</f>
        <v>36455.83</v>
      </c>
      <c r="M564" s="123">
        <f>ROUND('[7]2040'!M29,2)</f>
        <v>39011.64</v>
      </c>
      <c r="N564" s="123">
        <f>ROUND('[7]2040'!N29,2)</f>
        <v>41316.230000000003</v>
      </c>
      <c r="O564" s="123">
        <f>ROUND('[7]2040'!O29,2)</f>
        <v>43138.22</v>
      </c>
      <c r="P564" s="123">
        <f>ROUND('[7]2040'!P29,2)</f>
        <v>44624.93</v>
      </c>
      <c r="Q564" s="123">
        <f>ROUND('[7]2040'!Q29,2)</f>
        <v>45309.38</v>
      </c>
      <c r="R564" s="123">
        <f>ROUND('[7]2040'!R29,2)</f>
        <v>45435.88</v>
      </c>
      <c r="S564" s="123">
        <f>ROUND('[7]2040'!S29,2)</f>
        <v>45186.61</v>
      </c>
      <c r="T564" s="123">
        <f>ROUND('[7]2040'!T29,2)</f>
        <v>44985.67</v>
      </c>
      <c r="U564" s="123">
        <f>ROUND('[7]2040'!U29,2)</f>
        <v>44526.62</v>
      </c>
      <c r="V564" s="123">
        <f>ROUND('[7]2040'!V29,2)</f>
        <v>44951.99</v>
      </c>
      <c r="W564" s="123">
        <f>ROUND('[7]2040'!W29,2)</f>
        <v>50225.3</v>
      </c>
      <c r="X564" s="123">
        <f>ROUND('[7]2040'!X29,2)</f>
        <v>51735.31</v>
      </c>
      <c r="Y564" s="123">
        <f>ROUND('[7]2040'!Y29,2)</f>
        <v>51385.86</v>
      </c>
      <c r="Z564" s="123">
        <f>ROUND('[7]2040'!Z29,2)</f>
        <v>49808.66</v>
      </c>
      <c r="AA564" s="123">
        <f>ROUND('[7]2040'!AA29,2)</f>
        <v>46771.02</v>
      </c>
      <c r="AB564" s="123">
        <f>ROUND('[7]2040'!AB29,2)</f>
        <v>43145.67</v>
      </c>
      <c r="AC564" s="282"/>
      <c r="AD564" s="187"/>
    </row>
    <row r="565" spans="2:30" s="188" customFormat="1" ht="18.649999999999999" customHeight="1" thickBot="1" x14ac:dyDescent="0.4">
      <c r="B565" s="265" t="s">
        <v>34</v>
      </c>
      <c r="C565" s="12" t="s">
        <v>32</v>
      </c>
      <c r="D565" s="13">
        <f>+'[7]2040'!D30</f>
        <v>0</v>
      </c>
      <c r="E565" s="199">
        <f>ROUND('[7]2040'!E30,2)</f>
        <v>0</v>
      </c>
      <c r="F565" s="199">
        <f>ROUND('[7]2040'!F30,2)</f>
        <v>0</v>
      </c>
      <c r="G565" s="199">
        <f>ROUND('[7]2040'!G30,2)</f>
        <v>0</v>
      </c>
      <c r="H565" s="199">
        <f>ROUND('[7]2040'!H30,2)</f>
        <v>0</v>
      </c>
      <c r="I565" s="199">
        <f>ROUND('[7]2040'!I30,2)</f>
        <v>0</v>
      </c>
      <c r="J565" s="199">
        <f>ROUND('[7]2040'!J30,2)</f>
        <v>0</v>
      </c>
      <c r="K565" s="199">
        <f>ROUND('[7]2040'!K30,2)</f>
        <v>0</v>
      </c>
      <c r="L565" s="199">
        <f>ROUND('[7]2040'!L30,2)</f>
        <v>0</v>
      </c>
      <c r="M565" s="199">
        <f>ROUND('[7]2040'!M30,2)</f>
        <v>0</v>
      </c>
      <c r="N565" s="199">
        <f>ROUND('[7]2040'!N30,2)</f>
        <v>0</v>
      </c>
      <c r="O565" s="199">
        <f>ROUND('[7]2040'!O30,2)</f>
        <v>0</v>
      </c>
      <c r="P565" s="199">
        <f>ROUND('[7]2040'!P30,2)</f>
        <v>0</v>
      </c>
      <c r="Q565" s="199">
        <f>ROUND('[7]2040'!Q30,2)</f>
        <v>0</v>
      </c>
      <c r="R565" s="199">
        <f>ROUND('[7]2040'!R30,2)</f>
        <v>0</v>
      </c>
      <c r="S565" s="199">
        <f>ROUND('[7]2040'!S30,2)</f>
        <v>0</v>
      </c>
      <c r="T565" s="199">
        <f>ROUND('[7]2040'!T30,2)</f>
        <v>0</v>
      </c>
      <c r="U565" s="199">
        <f>ROUND('[7]2040'!U30,2)</f>
        <v>0</v>
      </c>
      <c r="V565" s="199">
        <f>ROUND('[7]2040'!V30,2)</f>
        <v>0</v>
      </c>
      <c r="W565" s="199">
        <f>ROUND('[7]2040'!W30,2)</f>
        <v>0</v>
      </c>
      <c r="X565" s="199">
        <f>ROUND('[7]2040'!X30,2)</f>
        <v>0</v>
      </c>
      <c r="Y565" s="199">
        <f>ROUND('[7]2040'!Y30,2)</f>
        <v>0</v>
      </c>
      <c r="Z565" s="199">
        <f>ROUND('[7]2040'!Z30,2)</f>
        <v>0</v>
      </c>
      <c r="AA565" s="199">
        <f>ROUND('[7]2040'!AA30,2)</f>
        <v>0</v>
      </c>
      <c r="AB565" s="199">
        <f>ROUND('[7]2040'!AB30,2)</f>
        <v>0</v>
      </c>
      <c r="AC565" s="284"/>
      <c r="AD565" s="187"/>
    </row>
    <row r="566" spans="2:30" s="188" customFormat="1" ht="18.649999999999999" customHeight="1" x14ac:dyDescent="0.35">
      <c r="B566" s="260">
        <v>51257</v>
      </c>
      <c r="C566" s="14" t="s">
        <v>29</v>
      </c>
      <c r="D566" s="15">
        <f>+'[7]2040'!D31</f>
        <v>21</v>
      </c>
      <c r="E566" s="131">
        <f>ROUND('[7]2040'!E31,2)</f>
        <v>41512.83</v>
      </c>
      <c r="F566" s="122">
        <f>ROUND('[7]2040'!F31,2)</f>
        <v>39352.730000000003</v>
      </c>
      <c r="G566" s="122">
        <f>ROUND('[7]2040'!G31,2)</f>
        <v>37609.68</v>
      </c>
      <c r="H566" s="122">
        <f>ROUND('[7]2040'!H31,2)</f>
        <v>36118.97</v>
      </c>
      <c r="I566" s="122">
        <f>ROUND('[7]2040'!I31,2)</f>
        <v>35717.14</v>
      </c>
      <c r="J566" s="122">
        <f>ROUND('[7]2040'!J31,2)</f>
        <v>35151.440000000002</v>
      </c>
      <c r="K566" s="122">
        <f>ROUND('[7]2040'!K31,2)</f>
        <v>35670.97</v>
      </c>
      <c r="L566" s="122">
        <f>ROUND('[7]2040'!L31,2)</f>
        <v>39507.74</v>
      </c>
      <c r="M566" s="122">
        <f>ROUND('[7]2040'!M31,2)</f>
        <v>43979.41</v>
      </c>
      <c r="N566" s="122">
        <f>ROUND('[7]2040'!N31,2)</f>
        <v>46446.46</v>
      </c>
      <c r="O566" s="122">
        <f>ROUND('[7]2040'!O31,2)</f>
        <v>48012.36</v>
      </c>
      <c r="P566" s="122">
        <f>ROUND('[7]2040'!P31,2)</f>
        <v>49163.06</v>
      </c>
      <c r="Q566" s="122">
        <f>ROUND('[7]2040'!Q31,2)</f>
        <v>48318.46</v>
      </c>
      <c r="R566" s="122">
        <f>ROUND('[7]2040'!R31,2)</f>
        <v>47449.34</v>
      </c>
      <c r="S566" s="122">
        <f>ROUND('[7]2040'!S31,2)</f>
        <v>47417.4</v>
      </c>
      <c r="T566" s="122">
        <f>ROUND('[7]2040'!T31,2)</f>
        <v>47150.16</v>
      </c>
      <c r="U566" s="122">
        <f>ROUND('[7]2040'!U31,2)</f>
        <v>46509.55</v>
      </c>
      <c r="V566" s="122">
        <f>ROUND('[7]2040'!V31,2)</f>
        <v>46794.77</v>
      </c>
      <c r="W566" s="122">
        <f>ROUND('[7]2040'!W31,2)</f>
        <v>51873.59</v>
      </c>
      <c r="X566" s="122">
        <f>ROUND('[7]2040'!X31,2)</f>
        <v>52356.38</v>
      </c>
      <c r="Y566" s="122">
        <f>ROUND('[7]2040'!Y31,2)</f>
        <v>50670.47</v>
      </c>
      <c r="Z566" s="122">
        <f>ROUND('[7]2040'!Z31,2)</f>
        <v>48579.26</v>
      </c>
      <c r="AA566" s="122">
        <f>ROUND('[7]2040'!AA31,2)</f>
        <v>45829.21</v>
      </c>
      <c r="AB566" s="122">
        <f>ROUND('[7]2040'!AB31,2)</f>
        <v>42748.86</v>
      </c>
      <c r="AC566" s="282">
        <f>SUM(E566:AB566)*D566+SUM(E567:AB567)*D567+SUM(E568:AB568)*D568+SUM(E569:AB569)*D569</f>
        <v>32682268.779999997</v>
      </c>
      <c r="AD566" s="187"/>
    </row>
    <row r="567" spans="2:30" s="188" customFormat="1" ht="18.649999999999999" customHeight="1" x14ac:dyDescent="0.35">
      <c r="B567" s="261"/>
      <c r="C567" s="10" t="s">
        <v>30</v>
      </c>
      <c r="D567" s="11">
        <f>+'[7]2040'!D32</f>
        <v>4</v>
      </c>
      <c r="E567" s="128">
        <f>ROUND('[7]2040'!E32,2)</f>
        <v>38270.44</v>
      </c>
      <c r="F567" s="123">
        <f>ROUND('[7]2040'!F32,2)</f>
        <v>36377.32</v>
      </c>
      <c r="G567" s="123">
        <f>ROUND('[7]2040'!G32,2)</f>
        <v>34991.72</v>
      </c>
      <c r="H567" s="123">
        <f>ROUND('[7]2040'!H32,2)</f>
        <v>34037.33</v>
      </c>
      <c r="I567" s="123">
        <f>ROUND('[7]2040'!I32,2)</f>
        <v>33914.870000000003</v>
      </c>
      <c r="J567" s="123">
        <f>ROUND('[7]2040'!J32,2)</f>
        <v>33872.230000000003</v>
      </c>
      <c r="K567" s="123">
        <f>ROUND('[7]2040'!K32,2)</f>
        <v>34388.15</v>
      </c>
      <c r="L567" s="123">
        <f>ROUND('[7]2040'!L32,2)</f>
        <v>38418.17</v>
      </c>
      <c r="M567" s="123">
        <f>ROUND('[7]2040'!M32,2)</f>
        <v>42358.73</v>
      </c>
      <c r="N567" s="123">
        <f>ROUND('[7]2040'!N32,2)</f>
        <v>44634.18</v>
      </c>
      <c r="O567" s="123">
        <f>ROUND('[7]2040'!O32,2)</f>
        <v>46857.06</v>
      </c>
      <c r="P567" s="123">
        <f>ROUND('[7]2040'!P32,2)</f>
        <v>48458.18</v>
      </c>
      <c r="Q567" s="123">
        <f>ROUND('[7]2040'!Q32,2)</f>
        <v>47401.04</v>
      </c>
      <c r="R567" s="123">
        <f>ROUND('[7]2040'!R32,2)</f>
        <v>47906.34</v>
      </c>
      <c r="S567" s="123">
        <f>ROUND('[7]2040'!S32,2)</f>
        <v>49167.31</v>
      </c>
      <c r="T567" s="123">
        <f>ROUND('[7]2040'!T32,2)</f>
        <v>49105.73</v>
      </c>
      <c r="U567" s="123">
        <f>ROUND('[7]2040'!U32,2)</f>
        <v>48398.400000000001</v>
      </c>
      <c r="V567" s="123">
        <f>ROUND('[7]2040'!V32,2)</f>
        <v>47458.26</v>
      </c>
      <c r="W567" s="123">
        <f>ROUND('[7]2040'!W32,2)</f>
        <v>50915.08</v>
      </c>
      <c r="X567" s="123">
        <f>ROUND('[7]2040'!X32,2)</f>
        <v>51874.48</v>
      </c>
      <c r="Y567" s="123">
        <f>ROUND('[7]2040'!Y32,2)</f>
        <v>50461.68</v>
      </c>
      <c r="Z567" s="123">
        <f>ROUND('[7]2040'!Z32,2)</f>
        <v>48141.95</v>
      </c>
      <c r="AA567" s="123">
        <f>ROUND('[7]2040'!AA32,2)</f>
        <v>44654.82</v>
      </c>
      <c r="AB567" s="123">
        <f>ROUND('[7]2040'!AB32,2)</f>
        <v>41018.089999999997</v>
      </c>
      <c r="AC567" s="282"/>
      <c r="AD567" s="187"/>
    </row>
    <row r="568" spans="2:30" s="188" customFormat="1" ht="18.649999999999999" customHeight="1" x14ac:dyDescent="0.35">
      <c r="B568" s="261"/>
      <c r="C568" s="10" t="s">
        <v>31</v>
      </c>
      <c r="D568" s="11">
        <f>+'[7]2040'!D33</f>
        <v>4</v>
      </c>
      <c r="E568" s="128">
        <f>ROUND('[7]2040'!E33,2)</f>
        <v>38242.25</v>
      </c>
      <c r="F568" s="123">
        <f>ROUND('[7]2040'!F33,2)</f>
        <v>36744.69</v>
      </c>
      <c r="G568" s="123">
        <f>ROUND('[7]2040'!G33,2)</f>
        <v>35208.870000000003</v>
      </c>
      <c r="H568" s="123">
        <f>ROUND('[7]2040'!H33,2)</f>
        <v>34392.25</v>
      </c>
      <c r="I568" s="123">
        <f>ROUND('[7]2040'!I33,2)</f>
        <v>34130.31</v>
      </c>
      <c r="J568" s="123">
        <f>ROUND('[7]2040'!J33,2)</f>
        <v>33283.269999999997</v>
      </c>
      <c r="K568" s="123">
        <f>ROUND('[7]2040'!K33,2)</f>
        <v>33144.870000000003</v>
      </c>
      <c r="L568" s="123">
        <f>ROUND('[7]2040'!L33,2)</f>
        <v>35713.199999999997</v>
      </c>
      <c r="M568" s="123">
        <f>ROUND('[7]2040'!M33,2)</f>
        <v>38691.18</v>
      </c>
      <c r="N568" s="123">
        <f>ROUND('[7]2040'!N33,2)</f>
        <v>41006.71</v>
      </c>
      <c r="O568" s="123">
        <f>ROUND('[7]2040'!O33,2)</f>
        <v>42767.06</v>
      </c>
      <c r="P568" s="123">
        <f>ROUND('[7]2040'!P33,2)</f>
        <v>44954.21</v>
      </c>
      <c r="Q568" s="123">
        <f>ROUND('[7]2040'!Q33,2)</f>
        <v>46179.48</v>
      </c>
      <c r="R568" s="123">
        <f>ROUND('[7]2040'!R33,2)</f>
        <v>46411.66</v>
      </c>
      <c r="S568" s="123">
        <f>ROUND('[7]2040'!S33,2)</f>
        <v>46465.13</v>
      </c>
      <c r="T568" s="123">
        <f>ROUND('[7]2040'!T33,2)</f>
        <v>46556.2</v>
      </c>
      <c r="U568" s="123">
        <f>ROUND('[7]2040'!U33,2)</f>
        <v>46081.2</v>
      </c>
      <c r="V568" s="123">
        <f>ROUND('[7]2040'!V33,2)</f>
        <v>46093.22</v>
      </c>
      <c r="W568" s="123">
        <f>ROUND('[7]2040'!W33,2)</f>
        <v>51517.5</v>
      </c>
      <c r="X568" s="123">
        <f>ROUND('[7]2040'!X33,2)</f>
        <v>53472.85</v>
      </c>
      <c r="Y568" s="123">
        <f>ROUND('[7]2040'!Y33,2)</f>
        <v>53147.28</v>
      </c>
      <c r="Z568" s="123">
        <f>ROUND('[7]2040'!Z33,2)</f>
        <v>51356.51</v>
      </c>
      <c r="AA568" s="123">
        <f>ROUND('[7]2040'!AA33,2)</f>
        <v>48072.17</v>
      </c>
      <c r="AB568" s="123">
        <f>ROUND('[7]2040'!AB33,2)</f>
        <v>44234.18</v>
      </c>
      <c r="AC568" s="282"/>
      <c r="AD568" s="187"/>
    </row>
    <row r="569" spans="2:30" s="188" customFormat="1" ht="18.649999999999999" customHeight="1" thickBot="1" x14ac:dyDescent="0.4">
      <c r="B569" s="261"/>
      <c r="C569" s="16" t="s">
        <v>32</v>
      </c>
      <c r="D569" s="17">
        <f>+'[7]2040'!D34</f>
        <v>2</v>
      </c>
      <c r="E569" s="129">
        <f>ROUND('[7]2040'!E34,2)</f>
        <v>38242.25</v>
      </c>
      <c r="F569" s="124">
        <f>ROUND('[7]2040'!F34,2)</f>
        <v>36744.69</v>
      </c>
      <c r="G569" s="124">
        <f>ROUND('[7]2040'!G34,2)</f>
        <v>35208.870000000003</v>
      </c>
      <c r="H569" s="124">
        <f>ROUND('[7]2040'!H34,2)</f>
        <v>34392.25</v>
      </c>
      <c r="I569" s="124">
        <f>ROUND('[7]2040'!I34,2)</f>
        <v>34130.31</v>
      </c>
      <c r="J569" s="124">
        <f>ROUND('[7]2040'!J34,2)</f>
        <v>33283.269999999997</v>
      </c>
      <c r="K569" s="124">
        <f>ROUND('[7]2040'!K34,2)</f>
        <v>33144.870000000003</v>
      </c>
      <c r="L569" s="124">
        <f>ROUND('[7]2040'!L34,2)</f>
        <v>35713.199999999997</v>
      </c>
      <c r="M569" s="124">
        <f>ROUND('[7]2040'!M34,2)</f>
        <v>38691.18</v>
      </c>
      <c r="N569" s="124">
        <f>ROUND('[7]2040'!N34,2)</f>
        <v>41006.71</v>
      </c>
      <c r="O569" s="124">
        <f>ROUND('[7]2040'!O34,2)</f>
        <v>42767.06</v>
      </c>
      <c r="P569" s="124">
        <f>ROUND('[7]2040'!P34,2)</f>
        <v>44954.21</v>
      </c>
      <c r="Q569" s="124">
        <f>ROUND('[7]2040'!Q34,2)</f>
        <v>46179.48</v>
      </c>
      <c r="R569" s="124">
        <f>ROUND('[7]2040'!R34,2)</f>
        <v>46411.66</v>
      </c>
      <c r="S569" s="124">
        <f>ROUND('[7]2040'!S34,2)</f>
        <v>46465.13</v>
      </c>
      <c r="T569" s="124">
        <f>ROUND('[7]2040'!T34,2)</f>
        <v>46556.2</v>
      </c>
      <c r="U569" s="124">
        <f>ROUND('[7]2040'!U34,2)</f>
        <v>46081.2</v>
      </c>
      <c r="V569" s="124">
        <f>ROUND('[7]2040'!V34,2)</f>
        <v>46093.22</v>
      </c>
      <c r="W569" s="124">
        <f>ROUND('[7]2040'!W34,2)</f>
        <v>51517.5</v>
      </c>
      <c r="X569" s="124">
        <f>ROUND('[7]2040'!X34,2)</f>
        <v>53472.85</v>
      </c>
      <c r="Y569" s="124">
        <f>ROUND('[7]2040'!Y34,2)</f>
        <v>53147.28</v>
      </c>
      <c r="Z569" s="124">
        <f>ROUND('[7]2040'!Z34,2)</f>
        <v>51356.51</v>
      </c>
      <c r="AA569" s="124">
        <f>ROUND('[7]2040'!AA34,2)</f>
        <v>48072.17</v>
      </c>
      <c r="AB569" s="124">
        <f>ROUND('[7]2040'!AB34,2)</f>
        <v>44234.18</v>
      </c>
      <c r="AC569" s="282"/>
      <c r="AD569" s="187"/>
    </row>
    <row r="570" spans="2:30" s="188" customFormat="1" ht="18.649999999999999" customHeight="1" x14ac:dyDescent="0.35">
      <c r="B570" s="263">
        <v>51288</v>
      </c>
      <c r="C570" s="7" t="s">
        <v>29</v>
      </c>
      <c r="D570" s="8">
        <f>+'[7]2040'!D35</f>
        <v>19</v>
      </c>
      <c r="E570" s="127">
        <f>ROUND('[7]2040'!E35,2)</f>
        <v>37861.449999999997</v>
      </c>
      <c r="F570" s="125">
        <f>ROUND('[7]2040'!F35,2)</f>
        <v>35981.81</v>
      </c>
      <c r="G570" s="125">
        <f>ROUND('[7]2040'!G35,2)</f>
        <v>34593.06</v>
      </c>
      <c r="H570" s="125">
        <f>ROUND('[7]2040'!H35,2)</f>
        <v>33666.339999999997</v>
      </c>
      <c r="I570" s="125">
        <f>ROUND('[7]2040'!I35,2)</f>
        <v>33418.79</v>
      </c>
      <c r="J570" s="125">
        <f>ROUND('[7]2040'!J35,2)</f>
        <v>33063.730000000003</v>
      </c>
      <c r="K570" s="125">
        <f>ROUND('[7]2040'!K35,2)</f>
        <v>33615.43</v>
      </c>
      <c r="L570" s="125">
        <f>ROUND('[7]2040'!L35,2)</f>
        <v>37664.559999999998</v>
      </c>
      <c r="M570" s="125">
        <f>ROUND('[7]2040'!M35,2)</f>
        <v>42116.84</v>
      </c>
      <c r="N570" s="125">
        <f>ROUND('[7]2040'!N35,2)</f>
        <v>44854.41</v>
      </c>
      <c r="O570" s="125">
        <f>ROUND('[7]2040'!O35,2)</f>
        <v>47233.32</v>
      </c>
      <c r="P570" s="125">
        <f>ROUND('[7]2040'!P35,2)</f>
        <v>48542.55</v>
      </c>
      <c r="Q570" s="125">
        <f>ROUND('[7]2040'!Q35,2)</f>
        <v>47825.91</v>
      </c>
      <c r="R570" s="125">
        <f>ROUND('[7]2040'!R35,2)</f>
        <v>47004.74</v>
      </c>
      <c r="S570" s="125">
        <f>ROUND('[7]2040'!S35,2)</f>
        <v>47044.39</v>
      </c>
      <c r="T570" s="125">
        <f>ROUND('[7]2040'!T35,2)</f>
        <v>46909.120000000003</v>
      </c>
      <c r="U570" s="125">
        <f>ROUND('[7]2040'!U35,2)</f>
        <v>46433.88</v>
      </c>
      <c r="V570" s="125">
        <f>ROUND('[7]2040'!V35,2)</f>
        <v>46483.47</v>
      </c>
      <c r="W570" s="125">
        <f>ROUND('[7]2040'!W35,2)</f>
        <v>50487.96</v>
      </c>
      <c r="X570" s="125">
        <f>ROUND('[7]2040'!X35,2)</f>
        <v>51208.68</v>
      </c>
      <c r="Y570" s="125">
        <f>ROUND('[7]2040'!Y35,2)</f>
        <v>49424.44</v>
      </c>
      <c r="Z570" s="125">
        <f>ROUND('[7]2040'!Z35,2)</f>
        <v>47388.07</v>
      </c>
      <c r="AA570" s="125">
        <f>ROUND('[7]2040'!AA35,2)</f>
        <v>44874.84</v>
      </c>
      <c r="AB570" s="125">
        <f>ROUND('[7]2040'!AB35,2)</f>
        <v>42035.14</v>
      </c>
      <c r="AC570" s="283">
        <f>SUM(E570:AB570)*D570+SUM(E571:AB571)*D571+SUM(E572:AB572)*D572+SUM(E573:AB573)*D573</f>
        <v>30780197.210000001</v>
      </c>
      <c r="AD570" s="187"/>
    </row>
    <row r="571" spans="2:30" s="188" customFormat="1" ht="18.649999999999999" customHeight="1" x14ac:dyDescent="0.35">
      <c r="B571" s="264" t="s">
        <v>34</v>
      </c>
      <c r="C571" s="10" t="s">
        <v>30</v>
      </c>
      <c r="D571" s="11">
        <f>+'[7]2040'!D36</f>
        <v>5</v>
      </c>
      <c r="E571" s="128">
        <f>ROUND('[7]2040'!E36,2)</f>
        <v>38990.089999999997</v>
      </c>
      <c r="F571" s="123">
        <f>ROUND('[7]2040'!F36,2)</f>
        <v>37071.339999999997</v>
      </c>
      <c r="G571" s="123">
        <f>ROUND('[7]2040'!G36,2)</f>
        <v>35613.33</v>
      </c>
      <c r="H571" s="123">
        <f>ROUND('[7]2040'!H36,2)</f>
        <v>34601.660000000003</v>
      </c>
      <c r="I571" s="123">
        <f>ROUND('[7]2040'!I36,2)</f>
        <v>34482.61</v>
      </c>
      <c r="J571" s="123">
        <f>ROUND('[7]2040'!J36,2)</f>
        <v>34869.61</v>
      </c>
      <c r="K571" s="123">
        <f>ROUND('[7]2040'!K36,2)</f>
        <v>35106.269999999997</v>
      </c>
      <c r="L571" s="123">
        <f>ROUND('[7]2040'!L36,2)</f>
        <v>39055.65</v>
      </c>
      <c r="M571" s="123">
        <f>ROUND('[7]2040'!M36,2)</f>
        <v>43227.93</v>
      </c>
      <c r="N571" s="123">
        <f>ROUND('[7]2040'!N36,2)</f>
        <v>45642.2</v>
      </c>
      <c r="O571" s="123">
        <f>ROUND('[7]2040'!O36,2)</f>
        <v>47920.35</v>
      </c>
      <c r="P571" s="123">
        <f>ROUND('[7]2040'!P36,2)</f>
        <v>49407.11</v>
      </c>
      <c r="Q571" s="123">
        <f>ROUND('[7]2040'!Q36,2)</f>
        <v>48149.01</v>
      </c>
      <c r="R571" s="123">
        <f>ROUND('[7]2040'!R36,2)</f>
        <v>49307.22</v>
      </c>
      <c r="S571" s="123">
        <f>ROUND('[7]2040'!S36,2)</f>
        <v>50981.46</v>
      </c>
      <c r="T571" s="123">
        <f>ROUND('[7]2040'!T36,2)</f>
        <v>51048.41</v>
      </c>
      <c r="U571" s="123">
        <f>ROUND('[7]2040'!U36,2)</f>
        <v>50098.28</v>
      </c>
      <c r="V571" s="123">
        <f>ROUND('[7]2040'!V36,2)</f>
        <v>48451.65</v>
      </c>
      <c r="W571" s="123">
        <f>ROUND('[7]2040'!W36,2)</f>
        <v>51299.89</v>
      </c>
      <c r="X571" s="123">
        <f>ROUND('[7]2040'!X36,2)</f>
        <v>52800.94</v>
      </c>
      <c r="Y571" s="123">
        <f>ROUND('[7]2040'!Y36,2)</f>
        <v>51596.84</v>
      </c>
      <c r="Z571" s="123">
        <f>ROUND('[7]2040'!Z36,2)</f>
        <v>49410.01</v>
      </c>
      <c r="AA571" s="123">
        <f>ROUND('[7]2040'!AA36,2)</f>
        <v>45844.98</v>
      </c>
      <c r="AB571" s="123">
        <f>ROUND('[7]2040'!AB36,2)</f>
        <v>42114.32</v>
      </c>
      <c r="AC571" s="282"/>
      <c r="AD571" s="187"/>
    </row>
    <row r="572" spans="2:30" s="188" customFormat="1" ht="18.649999999999999" customHeight="1" x14ac:dyDescent="0.35">
      <c r="B572" s="264" t="s">
        <v>34</v>
      </c>
      <c r="C572" s="10" t="s">
        <v>31</v>
      </c>
      <c r="D572" s="11">
        <f>+'[7]2040'!D37</f>
        <v>4</v>
      </c>
      <c r="E572" s="128">
        <f>ROUND('[7]2040'!E37,2)</f>
        <v>37113.11</v>
      </c>
      <c r="F572" s="123">
        <f>ROUND('[7]2040'!F37,2)</f>
        <v>35613.08</v>
      </c>
      <c r="G572" s="123">
        <f>ROUND('[7]2040'!G37,2)</f>
        <v>34387.370000000003</v>
      </c>
      <c r="H572" s="123">
        <f>ROUND('[7]2040'!H37,2)</f>
        <v>33593.22</v>
      </c>
      <c r="I572" s="123">
        <f>ROUND('[7]2040'!I37,2)</f>
        <v>33276.449999999997</v>
      </c>
      <c r="J572" s="123">
        <f>ROUND('[7]2040'!J37,2)</f>
        <v>32344.62</v>
      </c>
      <c r="K572" s="123">
        <f>ROUND('[7]2040'!K37,2)</f>
        <v>31919.05</v>
      </c>
      <c r="L572" s="123">
        <f>ROUND('[7]2040'!L37,2)</f>
        <v>34519.300000000003</v>
      </c>
      <c r="M572" s="123">
        <f>ROUND('[7]2040'!M37,2)</f>
        <v>37526.19</v>
      </c>
      <c r="N572" s="123">
        <f>ROUND('[7]2040'!N37,2)</f>
        <v>39399.82</v>
      </c>
      <c r="O572" s="123">
        <f>ROUND('[7]2040'!O37,2)</f>
        <v>41621.72</v>
      </c>
      <c r="P572" s="123">
        <f>ROUND('[7]2040'!P37,2)</f>
        <v>43266.02</v>
      </c>
      <c r="Q572" s="123">
        <f>ROUND('[7]2040'!Q37,2)</f>
        <v>44104.65</v>
      </c>
      <c r="R572" s="123">
        <f>ROUND('[7]2040'!R37,2)</f>
        <v>43929.83</v>
      </c>
      <c r="S572" s="123">
        <f>ROUND('[7]2040'!S37,2)</f>
        <v>43564.42</v>
      </c>
      <c r="T572" s="123">
        <f>ROUND('[7]2040'!T37,2)</f>
        <v>43228.480000000003</v>
      </c>
      <c r="U572" s="123">
        <f>ROUND('[7]2040'!U37,2)</f>
        <v>42897.89</v>
      </c>
      <c r="V572" s="123">
        <f>ROUND('[7]2040'!V37,2)</f>
        <v>43545.01</v>
      </c>
      <c r="W572" s="123">
        <f>ROUND('[7]2040'!W37,2)</f>
        <v>48801.760000000002</v>
      </c>
      <c r="X572" s="123">
        <f>ROUND('[7]2040'!X37,2)</f>
        <v>50741.1</v>
      </c>
      <c r="Y572" s="123">
        <f>ROUND('[7]2040'!Y37,2)</f>
        <v>50097.22</v>
      </c>
      <c r="Z572" s="123">
        <f>ROUND('[7]2040'!Z37,2)</f>
        <v>48246.25</v>
      </c>
      <c r="AA572" s="123">
        <f>ROUND('[7]2040'!AA37,2)</f>
        <v>44985.78</v>
      </c>
      <c r="AB572" s="123">
        <f>ROUND('[7]2040'!AB37,2)</f>
        <v>41246.949999999997</v>
      </c>
      <c r="AC572" s="282"/>
      <c r="AD572" s="187"/>
    </row>
    <row r="573" spans="2:30" s="188" customFormat="1" ht="18.649999999999999" customHeight="1" thickBot="1" x14ac:dyDescent="0.4">
      <c r="B573" s="265" t="s">
        <v>34</v>
      </c>
      <c r="C573" s="12" t="s">
        <v>32</v>
      </c>
      <c r="D573" s="13">
        <f>+'[7]2040'!D38</f>
        <v>2</v>
      </c>
      <c r="E573" s="130">
        <f>ROUND('[7]2040'!E38,2)</f>
        <v>37113.11</v>
      </c>
      <c r="F573" s="126">
        <f>ROUND('[7]2040'!F38,2)</f>
        <v>35613.08</v>
      </c>
      <c r="G573" s="126">
        <f>ROUND('[7]2040'!G38,2)</f>
        <v>34387.370000000003</v>
      </c>
      <c r="H573" s="126">
        <f>ROUND('[7]2040'!H38,2)</f>
        <v>33593.22</v>
      </c>
      <c r="I573" s="126">
        <f>ROUND('[7]2040'!I38,2)</f>
        <v>33276.449999999997</v>
      </c>
      <c r="J573" s="126">
        <f>ROUND('[7]2040'!J38,2)</f>
        <v>32344.62</v>
      </c>
      <c r="K573" s="126">
        <f>ROUND('[7]2040'!K38,2)</f>
        <v>31919.05</v>
      </c>
      <c r="L573" s="126">
        <f>ROUND('[7]2040'!L38,2)</f>
        <v>34519.300000000003</v>
      </c>
      <c r="M573" s="126">
        <f>ROUND('[7]2040'!M38,2)</f>
        <v>37526.19</v>
      </c>
      <c r="N573" s="126">
        <f>ROUND('[7]2040'!N38,2)</f>
        <v>39399.82</v>
      </c>
      <c r="O573" s="126">
        <f>ROUND('[7]2040'!O38,2)</f>
        <v>41621.72</v>
      </c>
      <c r="P573" s="126">
        <f>ROUND('[7]2040'!P38,2)</f>
        <v>43266.02</v>
      </c>
      <c r="Q573" s="126">
        <f>ROUND('[7]2040'!Q38,2)</f>
        <v>44104.65</v>
      </c>
      <c r="R573" s="126">
        <f>ROUND('[7]2040'!R38,2)</f>
        <v>43929.83</v>
      </c>
      <c r="S573" s="126">
        <f>ROUND('[7]2040'!S38,2)</f>
        <v>43564.42</v>
      </c>
      <c r="T573" s="126">
        <f>ROUND('[7]2040'!T38,2)</f>
        <v>43228.480000000003</v>
      </c>
      <c r="U573" s="126">
        <f>ROUND('[7]2040'!U38,2)</f>
        <v>42897.89</v>
      </c>
      <c r="V573" s="126">
        <f>ROUND('[7]2040'!V38,2)</f>
        <v>43545.01</v>
      </c>
      <c r="W573" s="126">
        <f>ROUND('[7]2040'!W38,2)</f>
        <v>48801.760000000002</v>
      </c>
      <c r="X573" s="126">
        <f>ROUND('[7]2040'!X38,2)</f>
        <v>50741.1</v>
      </c>
      <c r="Y573" s="126">
        <f>ROUND('[7]2040'!Y38,2)</f>
        <v>50097.22</v>
      </c>
      <c r="Z573" s="126">
        <f>ROUND('[7]2040'!Z38,2)</f>
        <v>48246.25</v>
      </c>
      <c r="AA573" s="126">
        <f>ROUND('[7]2040'!AA38,2)</f>
        <v>44985.78</v>
      </c>
      <c r="AB573" s="126">
        <f>ROUND('[7]2040'!AB38,2)</f>
        <v>41246.949999999997</v>
      </c>
      <c r="AC573" s="284"/>
      <c r="AD573" s="187"/>
    </row>
    <row r="574" spans="2:30" s="188" customFormat="1" ht="18.649999999999999" customHeight="1" x14ac:dyDescent="0.35">
      <c r="B574" s="260">
        <v>51318</v>
      </c>
      <c r="C574" s="14" t="s">
        <v>29</v>
      </c>
      <c r="D574" s="8">
        <f>+'[7]2040'!D39</f>
        <v>20</v>
      </c>
      <c r="E574" s="131">
        <f>ROUND('[7]2040'!E39,2)</f>
        <v>38538.239999999998</v>
      </c>
      <c r="F574" s="122">
        <f>ROUND('[7]2040'!F39,2)</f>
        <v>36683.58</v>
      </c>
      <c r="G574" s="122">
        <f>ROUND('[7]2040'!G39,2)</f>
        <v>35460.959999999999</v>
      </c>
      <c r="H574" s="122">
        <f>ROUND('[7]2040'!H39,2)</f>
        <v>34555.879999999997</v>
      </c>
      <c r="I574" s="122">
        <f>ROUND('[7]2040'!I39,2)</f>
        <v>34415.5</v>
      </c>
      <c r="J574" s="122">
        <f>ROUND('[7]2040'!J39,2)</f>
        <v>34255.089999999997</v>
      </c>
      <c r="K574" s="122">
        <f>ROUND('[7]2040'!K39,2)</f>
        <v>34570.42</v>
      </c>
      <c r="L574" s="122">
        <f>ROUND('[7]2040'!L39,2)</f>
        <v>38603.18</v>
      </c>
      <c r="M574" s="122">
        <f>ROUND('[7]2040'!M39,2)</f>
        <v>43294.879999999997</v>
      </c>
      <c r="N574" s="122">
        <f>ROUND('[7]2040'!N39,2)</f>
        <v>45952.95</v>
      </c>
      <c r="O574" s="122">
        <f>ROUND('[7]2040'!O39,2)</f>
        <v>48343.82</v>
      </c>
      <c r="P574" s="122">
        <f>ROUND('[7]2040'!P39,2)</f>
        <v>49431.67</v>
      </c>
      <c r="Q574" s="122">
        <f>ROUND('[7]2040'!Q39,2)</f>
        <v>48786.82</v>
      </c>
      <c r="R574" s="122">
        <f>ROUND('[7]2040'!R39,2)</f>
        <v>48110.25</v>
      </c>
      <c r="S574" s="122">
        <f>ROUND('[7]2040'!S39,2)</f>
        <v>48189.1</v>
      </c>
      <c r="T574" s="122">
        <f>ROUND('[7]2040'!T39,2)</f>
        <v>48321.05</v>
      </c>
      <c r="U574" s="122">
        <f>ROUND('[7]2040'!U39,2)</f>
        <v>47645.41</v>
      </c>
      <c r="V574" s="122">
        <f>ROUND('[7]2040'!V39,2)</f>
        <v>47538.37</v>
      </c>
      <c r="W574" s="122">
        <f>ROUND('[7]2040'!W39,2)</f>
        <v>51564.85</v>
      </c>
      <c r="X574" s="122">
        <f>ROUND('[7]2040'!X39,2)</f>
        <v>52935.1</v>
      </c>
      <c r="Y574" s="122">
        <f>ROUND('[7]2040'!Y39,2)</f>
        <v>51249.45</v>
      </c>
      <c r="Z574" s="122">
        <f>ROUND('[7]2040'!Z39,2)</f>
        <v>48977.14</v>
      </c>
      <c r="AA574" s="122">
        <f>ROUND('[7]2040'!AA39,2)</f>
        <v>46086.03</v>
      </c>
      <c r="AB574" s="122">
        <f>ROUND('[7]2040'!AB39,2)</f>
        <v>43005.97</v>
      </c>
      <c r="AC574" s="282">
        <f>SUM(E574:AB574)*D574+SUM(E575:AB575)*D575+SUM(E576:AB576)*D576+SUM(E577:AB577)*D577</f>
        <v>32745194.550000001</v>
      </c>
      <c r="AD574" s="187"/>
    </row>
    <row r="575" spans="2:30" s="188" customFormat="1" ht="18.649999999999999" customHeight="1" x14ac:dyDescent="0.35">
      <c r="B575" s="261"/>
      <c r="C575" s="10" t="s">
        <v>30</v>
      </c>
      <c r="D575" s="11">
        <f>+'[7]2040'!D40</f>
        <v>4</v>
      </c>
      <c r="E575" s="128">
        <f>ROUND('[7]2040'!E40,2)</f>
        <v>40990.99</v>
      </c>
      <c r="F575" s="123">
        <f>ROUND('[7]2040'!F40,2)</f>
        <v>38844.129999999997</v>
      </c>
      <c r="G575" s="123">
        <f>ROUND('[7]2040'!G40,2)</f>
        <v>37270.6</v>
      </c>
      <c r="H575" s="123">
        <f>ROUND('[7]2040'!H40,2)</f>
        <v>36160.400000000001</v>
      </c>
      <c r="I575" s="123">
        <f>ROUND('[7]2040'!I40,2)</f>
        <v>36083.86</v>
      </c>
      <c r="J575" s="123">
        <f>ROUND('[7]2040'!J40,2)</f>
        <v>36744.839999999997</v>
      </c>
      <c r="K575" s="123">
        <f>ROUND('[7]2040'!K40,2)</f>
        <v>36960.35</v>
      </c>
      <c r="L575" s="123">
        <f>ROUND('[7]2040'!L40,2)</f>
        <v>40990.400000000001</v>
      </c>
      <c r="M575" s="123">
        <f>ROUND('[7]2040'!M40,2)</f>
        <v>45328.25</v>
      </c>
      <c r="N575" s="123">
        <f>ROUND('[7]2040'!N40,2)</f>
        <v>47793.59</v>
      </c>
      <c r="O575" s="123">
        <f>ROUND('[7]2040'!O40,2)</f>
        <v>50285.19</v>
      </c>
      <c r="P575" s="123">
        <f>ROUND('[7]2040'!P40,2)</f>
        <v>52083.22</v>
      </c>
      <c r="Q575" s="123">
        <f>ROUND('[7]2040'!Q40,2)</f>
        <v>50722.63</v>
      </c>
      <c r="R575" s="123">
        <f>ROUND('[7]2040'!R40,2)</f>
        <v>51739.34</v>
      </c>
      <c r="S575" s="123">
        <f>ROUND('[7]2040'!S40,2)</f>
        <v>53447.85</v>
      </c>
      <c r="T575" s="123">
        <f>ROUND('[7]2040'!T40,2)</f>
        <v>53448.35</v>
      </c>
      <c r="U575" s="123">
        <f>ROUND('[7]2040'!U40,2)</f>
        <v>52428.54</v>
      </c>
      <c r="V575" s="123">
        <f>ROUND('[7]2040'!V40,2)</f>
        <v>50924.12</v>
      </c>
      <c r="W575" s="123">
        <f>ROUND('[7]2040'!W40,2)</f>
        <v>54423.83</v>
      </c>
      <c r="X575" s="123">
        <f>ROUND('[7]2040'!X40,2)</f>
        <v>55545.279999999999</v>
      </c>
      <c r="Y575" s="123">
        <f>ROUND('[7]2040'!Y40,2)</f>
        <v>54371.16</v>
      </c>
      <c r="Z575" s="123">
        <f>ROUND('[7]2040'!Z40,2)</f>
        <v>52059.01</v>
      </c>
      <c r="AA575" s="123">
        <f>ROUND('[7]2040'!AA40,2)</f>
        <v>48258.29</v>
      </c>
      <c r="AB575" s="123">
        <f>ROUND('[7]2040'!AB40,2)</f>
        <v>44166.87</v>
      </c>
      <c r="AC575" s="282"/>
      <c r="AD575" s="187"/>
    </row>
    <row r="576" spans="2:30" s="188" customFormat="1" ht="18.649999999999999" customHeight="1" x14ac:dyDescent="0.35">
      <c r="B576" s="261"/>
      <c r="C576" s="10" t="s">
        <v>31</v>
      </c>
      <c r="D576" s="11">
        <f>+'[7]2040'!D41</f>
        <v>5</v>
      </c>
      <c r="E576" s="128">
        <f>ROUND('[7]2040'!E41,2)</f>
        <v>38663.33</v>
      </c>
      <c r="F576" s="123">
        <f>ROUND('[7]2040'!F41,2)</f>
        <v>37110.269999999997</v>
      </c>
      <c r="G576" s="123">
        <f>ROUND('[7]2040'!G41,2)</f>
        <v>35795.629999999997</v>
      </c>
      <c r="H576" s="123">
        <f>ROUND('[7]2040'!H41,2)</f>
        <v>34592.18</v>
      </c>
      <c r="I576" s="123">
        <f>ROUND('[7]2040'!I41,2)</f>
        <v>34188.14</v>
      </c>
      <c r="J576" s="123">
        <f>ROUND('[7]2040'!J41,2)</f>
        <v>33655.370000000003</v>
      </c>
      <c r="K576" s="123">
        <f>ROUND('[7]2040'!K41,2)</f>
        <v>33013.949999999997</v>
      </c>
      <c r="L576" s="123">
        <f>ROUND('[7]2040'!L41,2)</f>
        <v>35475.660000000003</v>
      </c>
      <c r="M576" s="123">
        <f>ROUND('[7]2040'!M41,2)</f>
        <v>38692.67</v>
      </c>
      <c r="N576" s="123">
        <f>ROUND('[7]2040'!N41,2)</f>
        <v>41288.639999999999</v>
      </c>
      <c r="O576" s="123">
        <f>ROUND('[7]2040'!O41,2)</f>
        <v>43150.47</v>
      </c>
      <c r="P576" s="123">
        <f>ROUND('[7]2040'!P41,2)</f>
        <v>44094.1</v>
      </c>
      <c r="Q576" s="123">
        <f>ROUND('[7]2040'!Q41,2)</f>
        <v>45713.14</v>
      </c>
      <c r="R576" s="123">
        <f>ROUND('[7]2040'!R41,2)</f>
        <v>45819.49</v>
      </c>
      <c r="S576" s="123">
        <f>ROUND('[7]2040'!S41,2)</f>
        <v>45738.14</v>
      </c>
      <c r="T576" s="123">
        <f>ROUND('[7]2040'!T41,2)</f>
        <v>45869.3</v>
      </c>
      <c r="U576" s="123">
        <f>ROUND('[7]2040'!U41,2)</f>
        <v>45511.07</v>
      </c>
      <c r="V576" s="123">
        <f>ROUND('[7]2040'!V41,2)</f>
        <v>45098.82</v>
      </c>
      <c r="W576" s="123">
        <f>ROUND('[7]2040'!W41,2)</f>
        <v>49840.639999999999</v>
      </c>
      <c r="X576" s="123">
        <f>ROUND('[7]2040'!X41,2)</f>
        <v>52574.66</v>
      </c>
      <c r="Y576" s="123">
        <f>ROUND('[7]2040'!Y41,2)</f>
        <v>51863.72</v>
      </c>
      <c r="Z576" s="123">
        <f>ROUND('[7]2040'!Z41,2)</f>
        <v>50087.23</v>
      </c>
      <c r="AA576" s="123">
        <f>ROUND('[7]2040'!AA41,2)</f>
        <v>47082.66</v>
      </c>
      <c r="AB576" s="123">
        <f>ROUND('[7]2040'!AB41,2)</f>
        <v>43737.29</v>
      </c>
      <c r="AC576" s="282"/>
      <c r="AD576" s="187"/>
    </row>
    <row r="577" spans="2:30" s="188" customFormat="1" ht="18.649999999999999" customHeight="1" thickBot="1" x14ac:dyDescent="0.4">
      <c r="B577" s="261"/>
      <c r="C577" s="16" t="s">
        <v>32</v>
      </c>
      <c r="D577" s="13">
        <f>+'[7]2040'!D42</f>
        <v>2</v>
      </c>
      <c r="E577" s="128">
        <f>ROUND('[7]2040'!E42,2)</f>
        <v>38663.33</v>
      </c>
      <c r="F577" s="123">
        <f>ROUND('[7]2040'!F42,2)</f>
        <v>37110.269999999997</v>
      </c>
      <c r="G577" s="123">
        <f>ROUND('[7]2040'!G42,2)</f>
        <v>35795.629999999997</v>
      </c>
      <c r="H577" s="123">
        <f>ROUND('[7]2040'!H42,2)</f>
        <v>34592.18</v>
      </c>
      <c r="I577" s="123">
        <f>ROUND('[7]2040'!I42,2)</f>
        <v>34188.14</v>
      </c>
      <c r="J577" s="123">
        <f>ROUND('[7]2040'!J42,2)</f>
        <v>33655.370000000003</v>
      </c>
      <c r="K577" s="123">
        <f>ROUND('[7]2040'!K42,2)</f>
        <v>33013.949999999997</v>
      </c>
      <c r="L577" s="123">
        <f>ROUND('[7]2040'!L42,2)</f>
        <v>35475.660000000003</v>
      </c>
      <c r="M577" s="123">
        <f>ROUND('[7]2040'!M42,2)</f>
        <v>38692.67</v>
      </c>
      <c r="N577" s="123">
        <f>ROUND('[7]2040'!N42,2)</f>
        <v>41288.639999999999</v>
      </c>
      <c r="O577" s="123">
        <f>ROUND('[7]2040'!O42,2)</f>
        <v>43150.47</v>
      </c>
      <c r="P577" s="123">
        <f>ROUND('[7]2040'!P42,2)</f>
        <v>44094.1</v>
      </c>
      <c r="Q577" s="123">
        <f>ROUND('[7]2040'!Q42,2)</f>
        <v>45713.14</v>
      </c>
      <c r="R577" s="123">
        <f>ROUND('[7]2040'!R42,2)</f>
        <v>45819.49</v>
      </c>
      <c r="S577" s="123">
        <f>ROUND('[7]2040'!S42,2)</f>
        <v>45738.14</v>
      </c>
      <c r="T577" s="123">
        <f>ROUND('[7]2040'!T42,2)</f>
        <v>45869.3</v>
      </c>
      <c r="U577" s="123">
        <f>ROUND('[7]2040'!U42,2)</f>
        <v>45511.07</v>
      </c>
      <c r="V577" s="123">
        <f>ROUND('[7]2040'!V42,2)</f>
        <v>45098.82</v>
      </c>
      <c r="W577" s="123">
        <f>ROUND('[7]2040'!W42,2)</f>
        <v>49840.639999999999</v>
      </c>
      <c r="X577" s="123">
        <f>ROUND('[7]2040'!X42,2)</f>
        <v>52574.66</v>
      </c>
      <c r="Y577" s="123">
        <f>ROUND('[7]2040'!Y42,2)</f>
        <v>51863.72</v>
      </c>
      <c r="Z577" s="123">
        <f>ROUND('[7]2040'!Z42,2)</f>
        <v>50087.23</v>
      </c>
      <c r="AA577" s="123">
        <f>ROUND('[7]2040'!AA42,2)</f>
        <v>47082.66</v>
      </c>
      <c r="AB577" s="123">
        <f>ROUND('[7]2040'!AB42,2)</f>
        <v>43737.29</v>
      </c>
      <c r="AC577" s="282"/>
      <c r="AD577" s="187"/>
    </row>
    <row r="578" spans="2:30" s="188" customFormat="1" ht="18.649999999999999" customHeight="1" x14ac:dyDescent="0.35">
      <c r="B578" s="263">
        <v>51349</v>
      </c>
      <c r="C578" s="7" t="s">
        <v>29</v>
      </c>
      <c r="D578" s="8">
        <f>+'[7]2040'!D43</f>
        <v>21</v>
      </c>
      <c r="E578" s="127">
        <f>ROUND('[7]2040'!E43,2)</f>
        <v>39897.730000000003</v>
      </c>
      <c r="F578" s="125">
        <f>ROUND('[7]2040'!F43,2)</f>
        <v>37747.79</v>
      </c>
      <c r="G578" s="125">
        <f>ROUND('[7]2040'!G43,2)</f>
        <v>36143.69</v>
      </c>
      <c r="H578" s="125">
        <f>ROUND('[7]2040'!H43,2)</f>
        <v>35069.449999999997</v>
      </c>
      <c r="I578" s="125">
        <f>ROUND('[7]2040'!I43,2)</f>
        <v>34674.86</v>
      </c>
      <c r="J578" s="125">
        <f>ROUND('[7]2040'!J43,2)</f>
        <v>34575.449999999997</v>
      </c>
      <c r="K578" s="125">
        <f>ROUND('[7]2040'!K43,2)</f>
        <v>34689.01</v>
      </c>
      <c r="L578" s="125">
        <f>ROUND('[7]2040'!L43,2)</f>
        <v>38691.71</v>
      </c>
      <c r="M578" s="125">
        <f>ROUND('[7]2040'!M43,2)</f>
        <v>43198.55</v>
      </c>
      <c r="N578" s="125">
        <f>ROUND('[7]2040'!N43,2)</f>
        <v>45968.41</v>
      </c>
      <c r="O578" s="125">
        <f>ROUND('[7]2040'!O43,2)</f>
        <v>48268.76</v>
      </c>
      <c r="P578" s="125">
        <f>ROUND('[7]2040'!P43,2)</f>
        <v>49736.21</v>
      </c>
      <c r="Q578" s="125">
        <f>ROUND('[7]2040'!Q43,2)</f>
        <v>48910.94</v>
      </c>
      <c r="R578" s="125">
        <f>ROUND('[7]2040'!R43,2)</f>
        <v>48213.93</v>
      </c>
      <c r="S578" s="125">
        <f>ROUND('[7]2040'!S43,2)</f>
        <v>48141.33</v>
      </c>
      <c r="T578" s="125">
        <f>ROUND('[7]2040'!T43,2)</f>
        <v>47748.5</v>
      </c>
      <c r="U578" s="125">
        <f>ROUND('[7]2040'!U43,2)</f>
        <v>46791.35</v>
      </c>
      <c r="V578" s="125">
        <f>ROUND('[7]2040'!V43,2)</f>
        <v>46729.29</v>
      </c>
      <c r="W578" s="125">
        <f>ROUND('[7]2040'!W43,2)</f>
        <v>50965.86</v>
      </c>
      <c r="X578" s="125">
        <f>ROUND('[7]2040'!X43,2)</f>
        <v>51619.99</v>
      </c>
      <c r="Y578" s="125">
        <f>ROUND('[7]2040'!Y43,2)</f>
        <v>50107.24</v>
      </c>
      <c r="Z578" s="125">
        <f>ROUND('[7]2040'!Z43,2)</f>
        <v>48021.599999999999</v>
      </c>
      <c r="AA578" s="125">
        <f>ROUND('[7]2040'!AA43,2)</f>
        <v>45079.38</v>
      </c>
      <c r="AB578" s="125">
        <f>ROUND('[7]2040'!AB43,2)</f>
        <v>41946.14</v>
      </c>
      <c r="AC578" s="283">
        <f>SUM(E578:AB578)*D578+SUM(E579:AB579)*D579+SUM(E580:AB580)*D580+SUM(E581:AB581)*D581</f>
        <v>32492904.430000003</v>
      </c>
      <c r="AD578" s="187"/>
    </row>
    <row r="579" spans="2:30" s="188" customFormat="1" ht="18.649999999999999" customHeight="1" x14ac:dyDescent="0.35">
      <c r="B579" s="264" t="s">
        <v>34</v>
      </c>
      <c r="C579" s="10" t="s">
        <v>30</v>
      </c>
      <c r="D579" s="11">
        <f>+'[7]2040'!D44</f>
        <v>4</v>
      </c>
      <c r="E579" s="128">
        <f>ROUND('[7]2040'!E44,2)</f>
        <v>39370.620000000003</v>
      </c>
      <c r="F579" s="123">
        <f>ROUND('[7]2040'!F44,2)</f>
        <v>37416.39</v>
      </c>
      <c r="G579" s="123">
        <f>ROUND('[7]2040'!G44,2)</f>
        <v>35921.74</v>
      </c>
      <c r="H579" s="123">
        <f>ROUND('[7]2040'!H44,2)</f>
        <v>34867.72</v>
      </c>
      <c r="I579" s="123">
        <f>ROUND('[7]2040'!I44,2)</f>
        <v>34767.1</v>
      </c>
      <c r="J579" s="123">
        <f>ROUND('[7]2040'!J44,2)</f>
        <v>35335.879999999997</v>
      </c>
      <c r="K579" s="123">
        <f>ROUND('[7]2040'!K44,2)</f>
        <v>35712.94</v>
      </c>
      <c r="L579" s="123">
        <f>ROUND('[7]2040'!L44,2)</f>
        <v>39787.160000000003</v>
      </c>
      <c r="M579" s="123">
        <f>ROUND('[7]2040'!M44,2)</f>
        <v>43962.18</v>
      </c>
      <c r="N579" s="123">
        <f>ROUND('[7]2040'!N44,2)</f>
        <v>46327.24</v>
      </c>
      <c r="O579" s="123">
        <f>ROUND('[7]2040'!O44,2)</f>
        <v>48782.17</v>
      </c>
      <c r="P579" s="123">
        <f>ROUND('[7]2040'!P44,2)</f>
        <v>50443.24</v>
      </c>
      <c r="Q579" s="123">
        <f>ROUND('[7]2040'!Q44,2)</f>
        <v>49148.92</v>
      </c>
      <c r="R579" s="123">
        <f>ROUND('[7]2040'!R44,2)</f>
        <v>50311.29</v>
      </c>
      <c r="S579" s="123">
        <f>ROUND('[7]2040'!S44,2)</f>
        <v>52058.53</v>
      </c>
      <c r="T579" s="123">
        <f>ROUND('[7]2040'!T44,2)</f>
        <v>52095.55</v>
      </c>
      <c r="U579" s="123">
        <f>ROUND('[7]2040'!U44,2)</f>
        <v>51135.27</v>
      </c>
      <c r="V579" s="123">
        <f>ROUND('[7]2040'!V44,2)</f>
        <v>50275.8</v>
      </c>
      <c r="W579" s="123">
        <f>ROUND('[7]2040'!W44,2)</f>
        <v>53968.74</v>
      </c>
      <c r="X579" s="123">
        <f>ROUND('[7]2040'!X44,2)</f>
        <v>53749.53</v>
      </c>
      <c r="Y579" s="123">
        <f>ROUND('[7]2040'!Y44,2)</f>
        <v>52362.43</v>
      </c>
      <c r="Z579" s="123">
        <f>ROUND('[7]2040'!Z44,2)</f>
        <v>49962.53</v>
      </c>
      <c r="AA579" s="123">
        <f>ROUND('[7]2040'!AA44,2)</f>
        <v>46137.51</v>
      </c>
      <c r="AB579" s="123">
        <f>ROUND('[7]2040'!AB44,2)</f>
        <v>42213.26</v>
      </c>
      <c r="AC579" s="282"/>
      <c r="AD579" s="187"/>
    </row>
    <row r="580" spans="2:30" s="188" customFormat="1" ht="18.649999999999999" customHeight="1" x14ac:dyDescent="0.35">
      <c r="B580" s="264" t="s">
        <v>34</v>
      </c>
      <c r="C580" s="10" t="s">
        <v>31</v>
      </c>
      <c r="D580" s="11">
        <f>+'[7]2040'!D45</f>
        <v>4</v>
      </c>
      <c r="E580" s="128">
        <f>ROUND('[7]2040'!E45,2)</f>
        <v>39351</v>
      </c>
      <c r="F580" s="123">
        <f>ROUND('[7]2040'!F45,2)</f>
        <v>37300.19</v>
      </c>
      <c r="G580" s="123">
        <f>ROUND('[7]2040'!G45,2)</f>
        <v>35707.39</v>
      </c>
      <c r="H580" s="123">
        <f>ROUND('[7]2040'!H45,2)</f>
        <v>34555.370000000003</v>
      </c>
      <c r="I580" s="123">
        <f>ROUND('[7]2040'!I45,2)</f>
        <v>34071.910000000003</v>
      </c>
      <c r="J580" s="123">
        <f>ROUND('[7]2040'!J45,2)</f>
        <v>33420.5</v>
      </c>
      <c r="K580" s="123">
        <f>ROUND('[7]2040'!K45,2)</f>
        <v>32707.8</v>
      </c>
      <c r="L580" s="123">
        <f>ROUND('[7]2040'!L45,2)</f>
        <v>35087.230000000003</v>
      </c>
      <c r="M580" s="123">
        <f>ROUND('[7]2040'!M45,2)</f>
        <v>37706.949999999997</v>
      </c>
      <c r="N580" s="123">
        <f>ROUND('[7]2040'!N45,2)</f>
        <v>40067.96</v>
      </c>
      <c r="O580" s="123">
        <f>ROUND('[7]2040'!O45,2)</f>
        <v>42306.400000000001</v>
      </c>
      <c r="P580" s="123">
        <f>ROUND('[7]2040'!P45,2)</f>
        <v>44221.7</v>
      </c>
      <c r="Q580" s="123">
        <f>ROUND('[7]2040'!Q45,2)</f>
        <v>44926.5</v>
      </c>
      <c r="R580" s="123">
        <f>ROUND('[7]2040'!R45,2)</f>
        <v>44710.86</v>
      </c>
      <c r="S580" s="123">
        <f>ROUND('[7]2040'!S45,2)</f>
        <v>44509.91</v>
      </c>
      <c r="T580" s="123">
        <f>ROUND('[7]2040'!T45,2)</f>
        <v>44651.76</v>
      </c>
      <c r="U580" s="123">
        <f>ROUND('[7]2040'!U45,2)</f>
        <v>44244.43</v>
      </c>
      <c r="V580" s="123">
        <f>ROUND('[7]2040'!V45,2)</f>
        <v>44194.37</v>
      </c>
      <c r="W580" s="123">
        <f>ROUND('[7]2040'!W45,2)</f>
        <v>49319.89</v>
      </c>
      <c r="X580" s="123">
        <f>ROUND('[7]2040'!X45,2)</f>
        <v>52098.52</v>
      </c>
      <c r="Y580" s="123">
        <f>ROUND('[7]2040'!Y45,2)</f>
        <v>51820.66</v>
      </c>
      <c r="Z580" s="123">
        <f>ROUND('[7]2040'!Z45,2)</f>
        <v>49870.83</v>
      </c>
      <c r="AA580" s="123">
        <f>ROUND('[7]2040'!AA45,2)</f>
        <v>46489.85</v>
      </c>
      <c r="AB580" s="123">
        <f>ROUND('[7]2040'!AB45,2)</f>
        <v>42786.17</v>
      </c>
      <c r="AC580" s="282"/>
      <c r="AD580" s="187"/>
    </row>
    <row r="581" spans="2:30" s="188" customFormat="1" ht="18.649999999999999" customHeight="1" thickBot="1" x14ac:dyDescent="0.4">
      <c r="B581" s="265" t="s">
        <v>34</v>
      </c>
      <c r="C581" s="12" t="s">
        <v>32</v>
      </c>
      <c r="D581" s="13">
        <f>+'[7]2040'!D46</f>
        <v>2</v>
      </c>
      <c r="E581" s="130">
        <f>ROUND('[7]2040'!E46,2)</f>
        <v>39351</v>
      </c>
      <c r="F581" s="126">
        <f>ROUND('[7]2040'!F46,2)</f>
        <v>37300.19</v>
      </c>
      <c r="G581" s="126">
        <f>ROUND('[7]2040'!G46,2)</f>
        <v>35707.39</v>
      </c>
      <c r="H581" s="126">
        <f>ROUND('[7]2040'!H46,2)</f>
        <v>34555.370000000003</v>
      </c>
      <c r="I581" s="126">
        <f>ROUND('[7]2040'!I46,2)</f>
        <v>34071.910000000003</v>
      </c>
      <c r="J581" s="126">
        <f>ROUND('[7]2040'!J46,2)</f>
        <v>33420.5</v>
      </c>
      <c r="K581" s="126">
        <f>ROUND('[7]2040'!K46,2)</f>
        <v>32707.8</v>
      </c>
      <c r="L581" s="126">
        <f>ROUND('[7]2040'!L46,2)</f>
        <v>35087.230000000003</v>
      </c>
      <c r="M581" s="126">
        <f>ROUND('[7]2040'!M46,2)</f>
        <v>37706.949999999997</v>
      </c>
      <c r="N581" s="126">
        <f>ROUND('[7]2040'!N46,2)</f>
        <v>40067.96</v>
      </c>
      <c r="O581" s="126">
        <f>ROUND('[7]2040'!O46,2)</f>
        <v>42306.400000000001</v>
      </c>
      <c r="P581" s="126">
        <f>ROUND('[7]2040'!P46,2)</f>
        <v>44221.7</v>
      </c>
      <c r="Q581" s="126">
        <f>ROUND('[7]2040'!Q46,2)</f>
        <v>44926.5</v>
      </c>
      <c r="R581" s="126">
        <f>ROUND('[7]2040'!R46,2)</f>
        <v>44710.86</v>
      </c>
      <c r="S581" s="126">
        <f>ROUND('[7]2040'!S46,2)</f>
        <v>44509.91</v>
      </c>
      <c r="T581" s="126">
        <f>ROUND('[7]2040'!T46,2)</f>
        <v>44651.76</v>
      </c>
      <c r="U581" s="126">
        <f>ROUND('[7]2040'!U46,2)</f>
        <v>44244.43</v>
      </c>
      <c r="V581" s="126">
        <f>ROUND('[7]2040'!V46,2)</f>
        <v>44194.37</v>
      </c>
      <c r="W581" s="126">
        <f>ROUND('[7]2040'!W46,2)</f>
        <v>49319.89</v>
      </c>
      <c r="X581" s="126">
        <f>ROUND('[7]2040'!X46,2)</f>
        <v>52098.52</v>
      </c>
      <c r="Y581" s="126">
        <f>ROUND('[7]2040'!Y46,2)</f>
        <v>51820.66</v>
      </c>
      <c r="Z581" s="126">
        <f>ROUND('[7]2040'!Z46,2)</f>
        <v>49870.83</v>
      </c>
      <c r="AA581" s="126">
        <f>ROUND('[7]2040'!AA46,2)</f>
        <v>46489.85</v>
      </c>
      <c r="AB581" s="126">
        <f>ROUND('[7]2040'!AB46,2)</f>
        <v>42786.17</v>
      </c>
      <c r="AC581" s="284"/>
      <c r="AD581" s="187"/>
    </row>
    <row r="582" spans="2:30" s="188" customFormat="1" ht="18.649999999999999" customHeight="1" x14ac:dyDescent="0.35">
      <c r="B582" s="260">
        <v>51380</v>
      </c>
      <c r="C582" s="14" t="s">
        <v>29</v>
      </c>
      <c r="D582" s="15">
        <f>+'[7]2040'!D47</f>
        <v>20</v>
      </c>
      <c r="E582" s="131">
        <f>ROUND('[7]2040'!E47,2)</f>
        <v>40378.43</v>
      </c>
      <c r="F582" s="122">
        <f>ROUND('[7]2040'!F47,2)</f>
        <v>38317.56</v>
      </c>
      <c r="G582" s="122">
        <f>ROUND('[7]2040'!G47,2)</f>
        <v>36723.019999999997</v>
      </c>
      <c r="H582" s="122">
        <f>ROUND('[7]2040'!H47,2)</f>
        <v>35593.410000000003</v>
      </c>
      <c r="I582" s="122">
        <f>ROUND('[7]2040'!I47,2)</f>
        <v>35261.96</v>
      </c>
      <c r="J582" s="122">
        <f>ROUND('[7]2040'!J47,2)</f>
        <v>34806.730000000003</v>
      </c>
      <c r="K582" s="122">
        <f>ROUND('[7]2040'!K47,2)</f>
        <v>35031.9</v>
      </c>
      <c r="L582" s="122">
        <f>ROUND('[7]2040'!L47,2)</f>
        <v>39198.07</v>
      </c>
      <c r="M582" s="122">
        <f>ROUND('[7]2040'!M47,2)</f>
        <v>43647.61</v>
      </c>
      <c r="N582" s="122">
        <f>ROUND('[7]2040'!N47,2)</f>
        <v>46213.69</v>
      </c>
      <c r="O582" s="122">
        <f>ROUND('[7]2040'!O47,2)</f>
        <v>48399.89</v>
      </c>
      <c r="P582" s="122">
        <f>ROUND('[7]2040'!P47,2)</f>
        <v>49485.21</v>
      </c>
      <c r="Q582" s="122">
        <f>ROUND('[7]2040'!Q47,2)</f>
        <v>48546.81</v>
      </c>
      <c r="R582" s="122">
        <f>ROUND('[7]2040'!R47,2)</f>
        <v>47846.14</v>
      </c>
      <c r="S582" s="122">
        <f>ROUND('[7]2040'!S47,2)</f>
        <v>47788.95</v>
      </c>
      <c r="T582" s="122">
        <f>ROUND('[7]2040'!T47,2)</f>
        <v>47706.8</v>
      </c>
      <c r="U582" s="122">
        <f>ROUND('[7]2040'!U47,2)</f>
        <v>46993.35</v>
      </c>
      <c r="V582" s="122">
        <f>ROUND('[7]2040'!V47,2)</f>
        <v>47543.78</v>
      </c>
      <c r="W582" s="122">
        <f>ROUND('[7]2040'!W47,2)</f>
        <v>52484.959999999999</v>
      </c>
      <c r="X582" s="122">
        <f>ROUND('[7]2040'!X47,2)</f>
        <v>51984.11</v>
      </c>
      <c r="Y582" s="122">
        <f>ROUND('[7]2040'!Y47,2)</f>
        <v>50179.99</v>
      </c>
      <c r="Z582" s="122">
        <f>ROUND('[7]2040'!Z47,2)</f>
        <v>47937.77</v>
      </c>
      <c r="AA582" s="122">
        <f>ROUND('[7]2040'!AA47,2)</f>
        <v>45240.23</v>
      </c>
      <c r="AB582" s="122">
        <f>ROUND('[7]2040'!AB47,2)</f>
        <v>42266.36</v>
      </c>
      <c r="AC582" s="282">
        <f>SUM(E582:AB582)*D582+SUM(E583:AB583)*D583+SUM(E584:AB584)*D584+SUM(E585:AB585)*D585</f>
        <v>32027779.399999999</v>
      </c>
      <c r="AD582" s="187"/>
    </row>
    <row r="583" spans="2:30" s="188" customFormat="1" ht="18.649999999999999" customHeight="1" x14ac:dyDescent="0.35">
      <c r="B583" s="261"/>
      <c r="C583" s="10" t="s">
        <v>30</v>
      </c>
      <c r="D583" s="11">
        <f>+'[7]2040'!D48</f>
        <v>5</v>
      </c>
      <c r="E583" s="128">
        <f>ROUND('[7]2040'!E48,2)</f>
        <v>37747.58</v>
      </c>
      <c r="F583" s="123">
        <f>ROUND('[7]2040'!F48,2)</f>
        <v>35847.81</v>
      </c>
      <c r="G583" s="123">
        <f>ROUND('[7]2040'!G48,2)</f>
        <v>34522.160000000003</v>
      </c>
      <c r="H583" s="123">
        <f>ROUND('[7]2040'!H48,2)</f>
        <v>33545</v>
      </c>
      <c r="I583" s="123">
        <f>ROUND('[7]2040'!I48,2)</f>
        <v>33561.03</v>
      </c>
      <c r="J583" s="123">
        <f>ROUND('[7]2040'!J48,2)</f>
        <v>34117.24</v>
      </c>
      <c r="K583" s="123">
        <f>ROUND('[7]2040'!K48,2)</f>
        <v>34811.69</v>
      </c>
      <c r="L583" s="123">
        <f>ROUND('[7]2040'!L48,2)</f>
        <v>39058.730000000003</v>
      </c>
      <c r="M583" s="123">
        <f>ROUND('[7]2040'!M48,2)</f>
        <v>43195.38</v>
      </c>
      <c r="N583" s="123">
        <f>ROUND('[7]2040'!N48,2)</f>
        <v>45452.83</v>
      </c>
      <c r="O583" s="123">
        <f>ROUND('[7]2040'!O48,2)</f>
        <v>47841.46</v>
      </c>
      <c r="P583" s="123">
        <f>ROUND('[7]2040'!P48,2)</f>
        <v>49487.76</v>
      </c>
      <c r="Q583" s="123">
        <f>ROUND('[7]2040'!Q48,2)</f>
        <v>48070.6</v>
      </c>
      <c r="R583" s="123">
        <f>ROUND('[7]2040'!R48,2)</f>
        <v>49151.69</v>
      </c>
      <c r="S583" s="123">
        <f>ROUND('[7]2040'!S48,2)</f>
        <v>50975.39</v>
      </c>
      <c r="T583" s="123">
        <f>ROUND('[7]2040'!T48,2)</f>
        <v>51067.32</v>
      </c>
      <c r="U583" s="123">
        <f>ROUND('[7]2040'!U48,2)</f>
        <v>50010.47</v>
      </c>
      <c r="V583" s="123">
        <f>ROUND('[7]2040'!V48,2)</f>
        <v>50148.47</v>
      </c>
      <c r="W583" s="123">
        <f>ROUND('[7]2040'!W48,2)</f>
        <v>53172.65</v>
      </c>
      <c r="X583" s="123">
        <f>ROUND('[7]2040'!X48,2)</f>
        <v>52269.51</v>
      </c>
      <c r="Y583" s="123">
        <f>ROUND('[7]2040'!Y48,2)</f>
        <v>50597.95</v>
      </c>
      <c r="Z583" s="123">
        <f>ROUND('[7]2040'!Z48,2)</f>
        <v>48136.65</v>
      </c>
      <c r="AA583" s="123">
        <f>ROUND('[7]2040'!AA48,2)</f>
        <v>44590.11</v>
      </c>
      <c r="AB583" s="123">
        <f>ROUND('[7]2040'!AB48,2)</f>
        <v>40905.35</v>
      </c>
      <c r="AC583" s="282"/>
      <c r="AD583" s="187"/>
    </row>
    <row r="584" spans="2:30" s="188" customFormat="1" ht="18.649999999999999" customHeight="1" x14ac:dyDescent="0.35">
      <c r="B584" s="261"/>
      <c r="C584" s="10" t="s">
        <v>31</v>
      </c>
      <c r="D584" s="11">
        <f>+'[7]2040'!D49</f>
        <v>5</v>
      </c>
      <c r="E584" s="128">
        <f>ROUND('[7]2040'!E49,2)</f>
        <v>38898.28</v>
      </c>
      <c r="F584" s="123">
        <f>ROUND('[7]2040'!F49,2)</f>
        <v>37005.839999999997</v>
      </c>
      <c r="G584" s="123">
        <f>ROUND('[7]2040'!G49,2)</f>
        <v>35604.94</v>
      </c>
      <c r="H584" s="123">
        <f>ROUND('[7]2040'!H49,2)</f>
        <v>34546.76</v>
      </c>
      <c r="I584" s="123">
        <f>ROUND('[7]2040'!I49,2)</f>
        <v>34602.11</v>
      </c>
      <c r="J584" s="123">
        <f>ROUND('[7]2040'!J49,2)</f>
        <v>35692.620000000003</v>
      </c>
      <c r="K584" s="123">
        <f>ROUND('[7]2040'!K49,2)</f>
        <v>36379.74</v>
      </c>
      <c r="L584" s="123">
        <f>ROUND('[7]2040'!L49,2)</f>
        <v>40885.46</v>
      </c>
      <c r="M584" s="123">
        <f>ROUND('[7]2040'!M49,2)</f>
        <v>45346.77</v>
      </c>
      <c r="N584" s="123">
        <f>ROUND('[7]2040'!N49,2)</f>
        <v>47708.480000000003</v>
      </c>
      <c r="O584" s="123">
        <f>ROUND('[7]2040'!O49,2)</f>
        <v>50396.89</v>
      </c>
      <c r="P584" s="123">
        <f>ROUND('[7]2040'!P49,2)</f>
        <v>52206.81</v>
      </c>
      <c r="Q584" s="123">
        <f>ROUND('[7]2040'!Q49,2)</f>
        <v>50369.26</v>
      </c>
      <c r="R584" s="123">
        <f>ROUND('[7]2040'!R49,2)</f>
        <v>52150.43</v>
      </c>
      <c r="S584" s="123">
        <f>ROUND('[7]2040'!S49,2)</f>
        <v>54676.28</v>
      </c>
      <c r="T584" s="123">
        <f>ROUND('[7]2040'!T49,2)</f>
        <v>54744.78</v>
      </c>
      <c r="U584" s="123">
        <f>ROUND('[7]2040'!U49,2)</f>
        <v>53502.14</v>
      </c>
      <c r="V584" s="123">
        <f>ROUND('[7]2040'!V49,2)</f>
        <v>51957.279999999999</v>
      </c>
      <c r="W584" s="123">
        <f>ROUND('[7]2040'!W49,2)</f>
        <v>54994.58</v>
      </c>
      <c r="X584" s="123">
        <f>ROUND('[7]2040'!X49,2)</f>
        <v>54588.41</v>
      </c>
      <c r="Y584" s="123">
        <f>ROUND('[7]2040'!Y49,2)</f>
        <v>53180.17</v>
      </c>
      <c r="Z584" s="123">
        <f>ROUND('[7]2040'!Z49,2)</f>
        <v>50667.85</v>
      </c>
      <c r="AA584" s="123">
        <f>ROUND('[7]2040'!AA49,2)</f>
        <v>46515.45</v>
      </c>
      <c r="AB584" s="123">
        <f>ROUND('[7]2040'!AB49,2)</f>
        <v>42342.8</v>
      </c>
      <c r="AC584" s="282"/>
      <c r="AD584" s="187"/>
    </row>
    <row r="585" spans="2:30" s="188" customFormat="1" ht="18.649999999999999" customHeight="1" thickBot="1" x14ac:dyDescent="0.4">
      <c r="B585" s="261"/>
      <c r="C585" s="16" t="s">
        <v>32</v>
      </c>
      <c r="D585" s="17">
        <f>+'[7]2040'!D50</f>
        <v>0</v>
      </c>
      <c r="E585" s="115">
        <f>ROUND('[7]2040'!E50,2)</f>
        <v>0</v>
      </c>
      <c r="F585" s="115">
        <f>ROUND('[7]2040'!F50,2)</f>
        <v>0</v>
      </c>
      <c r="G585" s="115">
        <f>ROUND('[7]2040'!G50,2)</f>
        <v>0</v>
      </c>
      <c r="H585" s="115">
        <f>ROUND('[7]2040'!H50,2)</f>
        <v>0</v>
      </c>
      <c r="I585" s="115">
        <f>ROUND('[7]2040'!I50,2)</f>
        <v>0</v>
      </c>
      <c r="J585" s="115">
        <f>ROUND('[7]2040'!J50,2)</f>
        <v>0</v>
      </c>
      <c r="K585" s="115">
        <f>ROUND('[7]2040'!K50,2)</f>
        <v>0</v>
      </c>
      <c r="L585" s="115">
        <f>ROUND('[7]2040'!L50,2)</f>
        <v>0</v>
      </c>
      <c r="M585" s="115">
        <f>ROUND('[7]2040'!M50,2)</f>
        <v>0</v>
      </c>
      <c r="N585" s="115">
        <f>ROUND('[7]2040'!N50,2)</f>
        <v>0</v>
      </c>
      <c r="O585" s="115">
        <f>ROUND('[7]2040'!O50,2)</f>
        <v>0</v>
      </c>
      <c r="P585" s="115">
        <f>ROUND('[7]2040'!P50,2)</f>
        <v>0</v>
      </c>
      <c r="Q585" s="115">
        <f>ROUND('[7]2040'!Q50,2)</f>
        <v>0</v>
      </c>
      <c r="R585" s="115">
        <f>ROUND('[7]2040'!R50,2)</f>
        <v>0</v>
      </c>
      <c r="S585" s="115">
        <f>ROUND('[7]2040'!S50,2)</f>
        <v>0</v>
      </c>
      <c r="T585" s="115">
        <f>ROUND('[7]2040'!T50,2)</f>
        <v>0</v>
      </c>
      <c r="U585" s="115">
        <f>ROUND('[7]2040'!U50,2)</f>
        <v>0</v>
      </c>
      <c r="V585" s="115">
        <f>ROUND('[7]2040'!V50,2)</f>
        <v>0</v>
      </c>
      <c r="W585" s="115">
        <f>ROUND('[7]2040'!W50,2)</f>
        <v>0</v>
      </c>
      <c r="X585" s="115">
        <f>ROUND('[7]2040'!X50,2)</f>
        <v>0</v>
      </c>
      <c r="Y585" s="115">
        <f>ROUND('[7]2040'!Y50,2)</f>
        <v>0</v>
      </c>
      <c r="Z585" s="115">
        <f>ROUND('[7]2040'!Z50,2)</f>
        <v>0</v>
      </c>
      <c r="AA585" s="115">
        <f>ROUND('[7]2040'!AA50,2)</f>
        <v>0</v>
      </c>
      <c r="AB585" s="115">
        <f>ROUND('[7]2040'!AB50,2)</f>
        <v>0</v>
      </c>
      <c r="AC585" s="282"/>
      <c r="AD585" s="187"/>
    </row>
    <row r="586" spans="2:30" s="188" customFormat="1" ht="18.649999999999999" customHeight="1" x14ac:dyDescent="0.35">
      <c r="B586" s="263">
        <v>51410</v>
      </c>
      <c r="C586" s="7" t="s">
        <v>29</v>
      </c>
      <c r="D586" s="8">
        <f>+'[7]2040'!D51</f>
        <v>22</v>
      </c>
      <c r="E586" s="127">
        <f>ROUND('[7]2040'!E51,2)</f>
        <v>38979.760000000002</v>
      </c>
      <c r="F586" s="125">
        <f>ROUND('[7]2040'!F51,2)</f>
        <v>37008.639999999999</v>
      </c>
      <c r="G586" s="125">
        <f>ROUND('[7]2040'!G51,2)</f>
        <v>35439.72</v>
      </c>
      <c r="H586" s="125">
        <f>ROUND('[7]2040'!H51,2)</f>
        <v>34142.85</v>
      </c>
      <c r="I586" s="125">
        <f>ROUND('[7]2040'!I51,2)</f>
        <v>33650.769999999997</v>
      </c>
      <c r="J586" s="125">
        <f>ROUND('[7]2040'!J51,2)</f>
        <v>33377.519999999997</v>
      </c>
      <c r="K586" s="125">
        <f>ROUND('[7]2040'!K51,2)</f>
        <v>34082.080000000002</v>
      </c>
      <c r="L586" s="125">
        <f>ROUND('[7]2040'!L51,2)</f>
        <v>38358.32</v>
      </c>
      <c r="M586" s="125">
        <f>ROUND('[7]2040'!M51,2)</f>
        <v>42729.14</v>
      </c>
      <c r="N586" s="125">
        <f>ROUND('[7]2040'!N51,2)</f>
        <v>45266.41</v>
      </c>
      <c r="O586" s="125">
        <f>ROUND('[7]2040'!O51,2)</f>
        <v>47604.86</v>
      </c>
      <c r="P586" s="125">
        <f>ROUND('[7]2040'!P51,2)</f>
        <v>48831.45</v>
      </c>
      <c r="Q586" s="125">
        <f>ROUND('[7]2040'!Q51,2)</f>
        <v>47963.6</v>
      </c>
      <c r="R586" s="125">
        <f>ROUND('[7]2040'!R51,2)</f>
        <v>47395.4</v>
      </c>
      <c r="S586" s="125">
        <f>ROUND('[7]2040'!S51,2)</f>
        <v>47590.559999999998</v>
      </c>
      <c r="T586" s="125">
        <f>ROUND('[7]2040'!T51,2)</f>
        <v>47496.639999999999</v>
      </c>
      <c r="U586" s="125">
        <f>ROUND('[7]2040'!U51,2)</f>
        <v>46885.85</v>
      </c>
      <c r="V586" s="125">
        <f>ROUND('[7]2040'!V51,2)</f>
        <v>48104.81</v>
      </c>
      <c r="W586" s="125">
        <f>ROUND('[7]2040'!W51,2)</f>
        <v>52490.37</v>
      </c>
      <c r="X586" s="125">
        <f>ROUND('[7]2040'!X51,2)</f>
        <v>51613.3</v>
      </c>
      <c r="Y586" s="125">
        <f>ROUND('[7]2040'!Y51,2)</f>
        <v>49787.21</v>
      </c>
      <c r="Z586" s="125">
        <f>ROUND('[7]2040'!Z51,2)</f>
        <v>47466.47</v>
      </c>
      <c r="AA586" s="125">
        <f>ROUND('[7]2040'!AA51,2)</f>
        <v>44698.55</v>
      </c>
      <c r="AB586" s="125">
        <f>ROUND('[7]2040'!AB51,2)</f>
        <v>41738.870000000003</v>
      </c>
      <c r="AC586" s="283">
        <f>SUM(E586:AB586)*D586+SUM(E587:AB587)*D587+SUM(E588:AB588)*D588+SUM(E589:AB589)*D589</f>
        <v>31909005.399999999</v>
      </c>
      <c r="AD586" s="187"/>
    </row>
    <row r="587" spans="2:30" s="188" customFormat="1" ht="18.649999999999999" customHeight="1" x14ac:dyDescent="0.35">
      <c r="B587" s="264" t="s">
        <v>34</v>
      </c>
      <c r="C587" s="10" t="s">
        <v>30</v>
      </c>
      <c r="D587" s="11">
        <f>+'[7]2040'!D52</f>
        <v>4</v>
      </c>
      <c r="E587" s="128">
        <f>ROUND('[7]2040'!E52,2)</f>
        <v>36230.25</v>
      </c>
      <c r="F587" s="123">
        <f>ROUND('[7]2040'!F52,2)</f>
        <v>34440.730000000003</v>
      </c>
      <c r="G587" s="123">
        <f>ROUND('[7]2040'!G52,2)</f>
        <v>33116.69</v>
      </c>
      <c r="H587" s="123">
        <f>ROUND('[7]2040'!H52,2)</f>
        <v>32323.11</v>
      </c>
      <c r="I587" s="123">
        <f>ROUND('[7]2040'!I52,2)</f>
        <v>32434.1</v>
      </c>
      <c r="J587" s="123">
        <f>ROUND('[7]2040'!J52,2)</f>
        <v>33066.050000000003</v>
      </c>
      <c r="K587" s="123">
        <f>ROUND('[7]2040'!K52,2)</f>
        <v>33665.31</v>
      </c>
      <c r="L587" s="123">
        <f>ROUND('[7]2040'!L52,2)</f>
        <v>37604.839999999997</v>
      </c>
      <c r="M587" s="123">
        <f>ROUND('[7]2040'!M52,2)</f>
        <v>41537.61</v>
      </c>
      <c r="N587" s="123">
        <f>ROUND('[7]2040'!N52,2)</f>
        <v>43842.19</v>
      </c>
      <c r="O587" s="123">
        <f>ROUND('[7]2040'!O52,2)</f>
        <v>45956.77</v>
      </c>
      <c r="P587" s="123">
        <f>ROUND('[7]2040'!P52,2)</f>
        <v>47534.05</v>
      </c>
      <c r="Q587" s="123">
        <f>ROUND('[7]2040'!Q52,2)</f>
        <v>46196.44</v>
      </c>
      <c r="R587" s="123">
        <f>ROUND('[7]2040'!R52,2)</f>
        <v>46802.44</v>
      </c>
      <c r="S587" s="123">
        <f>ROUND('[7]2040'!S52,2)</f>
        <v>48182.66</v>
      </c>
      <c r="T587" s="123">
        <f>ROUND('[7]2040'!T52,2)</f>
        <v>48313.84</v>
      </c>
      <c r="U587" s="123">
        <f>ROUND('[7]2040'!U52,2)</f>
        <v>47687.53</v>
      </c>
      <c r="V587" s="123">
        <f>ROUND('[7]2040'!V52,2)</f>
        <v>48553.919999999998</v>
      </c>
      <c r="W587" s="123">
        <f>ROUND('[7]2040'!W52,2)</f>
        <v>51904.65</v>
      </c>
      <c r="X587" s="123">
        <f>ROUND('[7]2040'!X52,2)</f>
        <v>50895.73</v>
      </c>
      <c r="Y587" s="123">
        <f>ROUND('[7]2040'!Y52,2)</f>
        <v>48917.94</v>
      </c>
      <c r="Z587" s="123">
        <f>ROUND('[7]2040'!Z52,2)</f>
        <v>46194.87</v>
      </c>
      <c r="AA587" s="123">
        <f>ROUND('[7]2040'!AA52,2)</f>
        <v>42644.05</v>
      </c>
      <c r="AB587" s="123">
        <f>ROUND('[7]2040'!AB52,2)</f>
        <v>39085.18</v>
      </c>
      <c r="AC587" s="282"/>
      <c r="AD587" s="187"/>
    </row>
    <row r="588" spans="2:30" s="188" customFormat="1" ht="18.649999999999999" customHeight="1" x14ac:dyDescent="0.35">
      <c r="B588" s="264" t="s">
        <v>34</v>
      </c>
      <c r="C588" s="10" t="s">
        <v>31</v>
      </c>
      <c r="D588" s="11">
        <f>+'[7]2040'!D53</f>
        <v>4</v>
      </c>
      <c r="E588" s="128">
        <f>ROUND('[7]2040'!E53,2)</f>
        <v>36617.61</v>
      </c>
      <c r="F588" s="123">
        <f>ROUND('[7]2040'!F53,2)</f>
        <v>35067.33</v>
      </c>
      <c r="G588" s="123">
        <f>ROUND('[7]2040'!G53,2)</f>
        <v>33834.29</v>
      </c>
      <c r="H588" s="123">
        <f>ROUND('[7]2040'!H53,2)</f>
        <v>33075.49</v>
      </c>
      <c r="I588" s="123">
        <f>ROUND('[7]2040'!I53,2)</f>
        <v>32812.04</v>
      </c>
      <c r="J588" s="123">
        <f>ROUND('[7]2040'!J53,2)</f>
        <v>32294.92</v>
      </c>
      <c r="K588" s="123">
        <f>ROUND('[7]2040'!K53,2)</f>
        <v>31526.68</v>
      </c>
      <c r="L588" s="123">
        <f>ROUND('[7]2040'!L53,2)</f>
        <v>34005.06</v>
      </c>
      <c r="M588" s="123">
        <f>ROUND('[7]2040'!M53,2)</f>
        <v>36061.120000000003</v>
      </c>
      <c r="N588" s="123">
        <f>ROUND('[7]2040'!N53,2)</f>
        <v>38926.699999999997</v>
      </c>
      <c r="O588" s="123">
        <f>ROUND('[7]2040'!O53,2)</f>
        <v>41163.15</v>
      </c>
      <c r="P588" s="123">
        <f>ROUND('[7]2040'!P53,2)</f>
        <v>42931.99</v>
      </c>
      <c r="Q588" s="123">
        <f>ROUND('[7]2040'!Q53,2)</f>
        <v>43829.52</v>
      </c>
      <c r="R588" s="123">
        <f>ROUND('[7]2040'!R53,2)</f>
        <v>43848.11</v>
      </c>
      <c r="S588" s="123">
        <f>ROUND('[7]2040'!S53,2)</f>
        <v>43920.57</v>
      </c>
      <c r="T588" s="123">
        <f>ROUND('[7]2040'!T53,2)</f>
        <v>44031.18</v>
      </c>
      <c r="U588" s="123">
        <f>ROUND('[7]2040'!U53,2)</f>
        <v>43633.46</v>
      </c>
      <c r="V588" s="123">
        <f>ROUND('[7]2040'!V53,2)</f>
        <v>45486.84</v>
      </c>
      <c r="W588" s="123">
        <f>ROUND('[7]2040'!W53,2)</f>
        <v>50681.75</v>
      </c>
      <c r="X588" s="123">
        <f>ROUND('[7]2040'!X53,2)</f>
        <v>51302.23</v>
      </c>
      <c r="Y588" s="123">
        <f>ROUND('[7]2040'!Y53,2)</f>
        <v>50496.24</v>
      </c>
      <c r="Z588" s="123">
        <f>ROUND('[7]2040'!Z53,2)</f>
        <v>48590.83</v>
      </c>
      <c r="AA588" s="123">
        <f>ROUND('[7]2040'!AA53,2)</f>
        <v>44969.24</v>
      </c>
      <c r="AB588" s="123">
        <f>ROUND('[7]2040'!AB53,2)</f>
        <v>41096.11</v>
      </c>
      <c r="AC588" s="282"/>
      <c r="AD588" s="187"/>
    </row>
    <row r="589" spans="2:30" s="188" customFormat="1" ht="18.649999999999999" customHeight="1" thickBot="1" x14ac:dyDescent="0.4">
      <c r="B589" s="265" t="s">
        <v>34</v>
      </c>
      <c r="C589" s="12" t="s">
        <v>32</v>
      </c>
      <c r="D589" s="13">
        <f>+'[7]2040'!D54</f>
        <v>1</v>
      </c>
      <c r="E589" s="130">
        <f>ROUND('[7]2040'!E54,2)</f>
        <v>36617.61</v>
      </c>
      <c r="F589" s="126">
        <f>ROUND('[7]2040'!F54,2)</f>
        <v>35067.33</v>
      </c>
      <c r="G589" s="126">
        <f>ROUND('[7]2040'!G54,2)</f>
        <v>33834.29</v>
      </c>
      <c r="H589" s="126">
        <f>ROUND('[7]2040'!H54,2)</f>
        <v>33075.49</v>
      </c>
      <c r="I589" s="126">
        <f>ROUND('[7]2040'!I54,2)</f>
        <v>32812.04</v>
      </c>
      <c r="J589" s="126">
        <f>ROUND('[7]2040'!J54,2)</f>
        <v>32294.92</v>
      </c>
      <c r="K589" s="126">
        <f>ROUND('[7]2040'!K54,2)</f>
        <v>31526.68</v>
      </c>
      <c r="L589" s="126">
        <f>ROUND('[7]2040'!L54,2)</f>
        <v>34005.06</v>
      </c>
      <c r="M589" s="126">
        <f>ROUND('[7]2040'!M54,2)</f>
        <v>36061.120000000003</v>
      </c>
      <c r="N589" s="126">
        <f>ROUND('[7]2040'!N54,2)</f>
        <v>38926.699999999997</v>
      </c>
      <c r="O589" s="126">
        <f>ROUND('[7]2040'!O54,2)</f>
        <v>41163.15</v>
      </c>
      <c r="P589" s="126">
        <f>ROUND('[7]2040'!P54,2)</f>
        <v>42931.99</v>
      </c>
      <c r="Q589" s="126">
        <f>ROUND('[7]2040'!Q54,2)</f>
        <v>43829.52</v>
      </c>
      <c r="R589" s="126">
        <f>ROUND('[7]2040'!R54,2)</f>
        <v>43848.11</v>
      </c>
      <c r="S589" s="126">
        <f>ROUND('[7]2040'!S54,2)</f>
        <v>43920.57</v>
      </c>
      <c r="T589" s="126">
        <f>ROUND('[7]2040'!T54,2)</f>
        <v>44031.18</v>
      </c>
      <c r="U589" s="126">
        <f>ROUND('[7]2040'!U54,2)</f>
        <v>43633.46</v>
      </c>
      <c r="V589" s="126">
        <f>ROUND('[7]2040'!V54,2)</f>
        <v>45486.84</v>
      </c>
      <c r="W589" s="126">
        <f>ROUND('[7]2040'!W54,2)</f>
        <v>50681.75</v>
      </c>
      <c r="X589" s="126">
        <f>ROUND('[7]2040'!X54,2)</f>
        <v>51302.23</v>
      </c>
      <c r="Y589" s="126">
        <f>ROUND('[7]2040'!Y54,2)</f>
        <v>50496.24</v>
      </c>
      <c r="Z589" s="126">
        <f>ROUND('[7]2040'!Z54,2)</f>
        <v>48590.83</v>
      </c>
      <c r="AA589" s="126">
        <f>ROUND('[7]2040'!AA54,2)</f>
        <v>44969.24</v>
      </c>
      <c r="AB589" s="126">
        <f>ROUND('[7]2040'!AB54,2)</f>
        <v>41096.11</v>
      </c>
      <c r="AC589" s="284"/>
      <c r="AD589" s="187"/>
    </row>
    <row r="590" spans="2:30" s="188" customFormat="1" ht="18.649999999999999" customHeight="1" x14ac:dyDescent="0.35">
      <c r="B590" s="260">
        <v>51441</v>
      </c>
      <c r="C590" s="14" t="s">
        <v>29</v>
      </c>
      <c r="D590" s="15">
        <f>+'[7]2040'!D55</f>
        <v>20</v>
      </c>
      <c r="E590" s="131">
        <f>ROUND('[7]2040'!E55,2)</f>
        <v>38508.5</v>
      </c>
      <c r="F590" s="122">
        <f>ROUND('[7]2040'!F55,2)</f>
        <v>36624.65</v>
      </c>
      <c r="G590" s="122">
        <f>ROUND('[7]2040'!G55,2)</f>
        <v>35263.980000000003</v>
      </c>
      <c r="H590" s="122">
        <f>ROUND('[7]2040'!H55,2)</f>
        <v>34373.129999999997</v>
      </c>
      <c r="I590" s="122">
        <f>ROUND('[7]2040'!I55,2)</f>
        <v>34381.08</v>
      </c>
      <c r="J590" s="122">
        <f>ROUND('[7]2040'!J55,2)</f>
        <v>34667.08</v>
      </c>
      <c r="K590" s="122">
        <f>ROUND('[7]2040'!K55,2)</f>
        <v>34906.949999999997</v>
      </c>
      <c r="L590" s="122">
        <f>ROUND('[7]2040'!L55,2)</f>
        <v>39284.39</v>
      </c>
      <c r="M590" s="122">
        <f>ROUND('[7]2040'!M55,2)</f>
        <v>43956.49</v>
      </c>
      <c r="N590" s="122">
        <f>ROUND('[7]2040'!N55,2)</f>
        <v>46931.06</v>
      </c>
      <c r="O590" s="122">
        <f>ROUND('[7]2040'!O55,2)</f>
        <v>49177</v>
      </c>
      <c r="P590" s="122">
        <f>ROUND('[7]2040'!P55,2)</f>
        <v>50355.040000000001</v>
      </c>
      <c r="Q590" s="122">
        <f>ROUND('[7]2040'!Q55,2)</f>
        <v>49344.36</v>
      </c>
      <c r="R590" s="122">
        <f>ROUND('[7]2040'!R55,2)</f>
        <v>48484.37</v>
      </c>
      <c r="S590" s="122">
        <f>ROUND('[7]2040'!S55,2)</f>
        <v>48364.01</v>
      </c>
      <c r="T590" s="122">
        <f>ROUND('[7]2040'!T55,2)</f>
        <v>48248.87</v>
      </c>
      <c r="U590" s="122">
        <f>ROUND('[7]2040'!U55,2)</f>
        <v>47754.93</v>
      </c>
      <c r="V590" s="122">
        <f>ROUND('[7]2040'!V55,2)</f>
        <v>49347.12</v>
      </c>
      <c r="W590" s="122">
        <f>ROUND('[7]2040'!W55,2)</f>
        <v>53704.39</v>
      </c>
      <c r="X590" s="122">
        <f>ROUND('[7]2040'!X55,2)</f>
        <v>52573.48</v>
      </c>
      <c r="Y590" s="122">
        <f>ROUND('[7]2040'!Y55,2)</f>
        <v>50440.58</v>
      </c>
      <c r="Z590" s="122">
        <f>ROUND('[7]2040'!Z55,2)</f>
        <v>48027.58</v>
      </c>
      <c r="AA590" s="122">
        <f>ROUND('[7]2040'!AA55,2)</f>
        <v>45039.63</v>
      </c>
      <c r="AB590" s="122">
        <f>ROUND('[7]2040'!AB55,2)</f>
        <v>41798.97</v>
      </c>
      <c r="AC590" s="282">
        <f>SUM(E590:AB590)*D590+SUM(E591:AB591)*D591+SUM(E592:AB592)*D592+SUM(E593:AB593)*D593</f>
        <v>31531692.720000006</v>
      </c>
      <c r="AD590" s="187"/>
    </row>
    <row r="591" spans="2:30" s="188" customFormat="1" ht="18.649999999999999" customHeight="1" x14ac:dyDescent="0.35">
      <c r="B591" s="261"/>
      <c r="C591" s="10" t="s">
        <v>30</v>
      </c>
      <c r="D591" s="11">
        <f>+'[7]2040'!D56</f>
        <v>4</v>
      </c>
      <c r="E591" s="128">
        <f>ROUND('[7]2040'!E56,2)</f>
        <v>41966.8</v>
      </c>
      <c r="F591" s="123">
        <f>ROUND('[7]2040'!F56,2)</f>
        <v>39842.550000000003</v>
      </c>
      <c r="G591" s="123">
        <f>ROUND('[7]2040'!G56,2)</f>
        <v>38272.89</v>
      </c>
      <c r="H591" s="123">
        <f>ROUND('[7]2040'!H56,2)</f>
        <v>37193.199999999997</v>
      </c>
      <c r="I591" s="123">
        <f>ROUND('[7]2040'!I56,2)</f>
        <v>36964.550000000003</v>
      </c>
      <c r="J591" s="123">
        <f>ROUND('[7]2040'!J56,2)</f>
        <v>37221.379999999997</v>
      </c>
      <c r="K591" s="123">
        <f>ROUND('[7]2040'!K56,2)</f>
        <v>37021.589999999997</v>
      </c>
      <c r="L591" s="123">
        <f>ROUND('[7]2040'!L56,2)</f>
        <v>41239.410000000003</v>
      </c>
      <c r="M591" s="123">
        <f>ROUND('[7]2040'!M56,2)</f>
        <v>45625</v>
      </c>
      <c r="N591" s="123">
        <f>ROUND('[7]2040'!N56,2)</f>
        <v>48166.400000000001</v>
      </c>
      <c r="O591" s="123">
        <f>ROUND('[7]2040'!O56,2)</f>
        <v>50409.31</v>
      </c>
      <c r="P591" s="123">
        <f>ROUND('[7]2040'!P56,2)</f>
        <v>52158.51</v>
      </c>
      <c r="Q591" s="123">
        <f>ROUND('[7]2040'!Q56,2)</f>
        <v>51033.81</v>
      </c>
      <c r="R591" s="123">
        <f>ROUND('[7]2040'!R56,2)</f>
        <v>51565.48</v>
      </c>
      <c r="S591" s="123">
        <f>ROUND('[7]2040'!S56,2)</f>
        <v>53038.9</v>
      </c>
      <c r="T591" s="123">
        <f>ROUND('[7]2040'!T56,2)</f>
        <v>53122.09</v>
      </c>
      <c r="U591" s="123">
        <f>ROUND('[7]2040'!U56,2)</f>
        <v>52280.17</v>
      </c>
      <c r="V591" s="123">
        <f>ROUND('[7]2040'!V56,2)</f>
        <v>52416.01</v>
      </c>
      <c r="W591" s="123">
        <f>ROUND('[7]2040'!W56,2)</f>
        <v>56823.31</v>
      </c>
      <c r="X591" s="123">
        <f>ROUND('[7]2040'!X56,2)</f>
        <v>55912.49</v>
      </c>
      <c r="Y591" s="123">
        <f>ROUND('[7]2040'!Y56,2)</f>
        <v>54109.04</v>
      </c>
      <c r="Z591" s="123">
        <f>ROUND('[7]2040'!Z56,2)</f>
        <v>51719.11</v>
      </c>
      <c r="AA591" s="123">
        <f>ROUND('[7]2040'!AA56,2)</f>
        <v>48514.59</v>
      </c>
      <c r="AB591" s="123">
        <f>ROUND('[7]2040'!AB56,2)</f>
        <v>44915.06</v>
      </c>
      <c r="AC591" s="282"/>
      <c r="AD591" s="187"/>
    </row>
    <row r="592" spans="2:30" s="188" customFormat="1" ht="18.649999999999999" customHeight="1" x14ac:dyDescent="0.35">
      <c r="B592" s="261"/>
      <c r="C592" s="10" t="s">
        <v>31</v>
      </c>
      <c r="D592" s="11">
        <f>+'[7]2040'!D57</f>
        <v>4</v>
      </c>
      <c r="E592" s="128">
        <f>ROUND('[7]2040'!E57,2)</f>
        <v>38697.67</v>
      </c>
      <c r="F592" s="123">
        <f>ROUND('[7]2040'!F57,2)</f>
        <v>36641.599999999999</v>
      </c>
      <c r="G592" s="123">
        <f>ROUND('[7]2040'!G57,2)</f>
        <v>35080.800000000003</v>
      </c>
      <c r="H592" s="123">
        <f>ROUND('[7]2040'!H57,2)</f>
        <v>33881.99</v>
      </c>
      <c r="I592" s="123">
        <f>ROUND('[7]2040'!I57,2)</f>
        <v>33475.800000000003</v>
      </c>
      <c r="J592" s="123">
        <f>ROUND('[7]2040'!J57,2)</f>
        <v>32965.29</v>
      </c>
      <c r="K592" s="123">
        <f>ROUND('[7]2040'!K57,2)</f>
        <v>32040.04</v>
      </c>
      <c r="L592" s="123">
        <f>ROUND('[7]2040'!L57,2)</f>
        <v>34150.46</v>
      </c>
      <c r="M592" s="123">
        <f>ROUND('[7]2040'!M57,2)</f>
        <v>36684.379999999997</v>
      </c>
      <c r="N592" s="123">
        <f>ROUND('[7]2040'!N57,2)</f>
        <v>38662.53</v>
      </c>
      <c r="O592" s="123">
        <f>ROUND('[7]2040'!O57,2)</f>
        <v>40282.86</v>
      </c>
      <c r="P592" s="123">
        <f>ROUND('[7]2040'!P57,2)</f>
        <v>41719.11</v>
      </c>
      <c r="Q592" s="123">
        <f>ROUND('[7]2040'!Q57,2)</f>
        <v>42167.29</v>
      </c>
      <c r="R592" s="123">
        <f>ROUND('[7]2040'!R57,2)</f>
        <v>42381.03</v>
      </c>
      <c r="S592" s="123">
        <f>ROUND('[7]2040'!S57,2)</f>
        <v>41771.980000000003</v>
      </c>
      <c r="T592" s="123">
        <f>ROUND('[7]2040'!T57,2)</f>
        <v>41814.68</v>
      </c>
      <c r="U592" s="123">
        <f>ROUND('[7]2040'!U57,2)</f>
        <v>41916.15</v>
      </c>
      <c r="V592" s="123">
        <f>ROUND('[7]2040'!V57,2)</f>
        <v>44554.99</v>
      </c>
      <c r="W592" s="123">
        <f>ROUND('[7]2040'!W57,2)</f>
        <v>49716</v>
      </c>
      <c r="X592" s="123">
        <f>ROUND('[7]2040'!X57,2)</f>
        <v>49900.29</v>
      </c>
      <c r="Y592" s="123">
        <f>ROUND('[7]2040'!Y57,2)</f>
        <v>48348.27</v>
      </c>
      <c r="Z592" s="123">
        <f>ROUND('[7]2040'!Z57,2)</f>
        <v>45448</v>
      </c>
      <c r="AA592" s="123">
        <f>ROUND('[7]2040'!AA57,2)</f>
        <v>41778.449999999997</v>
      </c>
      <c r="AB592" s="123">
        <f>ROUND('[7]2040'!AB57,2)</f>
        <v>38322.559999999998</v>
      </c>
      <c r="AC592" s="282"/>
      <c r="AD592" s="187"/>
    </row>
    <row r="593" spans="2:31" s="188" customFormat="1" ht="18.649999999999999" customHeight="1" thickBot="1" x14ac:dyDescent="0.4">
      <c r="B593" s="261"/>
      <c r="C593" s="16" t="s">
        <v>32</v>
      </c>
      <c r="D593" s="17">
        <f>+'[7]2040'!D58</f>
        <v>2</v>
      </c>
      <c r="E593" s="129">
        <f>ROUND('[7]2040'!E58,2)</f>
        <v>38697.67</v>
      </c>
      <c r="F593" s="124">
        <f>ROUND('[7]2040'!F58,2)</f>
        <v>36641.599999999999</v>
      </c>
      <c r="G593" s="124">
        <f>ROUND('[7]2040'!G58,2)</f>
        <v>35080.800000000003</v>
      </c>
      <c r="H593" s="124">
        <f>ROUND('[7]2040'!H58,2)</f>
        <v>33881.99</v>
      </c>
      <c r="I593" s="124">
        <f>ROUND('[7]2040'!I58,2)</f>
        <v>33475.800000000003</v>
      </c>
      <c r="J593" s="124">
        <f>ROUND('[7]2040'!J58,2)</f>
        <v>32965.29</v>
      </c>
      <c r="K593" s="124">
        <f>ROUND('[7]2040'!K58,2)</f>
        <v>32040.04</v>
      </c>
      <c r="L593" s="124">
        <f>ROUND('[7]2040'!L58,2)</f>
        <v>34150.46</v>
      </c>
      <c r="M593" s="124">
        <f>ROUND('[7]2040'!M58,2)</f>
        <v>36684.379999999997</v>
      </c>
      <c r="N593" s="124">
        <f>ROUND('[7]2040'!N58,2)</f>
        <v>38662.53</v>
      </c>
      <c r="O593" s="124">
        <f>ROUND('[7]2040'!O58,2)</f>
        <v>40282.86</v>
      </c>
      <c r="P593" s="124">
        <f>ROUND('[7]2040'!P58,2)</f>
        <v>41719.11</v>
      </c>
      <c r="Q593" s="124">
        <f>ROUND('[7]2040'!Q58,2)</f>
        <v>42167.29</v>
      </c>
      <c r="R593" s="124">
        <f>ROUND('[7]2040'!R58,2)</f>
        <v>42381.03</v>
      </c>
      <c r="S593" s="124">
        <f>ROUND('[7]2040'!S58,2)</f>
        <v>41771.980000000003</v>
      </c>
      <c r="T593" s="124">
        <f>ROUND('[7]2040'!T58,2)</f>
        <v>41814.68</v>
      </c>
      <c r="U593" s="124">
        <f>ROUND('[7]2040'!U58,2)</f>
        <v>41916.15</v>
      </c>
      <c r="V593" s="124">
        <f>ROUND('[7]2040'!V58,2)</f>
        <v>44554.99</v>
      </c>
      <c r="W593" s="124">
        <f>ROUND('[7]2040'!W58,2)</f>
        <v>49716</v>
      </c>
      <c r="X593" s="124">
        <f>ROUND('[7]2040'!X58,2)</f>
        <v>49900.29</v>
      </c>
      <c r="Y593" s="124">
        <f>ROUND('[7]2040'!Y58,2)</f>
        <v>48348.27</v>
      </c>
      <c r="Z593" s="124">
        <f>ROUND('[7]2040'!Z58,2)</f>
        <v>45448</v>
      </c>
      <c r="AA593" s="124">
        <f>ROUND('[7]2040'!AA58,2)</f>
        <v>41778.449999999997</v>
      </c>
      <c r="AB593" s="124">
        <f>ROUND('[7]2040'!AB58,2)</f>
        <v>38322.559999999998</v>
      </c>
      <c r="AC593" s="282"/>
      <c r="AD593" s="187"/>
    </row>
    <row r="594" spans="2:31" s="188" customFormat="1" ht="18.649999999999999" customHeight="1" x14ac:dyDescent="0.35">
      <c r="B594" s="263">
        <v>51471</v>
      </c>
      <c r="C594" s="7" t="s">
        <v>29</v>
      </c>
      <c r="D594" s="8">
        <f>+'[7]2040'!D59</f>
        <v>20</v>
      </c>
      <c r="E594" s="127">
        <f>ROUND('[7]2040'!E59,2)</f>
        <v>40764.239999999998</v>
      </c>
      <c r="F594" s="125">
        <f>ROUND('[7]2040'!F59,2)</f>
        <v>38612.949999999997</v>
      </c>
      <c r="G594" s="125">
        <f>ROUND('[7]2040'!G59,2)</f>
        <v>36986.839999999997</v>
      </c>
      <c r="H594" s="125">
        <f>ROUND('[7]2040'!H59,2)</f>
        <v>35856.550000000003</v>
      </c>
      <c r="I594" s="125">
        <f>ROUND('[7]2040'!I59,2)</f>
        <v>35608.19</v>
      </c>
      <c r="J594" s="125">
        <f>ROUND('[7]2040'!J59,2)</f>
        <v>35789.07</v>
      </c>
      <c r="K594" s="125">
        <f>ROUND('[7]2040'!K59,2)</f>
        <v>35374.230000000003</v>
      </c>
      <c r="L594" s="125">
        <f>ROUND('[7]2040'!L59,2)</f>
        <v>39168.839999999997</v>
      </c>
      <c r="M594" s="125">
        <f>ROUND('[7]2040'!M59,2)</f>
        <v>43310.23</v>
      </c>
      <c r="N594" s="125">
        <f>ROUND('[7]2040'!N59,2)</f>
        <v>45930.48</v>
      </c>
      <c r="O594" s="125">
        <f>ROUND('[7]2040'!O59,2)</f>
        <v>47859.01</v>
      </c>
      <c r="P594" s="125">
        <f>ROUND('[7]2040'!P59,2)</f>
        <v>49016.26</v>
      </c>
      <c r="Q594" s="125">
        <f>ROUND('[7]2040'!Q59,2)</f>
        <v>47955.72</v>
      </c>
      <c r="R594" s="125">
        <f>ROUND('[7]2040'!R59,2)</f>
        <v>47195.02</v>
      </c>
      <c r="S594" s="125">
        <f>ROUND('[7]2040'!S59,2)</f>
        <v>47309.74</v>
      </c>
      <c r="T594" s="125">
        <f>ROUND('[7]2040'!T59,2)</f>
        <v>47276.76</v>
      </c>
      <c r="U594" s="125">
        <f>ROUND('[7]2040'!U59,2)</f>
        <v>46690.68</v>
      </c>
      <c r="V594" s="125">
        <f>ROUND('[7]2040'!V59,2)</f>
        <v>47942.89</v>
      </c>
      <c r="W594" s="125">
        <f>ROUND('[7]2040'!W59,2)</f>
        <v>52798.28</v>
      </c>
      <c r="X594" s="125">
        <f>ROUND('[7]2040'!X59,2)</f>
        <v>51647.79</v>
      </c>
      <c r="Y594" s="125">
        <f>ROUND('[7]2040'!Y59,2)</f>
        <v>49426.75</v>
      </c>
      <c r="Z594" s="125">
        <f>ROUND('[7]2040'!Z59,2)</f>
        <v>46994.06</v>
      </c>
      <c r="AA594" s="125">
        <f>ROUND('[7]2040'!AA59,2)</f>
        <v>44634.35</v>
      </c>
      <c r="AB594" s="125">
        <f>ROUND('[7]2040'!AB59,2)</f>
        <v>41990.09</v>
      </c>
      <c r="AC594" s="283">
        <f>SUM(E594:AB594)*D594+SUM(E595:AB595)*D595+SUM(E596:AB596)*D596+SUM(E597:AB597)*D597</f>
        <v>32192811.84</v>
      </c>
      <c r="AD594" s="187"/>
    </row>
    <row r="595" spans="2:31" s="188" customFormat="1" ht="18.649999999999999" customHeight="1" x14ac:dyDescent="0.35">
      <c r="B595" s="264" t="s">
        <v>34</v>
      </c>
      <c r="C595" s="10" t="s">
        <v>30</v>
      </c>
      <c r="D595" s="11">
        <f>+'[7]2040'!D60</f>
        <v>4</v>
      </c>
      <c r="E595" s="128">
        <f>ROUND('[7]2040'!E60,2)</f>
        <v>40009.760000000002</v>
      </c>
      <c r="F595" s="123">
        <f>ROUND('[7]2040'!F60,2)</f>
        <v>37989.800000000003</v>
      </c>
      <c r="G595" s="123">
        <f>ROUND('[7]2040'!G60,2)</f>
        <v>36472.81</v>
      </c>
      <c r="H595" s="123">
        <f>ROUND('[7]2040'!H60,2)</f>
        <v>35419.39</v>
      </c>
      <c r="I595" s="123">
        <f>ROUND('[7]2040'!I60,2)</f>
        <v>35303.82</v>
      </c>
      <c r="J595" s="123">
        <f>ROUND('[7]2040'!J60,2)</f>
        <v>35873.120000000003</v>
      </c>
      <c r="K595" s="123">
        <f>ROUND('[7]2040'!K60,2)</f>
        <v>36025.620000000003</v>
      </c>
      <c r="L595" s="123">
        <f>ROUND('[7]2040'!L60,2)</f>
        <v>39977.89</v>
      </c>
      <c r="M595" s="123">
        <f>ROUND('[7]2040'!M60,2)</f>
        <v>44075.61</v>
      </c>
      <c r="N595" s="123">
        <f>ROUND('[7]2040'!N60,2)</f>
        <v>46443.86</v>
      </c>
      <c r="O595" s="123">
        <f>ROUND('[7]2040'!O60,2)</f>
        <v>48758.25</v>
      </c>
      <c r="P595" s="123">
        <f>ROUND('[7]2040'!P60,2)</f>
        <v>50384.59</v>
      </c>
      <c r="Q595" s="123">
        <f>ROUND('[7]2040'!Q60,2)</f>
        <v>49116.3</v>
      </c>
      <c r="R595" s="123">
        <f>ROUND('[7]2040'!R60,2)</f>
        <v>50091.28</v>
      </c>
      <c r="S595" s="123">
        <f>ROUND('[7]2040'!S60,2)</f>
        <v>51741.4</v>
      </c>
      <c r="T595" s="123">
        <f>ROUND('[7]2040'!T60,2)</f>
        <v>51856.98</v>
      </c>
      <c r="U595" s="123">
        <f>ROUND('[7]2040'!U60,2)</f>
        <v>50965.24</v>
      </c>
      <c r="V595" s="123">
        <f>ROUND('[7]2040'!V60,2)</f>
        <v>50048.09</v>
      </c>
      <c r="W595" s="123">
        <f>ROUND('[7]2040'!W60,2)</f>
        <v>53520.73</v>
      </c>
      <c r="X595" s="123">
        <f>ROUND('[7]2040'!X60,2)</f>
        <v>53842.65</v>
      </c>
      <c r="Y595" s="123">
        <f>ROUND('[7]2040'!Y60,2)</f>
        <v>52487.199999999997</v>
      </c>
      <c r="Z595" s="123">
        <f>ROUND('[7]2040'!Z60,2)</f>
        <v>50211.91</v>
      </c>
      <c r="AA595" s="123">
        <f>ROUND('[7]2040'!AA60,2)</f>
        <v>46725.73</v>
      </c>
      <c r="AB595" s="123">
        <f>ROUND('[7]2040'!AB60,2)</f>
        <v>42997.47</v>
      </c>
      <c r="AC595" s="282"/>
      <c r="AD595" s="187"/>
    </row>
    <row r="596" spans="2:31" s="188" customFormat="1" ht="18.649999999999999" customHeight="1" x14ac:dyDescent="0.35">
      <c r="B596" s="264" t="s">
        <v>34</v>
      </c>
      <c r="C596" s="10" t="s">
        <v>31</v>
      </c>
      <c r="D596" s="11">
        <f>+'[7]2040'!D61</f>
        <v>5</v>
      </c>
      <c r="E596" s="128">
        <f>ROUND('[7]2040'!E61,2)</f>
        <v>39770.160000000003</v>
      </c>
      <c r="F596" s="123">
        <f>ROUND('[7]2040'!F61,2)</f>
        <v>38536.76</v>
      </c>
      <c r="G596" s="123">
        <f>ROUND('[7]2040'!G61,2)</f>
        <v>37370.25</v>
      </c>
      <c r="H596" s="123">
        <f>ROUND('[7]2040'!H61,2)</f>
        <v>36252.06</v>
      </c>
      <c r="I596" s="123">
        <f>ROUND('[7]2040'!I61,2)</f>
        <v>35607.5</v>
      </c>
      <c r="J596" s="123">
        <f>ROUND('[7]2040'!J61,2)</f>
        <v>34675.230000000003</v>
      </c>
      <c r="K596" s="123">
        <f>ROUND('[7]2040'!K61,2)</f>
        <v>32521.439999999999</v>
      </c>
      <c r="L596" s="123">
        <f>ROUND('[7]2040'!L61,2)</f>
        <v>33601.870000000003</v>
      </c>
      <c r="M596" s="123">
        <f>ROUND('[7]2040'!M61,2)</f>
        <v>35358.47</v>
      </c>
      <c r="N596" s="123">
        <f>ROUND('[7]2040'!N61,2)</f>
        <v>37007.68</v>
      </c>
      <c r="O596" s="123">
        <f>ROUND('[7]2040'!O61,2)</f>
        <v>38545.17</v>
      </c>
      <c r="P596" s="123">
        <f>ROUND('[7]2040'!P61,2)</f>
        <v>39851.97</v>
      </c>
      <c r="Q596" s="123">
        <f>ROUND('[7]2040'!Q61,2)</f>
        <v>40566.239999999998</v>
      </c>
      <c r="R596" s="123">
        <f>ROUND('[7]2040'!R61,2)</f>
        <v>40597.82</v>
      </c>
      <c r="S596" s="123">
        <f>ROUND('[7]2040'!S61,2)</f>
        <v>40414.120000000003</v>
      </c>
      <c r="T596" s="123">
        <f>ROUND('[7]2040'!T61,2)</f>
        <v>40637.550000000003</v>
      </c>
      <c r="U596" s="123">
        <f>ROUND('[7]2040'!U61,2)</f>
        <v>40618.589999999997</v>
      </c>
      <c r="V596" s="123">
        <f>ROUND('[7]2040'!V61,2)</f>
        <v>41931.519999999997</v>
      </c>
      <c r="W596" s="123">
        <f>ROUND('[7]2040'!W61,2)</f>
        <v>47772.09</v>
      </c>
      <c r="X596" s="123">
        <f>ROUND('[7]2040'!X61,2)</f>
        <v>48213.84</v>
      </c>
      <c r="Y596" s="123">
        <f>ROUND('[7]2040'!Y61,2)</f>
        <v>47603.1</v>
      </c>
      <c r="Z596" s="123">
        <f>ROUND('[7]2040'!Z61,2)</f>
        <v>46155.72</v>
      </c>
      <c r="AA596" s="123">
        <f>ROUND('[7]2040'!AA61,2)</f>
        <v>43770.23</v>
      </c>
      <c r="AB596" s="123">
        <f>ROUND('[7]2040'!AB61,2)</f>
        <v>41002.54</v>
      </c>
      <c r="AC596" s="282"/>
      <c r="AD596" s="187"/>
    </row>
    <row r="597" spans="2:31" s="188" customFormat="1" ht="18.649999999999999" customHeight="1" thickBot="1" x14ac:dyDescent="0.4">
      <c r="B597" s="265" t="s">
        <v>34</v>
      </c>
      <c r="C597" s="12" t="s">
        <v>32</v>
      </c>
      <c r="D597" s="13">
        <f>+'[7]2040'!D62</f>
        <v>2</v>
      </c>
      <c r="E597" s="130">
        <f>ROUND('[7]2040'!E62,2)</f>
        <v>39770.160000000003</v>
      </c>
      <c r="F597" s="126">
        <f>ROUND('[7]2040'!F62,2)</f>
        <v>38536.76</v>
      </c>
      <c r="G597" s="126">
        <f>ROUND('[7]2040'!G62,2)</f>
        <v>37370.25</v>
      </c>
      <c r="H597" s="126">
        <f>ROUND('[7]2040'!H62,2)</f>
        <v>36252.06</v>
      </c>
      <c r="I597" s="126">
        <f>ROUND('[7]2040'!I62,2)</f>
        <v>35607.5</v>
      </c>
      <c r="J597" s="126">
        <f>ROUND('[7]2040'!J62,2)</f>
        <v>34675.230000000003</v>
      </c>
      <c r="K597" s="126">
        <f>ROUND('[7]2040'!K62,2)</f>
        <v>32521.439999999999</v>
      </c>
      <c r="L597" s="126">
        <f>ROUND('[7]2040'!L62,2)</f>
        <v>33601.870000000003</v>
      </c>
      <c r="M597" s="126">
        <f>ROUND('[7]2040'!M62,2)</f>
        <v>35358.47</v>
      </c>
      <c r="N597" s="126">
        <f>ROUND('[7]2040'!N62,2)</f>
        <v>37007.68</v>
      </c>
      <c r="O597" s="126">
        <f>ROUND('[7]2040'!O62,2)</f>
        <v>38545.17</v>
      </c>
      <c r="P597" s="126">
        <f>ROUND('[7]2040'!P62,2)</f>
        <v>39851.97</v>
      </c>
      <c r="Q597" s="126">
        <f>ROUND('[7]2040'!Q62,2)</f>
        <v>40566.239999999998</v>
      </c>
      <c r="R597" s="126">
        <f>ROUND('[7]2040'!R62,2)</f>
        <v>40597.82</v>
      </c>
      <c r="S597" s="126">
        <f>ROUND('[7]2040'!S62,2)</f>
        <v>40414.120000000003</v>
      </c>
      <c r="T597" s="126">
        <f>ROUND('[7]2040'!T62,2)</f>
        <v>40637.550000000003</v>
      </c>
      <c r="U597" s="126">
        <f>ROUND('[7]2040'!U62,2)</f>
        <v>40618.589999999997</v>
      </c>
      <c r="V597" s="126">
        <f>ROUND('[7]2040'!V62,2)</f>
        <v>41931.519999999997</v>
      </c>
      <c r="W597" s="126">
        <f>ROUND('[7]2040'!W62,2)</f>
        <v>47772.09</v>
      </c>
      <c r="X597" s="126">
        <f>ROUND('[7]2040'!X62,2)</f>
        <v>48213.84</v>
      </c>
      <c r="Y597" s="126">
        <f>ROUND('[7]2040'!Y62,2)</f>
        <v>47603.1</v>
      </c>
      <c r="Z597" s="126">
        <f>ROUND('[7]2040'!Z62,2)</f>
        <v>46155.72</v>
      </c>
      <c r="AA597" s="126">
        <f>ROUND('[7]2040'!AA62,2)</f>
        <v>43770.23</v>
      </c>
      <c r="AB597" s="126">
        <f>ROUND('[7]2040'!AB62,2)</f>
        <v>41002.54</v>
      </c>
      <c r="AC597" s="284"/>
      <c r="AD597" s="187"/>
    </row>
    <row r="598" spans="2:31" s="188" customFormat="1" ht="18.649999999999999" customHeight="1" thickBot="1" x14ac:dyDescent="0.4">
      <c r="E598" s="191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268" t="s">
        <v>33</v>
      </c>
      <c r="AA598" s="269"/>
      <c r="AB598" s="270"/>
      <c r="AC598" s="198">
        <f>SUM(AC550:AC597)</f>
        <v>387247493.07999998</v>
      </c>
      <c r="AD598" s="190"/>
      <c r="AE598" s="187"/>
    </row>
    <row r="599" spans="2:31" ht="20.25" customHeight="1" thickBot="1" x14ac:dyDescent="0.4">
      <c r="Z599" s="268" t="s">
        <v>49</v>
      </c>
      <c r="AA599" s="269"/>
      <c r="AB599" s="270"/>
      <c r="AC599" s="198">
        <f>+AC451+AC402+AC353+AC304+AC255+AC206+AC157+AC108+AC59+AC500+AC549+AC598</f>
        <v>3473996543.8200002</v>
      </c>
    </row>
    <row r="601" spans="2:31" x14ac:dyDescent="0.35">
      <c r="AC601" s="196">
        <f>+AC599/1000</f>
        <v>3473996.5438200003</v>
      </c>
    </row>
  </sheetData>
  <mergeCells count="306">
    <mergeCell ref="B11:B14"/>
    <mergeCell ref="AC11:AC14"/>
    <mergeCell ref="B4:AC4"/>
    <mergeCell ref="B5:AC5"/>
    <mergeCell ref="B6:AC6"/>
    <mergeCell ref="B7:AC7"/>
    <mergeCell ref="B8:AC8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51:B54"/>
    <mergeCell ref="AC51:AC54"/>
    <mergeCell ref="B55:B58"/>
    <mergeCell ref="AC55:AC58"/>
    <mergeCell ref="Z59:AB59"/>
    <mergeCell ref="B60:B63"/>
    <mergeCell ref="AC60:AC63"/>
    <mergeCell ref="B39:B42"/>
    <mergeCell ref="AC39:AC42"/>
    <mergeCell ref="B43:B46"/>
    <mergeCell ref="AC43:AC46"/>
    <mergeCell ref="B47:B50"/>
    <mergeCell ref="AC47:AC50"/>
    <mergeCell ref="B76:B79"/>
    <mergeCell ref="AC76:AC79"/>
    <mergeCell ref="B80:B83"/>
    <mergeCell ref="AC80:AC83"/>
    <mergeCell ref="B84:B87"/>
    <mergeCell ref="AC84:AC87"/>
    <mergeCell ref="B64:B67"/>
    <mergeCell ref="AC64:AC67"/>
    <mergeCell ref="B68:B71"/>
    <mergeCell ref="AC68:AC71"/>
    <mergeCell ref="B72:B75"/>
    <mergeCell ref="AC72:AC75"/>
    <mergeCell ref="B100:B103"/>
    <mergeCell ref="AC100:AC103"/>
    <mergeCell ref="B104:B107"/>
    <mergeCell ref="AC104:AC107"/>
    <mergeCell ref="Z108:AB108"/>
    <mergeCell ref="B109:B112"/>
    <mergeCell ref="AC109:AC112"/>
    <mergeCell ref="B88:B91"/>
    <mergeCell ref="AC88:AC91"/>
    <mergeCell ref="B92:B95"/>
    <mergeCell ref="AC92:AC95"/>
    <mergeCell ref="B96:B99"/>
    <mergeCell ref="AC96:AC99"/>
    <mergeCell ref="B125:B128"/>
    <mergeCell ref="AC125:AC128"/>
    <mergeCell ref="B129:B132"/>
    <mergeCell ref="AC129:AC132"/>
    <mergeCell ref="B133:B136"/>
    <mergeCell ref="AC133:AC136"/>
    <mergeCell ref="B113:B116"/>
    <mergeCell ref="AC113:AC116"/>
    <mergeCell ref="B117:B120"/>
    <mergeCell ref="AC117:AC120"/>
    <mergeCell ref="B121:B124"/>
    <mergeCell ref="AC121:AC124"/>
    <mergeCell ref="B149:B152"/>
    <mergeCell ref="AC149:AC152"/>
    <mergeCell ref="B153:B156"/>
    <mergeCell ref="AC153:AC156"/>
    <mergeCell ref="Z157:AB157"/>
    <mergeCell ref="B158:B161"/>
    <mergeCell ref="AC158:AC161"/>
    <mergeCell ref="B137:B140"/>
    <mergeCell ref="AC137:AC140"/>
    <mergeCell ref="B141:B144"/>
    <mergeCell ref="AC141:AC144"/>
    <mergeCell ref="B145:B148"/>
    <mergeCell ref="AC145:AC148"/>
    <mergeCell ref="B174:B177"/>
    <mergeCell ref="AC174:AC177"/>
    <mergeCell ref="B178:B181"/>
    <mergeCell ref="AC178:AC181"/>
    <mergeCell ref="B182:B185"/>
    <mergeCell ref="AC182:AC185"/>
    <mergeCell ref="B162:B165"/>
    <mergeCell ref="AC162:AC165"/>
    <mergeCell ref="B166:B169"/>
    <mergeCell ref="AC166:AC169"/>
    <mergeCell ref="B170:B173"/>
    <mergeCell ref="AC170:AC173"/>
    <mergeCell ref="B198:B201"/>
    <mergeCell ref="AC198:AC201"/>
    <mergeCell ref="B202:B205"/>
    <mergeCell ref="AC202:AC205"/>
    <mergeCell ref="Z206:AB206"/>
    <mergeCell ref="B207:B210"/>
    <mergeCell ref="AC207:AC210"/>
    <mergeCell ref="B186:B189"/>
    <mergeCell ref="AC186:AC189"/>
    <mergeCell ref="B190:B193"/>
    <mergeCell ref="AC190:AC193"/>
    <mergeCell ref="B194:B197"/>
    <mergeCell ref="AC194:AC197"/>
    <mergeCell ref="B223:B226"/>
    <mergeCell ref="AC223:AC226"/>
    <mergeCell ref="B227:B230"/>
    <mergeCell ref="AC227:AC230"/>
    <mergeCell ref="B231:B234"/>
    <mergeCell ref="AC231:AC234"/>
    <mergeCell ref="B211:B214"/>
    <mergeCell ref="AC211:AC214"/>
    <mergeCell ref="B215:B218"/>
    <mergeCell ref="AC215:AC218"/>
    <mergeCell ref="B219:B222"/>
    <mergeCell ref="AC219:AC222"/>
    <mergeCell ref="B247:B250"/>
    <mergeCell ref="AC247:AC250"/>
    <mergeCell ref="B251:B254"/>
    <mergeCell ref="AC251:AC254"/>
    <mergeCell ref="Z255:AB255"/>
    <mergeCell ref="B256:B259"/>
    <mergeCell ref="AC256:AC259"/>
    <mergeCell ref="B235:B238"/>
    <mergeCell ref="AC235:AC238"/>
    <mergeCell ref="B239:B242"/>
    <mergeCell ref="AC239:AC242"/>
    <mergeCell ref="B243:B246"/>
    <mergeCell ref="AC243:AC246"/>
    <mergeCell ref="B272:B275"/>
    <mergeCell ref="AC272:AC275"/>
    <mergeCell ref="B276:B279"/>
    <mergeCell ref="AC276:AC279"/>
    <mergeCell ref="B280:B283"/>
    <mergeCell ref="AC280:AC283"/>
    <mergeCell ref="B260:B263"/>
    <mergeCell ref="AC260:AC263"/>
    <mergeCell ref="B264:B267"/>
    <mergeCell ref="AC264:AC267"/>
    <mergeCell ref="B268:B271"/>
    <mergeCell ref="AC268:AC271"/>
    <mergeCell ref="B296:B299"/>
    <mergeCell ref="AC296:AC299"/>
    <mergeCell ref="B300:B303"/>
    <mergeCell ref="AC300:AC303"/>
    <mergeCell ref="Z304:AB304"/>
    <mergeCell ref="B305:B308"/>
    <mergeCell ref="AC305:AC308"/>
    <mergeCell ref="B284:B287"/>
    <mergeCell ref="AC284:AC287"/>
    <mergeCell ref="B288:B291"/>
    <mergeCell ref="AC288:AC291"/>
    <mergeCell ref="B292:B295"/>
    <mergeCell ref="AC292:AC295"/>
    <mergeCell ref="B321:B324"/>
    <mergeCell ref="AC321:AC324"/>
    <mergeCell ref="B325:B328"/>
    <mergeCell ref="AC325:AC328"/>
    <mergeCell ref="B329:B332"/>
    <mergeCell ref="AC329:AC332"/>
    <mergeCell ref="B309:B312"/>
    <mergeCell ref="AC309:AC312"/>
    <mergeCell ref="B313:B316"/>
    <mergeCell ref="AC313:AC316"/>
    <mergeCell ref="B317:B320"/>
    <mergeCell ref="AC317:AC320"/>
    <mergeCell ref="B345:B348"/>
    <mergeCell ref="AC345:AC348"/>
    <mergeCell ref="B349:B352"/>
    <mergeCell ref="AC349:AC352"/>
    <mergeCell ref="B354:B357"/>
    <mergeCell ref="AC354:AC357"/>
    <mergeCell ref="Z353:AB353"/>
    <mergeCell ref="B333:B336"/>
    <mergeCell ref="AC333:AC336"/>
    <mergeCell ref="B337:B340"/>
    <mergeCell ref="AC337:AC340"/>
    <mergeCell ref="B341:B344"/>
    <mergeCell ref="AC341:AC344"/>
    <mergeCell ref="B370:B373"/>
    <mergeCell ref="AC370:AC373"/>
    <mergeCell ref="B374:B377"/>
    <mergeCell ref="AC374:AC377"/>
    <mergeCell ref="B378:B381"/>
    <mergeCell ref="AC378:AC381"/>
    <mergeCell ref="B358:B361"/>
    <mergeCell ref="AC358:AC361"/>
    <mergeCell ref="B362:B365"/>
    <mergeCell ref="AC362:AC365"/>
    <mergeCell ref="B366:B369"/>
    <mergeCell ref="AC366:AC369"/>
    <mergeCell ref="B394:B397"/>
    <mergeCell ref="AC394:AC397"/>
    <mergeCell ref="B398:B401"/>
    <mergeCell ref="AC398:AC401"/>
    <mergeCell ref="B403:B406"/>
    <mergeCell ref="AC403:AC406"/>
    <mergeCell ref="Z402:AB402"/>
    <mergeCell ref="B382:B385"/>
    <mergeCell ref="AC382:AC385"/>
    <mergeCell ref="B386:B389"/>
    <mergeCell ref="AC386:AC389"/>
    <mergeCell ref="B390:B393"/>
    <mergeCell ref="AC390:AC393"/>
    <mergeCell ref="B419:B422"/>
    <mergeCell ref="AC419:AC422"/>
    <mergeCell ref="B423:B426"/>
    <mergeCell ref="AC423:AC426"/>
    <mergeCell ref="B427:B430"/>
    <mergeCell ref="AC427:AC430"/>
    <mergeCell ref="B407:B410"/>
    <mergeCell ref="AC407:AC410"/>
    <mergeCell ref="B411:B414"/>
    <mergeCell ref="AC411:AC414"/>
    <mergeCell ref="B415:B418"/>
    <mergeCell ref="AC415:AC418"/>
    <mergeCell ref="B443:B446"/>
    <mergeCell ref="AC443:AC446"/>
    <mergeCell ref="B447:B450"/>
    <mergeCell ref="AC447:AC450"/>
    <mergeCell ref="Z451:AB451"/>
    <mergeCell ref="Z599:AB599"/>
    <mergeCell ref="B431:B434"/>
    <mergeCell ref="AC431:AC434"/>
    <mergeCell ref="B435:B438"/>
    <mergeCell ref="AC435:AC438"/>
    <mergeCell ref="B439:B442"/>
    <mergeCell ref="AC439:AC442"/>
    <mergeCell ref="B452:B455"/>
    <mergeCell ref="AC452:AC455"/>
    <mergeCell ref="B456:B459"/>
    <mergeCell ref="AC456:AC459"/>
    <mergeCell ref="B460:B463"/>
    <mergeCell ref="AC460:AC463"/>
    <mergeCell ref="B464:B467"/>
    <mergeCell ref="AC464:AC467"/>
    <mergeCell ref="B468:B471"/>
    <mergeCell ref="AC468:AC471"/>
    <mergeCell ref="B472:B475"/>
    <mergeCell ref="AC472:AC475"/>
    <mergeCell ref="B476:B479"/>
    <mergeCell ref="AC476:AC479"/>
    <mergeCell ref="B480:B483"/>
    <mergeCell ref="AC480:AC483"/>
    <mergeCell ref="B484:B487"/>
    <mergeCell ref="AC484:AC487"/>
    <mergeCell ref="B488:B491"/>
    <mergeCell ref="AC488:AC491"/>
    <mergeCell ref="B492:B495"/>
    <mergeCell ref="AC492:AC495"/>
    <mergeCell ref="B496:B499"/>
    <mergeCell ref="AC496:AC499"/>
    <mergeCell ref="Z500:AB500"/>
    <mergeCell ref="B501:B504"/>
    <mergeCell ref="AC501:AC504"/>
    <mergeCell ref="B505:B508"/>
    <mergeCell ref="AC505:AC508"/>
    <mergeCell ref="B509:B512"/>
    <mergeCell ref="AC509:AC512"/>
    <mergeCell ref="B513:B516"/>
    <mergeCell ref="AC513:AC516"/>
    <mergeCell ref="B517:B520"/>
    <mergeCell ref="AC517:AC520"/>
    <mergeCell ref="B521:B524"/>
    <mergeCell ref="AC521:AC524"/>
    <mergeCell ref="B525:B528"/>
    <mergeCell ref="AC525:AC528"/>
    <mergeCell ref="B529:B532"/>
    <mergeCell ref="AC529:AC532"/>
    <mergeCell ref="B533:B536"/>
    <mergeCell ref="AC533:AC536"/>
    <mergeCell ref="B537:B540"/>
    <mergeCell ref="AC537:AC540"/>
    <mergeCell ref="B541:B544"/>
    <mergeCell ref="AC541:AC544"/>
    <mergeCell ref="B545:B548"/>
    <mergeCell ref="AC545:AC548"/>
    <mergeCell ref="Z549:AB549"/>
    <mergeCell ref="B550:B553"/>
    <mergeCell ref="AC550:AC553"/>
    <mergeCell ref="B554:B557"/>
    <mergeCell ref="AC554:AC557"/>
    <mergeCell ref="B558:B561"/>
    <mergeCell ref="AC558:AC561"/>
    <mergeCell ref="B562:B565"/>
    <mergeCell ref="AC562:AC565"/>
    <mergeCell ref="B566:B569"/>
    <mergeCell ref="AC566:AC569"/>
    <mergeCell ref="B590:B593"/>
    <mergeCell ref="AC590:AC593"/>
    <mergeCell ref="B594:B597"/>
    <mergeCell ref="AC594:AC597"/>
    <mergeCell ref="Z598:AB598"/>
    <mergeCell ref="B570:B573"/>
    <mergeCell ref="AC570:AC573"/>
    <mergeCell ref="B574:B577"/>
    <mergeCell ref="AC574:AC577"/>
    <mergeCell ref="B578:B581"/>
    <mergeCell ref="AC578:AC581"/>
    <mergeCell ref="B582:B585"/>
    <mergeCell ref="AC582:AC585"/>
    <mergeCell ref="B586:B589"/>
    <mergeCell ref="AC586:AC589"/>
  </mergeCells>
  <phoneticPr fontId="23" type="noConversion"/>
  <conditionalFormatting sqref="E11:AB58">
    <cfRule type="cellIs" dxfId="11" priority="22" operator="lessThan">
      <formula>0</formula>
    </cfRule>
  </conditionalFormatting>
  <conditionalFormatting sqref="E60:AB107">
    <cfRule type="cellIs" dxfId="10" priority="20" operator="lessThan">
      <formula>0</formula>
    </cfRule>
  </conditionalFormatting>
  <conditionalFormatting sqref="E109:AB156">
    <cfRule type="cellIs" dxfId="9" priority="18" operator="lessThan">
      <formula>0</formula>
    </cfRule>
  </conditionalFormatting>
  <conditionalFormatting sqref="E158:AB205">
    <cfRule type="cellIs" dxfId="8" priority="15" operator="lessThan">
      <formula>0</formula>
    </cfRule>
  </conditionalFormatting>
  <conditionalFormatting sqref="E207:AB254">
    <cfRule type="cellIs" dxfId="7" priority="13" operator="lessThan">
      <formula>0</formula>
    </cfRule>
  </conditionalFormatting>
  <conditionalFormatting sqref="E256:AB303">
    <cfRule type="cellIs" dxfId="6" priority="11" operator="lessThan">
      <formula>0</formula>
    </cfRule>
  </conditionalFormatting>
  <conditionalFormatting sqref="E305:AB352">
    <cfRule type="cellIs" dxfId="5" priority="8" operator="lessThan">
      <formula>0</formula>
    </cfRule>
  </conditionalFormatting>
  <conditionalFormatting sqref="E354:AB401">
    <cfRule type="cellIs" dxfId="4" priority="6" operator="lessThan">
      <formula>0</formula>
    </cfRule>
  </conditionalFormatting>
  <conditionalFormatting sqref="E403:AB450">
    <cfRule type="cellIs" dxfId="3" priority="4" operator="lessThan">
      <formula>0</formula>
    </cfRule>
  </conditionalFormatting>
  <conditionalFormatting sqref="E452:AB499">
    <cfRule type="cellIs" dxfId="2" priority="3" operator="lessThan">
      <formula>0</formula>
    </cfRule>
  </conditionalFormatting>
  <conditionalFormatting sqref="E501:AB548">
    <cfRule type="cellIs" dxfId="1" priority="2" operator="lessThan">
      <formula>0</formula>
    </cfRule>
  </conditionalFormatting>
  <conditionalFormatting sqref="E550:AB597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Listas desplegables</vt:lpstr>
      <vt:lpstr>Banco de Preguntas</vt:lpstr>
      <vt:lpstr>Factor garantia</vt:lpstr>
      <vt:lpstr>Cantidades suministrar P1_2026</vt:lpstr>
      <vt:lpstr>Cantidades suministrar P2_2027</vt:lpstr>
      <vt:lpstr>Cantidades suministrar P3_2028</vt:lpstr>
      <vt:lpstr>Cant suministrar P4_29-40</vt:lpstr>
      <vt:lpstr>Hoja9</vt:lpstr>
      <vt:lpstr>Hoja9 (2)</vt:lpstr>
      <vt:lpstr>Cantidades 1_(2026)</vt:lpstr>
      <vt:lpstr>Cantidades 2_(2027)</vt:lpstr>
      <vt:lpstr>Cantidades P3_(2028)</vt:lpstr>
      <vt:lpstr>Cantidades P4_(2029-2040)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Transacciones del MEM</dc:creator>
  <cp:lastModifiedBy>SANDRA MILENA MACIAS PARRADO</cp:lastModifiedBy>
  <cp:lastPrinted>2024-04-02T00:09:26Z</cp:lastPrinted>
  <dcterms:created xsi:type="dcterms:W3CDTF">2021-02-19T12:20:54Z</dcterms:created>
  <dcterms:modified xsi:type="dcterms:W3CDTF">2025-06-19T13:19:36Z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