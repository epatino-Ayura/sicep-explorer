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172.25.2.9\XM_Comercial\09.Compra Energia\01. MERCADO REGULADO\14. INVITACIONES 2026\CE 005-2026\02.Publicación\Definitivos VF\"/>
    </mc:Choice>
  </mc:AlternateContent>
  <xr:revisionPtr revIDLastSave="0" documentId="13_ncr:1_{4B052FAB-F3E0-4188-AF0B-B37FF1CF6EDD}" xr6:coauthVersionLast="47" xr6:coauthVersionMax="47" xr10:uidLastSave="{00000000-0000-0000-0000-000000000000}"/>
  <bookViews>
    <workbookView xWindow="-120" yWindow="-120" windowWidth="29040" windowHeight="15720" tabRatio="857" xr2:uid="{AB74ADC7-B8B7-4791-9BEB-E1A35E7802FC}"/>
  </bookViews>
  <sheets>
    <sheet name="Oferta Producto No. 1" sheetId="14" r:id="rId1"/>
    <sheet name="Cantidades Producto No. 1" sheetId="15" r:id="rId2"/>
    <sheet name="Oferta Producto No. 2" sheetId="16" r:id="rId3"/>
    <sheet name="Cantidades Producto No. 2" sheetId="23" r:id="rId4"/>
    <sheet name="Oferta Producto No. 3" sheetId="13" r:id="rId5"/>
    <sheet name="Cantidades Producto No. 3" sheetId="17" r:id="rId6"/>
  </sheets>
  <definedNames>
    <definedName name="_xlnm._FilterDatabase" localSheetId="1" hidden="1">'Cantidades Producto No. 1'!$A$7:$AB$15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8" i="14" l="1"/>
  <c r="B21" i="16"/>
  <c r="B27" i="13"/>
  <c r="AB48" i="17" l="1"/>
  <c r="AB47" i="17"/>
  <c r="AB46" i="17"/>
  <c r="AB45" i="17"/>
  <c r="AB44" i="17"/>
  <c r="AB43" i="17"/>
  <c r="AB42" i="17"/>
  <c r="AB37" i="17"/>
  <c r="AB36" i="17"/>
  <c r="AB35" i="17"/>
  <c r="AB34" i="17"/>
  <c r="AB33" i="17"/>
  <c r="AB32" i="17"/>
  <c r="AB31" i="17"/>
  <c r="AB26" i="17"/>
  <c r="AB25" i="17"/>
  <c r="AB24" i="17"/>
  <c r="AB23" i="17"/>
  <c r="AB22" i="17"/>
  <c r="AB21" i="17"/>
  <c r="AB20" i="17"/>
  <c r="AB14" i="17"/>
  <c r="AB13" i="17"/>
  <c r="AB12" i="17"/>
  <c r="AB11" i="17"/>
  <c r="AB10" i="17"/>
  <c r="AB9" i="17"/>
  <c r="AB8" i="17"/>
  <c r="Z48" i="17"/>
  <c r="Z47" i="17"/>
  <c r="Z46" i="17"/>
  <c r="Z45" i="17"/>
  <c r="Z44" i="17"/>
  <c r="Z43" i="17"/>
  <c r="Z42" i="17"/>
  <c r="Z37" i="17"/>
  <c r="Z36" i="17"/>
  <c r="Z35" i="17"/>
  <c r="Z34" i="17"/>
  <c r="Z33" i="17"/>
  <c r="Z32" i="17"/>
  <c r="Z31" i="17"/>
  <c r="Z26" i="17"/>
  <c r="Z25" i="17"/>
  <c r="Z24" i="17"/>
  <c r="Z23" i="17"/>
  <c r="Z22" i="17"/>
  <c r="Z21" i="17"/>
  <c r="Z20" i="17"/>
  <c r="Z14" i="17"/>
  <c r="Z13" i="17"/>
  <c r="Z12" i="17"/>
  <c r="Z11" i="17"/>
  <c r="Z10" i="17"/>
  <c r="Z9" i="17"/>
  <c r="Z8" i="17"/>
  <c r="Z24" i="23"/>
  <c r="AB24" i="23" s="1"/>
  <c r="Z19" i="23"/>
  <c r="AB19" i="23" s="1"/>
  <c r="Z14" i="23"/>
  <c r="AB14" i="23" s="1"/>
  <c r="Z8" i="23"/>
  <c r="AB8" i="23" s="1"/>
  <c r="Z54" i="15"/>
  <c r="AB54" i="15" s="1"/>
  <c r="Z53" i="15"/>
  <c r="AB53" i="15" s="1"/>
  <c r="Z52" i="15"/>
  <c r="AB52" i="15" s="1"/>
  <c r="Z51" i="15"/>
  <c r="AB51" i="15" s="1"/>
  <c r="Z50" i="15"/>
  <c r="AB50" i="15" s="1"/>
  <c r="Z49" i="15"/>
  <c r="AB49" i="15" s="1"/>
  <c r="Z48" i="15"/>
  <c r="AB48" i="15" s="1"/>
  <c r="Z47" i="15"/>
  <c r="AB47" i="15" s="1"/>
  <c r="Z41" i="15"/>
  <c r="AB41" i="15" s="1"/>
  <c r="Z40" i="15"/>
  <c r="AB40" i="15" s="1"/>
  <c r="Z39" i="15"/>
  <c r="AB39" i="15" s="1"/>
  <c r="Z38" i="15"/>
  <c r="AB38" i="15" s="1"/>
  <c r="Z37" i="15"/>
  <c r="AB37" i="15" s="1"/>
  <c r="Z36" i="15"/>
  <c r="AB36" i="15" s="1"/>
  <c r="Z35" i="15"/>
  <c r="AB35" i="15" s="1"/>
  <c r="Z34" i="15"/>
  <c r="AB34" i="15" s="1"/>
  <c r="Z28" i="15"/>
  <c r="AB28" i="15" s="1"/>
  <c r="Z27" i="15"/>
  <c r="AB27" i="15" s="1"/>
  <c r="Z26" i="15"/>
  <c r="AB26" i="15" s="1"/>
  <c r="Z25" i="15"/>
  <c r="AB25" i="15" s="1"/>
  <c r="Z24" i="15"/>
  <c r="AB24" i="15" s="1"/>
  <c r="Z23" i="15"/>
  <c r="AB23" i="15" s="1"/>
  <c r="Z22" i="15"/>
  <c r="AB22" i="15" s="1"/>
  <c r="Z21" i="15"/>
  <c r="AB21" i="15" s="1"/>
  <c r="Z15" i="15"/>
  <c r="AB15" i="15" s="1"/>
  <c r="Z14" i="15"/>
  <c r="AB14" i="15" s="1"/>
  <c r="Z13" i="15"/>
  <c r="AB13" i="15" s="1"/>
  <c r="Z12" i="15"/>
  <c r="AB12" i="15" s="1"/>
  <c r="Z11" i="15"/>
  <c r="AB11" i="15" s="1"/>
  <c r="Z10" i="15"/>
  <c r="AB10" i="15" s="1"/>
  <c r="Z9" i="15"/>
  <c r="AB9" i="15" s="1"/>
  <c r="Z8" i="15"/>
  <c r="AB8" i="15" s="1"/>
  <c r="A29" i="23" l="1"/>
  <c r="AA53" i="17"/>
  <c r="AA29" i="23" l="1"/>
  <c r="AA67" i="15"/>
  <c r="AA66" i="15"/>
  <c r="AA65" i="15"/>
  <c r="AA64" i="15"/>
  <c r="AA63" i="15"/>
  <c r="AA62" i="15"/>
  <c r="AA61" i="15"/>
  <c r="AA60" i="15"/>
  <c r="W67" i="15"/>
  <c r="U67" i="15"/>
  <c r="S67" i="15"/>
  <c r="Q67" i="15"/>
  <c r="P67" i="15"/>
  <c r="O67" i="15"/>
  <c r="L67" i="15"/>
  <c r="K67" i="15"/>
  <c r="H67" i="15"/>
  <c r="G67" i="15"/>
  <c r="E67" i="15"/>
  <c r="C67" i="15"/>
  <c r="X66" i="15"/>
  <c r="V66" i="15"/>
  <c r="U66" i="15"/>
  <c r="T66" i="15"/>
  <c r="R66" i="15"/>
  <c r="Q66" i="15"/>
  <c r="P66" i="15"/>
  <c r="N66" i="15"/>
  <c r="L66" i="15"/>
  <c r="I66" i="15"/>
  <c r="H66" i="15"/>
  <c r="F66" i="15"/>
  <c r="E66" i="15"/>
  <c r="C66" i="15"/>
  <c r="Y65" i="15"/>
  <c r="W65" i="15"/>
  <c r="V65" i="15"/>
  <c r="U65" i="15"/>
  <c r="T65" i="15"/>
  <c r="S65" i="15"/>
  <c r="Q65" i="15"/>
  <c r="O65" i="15"/>
  <c r="N65" i="15"/>
  <c r="M65" i="15"/>
  <c r="K65" i="15"/>
  <c r="I65" i="15"/>
  <c r="F65" i="15"/>
  <c r="E65" i="15"/>
  <c r="D65" i="15"/>
  <c r="C65" i="15"/>
  <c r="W64" i="15"/>
  <c r="V64" i="15"/>
  <c r="T64" i="15"/>
  <c r="S64" i="15"/>
  <c r="Q64" i="15"/>
  <c r="P64" i="15"/>
  <c r="N64" i="15"/>
  <c r="M64" i="15"/>
  <c r="K64" i="15"/>
  <c r="J64" i="15"/>
  <c r="H64" i="15"/>
  <c r="G64" i="15"/>
  <c r="F64" i="15"/>
  <c r="D64" i="15"/>
  <c r="X63" i="15"/>
  <c r="W63" i="15"/>
  <c r="V63" i="15"/>
  <c r="T63" i="15"/>
  <c r="S63" i="15"/>
  <c r="P63" i="15"/>
  <c r="N63" i="15"/>
  <c r="K63" i="15"/>
  <c r="J63" i="15"/>
  <c r="H63" i="15"/>
  <c r="G63" i="15"/>
  <c r="F63" i="15"/>
  <c r="D63" i="15"/>
  <c r="Y62" i="15"/>
  <c r="X62" i="15"/>
  <c r="W62" i="15"/>
  <c r="U62" i="15"/>
  <c r="S62" i="15"/>
  <c r="R62" i="15"/>
  <c r="Q62" i="15"/>
  <c r="O62" i="15"/>
  <c r="M62" i="15"/>
  <c r="J62" i="15"/>
  <c r="G62" i="15"/>
  <c r="E62" i="15"/>
  <c r="C62" i="15"/>
  <c r="Y61" i="15"/>
  <c r="V61" i="15"/>
  <c r="U61" i="15"/>
  <c r="T61" i="15"/>
  <c r="R61" i="15"/>
  <c r="Q61" i="15"/>
  <c r="P61" i="15"/>
  <c r="N61" i="15"/>
  <c r="M61" i="15"/>
  <c r="J61" i="15"/>
  <c r="H61" i="15"/>
  <c r="E61" i="15"/>
  <c r="D61" i="15"/>
  <c r="X60" i="15"/>
  <c r="W60" i="15"/>
  <c r="L60" i="15"/>
  <c r="J60" i="15"/>
  <c r="F60" i="15"/>
  <c r="E60" i="15"/>
  <c r="A67" i="15"/>
  <c r="A66" i="15"/>
  <c r="A65" i="15"/>
  <c r="A64" i="15"/>
  <c r="A63" i="15"/>
  <c r="A62" i="15"/>
  <c r="A61" i="15"/>
  <c r="A60" i="15"/>
  <c r="E29" i="23" l="1"/>
  <c r="X29" i="23"/>
  <c r="M29" i="23"/>
  <c r="D29" i="23"/>
  <c r="Y29" i="23"/>
  <c r="W29" i="23"/>
  <c r="L29" i="23"/>
  <c r="U29" i="23"/>
  <c r="J29" i="23"/>
  <c r="R29" i="23"/>
  <c r="H29" i="23"/>
  <c r="Q29" i="23"/>
  <c r="F29" i="23"/>
  <c r="T29" i="23"/>
  <c r="T60" i="15"/>
  <c r="L61" i="15"/>
  <c r="S29" i="23"/>
  <c r="S60" i="15"/>
  <c r="K60" i="15"/>
  <c r="Y64" i="15"/>
  <c r="C29" i="23"/>
  <c r="S61" i="15"/>
  <c r="C60" i="15"/>
  <c r="I62" i="15"/>
  <c r="I61" i="15"/>
  <c r="C64" i="15"/>
  <c r="P29" i="23"/>
  <c r="P60" i="15"/>
  <c r="Y63" i="15"/>
  <c r="J66" i="15"/>
  <c r="G29" i="23"/>
  <c r="G60" i="15"/>
  <c r="L62" i="15"/>
  <c r="T67" i="15"/>
  <c r="K29" i="23"/>
  <c r="V29" i="23"/>
  <c r="V60" i="15"/>
  <c r="S66" i="15"/>
  <c r="J65" i="15"/>
  <c r="X64" i="15"/>
  <c r="L64" i="15"/>
  <c r="L63" i="15"/>
  <c r="C63" i="15"/>
  <c r="H62" i="15"/>
  <c r="F61" i="15"/>
  <c r="C61" i="15"/>
  <c r="O60" i="15"/>
  <c r="O29" i="23"/>
  <c r="I60" i="15"/>
  <c r="I29" i="23"/>
  <c r="K66" i="15"/>
  <c r="D66" i="15"/>
  <c r="R65" i="15"/>
  <c r="R64" i="15"/>
  <c r="R63" i="15"/>
  <c r="P62" i="15"/>
  <c r="N60" i="15"/>
  <c r="N29" i="23"/>
  <c r="X67" i="15"/>
  <c r="Y66" i="15"/>
  <c r="D62" i="15"/>
  <c r="D67" i="15"/>
  <c r="Y67" i="15"/>
  <c r="M66" i="15"/>
  <c r="P65" i="15"/>
  <c r="T62" i="15"/>
  <c r="I67" i="15"/>
  <c r="G65" i="15"/>
  <c r="O64" i="15"/>
  <c r="W61" i="15"/>
  <c r="U64" i="15"/>
  <c r="O63" i="15"/>
  <c r="R60" i="15"/>
  <c r="M67" i="15"/>
  <c r="K61" i="15"/>
  <c r="I64" i="15"/>
  <c r="F67" i="15"/>
  <c r="X65" i="15"/>
  <c r="V67" i="15"/>
  <c r="O66" i="15"/>
  <c r="W66" i="15"/>
  <c r="H65" i="15"/>
  <c r="B65" i="15"/>
  <c r="B67" i="15"/>
  <c r="B63" i="15"/>
  <c r="B61" i="15"/>
  <c r="B66" i="15"/>
  <c r="B60" i="15"/>
  <c r="AB60" i="15"/>
  <c r="B64" i="15"/>
  <c r="U60" i="15"/>
  <c r="K62" i="15"/>
  <c r="E63" i="15"/>
  <c r="J67" i="15"/>
  <c r="D60" i="15"/>
  <c r="Q60" i="15"/>
  <c r="X61" i="15"/>
  <c r="F62" i="15"/>
  <c r="M63" i="15"/>
  <c r="R67" i="15"/>
  <c r="Y60" i="15"/>
  <c r="G61" i="15"/>
  <c r="B62" i="15"/>
  <c r="N62" i="15"/>
  <c r="I63" i="15"/>
  <c r="U63" i="15"/>
  <c r="H60" i="15"/>
  <c r="M60" i="15"/>
  <c r="O61" i="15"/>
  <c r="V62" i="15"/>
  <c r="Q63" i="15"/>
  <c r="E64" i="15"/>
  <c r="L65" i="15"/>
  <c r="G66" i="15"/>
  <c r="N67" i="15"/>
  <c r="B29" i="23" l="1"/>
  <c r="Z29" i="23" s="1"/>
  <c r="AB29" i="23"/>
  <c r="G15" i="16" s="1"/>
  <c r="AB62" i="15"/>
  <c r="AB66" i="15"/>
  <c r="AB63" i="15"/>
  <c r="Z62" i="15"/>
  <c r="Z66" i="15"/>
  <c r="Z63" i="15"/>
  <c r="AB61" i="15"/>
  <c r="Z61" i="15"/>
  <c r="AB67" i="15"/>
  <c r="Z60" i="15"/>
  <c r="AD60" i="15" s="1"/>
  <c r="Z67" i="15"/>
  <c r="AB64" i="15"/>
  <c r="AB65" i="15"/>
  <c r="Z64" i="15"/>
  <c r="Z65" i="15"/>
  <c r="AD29" i="23" l="1"/>
  <c r="AD63" i="15"/>
  <c r="AD64" i="15"/>
  <c r="AD62" i="15"/>
  <c r="AD66" i="15"/>
  <c r="AD65" i="15"/>
  <c r="AD67" i="15"/>
  <c r="AD61" i="15"/>
  <c r="G15" i="14" l="1"/>
  <c r="G22" i="14"/>
  <c r="G17" i="14"/>
  <c r="G20" i="14"/>
  <c r="G18" i="14"/>
  <c r="G19" i="14"/>
  <c r="G21" i="14"/>
  <c r="G16" i="14"/>
  <c r="AA59" i="17" l="1"/>
  <c r="Y59" i="17"/>
  <c r="X59" i="17"/>
  <c r="W59" i="17"/>
  <c r="V59" i="17"/>
  <c r="U59" i="17"/>
  <c r="T59" i="17"/>
  <c r="S59" i="17"/>
  <c r="R59" i="17"/>
  <c r="Q59" i="17"/>
  <c r="P59" i="17"/>
  <c r="O59" i="17"/>
  <c r="N59" i="17"/>
  <c r="M59" i="17"/>
  <c r="L59" i="17"/>
  <c r="K59" i="17"/>
  <c r="J59" i="17"/>
  <c r="I59" i="17"/>
  <c r="H59" i="17"/>
  <c r="G59" i="17"/>
  <c r="F59" i="17"/>
  <c r="E59" i="17"/>
  <c r="D59" i="17"/>
  <c r="C59" i="17"/>
  <c r="B59" i="17"/>
  <c r="AA58" i="17"/>
  <c r="Y58" i="17"/>
  <c r="X58" i="17"/>
  <c r="W58" i="17"/>
  <c r="V58" i="17"/>
  <c r="U58" i="17"/>
  <c r="T58" i="17"/>
  <c r="S58" i="17"/>
  <c r="R58" i="17"/>
  <c r="Q58" i="17"/>
  <c r="P58" i="17"/>
  <c r="O58" i="17"/>
  <c r="N58" i="17"/>
  <c r="M58" i="17"/>
  <c r="L58" i="17"/>
  <c r="K58" i="17"/>
  <c r="J58" i="17"/>
  <c r="I58" i="17"/>
  <c r="H58" i="17"/>
  <c r="G58" i="17"/>
  <c r="F58" i="17"/>
  <c r="E58" i="17"/>
  <c r="D58" i="17"/>
  <c r="C58" i="17"/>
  <c r="B58" i="17"/>
  <c r="AA57" i="17"/>
  <c r="Y57" i="17"/>
  <c r="X57" i="17"/>
  <c r="W57" i="17"/>
  <c r="V57" i="17"/>
  <c r="U57" i="17"/>
  <c r="T57" i="17"/>
  <c r="S57" i="17"/>
  <c r="R57" i="17"/>
  <c r="Q57" i="17"/>
  <c r="P57" i="17"/>
  <c r="O57" i="17"/>
  <c r="N57" i="17"/>
  <c r="M57" i="17"/>
  <c r="L57" i="17"/>
  <c r="K57" i="17"/>
  <c r="J57" i="17"/>
  <c r="I57" i="17"/>
  <c r="H57" i="17"/>
  <c r="G57" i="17"/>
  <c r="F57" i="17"/>
  <c r="E57" i="17"/>
  <c r="D57" i="17"/>
  <c r="C57" i="17"/>
  <c r="B57" i="17"/>
  <c r="AA56" i="17"/>
  <c r="Y56" i="17"/>
  <c r="X56" i="17"/>
  <c r="W56" i="17"/>
  <c r="V56" i="17"/>
  <c r="U56" i="17"/>
  <c r="T56" i="17"/>
  <c r="S56" i="17"/>
  <c r="R56" i="17"/>
  <c r="Q56" i="17"/>
  <c r="P56" i="17"/>
  <c r="O56" i="17"/>
  <c r="N56" i="17"/>
  <c r="M56" i="17"/>
  <c r="L56" i="17"/>
  <c r="K56" i="17"/>
  <c r="J56" i="17"/>
  <c r="I56" i="17"/>
  <c r="H56" i="17"/>
  <c r="G56" i="17"/>
  <c r="F56" i="17"/>
  <c r="E56" i="17"/>
  <c r="D56" i="17"/>
  <c r="C56" i="17"/>
  <c r="B56" i="17"/>
  <c r="AA55" i="17"/>
  <c r="Y55" i="17"/>
  <c r="X55" i="17"/>
  <c r="W55" i="17"/>
  <c r="V55" i="17"/>
  <c r="U55" i="17"/>
  <c r="T55" i="17"/>
  <c r="S55" i="17"/>
  <c r="R55" i="17"/>
  <c r="Q55" i="17"/>
  <c r="P55" i="17"/>
  <c r="O55" i="17"/>
  <c r="N55" i="17"/>
  <c r="M55" i="17"/>
  <c r="L55" i="17"/>
  <c r="K55" i="17"/>
  <c r="J55" i="17"/>
  <c r="I55" i="17"/>
  <c r="H55" i="17"/>
  <c r="G55" i="17"/>
  <c r="F55" i="17"/>
  <c r="E55" i="17"/>
  <c r="D55" i="17"/>
  <c r="C55" i="17"/>
  <c r="B55" i="17"/>
  <c r="AA54" i="17"/>
  <c r="Y54" i="17"/>
  <c r="X54" i="17"/>
  <c r="W54" i="17"/>
  <c r="V54" i="17"/>
  <c r="U54" i="17"/>
  <c r="T54" i="17"/>
  <c r="S54" i="17"/>
  <c r="R54" i="17"/>
  <c r="Q54" i="17"/>
  <c r="P54" i="17"/>
  <c r="O54" i="17"/>
  <c r="N54" i="17"/>
  <c r="M54" i="17"/>
  <c r="L54" i="17"/>
  <c r="K54" i="17"/>
  <c r="J54" i="17"/>
  <c r="I54" i="17"/>
  <c r="H54" i="17"/>
  <c r="G54" i="17"/>
  <c r="F54" i="17"/>
  <c r="E54" i="17"/>
  <c r="D54" i="17"/>
  <c r="C54" i="17"/>
  <c r="B54" i="17"/>
  <c r="Y53" i="17"/>
  <c r="X53" i="17"/>
  <c r="W53" i="17"/>
  <c r="V53" i="17"/>
  <c r="U53" i="17"/>
  <c r="T53" i="17"/>
  <c r="S53" i="17"/>
  <c r="R53" i="17"/>
  <c r="Q53" i="17"/>
  <c r="P53" i="17"/>
  <c r="O53" i="17"/>
  <c r="N53" i="17"/>
  <c r="M53" i="17"/>
  <c r="L53" i="17"/>
  <c r="K53" i="17"/>
  <c r="J53" i="17"/>
  <c r="I53" i="17"/>
  <c r="H53" i="17"/>
  <c r="G53" i="17"/>
  <c r="F53" i="17"/>
  <c r="E53" i="17"/>
  <c r="D53" i="17"/>
  <c r="C53" i="17"/>
  <c r="B53" i="17"/>
  <c r="A59" i="17"/>
  <c r="A58" i="17"/>
  <c r="A57" i="17"/>
  <c r="A56" i="17"/>
  <c r="A55" i="17"/>
  <c r="A54" i="17"/>
  <c r="A53" i="17"/>
  <c r="F13" i="16"/>
  <c r="C9" i="16"/>
  <c r="F13" i="14"/>
  <c r="C9" i="14"/>
  <c r="AB56" i="17" l="1"/>
  <c r="G18" i="13" s="1"/>
  <c r="AB59" i="17"/>
  <c r="G21" i="13" s="1"/>
  <c r="AB57" i="17"/>
  <c r="G19" i="13" s="1"/>
  <c r="Z54" i="17"/>
  <c r="Z55" i="17"/>
  <c r="Z56" i="17"/>
  <c r="Z57" i="17"/>
  <c r="AB58" i="17"/>
  <c r="G20" i="13" s="1"/>
  <c r="Z59" i="17"/>
  <c r="AB54" i="17"/>
  <c r="G16" i="13" s="1"/>
  <c r="Z58" i="17"/>
  <c r="AB53" i="17"/>
  <c r="G15" i="13" s="1"/>
  <c r="AB55" i="17"/>
  <c r="G17" i="13" s="1"/>
  <c r="Z53" i="17"/>
  <c r="G22" i="13" l="1"/>
  <c r="G23" i="14"/>
  <c r="AD56" i="17"/>
  <c r="AD59" i="17"/>
  <c r="AD57" i="17"/>
  <c r="AD54" i="17"/>
  <c r="AD58" i="17"/>
  <c r="AD55" i="17"/>
  <c r="AD53" i="17"/>
  <c r="G16" i="16" l="1"/>
  <c r="F13" i="13"/>
  <c r="C9" i="13" l="1"/>
</calcChain>
</file>

<file path=xl/sharedStrings.xml><?xml version="1.0" encoding="utf-8"?>
<sst xmlns="http://schemas.openxmlformats.org/spreadsheetml/2006/main" count="559" uniqueCount="61">
  <si>
    <t>ANEXO No. 1 OFERTAS Y CANTIDADES</t>
  </si>
  <si>
    <r>
      <t xml:space="preserve">EMPRESA: </t>
    </r>
    <r>
      <rPr>
        <b/>
        <sz val="16"/>
        <color rgb="FFFF0000"/>
        <rFont val="Verdana"/>
        <family val="2"/>
      </rPr>
      <t>XXXXXXXXXXXXXXXXXXXXXXXXXXXXXX</t>
    </r>
  </si>
  <si>
    <r>
      <t xml:space="preserve">REPRESENTANTE LEGAL: </t>
    </r>
    <r>
      <rPr>
        <b/>
        <sz val="16"/>
        <color rgb="FFFF0000"/>
        <rFont val="Verdana"/>
        <family val="2"/>
      </rPr>
      <t>XXXXXXXXXXXXXXXXXXXXXXXXXXXXXX</t>
    </r>
  </si>
  <si>
    <r>
      <t xml:space="preserve">TIPO DE AGENTE: </t>
    </r>
    <r>
      <rPr>
        <b/>
        <sz val="16"/>
        <color rgb="FFFF0000"/>
        <rFont val="Verdana"/>
        <family val="2"/>
      </rPr>
      <t>(COMERCIALIZADOR/GENERADOR)</t>
    </r>
  </si>
  <si>
    <t>Periodo</t>
  </si>
  <si>
    <t>Tarifa monomia ($/kWh)</t>
  </si>
  <si>
    <t>TOTAL</t>
  </si>
  <si>
    <t>Notas</t>
  </si>
  <si>
    <r>
      <t>(1) Oferta válida para la modalidad</t>
    </r>
    <r>
      <rPr>
        <b/>
        <sz val="16"/>
        <color theme="1"/>
        <rFont val="Verdana"/>
        <family val="2"/>
      </rPr>
      <t xml:space="preserve"> Pague lo Contratado.</t>
    </r>
  </si>
  <si>
    <t>EMPRESA DE ENERGÍA DE PEREIRA S.A. E.S.P.</t>
  </si>
  <si>
    <t>MES</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</si>
  <si>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</si>
  <si>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</si>
  <si>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</si>
  <si>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</si>
  <si>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</si>
  <si>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</si>
  <si>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</si>
  <si>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</si>
  <si>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</si>
  <si>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</si>
  <si>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</si>
  <si>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</si>
  <si>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</si>
  <si>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</si>
  <si>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</si>
  <si>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</si>
  <si>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</si>
  <si>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</si>
  <si>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</si>
  <si>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</si>
  <si>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</si>
  <si>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</si>
  <si>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</si>
  <si>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</si>
  <si>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Días</t>
  </si>
  <si>
    <t>DEMANDA DIARIA ESTIMADA TOTAL [MWh]</t>
  </si>
  <si>
    <t>PRODUCTO No. 1</t>
  </si>
  <si>
    <t>Energía ofertada (%)</t>
  </si>
  <si>
    <t>(4) Esta oferta NO presenta restricciones tales como adjudicación mínima o total u otras que no permitan la evaluación objetiva e integral del producto ofertado.</t>
  </si>
  <si>
    <t>(5) Los precios ofertados incluyen todos los pagos, cargos, impuestos, estampillas, etc., que el Proponente deba realizar ante cualquier entidad gubernamental, o empresa pública, privada o mixta para entregar la energía en la frontera con el Sistema de Transmisión Nacional – STN.</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</si>
  <si>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</si>
  <si>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DEMANDA DIARIA ESTIMADA DÍA HABIL [MWh]</t>
  </si>
  <si>
    <t>HABIL</t>
  </si>
  <si>
    <t>DEMANDA DIARIA ESTIMADA DÍA SABADO [MWh]</t>
  </si>
  <si>
    <t>SABADOS</t>
  </si>
  <si>
    <t>DEMANDA DIARIA ESTIMADA DÍA DOMINGO Y FESTIVO DIFERENTE A LUNES [MWh]</t>
  </si>
  <si>
    <t>DOMINGOS Y FESTIVOS</t>
  </si>
  <si>
    <t>DEMANDA DIARIA ESTIMADA DÍA LUNES FESTIVO [MWh]</t>
  </si>
  <si>
    <t>LUNES FESTIVOS</t>
  </si>
  <si>
    <t>Energía requerida (MWh-año)</t>
  </si>
  <si>
    <t>Energía ofertada (MWh-año)</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</si>
  <si>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</si>
  <si>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PRODUCTO No. 2</t>
  </si>
  <si>
    <t>PRODUCTO No. 3</t>
  </si>
  <si>
    <t/>
  </si>
  <si>
    <t>Las tarifas ofertadas están referidas en pesos constantes de septiembre de 2026 provisional</t>
  </si>
  <si>
    <t>OFERTA A LA EMPRESA DE ENERGIA DE PEREIRA S.A. ESP.
INVITACIÓN PARA EL SUMINISTRO DE ENERGÍA ELÉCTRICA CON DESTINO AL MERCADO REGULADO CONVOCATORIA PÚBLICA No. 005-2026 - CP-EEPC2026-005</t>
  </si>
  <si>
    <t>(3) La cantidad de energía es equivalente a un porcentaje de las cantidades de energía requerida por la Empresa de Energía de Pereira S.A. ESP. (para todo el año/para cada mes), de acuerdo con el Anexo No.1 Ofertas y Cantidades PRODUCTO No. 3 de los Pliegos Preliminares,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</si>
  <si>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2 de los Pliegos Preliminares,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</si>
  <si>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1 de los Pliegos Preliminares, que se aplicarán para todas las 24 horas del día de la curva establecida en dicho Anexo, presentando una tarifa para cada año sin ningún tipo de discriminación por mes, ni tipo de carga ni tipo de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</si>
</sst>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_-;\-* #,##0_-;_-* &quot;-&quot;??_-;_-@_-"/>
    <numFmt numFmtId="165" formatCode="_-* #,##0.00_-;\-* #,##0.00_-;_-* &quot;-&quot;_-;_-@_-"/>
    <numFmt numFmtId="166" formatCode="_ * #,##0_ ;_ * \-#,##0_ ;_ * &quot;-&quot;??_ ;_ @_ "/>
    <numFmt numFmtId="167" formatCode="_ * #,##0.00_ ;_ * \-#,##0.00_ ;_ * &quot;-&quot;?_ ;_ @_ "/>
    <numFmt numFmtId="168" formatCode="_ * #,##0_ ;_ * \-#,##0_ ;_ * &quot;-&quot;?_ ;_ @_ "/>
    <numFmt numFmtId="169" formatCode="_ * #,##0.0000_ ;_ * \-#,##0.0000_ ;_ * &quot;-&quot;?_ ;_ @_ "/>
    <numFmt numFmtId="170" formatCode="_(* #,##0.00_);_(* \(#,##0.00\);_(* &quot;-&quot;??_);_(@_)"/>
  </numFmts>
  <fonts count="34" x14ac:knownFonts="1">
    <font>
      <sz val="11"/>
      <color theme="1"/>
      <name val="Calibri"/>
      <family val="2"/>
      <scheme val="minor"/>
    </font>
    <font>
      <sz val="11"/>
      <color theme="1"/>
      <name val="Calibri"/>
      <family val="2"/>
      <scheme val="minor"/>
    </font>
    <font>
      <sz val="10"/>
      <name val="Arial"/>
      <family val="2"/>
    </font>
    <font>
      <sz val="20"/>
      <name val="Verdana"/>
      <family val="2"/>
    </font>
    <font>
      <b/>
      <i/>
      <sz val="20"/>
      <name val="Verdana"/>
      <family val="2"/>
    </font>
    <font>
      <b/>
      <sz val="18"/>
      <color theme="1"/>
      <name val="Verdana"/>
      <family val="2"/>
    </font>
    <font>
      <b/>
      <i/>
      <sz val="20"/>
      <color theme="1"/>
      <name val="Verdana"/>
      <family val="2"/>
    </font>
    <font>
      <i/>
      <sz val="20"/>
      <name val="Verdana"/>
      <family val="2"/>
    </font>
    <font>
      <sz val="20"/>
      <color theme="1"/>
      <name val="Verdana"/>
      <family val="2"/>
    </font>
    <font>
      <b/>
      <sz val="16"/>
      <name val="Verdana"/>
      <family val="2"/>
    </font>
    <font>
      <b/>
      <sz val="16"/>
      <color rgb="FFFF0000"/>
      <name val="Verdana"/>
      <family val="2"/>
    </font>
    <font>
      <b/>
      <sz val="20"/>
      <name val="Verdana"/>
      <family val="2"/>
    </font>
    <font>
      <b/>
      <sz val="16"/>
      <color theme="1"/>
      <name val="Verdana"/>
      <family val="2"/>
    </font>
    <font>
      <b/>
      <sz val="16"/>
      <color rgb="FF000000"/>
      <name val="Verdana"/>
      <family val="2"/>
    </font>
    <font>
      <sz val="14"/>
      <color theme="0"/>
      <name val="Verdana"/>
      <family val="2"/>
    </font>
    <font>
      <sz val="16"/>
      <name val="Verdana"/>
      <family val="2"/>
    </font>
    <font>
      <sz val="12"/>
      <color theme="0"/>
      <name val="Verdana"/>
      <family val="2"/>
    </font>
    <font>
      <b/>
      <u/>
      <sz val="16"/>
      <name val="Verdana"/>
      <family val="2"/>
    </font>
    <font>
      <sz val="16"/>
      <color theme="1"/>
      <name val="Verdana"/>
      <family val="2"/>
    </font>
    <font>
      <sz val="12"/>
      <name val="Arial"/>
      <family val="2"/>
    </font>
    <font>
      <b/>
      <sz val="12"/>
      <name val="Arial"/>
      <family val="2"/>
    </font>
    <font>
      <b/>
      <sz val="10"/>
      <name val="Arial"/>
      <family val="2"/>
    </font>
    <font>
      <sz val="12"/>
      <color indexed="9"/>
      <name val="Arial"/>
      <family val="2"/>
    </font>
    <font>
      <sz val="10"/>
      <color indexed="9"/>
      <name val="Arial"/>
      <family val="2"/>
    </font>
    <font>
      <b/>
      <i/>
      <sz val="12"/>
      <color indexed="9"/>
      <name val="Arial"/>
      <family val="2"/>
    </font>
    <font>
      <sz val="11"/>
      <name val="Arial"/>
      <family val="2"/>
    </font>
    <font>
      <b/>
      <sz val="11"/>
      <color indexed="10"/>
      <name val="Arial"/>
      <family val="2"/>
    </font>
    <font>
      <b/>
      <sz val="11"/>
      <name val="Arial"/>
      <family val="2"/>
    </font>
    <font>
      <b/>
      <sz val="18"/>
      <name val="Arial"/>
      <family val="2"/>
    </font>
    <font>
      <b/>
      <sz val="16"/>
      <color theme="1"/>
      <name val="Arial"/>
      <family val="2"/>
    </font>
    <font>
      <sz val="12"/>
      <color rgb="FFFF0000"/>
      <name val="Arial"/>
      <family val="2"/>
    </font>
    <font>
      <b/>
      <sz val="12"/>
      <color rgb="FFFF0000"/>
      <name val="Arial"/>
      <family val="2"/>
    </font>
    <font>
      <sz val="8"/>
      <name val="Calibri"/>
      <family val="2"/>
      <scheme val="minor"/>
    </font>
    <font>
      <sz val="20"/>
      <color theme="0"/>
      <name val="Verdana"/>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rgb="FFE66E23"/>
        <bgColor indexed="64"/>
      </patternFill>
    </fill>
    <fill>
      <patternFill patternType="solid">
        <fgColor rgb="FF73A037"/>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s>
  <cellStyleXfs count="12">
    <xf numFmtId="0" fontId="0" fillId="0" borderId="0"/>
    <xf numFmtId="41" fontId="2" fillId="0" borderId="0" applyFont="0" applyFill="0" applyBorder="0" applyAlignment="0" applyProtection="0"/>
    <xf numFmtId="0" fontId="2" fillId="0" borderId="0"/>
    <xf numFmtId="0" fontId="1" fillId="0" borderId="0"/>
    <xf numFmtId="0" fontId="1" fillId="0" borderId="0"/>
    <xf numFmtId="41" fontId="1" fillId="0" borderId="0" applyFont="0" applyFill="0" applyBorder="0" applyAlignment="0" applyProtection="0"/>
    <xf numFmtId="9" fontId="1" fillId="0" borderId="0" applyFont="0" applyFill="0" applyBorder="0" applyAlignment="0" applyProtection="0"/>
    <xf numFmtId="0" fontId="2" fillId="0" borderId="0" applyFont="0" applyFill="0" applyBorder="0" applyAlignment="0" applyProtection="0"/>
    <xf numFmtId="9" fontId="2" fillId="0" borderId="0" applyFont="0" applyFill="0" applyBorder="0" applyAlignment="0" applyProtection="0"/>
    <xf numFmtId="170" fontId="2" fillId="0" borderId="0" applyFont="0" applyFill="0" applyBorder="0" applyAlignment="0" applyProtection="0"/>
    <xf numFmtId="0" fontId="1" fillId="0" borderId="0"/>
    <xf numFmtId="43" fontId="1" fillId="0" borderId="0" applyFont="0" applyFill="0" applyBorder="0" applyAlignment="0" applyProtection="0"/>
  </cellStyleXfs>
  <cellXfs count="114">
    <xf numFmtId="0" fontId="0" fillId="0" borderId="0" xfId="0"/>
    <xf numFmtId="0" fontId="3" fillId="2" borderId="0" xfId="2" applyFont="1" applyFill="1"/>
    <xf numFmtId="0" fontId="4" fillId="2" borderId="0" xfId="2" applyFont="1" applyFill="1" applyAlignment="1">
      <alignment vertical="center"/>
    </xf>
    <xf numFmtId="0" fontId="6" fillId="2" borderId="0" xfId="2" applyFont="1" applyFill="1" applyAlignment="1">
      <alignment vertical="center"/>
    </xf>
    <xf numFmtId="0" fontId="7" fillId="2" borderId="0" xfId="2" applyFont="1" applyFill="1"/>
    <xf numFmtId="0" fontId="4" fillId="2" borderId="0" xfId="2" applyFont="1" applyFill="1" applyAlignment="1">
      <alignment horizontal="center" vertical="center"/>
    </xf>
    <xf numFmtId="0" fontId="8" fillId="3" borderId="0" xfId="4" applyFont="1" applyFill="1" applyAlignment="1">
      <alignment horizontal="center" vertical="center"/>
    </xf>
    <xf numFmtId="0" fontId="4" fillId="3" borderId="0" xfId="2" applyFont="1" applyFill="1" applyAlignment="1">
      <alignment vertical="center"/>
    </xf>
    <xf numFmtId="0" fontId="4" fillId="3" borderId="0" xfId="2" applyFont="1" applyFill="1" applyAlignment="1">
      <alignment horizontal="center" vertical="center"/>
    </xf>
    <xf numFmtId="0" fontId="7" fillId="2" borderId="0" xfId="2" applyFont="1" applyFill="1" applyAlignment="1">
      <alignment horizontal="center" vertical="center"/>
    </xf>
    <xf numFmtId="0" fontId="9" fillId="2" borderId="0" xfId="2" applyFont="1" applyFill="1"/>
    <xf numFmtId="0" fontId="11" fillId="2" borderId="0" xfId="2" applyFont="1" applyFill="1" applyAlignment="1">
      <alignment horizontal="center" vertical="center"/>
    </xf>
    <xf numFmtId="0" fontId="3" fillId="2" borderId="0" xfId="2" applyFont="1" applyFill="1" applyAlignment="1">
      <alignment horizontal="center" vertical="center"/>
    </xf>
    <xf numFmtId="0" fontId="12" fillId="2" borderId="0" xfId="2" applyFont="1" applyFill="1"/>
    <xf numFmtId="0" fontId="6" fillId="2" borderId="0" xfId="2" applyFont="1" applyFill="1" applyAlignment="1">
      <alignment horizontal="center" vertical="center"/>
    </xf>
    <xf numFmtId="0" fontId="8" fillId="2" borderId="0" xfId="2" applyFont="1" applyFill="1"/>
    <xf numFmtId="0" fontId="11" fillId="2" borderId="0" xfId="2" applyFont="1" applyFill="1"/>
    <xf numFmtId="0" fontId="9" fillId="4" borderId="1" xfId="3" applyFont="1" applyFill="1" applyBorder="1" applyAlignment="1">
      <alignment horizontal="center" vertical="center" wrapText="1"/>
    </xf>
    <xf numFmtId="0" fontId="13" fillId="4" borderId="1" xfId="3" applyFont="1" applyFill="1" applyBorder="1" applyAlignment="1">
      <alignment horizontal="center" vertical="center" wrapText="1"/>
    </xf>
    <xf numFmtId="41" fontId="3" fillId="2" borderId="0" xfId="5" applyFont="1" applyFill="1"/>
    <xf numFmtId="164" fontId="14" fillId="2" borderId="0" xfId="2" applyNumberFormat="1" applyFont="1" applyFill="1"/>
    <xf numFmtId="17" fontId="9" fillId="0" borderId="1" xfId="3" applyNumberFormat="1" applyFont="1" applyBorder="1" applyAlignment="1">
      <alignment horizontal="center" vertical="center" wrapText="1"/>
    </xf>
    <xf numFmtId="10" fontId="16" fillId="2" borderId="0" xfId="6" applyNumberFormat="1" applyFont="1" applyFill="1"/>
    <xf numFmtId="0" fontId="12" fillId="4" borderId="1" xfId="3" applyFont="1" applyFill="1" applyBorder="1" applyAlignment="1">
      <alignment horizontal="center" vertical="center"/>
    </xf>
    <xf numFmtId="166" fontId="3" fillId="2" borderId="0" xfId="7" applyNumberFormat="1" applyFont="1" applyFill="1" applyBorder="1" applyAlignment="1">
      <alignment horizontal="center" vertical="center" wrapText="1"/>
    </xf>
    <xf numFmtId="3" fontId="9" fillId="4" borderId="1" xfId="3" applyNumberFormat="1" applyFont="1" applyFill="1" applyBorder="1" applyAlignment="1">
      <alignment horizontal="center" vertical="center" wrapText="1"/>
    </xf>
    <xf numFmtId="17" fontId="11" fillId="2" borderId="0" xfId="2" applyNumberFormat="1" applyFont="1" applyFill="1" applyAlignment="1">
      <alignment horizontal="left" vertical="center" wrapText="1"/>
    </xf>
    <xf numFmtId="0" fontId="17" fillId="2" borderId="0" xfId="2" applyFont="1" applyFill="1"/>
    <xf numFmtId="0" fontId="15" fillId="2" borderId="0" xfId="2" applyFont="1" applyFill="1"/>
    <xf numFmtId="0" fontId="15" fillId="3" borderId="0" xfId="2" applyFont="1" applyFill="1" applyAlignment="1">
      <alignment horizontal="justify" vertical="justify" wrapText="1"/>
    </xf>
    <xf numFmtId="0" fontId="2" fillId="0" borderId="0" xfId="2"/>
    <xf numFmtId="0" fontId="19" fillId="0" borderId="0" xfId="2" applyFont="1"/>
    <xf numFmtId="167" fontId="2" fillId="0" borderId="0" xfId="2" applyNumberFormat="1"/>
    <xf numFmtId="0" fontId="21" fillId="5" borderId="5" xfId="2" applyFont="1" applyFill="1" applyBorder="1"/>
    <xf numFmtId="0" fontId="24" fillId="6" borderId="7" xfId="3" applyFont="1" applyFill="1" applyBorder="1" applyAlignment="1">
      <alignment horizontal="center"/>
    </xf>
    <xf numFmtId="0" fontId="1" fillId="0" borderId="0" xfId="3"/>
    <xf numFmtId="3" fontId="15" fillId="0" borderId="1" xfId="3" applyNumberFormat="1" applyFont="1" applyBorder="1" applyAlignment="1">
      <alignment horizontal="center" vertical="center" wrapText="1"/>
    </xf>
    <xf numFmtId="3" fontId="3" fillId="2" borderId="0" xfId="2" applyNumberFormat="1" applyFont="1" applyFill="1"/>
    <xf numFmtId="0" fontId="28" fillId="0" borderId="3" xfId="2" applyFont="1" applyBorder="1"/>
    <xf numFmtId="0" fontId="29" fillId="0" borderId="4" xfId="2" applyFont="1" applyBorder="1"/>
    <xf numFmtId="168" fontId="27" fillId="0" borderId="10" xfId="0" quotePrefix="1" applyNumberFormat="1" applyFont="1" applyBorder="1" applyAlignment="1">
      <alignment horizontal="left"/>
    </xf>
    <xf numFmtId="167" fontId="25" fillId="0" borderId="1" xfId="0" quotePrefix="1" applyNumberFormat="1" applyFont="1" applyBorder="1" applyAlignment="1">
      <alignment horizontal="left"/>
    </xf>
    <xf numFmtId="168" fontId="26" fillId="0" borderId="13" xfId="0" applyNumberFormat="1" applyFont="1" applyBorder="1" applyAlignment="1">
      <alignment horizontal="left"/>
    </xf>
    <xf numFmtId="168" fontId="27" fillId="0" borderId="1" xfId="0" quotePrefix="1" applyNumberFormat="1" applyFont="1" applyBorder="1" applyAlignment="1">
      <alignment horizontal="left"/>
    </xf>
    <xf numFmtId="167" fontId="25" fillId="0" borderId="16" xfId="0" quotePrefix="1" applyNumberFormat="1" applyFont="1" applyBorder="1" applyAlignment="1">
      <alignment horizontal="left"/>
    </xf>
    <xf numFmtId="168" fontId="26" fillId="0" borderId="17" xfId="0" applyNumberFormat="1" applyFont="1" applyBorder="1" applyAlignment="1">
      <alignment horizontal="left"/>
    </xf>
    <xf numFmtId="168" fontId="27" fillId="0" borderId="16" xfId="0" quotePrefix="1" applyNumberFormat="1" applyFont="1" applyBorder="1" applyAlignment="1">
      <alignment horizontal="left"/>
    </xf>
    <xf numFmtId="0" fontId="30" fillId="0" borderId="0" xfId="0" applyFont="1"/>
    <xf numFmtId="0" fontId="31" fillId="0" borderId="0" xfId="0" applyFont="1"/>
    <xf numFmtId="0" fontId="22" fillId="0" borderId="0" xfId="0" applyFont="1"/>
    <xf numFmtId="167" fontId="0" fillId="0" borderId="0" xfId="0" applyNumberFormat="1"/>
    <xf numFmtId="166" fontId="0" fillId="0" borderId="0" xfId="0" applyNumberFormat="1"/>
    <xf numFmtId="0" fontId="19" fillId="0" borderId="0" xfId="0" applyFont="1"/>
    <xf numFmtId="0" fontId="23" fillId="6" borderId="6" xfId="0" applyFont="1" applyFill="1" applyBorder="1"/>
    <xf numFmtId="0" fontId="24" fillId="6" borderId="7" xfId="0" applyFont="1" applyFill="1" applyBorder="1" applyAlignment="1">
      <alignment horizontal="center"/>
    </xf>
    <xf numFmtId="0" fontId="23" fillId="6" borderId="8" xfId="0" applyFont="1" applyFill="1" applyBorder="1"/>
    <xf numFmtId="17" fontId="20" fillId="0" borderId="9" xfId="0" applyNumberFormat="1" applyFont="1" applyBorder="1" applyAlignment="1">
      <alignment horizontal="left"/>
    </xf>
    <xf numFmtId="166" fontId="19" fillId="0" borderId="11" xfId="0" applyNumberFormat="1" applyFont="1" applyBorder="1"/>
    <xf numFmtId="17" fontId="20" fillId="0" borderId="12" xfId="0" applyNumberFormat="1" applyFont="1" applyBorder="1" applyAlignment="1">
      <alignment horizontal="left"/>
    </xf>
    <xf numFmtId="166" fontId="19" fillId="0" borderId="14" xfId="0" applyNumberFormat="1" applyFont="1" applyBorder="1"/>
    <xf numFmtId="17" fontId="20" fillId="0" borderId="15" xfId="0" applyNumberFormat="1" applyFont="1" applyBorder="1" applyAlignment="1">
      <alignment horizontal="left"/>
    </xf>
    <xf numFmtId="166" fontId="19" fillId="0" borderId="18" xfId="0" applyNumberFormat="1" applyFont="1" applyBorder="1"/>
    <xf numFmtId="169" fontId="19" fillId="0" borderId="0" xfId="0" applyNumberFormat="1" applyFont="1"/>
    <xf numFmtId="0" fontId="20" fillId="0" borderId="0" xfId="0" applyFont="1"/>
    <xf numFmtId="43" fontId="3" fillId="2" borderId="0" xfId="11" applyFont="1" applyFill="1"/>
    <xf numFmtId="165" fontId="15" fillId="0" borderId="1" xfId="1" applyNumberFormat="1" applyFont="1" applyFill="1" applyBorder="1" applyAlignment="1">
      <alignment horizontal="center" vertical="center" wrapText="1"/>
    </xf>
    <xf numFmtId="168" fontId="2" fillId="0" borderId="0" xfId="2" applyNumberFormat="1"/>
    <xf numFmtId="17" fontId="20" fillId="0" borderId="0" xfId="0" applyNumberFormat="1" applyFont="1" applyAlignment="1">
      <alignment horizontal="left"/>
    </xf>
    <xf numFmtId="167" fontId="25" fillId="0" borderId="0" xfId="0" quotePrefix="1" applyNumberFormat="1" applyFont="1" applyAlignment="1">
      <alignment horizontal="left"/>
    </xf>
    <xf numFmtId="168" fontId="26" fillId="0" borderId="0" xfId="0" applyNumberFormat="1" applyFont="1" applyAlignment="1">
      <alignment horizontal="left"/>
    </xf>
    <xf numFmtId="168" fontId="27" fillId="0" borderId="0" xfId="0" quotePrefix="1" applyNumberFormat="1" applyFont="1" applyAlignment="1">
      <alignment horizontal="left"/>
    </xf>
    <xf numFmtId="166" fontId="19" fillId="0" borderId="0" xfId="0" applyNumberFormat="1" applyFont="1"/>
    <xf numFmtId="17" fontId="20" fillId="0" borderId="21" xfId="0" applyNumberFormat="1" applyFont="1" applyBorder="1" applyAlignment="1">
      <alignment horizontal="left"/>
    </xf>
    <xf numFmtId="167" fontId="25" fillId="0" borderId="20" xfId="0" quotePrefix="1" applyNumberFormat="1" applyFont="1" applyBorder="1" applyAlignment="1">
      <alignment horizontal="left"/>
    </xf>
    <xf numFmtId="168" fontId="26" fillId="0" borderId="22" xfId="0" applyNumberFormat="1" applyFont="1" applyBorder="1" applyAlignment="1">
      <alignment horizontal="left"/>
    </xf>
    <xf numFmtId="168" fontId="27" fillId="0" borderId="20" xfId="0" quotePrefix="1" applyNumberFormat="1" applyFont="1" applyBorder="1" applyAlignment="1">
      <alignment horizontal="left"/>
    </xf>
    <xf numFmtId="166" fontId="19" fillId="0" borderId="23" xfId="0" applyNumberFormat="1" applyFont="1" applyBorder="1"/>
    <xf numFmtId="0" fontId="12" fillId="4" borderId="1" xfId="3" applyFont="1" applyFill="1" applyBorder="1" applyAlignment="1">
      <alignment horizontal="center" vertical="center" wrapText="1"/>
    </xf>
    <xf numFmtId="0" fontId="33" fillId="2" borderId="0" xfId="2" applyFont="1" applyFill="1"/>
    <xf numFmtId="43" fontId="2" fillId="0" borderId="0" xfId="2" applyNumberFormat="1"/>
    <xf numFmtId="17" fontId="20" fillId="0" borderId="25" xfId="0" applyNumberFormat="1" applyFont="1" applyBorder="1" applyAlignment="1">
      <alignment horizontal="left"/>
    </xf>
    <xf numFmtId="167" fontId="19" fillId="0" borderId="0" xfId="2" applyNumberFormat="1" applyFont="1"/>
    <xf numFmtId="167" fontId="25" fillId="0" borderId="10" xfId="0" quotePrefix="1" applyNumberFormat="1" applyFont="1" applyBorder="1" applyAlignment="1">
      <alignment horizontal="left"/>
    </xf>
    <xf numFmtId="168" fontId="26" fillId="0" borderId="27" xfId="0" applyNumberFormat="1" applyFont="1" applyBorder="1" applyAlignment="1">
      <alignment horizontal="left"/>
    </xf>
    <xf numFmtId="168" fontId="26" fillId="0" borderId="1" xfId="0" applyNumberFormat="1" applyFont="1" applyBorder="1" applyAlignment="1">
      <alignment horizontal="left"/>
    </xf>
    <xf numFmtId="168" fontId="26" fillId="0" borderId="10" xfId="0" applyNumberFormat="1" applyFont="1" applyBorder="1" applyAlignment="1">
      <alignment horizontal="left"/>
    </xf>
    <xf numFmtId="168" fontId="26" fillId="0" borderId="16" xfId="0" applyNumberFormat="1" applyFont="1" applyBorder="1" applyAlignment="1">
      <alignment horizontal="left"/>
    </xf>
    <xf numFmtId="167" fontId="27" fillId="0" borderId="16" xfId="0" quotePrefix="1" applyNumberFormat="1" applyFont="1" applyBorder="1" applyAlignment="1">
      <alignment horizontal="left"/>
    </xf>
    <xf numFmtId="3" fontId="15" fillId="2" borderId="0" xfId="2" applyNumberFormat="1" applyFont="1" applyFill="1"/>
    <xf numFmtId="0" fontId="23" fillId="6" borderId="8" xfId="0" applyFont="1" applyFill="1" applyBorder="1" applyAlignment="1">
      <alignment horizontal="center"/>
    </xf>
    <xf numFmtId="166" fontId="19" fillId="0" borderId="11" xfId="0" applyNumberFormat="1" applyFont="1" applyBorder="1" applyAlignment="1">
      <alignment horizontal="center"/>
    </xf>
    <xf numFmtId="166" fontId="19" fillId="0" borderId="14" xfId="0" applyNumberFormat="1" applyFont="1" applyBorder="1" applyAlignment="1">
      <alignment horizontal="center"/>
    </xf>
    <xf numFmtId="166" fontId="19" fillId="0" borderId="18" xfId="0" applyNumberFormat="1" applyFont="1" applyBorder="1" applyAlignment="1">
      <alignment horizontal="center"/>
    </xf>
    <xf numFmtId="167" fontId="25" fillId="0" borderId="26" xfId="0" quotePrefix="1" applyNumberFormat="1" applyFont="1" applyBorder="1" applyAlignment="1">
      <alignment horizontal="left"/>
    </xf>
    <xf numFmtId="168" fontId="26" fillId="0" borderId="28" xfId="0" applyNumberFormat="1" applyFont="1" applyBorder="1" applyAlignment="1">
      <alignment horizontal="left"/>
    </xf>
    <xf numFmtId="168" fontId="27" fillId="0" borderId="26" xfId="0" quotePrefix="1" applyNumberFormat="1" applyFont="1" applyBorder="1" applyAlignment="1">
      <alignment horizontal="left"/>
    </xf>
    <xf numFmtId="166" fontId="19" fillId="0" borderId="29" xfId="0" applyNumberFormat="1" applyFont="1" applyBorder="1"/>
    <xf numFmtId="165" fontId="15" fillId="0" borderId="24" xfId="1" applyNumberFormat="1" applyFont="1" applyFill="1" applyBorder="1" applyAlignment="1">
      <alignment horizontal="center" vertical="center" wrapText="1"/>
    </xf>
    <xf numFmtId="165" fontId="15" fillId="0" borderId="19" xfId="1" applyNumberFormat="1" applyFont="1" applyFill="1" applyBorder="1" applyAlignment="1">
      <alignment horizontal="center" vertical="center" wrapText="1"/>
    </xf>
    <xf numFmtId="41" fontId="15" fillId="0" borderId="24" xfId="1" applyFont="1" applyFill="1" applyBorder="1" applyAlignment="1">
      <alignment vertical="center" wrapText="1"/>
    </xf>
    <xf numFmtId="41" fontId="15" fillId="0" borderId="19" xfId="1" applyFont="1" applyFill="1" applyBorder="1" applyAlignment="1">
      <alignment vertical="center" wrapText="1"/>
    </xf>
    <xf numFmtId="0" fontId="28" fillId="0" borderId="0" xfId="2" applyFont="1"/>
    <xf numFmtId="0" fontId="29" fillId="0" borderId="0" xfId="2" applyFont="1"/>
    <xf numFmtId="0" fontId="18" fillId="0" borderId="2" xfId="2" applyFont="1" applyBorder="1" applyAlignment="1">
      <alignment horizontal="justify" vertical="justify" wrapText="1"/>
    </xf>
    <xf numFmtId="0" fontId="5" fillId="3" borderId="0" xfId="3" applyFont="1" applyFill="1" applyAlignment="1">
      <alignment horizontal="center" vertical="center"/>
    </xf>
    <xf numFmtId="0" fontId="5" fillId="3" borderId="0" xfId="3" applyFont="1" applyFill="1" applyAlignment="1">
      <alignment horizontal="center" vertical="center" wrapText="1"/>
    </xf>
    <xf numFmtId="0" fontId="5" fillId="0" borderId="0" xfId="3" applyFont="1" applyAlignment="1">
      <alignment horizontal="center" vertical="center"/>
    </xf>
    <xf numFmtId="0" fontId="12" fillId="0" borderId="1" xfId="2" applyFont="1" applyBorder="1" applyAlignment="1">
      <alignment horizontal="center"/>
    </xf>
    <xf numFmtId="41" fontId="15" fillId="0" borderId="24" xfId="1" applyFont="1" applyFill="1" applyBorder="1" applyAlignment="1">
      <alignment horizontal="center" vertical="center" wrapText="1"/>
    </xf>
    <xf numFmtId="41" fontId="15" fillId="0" borderId="19" xfId="1" applyFont="1" applyFill="1" applyBorder="1" applyAlignment="1">
      <alignment horizontal="center" vertical="center" wrapText="1"/>
    </xf>
    <xf numFmtId="165" fontId="15" fillId="0" borderId="20" xfId="1" applyNumberFormat="1" applyFont="1" applyFill="1" applyBorder="1" applyAlignment="1">
      <alignment horizontal="center" vertical="center" wrapText="1"/>
    </xf>
    <xf numFmtId="165" fontId="15" fillId="0" borderId="24" xfId="1" applyNumberFormat="1" applyFont="1" applyFill="1" applyBorder="1" applyAlignment="1">
      <alignment horizontal="center" vertical="center" wrapText="1"/>
    </xf>
    <xf numFmtId="165" fontId="15" fillId="0" borderId="19" xfId="1" applyNumberFormat="1" applyFont="1" applyFill="1" applyBorder="1" applyAlignment="1">
      <alignment horizontal="center" vertical="center" wrapText="1"/>
    </xf>
    <xf numFmtId="0" fontId="18" fillId="2" borderId="2" xfId="2" applyFont="1" applyFill="1" applyBorder="1" applyAlignment="1">
      <alignment horizontal="justify" vertical="justify" wrapText="1"/>
    </xf>
  </cellXfs>
  <cellStyles count="12">
    <cellStyle name="Millares" xfId="11" builtinId="3"/>
    <cellStyle name="Millares [0]" xfId="1" builtinId="6"/>
    <cellStyle name="Millares [0] 2" xfId="5" xr:uid="{2416B5C4-CA6E-48A3-8BD0-1D5A04C005F3}"/>
    <cellStyle name="Millares 2" xfId="9" xr:uid="{3785560F-9040-4463-8EA8-ADA74CE91014}"/>
    <cellStyle name="Millares 3" xfId="7" xr:uid="{DB76B201-E1DD-49E7-9F6A-034177E128D1}"/>
    <cellStyle name="Normal" xfId="0" builtinId="0"/>
    <cellStyle name="Normal 2" xfId="3" xr:uid="{87DF4781-0534-4082-AD30-1DDB9B2FA0B6}"/>
    <cellStyle name="Normal 2 2" xfId="4" xr:uid="{43AECF77-DF88-4704-93FB-70773F5F5F7C}"/>
    <cellStyle name="Normal 3" xfId="2" xr:uid="{E9574281-0F53-4598-A4D8-2DFD3A2A7D8F}"/>
    <cellStyle name="Normal 4" xfId="10" xr:uid="{C1C3C225-0B7F-4AA5-861D-96D3A65CFFC0}"/>
    <cellStyle name="Porcentaje 2" xfId="6" xr:uid="{0017BC6E-697A-4858-BDB7-805D194BB2B3}"/>
    <cellStyle name="Porcentaje 3" xfId="8" xr:uid="{8C6E2628-1CD5-41BC-9530-6C62ACC7A9A6}"/>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5</xdr:col>
      <xdr:colOff>1039091</xdr:colOff>
      <xdr:row>0</xdr:row>
      <xdr:rowOff>180975</xdr:rowOff>
    </xdr:from>
    <xdr:to>
      <xdr:col>13</xdr:col>
      <xdr:colOff>969991</xdr:colOff>
      <xdr:row>0</xdr:row>
      <xdr:rowOff>2078182</xdr:rowOff>
    </xdr:to>
    <xdr:pic>
      <xdr:nvPicPr>
        <xdr:cNvPr id="3" name="Imagen 2">
          <a:extLst>
            <a:ext uri="{FF2B5EF4-FFF2-40B4-BE49-F238E27FC236}">
              <a16:creationId xmlns:a16="http://schemas.microsoft.com/office/drawing/2014/main" id="{6338F988-B314-84DA-697C-1D5B4772AE3E}"/>
            </a:ext>
          </a:extLst>
        </xdr:cNvPr>
        <xdr:cNvPicPr>
          <a:picLocks noChangeAspect="1"/>
        </xdr:cNvPicPr>
      </xdr:nvPicPr>
      <xdr:blipFill>
        <a:blip xmlns:r="http://schemas.openxmlformats.org/officeDocument/2006/relationships" r:embed="rId1"/>
        <a:srcRect/>
        <a:stretch>
          <a:fillRect/>
        </a:stretch>
      </xdr:blipFill>
      <xdr:spPr bwMode="auto">
        <a:xfrm>
          <a:off x="6892636" y="180975"/>
          <a:ext cx="11672628" cy="18972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17319</xdr:rowOff>
    </xdr:from>
    <xdr:to>
      <xdr:col>9</xdr:col>
      <xdr:colOff>103909</xdr:colOff>
      <xdr:row>0</xdr:row>
      <xdr:rowOff>1001279</xdr:rowOff>
    </xdr:to>
    <xdr:pic>
      <xdr:nvPicPr>
        <xdr:cNvPr id="3" name="Imagen 2">
          <a:extLst>
            <a:ext uri="{FF2B5EF4-FFF2-40B4-BE49-F238E27FC236}">
              <a16:creationId xmlns:a16="http://schemas.microsoft.com/office/drawing/2014/main" id="{61C89620-9433-47CE-B573-7A37C80BD701}"/>
            </a:ext>
          </a:extLst>
        </xdr:cNvPr>
        <xdr:cNvPicPr>
          <a:picLocks noChangeAspect="1"/>
        </xdr:cNvPicPr>
      </xdr:nvPicPr>
      <xdr:blipFill>
        <a:blip xmlns:r="http://schemas.openxmlformats.org/officeDocument/2006/relationships" r:embed="rId1"/>
        <a:srcRect/>
        <a:stretch>
          <a:fillRect/>
        </a:stretch>
      </xdr:blipFill>
      <xdr:spPr bwMode="auto">
        <a:xfrm>
          <a:off x="0" y="17319"/>
          <a:ext cx="8330045" cy="9839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17318</xdr:colOff>
      <xdr:row>0</xdr:row>
      <xdr:rowOff>329045</xdr:rowOff>
    </xdr:from>
    <xdr:to>
      <xdr:col>12</xdr:col>
      <xdr:colOff>220725</xdr:colOff>
      <xdr:row>0</xdr:row>
      <xdr:rowOff>2122014</xdr:rowOff>
    </xdr:to>
    <xdr:pic>
      <xdr:nvPicPr>
        <xdr:cNvPr id="3" name="Imagen 2">
          <a:extLst>
            <a:ext uri="{FF2B5EF4-FFF2-40B4-BE49-F238E27FC236}">
              <a16:creationId xmlns:a16="http://schemas.microsoft.com/office/drawing/2014/main" id="{F61E695E-8614-4D58-8C53-6D01C5B3D0C8}"/>
            </a:ext>
          </a:extLst>
        </xdr:cNvPr>
        <xdr:cNvPicPr>
          <a:picLocks noChangeAspect="1"/>
        </xdr:cNvPicPr>
      </xdr:nvPicPr>
      <xdr:blipFill>
        <a:blip xmlns:r="http://schemas.openxmlformats.org/officeDocument/2006/relationships" r:embed="rId1"/>
        <a:srcRect/>
        <a:stretch>
          <a:fillRect/>
        </a:stretch>
      </xdr:blipFill>
      <xdr:spPr bwMode="auto">
        <a:xfrm>
          <a:off x="4173682" y="329045"/>
          <a:ext cx="13022036" cy="17897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107203</xdr:colOff>
      <xdr:row>0</xdr:row>
      <xdr:rowOff>112059</xdr:rowOff>
    </xdr:from>
    <xdr:to>
      <xdr:col>13</xdr:col>
      <xdr:colOff>301777</xdr:colOff>
      <xdr:row>0</xdr:row>
      <xdr:rowOff>1096019</xdr:rowOff>
    </xdr:to>
    <xdr:pic>
      <xdr:nvPicPr>
        <xdr:cNvPr id="3" name="Imagen 2">
          <a:extLst>
            <a:ext uri="{FF2B5EF4-FFF2-40B4-BE49-F238E27FC236}">
              <a16:creationId xmlns:a16="http://schemas.microsoft.com/office/drawing/2014/main" id="{53048609-C1A8-4CA0-8564-EB936898C575}"/>
            </a:ext>
          </a:extLst>
        </xdr:cNvPr>
        <xdr:cNvPicPr>
          <a:picLocks noChangeAspect="1"/>
        </xdr:cNvPicPr>
      </xdr:nvPicPr>
      <xdr:blipFill>
        <a:blip xmlns:r="http://schemas.openxmlformats.org/officeDocument/2006/relationships" r:embed="rId1"/>
        <a:srcRect/>
        <a:stretch>
          <a:fillRect/>
        </a:stretch>
      </xdr:blipFill>
      <xdr:spPr bwMode="auto">
        <a:xfrm>
          <a:off x="107203" y="112059"/>
          <a:ext cx="8330045" cy="9807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435428</xdr:colOff>
      <xdr:row>0</xdr:row>
      <xdr:rowOff>200023</xdr:rowOff>
    </xdr:from>
    <xdr:to>
      <xdr:col>13</xdr:col>
      <xdr:colOff>10432</xdr:colOff>
      <xdr:row>0</xdr:row>
      <xdr:rowOff>1992992</xdr:rowOff>
    </xdr:to>
    <xdr:pic>
      <xdr:nvPicPr>
        <xdr:cNvPr id="3" name="Imagen 2">
          <a:extLst>
            <a:ext uri="{FF2B5EF4-FFF2-40B4-BE49-F238E27FC236}">
              <a16:creationId xmlns:a16="http://schemas.microsoft.com/office/drawing/2014/main" id="{DE28C645-A5BA-413A-874B-84485A897DB2}"/>
            </a:ext>
          </a:extLst>
        </xdr:cNvPr>
        <xdr:cNvPicPr>
          <a:picLocks noChangeAspect="1"/>
        </xdr:cNvPicPr>
      </xdr:nvPicPr>
      <xdr:blipFill>
        <a:blip xmlns:r="http://schemas.openxmlformats.org/officeDocument/2006/relationships" r:embed="rId1"/>
        <a:srcRect/>
        <a:stretch>
          <a:fillRect/>
        </a:stretch>
      </xdr:blipFill>
      <xdr:spPr bwMode="auto">
        <a:xfrm>
          <a:off x="4585607" y="200023"/>
          <a:ext cx="13022036" cy="178979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122465</xdr:colOff>
      <xdr:row>0</xdr:row>
      <xdr:rowOff>64861</xdr:rowOff>
    </xdr:from>
    <xdr:to>
      <xdr:col>13</xdr:col>
      <xdr:colOff>277792</xdr:colOff>
      <xdr:row>0</xdr:row>
      <xdr:rowOff>1051996</xdr:rowOff>
    </xdr:to>
    <xdr:pic>
      <xdr:nvPicPr>
        <xdr:cNvPr id="3" name="Imagen 2">
          <a:extLst>
            <a:ext uri="{FF2B5EF4-FFF2-40B4-BE49-F238E27FC236}">
              <a16:creationId xmlns:a16="http://schemas.microsoft.com/office/drawing/2014/main" id="{D702E889-25C5-45AE-8204-DB84D37C29D4}"/>
            </a:ext>
          </a:extLst>
        </xdr:cNvPr>
        <xdr:cNvPicPr>
          <a:picLocks noChangeAspect="1"/>
        </xdr:cNvPicPr>
      </xdr:nvPicPr>
      <xdr:blipFill>
        <a:blip xmlns:r="http://schemas.openxmlformats.org/officeDocument/2006/relationships" r:embed="rId1"/>
        <a:srcRect/>
        <a:stretch>
          <a:fillRect/>
        </a:stretch>
      </xdr:blipFill>
      <xdr:spPr bwMode="auto">
        <a:xfrm>
          <a:off x="122465" y="64861"/>
          <a:ext cx="8333220" cy="987135"/>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A2FE4-55F8-4326-BE79-017C16CA7026}">
  <sheetPr>
    <tabColor theme="9" tint="0.39997558519241921"/>
  </sheetPr>
  <dimension ref="A1:M34"/>
  <sheetViews>
    <sheetView tabSelected="1" view="pageBreakPreview" topLeftCell="A3" zoomScale="70" zoomScaleNormal="100" zoomScaleSheetLayoutView="70" zoomScalePageLayoutView="30" workbookViewId="0">
      <selection activeCell="G23" sqref="G23"/>
    </sheetView>
  </sheetViews>
  <sheetFormatPr baseColWidth="10" defaultColWidth="17.81640625" defaultRowHeight="24.5" x14ac:dyDescent="0.45"/>
  <cols>
    <col min="1" max="1" width="11.453125" style="1" customWidth="1"/>
    <col min="2" max="2" width="16.453125" style="1" bestFit="1" customWidth="1"/>
    <col min="3" max="3" width="14.81640625" style="1" customWidth="1"/>
    <col min="4" max="4" width="16.453125" style="1" customWidth="1"/>
    <col min="5" max="5" width="24.26953125" style="1" bestFit="1" customWidth="1"/>
    <col min="6" max="6" width="21.1796875" style="1" customWidth="1"/>
    <col min="7" max="7" width="23" style="1" customWidth="1"/>
    <col min="8" max="10" width="22.7265625" style="1" customWidth="1"/>
    <col min="11" max="11" width="31.26953125" style="1" customWidth="1"/>
    <col min="12" max="12" width="15.453125" style="1" customWidth="1"/>
    <col min="13" max="13" width="8.81640625" style="1" bestFit="1" customWidth="1"/>
    <col min="14" max="16384" width="17.81640625" style="1"/>
  </cols>
  <sheetData>
    <row r="1" spans="1:13" ht="171" customHeight="1" x14ac:dyDescent="0.45"/>
    <row r="2" spans="1:13" x14ac:dyDescent="0.45">
      <c r="A2" s="2"/>
      <c r="B2" s="2"/>
      <c r="C2" s="2"/>
      <c r="D2" s="104" t="s">
        <v>0</v>
      </c>
      <c r="E2" s="104"/>
      <c r="F2" s="104"/>
      <c r="G2" s="104"/>
      <c r="H2" s="104"/>
      <c r="I2" s="104"/>
      <c r="J2" s="104"/>
      <c r="K2" s="2"/>
      <c r="L2" s="2"/>
      <c r="M2" s="2"/>
    </row>
    <row r="3" spans="1:13" ht="89.25" customHeight="1" x14ac:dyDescent="0.45">
      <c r="A3" s="2"/>
      <c r="B3" s="2"/>
      <c r="C3" s="105" t="s">
        <v>57</v>
      </c>
      <c r="D3" s="105"/>
      <c r="E3" s="105"/>
      <c r="F3" s="105"/>
      <c r="G3" s="105"/>
      <c r="H3" s="105"/>
      <c r="I3" s="105"/>
      <c r="J3" s="105"/>
      <c r="K3" s="105"/>
      <c r="L3" s="2"/>
      <c r="M3" s="2"/>
    </row>
    <row r="4" spans="1:13" x14ac:dyDescent="0.45">
      <c r="A4" s="2"/>
      <c r="B4" s="2"/>
      <c r="C4" s="3"/>
      <c r="D4" s="106" t="s">
        <v>37</v>
      </c>
      <c r="E4" s="106"/>
      <c r="F4" s="106"/>
      <c r="G4" s="106"/>
      <c r="H4" s="106"/>
      <c r="I4" s="106"/>
      <c r="J4" s="106"/>
      <c r="K4" s="3"/>
      <c r="L4" s="2"/>
      <c r="M4" s="2"/>
    </row>
    <row r="5" spans="1:13" ht="19.5" customHeight="1" x14ac:dyDescent="0.45">
      <c r="A5" s="4"/>
      <c r="B5" s="5"/>
      <c r="C5" s="5"/>
      <c r="D5" s="6"/>
      <c r="E5" s="7"/>
      <c r="F5" s="7"/>
      <c r="G5" s="7"/>
      <c r="H5" s="7"/>
      <c r="I5" s="7"/>
      <c r="J5" s="8"/>
      <c r="K5" s="9"/>
      <c r="L5" s="4"/>
      <c r="M5" s="4"/>
    </row>
    <row r="6" spans="1:13" x14ac:dyDescent="0.45">
      <c r="A6" s="4"/>
      <c r="B6" s="5"/>
      <c r="C6" s="10" t="s">
        <v>1</v>
      </c>
      <c r="D6" s="5"/>
      <c r="E6" s="5"/>
      <c r="G6" s="5"/>
      <c r="H6" s="5"/>
      <c r="I6" s="5"/>
      <c r="J6" s="5"/>
      <c r="K6" s="9"/>
      <c r="L6" s="4"/>
      <c r="M6" s="4"/>
    </row>
    <row r="7" spans="1:13" x14ac:dyDescent="0.45">
      <c r="A7" s="4"/>
      <c r="B7" s="5"/>
      <c r="C7" s="10" t="s">
        <v>2</v>
      </c>
      <c r="D7" s="5"/>
      <c r="E7" s="5"/>
      <c r="G7" s="5"/>
      <c r="H7" s="5"/>
      <c r="I7" s="5"/>
      <c r="J7" s="5"/>
      <c r="K7" s="9"/>
      <c r="L7" s="4"/>
      <c r="M7" s="4"/>
    </row>
    <row r="8" spans="1:13" x14ac:dyDescent="0.45">
      <c r="B8" s="11"/>
      <c r="C8" s="10" t="s">
        <v>3</v>
      </c>
      <c r="D8" s="5"/>
      <c r="E8" s="5"/>
      <c r="G8" s="11"/>
      <c r="H8" s="11"/>
      <c r="I8" s="11"/>
      <c r="J8" s="11"/>
      <c r="K8" s="12"/>
    </row>
    <row r="9" spans="1:13" x14ac:dyDescent="0.45">
      <c r="B9" s="11"/>
      <c r="C9" s="13" t="str">
        <f>"PRODUCTO OFERTADO: "&amp;D4</f>
        <v>PRODUCTO OFERTADO: PRODUCTO No. 1</v>
      </c>
      <c r="D9" s="5"/>
      <c r="E9" s="5"/>
      <c r="G9" s="11"/>
      <c r="H9" s="11"/>
      <c r="I9" s="11"/>
      <c r="J9" s="11"/>
      <c r="K9" s="12"/>
    </row>
    <row r="10" spans="1:13" x14ac:dyDescent="0.45">
      <c r="B10" s="11"/>
      <c r="C10" s="13"/>
      <c r="D10" s="5"/>
      <c r="E10" s="5"/>
      <c r="G10" s="11"/>
      <c r="H10" s="11"/>
      <c r="I10" s="11"/>
      <c r="J10" s="11"/>
      <c r="K10" s="12"/>
    </row>
    <row r="11" spans="1:13" x14ac:dyDescent="0.45">
      <c r="B11" s="11"/>
      <c r="C11" s="10" t="s">
        <v>56</v>
      </c>
      <c r="D11" s="14"/>
      <c r="E11" s="14"/>
      <c r="F11" s="15"/>
      <c r="G11" s="11"/>
      <c r="H11" s="11"/>
      <c r="I11" s="11"/>
      <c r="J11" s="11"/>
      <c r="K11" s="12"/>
    </row>
    <row r="12" spans="1:13" x14ac:dyDescent="0.45">
      <c r="B12" s="16"/>
      <c r="C12" s="15"/>
    </row>
    <row r="13" spans="1:13" x14ac:dyDescent="0.45">
      <c r="F13" s="107" t="str">
        <f>"Oferta " &amp; PROPER(D4)</f>
        <v>Oferta Producto No. 1</v>
      </c>
      <c r="G13" s="107"/>
      <c r="H13" s="107"/>
      <c r="I13" s="107"/>
      <c r="J13" s="107"/>
    </row>
    <row r="14" spans="1:13" ht="72.75" customHeight="1" x14ac:dyDescent="0.45">
      <c r="E14" s="78"/>
      <c r="F14" s="77" t="s">
        <v>4</v>
      </c>
      <c r="G14" s="17" t="s">
        <v>50</v>
      </c>
      <c r="H14" s="17" t="s">
        <v>38</v>
      </c>
      <c r="I14" s="17" t="s">
        <v>51</v>
      </c>
      <c r="J14" s="18" t="s">
        <v>5</v>
      </c>
    </row>
    <row r="15" spans="1:13" x14ac:dyDescent="0.45">
      <c r="A15" s="19"/>
      <c r="B15" s="20"/>
      <c r="E15" s="37"/>
      <c r="F15" s="21">
        <v>46357</v>
      </c>
      <c r="G15" s="36">
        <f>+SUMIFS('Cantidades Producto No. 1'!$AB$60:$AB$67,'Cantidades Producto No. 1'!$A$60:$A$67,'Oferta Producto No. 1'!F15)</f>
        <v>3826.3599999999992</v>
      </c>
      <c r="H15" s="99"/>
      <c r="I15" s="36"/>
      <c r="J15" s="98"/>
      <c r="K15" s="64"/>
      <c r="L15" s="22"/>
      <c r="M15" s="22"/>
    </row>
    <row r="16" spans="1:13" x14ac:dyDescent="0.45">
      <c r="A16" s="19"/>
      <c r="B16" s="20"/>
      <c r="E16" s="37"/>
      <c r="F16" s="21">
        <v>46388</v>
      </c>
      <c r="G16" s="36">
        <f>+SUMIFS('Cantidades Producto No. 1'!$AB$60:$AB$67,'Cantidades Producto No. 1'!$A$60:$A$67,'Oferta Producto No. 1'!F16)</f>
        <v>4608.25</v>
      </c>
      <c r="H16" s="108"/>
      <c r="I16" s="36"/>
      <c r="J16" s="110"/>
      <c r="K16" s="64"/>
      <c r="L16" s="22"/>
      <c r="M16" s="22"/>
    </row>
    <row r="17" spans="1:13" x14ac:dyDescent="0.45">
      <c r="A17" s="19"/>
      <c r="B17" s="20"/>
      <c r="E17" s="37"/>
      <c r="F17" s="21">
        <v>46419</v>
      </c>
      <c r="G17" s="36">
        <f>+SUMIFS('Cantidades Producto No. 1'!$AB$60:$AB$67,'Cantidades Producto No. 1'!$A$60:$A$67,'Oferta Producto No. 1'!F17)</f>
        <v>4324.3600000000006</v>
      </c>
      <c r="H17" s="108"/>
      <c r="I17" s="36"/>
      <c r="J17" s="111"/>
      <c r="K17" s="64"/>
      <c r="L17" s="22"/>
      <c r="M17" s="22"/>
    </row>
    <row r="18" spans="1:13" x14ac:dyDescent="0.45">
      <c r="A18" s="19"/>
      <c r="B18" s="20"/>
      <c r="E18" s="37"/>
      <c r="F18" s="21">
        <v>46447</v>
      </c>
      <c r="G18" s="36">
        <f>+SUMIFS('Cantidades Producto No. 1'!$AB$60:$AB$67,'Cantidades Producto No. 1'!$A$60:$A$67,'Oferta Producto No. 1'!F18)</f>
        <v>4419.2</v>
      </c>
      <c r="H18" s="108"/>
      <c r="I18" s="36"/>
      <c r="J18" s="111"/>
      <c r="K18" s="64"/>
      <c r="L18" s="22"/>
      <c r="M18" s="22"/>
    </row>
    <row r="19" spans="1:13" x14ac:dyDescent="0.45">
      <c r="A19" s="19"/>
      <c r="B19" s="20"/>
      <c r="E19" s="37"/>
      <c r="F19" s="21">
        <v>46478</v>
      </c>
      <c r="G19" s="36">
        <f>+SUMIFS('Cantidades Producto No. 1'!$AB$60:$AB$67,'Cantidades Producto No. 1'!$A$60:$A$67,'Oferta Producto No. 1'!F19)</f>
        <v>4075.9599999999996</v>
      </c>
      <c r="H19" s="108"/>
      <c r="I19" s="36"/>
      <c r="J19" s="111"/>
      <c r="K19" s="64"/>
      <c r="L19" s="22"/>
      <c r="M19" s="22"/>
    </row>
    <row r="20" spans="1:13" x14ac:dyDescent="0.45">
      <c r="A20" s="19"/>
      <c r="B20" s="20"/>
      <c r="E20" s="37"/>
      <c r="F20" s="21">
        <v>46508</v>
      </c>
      <c r="G20" s="36">
        <f>+SUMIFS('Cantidades Producto No. 1'!$AB$60:$AB$67,'Cantidades Producto No. 1'!$A$60:$A$67,'Oferta Producto No. 1'!F20)</f>
        <v>3515.72</v>
      </c>
      <c r="H20" s="108"/>
      <c r="I20" s="36"/>
      <c r="J20" s="111"/>
      <c r="K20" s="64"/>
      <c r="L20" s="22"/>
      <c r="M20" s="22"/>
    </row>
    <row r="21" spans="1:13" x14ac:dyDescent="0.45">
      <c r="A21" s="19"/>
      <c r="B21" s="20"/>
      <c r="E21" s="37"/>
      <c r="F21" s="21">
        <v>46539</v>
      </c>
      <c r="G21" s="36">
        <f>+SUMIFS('Cantidades Producto No. 1'!$AB$60:$AB$67,'Cantidades Producto No. 1'!$A$60:$A$67,'Oferta Producto No. 1'!F21)</f>
        <v>3475.5700000000006</v>
      </c>
      <c r="H21" s="108"/>
      <c r="I21" s="36"/>
      <c r="J21" s="111"/>
      <c r="K21" s="64"/>
      <c r="L21" s="22"/>
      <c r="M21" s="22"/>
    </row>
    <row r="22" spans="1:13" x14ac:dyDescent="0.45">
      <c r="A22" s="19"/>
      <c r="B22" s="20"/>
      <c r="E22" s="37"/>
      <c r="F22" s="21">
        <v>46569</v>
      </c>
      <c r="G22" s="36">
        <f>+SUMIFS('Cantidades Producto No. 1'!$AB$60:$AB$67,'Cantidades Producto No. 1'!$A$60:$A$67,'Oferta Producto No. 1'!F22)</f>
        <v>3924.58</v>
      </c>
      <c r="H22" s="108"/>
      <c r="I22" s="36"/>
      <c r="J22" s="112"/>
      <c r="K22" s="64"/>
      <c r="L22" s="22"/>
      <c r="M22" s="22"/>
    </row>
    <row r="23" spans="1:13" x14ac:dyDescent="0.45">
      <c r="F23" s="23" t="s">
        <v>6</v>
      </c>
      <c r="G23" s="25">
        <f>SUM(G15:G22)</f>
        <v>32170</v>
      </c>
      <c r="H23" s="100"/>
      <c r="I23" s="36"/>
      <c r="J23" s="65"/>
    </row>
    <row r="24" spans="1:13" x14ac:dyDescent="0.45">
      <c r="F24" s="26"/>
      <c r="G24" s="24"/>
    </row>
    <row r="25" spans="1:13" x14ac:dyDescent="0.45">
      <c r="B25" s="27" t="s">
        <v>7</v>
      </c>
      <c r="C25" s="28"/>
      <c r="D25" s="28"/>
      <c r="E25" s="28"/>
      <c r="F25" s="28"/>
      <c r="G25" s="88"/>
      <c r="L25" s="28"/>
    </row>
    <row r="26" spans="1:13" x14ac:dyDescent="0.45">
      <c r="B26" s="27"/>
      <c r="C26" s="28"/>
      <c r="D26" s="28"/>
      <c r="E26" s="28"/>
      <c r="F26" s="28"/>
      <c r="G26" s="28"/>
      <c r="H26" s="28"/>
      <c r="I26" s="28"/>
      <c r="J26" s="28"/>
      <c r="K26" s="28"/>
      <c r="L26" s="28"/>
    </row>
    <row r="27" spans="1:13" ht="24.75" customHeight="1" x14ac:dyDescent="0.45">
      <c r="B27" s="103" t="s">
        <v>8</v>
      </c>
      <c r="C27" s="103"/>
      <c r="D27" s="103"/>
      <c r="E27" s="103"/>
      <c r="F27" s="103"/>
      <c r="G27" s="103"/>
      <c r="H27" s="103"/>
      <c r="I27" s="103"/>
      <c r="J27" s="103"/>
      <c r="K27" s="103"/>
      <c r="L27" s="103"/>
    </row>
    <row r="28" spans="1:13" ht="39" customHeight="1" x14ac:dyDescent="0.45">
      <c r="B28" s="103" t="str">
        <f>"(2) Las cantidades se distribuyen de acuerdo a la curva del Anexo 1. Ofertas y Cantidades "&amp; D4 &amp;" de los Pliegos de Condiciones Preliminares."</f>
        <v>(2) Las cantidades se distribuyen de acuerdo a la curva del Anexo 1. Ofertas y Cantidades PRODUCTO No. 1 de los Pliegos de Condiciones Preliminares.</v>
      </c>
      <c r="C28" s="103"/>
      <c r="D28" s="103"/>
      <c r="E28" s="103"/>
      <c r="F28" s="103"/>
      <c r="G28" s="103"/>
      <c r="H28" s="103"/>
      <c r="I28" s="103"/>
      <c r="J28" s="103"/>
      <c r="K28" s="103"/>
      <c r="L28" s="103"/>
    </row>
    <row r="29" spans="1:13" ht="83.25" customHeight="1" x14ac:dyDescent="0.45">
      <c r="B29" s="103" t="s">
        <v>60</v>
      </c>
      <c r="C29" s="103"/>
      <c r="D29" s="103"/>
      <c r="E29" s="103"/>
      <c r="F29" s="103"/>
      <c r="G29" s="103"/>
      <c r="H29" s="103"/>
      <c r="I29" s="103"/>
      <c r="J29" s="103"/>
      <c r="K29" s="103"/>
      <c r="L29" s="103"/>
    </row>
    <row r="30" spans="1:13" ht="43.5" customHeight="1" x14ac:dyDescent="0.45">
      <c r="B30" s="113" t="s">
        <v>39</v>
      </c>
      <c r="C30" s="113"/>
      <c r="D30" s="113"/>
      <c r="E30" s="113"/>
      <c r="F30" s="113"/>
      <c r="G30" s="113"/>
      <c r="H30" s="113"/>
      <c r="I30" s="113"/>
      <c r="J30" s="113"/>
      <c r="K30" s="113"/>
      <c r="L30" s="113"/>
    </row>
    <row r="31" spans="1:13" ht="60" customHeight="1" x14ac:dyDescent="0.45">
      <c r="B31" s="113" t="s">
        <v>40</v>
      </c>
      <c r="C31" s="113"/>
      <c r="D31" s="113"/>
      <c r="E31" s="113"/>
      <c r="F31" s="113"/>
      <c r="G31" s="113"/>
      <c r="H31" s="113"/>
      <c r="I31" s="113"/>
      <c r="J31" s="113"/>
      <c r="K31" s="113"/>
      <c r="L31" s="113"/>
    </row>
    <row r="32" spans="1:13" ht="80.25" customHeight="1" x14ac:dyDescent="0.45">
      <c r="A32" s="15"/>
      <c r="B32" s="113" t="s">
        <v>52</v>
      </c>
      <c r="C32" s="113"/>
      <c r="D32" s="113"/>
      <c r="E32" s="113"/>
      <c r="F32" s="113"/>
      <c r="G32" s="113"/>
      <c r="H32" s="113"/>
      <c r="I32" s="113"/>
      <c r="J32" s="113"/>
      <c r="K32" s="113"/>
      <c r="L32" s="113"/>
    </row>
    <row r="34" spans="2:12" ht="24.75" customHeight="1" x14ac:dyDescent="0.45">
      <c r="B34" s="29"/>
      <c r="C34" s="29"/>
      <c r="D34" s="29"/>
      <c r="E34" s="29"/>
      <c r="F34" s="29"/>
      <c r="G34" s="29"/>
      <c r="H34" s="29"/>
      <c r="I34" s="29"/>
      <c r="J34" s="29"/>
      <c r="K34" s="29"/>
      <c r="L34" s="29"/>
    </row>
  </sheetData>
  <mergeCells count="12">
    <mergeCell ref="B27:L27"/>
    <mergeCell ref="D2:J2"/>
    <mergeCell ref="C3:K3"/>
    <mergeCell ref="D4:J4"/>
    <mergeCell ref="F13:J13"/>
    <mergeCell ref="J16:J22"/>
    <mergeCell ref="H16:H22"/>
    <mergeCell ref="B28:L28"/>
    <mergeCell ref="B29:L29"/>
    <mergeCell ref="B30:L30"/>
    <mergeCell ref="B31:L31"/>
    <mergeCell ref="B32:L32"/>
  </mergeCells>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749C-57C9-46DD-89A9-C1F943472117}">
  <sheetPr>
    <tabColor theme="9" tint="0.39997558519241921"/>
  </sheetPr>
  <dimension ref="A1:AG67"/>
  <sheetViews>
    <sheetView showGridLines="0" zoomScale="70" zoomScaleNormal="70" workbookViewId="0">
      <selection activeCell="N20" sqref="N20"/>
    </sheetView>
  </sheetViews>
  <sheetFormatPr baseColWidth="10" defaultColWidth="14.453125" defaultRowHeight="15.5" x14ac:dyDescent="0.35"/>
  <cols>
    <col min="1" max="1" width="13" style="30" customWidth="1"/>
    <col min="2" max="2" width="22.1796875" style="31" customWidth="1"/>
    <col min="3" max="4" width="12" style="31" customWidth="1"/>
    <col min="5" max="6" width="11.54296875" style="31" customWidth="1"/>
    <col min="7" max="8" width="12" style="31" customWidth="1"/>
    <col min="9" max="9" width="11.54296875" style="31" customWidth="1"/>
    <col min="10" max="11" width="12.81640625" style="31" customWidth="1"/>
    <col min="12" max="20" width="12.453125" style="31" customWidth="1"/>
    <col min="21" max="21" width="12.81640625" style="31" customWidth="1"/>
    <col min="22" max="22" width="12.453125" style="31" customWidth="1"/>
    <col min="23" max="23" width="12.81640625" style="31" customWidth="1"/>
    <col min="24" max="25" width="12" style="31" customWidth="1"/>
    <col min="26" max="26" width="14.54296875" style="32" customWidth="1"/>
    <col min="27" max="27" width="12.54296875" style="30" bestFit="1" customWidth="1"/>
    <col min="28" max="28" width="9.7265625" style="30" customWidth="1"/>
    <col min="29" max="29" width="5.26953125" style="30" bestFit="1" customWidth="1"/>
    <col min="30" max="16384" width="14.453125" style="30"/>
  </cols>
  <sheetData>
    <row r="1" spans="1:30" ht="93" customHeight="1" thickBot="1" x14ac:dyDescent="0.4"/>
    <row r="2" spans="1:30" ht="23" x14ac:dyDescent="0.5">
      <c r="A2" s="38" t="s">
        <v>9</v>
      </c>
      <c r="O2" s="81"/>
    </row>
    <row r="3" spans="1:30" ht="20.5" thickBot="1" x14ac:dyDescent="0.45">
      <c r="A3" s="39" t="s">
        <v>37</v>
      </c>
    </row>
    <row r="4" spans="1:30" ht="16" thickBot="1" x14ac:dyDescent="0.4"/>
    <row r="5" spans="1:30" ht="16" thickBot="1" x14ac:dyDescent="0.4">
      <c r="A5" s="33" t="s">
        <v>42</v>
      </c>
      <c r="B5" s="47"/>
      <c r="C5" s="47"/>
      <c r="D5" s="47"/>
      <c r="E5" s="48"/>
      <c r="F5" s="47"/>
      <c r="G5" s="47"/>
      <c r="H5" s="47"/>
      <c r="I5" s="47"/>
      <c r="J5" s="47"/>
      <c r="K5" s="49"/>
      <c r="L5" s="49"/>
      <c r="M5" s="49"/>
      <c r="N5" s="49"/>
      <c r="O5" s="49"/>
      <c r="P5" s="49"/>
      <c r="Q5" s="49"/>
      <c r="R5" s="49"/>
      <c r="S5" s="49"/>
      <c r="T5" s="49"/>
      <c r="U5" s="49"/>
      <c r="V5" s="49"/>
      <c r="W5" s="49"/>
      <c r="X5" s="49"/>
      <c r="Y5" s="49"/>
      <c r="Z5" s="50"/>
      <c r="AA5"/>
      <c r="AB5" s="51"/>
    </row>
    <row r="6" spans="1:30" ht="16" thickBot="1" x14ac:dyDescent="0.4">
      <c r="A6"/>
      <c r="B6" s="47"/>
      <c r="C6" s="47"/>
      <c r="D6" s="47"/>
      <c r="E6" s="47"/>
      <c r="F6" s="47"/>
      <c r="G6" s="47"/>
      <c r="H6" s="47"/>
      <c r="I6" s="47"/>
      <c r="J6" s="47"/>
      <c r="K6" s="52"/>
      <c r="L6" s="52"/>
      <c r="M6" s="52"/>
      <c r="N6" s="52"/>
      <c r="O6" s="52"/>
      <c r="P6" s="52"/>
      <c r="Q6" s="52"/>
      <c r="R6" s="52"/>
      <c r="S6" s="52"/>
      <c r="T6" s="52"/>
      <c r="U6" s="52"/>
      <c r="V6" s="52"/>
      <c r="W6" s="52"/>
      <c r="X6" s="52"/>
      <c r="Y6" s="52"/>
      <c r="Z6" s="50"/>
      <c r="AA6"/>
      <c r="AB6"/>
    </row>
    <row r="7" spans="1:30" ht="16" customHeight="1" thickBot="1" x14ac:dyDescent="0.4">
      <c r="A7" s="53" t="s">
        <v>10</v>
      </c>
      <c r="B7" s="54" t="s">
        <v>11</v>
      </c>
      <c r="C7" s="54" t="s">
        <v>12</v>
      </c>
      <c r="D7" s="54" t="s">
        <v>13</v>
      </c>
      <c r="E7" s="54" t="s">
        <v>14</v>
      </c>
      <c r="F7" s="54" t="s">
        <v>15</v>
      </c>
      <c r="G7" s="54" t="s">
        <v>16</v>
      </c>
      <c r="H7" s="54" t="s">
        <v>17</v>
      </c>
      <c r="I7" s="54" t="s">
        <v>18</v>
      </c>
      <c r="J7" s="54" t="s">
        <v>19</v>
      </c>
      <c r="K7" s="54" t="s">
        <v>20</v>
      </c>
      <c r="L7" s="54" t="s">
        <v>21</v>
      </c>
      <c r="M7" s="54" t="s">
        <v>22</v>
      </c>
      <c r="N7" s="54" t="s">
        <v>23</v>
      </c>
      <c r="O7" s="54" t="s">
        <v>24</v>
      </c>
      <c r="P7" s="54" t="s">
        <v>25</v>
      </c>
      <c r="Q7" s="54" t="s">
        <v>26</v>
      </c>
      <c r="R7" s="54" t="s">
        <v>27</v>
      </c>
      <c r="S7" s="54" t="s">
        <v>28</v>
      </c>
      <c r="T7" s="54" t="s">
        <v>29</v>
      </c>
      <c r="U7" s="54" t="s">
        <v>30</v>
      </c>
      <c r="V7" s="54" t="s">
        <v>31</v>
      </c>
      <c r="W7" s="54" t="s">
        <v>32</v>
      </c>
      <c r="X7" s="54" t="s">
        <v>33</v>
      </c>
      <c r="Y7" s="54" t="s">
        <v>34</v>
      </c>
      <c r="Z7" s="54" t="s">
        <v>6</v>
      </c>
      <c r="AA7" s="34" t="s">
        <v>35</v>
      </c>
      <c r="AB7" s="55" t="s">
        <v>6</v>
      </c>
    </row>
    <row r="8" spans="1:30" ht="16" thickBot="1" x14ac:dyDescent="0.4">
      <c r="A8" s="72">
        <v>46357</v>
      </c>
      <c r="B8" s="73">
        <v>3.97</v>
      </c>
      <c r="C8" s="73">
        <v>3.67</v>
      </c>
      <c r="D8" s="73">
        <v>3.52</v>
      </c>
      <c r="E8" s="73">
        <v>3.45</v>
      </c>
      <c r="F8" s="73">
        <v>3.53</v>
      </c>
      <c r="G8" s="73">
        <v>3.77</v>
      </c>
      <c r="H8" s="73">
        <v>4.24</v>
      </c>
      <c r="I8" s="73">
        <v>4.7699999999999996</v>
      </c>
      <c r="J8" s="73">
        <v>5.38</v>
      </c>
      <c r="K8" s="73">
        <v>5.76</v>
      </c>
      <c r="L8" s="73">
        <v>6.08</v>
      </c>
      <c r="M8" s="73">
        <v>6.42</v>
      </c>
      <c r="N8" s="73">
        <v>6.45</v>
      </c>
      <c r="O8" s="73">
        <v>6.42</v>
      </c>
      <c r="P8" s="73">
        <v>6.52</v>
      </c>
      <c r="Q8" s="73">
        <v>6.53</v>
      </c>
      <c r="R8" s="73">
        <v>6.42</v>
      </c>
      <c r="S8" s="73">
        <v>6.33</v>
      </c>
      <c r="T8" s="73">
        <v>6.64</v>
      </c>
      <c r="U8" s="73">
        <v>6.61</v>
      </c>
      <c r="V8" s="73">
        <v>6.28</v>
      </c>
      <c r="W8" s="73">
        <v>5.85</v>
      </c>
      <c r="X8" s="73">
        <v>5.21</v>
      </c>
      <c r="Y8" s="73">
        <v>4.5599999999999996</v>
      </c>
      <c r="Z8" s="74">
        <f t="shared" ref="Z8:Z15" si="0">SUM(B8:Y8)</f>
        <v>128.37999999999997</v>
      </c>
      <c r="AA8" s="75">
        <v>21</v>
      </c>
      <c r="AB8" s="76">
        <f t="shared" ref="AB8:AB15" si="1">+Z8*AA8</f>
        <v>2695.9799999999991</v>
      </c>
      <c r="AD8" s="30" t="s">
        <v>43</v>
      </c>
    </row>
    <row r="9" spans="1:30" x14ac:dyDescent="0.35">
      <c r="A9" s="56">
        <v>46388</v>
      </c>
      <c r="B9" s="82">
        <v>4.6399999999999997</v>
      </c>
      <c r="C9" s="82">
        <v>4.3099999999999996</v>
      </c>
      <c r="D9" s="82">
        <v>4.1399999999999997</v>
      </c>
      <c r="E9" s="82">
        <v>4.07</v>
      </c>
      <c r="F9" s="82">
        <v>4.1900000000000004</v>
      </c>
      <c r="G9" s="82">
        <v>4.5999999999999996</v>
      </c>
      <c r="H9" s="82">
        <v>5.19</v>
      </c>
      <c r="I9" s="82">
        <v>5.78</v>
      </c>
      <c r="J9" s="82">
        <v>6.5</v>
      </c>
      <c r="K9" s="82">
        <v>7.04</v>
      </c>
      <c r="L9" s="82">
        <v>7.56</v>
      </c>
      <c r="M9" s="82">
        <v>8.02</v>
      </c>
      <c r="N9" s="82">
        <v>7.97</v>
      </c>
      <c r="O9" s="82">
        <v>7.87</v>
      </c>
      <c r="P9" s="82">
        <v>7.98</v>
      </c>
      <c r="Q9" s="82">
        <v>7.96</v>
      </c>
      <c r="R9" s="82">
        <v>7.82</v>
      </c>
      <c r="S9" s="82">
        <v>7.61</v>
      </c>
      <c r="T9" s="82">
        <v>7.86</v>
      </c>
      <c r="U9" s="82">
        <v>8.0500000000000007</v>
      </c>
      <c r="V9" s="82">
        <v>7.69</v>
      </c>
      <c r="W9" s="82">
        <v>7.15</v>
      </c>
      <c r="X9" s="82">
        <v>6.28</v>
      </c>
      <c r="Y9" s="82">
        <v>5.33</v>
      </c>
      <c r="Z9" s="85">
        <f t="shared" si="0"/>
        <v>155.61000000000004</v>
      </c>
      <c r="AA9" s="40">
        <v>19</v>
      </c>
      <c r="AB9" s="57">
        <f t="shared" si="1"/>
        <v>2956.5900000000006</v>
      </c>
      <c r="AD9" s="30" t="s">
        <v>43</v>
      </c>
    </row>
    <row r="10" spans="1:30" x14ac:dyDescent="0.35">
      <c r="A10" s="58">
        <v>46419</v>
      </c>
      <c r="B10" s="41">
        <v>4.66</v>
      </c>
      <c r="C10" s="41">
        <v>4.3499999999999996</v>
      </c>
      <c r="D10" s="41">
        <v>4.18</v>
      </c>
      <c r="E10" s="41">
        <v>4.1399999999999997</v>
      </c>
      <c r="F10" s="41">
        <v>4.32</v>
      </c>
      <c r="G10" s="41">
        <v>5.01</v>
      </c>
      <c r="H10" s="41">
        <v>5.7</v>
      </c>
      <c r="I10" s="41">
        <v>6.15</v>
      </c>
      <c r="J10" s="41">
        <v>6.79</v>
      </c>
      <c r="K10" s="41">
        <v>7.28</v>
      </c>
      <c r="L10" s="41">
        <v>7.79</v>
      </c>
      <c r="M10" s="41">
        <v>8.2100000000000009</v>
      </c>
      <c r="N10" s="41">
        <v>8.02</v>
      </c>
      <c r="O10" s="41">
        <v>7.99</v>
      </c>
      <c r="P10" s="41">
        <v>8.17</v>
      </c>
      <c r="Q10" s="41">
        <v>8.18</v>
      </c>
      <c r="R10" s="41">
        <v>8.0500000000000007</v>
      </c>
      <c r="S10" s="41">
        <v>7.72</v>
      </c>
      <c r="T10" s="41">
        <v>7.79</v>
      </c>
      <c r="U10" s="41">
        <v>8.11</v>
      </c>
      <c r="V10" s="41">
        <v>7.82</v>
      </c>
      <c r="W10" s="41">
        <v>7.25</v>
      </c>
      <c r="X10" s="41">
        <v>6.31</v>
      </c>
      <c r="Y10" s="41">
        <v>5.33</v>
      </c>
      <c r="Z10" s="84">
        <f t="shared" si="0"/>
        <v>159.32000000000002</v>
      </c>
      <c r="AA10" s="43">
        <v>20</v>
      </c>
      <c r="AB10" s="59">
        <f t="shared" si="1"/>
        <v>3186.4000000000005</v>
      </c>
      <c r="AD10" s="30" t="s">
        <v>43</v>
      </c>
    </row>
    <row r="11" spans="1:30" x14ac:dyDescent="0.35">
      <c r="A11" s="58">
        <v>46447</v>
      </c>
      <c r="B11" s="41">
        <v>4.34</v>
      </c>
      <c r="C11" s="41">
        <v>4.0599999999999996</v>
      </c>
      <c r="D11" s="41">
        <v>3.91</v>
      </c>
      <c r="E11" s="41">
        <v>3.86</v>
      </c>
      <c r="F11" s="41">
        <v>4.03</v>
      </c>
      <c r="G11" s="41">
        <v>4.66</v>
      </c>
      <c r="H11" s="41">
        <v>5.28</v>
      </c>
      <c r="I11" s="41">
        <v>5.78</v>
      </c>
      <c r="J11" s="41">
        <v>6.39</v>
      </c>
      <c r="K11" s="41">
        <v>6.82</v>
      </c>
      <c r="L11" s="41">
        <v>7.3</v>
      </c>
      <c r="M11" s="41">
        <v>7.68</v>
      </c>
      <c r="N11" s="41">
        <v>7.55</v>
      </c>
      <c r="O11" s="41">
        <v>7.47</v>
      </c>
      <c r="P11" s="41">
        <v>7.62</v>
      </c>
      <c r="Q11" s="41">
        <v>7.6</v>
      </c>
      <c r="R11" s="41">
        <v>7.48</v>
      </c>
      <c r="S11" s="41">
        <v>7.26</v>
      </c>
      <c r="T11" s="41">
        <v>7.37</v>
      </c>
      <c r="U11" s="41">
        <v>7.67</v>
      </c>
      <c r="V11" s="41">
        <v>7.33</v>
      </c>
      <c r="W11" s="41">
        <v>6.78</v>
      </c>
      <c r="X11" s="41">
        <v>5.91</v>
      </c>
      <c r="Y11" s="41">
        <v>5</v>
      </c>
      <c r="Z11" s="84">
        <f t="shared" si="0"/>
        <v>149.15</v>
      </c>
      <c r="AA11" s="43">
        <v>20</v>
      </c>
      <c r="AB11" s="59">
        <f t="shared" si="1"/>
        <v>2983</v>
      </c>
      <c r="AD11" s="30" t="s">
        <v>43</v>
      </c>
    </row>
    <row r="12" spans="1:30" x14ac:dyDescent="0.35">
      <c r="A12" s="58">
        <v>46478</v>
      </c>
      <c r="B12" s="41">
        <v>4.08</v>
      </c>
      <c r="C12" s="41">
        <v>3.8</v>
      </c>
      <c r="D12" s="41">
        <v>3.67</v>
      </c>
      <c r="E12" s="41">
        <v>3.62</v>
      </c>
      <c r="F12" s="41">
        <v>3.78</v>
      </c>
      <c r="G12" s="41">
        <v>4.3</v>
      </c>
      <c r="H12" s="41">
        <v>4.8899999999999997</v>
      </c>
      <c r="I12" s="41">
        <v>5.44</v>
      </c>
      <c r="J12" s="41">
        <v>5.97</v>
      </c>
      <c r="K12" s="41">
        <v>6.49</v>
      </c>
      <c r="L12" s="41">
        <v>6.91</v>
      </c>
      <c r="M12" s="41">
        <v>7.26</v>
      </c>
      <c r="N12" s="41">
        <v>7.14</v>
      </c>
      <c r="O12" s="41">
        <v>7.02</v>
      </c>
      <c r="P12" s="41">
        <v>7.04</v>
      </c>
      <c r="Q12" s="41">
        <v>7.05</v>
      </c>
      <c r="R12" s="41">
        <v>6.97</v>
      </c>
      <c r="S12" s="41">
        <v>6.83</v>
      </c>
      <c r="T12" s="41">
        <v>7.05</v>
      </c>
      <c r="U12" s="41">
        <v>7.21</v>
      </c>
      <c r="V12" s="41">
        <v>6.87</v>
      </c>
      <c r="W12" s="41">
        <v>6.34</v>
      </c>
      <c r="X12" s="41">
        <v>5.53</v>
      </c>
      <c r="Y12" s="41">
        <v>4.7</v>
      </c>
      <c r="Z12" s="84">
        <f t="shared" si="0"/>
        <v>139.95999999999998</v>
      </c>
      <c r="AA12" s="43">
        <v>22</v>
      </c>
      <c r="AB12" s="59">
        <f t="shared" si="1"/>
        <v>3079.1199999999994</v>
      </c>
      <c r="AD12" s="30" t="s">
        <v>43</v>
      </c>
    </row>
    <row r="13" spans="1:30" x14ac:dyDescent="0.35">
      <c r="A13" s="58">
        <v>46508</v>
      </c>
      <c r="B13" s="41">
        <v>3.46</v>
      </c>
      <c r="C13" s="41">
        <v>3.23</v>
      </c>
      <c r="D13" s="41">
        <v>3.11</v>
      </c>
      <c r="E13" s="41">
        <v>3.06</v>
      </c>
      <c r="F13" s="41">
        <v>3.21</v>
      </c>
      <c r="G13" s="41">
        <v>3.62</v>
      </c>
      <c r="H13" s="41">
        <v>4.16</v>
      </c>
      <c r="I13" s="41">
        <v>4.62</v>
      </c>
      <c r="J13" s="41">
        <v>5.12</v>
      </c>
      <c r="K13" s="41">
        <v>5.5</v>
      </c>
      <c r="L13" s="41">
        <v>5.89</v>
      </c>
      <c r="M13" s="41">
        <v>6.21</v>
      </c>
      <c r="N13" s="41">
        <v>6.09</v>
      </c>
      <c r="O13" s="41">
        <v>5.99</v>
      </c>
      <c r="P13" s="41">
        <v>6.06</v>
      </c>
      <c r="Q13" s="41">
        <v>6.03</v>
      </c>
      <c r="R13" s="41">
        <v>5.9</v>
      </c>
      <c r="S13" s="41">
        <v>5.81</v>
      </c>
      <c r="T13" s="41">
        <v>5.99</v>
      </c>
      <c r="U13" s="41">
        <v>6.1</v>
      </c>
      <c r="V13" s="41">
        <v>5.82</v>
      </c>
      <c r="W13" s="41">
        <v>5.34</v>
      </c>
      <c r="X13" s="41">
        <v>4.6399999999999997</v>
      </c>
      <c r="Y13" s="41">
        <v>3.94</v>
      </c>
      <c r="Z13" s="84">
        <f t="shared" si="0"/>
        <v>118.89999999999999</v>
      </c>
      <c r="AA13" s="43">
        <v>19</v>
      </c>
      <c r="AB13" s="59">
        <f t="shared" si="1"/>
        <v>2259.1</v>
      </c>
      <c r="AD13" s="30" t="s">
        <v>43</v>
      </c>
    </row>
    <row r="14" spans="1:30" x14ac:dyDescent="0.35">
      <c r="A14" s="58">
        <v>46539</v>
      </c>
      <c r="B14" s="41">
        <v>3.49</v>
      </c>
      <c r="C14" s="41">
        <v>3.24</v>
      </c>
      <c r="D14" s="41">
        <v>3.11</v>
      </c>
      <c r="E14" s="41">
        <v>3.06</v>
      </c>
      <c r="F14" s="41">
        <v>3.2</v>
      </c>
      <c r="G14" s="41">
        <v>3.55</v>
      </c>
      <c r="H14" s="41">
        <v>4.1399999999999997</v>
      </c>
      <c r="I14" s="41">
        <v>4.6500000000000004</v>
      </c>
      <c r="J14" s="41">
        <v>5.18</v>
      </c>
      <c r="K14" s="41">
        <v>5.57</v>
      </c>
      <c r="L14" s="41">
        <v>5.93</v>
      </c>
      <c r="M14" s="41">
        <v>6.27</v>
      </c>
      <c r="N14" s="41">
        <v>6.18</v>
      </c>
      <c r="O14" s="41">
        <v>6.05</v>
      </c>
      <c r="P14" s="41">
        <v>6.09</v>
      </c>
      <c r="Q14" s="41">
        <v>6.07</v>
      </c>
      <c r="R14" s="41">
        <v>5.98</v>
      </c>
      <c r="S14" s="41">
        <v>5.87</v>
      </c>
      <c r="T14" s="41">
        <v>6.01</v>
      </c>
      <c r="U14" s="41">
        <v>6.24</v>
      </c>
      <c r="V14" s="41">
        <v>5.95</v>
      </c>
      <c r="W14" s="41">
        <v>5.45</v>
      </c>
      <c r="X14" s="41">
        <v>4.71</v>
      </c>
      <c r="Y14" s="41">
        <v>4.01</v>
      </c>
      <c r="Z14" s="84">
        <f t="shared" si="0"/>
        <v>120.00000000000001</v>
      </c>
      <c r="AA14" s="43">
        <v>21</v>
      </c>
      <c r="AB14" s="59">
        <f t="shared" si="1"/>
        <v>2520.0000000000005</v>
      </c>
      <c r="AD14" s="30" t="s">
        <v>43</v>
      </c>
    </row>
    <row r="15" spans="1:30" ht="16" thickBot="1" x14ac:dyDescent="0.4">
      <c r="A15" s="60">
        <v>46569</v>
      </c>
      <c r="B15" s="44">
        <v>3.8</v>
      </c>
      <c r="C15" s="44">
        <v>3.56</v>
      </c>
      <c r="D15" s="44">
        <v>3.41</v>
      </c>
      <c r="E15" s="44">
        <v>3.36</v>
      </c>
      <c r="F15" s="44">
        <v>3.51</v>
      </c>
      <c r="G15" s="44">
        <v>3.96</v>
      </c>
      <c r="H15" s="44">
        <v>4.53</v>
      </c>
      <c r="I15" s="44">
        <v>5.08</v>
      </c>
      <c r="J15" s="44">
        <v>5.67</v>
      </c>
      <c r="K15" s="44">
        <v>6.12</v>
      </c>
      <c r="L15" s="44">
        <v>6.51</v>
      </c>
      <c r="M15" s="44">
        <v>6.89</v>
      </c>
      <c r="N15" s="44">
        <v>6.76</v>
      </c>
      <c r="O15" s="44">
        <v>6.64</v>
      </c>
      <c r="P15" s="44">
        <v>6.72</v>
      </c>
      <c r="Q15" s="44">
        <v>6.74</v>
      </c>
      <c r="R15" s="44">
        <v>6.65</v>
      </c>
      <c r="S15" s="44">
        <v>6.47</v>
      </c>
      <c r="T15" s="44">
        <v>6.52</v>
      </c>
      <c r="U15" s="44">
        <v>6.85</v>
      </c>
      <c r="V15" s="44">
        <v>6.53</v>
      </c>
      <c r="W15" s="44">
        <v>5.99</v>
      </c>
      <c r="X15" s="44">
        <v>5.16</v>
      </c>
      <c r="Y15" s="44">
        <v>4.43</v>
      </c>
      <c r="Z15" s="86">
        <f t="shared" si="0"/>
        <v>131.85999999999999</v>
      </c>
      <c r="AA15" s="46">
        <v>20</v>
      </c>
      <c r="AB15" s="61">
        <f t="shared" si="1"/>
        <v>2637.2</v>
      </c>
      <c r="AD15" s="30" t="s">
        <v>43</v>
      </c>
    </row>
    <row r="16" spans="1:30" x14ac:dyDescent="0.35">
      <c r="A16" s="67"/>
      <c r="B16" s="68"/>
      <c r="C16" s="68"/>
      <c r="D16" s="68"/>
      <c r="E16" s="68"/>
      <c r="F16" s="68"/>
      <c r="G16" s="68"/>
      <c r="H16" s="68"/>
      <c r="I16" s="68"/>
      <c r="J16" s="68"/>
      <c r="K16" s="68"/>
      <c r="L16" s="68"/>
      <c r="M16" s="68"/>
      <c r="N16" s="68"/>
      <c r="O16" s="68"/>
      <c r="P16" s="68"/>
      <c r="Q16" s="68"/>
      <c r="R16" s="68"/>
      <c r="S16" s="68"/>
      <c r="T16" s="68"/>
      <c r="U16" s="68"/>
      <c r="V16" s="68"/>
      <c r="W16" s="68"/>
      <c r="X16" s="68"/>
      <c r="Y16" s="68"/>
      <c r="Z16" s="69"/>
      <c r="AA16" s="70"/>
      <c r="AB16" s="71"/>
    </row>
    <row r="17" spans="1:33" ht="16" thickBot="1" x14ac:dyDescent="0.4">
      <c r="A17"/>
      <c r="B17" s="62"/>
      <c r="C17" s="62"/>
      <c r="D17" s="62"/>
      <c r="E17" s="62"/>
      <c r="F17" s="62"/>
      <c r="G17" s="62"/>
      <c r="H17" s="62"/>
      <c r="I17" s="62"/>
      <c r="J17" s="62"/>
      <c r="K17" s="62"/>
      <c r="L17" s="62"/>
      <c r="M17" s="62"/>
      <c r="N17" s="62"/>
      <c r="O17" s="62"/>
      <c r="P17" s="62"/>
      <c r="Q17" s="62"/>
      <c r="R17" s="62"/>
      <c r="S17" s="62"/>
      <c r="T17" s="62"/>
      <c r="U17" s="62"/>
      <c r="V17" s="62"/>
      <c r="W17" s="62"/>
      <c r="X17" s="62"/>
      <c r="Y17" s="62"/>
      <c r="Z17" s="50"/>
      <c r="AA17" s="35"/>
      <c r="AB17"/>
    </row>
    <row r="18" spans="1:33" ht="16" thickBot="1" x14ac:dyDescent="0.4">
      <c r="A18" s="33" t="s">
        <v>44</v>
      </c>
      <c r="B18" s="52"/>
      <c r="C18" s="52"/>
      <c r="D18" s="52"/>
      <c r="E18" s="52"/>
      <c r="F18" s="52"/>
      <c r="G18" s="52"/>
      <c r="H18" s="52"/>
      <c r="I18" s="52"/>
      <c r="J18" s="52"/>
      <c r="K18" s="52"/>
      <c r="L18" s="52"/>
      <c r="M18" s="52"/>
      <c r="N18" s="52"/>
      <c r="O18" s="52"/>
      <c r="P18" s="52"/>
      <c r="Q18" s="52"/>
      <c r="R18" s="52"/>
      <c r="S18" s="52"/>
      <c r="T18" s="52"/>
      <c r="U18" s="52"/>
      <c r="V18" s="52"/>
      <c r="W18" s="52"/>
      <c r="X18" s="52"/>
      <c r="Y18" s="52"/>
      <c r="Z18" s="50"/>
      <c r="AA18" s="35"/>
      <c r="AB18"/>
    </row>
    <row r="19" spans="1:33" ht="16" thickBot="1" x14ac:dyDescent="0.4">
      <c r="A19"/>
      <c r="B19" s="62"/>
      <c r="C19" s="62"/>
      <c r="D19" s="62"/>
      <c r="E19" s="62"/>
      <c r="F19" s="62"/>
      <c r="G19" s="62"/>
      <c r="H19" s="62"/>
      <c r="I19" s="62"/>
      <c r="J19" s="62"/>
      <c r="K19" s="62"/>
      <c r="L19" s="62"/>
      <c r="M19" s="62"/>
      <c r="N19" s="62"/>
      <c r="O19" s="62"/>
      <c r="P19" s="62"/>
      <c r="Q19" s="62"/>
      <c r="R19" s="62"/>
      <c r="S19" s="62"/>
      <c r="T19" s="62"/>
      <c r="U19" s="62"/>
      <c r="V19" s="62"/>
      <c r="W19" s="62"/>
      <c r="X19" s="62"/>
      <c r="Y19" s="62"/>
      <c r="Z19" s="50"/>
      <c r="AA19"/>
      <c r="AB19"/>
    </row>
    <row r="20" spans="1:33" ht="16" thickBot="1" x14ac:dyDescent="0.4">
      <c r="A20" s="53" t="s">
        <v>10</v>
      </c>
      <c r="B20" s="54" t="s">
        <v>11</v>
      </c>
      <c r="C20" s="54" t="s">
        <v>12</v>
      </c>
      <c r="D20" s="54" t="s">
        <v>13</v>
      </c>
      <c r="E20" s="54" t="s">
        <v>14</v>
      </c>
      <c r="F20" s="54" t="s">
        <v>15</v>
      </c>
      <c r="G20" s="54" t="s">
        <v>16</v>
      </c>
      <c r="H20" s="54" t="s">
        <v>17</v>
      </c>
      <c r="I20" s="54" t="s">
        <v>18</v>
      </c>
      <c r="J20" s="54" t="s">
        <v>19</v>
      </c>
      <c r="K20" s="54" t="s">
        <v>20</v>
      </c>
      <c r="L20" s="54" t="s">
        <v>21</v>
      </c>
      <c r="M20" s="54" t="s">
        <v>22</v>
      </c>
      <c r="N20" s="54" t="s">
        <v>23</v>
      </c>
      <c r="O20" s="54" t="s">
        <v>24</v>
      </c>
      <c r="P20" s="54" t="s">
        <v>25</v>
      </c>
      <c r="Q20" s="54" t="s">
        <v>26</v>
      </c>
      <c r="R20" s="54" t="s">
        <v>27</v>
      </c>
      <c r="S20" s="54" t="s">
        <v>28</v>
      </c>
      <c r="T20" s="54" t="s">
        <v>29</v>
      </c>
      <c r="U20" s="54" t="s">
        <v>30</v>
      </c>
      <c r="V20" s="54" t="s">
        <v>31</v>
      </c>
      <c r="W20" s="54" t="s">
        <v>32</v>
      </c>
      <c r="X20" s="54" t="s">
        <v>33</v>
      </c>
      <c r="Y20" s="54" t="s">
        <v>34</v>
      </c>
      <c r="Z20" s="54" t="s">
        <v>6</v>
      </c>
      <c r="AA20" s="34" t="s">
        <v>35</v>
      </c>
      <c r="AB20" s="55"/>
    </row>
    <row r="21" spans="1:33" ht="16" thickBot="1" x14ac:dyDescent="0.4">
      <c r="A21" s="72">
        <v>46357</v>
      </c>
      <c r="B21" s="73">
        <v>4.1100000000000003</v>
      </c>
      <c r="C21" s="73">
        <v>3.79</v>
      </c>
      <c r="D21" s="73">
        <v>3.61</v>
      </c>
      <c r="E21" s="73">
        <v>3.5</v>
      </c>
      <c r="F21" s="73">
        <v>3.53</v>
      </c>
      <c r="G21" s="73">
        <v>3.68</v>
      </c>
      <c r="H21" s="73">
        <v>4.04</v>
      </c>
      <c r="I21" s="73">
        <v>4.54</v>
      </c>
      <c r="J21" s="73">
        <v>5.12</v>
      </c>
      <c r="K21" s="73">
        <v>5.57</v>
      </c>
      <c r="L21" s="73">
        <v>5.87</v>
      </c>
      <c r="M21" s="73">
        <v>6.1</v>
      </c>
      <c r="N21" s="73">
        <v>6.1</v>
      </c>
      <c r="O21" s="73">
        <v>5.97</v>
      </c>
      <c r="P21" s="73">
        <v>5.89</v>
      </c>
      <c r="Q21" s="73">
        <v>5.83</v>
      </c>
      <c r="R21" s="73">
        <v>5.8</v>
      </c>
      <c r="S21" s="73">
        <v>5.82</v>
      </c>
      <c r="T21" s="73">
        <v>6.25</v>
      </c>
      <c r="U21" s="73">
        <v>6.23</v>
      </c>
      <c r="V21" s="73">
        <v>5.92</v>
      </c>
      <c r="W21" s="73">
        <v>5.55</v>
      </c>
      <c r="X21" s="73">
        <v>5.08</v>
      </c>
      <c r="Y21" s="73">
        <v>4.57</v>
      </c>
      <c r="Z21" s="74">
        <f t="shared" ref="Z21:Z28" si="2">SUM(B21:Y21)</f>
        <v>122.47</v>
      </c>
      <c r="AA21" s="75">
        <v>4</v>
      </c>
      <c r="AB21" s="76">
        <f t="shared" ref="AB21:AB28" si="3">+Z21*AA21</f>
        <v>489.88</v>
      </c>
      <c r="AD21" s="30" t="s">
        <v>45</v>
      </c>
      <c r="AG21" s="66"/>
    </row>
    <row r="22" spans="1:33" x14ac:dyDescent="0.35">
      <c r="A22" s="56">
        <v>46388</v>
      </c>
      <c r="B22" s="82">
        <v>4.74</v>
      </c>
      <c r="C22" s="82">
        <v>4.38</v>
      </c>
      <c r="D22" s="82">
        <v>4.17</v>
      </c>
      <c r="E22" s="82">
        <v>4.0599999999999996</v>
      </c>
      <c r="F22" s="82">
        <v>4.1100000000000003</v>
      </c>
      <c r="G22" s="82">
        <v>4.3099999999999996</v>
      </c>
      <c r="H22" s="82">
        <v>4.74</v>
      </c>
      <c r="I22" s="82">
        <v>5.35</v>
      </c>
      <c r="J22" s="82">
        <v>6.11</v>
      </c>
      <c r="K22" s="82">
        <v>6.75</v>
      </c>
      <c r="L22" s="82">
        <v>7.21</v>
      </c>
      <c r="M22" s="82">
        <v>7.57</v>
      </c>
      <c r="N22" s="82">
        <v>7.6</v>
      </c>
      <c r="O22" s="82">
        <v>7.36</v>
      </c>
      <c r="P22" s="82">
        <v>7.16</v>
      </c>
      <c r="Q22" s="82">
        <v>7.06</v>
      </c>
      <c r="R22" s="82">
        <v>6.93</v>
      </c>
      <c r="S22" s="82">
        <v>6.95</v>
      </c>
      <c r="T22" s="82">
        <v>7.38</v>
      </c>
      <c r="U22" s="82">
        <v>7.57</v>
      </c>
      <c r="V22" s="82">
        <v>7.22</v>
      </c>
      <c r="W22" s="82">
        <v>6.73</v>
      </c>
      <c r="X22" s="82">
        <v>6.06</v>
      </c>
      <c r="Y22" s="82">
        <v>5.37</v>
      </c>
      <c r="Z22" s="85">
        <f t="shared" si="2"/>
        <v>146.88999999999999</v>
      </c>
      <c r="AA22" s="40">
        <v>5</v>
      </c>
      <c r="AB22" s="57">
        <f t="shared" si="3"/>
        <v>734.44999999999993</v>
      </c>
      <c r="AD22" s="30" t="s">
        <v>45</v>
      </c>
      <c r="AG22" s="66"/>
    </row>
    <row r="23" spans="1:33" x14ac:dyDescent="0.35">
      <c r="A23" s="58">
        <v>46419</v>
      </c>
      <c r="B23" s="41">
        <v>4.74</v>
      </c>
      <c r="C23" s="41">
        <v>4.41</v>
      </c>
      <c r="D23" s="41">
        <v>4.21</v>
      </c>
      <c r="E23" s="41">
        <v>4.1100000000000003</v>
      </c>
      <c r="F23" s="41">
        <v>4.17</v>
      </c>
      <c r="G23" s="41">
        <v>4.46</v>
      </c>
      <c r="H23" s="41">
        <v>5</v>
      </c>
      <c r="I23" s="41">
        <v>5.61</v>
      </c>
      <c r="J23" s="41">
        <v>6.37</v>
      </c>
      <c r="K23" s="41">
        <v>6.95</v>
      </c>
      <c r="L23" s="41">
        <v>7.41</v>
      </c>
      <c r="M23" s="41">
        <v>7.7</v>
      </c>
      <c r="N23" s="41">
        <v>7.67</v>
      </c>
      <c r="O23" s="41">
        <v>7.48</v>
      </c>
      <c r="P23" s="41">
        <v>7.32</v>
      </c>
      <c r="Q23" s="41">
        <v>7.24</v>
      </c>
      <c r="R23" s="41">
        <v>7.14</v>
      </c>
      <c r="S23" s="41">
        <v>7.1</v>
      </c>
      <c r="T23" s="41">
        <v>7.37</v>
      </c>
      <c r="U23" s="41">
        <v>7.76</v>
      </c>
      <c r="V23" s="41">
        <v>7.42</v>
      </c>
      <c r="W23" s="41">
        <v>6.94</v>
      </c>
      <c r="X23" s="41">
        <v>6.24</v>
      </c>
      <c r="Y23" s="41">
        <v>5.54</v>
      </c>
      <c r="Z23" s="84">
        <f t="shared" si="2"/>
        <v>150.36000000000001</v>
      </c>
      <c r="AA23" s="43">
        <v>4</v>
      </c>
      <c r="AB23" s="59">
        <f t="shared" si="3"/>
        <v>601.44000000000005</v>
      </c>
      <c r="AD23" s="30" t="s">
        <v>45</v>
      </c>
      <c r="AG23" s="66"/>
    </row>
    <row r="24" spans="1:33" x14ac:dyDescent="0.35">
      <c r="A24" s="58">
        <v>46447</v>
      </c>
      <c r="B24" s="41">
        <v>4.42</v>
      </c>
      <c r="C24" s="41">
        <v>4.09</v>
      </c>
      <c r="D24" s="41">
        <v>3.91</v>
      </c>
      <c r="E24" s="41">
        <v>3.82</v>
      </c>
      <c r="F24" s="41">
        <v>3.89</v>
      </c>
      <c r="G24" s="41">
        <v>4.16</v>
      </c>
      <c r="H24" s="41">
        <v>4.5999999999999996</v>
      </c>
      <c r="I24" s="41">
        <v>5.25</v>
      </c>
      <c r="J24" s="41">
        <v>5.99</v>
      </c>
      <c r="K24" s="41">
        <v>6.5</v>
      </c>
      <c r="L24" s="41">
        <v>6.91</v>
      </c>
      <c r="M24" s="41">
        <v>7.27</v>
      </c>
      <c r="N24" s="41">
        <v>7.24</v>
      </c>
      <c r="O24" s="41">
        <v>6.99</v>
      </c>
      <c r="P24" s="41">
        <v>6.81</v>
      </c>
      <c r="Q24" s="41">
        <v>6.71</v>
      </c>
      <c r="R24" s="41">
        <v>6.62</v>
      </c>
      <c r="S24" s="41">
        <v>6.65</v>
      </c>
      <c r="T24" s="41">
        <v>6.89</v>
      </c>
      <c r="U24" s="41">
        <v>7.11</v>
      </c>
      <c r="V24" s="41">
        <v>6.79</v>
      </c>
      <c r="W24" s="41">
        <v>6.35</v>
      </c>
      <c r="X24" s="41">
        <v>5.71</v>
      </c>
      <c r="Y24" s="41">
        <v>5.05</v>
      </c>
      <c r="Z24" s="84">
        <f t="shared" si="2"/>
        <v>139.73000000000002</v>
      </c>
      <c r="AA24" s="43">
        <v>4</v>
      </c>
      <c r="AB24" s="59">
        <f t="shared" si="3"/>
        <v>558.92000000000007</v>
      </c>
      <c r="AD24" s="30" t="s">
        <v>45</v>
      </c>
      <c r="AG24" s="66"/>
    </row>
    <row r="25" spans="1:33" x14ac:dyDescent="0.35">
      <c r="A25" s="58">
        <v>46478</v>
      </c>
      <c r="B25" s="41">
        <v>4.1900000000000004</v>
      </c>
      <c r="C25" s="41">
        <v>3.87</v>
      </c>
      <c r="D25" s="41">
        <v>3.68</v>
      </c>
      <c r="E25" s="41">
        <v>3.59</v>
      </c>
      <c r="F25" s="41">
        <v>3.64</v>
      </c>
      <c r="G25" s="41">
        <v>3.78</v>
      </c>
      <c r="H25" s="41">
        <v>4.26</v>
      </c>
      <c r="I25" s="41">
        <v>4.92</v>
      </c>
      <c r="J25" s="41">
        <v>5.59</v>
      </c>
      <c r="K25" s="41">
        <v>6.11</v>
      </c>
      <c r="L25" s="41">
        <v>6.51</v>
      </c>
      <c r="M25" s="41">
        <v>6.81</v>
      </c>
      <c r="N25" s="41">
        <v>6.82</v>
      </c>
      <c r="O25" s="41">
        <v>6.56</v>
      </c>
      <c r="P25" s="41">
        <v>6.4</v>
      </c>
      <c r="Q25" s="41">
        <v>6.32</v>
      </c>
      <c r="R25" s="41">
        <v>6.18</v>
      </c>
      <c r="S25" s="41">
        <v>6.21</v>
      </c>
      <c r="T25" s="41">
        <v>6.56</v>
      </c>
      <c r="U25" s="41">
        <v>6.76</v>
      </c>
      <c r="V25" s="41">
        <v>6.45</v>
      </c>
      <c r="W25" s="41">
        <v>6.01</v>
      </c>
      <c r="X25" s="41">
        <v>5.43</v>
      </c>
      <c r="Y25" s="41">
        <v>4.82</v>
      </c>
      <c r="Z25" s="84">
        <f t="shared" si="2"/>
        <v>131.47000000000003</v>
      </c>
      <c r="AA25" s="43">
        <v>4</v>
      </c>
      <c r="AB25" s="59">
        <f t="shared" si="3"/>
        <v>525.88000000000011</v>
      </c>
      <c r="AD25" s="30" t="s">
        <v>45</v>
      </c>
      <c r="AG25" s="66"/>
    </row>
    <row r="26" spans="1:33" x14ac:dyDescent="0.35">
      <c r="A26" s="58">
        <v>46508</v>
      </c>
      <c r="B26" s="41">
        <v>3.51</v>
      </c>
      <c r="C26" s="41">
        <v>3.26</v>
      </c>
      <c r="D26" s="41">
        <v>3.12</v>
      </c>
      <c r="E26" s="41">
        <v>3.04</v>
      </c>
      <c r="F26" s="41">
        <v>3.1</v>
      </c>
      <c r="G26" s="41">
        <v>3.22</v>
      </c>
      <c r="H26" s="41">
        <v>3.69</v>
      </c>
      <c r="I26" s="41">
        <v>4.2699999999999996</v>
      </c>
      <c r="J26" s="41">
        <v>4.8600000000000003</v>
      </c>
      <c r="K26" s="41">
        <v>5.33</v>
      </c>
      <c r="L26" s="41">
        <v>5.64</v>
      </c>
      <c r="M26" s="41">
        <v>5.88</v>
      </c>
      <c r="N26" s="41">
        <v>5.82</v>
      </c>
      <c r="O26" s="41">
        <v>5.58</v>
      </c>
      <c r="P26" s="41">
        <v>5.45</v>
      </c>
      <c r="Q26" s="41">
        <v>5.37</v>
      </c>
      <c r="R26" s="41">
        <v>5.27</v>
      </c>
      <c r="S26" s="41">
        <v>5.3</v>
      </c>
      <c r="T26" s="41">
        <v>5.62</v>
      </c>
      <c r="U26" s="41">
        <v>5.79</v>
      </c>
      <c r="V26" s="41">
        <v>5.5</v>
      </c>
      <c r="W26" s="41">
        <v>5.12</v>
      </c>
      <c r="X26" s="41">
        <v>4.5999999999999996</v>
      </c>
      <c r="Y26" s="41">
        <v>4.07</v>
      </c>
      <c r="Z26" s="84">
        <f t="shared" si="2"/>
        <v>112.41</v>
      </c>
      <c r="AA26" s="43">
        <v>4</v>
      </c>
      <c r="AB26" s="59">
        <f t="shared" si="3"/>
        <v>449.64</v>
      </c>
      <c r="AD26" s="30" t="s">
        <v>45</v>
      </c>
      <c r="AG26" s="66"/>
    </row>
    <row r="27" spans="1:33" x14ac:dyDescent="0.35">
      <c r="A27" s="58">
        <v>46539</v>
      </c>
      <c r="B27" s="41">
        <v>3.55</v>
      </c>
      <c r="C27" s="41">
        <v>3.28</v>
      </c>
      <c r="D27" s="41">
        <v>3.13</v>
      </c>
      <c r="E27" s="41">
        <v>3.06</v>
      </c>
      <c r="F27" s="41">
        <v>3.12</v>
      </c>
      <c r="G27" s="41">
        <v>3.27</v>
      </c>
      <c r="H27" s="41">
        <v>3.67</v>
      </c>
      <c r="I27" s="41">
        <v>4.24</v>
      </c>
      <c r="J27" s="41">
        <v>4.84</v>
      </c>
      <c r="K27" s="41">
        <v>5.32</v>
      </c>
      <c r="L27" s="41">
        <v>5.63</v>
      </c>
      <c r="M27" s="41">
        <v>5.89</v>
      </c>
      <c r="N27" s="41">
        <v>5.9</v>
      </c>
      <c r="O27" s="41">
        <v>5.71</v>
      </c>
      <c r="P27" s="41">
        <v>5.54</v>
      </c>
      <c r="Q27" s="41">
        <v>5.41</v>
      </c>
      <c r="R27" s="41">
        <v>5.3</v>
      </c>
      <c r="S27" s="41">
        <v>5.33</v>
      </c>
      <c r="T27" s="41">
        <v>5.62</v>
      </c>
      <c r="U27" s="41">
        <v>5.81</v>
      </c>
      <c r="V27" s="41">
        <v>5.53</v>
      </c>
      <c r="W27" s="41">
        <v>5.14</v>
      </c>
      <c r="X27" s="41">
        <v>4.59</v>
      </c>
      <c r="Y27" s="41">
        <v>4.03</v>
      </c>
      <c r="Z27" s="84">
        <f t="shared" si="2"/>
        <v>112.91000000000001</v>
      </c>
      <c r="AA27" s="43">
        <v>4</v>
      </c>
      <c r="AB27" s="59">
        <f t="shared" si="3"/>
        <v>451.64000000000004</v>
      </c>
      <c r="AD27" s="30" t="s">
        <v>45</v>
      </c>
      <c r="AG27" s="66"/>
    </row>
    <row r="28" spans="1:33" ht="16" thickBot="1" x14ac:dyDescent="0.4">
      <c r="A28" s="60">
        <v>46569</v>
      </c>
      <c r="B28" s="44">
        <v>3.95</v>
      </c>
      <c r="C28" s="44">
        <v>3.64</v>
      </c>
      <c r="D28" s="44">
        <v>3.45</v>
      </c>
      <c r="E28" s="44">
        <v>3.37</v>
      </c>
      <c r="F28" s="44">
        <v>3.42</v>
      </c>
      <c r="G28" s="44">
        <v>3.55</v>
      </c>
      <c r="H28" s="44">
        <v>4</v>
      </c>
      <c r="I28" s="44">
        <v>4.5999999999999996</v>
      </c>
      <c r="J28" s="44">
        <v>5.3</v>
      </c>
      <c r="K28" s="44">
        <v>5.83</v>
      </c>
      <c r="L28" s="44">
        <v>6.19</v>
      </c>
      <c r="M28" s="44">
        <v>6.49</v>
      </c>
      <c r="N28" s="44">
        <v>6.5</v>
      </c>
      <c r="O28" s="44">
        <v>6.27</v>
      </c>
      <c r="P28" s="44">
        <v>6.06</v>
      </c>
      <c r="Q28" s="44">
        <v>5.91</v>
      </c>
      <c r="R28" s="44">
        <v>5.8</v>
      </c>
      <c r="S28" s="44">
        <v>5.83</v>
      </c>
      <c r="T28" s="44">
        <v>6.07</v>
      </c>
      <c r="U28" s="44">
        <v>6.41</v>
      </c>
      <c r="V28" s="44">
        <v>6.1</v>
      </c>
      <c r="W28" s="44">
        <v>5.7</v>
      </c>
      <c r="X28" s="44">
        <v>5.13</v>
      </c>
      <c r="Y28" s="44">
        <v>4.53</v>
      </c>
      <c r="Z28" s="86">
        <f t="shared" si="2"/>
        <v>124.09999999999998</v>
      </c>
      <c r="AA28" s="46">
        <v>5</v>
      </c>
      <c r="AB28" s="61">
        <f t="shared" si="3"/>
        <v>620.49999999999989</v>
      </c>
      <c r="AD28" s="30" t="s">
        <v>45</v>
      </c>
      <c r="AG28" s="66"/>
    </row>
    <row r="29" spans="1:33" x14ac:dyDescent="0.35">
      <c r="A29" s="67"/>
      <c r="B29" s="68"/>
      <c r="C29" s="68"/>
      <c r="D29" s="68"/>
      <c r="E29" s="68"/>
      <c r="F29" s="68"/>
      <c r="G29" s="68"/>
      <c r="H29" s="68"/>
      <c r="I29" s="68"/>
      <c r="J29" s="68"/>
      <c r="K29" s="68"/>
      <c r="L29" s="68"/>
      <c r="M29" s="68"/>
      <c r="N29" s="68"/>
      <c r="O29" s="68"/>
      <c r="P29" s="68"/>
      <c r="Q29" s="68"/>
      <c r="R29" s="68"/>
      <c r="S29" s="68"/>
      <c r="T29" s="68"/>
      <c r="U29" s="68"/>
      <c r="V29" s="68"/>
      <c r="W29" s="68"/>
      <c r="X29" s="68"/>
      <c r="Y29" s="68"/>
      <c r="Z29" s="69"/>
      <c r="AA29" s="70"/>
      <c r="AB29" s="71"/>
      <c r="AE29" s="30" t="s">
        <v>55</v>
      </c>
      <c r="AG29" s="66"/>
    </row>
    <row r="30" spans="1:33" ht="16" thickBot="1" x14ac:dyDescent="0.4">
      <c r="A30"/>
      <c r="B30" s="62"/>
      <c r="C30" s="62"/>
      <c r="D30" s="62"/>
      <c r="E30" s="62"/>
      <c r="F30" s="62"/>
      <c r="G30" s="62"/>
      <c r="H30" s="62"/>
      <c r="I30" s="62"/>
      <c r="J30" s="62"/>
      <c r="K30" s="62"/>
      <c r="L30" s="62"/>
      <c r="M30" s="62"/>
      <c r="N30" s="62"/>
      <c r="O30" s="62"/>
      <c r="P30" s="62"/>
      <c r="Q30" s="62"/>
      <c r="R30" s="62"/>
      <c r="S30" s="62"/>
      <c r="T30" s="62"/>
      <c r="U30" s="62"/>
      <c r="V30" s="62"/>
      <c r="W30" s="62"/>
      <c r="X30" s="62"/>
      <c r="Y30" s="62"/>
      <c r="Z30" s="50"/>
      <c r="AA30" s="35"/>
      <c r="AB30"/>
      <c r="AE30" s="30" t="s">
        <v>55</v>
      </c>
    </row>
    <row r="31" spans="1:33" ht="16" thickBot="1" x14ac:dyDescent="0.4">
      <c r="A31" s="33" t="s">
        <v>46</v>
      </c>
      <c r="B31" s="52"/>
      <c r="C31" s="52"/>
      <c r="D31" s="52"/>
      <c r="E31" s="52"/>
      <c r="F31" s="52"/>
      <c r="G31" s="52"/>
      <c r="H31" s="52"/>
      <c r="I31" s="52"/>
      <c r="J31" s="52"/>
      <c r="K31" s="52"/>
      <c r="L31" s="52"/>
      <c r="M31" s="52"/>
      <c r="N31" s="52"/>
      <c r="O31" s="52"/>
      <c r="P31" s="52"/>
      <c r="Q31" s="52"/>
      <c r="R31" s="52"/>
      <c r="S31" s="52"/>
      <c r="T31" s="52"/>
      <c r="U31" s="52"/>
      <c r="V31" s="52"/>
      <c r="W31" s="52"/>
      <c r="X31" s="52"/>
      <c r="Y31" s="52"/>
      <c r="Z31" s="50"/>
      <c r="AA31" s="35"/>
      <c r="AB31"/>
      <c r="AE31" s="30" t="s">
        <v>55</v>
      </c>
    </row>
    <row r="32" spans="1:33" ht="16" thickBot="1" x14ac:dyDescent="0.4">
      <c r="A32"/>
      <c r="B32" s="62"/>
      <c r="C32" s="62"/>
      <c r="D32" s="62"/>
      <c r="E32" s="62"/>
      <c r="F32" s="62"/>
      <c r="G32" s="62"/>
      <c r="H32" s="62"/>
      <c r="I32" s="62"/>
      <c r="J32" s="62"/>
      <c r="K32" s="62"/>
      <c r="L32" s="62"/>
      <c r="M32" s="62"/>
      <c r="N32" s="62"/>
      <c r="O32" s="62"/>
      <c r="P32" s="62"/>
      <c r="Q32" s="62"/>
      <c r="R32" s="62"/>
      <c r="S32" s="62"/>
      <c r="T32" s="62"/>
      <c r="U32" s="62"/>
      <c r="V32" s="62"/>
      <c r="W32" s="62"/>
      <c r="X32" s="62"/>
      <c r="Y32" s="62"/>
      <c r="Z32" s="50"/>
      <c r="AA32"/>
      <c r="AB32"/>
      <c r="AE32" s="30" t="s">
        <v>55</v>
      </c>
    </row>
    <row r="33" spans="1:33" ht="16" thickBot="1" x14ac:dyDescent="0.4">
      <c r="A33" s="53" t="s">
        <v>10</v>
      </c>
      <c r="B33" s="54" t="s">
        <v>11</v>
      </c>
      <c r="C33" s="54" t="s">
        <v>12</v>
      </c>
      <c r="D33" s="54" t="s">
        <v>13</v>
      </c>
      <c r="E33" s="54" t="s">
        <v>14</v>
      </c>
      <c r="F33" s="54" t="s">
        <v>15</v>
      </c>
      <c r="G33" s="54" t="s">
        <v>16</v>
      </c>
      <c r="H33" s="54" t="s">
        <v>17</v>
      </c>
      <c r="I33" s="54" t="s">
        <v>18</v>
      </c>
      <c r="J33" s="54" t="s">
        <v>19</v>
      </c>
      <c r="K33" s="54" t="s">
        <v>20</v>
      </c>
      <c r="L33" s="54" t="s">
        <v>21</v>
      </c>
      <c r="M33" s="54" t="s">
        <v>22</v>
      </c>
      <c r="N33" s="54" t="s">
        <v>23</v>
      </c>
      <c r="O33" s="54" t="s">
        <v>24</v>
      </c>
      <c r="P33" s="54" t="s">
        <v>25</v>
      </c>
      <c r="Q33" s="54" t="s">
        <v>26</v>
      </c>
      <c r="R33" s="54" t="s">
        <v>27</v>
      </c>
      <c r="S33" s="54" t="s">
        <v>28</v>
      </c>
      <c r="T33" s="54" t="s">
        <v>29</v>
      </c>
      <c r="U33" s="54" t="s">
        <v>30</v>
      </c>
      <c r="V33" s="54" t="s">
        <v>31</v>
      </c>
      <c r="W33" s="54" t="s">
        <v>32</v>
      </c>
      <c r="X33" s="54" t="s">
        <v>33</v>
      </c>
      <c r="Y33" s="54" t="s">
        <v>34</v>
      </c>
      <c r="Z33" s="54" t="s">
        <v>6</v>
      </c>
      <c r="AA33" s="34" t="s">
        <v>35</v>
      </c>
      <c r="AB33" s="55"/>
      <c r="AE33" s="30" t="s">
        <v>55</v>
      </c>
    </row>
    <row r="34" spans="1:33" ht="16" thickBot="1" x14ac:dyDescent="0.4">
      <c r="A34" s="72">
        <v>46357</v>
      </c>
      <c r="B34" s="73">
        <v>4.12</v>
      </c>
      <c r="C34" s="73">
        <v>3.82</v>
      </c>
      <c r="D34" s="73">
        <v>3.62</v>
      </c>
      <c r="E34" s="73">
        <v>3.49</v>
      </c>
      <c r="F34" s="73">
        <v>3.42</v>
      </c>
      <c r="G34" s="73">
        <v>3.41</v>
      </c>
      <c r="H34" s="73">
        <v>3.47</v>
      </c>
      <c r="I34" s="73">
        <v>3.5</v>
      </c>
      <c r="J34" s="73">
        <v>3.82</v>
      </c>
      <c r="K34" s="73">
        <v>3.84</v>
      </c>
      <c r="L34" s="73">
        <v>3.9</v>
      </c>
      <c r="M34" s="73">
        <v>4.37</v>
      </c>
      <c r="N34" s="73">
        <v>4.62</v>
      </c>
      <c r="O34" s="73">
        <v>5.08</v>
      </c>
      <c r="P34" s="73">
        <v>5.13</v>
      </c>
      <c r="Q34" s="73">
        <v>5.13</v>
      </c>
      <c r="R34" s="73">
        <v>5.15</v>
      </c>
      <c r="S34" s="73">
        <v>5.23</v>
      </c>
      <c r="T34" s="73">
        <v>5.72</v>
      </c>
      <c r="U34" s="73">
        <v>5.82</v>
      </c>
      <c r="V34" s="73">
        <v>5.66</v>
      </c>
      <c r="W34" s="73">
        <v>5.34</v>
      </c>
      <c r="X34" s="73">
        <v>4.83</v>
      </c>
      <c r="Y34" s="73">
        <v>4.26</v>
      </c>
      <c r="Z34" s="74">
        <f t="shared" ref="Z34:Z41" si="4">SUM(B34:Y34)</f>
        <v>106.75</v>
      </c>
      <c r="AA34" s="75">
        <v>6</v>
      </c>
      <c r="AB34" s="76">
        <f t="shared" ref="AB34:AB41" si="5">+Z34*AA34</f>
        <v>640.5</v>
      </c>
      <c r="AD34" s="30" t="s">
        <v>47</v>
      </c>
      <c r="AG34" s="66"/>
    </row>
    <row r="35" spans="1:33" x14ac:dyDescent="0.35">
      <c r="A35" s="56">
        <v>46388</v>
      </c>
      <c r="B35" s="82">
        <v>4.8499999999999996</v>
      </c>
      <c r="C35" s="82">
        <v>4.49</v>
      </c>
      <c r="D35" s="82">
        <v>4.21</v>
      </c>
      <c r="E35" s="82">
        <v>4.09</v>
      </c>
      <c r="F35" s="82">
        <v>4.0199999999999996</v>
      </c>
      <c r="G35" s="82">
        <v>4.04</v>
      </c>
      <c r="H35" s="82">
        <v>4.1500000000000004</v>
      </c>
      <c r="I35" s="82">
        <v>4.38</v>
      </c>
      <c r="J35" s="82">
        <v>4.84</v>
      </c>
      <c r="K35" s="82">
        <v>5.31</v>
      </c>
      <c r="L35" s="82">
        <v>5.71</v>
      </c>
      <c r="M35" s="82">
        <v>6.06</v>
      </c>
      <c r="N35" s="82">
        <v>6.28</v>
      </c>
      <c r="O35" s="82">
        <v>6.28</v>
      </c>
      <c r="P35" s="82">
        <v>6.15</v>
      </c>
      <c r="Q35" s="82">
        <v>6.07</v>
      </c>
      <c r="R35" s="82">
        <v>6.04</v>
      </c>
      <c r="S35" s="82">
        <v>6.09</v>
      </c>
      <c r="T35" s="82">
        <v>6.6</v>
      </c>
      <c r="U35" s="82">
        <v>7.04</v>
      </c>
      <c r="V35" s="82">
        <v>6.91</v>
      </c>
      <c r="W35" s="82">
        <v>6.48</v>
      </c>
      <c r="X35" s="82">
        <v>5.8</v>
      </c>
      <c r="Y35" s="82">
        <v>5.12</v>
      </c>
      <c r="Z35" s="85">
        <f t="shared" si="4"/>
        <v>131.01000000000002</v>
      </c>
      <c r="AA35" s="40">
        <v>6</v>
      </c>
      <c r="AB35" s="57">
        <f t="shared" si="5"/>
        <v>786.06000000000017</v>
      </c>
      <c r="AD35" s="30" t="s">
        <v>47</v>
      </c>
      <c r="AG35" s="66"/>
    </row>
    <row r="36" spans="1:33" x14ac:dyDescent="0.35">
      <c r="A36" s="58">
        <v>46419</v>
      </c>
      <c r="B36" s="41">
        <v>4.9000000000000004</v>
      </c>
      <c r="C36" s="41">
        <v>4.5199999999999996</v>
      </c>
      <c r="D36" s="41">
        <v>4.26</v>
      </c>
      <c r="E36" s="41">
        <v>4.1100000000000003</v>
      </c>
      <c r="F36" s="41">
        <v>4.09</v>
      </c>
      <c r="G36" s="41">
        <v>4.17</v>
      </c>
      <c r="H36" s="41">
        <v>4.3600000000000003</v>
      </c>
      <c r="I36" s="41">
        <v>4.67</v>
      </c>
      <c r="J36" s="41">
        <v>5.22</v>
      </c>
      <c r="K36" s="41">
        <v>5.74</v>
      </c>
      <c r="L36" s="41">
        <v>6.08</v>
      </c>
      <c r="M36" s="41">
        <v>6.41</v>
      </c>
      <c r="N36" s="41">
        <v>6.57</v>
      </c>
      <c r="O36" s="41">
        <v>6.48</v>
      </c>
      <c r="P36" s="41">
        <v>6.28</v>
      </c>
      <c r="Q36" s="41">
        <v>6.15</v>
      </c>
      <c r="R36" s="41">
        <v>6.07</v>
      </c>
      <c r="S36" s="41">
        <v>6.15</v>
      </c>
      <c r="T36" s="41">
        <v>6.53</v>
      </c>
      <c r="U36" s="41">
        <v>7.17</v>
      </c>
      <c r="V36" s="41">
        <v>7.02</v>
      </c>
      <c r="W36" s="41">
        <v>6.53</v>
      </c>
      <c r="X36" s="41">
        <v>5.72</v>
      </c>
      <c r="Y36" s="41">
        <v>4.93</v>
      </c>
      <c r="Z36" s="84">
        <f t="shared" si="4"/>
        <v>134.13000000000002</v>
      </c>
      <c r="AA36" s="43">
        <v>4</v>
      </c>
      <c r="AB36" s="59">
        <f t="shared" si="5"/>
        <v>536.5200000000001</v>
      </c>
      <c r="AD36" s="30" t="s">
        <v>47</v>
      </c>
      <c r="AG36" s="66"/>
    </row>
    <row r="37" spans="1:33" x14ac:dyDescent="0.35">
      <c r="A37" s="58">
        <v>46447</v>
      </c>
      <c r="B37" s="41">
        <v>4.5199999999999996</v>
      </c>
      <c r="C37" s="41">
        <v>4.17</v>
      </c>
      <c r="D37" s="41">
        <v>3.96</v>
      </c>
      <c r="E37" s="41">
        <v>3.83</v>
      </c>
      <c r="F37" s="41">
        <v>3.79</v>
      </c>
      <c r="G37" s="41">
        <v>3.87</v>
      </c>
      <c r="H37" s="41">
        <v>4.04</v>
      </c>
      <c r="I37" s="41">
        <v>4.3600000000000003</v>
      </c>
      <c r="J37" s="41">
        <v>4.84</v>
      </c>
      <c r="K37" s="41">
        <v>5.29</v>
      </c>
      <c r="L37" s="41">
        <v>5.6</v>
      </c>
      <c r="M37" s="41">
        <v>5.87</v>
      </c>
      <c r="N37" s="41">
        <v>6.06</v>
      </c>
      <c r="O37" s="41">
        <v>6.03</v>
      </c>
      <c r="P37" s="41">
        <v>5.84</v>
      </c>
      <c r="Q37" s="41">
        <v>5.75</v>
      </c>
      <c r="R37" s="41">
        <v>5.73</v>
      </c>
      <c r="S37" s="41">
        <v>5.87</v>
      </c>
      <c r="T37" s="41">
        <v>6.32</v>
      </c>
      <c r="U37" s="41">
        <v>6.73</v>
      </c>
      <c r="V37" s="41">
        <v>6.53</v>
      </c>
      <c r="W37" s="41">
        <v>6.06</v>
      </c>
      <c r="X37" s="41">
        <v>5.37</v>
      </c>
      <c r="Y37" s="41">
        <v>4.66</v>
      </c>
      <c r="Z37" s="84">
        <f t="shared" si="4"/>
        <v>125.09000000000002</v>
      </c>
      <c r="AA37" s="43">
        <v>6</v>
      </c>
      <c r="AB37" s="59">
        <f t="shared" si="5"/>
        <v>750.54000000000008</v>
      </c>
      <c r="AD37" s="30" t="s">
        <v>47</v>
      </c>
      <c r="AG37" s="66"/>
    </row>
    <row r="38" spans="1:33" x14ac:dyDescent="0.35">
      <c r="A38" s="58">
        <v>46478</v>
      </c>
      <c r="B38" s="41">
        <v>4.2</v>
      </c>
      <c r="C38" s="41">
        <v>3.86</v>
      </c>
      <c r="D38" s="41">
        <v>3.65</v>
      </c>
      <c r="E38" s="41">
        <v>3.54</v>
      </c>
      <c r="F38" s="41">
        <v>3.53</v>
      </c>
      <c r="G38" s="41">
        <v>3.53</v>
      </c>
      <c r="H38" s="41">
        <v>3.71</v>
      </c>
      <c r="I38" s="41">
        <v>4.0999999999999996</v>
      </c>
      <c r="J38" s="41">
        <v>4.57</v>
      </c>
      <c r="K38" s="41">
        <v>5.01</v>
      </c>
      <c r="L38" s="41">
        <v>5.36</v>
      </c>
      <c r="M38" s="41">
        <v>5.69</v>
      </c>
      <c r="N38" s="41">
        <v>5.84</v>
      </c>
      <c r="O38" s="41">
        <v>5.75</v>
      </c>
      <c r="P38" s="41">
        <v>5.64</v>
      </c>
      <c r="Q38" s="41">
        <v>5.45</v>
      </c>
      <c r="R38" s="41">
        <v>5.39</v>
      </c>
      <c r="S38" s="41">
        <v>5.53</v>
      </c>
      <c r="T38" s="41">
        <v>5.95</v>
      </c>
      <c r="U38" s="41">
        <v>6.24</v>
      </c>
      <c r="V38" s="41">
        <v>6.08</v>
      </c>
      <c r="W38" s="41">
        <v>5.67</v>
      </c>
      <c r="X38" s="41">
        <v>5.03</v>
      </c>
      <c r="Y38" s="41">
        <v>4.42</v>
      </c>
      <c r="Z38" s="84">
        <f t="shared" si="4"/>
        <v>117.74000000000001</v>
      </c>
      <c r="AA38" s="43">
        <v>4</v>
      </c>
      <c r="AB38" s="59">
        <f t="shared" si="5"/>
        <v>470.96000000000004</v>
      </c>
      <c r="AD38" s="30" t="s">
        <v>47</v>
      </c>
      <c r="AG38" s="66"/>
    </row>
    <row r="39" spans="1:33" x14ac:dyDescent="0.35">
      <c r="A39" s="58">
        <v>46508</v>
      </c>
      <c r="B39" s="41">
        <v>3.59</v>
      </c>
      <c r="C39" s="41">
        <v>3.3</v>
      </c>
      <c r="D39" s="41">
        <v>3.13</v>
      </c>
      <c r="E39" s="41">
        <v>3.02</v>
      </c>
      <c r="F39" s="41">
        <v>2.99</v>
      </c>
      <c r="G39" s="41">
        <v>2.93</v>
      </c>
      <c r="H39" s="41">
        <v>3.19</v>
      </c>
      <c r="I39" s="41">
        <v>3.53</v>
      </c>
      <c r="J39" s="41">
        <v>3.94</v>
      </c>
      <c r="K39" s="41">
        <v>4.3600000000000003</v>
      </c>
      <c r="L39" s="41">
        <v>4.6399999999999997</v>
      </c>
      <c r="M39" s="41">
        <v>4.8600000000000003</v>
      </c>
      <c r="N39" s="41">
        <v>4.91</v>
      </c>
      <c r="O39" s="41">
        <v>4.87</v>
      </c>
      <c r="P39" s="41">
        <v>4.67</v>
      </c>
      <c r="Q39" s="41">
        <v>4.66</v>
      </c>
      <c r="R39" s="41">
        <v>4.6399999999999997</v>
      </c>
      <c r="S39" s="41">
        <v>4.71</v>
      </c>
      <c r="T39" s="41">
        <v>5.05</v>
      </c>
      <c r="U39" s="41">
        <v>5.39</v>
      </c>
      <c r="V39" s="41">
        <v>5.27</v>
      </c>
      <c r="W39" s="41">
        <v>4.91</v>
      </c>
      <c r="X39" s="41">
        <v>4.33</v>
      </c>
      <c r="Y39" s="41">
        <v>3.76</v>
      </c>
      <c r="Z39" s="84">
        <f t="shared" si="4"/>
        <v>100.64999999999999</v>
      </c>
      <c r="AA39" s="43">
        <v>6</v>
      </c>
      <c r="AB39" s="59">
        <f t="shared" si="5"/>
        <v>603.9</v>
      </c>
      <c r="AD39" s="30" t="s">
        <v>47</v>
      </c>
      <c r="AG39" s="66"/>
    </row>
    <row r="40" spans="1:33" x14ac:dyDescent="0.35">
      <c r="A40" s="58">
        <v>46539</v>
      </c>
      <c r="B40" s="41">
        <v>3.56</v>
      </c>
      <c r="C40" s="41">
        <v>3.27</v>
      </c>
      <c r="D40" s="41">
        <v>3.1</v>
      </c>
      <c r="E40" s="41">
        <v>3</v>
      </c>
      <c r="F40" s="41">
        <v>2.98</v>
      </c>
      <c r="G40" s="41">
        <v>2.99</v>
      </c>
      <c r="H40" s="41">
        <v>3.19</v>
      </c>
      <c r="I40" s="41">
        <v>3.53</v>
      </c>
      <c r="J40" s="41">
        <v>3.94</v>
      </c>
      <c r="K40" s="41">
        <v>4.3499999999999996</v>
      </c>
      <c r="L40" s="41">
        <v>4.59</v>
      </c>
      <c r="M40" s="41">
        <v>4.8</v>
      </c>
      <c r="N40" s="41">
        <v>4.92</v>
      </c>
      <c r="O40" s="41">
        <v>4.9000000000000004</v>
      </c>
      <c r="P40" s="41">
        <v>4.76</v>
      </c>
      <c r="Q40" s="41">
        <v>4.6500000000000004</v>
      </c>
      <c r="R40" s="41">
        <v>4.59</v>
      </c>
      <c r="S40" s="41">
        <v>4.6500000000000004</v>
      </c>
      <c r="T40" s="41">
        <v>4.9800000000000004</v>
      </c>
      <c r="U40" s="41">
        <v>5.39</v>
      </c>
      <c r="V40" s="41">
        <v>5.26</v>
      </c>
      <c r="W40" s="41">
        <v>4.9000000000000004</v>
      </c>
      <c r="X40" s="41">
        <v>4.3600000000000003</v>
      </c>
      <c r="Y40" s="41">
        <v>3.79</v>
      </c>
      <c r="Z40" s="84">
        <f t="shared" si="4"/>
        <v>100.45000000000002</v>
      </c>
      <c r="AA40" s="43">
        <v>4</v>
      </c>
      <c r="AB40" s="59">
        <f t="shared" si="5"/>
        <v>401.80000000000007</v>
      </c>
      <c r="AD40" s="30" t="s">
        <v>47</v>
      </c>
      <c r="AG40" s="66"/>
    </row>
    <row r="41" spans="1:33" ht="16" thickBot="1" x14ac:dyDescent="0.4">
      <c r="A41" s="60">
        <v>46569</v>
      </c>
      <c r="B41" s="44">
        <v>3.98</v>
      </c>
      <c r="C41" s="44">
        <v>3.68</v>
      </c>
      <c r="D41" s="44">
        <v>3.49</v>
      </c>
      <c r="E41" s="44">
        <v>3.36</v>
      </c>
      <c r="F41" s="44">
        <v>3.35</v>
      </c>
      <c r="G41" s="44">
        <v>3.34</v>
      </c>
      <c r="H41" s="44">
        <v>3.52</v>
      </c>
      <c r="I41" s="44">
        <v>3.88</v>
      </c>
      <c r="J41" s="44">
        <v>4.34</v>
      </c>
      <c r="K41" s="44">
        <v>4.78</v>
      </c>
      <c r="L41" s="44">
        <v>5.0599999999999996</v>
      </c>
      <c r="M41" s="44">
        <v>5.36</v>
      </c>
      <c r="N41" s="44">
        <v>5.48</v>
      </c>
      <c r="O41" s="44">
        <v>5.38</v>
      </c>
      <c r="P41" s="44">
        <v>5.23</v>
      </c>
      <c r="Q41" s="44">
        <v>5.13</v>
      </c>
      <c r="R41" s="44">
        <v>5.1100000000000003</v>
      </c>
      <c r="S41" s="44">
        <v>5.18</v>
      </c>
      <c r="T41" s="44">
        <v>5.47</v>
      </c>
      <c r="U41" s="44">
        <v>5.94</v>
      </c>
      <c r="V41" s="44">
        <v>5.81</v>
      </c>
      <c r="W41" s="44">
        <v>5.41</v>
      </c>
      <c r="X41" s="44">
        <v>4.79</v>
      </c>
      <c r="Y41" s="44">
        <v>4.16</v>
      </c>
      <c r="Z41" s="86">
        <f t="shared" si="4"/>
        <v>111.23</v>
      </c>
      <c r="AA41" s="46">
        <v>5</v>
      </c>
      <c r="AB41" s="61">
        <f t="shared" si="5"/>
        <v>556.15</v>
      </c>
      <c r="AD41" s="30" t="s">
        <v>47</v>
      </c>
      <c r="AG41" s="66"/>
    </row>
    <row r="42" spans="1:33" x14ac:dyDescent="0.35">
      <c r="A42" s="67"/>
      <c r="B42" s="68"/>
      <c r="C42" s="68"/>
      <c r="D42" s="68"/>
      <c r="E42" s="68"/>
      <c r="F42" s="68"/>
      <c r="G42" s="68"/>
      <c r="H42" s="68"/>
      <c r="I42" s="68"/>
      <c r="J42" s="68"/>
      <c r="K42" s="68"/>
      <c r="L42" s="68"/>
      <c r="M42" s="68"/>
      <c r="N42" s="68"/>
      <c r="O42" s="68"/>
      <c r="P42" s="68"/>
      <c r="Q42" s="68"/>
      <c r="R42" s="68"/>
      <c r="S42" s="68"/>
      <c r="T42" s="68"/>
      <c r="U42" s="68"/>
      <c r="V42" s="68"/>
      <c r="W42" s="68"/>
      <c r="X42" s="68"/>
      <c r="Y42" s="68"/>
      <c r="Z42" s="69"/>
      <c r="AA42" s="70"/>
      <c r="AB42" s="71"/>
      <c r="AE42" s="30" t="s">
        <v>55</v>
      </c>
      <c r="AG42" s="66"/>
    </row>
    <row r="43" spans="1:33" ht="16" thickBot="1" x14ac:dyDescent="0.4">
      <c r="A43"/>
      <c r="B43" s="62"/>
      <c r="C43" s="62"/>
      <c r="D43" s="62"/>
      <c r="E43" s="62"/>
      <c r="F43" s="62"/>
      <c r="G43" s="62"/>
      <c r="H43" s="62"/>
      <c r="I43" s="62"/>
      <c r="J43" s="62"/>
      <c r="K43" s="62"/>
      <c r="L43" s="62"/>
      <c r="M43" s="62"/>
      <c r="N43" s="62"/>
      <c r="O43" s="62"/>
      <c r="P43" s="62"/>
      <c r="Q43" s="62"/>
      <c r="R43" s="62"/>
      <c r="S43" s="62"/>
      <c r="T43" s="62"/>
      <c r="U43" s="62"/>
      <c r="V43" s="62"/>
      <c r="W43" s="62"/>
      <c r="X43" s="62"/>
      <c r="Y43" s="62"/>
      <c r="Z43" s="50"/>
      <c r="AA43" s="35"/>
      <c r="AB43"/>
      <c r="AE43" s="30" t="s">
        <v>55</v>
      </c>
    </row>
    <row r="44" spans="1:33" ht="16" thickBot="1" x14ac:dyDescent="0.4">
      <c r="A44" s="33" t="s">
        <v>48</v>
      </c>
      <c r="B44" s="52"/>
      <c r="C44" s="52"/>
      <c r="D44" s="52"/>
      <c r="E44" s="52"/>
      <c r="F44" s="52"/>
      <c r="G44" s="52"/>
      <c r="H44" s="52"/>
      <c r="I44" s="52"/>
      <c r="J44" s="52"/>
      <c r="K44" s="52"/>
      <c r="L44" s="52"/>
      <c r="M44" s="52"/>
      <c r="N44" s="52"/>
      <c r="O44" s="52"/>
      <c r="P44" s="52"/>
      <c r="Q44" s="52"/>
      <c r="R44" s="52"/>
      <c r="S44" s="52"/>
      <c r="T44" s="52"/>
      <c r="U44" s="52"/>
      <c r="V44" s="52"/>
      <c r="W44" s="52"/>
      <c r="X44" s="52"/>
      <c r="Y44" s="52"/>
      <c r="Z44" s="50"/>
      <c r="AA44" s="35"/>
      <c r="AB44"/>
      <c r="AE44" s="30" t="s">
        <v>55</v>
      </c>
    </row>
    <row r="45" spans="1:33" ht="16" thickBot="1" x14ac:dyDescent="0.4">
      <c r="A45"/>
      <c r="B45" s="62"/>
      <c r="C45" s="62"/>
      <c r="D45" s="62"/>
      <c r="E45" s="62"/>
      <c r="F45" s="62"/>
      <c r="G45" s="62"/>
      <c r="H45" s="62"/>
      <c r="I45" s="62"/>
      <c r="J45" s="62"/>
      <c r="K45" s="62"/>
      <c r="L45" s="62"/>
      <c r="M45" s="62"/>
      <c r="N45" s="62"/>
      <c r="O45" s="62"/>
      <c r="P45" s="62"/>
      <c r="Q45" s="62"/>
      <c r="R45" s="62"/>
      <c r="S45" s="62"/>
      <c r="T45" s="62"/>
      <c r="U45" s="62"/>
      <c r="V45" s="62"/>
      <c r="W45" s="62"/>
      <c r="X45" s="62"/>
      <c r="Y45" s="62"/>
      <c r="Z45" s="50"/>
      <c r="AA45"/>
      <c r="AB45"/>
      <c r="AE45" s="30" t="s">
        <v>55</v>
      </c>
    </row>
    <row r="46" spans="1:33" ht="16" thickBot="1" x14ac:dyDescent="0.4">
      <c r="A46" s="53" t="s">
        <v>10</v>
      </c>
      <c r="B46" s="54" t="s">
        <v>11</v>
      </c>
      <c r="C46" s="54" t="s">
        <v>12</v>
      </c>
      <c r="D46" s="54" t="s">
        <v>13</v>
      </c>
      <c r="E46" s="54" t="s">
        <v>14</v>
      </c>
      <c r="F46" s="54" t="s">
        <v>15</v>
      </c>
      <c r="G46" s="54" t="s">
        <v>16</v>
      </c>
      <c r="H46" s="54" t="s">
        <v>17</v>
      </c>
      <c r="I46" s="54" t="s">
        <v>18</v>
      </c>
      <c r="J46" s="54" t="s">
        <v>19</v>
      </c>
      <c r="K46" s="54" t="s">
        <v>20</v>
      </c>
      <c r="L46" s="54" t="s">
        <v>21</v>
      </c>
      <c r="M46" s="54" t="s">
        <v>22</v>
      </c>
      <c r="N46" s="54" t="s">
        <v>23</v>
      </c>
      <c r="O46" s="54" t="s">
        <v>24</v>
      </c>
      <c r="P46" s="54" t="s">
        <v>25</v>
      </c>
      <c r="Q46" s="54" t="s">
        <v>26</v>
      </c>
      <c r="R46" s="54" t="s">
        <v>27</v>
      </c>
      <c r="S46" s="54" t="s">
        <v>28</v>
      </c>
      <c r="T46" s="54" t="s">
        <v>29</v>
      </c>
      <c r="U46" s="54" t="s">
        <v>30</v>
      </c>
      <c r="V46" s="54" t="s">
        <v>31</v>
      </c>
      <c r="W46" s="54" t="s">
        <v>32</v>
      </c>
      <c r="X46" s="54" t="s">
        <v>33</v>
      </c>
      <c r="Y46" s="54" t="s">
        <v>34</v>
      </c>
      <c r="Z46" s="54" t="s">
        <v>6</v>
      </c>
      <c r="AA46" s="34" t="s">
        <v>35</v>
      </c>
      <c r="AB46" s="55"/>
      <c r="AE46" s="30" t="s">
        <v>55</v>
      </c>
    </row>
    <row r="47" spans="1:33" ht="16" thickBot="1" x14ac:dyDescent="0.4">
      <c r="A47" s="60">
        <v>46357</v>
      </c>
      <c r="B47" s="93">
        <v>4.12</v>
      </c>
      <c r="C47" s="93">
        <v>3.82</v>
      </c>
      <c r="D47" s="93">
        <v>3.62</v>
      </c>
      <c r="E47" s="93">
        <v>3.49</v>
      </c>
      <c r="F47" s="93">
        <v>3.42</v>
      </c>
      <c r="G47" s="93">
        <v>3.41</v>
      </c>
      <c r="H47" s="93">
        <v>3.47</v>
      </c>
      <c r="I47" s="93">
        <v>3.5</v>
      </c>
      <c r="J47" s="93">
        <v>3.82</v>
      </c>
      <c r="K47" s="93">
        <v>3.84</v>
      </c>
      <c r="L47" s="93">
        <v>3.9</v>
      </c>
      <c r="M47" s="93">
        <v>4.37</v>
      </c>
      <c r="N47" s="93">
        <v>4.62</v>
      </c>
      <c r="O47" s="93">
        <v>5.08</v>
      </c>
      <c r="P47" s="93">
        <v>5.13</v>
      </c>
      <c r="Q47" s="93">
        <v>5.13</v>
      </c>
      <c r="R47" s="93">
        <v>5.15</v>
      </c>
      <c r="S47" s="93">
        <v>5.23</v>
      </c>
      <c r="T47" s="93">
        <v>5.72</v>
      </c>
      <c r="U47" s="93">
        <v>5.82</v>
      </c>
      <c r="V47" s="93">
        <v>5.66</v>
      </c>
      <c r="W47" s="93">
        <v>5.34</v>
      </c>
      <c r="X47" s="93">
        <v>4.83</v>
      </c>
      <c r="Y47" s="93">
        <v>4.26</v>
      </c>
      <c r="Z47" s="94">
        <f t="shared" ref="Z47:Z54" si="6">SUM(B47:Y47)</f>
        <v>106.75</v>
      </c>
      <c r="AA47" s="95">
        <v>0</v>
      </c>
      <c r="AB47" s="96">
        <f t="shared" ref="AB47:AB54" si="7">+Z47*AA47</f>
        <v>0</v>
      </c>
      <c r="AD47" s="30" t="s">
        <v>49</v>
      </c>
      <c r="AG47" s="66"/>
    </row>
    <row r="48" spans="1:33" x14ac:dyDescent="0.35">
      <c r="A48" s="56">
        <v>46388</v>
      </c>
      <c r="B48" s="82">
        <v>4.58</v>
      </c>
      <c r="C48" s="82">
        <v>4.2300000000000004</v>
      </c>
      <c r="D48" s="82">
        <v>4.01</v>
      </c>
      <c r="E48" s="82">
        <v>3.89</v>
      </c>
      <c r="F48" s="82">
        <v>3.89</v>
      </c>
      <c r="G48" s="82">
        <v>3.98</v>
      </c>
      <c r="H48" s="82">
        <v>4.21</v>
      </c>
      <c r="I48" s="82">
        <v>4.5</v>
      </c>
      <c r="J48" s="82">
        <v>5</v>
      </c>
      <c r="K48" s="82">
        <v>5.55</v>
      </c>
      <c r="L48" s="82">
        <v>6.05</v>
      </c>
      <c r="M48" s="82">
        <v>6.45</v>
      </c>
      <c r="N48" s="82">
        <v>6.63</v>
      </c>
      <c r="O48" s="82">
        <v>6.49</v>
      </c>
      <c r="P48" s="82">
        <v>6.17</v>
      </c>
      <c r="Q48" s="82">
        <v>6.03</v>
      </c>
      <c r="R48" s="82">
        <v>6.05</v>
      </c>
      <c r="S48" s="82">
        <v>6.26</v>
      </c>
      <c r="T48" s="82">
        <v>6.81</v>
      </c>
      <c r="U48" s="82">
        <v>7.08</v>
      </c>
      <c r="V48" s="82">
        <v>6.8</v>
      </c>
      <c r="W48" s="82">
        <v>6.26</v>
      </c>
      <c r="X48" s="82">
        <v>5.49</v>
      </c>
      <c r="Y48" s="82">
        <v>4.74</v>
      </c>
      <c r="Z48" s="85">
        <f t="shared" si="6"/>
        <v>131.15</v>
      </c>
      <c r="AA48" s="40">
        <v>1</v>
      </c>
      <c r="AB48" s="57">
        <f t="shared" si="7"/>
        <v>131.15</v>
      </c>
      <c r="AD48" s="30" t="s">
        <v>49</v>
      </c>
      <c r="AG48" s="66"/>
    </row>
    <row r="49" spans="1:33" x14ac:dyDescent="0.35">
      <c r="A49" s="58">
        <v>46419</v>
      </c>
      <c r="B49" s="41">
        <v>4.9000000000000004</v>
      </c>
      <c r="C49" s="41">
        <v>4.5199999999999996</v>
      </c>
      <c r="D49" s="41">
        <v>4.26</v>
      </c>
      <c r="E49" s="41">
        <v>4.1100000000000003</v>
      </c>
      <c r="F49" s="41">
        <v>4.09</v>
      </c>
      <c r="G49" s="41">
        <v>4.17</v>
      </c>
      <c r="H49" s="41">
        <v>4.3600000000000003</v>
      </c>
      <c r="I49" s="41">
        <v>4.67</v>
      </c>
      <c r="J49" s="41">
        <v>5.22</v>
      </c>
      <c r="K49" s="41">
        <v>5.74</v>
      </c>
      <c r="L49" s="41">
        <v>6.08</v>
      </c>
      <c r="M49" s="41">
        <v>6.41</v>
      </c>
      <c r="N49" s="41">
        <v>6.57</v>
      </c>
      <c r="O49" s="41">
        <v>6.48</v>
      </c>
      <c r="P49" s="41">
        <v>6.28</v>
      </c>
      <c r="Q49" s="41">
        <v>6.15</v>
      </c>
      <c r="R49" s="41">
        <v>6.07</v>
      </c>
      <c r="S49" s="41">
        <v>6.15</v>
      </c>
      <c r="T49" s="41">
        <v>6.53</v>
      </c>
      <c r="U49" s="41">
        <v>7.17</v>
      </c>
      <c r="V49" s="41">
        <v>7.02</v>
      </c>
      <c r="W49" s="41">
        <v>6.53</v>
      </c>
      <c r="X49" s="41">
        <v>5.72</v>
      </c>
      <c r="Y49" s="41">
        <v>4.93</v>
      </c>
      <c r="Z49" s="84">
        <f t="shared" si="6"/>
        <v>134.13000000000002</v>
      </c>
      <c r="AA49" s="43">
        <v>0</v>
      </c>
      <c r="AB49" s="59">
        <f t="shared" si="7"/>
        <v>0</v>
      </c>
      <c r="AD49" s="30" t="s">
        <v>49</v>
      </c>
      <c r="AG49" s="66"/>
    </row>
    <row r="50" spans="1:33" x14ac:dyDescent="0.35">
      <c r="A50" s="58">
        <v>46447</v>
      </c>
      <c r="B50" s="41">
        <v>4.3499999999999996</v>
      </c>
      <c r="C50" s="41">
        <v>4.03</v>
      </c>
      <c r="D50" s="41">
        <v>3.84</v>
      </c>
      <c r="E50" s="41">
        <v>3.73</v>
      </c>
      <c r="F50" s="41">
        <v>3.71</v>
      </c>
      <c r="G50" s="41">
        <v>3.8</v>
      </c>
      <c r="H50" s="41">
        <v>3.95</v>
      </c>
      <c r="I50" s="41">
        <v>4.38</v>
      </c>
      <c r="J50" s="41">
        <v>4.9400000000000004</v>
      </c>
      <c r="K50" s="41">
        <v>5.41</v>
      </c>
      <c r="L50" s="41">
        <v>5.81</v>
      </c>
      <c r="M50" s="41">
        <v>6.17</v>
      </c>
      <c r="N50" s="41">
        <v>6.28</v>
      </c>
      <c r="O50" s="41">
        <v>6.2</v>
      </c>
      <c r="P50" s="41">
        <v>6.05</v>
      </c>
      <c r="Q50" s="41">
        <v>5.94</v>
      </c>
      <c r="R50" s="41">
        <v>5.92</v>
      </c>
      <c r="S50" s="41">
        <v>6.06</v>
      </c>
      <c r="T50" s="41">
        <v>6.47</v>
      </c>
      <c r="U50" s="41">
        <v>6.86</v>
      </c>
      <c r="V50" s="41">
        <v>6.68</v>
      </c>
      <c r="W50" s="41">
        <v>6.18</v>
      </c>
      <c r="X50" s="41">
        <v>5.35</v>
      </c>
      <c r="Y50" s="41">
        <v>4.63</v>
      </c>
      <c r="Z50" s="84">
        <f t="shared" si="6"/>
        <v>126.74000000000001</v>
      </c>
      <c r="AA50" s="43">
        <v>1</v>
      </c>
      <c r="AB50" s="59">
        <f t="shared" si="7"/>
        <v>126.74000000000001</v>
      </c>
      <c r="AD50" s="30" t="s">
        <v>49</v>
      </c>
      <c r="AG50" s="66"/>
    </row>
    <row r="51" spans="1:33" x14ac:dyDescent="0.35">
      <c r="A51" s="58">
        <v>46478</v>
      </c>
      <c r="B51" s="41">
        <v>4.2</v>
      </c>
      <c r="C51" s="41">
        <v>3.86</v>
      </c>
      <c r="D51" s="41">
        <v>3.65</v>
      </c>
      <c r="E51" s="41">
        <v>3.54</v>
      </c>
      <c r="F51" s="41">
        <v>3.53</v>
      </c>
      <c r="G51" s="41">
        <v>3.53</v>
      </c>
      <c r="H51" s="41">
        <v>3.71</v>
      </c>
      <c r="I51" s="41">
        <v>4.0999999999999996</v>
      </c>
      <c r="J51" s="41">
        <v>4.57</v>
      </c>
      <c r="K51" s="41">
        <v>5.01</v>
      </c>
      <c r="L51" s="41">
        <v>5.36</v>
      </c>
      <c r="M51" s="41">
        <v>5.69</v>
      </c>
      <c r="N51" s="41">
        <v>5.84</v>
      </c>
      <c r="O51" s="41">
        <v>5.75</v>
      </c>
      <c r="P51" s="41">
        <v>5.64</v>
      </c>
      <c r="Q51" s="41">
        <v>5.45</v>
      </c>
      <c r="R51" s="41">
        <v>5.39</v>
      </c>
      <c r="S51" s="41">
        <v>5.53</v>
      </c>
      <c r="T51" s="41">
        <v>5.95</v>
      </c>
      <c r="U51" s="41">
        <v>6.24</v>
      </c>
      <c r="V51" s="41">
        <v>6.08</v>
      </c>
      <c r="W51" s="41">
        <v>5.67</v>
      </c>
      <c r="X51" s="41">
        <v>5.03</v>
      </c>
      <c r="Y51" s="41">
        <v>4.42</v>
      </c>
      <c r="Z51" s="84">
        <f t="shared" si="6"/>
        <v>117.74000000000001</v>
      </c>
      <c r="AA51" s="43">
        <v>0</v>
      </c>
      <c r="AB51" s="59">
        <f t="shared" si="7"/>
        <v>0</v>
      </c>
      <c r="AD51" s="30" t="s">
        <v>49</v>
      </c>
      <c r="AG51" s="66"/>
    </row>
    <row r="52" spans="1:33" x14ac:dyDescent="0.35">
      <c r="A52" s="58">
        <v>46508</v>
      </c>
      <c r="B52" s="41">
        <v>3.35</v>
      </c>
      <c r="C52" s="41">
        <v>3.1</v>
      </c>
      <c r="D52" s="41">
        <v>2.98</v>
      </c>
      <c r="E52" s="41">
        <v>2.91</v>
      </c>
      <c r="F52" s="41">
        <v>2.93</v>
      </c>
      <c r="G52" s="41">
        <v>2.95</v>
      </c>
      <c r="H52" s="41">
        <v>3.17</v>
      </c>
      <c r="I52" s="41">
        <v>3.58</v>
      </c>
      <c r="J52" s="41">
        <v>4.07</v>
      </c>
      <c r="K52" s="41">
        <v>4.4400000000000004</v>
      </c>
      <c r="L52" s="41">
        <v>4.72</v>
      </c>
      <c r="M52" s="41">
        <v>5.0999999999999996</v>
      </c>
      <c r="N52" s="41">
        <v>5.32</v>
      </c>
      <c r="O52" s="41">
        <v>5.2</v>
      </c>
      <c r="P52" s="41">
        <v>4.9000000000000004</v>
      </c>
      <c r="Q52" s="41">
        <v>4.78</v>
      </c>
      <c r="R52" s="41">
        <v>4.72</v>
      </c>
      <c r="S52" s="41">
        <v>4.8</v>
      </c>
      <c r="T52" s="41">
        <v>5.0599999999999996</v>
      </c>
      <c r="U52" s="41">
        <v>5.46</v>
      </c>
      <c r="V52" s="41">
        <v>5.28</v>
      </c>
      <c r="W52" s="41">
        <v>4.87</v>
      </c>
      <c r="X52" s="41">
        <v>4.22</v>
      </c>
      <c r="Y52" s="41">
        <v>3.63</v>
      </c>
      <c r="Z52" s="84">
        <f t="shared" si="6"/>
        <v>101.53999999999999</v>
      </c>
      <c r="AA52" s="43">
        <v>2</v>
      </c>
      <c r="AB52" s="59">
        <f t="shared" si="7"/>
        <v>203.07999999999998</v>
      </c>
      <c r="AD52" s="30" t="s">
        <v>49</v>
      </c>
      <c r="AG52" s="66"/>
    </row>
    <row r="53" spans="1:33" x14ac:dyDescent="0.35">
      <c r="A53" s="58">
        <v>46539</v>
      </c>
      <c r="B53" s="41">
        <v>3.42</v>
      </c>
      <c r="C53" s="41">
        <v>3.15</v>
      </c>
      <c r="D53" s="41">
        <v>3</v>
      </c>
      <c r="E53" s="41">
        <v>2.94</v>
      </c>
      <c r="F53" s="41">
        <v>2.95</v>
      </c>
      <c r="G53" s="41">
        <v>2.93</v>
      </c>
      <c r="H53" s="41">
        <v>3.18</v>
      </c>
      <c r="I53" s="41">
        <v>3.53</v>
      </c>
      <c r="J53" s="41">
        <v>3.97</v>
      </c>
      <c r="K53" s="41">
        <v>4.3899999999999997</v>
      </c>
      <c r="L53" s="41">
        <v>4.71</v>
      </c>
      <c r="M53" s="41">
        <v>5.0199999999999996</v>
      </c>
      <c r="N53" s="41">
        <v>5.21</v>
      </c>
      <c r="O53" s="41">
        <v>5.15</v>
      </c>
      <c r="P53" s="41">
        <v>4.9400000000000004</v>
      </c>
      <c r="Q53" s="41">
        <v>4.84</v>
      </c>
      <c r="R53" s="41">
        <v>4.76</v>
      </c>
      <c r="S53" s="41">
        <v>4.88</v>
      </c>
      <c r="T53" s="41">
        <v>5.2</v>
      </c>
      <c r="U53" s="41">
        <v>5.58</v>
      </c>
      <c r="V53" s="41">
        <v>5.4</v>
      </c>
      <c r="W53" s="41">
        <v>4.96</v>
      </c>
      <c r="X53" s="41">
        <v>4.32</v>
      </c>
      <c r="Y53" s="41">
        <v>3.7</v>
      </c>
      <c r="Z53" s="84">
        <f t="shared" si="6"/>
        <v>102.13000000000001</v>
      </c>
      <c r="AA53" s="43">
        <v>1</v>
      </c>
      <c r="AB53" s="59">
        <f t="shared" si="7"/>
        <v>102.13000000000001</v>
      </c>
      <c r="AD53" s="30" t="s">
        <v>49</v>
      </c>
      <c r="AG53" s="66"/>
    </row>
    <row r="54" spans="1:33" ht="16" thickBot="1" x14ac:dyDescent="0.4">
      <c r="A54" s="60">
        <v>46569</v>
      </c>
      <c r="B54" s="44">
        <v>3.88</v>
      </c>
      <c r="C54" s="44">
        <v>3.59</v>
      </c>
      <c r="D54" s="44">
        <v>3.4</v>
      </c>
      <c r="E54" s="44">
        <v>3.31</v>
      </c>
      <c r="F54" s="44">
        <v>3.3</v>
      </c>
      <c r="G54" s="44">
        <v>3.29</v>
      </c>
      <c r="H54" s="44">
        <v>3.51</v>
      </c>
      <c r="I54" s="44">
        <v>3.89</v>
      </c>
      <c r="J54" s="44">
        <v>4.3600000000000003</v>
      </c>
      <c r="K54" s="44">
        <v>4.79</v>
      </c>
      <c r="L54" s="44">
        <v>5.19</v>
      </c>
      <c r="M54" s="44">
        <v>5.58</v>
      </c>
      <c r="N54" s="44">
        <v>5.78</v>
      </c>
      <c r="O54" s="44">
        <v>5.61</v>
      </c>
      <c r="P54" s="44">
        <v>5.24</v>
      </c>
      <c r="Q54" s="44">
        <v>5.0599999999999996</v>
      </c>
      <c r="R54" s="44">
        <v>4.9800000000000004</v>
      </c>
      <c r="S54" s="44">
        <v>5.04</v>
      </c>
      <c r="T54" s="44">
        <v>5.32</v>
      </c>
      <c r="U54" s="44">
        <v>5.89</v>
      </c>
      <c r="V54" s="44">
        <v>5.73</v>
      </c>
      <c r="W54" s="44">
        <v>5.31</v>
      </c>
      <c r="X54" s="44">
        <v>4.67</v>
      </c>
      <c r="Y54" s="44">
        <v>4.01</v>
      </c>
      <c r="Z54" s="86">
        <f t="shared" si="6"/>
        <v>110.73000000000002</v>
      </c>
      <c r="AA54" s="46">
        <v>1</v>
      </c>
      <c r="AB54" s="61">
        <f t="shared" si="7"/>
        <v>110.73000000000002</v>
      </c>
      <c r="AD54" s="30" t="s">
        <v>49</v>
      </c>
      <c r="AG54" s="66"/>
    </row>
    <row r="55" spans="1:33" x14ac:dyDescent="0.3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9"/>
      <c r="AA55" s="70"/>
      <c r="AB55" s="71"/>
      <c r="AG55" s="66"/>
    </row>
    <row r="56" spans="1:33" ht="16" thickBot="1" x14ac:dyDescent="0.4">
      <c r="A56" s="80"/>
      <c r="B56" s="68"/>
      <c r="C56" s="68"/>
      <c r="D56" s="68"/>
      <c r="E56" s="68"/>
      <c r="F56" s="68"/>
      <c r="G56" s="68"/>
      <c r="H56" s="68"/>
      <c r="I56" s="68"/>
      <c r="J56" s="68"/>
      <c r="K56" s="68"/>
      <c r="L56" s="68"/>
      <c r="M56" s="68"/>
      <c r="N56" s="68"/>
      <c r="O56" s="68"/>
      <c r="P56" s="68"/>
      <c r="Q56" s="68"/>
      <c r="R56" s="68"/>
      <c r="S56" s="68"/>
      <c r="T56" s="68"/>
      <c r="U56" s="68"/>
      <c r="V56" s="68"/>
      <c r="W56" s="68"/>
      <c r="X56" s="68"/>
      <c r="Y56" s="68"/>
      <c r="Z56" s="69"/>
      <c r="AA56" s="70"/>
      <c r="AB56" s="71"/>
      <c r="AG56" s="66"/>
    </row>
    <row r="57" spans="1:33" ht="16" thickBot="1" x14ac:dyDescent="0.4">
      <c r="A57" s="33" t="s">
        <v>36</v>
      </c>
      <c r="B57" s="52"/>
      <c r="C57" s="52"/>
      <c r="D57" s="52"/>
      <c r="E57" s="63"/>
      <c r="F57" s="52"/>
      <c r="G57" s="52"/>
      <c r="H57" s="52"/>
      <c r="I57" s="52"/>
      <c r="J57" s="52"/>
      <c r="K57" s="52"/>
      <c r="L57" s="52"/>
      <c r="M57" s="52"/>
      <c r="N57" s="52"/>
      <c r="O57" s="52"/>
      <c r="P57" s="52"/>
      <c r="Q57" s="52"/>
      <c r="R57" s="52"/>
      <c r="S57" s="52"/>
      <c r="T57" s="52"/>
      <c r="U57" s="52"/>
      <c r="V57" s="52"/>
      <c r="W57" s="52"/>
      <c r="X57" s="52"/>
      <c r="Y57" s="52"/>
      <c r="Z57" s="50"/>
      <c r="AA57" s="35"/>
      <c r="AB57"/>
    </row>
    <row r="58" spans="1:33" ht="16" thickBot="1" x14ac:dyDescent="0.4">
      <c r="A58"/>
      <c r="B58" s="62"/>
      <c r="C58" s="52"/>
      <c r="D58" s="52"/>
      <c r="E58" s="52"/>
      <c r="F58" s="52"/>
      <c r="G58" s="52"/>
      <c r="H58" s="52"/>
      <c r="I58" s="52"/>
      <c r="J58" s="52"/>
      <c r="K58" s="52"/>
      <c r="L58" s="52"/>
      <c r="M58" s="52"/>
      <c r="N58" s="52"/>
      <c r="O58" s="52"/>
      <c r="P58" s="52"/>
      <c r="Q58" s="52"/>
      <c r="R58" s="52"/>
      <c r="S58" s="52"/>
      <c r="T58" s="52"/>
      <c r="U58" s="52"/>
      <c r="V58" s="52"/>
      <c r="W58" s="52"/>
      <c r="X58" s="52"/>
      <c r="Y58" s="52"/>
      <c r="Z58" s="50"/>
      <c r="AA58"/>
      <c r="AB58"/>
    </row>
    <row r="59" spans="1:33" ht="16" thickBot="1" x14ac:dyDescent="0.4">
      <c r="A59" s="53" t="s">
        <v>10</v>
      </c>
      <c r="B59" s="54" t="s">
        <v>11</v>
      </c>
      <c r="C59" s="54" t="s">
        <v>12</v>
      </c>
      <c r="D59" s="54" t="s">
        <v>13</v>
      </c>
      <c r="E59" s="54" t="s">
        <v>14</v>
      </c>
      <c r="F59" s="54" t="s">
        <v>15</v>
      </c>
      <c r="G59" s="54" t="s">
        <v>16</v>
      </c>
      <c r="H59" s="54" t="s">
        <v>17</v>
      </c>
      <c r="I59" s="54" t="s">
        <v>18</v>
      </c>
      <c r="J59" s="54" t="s">
        <v>19</v>
      </c>
      <c r="K59" s="54" t="s">
        <v>20</v>
      </c>
      <c r="L59" s="54" t="s">
        <v>21</v>
      </c>
      <c r="M59" s="54" t="s">
        <v>22</v>
      </c>
      <c r="N59" s="54" t="s">
        <v>23</v>
      </c>
      <c r="O59" s="54" t="s">
        <v>24</v>
      </c>
      <c r="P59" s="54" t="s">
        <v>25</v>
      </c>
      <c r="Q59" s="54" t="s">
        <v>26</v>
      </c>
      <c r="R59" s="54" t="s">
        <v>27</v>
      </c>
      <c r="S59" s="54" t="s">
        <v>28</v>
      </c>
      <c r="T59" s="54" t="s">
        <v>29</v>
      </c>
      <c r="U59" s="54" t="s">
        <v>30</v>
      </c>
      <c r="V59" s="54" t="s">
        <v>31</v>
      </c>
      <c r="W59" s="54" t="s">
        <v>32</v>
      </c>
      <c r="X59" s="54" t="s">
        <v>33</v>
      </c>
      <c r="Y59" s="54" t="s">
        <v>34</v>
      </c>
      <c r="Z59" s="54" t="s">
        <v>6</v>
      </c>
      <c r="AA59" s="34" t="s">
        <v>35</v>
      </c>
      <c r="AB59" s="55"/>
    </row>
    <row r="60" spans="1:33" ht="16" thickBot="1" x14ac:dyDescent="0.4">
      <c r="A60" s="72">
        <f t="shared" ref="A60:A67" si="8">+A47</f>
        <v>46357</v>
      </c>
      <c r="B60" s="73">
        <f t="shared" ref="B60:Y60" si="9">+B8*$AA8+B21*$AA21+B34*$AA34+B47*$AA47</f>
        <v>124.53</v>
      </c>
      <c r="C60" s="73">
        <f t="shared" si="9"/>
        <v>115.14999999999999</v>
      </c>
      <c r="D60" s="73">
        <f t="shared" si="9"/>
        <v>110.08</v>
      </c>
      <c r="E60" s="73">
        <f t="shared" si="9"/>
        <v>107.39</v>
      </c>
      <c r="F60" s="73">
        <f t="shared" si="9"/>
        <v>108.77</v>
      </c>
      <c r="G60" s="73">
        <f t="shared" si="9"/>
        <v>114.35</v>
      </c>
      <c r="H60" s="73">
        <f t="shared" si="9"/>
        <v>126.02000000000001</v>
      </c>
      <c r="I60" s="73">
        <f t="shared" si="9"/>
        <v>139.32999999999998</v>
      </c>
      <c r="J60" s="73">
        <f t="shared" si="9"/>
        <v>156.38</v>
      </c>
      <c r="K60" s="73">
        <f t="shared" si="9"/>
        <v>166.28</v>
      </c>
      <c r="L60" s="73">
        <f t="shared" si="9"/>
        <v>174.56</v>
      </c>
      <c r="M60" s="73">
        <f t="shared" si="9"/>
        <v>185.44</v>
      </c>
      <c r="N60" s="73">
        <f t="shared" si="9"/>
        <v>187.57000000000002</v>
      </c>
      <c r="O60" s="73">
        <f t="shared" si="9"/>
        <v>189.17999999999998</v>
      </c>
      <c r="P60" s="73">
        <f t="shared" si="9"/>
        <v>191.26</v>
      </c>
      <c r="Q60" s="73">
        <f t="shared" si="9"/>
        <v>191.23</v>
      </c>
      <c r="R60" s="73">
        <f t="shared" si="9"/>
        <v>188.92</v>
      </c>
      <c r="S60" s="73">
        <f t="shared" si="9"/>
        <v>187.59</v>
      </c>
      <c r="T60" s="73">
        <f t="shared" si="9"/>
        <v>198.76</v>
      </c>
      <c r="U60" s="73">
        <f t="shared" si="9"/>
        <v>198.65000000000003</v>
      </c>
      <c r="V60" s="73">
        <f t="shared" si="9"/>
        <v>189.52</v>
      </c>
      <c r="W60" s="73">
        <f t="shared" si="9"/>
        <v>177.08999999999997</v>
      </c>
      <c r="X60" s="73">
        <f t="shared" si="9"/>
        <v>158.70999999999998</v>
      </c>
      <c r="Y60" s="73">
        <f t="shared" si="9"/>
        <v>139.6</v>
      </c>
      <c r="Z60" s="74">
        <f t="shared" ref="Z60:Z67" si="10">SUM(B60:Y60)</f>
        <v>3826.36</v>
      </c>
      <c r="AA60" s="75">
        <f t="shared" ref="AA60:AA67" si="11">AA8+AA21+AA34+AA47</f>
        <v>31</v>
      </c>
      <c r="AB60" s="76">
        <f t="shared" ref="AB60:AB67" si="12">+AB8+AB21+AB34+AB47</f>
        <v>3826.3599999999992</v>
      </c>
      <c r="AD60" s="79">
        <f t="shared" ref="AD60:AD67" si="13">+AB60-Z60</f>
        <v>0</v>
      </c>
      <c r="AF60" s="79"/>
    </row>
    <row r="61" spans="1:33" x14ac:dyDescent="0.35">
      <c r="A61" s="56">
        <f t="shared" si="8"/>
        <v>46388</v>
      </c>
      <c r="B61" s="82">
        <f t="shared" ref="B61:Y61" si="14">+B9*$AA9+B22*$AA22+B35*$AA35+B48*$AA48</f>
        <v>145.54000000000002</v>
      </c>
      <c r="C61" s="82">
        <f t="shared" si="14"/>
        <v>134.95999999999998</v>
      </c>
      <c r="D61" s="82">
        <f t="shared" si="14"/>
        <v>128.77999999999997</v>
      </c>
      <c r="E61" s="82">
        <f t="shared" si="14"/>
        <v>126.06000000000002</v>
      </c>
      <c r="F61" s="82">
        <f t="shared" si="14"/>
        <v>128.16999999999999</v>
      </c>
      <c r="G61" s="82">
        <f t="shared" si="14"/>
        <v>137.16999999999999</v>
      </c>
      <c r="H61" s="82">
        <f t="shared" si="14"/>
        <v>151.42000000000002</v>
      </c>
      <c r="I61" s="82">
        <f t="shared" si="14"/>
        <v>167.35</v>
      </c>
      <c r="J61" s="82">
        <f t="shared" si="14"/>
        <v>188.09</v>
      </c>
      <c r="K61" s="82">
        <f t="shared" si="14"/>
        <v>204.92000000000002</v>
      </c>
      <c r="L61" s="82">
        <f t="shared" si="14"/>
        <v>220</v>
      </c>
      <c r="M61" s="82">
        <f t="shared" si="14"/>
        <v>233.03999999999996</v>
      </c>
      <c r="N61" s="82">
        <f t="shared" si="14"/>
        <v>233.74</v>
      </c>
      <c r="O61" s="82">
        <f t="shared" si="14"/>
        <v>230.50000000000003</v>
      </c>
      <c r="P61" s="82">
        <f t="shared" si="14"/>
        <v>230.49</v>
      </c>
      <c r="Q61" s="82">
        <f t="shared" si="14"/>
        <v>228.99000000000004</v>
      </c>
      <c r="R61" s="82">
        <f t="shared" si="14"/>
        <v>225.52000000000004</v>
      </c>
      <c r="S61" s="82">
        <f t="shared" si="14"/>
        <v>222.14</v>
      </c>
      <c r="T61" s="82">
        <f t="shared" si="14"/>
        <v>232.65</v>
      </c>
      <c r="U61" s="82">
        <f t="shared" si="14"/>
        <v>240.12000000000003</v>
      </c>
      <c r="V61" s="82">
        <f t="shared" si="14"/>
        <v>230.47000000000003</v>
      </c>
      <c r="W61" s="82">
        <f t="shared" si="14"/>
        <v>214.64</v>
      </c>
      <c r="X61" s="82">
        <f t="shared" si="14"/>
        <v>189.91000000000003</v>
      </c>
      <c r="Y61" s="82">
        <f t="shared" si="14"/>
        <v>163.58000000000001</v>
      </c>
      <c r="Z61" s="85">
        <f t="shared" si="10"/>
        <v>4608.25</v>
      </c>
      <c r="AA61" s="40">
        <f t="shared" si="11"/>
        <v>31</v>
      </c>
      <c r="AB61" s="57">
        <f t="shared" si="12"/>
        <v>4608.25</v>
      </c>
      <c r="AD61" s="79">
        <f t="shared" si="13"/>
        <v>0</v>
      </c>
      <c r="AF61" s="79"/>
    </row>
    <row r="62" spans="1:33" x14ac:dyDescent="0.35">
      <c r="A62" s="58">
        <f t="shared" si="8"/>
        <v>46419</v>
      </c>
      <c r="B62" s="41">
        <f t="shared" ref="B62:Y62" si="15">+B10*$AA10+B23*$AA23+B36*$AA36+B49*$AA49</f>
        <v>131.76</v>
      </c>
      <c r="C62" s="41">
        <f t="shared" si="15"/>
        <v>122.72</v>
      </c>
      <c r="D62" s="41">
        <f t="shared" si="15"/>
        <v>117.47999999999999</v>
      </c>
      <c r="E62" s="41">
        <f t="shared" si="15"/>
        <v>115.67999999999999</v>
      </c>
      <c r="F62" s="41">
        <f t="shared" si="15"/>
        <v>119.44000000000001</v>
      </c>
      <c r="G62" s="41">
        <f t="shared" si="15"/>
        <v>134.72</v>
      </c>
      <c r="H62" s="41">
        <f t="shared" si="15"/>
        <v>151.44</v>
      </c>
      <c r="I62" s="41">
        <f t="shared" si="15"/>
        <v>164.12</v>
      </c>
      <c r="J62" s="41">
        <f t="shared" si="15"/>
        <v>182.16</v>
      </c>
      <c r="K62" s="41">
        <f t="shared" si="15"/>
        <v>196.36</v>
      </c>
      <c r="L62" s="41">
        <f t="shared" si="15"/>
        <v>209.76</v>
      </c>
      <c r="M62" s="41">
        <f t="shared" si="15"/>
        <v>220.64000000000004</v>
      </c>
      <c r="N62" s="41">
        <f t="shared" si="15"/>
        <v>217.35999999999999</v>
      </c>
      <c r="O62" s="41">
        <f t="shared" si="15"/>
        <v>215.64000000000004</v>
      </c>
      <c r="P62" s="41">
        <f t="shared" si="15"/>
        <v>217.8</v>
      </c>
      <c r="Q62" s="41">
        <f t="shared" si="15"/>
        <v>217.16</v>
      </c>
      <c r="R62" s="41">
        <f t="shared" si="15"/>
        <v>213.84</v>
      </c>
      <c r="S62" s="41">
        <f t="shared" si="15"/>
        <v>207.4</v>
      </c>
      <c r="T62" s="41">
        <f t="shared" si="15"/>
        <v>211.4</v>
      </c>
      <c r="U62" s="41">
        <f t="shared" si="15"/>
        <v>221.92</v>
      </c>
      <c r="V62" s="41">
        <f t="shared" si="15"/>
        <v>214.16000000000003</v>
      </c>
      <c r="W62" s="41">
        <f t="shared" si="15"/>
        <v>198.88</v>
      </c>
      <c r="X62" s="41">
        <f t="shared" si="15"/>
        <v>174.04</v>
      </c>
      <c r="Y62" s="41">
        <f t="shared" si="15"/>
        <v>148.47999999999999</v>
      </c>
      <c r="Z62" s="84">
        <f t="shared" si="10"/>
        <v>4324.3600000000006</v>
      </c>
      <c r="AA62" s="43">
        <f t="shared" si="11"/>
        <v>28</v>
      </c>
      <c r="AB62" s="59">
        <f t="shared" si="12"/>
        <v>4324.3600000000006</v>
      </c>
      <c r="AD62" s="79">
        <f t="shared" si="13"/>
        <v>0</v>
      </c>
      <c r="AF62" s="79"/>
    </row>
    <row r="63" spans="1:33" x14ac:dyDescent="0.35">
      <c r="A63" s="58">
        <f t="shared" si="8"/>
        <v>46447</v>
      </c>
      <c r="B63" s="41">
        <f t="shared" ref="B63:Y63" si="16">+B11*$AA11+B24*$AA24+B37*$AA37+B50*$AA50</f>
        <v>135.94999999999999</v>
      </c>
      <c r="C63" s="41">
        <f t="shared" si="16"/>
        <v>126.60999999999999</v>
      </c>
      <c r="D63" s="41">
        <f t="shared" si="16"/>
        <v>121.44</v>
      </c>
      <c r="E63" s="41">
        <f t="shared" si="16"/>
        <v>119.19000000000001</v>
      </c>
      <c r="F63" s="41">
        <f t="shared" si="16"/>
        <v>122.61</v>
      </c>
      <c r="G63" s="41">
        <f t="shared" si="16"/>
        <v>136.86000000000001</v>
      </c>
      <c r="H63" s="41">
        <f t="shared" si="16"/>
        <v>152.19</v>
      </c>
      <c r="I63" s="41">
        <f t="shared" si="16"/>
        <v>167.14000000000001</v>
      </c>
      <c r="J63" s="41">
        <f t="shared" si="16"/>
        <v>185.73999999999998</v>
      </c>
      <c r="K63" s="41">
        <f t="shared" si="16"/>
        <v>199.55</v>
      </c>
      <c r="L63" s="41">
        <f t="shared" si="16"/>
        <v>213.04999999999998</v>
      </c>
      <c r="M63" s="41">
        <f t="shared" si="16"/>
        <v>224.07</v>
      </c>
      <c r="N63" s="41">
        <f t="shared" si="16"/>
        <v>222.6</v>
      </c>
      <c r="O63" s="41">
        <f t="shared" si="16"/>
        <v>219.74</v>
      </c>
      <c r="P63" s="41">
        <f t="shared" si="16"/>
        <v>220.73000000000002</v>
      </c>
      <c r="Q63" s="41">
        <f t="shared" si="16"/>
        <v>219.28</v>
      </c>
      <c r="R63" s="41">
        <f t="shared" si="16"/>
        <v>216.38</v>
      </c>
      <c r="S63" s="41">
        <f t="shared" si="16"/>
        <v>213.07999999999998</v>
      </c>
      <c r="T63" s="41">
        <f t="shared" si="16"/>
        <v>219.35</v>
      </c>
      <c r="U63" s="41">
        <f t="shared" si="16"/>
        <v>229.08</v>
      </c>
      <c r="V63" s="41">
        <f t="shared" si="16"/>
        <v>219.62</v>
      </c>
      <c r="W63" s="41">
        <f t="shared" si="16"/>
        <v>203.54000000000002</v>
      </c>
      <c r="X63" s="41">
        <f t="shared" si="16"/>
        <v>178.60999999999999</v>
      </c>
      <c r="Y63" s="41">
        <f t="shared" si="16"/>
        <v>152.79</v>
      </c>
      <c r="Z63" s="84">
        <f t="shared" si="10"/>
        <v>4419.2</v>
      </c>
      <c r="AA63" s="43">
        <f t="shared" si="11"/>
        <v>31</v>
      </c>
      <c r="AB63" s="59">
        <f t="shared" si="12"/>
        <v>4419.2</v>
      </c>
      <c r="AD63" s="79">
        <f t="shared" si="13"/>
        <v>0</v>
      </c>
      <c r="AF63" s="79"/>
    </row>
    <row r="64" spans="1:33" x14ac:dyDescent="0.35">
      <c r="A64" s="58">
        <f t="shared" si="8"/>
        <v>46478</v>
      </c>
      <c r="B64" s="41">
        <f t="shared" ref="B64:Y64" si="17">+B12*$AA12+B25*$AA25+B38*$AA38+B51*$AA51</f>
        <v>123.32000000000001</v>
      </c>
      <c r="C64" s="41">
        <f t="shared" si="17"/>
        <v>114.52</v>
      </c>
      <c r="D64" s="41">
        <f t="shared" si="17"/>
        <v>110.05999999999999</v>
      </c>
      <c r="E64" s="41">
        <f t="shared" si="17"/>
        <v>108.16</v>
      </c>
      <c r="F64" s="41">
        <f t="shared" si="17"/>
        <v>111.84</v>
      </c>
      <c r="G64" s="41">
        <f t="shared" si="17"/>
        <v>123.84</v>
      </c>
      <c r="H64" s="41">
        <f t="shared" si="17"/>
        <v>139.46</v>
      </c>
      <c r="I64" s="41">
        <f t="shared" si="17"/>
        <v>155.76000000000002</v>
      </c>
      <c r="J64" s="41">
        <f t="shared" si="17"/>
        <v>171.98</v>
      </c>
      <c r="K64" s="41">
        <f t="shared" si="17"/>
        <v>187.26</v>
      </c>
      <c r="L64" s="41">
        <f t="shared" si="17"/>
        <v>199.5</v>
      </c>
      <c r="M64" s="41">
        <f t="shared" si="17"/>
        <v>209.72</v>
      </c>
      <c r="N64" s="41">
        <f t="shared" si="17"/>
        <v>207.71999999999997</v>
      </c>
      <c r="O64" s="41">
        <f t="shared" si="17"/>
        <v>203.68</v>
      </c>
      <c r="P64" s="41">
        <f t="shared" si="17"/>
        <v>203.04</v>
      </c>
      <c r="Q64" s="41">
        <f t="shared" si="17"/>
        <v>202.18</v>
      </c>
      <c r="R64" s="41">
        <f t="shared" si="17"/>
        <v>199.62</v>
      </c>
      <c r="S64" s="41">
        <f t="shared" si="17"/>
        <v>197.22</v>
      </c>
      <c r="T64" s="41">
        <f t="shared" si="17"/>
        <v>205.14000000000001</v>
      </c>
      <c r="U64" s="41">
        <f t="shared" si="17"/>
        <v>210.62</v>
      </c>
      <c r="V64" s="41">
        <f t="shared" si="17"/>
        <v>201.26000000000002</v>
      </c>
      <c r="W64" s="41">
        <f t="shared" si="17"/>
        <v>186.2</v>
      </c>
      <c r="X64" s="41">
        <f t="shared" si="17"/>
        <v>163.5</v>
      </c>
      <c r="Y64" s="41">
        <f t="shared" si="17"/>
        <v>140.36000000000001</v>
      </c>
      <c r="Z64" s="84">
        <f t="shared" si="10"/>
        <v>4075.9599999999996</v>
      </c>
      <c r="AA64" s="43">
        <f t="shared" si="11"/>
        <v>30</v>
      </c>
      <c r="AB64" s="59">
        <f t="shared" si="12"/>
        <v>4075.9599999999996</v>
      </c>
      <c r="AD64" s="79">
        <f t="shared" si="13"/>
        <v>0</v>
      </c>
      <c r="AF64" s="79"/>
    </row>
    <row r="65" spans="1:32" x14ac:dyDescent="0.35">
      <c r="A65" s="58">
        <f t="shared" si="8"/>
        <v>46508</v>
      </c>
      <c r="B65" s="41">
        <f t="shared" ref="B65:Y65" si="18">+B13*$AA13+B26*$AA26+B39*$AA39+B52*$AA52</f>
        <v>108.02</v>
      </c>
      <c r="C65" s="41">
        <f t="shared" si="18"/>
        <v>100.41</v>
      </c>
      <c r="D65" s="41">
        <f t="shared" si="18"/>
        <v>96.309999999999988</v>
      </c>
      <c r="E65" s="41">
        <f t="shared" si="18"/>
        <v>94.240000000000009</v>
      </c>
      <c r="F65" s="41">
        <f t="shared" si="18"/>
        <v>97.19</v>
      </c>
      <c r="G65" s="41">
        <f t="shared" si="18"/>
        <v>105.14</v>
      </c>
      <c r="H65" s="41">
        <f t="shared" si="18"/>
        <v>119.28000000000002</v>
      </c>
      <c r="I65" s="41">
        <f t="shared" si="18"/>
        <v>133.19999999999999</v>
      </c>
      <c r="J65" s="41">
        <f t="shared" si="18"/>
        <v>148.5</v>
      </c>
      <c r="K65" s="41">
        <f t="shared" si="18"/>
        <v>160.85999999999999</v>
      </c>
      <c r="L65" s="41">
        <f t="shared" si="18"/>
        <v>171.75</v>
      </c>
      <c r="M65" s="41">
        <f t="shared" si="18"/>
        <v>180.86999999999998</v>
      </c>
      <c r="N65" s="41">
        <f t="shared" si="18"/>
        <v>179.09000000000003</v>
      </c>
      <c r="O65" s="41">
        <f t="shared" si="18"/>
        <v>175.75</v>
      </c>
      <c r="P65" s="41">
        <f t="shared" si="18"/>
        <v>174.76000000000002</v>
      </c>
      <c r="Q65" s="41">
        <f t="shared" si="18"/>
        <v>173.57000000000002</v>
      </c>
      <c r="R65" s="41">
        <f t="shared" si="18"/>
        <v>170.46</v>
      </c>
      <c r="S65" s="41">
        <f t="shared" si="18"/>
        <v>169.44999999999996</v>
      </c>
      <c r="T65" s="41">
        <f t="shared" si="18"/>
        <v>176.70999999999998</v>
      </c>
      <c r="U65" s="41">
        <f t="shared" si="18"/>
        <v>182.32</v>
      </c>
      <c r="V65" s="41">
        <f t="shared" si="18"/>
        <v>174.76000000000002</v>
      </c>
      <c r="W65" s="41">
        <f t="shared" si="18"/>
        <v>161.14000000000001</v>
      </c>
      <c r="X65" s="41">
        <f t="shared" si="18"/>
        <v>140.97999999999999</v>
      </c>
      <c r="Y65" s="41">
        <f t="shared" si="18"/>
        <v>120.96000000000001</v>
      </c>
      <c r="Z65" s="84">
        <f t="shared" si="10"/>
        <v>3515.72</v>
      </c>
      <c r="AA65" s="43">
        <f t="shared" si="11"/>
        <v>31</v>
      </c>
      <c r="AB65" s="59">
        <f t="shared" si="12"/>
        <v>3515.72</v>
      </c>
      <c r="AD65" s="79">
        <f t="shared" si="13"/>
        <v>0</v>
      </c>
      <c r="AF65" s="79"/>
    </row>
    <row r="66" spans="1:32" x14ac:dyDescent="0.35">
      <c r="A66" s="58">
        <f t="shared" si="8"/>
        <v>46539</v>
      </c>
      <c r="B66" s="41">
        <f t="shared" ref="B66:Y66" si="19">+B14*$AA14+B27*$AA27+B40*$AA40+B53*$AA53</f>
        <v>105.15</v>
      </c>
      <c r="C66" s="41">
        <f t="shared" si="19"/>
        <v>97.390000000000015</v>
      </c>
      <c r="D66" s="41">
        <f t="shared" si="19"/>
        <v>93.23</v>
      </c>
      <c r="E66" s="41">
        <f t="shared" si="19"/>
        <v>91.44</v>
      </c>
      <c r="F66" s="41">
        <f t="shared" si="19"/>
        <v>94.550000000000011</v>
      </c>
      <c r="G66" s="41">
        <f t="shared" si="19"/>
        <v>102.52000000000001</v>
      </c>
      <c r="H66" s="41">
        <f t="shared" si="19"/>
        <v>117.56000000000002</v>
      </c>
      <c r="I66" s="41">
        <f t="shared" si="19"/>
        <v>132.26000000000002</v>
      </c>
      <c r="J66" s="41">
        <f t="shared" si="19"/>
        <v>147.86999999999998</v>
      </c>
      <c r="K66" s="41">
        <f t="shared" si="19"/>
        <v>160.04</v>
      </c>
      <c r="L66" s="41">
        <f t="shared" si="19"/>
        <v>170.12000000000003</v>
      </c>
      <c r="M66" s="41">
        <f t="shared" si="19"/>
        <v>179.45</v>
      </c>
      <c r="N66" s="41">
        <f t="shared" si="19"/>
        <v>178.27</v>
      </c>
      <c r="O66" s="41">
        <f t="shared" si="19"/>
        <v>174.64</v>
      </c>
      <c r="P66" s="41">
        <f t="shared" si="19"/>
        <v>174.03</v>
      </c>
      <c r="Q66" s="41">
        <f t="shared" si="19"/>
        <v>172.55</v>
      </c>
      <c r="R66" s="41">
        <f t="shared" si="19"/>
        <v>169.89999999999998</v>
      </c>
      <c r="S66" s="41">
        <f t="shared" si="19"/>
        <v>168.07</v>
      </c>
      <c r="T66" s="41">
        <f t="shared" si="19"/>
        <v>173.81</v>
      </c>
      <c r="U66" s="41">
        <f t="shared" si="19"/>
        <v>181.42000000000002</v>
      </c>
      <c r="V66" s="41">
        <f t="shared" si="19"/>
        <v>173.51</v>
      </c>
      <c r="W66" s="41">
        <f t="shared" si="19"/>
        <v>159.57</v>
      </c>
      <c r="X66" s="41">
        <f t="shared" si="19"/>
        <v>139.03</v>
      </c>
      <c r="Y66" s="41">
        <f t="shared" si="19"/>
        <v>119.19</v>
      </c>
      <c r="Z66" s="84">
        <f t="shared" si="10"/>
        <v>3475.5700000000011</v>
      </c>
      <c r="AA66" s="43">
        <f t="shared" si="11"/>
        <v>30</v>
      </c>
      <c r="AB66" s="59">
        <f t="shared" si="12"/>
        <v>3475.5700000000006</v>
      </c>
      <c r="AD66" s="79">
        <f t="shared" si="13"/>
        <v>0</v>
      </c>
      <c r="AF66" s="79"/>
    </row>
    <row r="67" spans="1:32" ht="16" thickBot="1" x14ac:dyDescent="0.4">
      <c r="A67" s="60">
        <f t="shared" si="8"/>
        <v>46569</v>
      </c>
      <c r="B67" s="44">
        <f t="shared" ref="B67:Y67" si="20">+B15*$AA15+B28*$AA28+B41*$AA41+B54*$AA54</f>
        <v>119.53</v>
      </c>
      <c r="C67" s="44">
        <f t="shared" si="20"/>
        <v>111.39000000000001</v>
      </c>
      <c r="D67" s="44">
        <f t="shared" si="20"/>
        <v>106.30000000000001</v>
      </c>
      <c r="E67" s="44">
        <f t="shared" si="20"/>
        <v>104.16000000000001</v>
      </c>
      <c r="F67" s="44">
        <f t="shared" si="20"/>
        <v>107.34999999999998</v>
      </c>
      <c r="G67" s="44">
        <f t="shared" si="20"/>
        <v>116.94000000000001</v>
      </c>
      <c r="H67" s="44">
        <f t="shared" si="20"/>
        <v>131.71</v>
      </c>
      <c r="I67" s="44">
        <f t="shared" si="20"/>
        <v>147.88999999999999</v>
      </c>
      <c r="J67" s="44">
        <f t="shared" si="20"/>
        <v>165.96</v>
      </c>
      <c r="K67" s="44">
        <f t="shared" si="20"/>
        <v>180.24</v>
      </c>
      <c r="L67" s="44">
        <f t="shared" si="20"/>
        <v>191.64</v>
      </c>
      <c r="M67" s="44">
        <f t="shared" si="20"/>
        <v>202.63000000000002</v>
      </c>
      <c r="N67" s="44">
        <f t="shared" si="20"/>
        <v>200.88</v>
      </c>
      <c r="O67" s="44">
        <f t="shared" si="20"/>
        <v>196.66</v>
      </c>
      <c r="P67" s="44">
        <f t="shared" si="20"/>
        <v>196.09</v>
      </c>
      <c r="Q67" s="44">
        <f t="shared" si="20"/>
        <v>195.06000000000003</v>
      </c>
      <c r="R67" s="44">
        <f t="shared" si="20"/>
        <v>192.53</v>
      </c>
      <c r="S67" s="44">
        <f t="shared" si="20"/>
        <v>189.49</v>
      </c>
      <c r="T67" s="44">
        <f t="shared" si="20"/>
        <v>193.41999999999996</v>
      </c>
      <c r="U67" s="44">
        <f t="shared" si="20"/>
        <v>204.64</v>
      </c>
      <c r="V67" s="44">
        <f t="shared" si="20"/>
        <v>195.87999999999997</v>
      </c>
      <c r="W67" s="44">
        <f t="shared" si="20"/>
        <v>180.66000000000003</v>
      </c>
      <c r="X67" s="44">
        <f t="shared" si="20"/>
        <v>157.46999999999997</v>
      </c>
      <c r="Y67" s="44">
        <f t="shared" si="20"/>
        <v>136.06</v>
      </c>
      <c r="Z67" s="86">
        <f t="shared" si="10"/>
        <v>3924.5800000000004</v>
      </c>
      <c r="AA67" s="46">
        <f t="shared" si="11"/>
        <v>31</v>
      </c>
      <c r="AB67" s="61">
        <f t="shared" si="12"/>
        <v>3924.58</v>
      </c>
      <c r="AD67" s="79">
        <f t="shared" si="13"/>
        <v>0</v>
      </c>
      <c r="AF67" s="79"/>
    </row>
  </sheetData>
  <phoneticPr fontId="32" type="noConversion"/>
  <conditionalFormatting sqref="B1:Y1048576 AA8:AA16 AA21:AA29 AA34:AA42 AA47:AA56 A55 AA60:AA67">
    <cfRule type="cellIs" dxfId="2" priority="1" operator="lessThan">
      <formula>0</formula>
    </cfRule>
  </conditionalFormatting>
  <pageMargins left="0.75" right="0.75" top="1" bottom="1" header="0" footer="0"/>
  <pageSetup orientation="portrait" r:id="rId1"/>
  <headerFooter alignWithMargins="0"/>
  <ignoredErrors>
    <ignoredError sqref="Z8:Z15 Z21:Z28 Z34:Z41 Z47:Z54"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A8ADD-131E-44FD-92AC-DC535D9C335E}">
  <sheetPr>
    <tabColor theme="9" tint="0.39997558519241921"/>
  </sheetPr>
  <dimension ref="A1:M27"/>
  <sheetViews>
    <sheetView view="pageBreakPreview" topLeftCell="A13" zoomScale="70" zoomScaleNormal="100" zoomScaleSheetLayoutView="70" zoomScalePageLayoutView="30" workbookViewId="0">
      <selection activeCell="K4" sqref="K4"/>
    </sheetView>
  </sheetViews>
  <sheetFormatPr baseColWidth="10" defaultColWidth="17.81640625" defaultRowHeight="24.5" x14ac:dyDescent="0.45"/>
  <cols>
    <col min="1" max="1" width="11.453125" style="1" customWidth="1"/>
    <col min="2" max="2" width="16.453125" style="1" bestFit="1" customWidth="1"/>
    <col min="3" max="3" width="14.81640625" style="1" customWidth="1"/>
    <col min="4" max="4" width="16.453125" style="1" customWidth="1"/>
    <col min="5" max="5" width="24.26953125" style="1" bestFit="1" customWidth="1"/>
    <col min="6" max="6" width="21.1796875" style="1" customWidth="1"/>
    <col min="7" max="7" width="23" style="1" customWidth="1"/>
    <col min="8" max="10" width="22.7265625" style="1" customWidth="1"/>
    <col min="11" max="11" width="31.26953125" style="1" customWidth="1"/>
    <col min="12" max="12" width="15.453125" style="1" customWidth="1"/>
    <col min="13" max="13" width="8.81640625" style="1" bestFit="1" customWidth="1"/>
    <col min="14" max="16384" width="17.81640625" style="1"/>
  </cols>
  <sheetData>
    <row r="1" spans="1:13" ht="171" customHeight="1" x14ac:dyDescent="0.45"/>
    <row r="2" spans="1:13" x14ac:dyDescent="0.45">
      <c r="A2" s="2"/>
      <c r="B2" s="2"/>
      <c r="C2" s="2"/>
      <c r="D2" s="104" t="s">
        <v>0</v>
      </c>
      <c r="E2" s="104"/>
      <c r="F2" s="104"/>
      <c r="G2" s="104"/>
      <c r="H2" s="104"/>
      <c r="I2" s="104"/>
      <c r="J2" s="104"/>
      <c r="K2" s="2"/>
      <c r="L2" s="2"/>
      <c r="M2" s="2"/>
    </row>
    <row r="3" spans="1:13" ht="89.25" customHeight="1" x14ac:dyDescent="0.45">
      <c r="A3" s="2"/>
      <c r="B3" s="2"/>
      <c r="C3" s="105" t="s">
        <v>57</v>
      </c>
      <c r="D3" s="105"/>
      <c r="E3" s="105"/>
      <c r="F3" s="105"/>
      <c r="G3" s="105"/>
      <c r="H3" s="105"/>
      <c r="I3" s="105"/>
      <c r="J3" s="105"/>
      <c r="K3" s="105"/>
      <c r="L3" s="2"/>
      <c r="M3" s="2"/>
    </row>
    <row r="4" spans="1:13" x14ac:dyDescent="0.45">
      <c r="A4" s="2"/>
      <c r="B4" s="2"/>
      <c r="C4" s="3"/>
      <c r="D4" s="106" t="s">
        <v>53</v>
      </c>
      <c r="E4" s="106"/>
      <c r="F4" s="106"/>
      <c r="G4" s="106"/>
      <c r="H4" s="106"/>
      <c r="I4" s="106"/>
      <c r="J4" s="106"/>
      <c r="K4" s="3"/>
      <c r="L4" s="2"/>
      <c r="M4" s="2"/>
    </row>
    <row r="5" spans="1:13" ht="19.5" customHeight="1" x14ac:dyDescent="0.45">
      <c r="A5" s="4"/>
      <c r="B5" s="5"/>
      <c r="C5" s="5"/>
      <c r="D5" s="6"/>
      <c r="E5" s="7"/>
      <c r="F5" s="7"/>
      <c r="G5" s="7"/>
      <c r="H5" s="7"/>
      <c r="I5" s="7"/>
      <c r="J5" s="8"/>
      <c r="K5" s="9"/>
      <c r="L5" s="4"/>
      <c r="M5" s="4"/>
    </row>
    <row r="6" spans="1:13" x14ac:dyDescent="0.45">
      <c r="A6" s="4"/>
      <c r="B6" s="5"/>
      <c r="C6" s="10" t="s">
        <v>1</v>
      </c>
      <c r="D6" s="5"/>
      <c r="E6" s="5"/>
      <c r="G6" s="5"/>
      <c r="H6" s="5"/>
      <c r="I6" s="5"/>
      <c r="J6" s="5"/>
      <c r="K6" s="9"/>
      <c r="L6" s="4"/>
      <c r="M6" s="4"/>
    </row>
    <row r="7" spans="1:13" x14ac:dyDescent="0.45">
      <c r="A7" s="4"/>
      <c r="B7" s="5"/>
      <c r="C7" s="10" t="s">
        <v>2</v>
      </c>
      <c r="D7" s="5"/>
      <c r="E7" s="5"/>
      <c r="G7" s="5"/>
      <c r="H7" s="5"/>
      <c r="I7" s="5"/>
      <c r="J7" s="5"/>
      <c r="K7" s="9"/>
      <c r="L7" s="4"/>
      <c r="M7" s="4"/>
    </row>
    <row r="8" spans="1:13" x14ac:dyDescent="0.45">
      <c r="B8" s="11"/>
      <c r="C8" s="10" t="s">
        <v>3</v>
      </c>
      <c r="D8" s="5"/>
      <c r="E8" s="5"/>
      <c r="G8" s="11"/>
      <c r="H8" s="11"/>
      <c r="I8" s="11"/>
      <c r="J8" s="11"/>
      <c r="K8" s="12"/>
    </row>
    <row r="9" spans="1:13" x14ac:dyDescent="0.45">
      <c r="B9" s="11"/>
      <c r="C9" s="13" t="str">
        <f>"PRODUCTO OFERTADO: "&amp;D4</f>
        <v>PRODUCTO OFERTADO: PRODUCTO No. 2</v>
      </c>
      <c r="D9" s="5"/>
      <c r="E9" s="5"/>
      <c r="G9" s="11"/>
      <c r="H9" s="11"/>
      <c r="I9" s="11"/>
      <c r="J9" s="11"/>
      <c r="K9" s="12"/>
    </row>
    <row r="10" spans="1:13" x14ac:dyDescent="0.45">
      <c r="B10" s="11"/>
      <c r="C10" s="13"/>
      <c r="D10" s="5"/>
      <c r="E10" s="5"/>
      <c r="G10" s="11"/>
      <c r="H10" s="11"/>
      <c r="I10" s="11"/>
      <c r="J10" s="11"/>
      <c r="K10" s="12"/>
    </row>
    <row r="11" spans="1:13" x14ac:dyDescent="0.45">
      <c r="B11" s="11"/>
      <c r="C11" s="10" t="s">
        <v>56</v>
      </c>
      <c r="D11" s="14"/>
      <c r="E11" s="14"/>
      <c r="F11" s="15"/>
      <c r="G11" s="11"/>
      <c r="H11" s="11"/>
      <c r="I11" s="11"/>
      <c r="J11" s="11"/>
      <c r="K11" s="12"/>
    </row>
    <row r="12" spans="1:13" x14ac:dyDescent="0.45">
      <c r="B12" s="16"/>
      <c r="C12" s="15"/>
    </row>
    <row r="13" spans="1:13" x14ac:dyDescent="0.45">
      <c r="F13" s="107" t="str">
        <f>"Oferta " &amp; PROPER(D4)</f>
        <v>Oferta Producto No. 2</v>
      </c>
      <c r="G13" s="107"/>
      <c r="H13" s="107"/>
      <c r="I13" s="107"/>
      <c r="J13" s="107"/>
    </row>
    <row r="14" spans="1:13" ht="72.75" customHeight="1" x14ac:dyDescent="0.45">
      <c r="E14" s="78"/>
      <c r="F14" s="77" t="s">
        <v>4</v>
      </c>
      <c r="G14" s="17" t="s">
        <v>50</v>
      </c>
      <c r="H14" s="17" t="s">
        <v>38</v>
      </c>
      <c r="I14" s="17" t="s">
        <v>51</v>
      </c>
      <c r="J14" s="18" t="s">
        <v>5</v>
      </c>
    </row>
    <row r="15" spans="1:13" x14ac:dyDescent="0.45">
      <c r="A15" s="19"/>
      <c r="B15" s="20"/>
      <c r="F15" s="21">
        <v>46357</v>
      </c>
      <c r="G15" s="36">
        <f>+SUMIFS('Cantidades Producto No. 2'!$AB$29:$AB$29,'Cantidades Producto No. 2'!$A$29:$A$29,'Oferta Producto No. 2'!F15)</f>
        <v>3826.3599999999992</v>
      </c>
      <c r="H15" s="108"/>
      <c r="I15" s="36"/>
      <c r="J15" s="97"/>
      <c r="K15" s="64"/>
      <c r="L15" s="22"/>
      <c r="M15" s="22"/>
    </row>
    <row r="16" spans="1:13" x14ac:dyDescent="0.45">
      <c r="F16" s="23" t="s">
        <v>6</v>
      </c>
      <c r="G16" s="25">
        <f>SUM(G15:G15)</f>
        <v>3826.3599999999992</v>
      </c>
      <c r="H16" s="109"/>
      <c r="I16" s="36"/>
      <c r="J16" s="65"/>
    </row>
    <row r="17" spans="1:12" x14ac:dyDescent="0.45">
      <c r="F17" s="26"/>
      <c r="G17" s="24"/>
    </row>
    <row r="18" spans="1:12" x14ac:dyDescent="0.45">
      <c r="B18" s="27" t="s">
        <v>7</v>
      </c>
      <c r="C18" s="28"/>
      <c r="D18" s="28"/>
      <c r="E18" s="28"/>
      <c r="F18" s="28"/>
      <c r="G18" s="28"/>
      <c r="L18" s="28"/>
    </row>
    <row r="19" spans="1:12" x14ac:dyDescent="0.45">
      <c r="B19" s="27"/>
      <c r="C19" s="28"/>
      <c r="D19" s="28"/>
      <c r="E19" s="28"/>
      <c r="F19" s="28"/>
      <c r="G19" s="28"/>
      <c r="H19" s="28"/>
      <c r="I19" s="28"/>
      <c r="J19" s="28"/>
      <c r="K19" s="28"/>
      <c r="L19" s="28"/>
    </row>
    <row r="20" spans="1:12" ht="24.75" customHeight="1" x14ac:dyDescent="0.45">
      <c r="B20" s="103" t="s">
        <v>8</v>
      </c>
      <c r="C20" s="103"/>
      <c r="D20" s="103"/>
      <c r="E20" s="103"/>
      <c r="F20" s="103"/>
      <c r="G20" s="103"/>
      <c r="H20" s="103"/>
      <c r="I20" s="103"/>
      <c r="J20" s="103"/>
      <c r="K20" s="103"/>
      <c r="L20" s="103"/>
    </row>
    <row r="21" spans="1:12" ht="39" customHeight="1" x14ac:dyDescent="0.45">
      <c r="B21" s="103" t="str">
        <f>"(2) Las cantidades se distribuyen de acuerdo a la curva del Anexo 1. Ofertas y Cantidades "&amp; D4 &amp;" de los Pliegos de Condiciones Preliminares."</f>
        <v>(2) Las cantidades se distribuyen de acuerdo a la curva del Anexo 1. Ofertas y Cantidades PRODUCTO No. 2 de los Pliegos de Condiciones Preliminares.</v>
      </c>
      <c r="C21" s="103"/>
      <c r="D21" s="103"/>
      <c r="E21" s="103"/>
      <c r="F21" s="103"/>
      <c r="G21" s="103"/>
      <c r="H21" s="103"/>
      <c r="I21" s="103"/>
      <c r="J21" s="103"/>
      <c r="K21" s="103"/>
      <c r="L21" s="103"/>
    </row>
    <row r="22" spans="1:12" ht="83.25" customHeight="1" x14ac:dyDescent="0.45">
      <c r="B22" s="103" t="s">
        <v>59</v>
      </c>
      <c r="C22" s="103"/>
      <c r="D22" s="103"/>
      <c r="E22" s="103"/>
      <c r="F22" s="103"/>
      <c r="G22" s="103"/>
      <c r="H22" s="103"/>
      <c r="I22" s="103"/>
      <c r="J22" s="103"/>
      <c r="K22" s="103"/>
      <c r="L22" s="103"/>
    </row>
    <row r="23" spans="1:12" ht="43.5" customHeight="1" x14ac:dyDescent="0.45">
      <c r="B23" s="113" t="s">
        <v>39</v>
      </c>
      <c r="C23" s="113"/>
      <c r="D23" s="113"/>
      <c r="E23" s="113"/>
      <c r="F23" s="113"/>
      <c r="G23" s="113"/>
      <c r="H23" s="113"/>
      <c r="I23" s="113"/>
      <c r="J23" s="113"/>
      <c r="K23" s="113"/>
      <c r="L23" s="113"/>
    </row>
    <row r="24" spans="1:12" ht="48" customHeight="1" x14ac:dyDescent="0.45">
      <c r="B24" s="113" t="s">
        <v>40</v>
      </c>
      <c r="C24" s="113"/>
      <c r="D24" s="113"/>
      <c r="E24" s="113"/>
      <c r="F24" s="113"/>
      <c r="G24" s="113"/>
      <c r="H24" s="113"/>
      <c r="I24" s="113"/>
      <c r="J24" s="113"/>
      <c r="K24" s="113"/>
      <c r="L24" s="113"/>
    </row>
    <row r="25" spans="1:12" ht="80.25" customHeight="1" x14ac:dyDescent="0.45">
      <c r="A25" s="15"/>
      <c r="B25" s="113" t="s">
        <v>52</v>
      </c>
      <c r="C25" s="113"/>
      <c r="D25" s="113"/>
      <c r="E25" s="113"/>
      <c r="F25" s="113"/>
      <c r="G25" s="113"/>
      <c r="H25" s="113"/>
      <c r="I25" s="113"/>
      <c r="J25" s="113"/>
      <c r="K25" s="113"/>
      <c r="L25" s="113"/>
    </row>
    <row r="27" spans="1:12" ht="24.75" customHeight="1" x14ac:dyDescent="0.45">
      <c r="B27" s="29"/>
      <c r="C27" s="29"/>
      <c r="D27" s="29"/>
      <c r="E27" s="29"/>
      <c r="F27" s="29"/>
      <c r="G27" s="29"/>
      <c r="H27" s="29"/>
      <c r="I27" s="29"/>
      <c r="J27" s="29"/>
      <c r="K27" s="29"/>
      <c r="L27" s="29"/>
    </row>
  </sheetData>
  <mergeCells count="11">
    <mergeCell ref="B25:L25"/>
    <mergeCell ref="D2:J2"/>
    <mergeCell ref="C3:K3"/>
    <mergeCell ref="D4:J4"/>
    <mergeCell ref="F13:J13"/>
    <mergeCell ref="H15:H16"/>
    <mergeCell ref="B20:L20"/>
    <mergeCell ref="B21:L21"/>
    <mergeCell ref="B22:L22"/>
    <mergeCell ref="B23:L23"/>
    <mergeCell ref="B24:L24"/>
  </mergeCells>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D993E-3741-4A07-8E8F-7CF81561F3B6}">
  <sheetPr>
    <tabColor theme="9" tint="0.39997558519241921"/>
  </sheetPr>
  <dimension ref="A1:AG29"/>
  <sheetViews>
    <sheetView showGridLines="0" zoomScale="70" zoomScaleNormal="70" workbookViewId="0">
      <selection activeCell="AA29" sqref="AA29"/>
    </sheetView>
  </sheetViews>
  <sheetFormatPr baseColWidth="10" defaultColWidth="14.453125" defaultRowHeight="15.5" x14ac:dyDescent="0.35"/>
  <cols>
    <col min="1" max="1" width="13" style="30" customWidth="1"/>
    <col min="2" max="2" width="8.54296875" style="31" bestFit="1" customWidth="1"/>
    <col min="3" max="4" width="8.453125" style="31" bestFit="1" customWidth="1"/>
    <col min="5" max="6" width="8.54296875" style="31" bestFit="1" customWidth="1"/>
    <col min="7" max="7" width="8.453125" style="31" bestFit="1" customWidth="1"/>
    <col min="8" max="25" width="8.54296875" style="31" bestFit="1" customWidth="1"/>
    <col min="26" max="26" width="9.1796875" style="32" bestFit="1" customWidth="1"/>
    <col min="27" max="27" width="9.54296875" style="30" bestFit="1" customWidth="1"/>
    <col min="28" max="28" width="9.7265625" style="30" customWidth="1"/>
    <col min="29" max="29" width="5.26953125" style="30" bestFit="1" customWidth="1"/>
    <col min="30" max="16384" width="14.453125" style="30"/>
  </cols>
  <sheetData>
    <row r="1" spans="1:33" ht="93" customHeight="1" x14ac:dyDescent="0.35"/>
    <row r="2" spans="1:33" ht="23" x14ac:dyDescent="0.5">
      <c r="A2" s="101" t="s">
        <v>9</v>
      </c>
    </row>
    <row r="3" spans="1:33" ht="20" x14ac:dyDescent="0.4">
      <c r="A3" s="102" t="s">
        <v>53</v>
      </c>
    </row>
    <row r="4" spans="1:33" ht="16" thickBot="1" x14ac:dyDescent="0.4"/>
    <row r="5" spans="1:33" ht="16" thickBot="1" x14ac:dyDescent="0.4">
      <c r="A5" s="33" t="s">
        <v>42</v>
      </c>
      <c r="B5" s="47"/>
      <c r="C5" s="47"/>
      <c r="D5" s="47"/>
      <c r="E5" s="48"/>
      <c r="F5" s="47"/>
      <c r="G5" s="47"/>
      <c r="H5" s="47"/>
      <c r="I5" s="47"/>
      <c r="J5" s="47"/>
      <c r="K5" s="49"/>
      <c r="L5" s="49"/>
      <c r="M5" s="49"/>
      <c r="N5" s="49"/>
      <c r="O5" s="49"/>
      <c r="P5" s="49"/>
      <c r="Q5" s="49"/>
      <c r="R5" s="49"/>
      <c r="S5" s="49"/>
      <c r="T5" s="49"/>
      <c r="U5" s="49"/>
      <c r="V5" s="49"/>
      <c r="W5" s="49"/>
      <c r="X5" s="49"/>
      <c r="Y5" s="49"/>
      <c r="Z5" s="50"/>
      <c r="AA5"/>
      <c r="AB5" s="51"/>
    </row>
    <row r="6" spans="1:33" ht="16" thickBot="1" x14ac:dyDescent="0.4">
      <c r="A6"/>
      <c r="B6" s="47"/>
      <c r="C6" s="47"/>
      <c r="D6" s="47"/>
      <c r="E6" s="47"/>
      <c r="F6" s="47"/>
      <c r="G6" s="47"/>
      <c r="H6" s="47"/>
      <c r="I6" s="47"/>
      <c r="J6" s="47"/>
      <c r="K6" s="52"/>
      <c r="L6" s="52"/>
      <c r="M6" s="52"/>
      <c r="N6" s="52"/>
      <c r="O6" s="52"/>
      <c r="P6" s="52"/>
      <c r="Q6" s="52"/>
      <c r="R6" s="52"/>
      <c r="S6" s="52"/>
      <c r="T6" s="52"/>
      <c r="U6" s="52"/>
      <c r="V6" s="52"/>
      <c r="W6" s="52"/>
      <c r="X6" s="52"/>
      <c r="Y6" s="52"/>
      <c r="Z6" s="50"/>
      <c r="AA6"/>
      <c r="AB6"/>
    </row>
    <row r="7" spans="1:33" ht="16" customHeight="1" thickBot="1" x14ac:dyDescent="0.4">
      <c r="A7" s="53" t="s">
        <v>10</v>
      </c>
      <c r="B7" s="54" t="s">
        <v>11</v>
      </c>
      <c r="C7" s="54" t="s">
        <v>12</v>
      </c>
      <c r="D7" s="54" t="s">
        <v>13</v>
      </c>
      <c r="E7" s="54" t="s">
        <v>14</v>
      </c>
      <c r="F7" s="54" t="s">
        <v>15</v>
      </c>
      <c r="G7" s="54" t="s">
        <v>16</v>
      </c>
      <c r="H7" s="54" t="s">
        <v>17</v>
      </c>
      <c r="I7" s="54" t="s">
        <v>18</v>
      </c>
      <c r="J7" s="54" t="s">
        <v>19</v>
      </c>
      <c r="K7" s="54" t="s">
        <v>20</v>
      </c>
      <c r="L7" s="54" t="s">
        <v>21</v>
      </c>
      <c r="M7" s="54" t="s">
        <v>22</v>
      </c>
      <c r="N7" s="54" t="s">
        <v>23</v>
      </c>
      <c r="O7" s="54" t="s">
        <v>24</v>
      </c>
      <c r="P7" s="54" t="s">
        <v>25</v>
      </c>
      <c r="Q7" s="54" t="s">
        <v>26</v>
      </c>
      <c r="R7" s="54" t="s">
        <v>27</v>
      </c>
      <c r="S7" s="54" t="s">
        <v>28</v>
      </c>
      <c r="T7" s="54" t="s">
        <v>29</v>
      </c>
      <c r="U7" s="54" t="s">
        <v>30</v>
      </c>
      <c r="V7" s="54" t="s">
        <v>31</v>
      </c>
      <c r="W7" s="54" t="s">
        <v>32</v>
      </c>
      <c r="X7" s="54" t="s">
        <v>33</v>
      </c>
      <c r="Y7" s="54" t="s">
        <v>34</v>
      </c>
      <c r="Z7" s="54" t="s">
        <v>6</v>
      </c>
      <c r="AA7" s="34" t="s">
        <v>35</v>
      </c>
      <c r="AB7" s="55"/>
    </row>
    <row r="8" spans="1:33" ht="16" thickBot="1" x14ac:dyDescent="0.4">
      <c r="A8" s="60">
        <v>46357</v>
      </c>
      <c r="B8" s="44">
        <v>3.97</v>
      </c>
      <c r="C8" s="44">
        <v>3.67</v>
      </c>
      <c r="D8" s="44">
        <v>3.52</v>
      </c>
      <c r="E8" s="44">
        <v>3.45</v>
      </c>
      <c r="F8" s="44">
        <v>3.53</v>
      </c>
      <c r="G8" s="44">
        <v>3.77</v>
      </c>
      <c r="H8" s="44">
        <v>4.24</v>
      </c>
      <c r="I8" s="44">
        <v>4.7699999999999996</v>
      </c>
      <c r="J8" s="44">
        <v>5.38</v>
      </c>
      <c r="K8" s="44">
        <v>5.76</v>
      </c>
      <c r="L8" s="44">
        <v>6.08</v>
      </c>
      <c r="M8" s="44">
        <v>6.42</v>
      </c>
      <c r="N8" s="44">
        <v>6.45</v>
      </c>
      <c r="O8" s="44">
        <v>6.42</v>
      </c>
      <c r="P8" s="44">
        <v>6.52</v>
      </c>
      <c r="Q8" s="44">
        <v>6.53</v>
      </c>
      <c r="R8" s="44">
        <v>6.42</v>
      </c>
      <c r="S8" s="44">
        <v>6.33</v>
      </c>
      <c r="T8" s="44">
        <v>6.64</v>
      </c>
      <c r="U8" s="44">
        <v>6.61</v>
      </c>
      <c r="V8" s="44">
        <v>6.28</v>
      </c>
      <c r="W8" s="44">
        <v>5.85</v>
      </c>
      <c r="X8" s="44">
        <v>5.21</v>
      </c>
      <c r="Y8" s="44">
        <v>4.5599999999999996</v>
      </c>
      <c r="Z8" s="86">
        <f t="shared" ref="Z8" si="0">SUM(B8:Y8)</f>
        <v>128.37999999999997</v>
      </c>
      <c r="AA8" s="46">
        <v>21</v>
      </c>
      <c r="AB8" s="61">
        <f>+Z8*AA8</f>
        <v>2695.9799999999991</v>
      </c>
      <c r="AD8" s="30" t="s">
        <v>43</v>
      </c>
    </row>
    <row r="9" spans="1:33" x14ac:dyDescent="0.35">
      <c r="A9" s="67"/>
      <c r="B9" s="68"/>
      <c r="C9" s="68"/>
      <c r="D9" s="68"/>
      <c r="E9" s="68"/>
      <c r="F9" s="68"/>
      <c r="G9" s="68"/>
      <c r="H9" s="68"/>
      <c r="I9" s="68"/>
      <c r="J9" s="68"/>
      <c r="K9" s="68"/>
      <c r="L9" s="68"/>
      <c r="M9" s="68"/>
      <c r="N9" s="68"/>
      <c r="O9" s="68"/>
      <c r="P9" s="68"/>
      <c r="Q9" s="68"/>
      <c r="R9" s="68"/>
      <c r="S9" s="68"/>
      <c r="T9" s="68"/>
      <c r="U9" s="68"/>
      <c r="V9" s="68"/>
      <c r="W9" s="68"/>
      <c r="X9" s="68"/>
      <c r="Y9" s="68"/>
      <c r="Z9" s="69"/>
      <c r="AA9" s="70"/>
      <c r="AB9" s="71"/>
    </row>
    <row r="10" spans="1:33" ht="16" thickBot="1" x14ac:dyDescent="0.4">
      <c r="A10"/>
      <c r="B10" s="62"/>
      <c r="C10" s="52"/>
      <c r="D10" s="52"/>
      <c r="E10" s="52"/>
      <c r="F10" s="52"/>
      <c r="G10" s="52"/>
      <c r="H10" s="52"/>
      <c r="I10" s="52"/>
      <c r="J10" s="52"/>
      <c r="K10" s="52"/>
      <c r="L10" s="52"/>
      <c r="M10" s="52"/>
      <c r="N10" s="52"/>
      <c r="O10" s="52"/>
      <c r="P10" s="52"/>
      <c r="Q10" s="52"/>
      <c r="R10" s="52"/>
      <c r="S10" s="52"/>
      <c r="T10" s="52"/>
      <c r="U10" s="52"/>
      <c r="V10" s="52"/>
      <c r="W10" s="52"/>
      <c r="X10" s="52"/>
      <c r="Y10" s="52"/>
      <c r="Z10" s="50"/>
      <c r="AA10" s="35"/>
      <c r="AB10"/>
    </row>
    <row r="11" spans="1:33" ht="16" thickBot="1" x14ac:dyDescent="0.4">
      <c r="A11" s="33" t="s">
        <v>44</v>
      </c>
      <c r="B11" s="52"/>
      <c r="C11" s="52"/>
      <c r="D11" s="52"/>
      <c r="E11" s="63"/>
      <c r="F11" s="52"/>
      <c r="G11" s="52"/>
      <c r="H11" s="52"/>
      <c r="I11" s="52"/>
      <c r="J11" s="52"/>
      <c r="K11" s="52"/>
      <c r="L11" s="52"/>
      <c r="M11" s="52"/>
      <c r="N11" s="52"/>
      <c r="O11" s="52"/>
      <c r="P11" s="52"/>
      <c r="Q11" s="52"/>
      <c r="R11" s="52"/>
      <c r="S11" s="52"/>
      <c r="T11" s="52"/>
      <c r="U11" s="52"/>
      <c r="V11" s="52"/>
      <c r="W11" s="52"/>
      <c r="X11" s="52"/>
      <c r="Y11" s="52"/>
      <c r="Z11" s="50"/>
      <c r="AA11" s="35"/>
      <c r="AB11"/>
    </row>
    <row r="12" spans="1:33" ht="16" thickBot="1" x14ac:dyDescent="0.4">
      <c r="A12"/>
      <c r="B12" s="62"/>
      <c r="C12" s="52"/>
      <c r="D12" s="52"/>
      <c r="E12" s="52"/>
      <c r="F12" s="52"/>
      <c r="G12" s="52"/>
      <c r="H12" s="52"/>
      <c r="I12" s="52"/>
      <c r="J12" s="52"/>
      <c r="K12" s="52"/>
      <c r="L12" s="52"/>
      <c r="M12" s="52"/>
      <c r="N12" s="52"/>
      <c r="O12" s="52"/>
      <c r="P12" s="52"/>
      <c r="Q12" s="52"/>
      <c r="R12" s="52"/>
      <c r="S12" s="52"/>
      <c r="T12" s="52"/>
      <c r="U12" s="52"/>
      <c r="V12" s="52"/>
      <c r="W12" s="52"/>
      <c r="X12" s="52"/>
      <c r="Y12" s="52"/>
      <c r="Z12" s="50"/>
      <c r="AA12"/>
      <c r="AB12"/>
    </row>
    <row r="13" spans="1:33" ht="16" thickBot="1" x14ac:dyDescent="0.4">
      <c r="A13" s="53" t="s">
        <v>10</v>
      </c>
      <c r="B13" s="54" t="s">
        <v>11</v>
      </c>
      <c r="C13" s="54" t="s">
        <v>12</v>
      </c>
      <c r="D13" s="54" t="s">
        <v>13</v>
      </c>
      <c r="E13" s="54" t="s">
        <v>14</v>
      </c>
      <c r="F13" s="54" t="s">
        <v>15</v>
      </c>
      <c r="G13" s="54" t="s">
        <v>16</v>
      </c>
      <c r="H13" s="54" t="s">
        <v>17</v>
      </c>
      <c r="I13" s="54" t="s">
        <v>18</v>
      </c>
      <c r="J13" s="54" t="s">
        <v>19</v>
      </c>
      <c r="K13" s="54" t="s">
        <v>20</v>
      </c>
      <c r="L13" s="54" t="s">
        <v>21</v>
      </c>
      <c r="M13" s="54" t="s">
        <v>22</v>
      </c>
      <c r="N13" s="54" t="s">
        <v>23</v>
      </c>
      <c r="O13" s="54" t="s">
        <v>24</v>
      </c>
      <c r="P13" s="54" t="s">
        <v>25</v>
      </c>
      <c r="Q13" s="54" t="s">
        <v>26</v>
      </c>
      <c r="R13" s="54" t="s">
        <v>27</v>
      </c>
      <c r="S13" s="54" t="s">
        <v>28</v>
      </c>
      <c r="T13" s="54" t="s">
        <v>29</v>
      </c>
      <c r="U13" s="54" t="s">
        <v>30</v>
      </c>
      <c r="V13" s="54" t="s">
        <v>31</v>
      </c>
      <c r="W13" s="54" t="s">
        <v>32</v>
      </c>
      <c r="X13" s="54" t="s">
        <v>33</v>
      </c>
      <c r="Y13" s="54" t="s">
        <v>34</v>
      </c>
      <c r="Z13" s="54" t="s">
        <v>6</v>
      </c>
      <c r="AA13" s="34" t="s">
        <v>35</v>
      </c>
      <c r="AB13" s="55"/>
    </row>
    <row r="14" spans="1:33" ht="16" thickBot="1" x14ac:dyDescent="0.4">
      <c r="A14" s="60">
        <v>46357</v>
      </c>
      <c r="B14" s="44">
        <v>4.1100000000000003</v>
      </c>
      <c r="C14" s="44">
        <v>3.79</v>
      </c>
      <c r="D14" s="44">
        <v>3.61</v>
      </c>
      <c r="E14" s="44">
        <v>3.5</v>
      </c>
      <c r="F14" s="44">
        <v>3.53</v>
      </c>
      <c r="G14" s="44">
        <v>3.68</v>
      </c>
      <c r="H14" s="44">
        <v>4.04</v>
      </c>
      <c r="I14" s="44">
        <v>4.54</v>
      </c>
      <c r="J14" s="44">
        <v>5.12</v>
      </c>
      <c r="K14" s="44">
        <v>5.57</v>
      </c>
      <c r="L14" s="44">
        <v>5.87</v>
      </c>
      <c r="M14" s="44">
        <v>6.1</v>
      </c>
      <c r="N14" s="44">
        <v>6.1</v>
      </c>
      <c r="O14" s="44">
        <v>5.97</v>
      </c>
      <c r="P14" s="44">
        <v>5.89</v>
      </c>
      <c r="Q14" s="44">
        <v>5.83</v>
      </c>
      <c r="R14" s="44">
        <v>5.8</v>
      </c>
      <c r="S14" s="44">
        <v>5.82</v>
      </c>
      <c r="T14" s="44">
        <v>6.25</v>
      </c>
      <c r="U14" s="44">
        <v>6.23</v>
      </c>
      <c r="V14" s="44">
        <v>5.92</v>
      </c>
      <c r="W14" s="44">
        <v>5.55</v>
      </c>
      <c r="X14" s="44">
        <v>5.08</v>
      </c>
      <c r="Y14" s="44">
        <v>4.57</v>
      </c>
      <c r="Z14" s="86">
        <f t="shared" ref="Z14" si="1">SUM(B14:Y14)</f>
        <v>122.47</v>
      </c>
      <c r="AA14" s="46">
        <v>4</v>
      </c>
      <c r="AB14" s="61">
        <f>+Z14*AA14</f>
        <v>489.88</v>
      </c>
      <c r="AD14" s="30" t="s">
        <v>45</v>
      </c>
      <c r="AG14" s="66"/>
    </row>
    <row r="15" spans="1:33" ht="16" thickBot="1" x14ac:dyDescent="0.4">
      <c r="A15"/>
      <c r="B15" s="62"/>
      <c r="C15" s="52"/>
      <c r="D15" s="52"/>
      <c r="E15" s="52"/>
      <c r="F15" s="52"/>
      <c r="G15" s="52"/>
      <c r="H15" s="52"/>
      <c r="I15" s="52"/>
      <c r="J15" s="52"/>
      <c r="K15" s="52"/>
      <c r="L15" s="52"/>
      <c r="M15" s="52"/>
      <c r="N15" s="52"/>
      <c r="O15" s="52"/>
      <c r="P15" s="52"/>
      <c r="Q15" s="52"/>
      <c r="R15" s="52"/>
      <c r="S15" s="52"/>
      <c r="T15" s="52"/>
      <c r="U15" s="52"/>
      <c r="V15" s="52"/>
      <c r="W15" s="52"/>
      <c r="X15" s="52"/>
      <c r="Y15" s="52"/>
      <c r="Z15" s="50"/>
      <c r="AA15" s="35"/>
      <c r="AB15"/>
    </row>
    <row r="16" spans="1:33" ht="16" thickBot="1" x14ac:dyDescent="0.4">
      <c r="A16" s="33" t="s">
        <v>46</v>
      </c>
      <c r="B16" s="52"/>
      <c r="C16" s="52"/>
      <c r="D16" s="52"/>
      <c r="E16" s="63"/>
      <c r="F16" s="52"/>
      <c r="G16" s="52"/>
      <c r="H16" s="52"/>
      <c r="I16" s="52"/>
      <c r="J16" s="52"/>
      <c r="K16" s="52"/>
      <c r="L16" s="52"/>
      <c r="M16" s="52"/>
      <c r="N16" s="52"/>
      <c r="O16" s="52"/>
      <c r="P16" s="52"/>
      <c r="Q16" s="52"/>
      <c r="R16" s="52"/>
      <c r="S16" s="52"/>
      <c r="T16" s="52"/>
      <c r="U16" s="52"/>
      <c r="V16" s="52"/>
      <c r="W16" s="52"/>
      <c r="X16" s="52"/>
      <c r="Y16" s="52"/>
      <c r="Z16" s="50"/>
      <c r="AA16" s="35"/>
      <c r="AB16"/>
    </row>
    <row r="17" spans="1:33" ht="16" thickBot="1" x14ac:dyDescent="0.4">
      <c r="A17"/>
      <c r="B17" s="62"/>
      <c r="C17" s="52"/>
      <c r="D17" s="52"/>
      <c r="E17" s="52"/>
      <c r="F17" s="52"/>
      <c r="G17" s="52"/>
      <c r="H17" s="52"/>
      <c r="I17" s="52"/>
      <c r="J17" s="52"/>
      <c r="K17" s="52"/>
      <c r="L17" s="52"/>
      <c r="M17" s="52"/>
      <c r="N17" s="52"/>
      <c r="O17" s="52"/>
      <c r="P17" s="52"/>
      <c r="Q17" s="52"/>
      <c r="R17" s="52"/>
      <c r="S17" s="52"/>
      <c r="T17" s="52"/>
      <c r="U17" s="52"/>
      <c r="V17" s="52"/>
      <c r="W17" s="52"/>
      <c r="X17" s="52"/>
      <c r="Y17" s="52"/>
      <c r="Z17" s="50"/>
      <c r="AA17"/>
      <c r="AB17"/>
    </row>
    <row r="18" spans="1:33" ht="16" thickBot="1" x14ac:dyDescent="0.4">
      <c r="A18" s="53" t="s">
        <v>10</v>
      </c>
      <c r="B18" s="54" t="s">
        <v>11</v>
      </c>
      <c r="C18" s="54" t="s">
        <v>12</v>
      </c>
      <c r="D18" s="54" t="s">
        <v>13</v>
      </c>
      <c r="E18" s="54" t="s">
        <v>14</v>
      </c>
      <c r="F18" s="54" t="s">
        <v>15</v>
      </c>
      <c r="G18" s="54" t="s">
        <v>16</v>
      </c>
      <c r="H18" s="54" t="s">
        <v>17</v>
      </c>
      <c r="I18" s="54" t="s">
        <v>18</v>
      </c>
      <c r="J18" s="54" t="s">
        <v>19</v>
      </c>
      <c r="K18" s="54" t="s">
        <v>20</v>
      </c>
      <c r="L18" s="54" t="s">
        <v>21</v>
      </c>
      <c r="M18" s="54" t="s">
        <v>22</v>
      </c>
      <c r="N18" s="54" t="s">
        <v>23</v>
      </c>
      <c r="O18" s="54" t="s">
        <v>24</v>
      </c>
      <c r="P18" s="54" t="s">
        <v>25</v>
      </c>
      <c r="Q18" s="54" t="s">
        <v>26</v>
      </c>
      <c r="R18" s="54" t="s">
        <v>27</v>
      </c>
      <c r="S18" s="54" t="s">
        <v>28</v>
      </c>
      <c r="T18" s="54" t="s">
        <v>29</v>
      </c>
      <c r="U18" s="54" t="s">
        <v>30</v>
      </c>
      <c r="V18" s="54" t="s">
        <v>31</v>
      </c>
      <c r="W18" s="54" t="s">
        <v>32</v>
      </c>
      <c r="X18" s="54" t="s">
        <v>33</v>
      </c>
      <c r="Y18" s="54" t="s">
        <v>34</v>
      </c>
      <c r="Z18" s="54" t="s">
        <v>6</v>
      </c>
      <c r="AA18" s="34" t="s">
        <v>35</v>
      </c>
      <c r="AB18" s="55"/>
    </row>
    <row r="19" spans="1:33" ht="16" thickBot="1" x14ac:dyDescent="0.4">
      <c r="A19" s="60">
        <v>46357</v>
      </c>
      <c r="B19" s="44">
        <v>4.12</v>
      </c>
      <c r="C19" s="44">
        <v>3.82</v>
      </c>
      <c r="D19" s="44">
        <v>3.62</v>
      </c>
      <c r="E19" s="44">
        <v>3.49</v>
      </c>
      <c r="F19" s="44">
        <v>3.42</v>
      </c>
      <c r="G19" s="44">
        <v>3.41</v>
      </c>
      <c r="H19" s="44">
        <v>3.47</v>
      </c>
      <c r="I19" s="44">
        <v>3.5</v>
      </c>
      <c r="J19" s="44">
        <v>3.82</v>
      </c>
      <c r="K19" s="44">
        <v>3.84</v>
      </c>
      <c r="L19" s="44">
        <v>3.9</v>
      </c>
      <c r="M19" s="44">
        <v>4.37</v>
      </c>
      <c r="N19" s="44">
        <v>4.62</v>
      </c>
      <c r="O19" s="44">
        <v>5.08</v>
      </c>
      <c r="P19" s="44">
        <v>5.13</v>
      </c>
      <c r="Q19" s="44">
        <v>5.13</v>
      </c>
      <c r="R19" s="44">
        <v>5.15</v>
      </c>
      <c r="S19" s="44">
        <v>5.23</v>
      </c>
      <c r="T19" s="44">
        <v>5.72</v>
      </c>
      <c r="U19" s="44">
        <v>5.82</v>
      </c>
      <c r="V19" s="44">
        <v>5.66</v>
      </c>
      <c r="W19" s="44">
        <v>5.34</v>
      </c>
      <c r="X19" s="44">
        <v>4.83</v>
      </c>
      <c r="Y19" s="44">
        <v>4.26</v>
      </c>
      <c r="Z19" s="86">
        <f t="shared" ref="Z19" si="2">SUM(B19:Y19)</f>
        <v>106.75</v>
      </c>
      <c r="AA19" s="46">
        <v>6</v>
      </c>
      <c r="AB19" s="61">
        <f>+Z19*AA19</f>
        <v>640.5</v>
      </c>
      <c r="AD19" s="30" t="s">
        <v>47</v>
      </c>
      <c r="AG19" s="66"/>
    </row>
    <row r="20" spans="1:33" ht="16" thickBot="1" x14ac:dyDescent="0.4">
      <c r="A20"/>
      <c r="B20" s="62"/>
      <c r="C20" s="52"/>
      <c r="D20" s="52"/>
      <c r="E20" s="52"/>
      <c r="F20" s="52"/>
      <c r="G20" s="52"/>
      <c r="H20" s="52"/>
      <c r="I20" s="52"/>
      <c r="J20" s="52"/>
      <c r="K20" s="52"/>
      <c r="L20" s="52"/>
      <c r="M20" s="52"/>
      <c r="N20" s="52"/>
      <c r="O20" s="52"/>
      <c r="P20" s="52"/>
      <c r="Q20" s="52"/>
      <c r="R20" s="52"/>
      <c r="S20" s="52"/>
      <c r="T20" s="52"/>
      <c r="U20" s="52"/>
      <c r="V20" s="52"/>
      <c r="W20" s="52"/>
      <c r="X20" s="52"/>
      <c r="Y20" s="52"/>
      <c r="Z20" s="50"/>
      <c r="AA20" s="35"/>
      <c r="AB20"/>
    </row>
    <row r="21" spans="1:33" ht="16" thickBot="1" x14ac:dyDescent="0.4">
      <c r="A21" s="33" t="s">
        <v>48</v>
      </c>
      <c r="B21" s="52"/>
      <c r="C21" s="52"/>
      <c r="D21" s="52"/>
      <c r="E21" s="63"/>
      <c r="F21" s="52"/>
      <c r="G21" s="52"/>
      <c r="H21" s="52"/>
      <c r="I21" s="52"/>
      <c r="J21" s="52"/>
      <c r="K21" s="52"/>
      <c r="L21" s="52"/>
      <c r="M21" s="52"/>
      <c r="N21" s="52"/>
      <c r="O21" s="52"/>
      <c r="P21" s="52"/>
      <c r="Q21" s="52"/>
      <c r="R21" s="52"/>
      <c r="S21" s="52"/>
      <c r="T21" s="52"/>
      <c r="U21" s="52"/>
      <c r="V21" s="52"/>
      <c r="W21" s="52"/>
      <c r="X21" s="52"/>
      <c r="Y21" s="52"/>
      <c r="Z21" s="50"/>
      <c r="AA21" s="35"/>
      <c r="AB21"/>
    </row>
    <row r="22" spans="1:33" ht="16" thickBot="1" x14ac:dyDescent="0.4">
      <c r="A22"/>
      <c r="B22" s="62"/>
      <c r="C22" s="52"/>
      <c r="D22" s="52"/>
      <c r="E22" s="52"/>
      <c r="F22" s="52"/>
      <c r="G22" s="52"/>
      <c r="H22" s="52"/>
      <c r="I22" s="52"/>
      <c r="J22" s="52"/>
      <c r="K22" s="52"/>
      <c r="L22" s="52"/>
      <c r="M22" s="52"/>
      <c r="N22" s="52"/>
      <c r="O22" s="52"/>
      <c r="P22" s="52"/>
      <c r="Q22" s="52"/>
      <c r="R22" s="52"/>
      <c r="S22" s="52"/>
      <c r="T22" s="52"/>
      <c r="U22" s="52"/>
      <c r="V22" s="52"/>
      <c r="W22" s="52"/>
      <c r="X22" s="52"/>
      <c r="Y22" s="52"/>
      <c r="Z22" s="50"/>
      <c r="AA22"/>
      <c r="AB22"/>
    </row>
    <row r="23" spans="1:33" ht="16" thickBot="1" x14ac:dyDescent="0.4">
      <c r="A23" s="53" t="s">
        <v>10</v>
      </c>
      <c r="B23" s="54" t="s">
        <v>11</v>
      </c>
      <c r="C23" s="54" t="s">
        <v>12</v>
      </c>
      <c r="D23" s="54" t="s">
        <v>13</v>
      </c>
      <c r="E23" s="54" t="s">
        <v>14</v>
      </c>
      <c r="F23" s="54" t="s">
        <v>15</v>
      </c>
      <c r="G23" s="54" t="s">
        <v>16</v>
      </c>
      <c r="H23" s="54" t="s">
        <v>17</v>
      </c>
      <c r="I23" s="54" t="s">
        <v>18</v>
      </c>
      <c r="J23" s="54" t="s">
        <v>19</v>
      </c>
      <c r="K23" s="54" t="s">
        <v>20</v>
      </c>
      <c r="L23" s="54" t="s">
        <v>21</v>
      </c>
      <c r="M23" s="54" t="s">
        <v>22</v>
      </c>
      <c r="N23" s="54" t="s">
        <v>23</v>
      </c>
      <c r="O23" s="54" t="s">
        <v>24</v>
      </c>
      <c r="P23" s="54" t="s">
        <v>25</v>
      </c>
      <c r="Q23" s="54" t="s">
        <v>26</v>
      </c>
      <c r="R23" s="54" t="s">
        <v>27</v>
      </c>
      <c r="S23" s="54" t="s">
        <v>28</v>
      </c>
      <c r="T23" s="54" t="s">
        <v>29</v>
      </c>
      <c r="U23" s="54" t="s">
        <v>30</v>
      </c>
      <c r="V23" s="54" t="s">
        <v>31</v>
      </c>
      <c r="W23" s="54" t="s">
        <v>32</v>
      </c>
      <c r="X23" s="54" t="s">
        <v>33</v>
      </c>
      <c r="Y23" s="54" t="s">
        <v>34</v>
      </c>
      <c r="Z23" s="54" t="s">
        <v>6</v>
      </c>
      <c r="AA23" s="34" t="s">
        <v>35</v>
      </c>
      <c r="AB23" s="55"/>
    </row>
    <row r="24" spans="1:33" ht="16" thickBot="1" x14ac:dyDescent="0.4">
      <c r="A24" s="60">
        <v>46357</v>
      </c>
      <c r="B24" s="44">
        <v>4.12</v>
      </c>
      <c r="C24" s="44">
        <v>3.82</v>
      </c>
      <c r="D24" s="44">
        <v>3.62</v>
      </c>
      <c r="E24" s="44">
        <v>3.49</v>
      </c>
      <c r="F24" s="44">
        <v>3.42</v>
      </c>
      <c r="G24" s="44">
        <v>3.41</v>
      </c>
      <c r="H24" s="44">
        <v>3.47</v>
      </c>
      <c r="I24" s="44">
        <v>3.5</v>
      </c>
      <c r="J24" s="44">
        <v>3.82</v>
      </c>
      <c r="K24" s="44">
        <v>3.84</v>
      </c>
      <c r="L24" s="44">
        <v>3.9</v>
      </c>
      <c r="M24" s="44">
        <v>4.37</v>
      </c>
      <c r="N24" s="44">
        <v>4.62</v>
      </c>
      <c r="O24" s="44">
        <v>5.08</v>
      </c>
      <c r="P24" s="44">
        <v>5.13</v>
      </c>
      <c r="Q24" s="44">
        <v>5.13</v>
      </c>
      <c r="R24" s="44">
        <v>5.15</v>
      </c>
      <c r="S24" s="44">
        <v>5.23</v>
      </c>
      <c r="T24" s="44">
        <v>5.72</v>
      </c>
      <c r="U24" s="44">
        <v>5.82</v>
      </c>
      <c r="V24" s="44">
        <v>5.66</v>
      </c>
      <c r="W24" s="44">
        <v>5.34</v>
      </c>
      <c r="X24" s="44">
        <v>4.83</v>
      </c>
      <c r="Y24" s="44">
        <v>4.26</v>
      </c>
      <c r="Z24" s="45">
        <f t="shared" ref="Z24" si="3">SUM(B24:Y24)</f>
        <v>106.75</v>
      </c>
      <c r="AA24" s="87">
        <v>0</v>
      </c>
      <c r="AB24" s="61">
        <f>+Z24*AA24</f>
        <v>0</v>
      </c>
      <c r="AD24" s="30" t="s">
        <v>49</v>
      </c>
      <c r="AG24" s="66"/>
    </row>
    <row r="25" spans="1:33" ht="16" thickBot="1" x14ac:dyDescent="0.4">
      <c r="A25" s="80"/>
      <c r="B25" s="68"/>
      <c r="C25" s="68"/>
      <c r="D25" s="68"/>
      <c r="E25" s="68"/>
      <c r="F25" s="68"/>
      <c r="G25" s="68"/>
      <c r="H25" s="68"/>
      <c r="I25" s="68"/>
      <c r="J25" s="68"/>
      <c r="K25" s="68"/>
      <c r="L25" s="68"/>
      <c r="M25" s="68"/>
      <c r="N25" s="68"/>
      <c r="O25" s="68"/>
      <c r="P25" s="68"/>
      <c r="Q25" s="68"/>
      <c r="R25" s="68"/>
      <c r="S25" s="68"/>
      <c r="T25" s="68"/>
      <c r="U25" s="68"/>
      <c r="V25" s="68"/>
      <c r="W25" s="68"/>
      <c r="X25" s="68"/>
      <c r="Y25" s="68"/>
      <c r="Z25" s="69"/>
      <c r="AA25" s="70"/>
      <c r="AB25" s="71"/>
      <c r="AG25" s="66"/>
    </row>
    <row r="26" spans="1:33" ht="16" thickBot="1" x14ac:dyDescent="0.4">
      <c r="A26" s="33" t="s">
        <v>36</v>
      </c>
      <c r="B26" s="52"/>
      <c r="C26" s="52"/>
      <c r="D26" s="52"/>
      <c r="E26" s="63"/>
      <c r="F26" s="52"/>
      <c r="G26" s="52"/>
      <c r="H26" s="52"/>
      <c r="I26" s="52"/>
      <c r="J26" s="52"/>
      <c r="K26" s="52"/>
      <c r="L26" s="52"/>
      <c r="M26" s="52"/>
      <c r="N26" s="52"/>
      <c r="O26" s="52"/>
      <c r="P26" s="52"/>
      <c r="Q26" s="52"/>
      <c r="R26" s="52"/>
      <c r="S26" s="52"/>
      <c r="T26" s="52"/>
      <c r="U26" s="52"/>
      <c r="V26" s="52"/>
      <c r="W26" s="52"/>
      <c r="X26" s="52"/>
      <c r="Y26" s="52"/>
      <c r="Z26" s="50"/>
      <c r="AA26" s="35"/>
      <c r="AB26"/>
    </row>
    <row r="27" spans="1:33" ht="16" thickBot="1" x14ac:dyDescent="0.4">
      <c r="A27"/>
      <c r="B27" s="62"/>
      <c r="C27" s="52"/>
      <c r="D27" s="52"/>
      <c r="E27" s="52"/>
      <c r="F27" s="52"/>
      <c r="G27" s="52"/>
      <c r="H27" s="52"/>
      <c r="I27" s="52"/>
      <c r="J27" s="52"/>
      <c r="K27" s="52"/>
      <c r="L27" s="52"/>
      <c r="M27" s="52"/>
      <c r="N27" s="52"/>
      <c r="O27" s="52"/>
      <c r="P27" s="52"/>
      <c r="Q27" s="52"/>
      <c r="R27" s="52"/>
      <c r="S27" s="52"/>
      <c r="T27" s="52"/>
      <c r="U27" s="52"/>
      <c r="V27" s="52"/>
      <c r="W27" s="52"/>
      <c r="X27" s="52"/>
      <c r="Y27" s="52"/>
      <c r="Z27" s="50"/>
      <c r="AA27"/>
      <c r="AB27"/>
    </row>
    <row r="28" spans="1:33" ht="16" thickBot="1" x14ac:dyDescent="0.4">
      <c r="A28" s="53" t="s">
        <v>10</v>
      </c>
      <c r="B28" s="54" t="s">
        <v>11</v>
      </c>
      <c r="C28" s="54" t="s">
        <v>12</v>
      </c>
      <c r="D28" s="54" t="s">
        <v>13</v>
      </c>
      <c r="E28" s="54" t="s">
        <v>14</v>
      </c>
      <c r="F28" s="54" t="s">
        <v>15</v>
      </c>
      <c r="G28" s="54" t="s">
        <v>16</v>
      </c>
      <c r="H28" s="54" t="s">
        <v>17</v>
      </c>
      <c r="I28" s="54" t="s">
        <v>18</v>
      </c>
      <c r="J28" s="54" t="s">
        <v>19</v>
      </c>
      <c r="K28" s="54" t="s">
        <v>20</v>
      </c>
      <c r="L28" s="54" t="s">
        <v>21</v>
      </c>
      <c r="M28" s="54" t="s">
        <v>22</v>
      </c>
      <c r="N28" s="54" t="s">
        <v>23</v>
      </c>
      <c r="O28" s="54" t="s">
        <v>24</v>
      </c>
      <c r="P28" s="54" t="s">
        <v>25</v>
      </c>
      <c r="Q28" s="54" t="s">
        <v>26</v>
      </c>
      <c r="R28" s="54" t="s">
        <v>27</v>
      </c>
      <c r="S28" s="54" t="s">
        <v>28</v>
      </c>
      <c r="T28" s="54" t="s">
        <v>29</v>
      </c>
      <c r="U28" s="54" t="s">
        <v>30</v>
      </c>
      <c r="V28" s="54" t="s">
        <v>31</v>
      </c>
      <c r="W28" s="54" t="s">
        <v>32</v>
      </c>
      <c r="X28" s="54" t="s">
        <v>33</v>
      </c>
      <c r="Y28" s="54" t="s">
        <v>34</v>
      </c>
      <c r="Z28" s="54" t="s">
        <v>6</v>
      </c>
      <c r="AA28" s="34" t="s">
        <v>35</v>
      </c>
      <c r="AB28" s="55"/>
    </row>
    <row r="29" spans="1:33" ht="16" thickBot="1" x14ac:dyDescent="0.4">
      <c r="A29" s="60">
        <f>+A24</f>
        <v>46357</v>
      </c>
      <c r="B29" s="44">
        <f t="shared" ref="B29:Y29" si="4">+B8*$AA8+B14*$AA14+B19*$AA19+B24*$AA24</f>
        <v>124.53</v>
      </c>
      <c r="C29" s="44">
        <f t="shared" si="4"/>
        <v>115.14999999999999</v>
      </c>
      <c r="D29" s="44">
        <f t="shared" si="4"/>
        <v>110.08</v>
      </c>
      <c r="E29" s="44">
        <f t="shared" si="4"/>
        <v>107.39</v>
      </c>
      <c r="F29" s="44">
        <f t="shared" si="4"/>
        <v>108.77</v>
      </c>
      <c r="G29" s="44">
        <f t="shared" si="4"/>
        <v>114.35</v>
      </c>
      <c r="H29" s="44">
        <f t="shared" si="4"/>
        <v>126.02000000000001</v>
      </c>
      <c r="I29" s="44">
        <f t="shared" si="4"/>
        <v>139.32999999999998</v>
      </c>
      <c r="J29" s="44">
        <f t="shared" si="4"/>
        <v>156.38</v>
      </c>
      <c r="K29" s="44">
        <f t="shared" si="4"/>
        <v>166.28</v>
      </c>
      <c r="L29" s="44">
        <f t="shared" si="4"/>
        <v>174.56</v>
      </c>
      <c r="M29" s="44">
        <f t="shared" si="4"/>
        <v>185.44</v>
      </c>
      <c r="N29" s="44">
        <f t="shared" si="4"/>
        <v>187.57000000000002</v>
      </c>
      <c r="O29" s="44">
        <f t="shared" si="4"/>
        <v>189.17999999999998</v>
      </c>
      <c r="P29" s="44">
        <f t="shared" si="4"/>
        <v>191.26</v>
      </c>
      <c r="Q29" s="44">
        <f t="shared" si="4"/>
        <v>191.23</v>
      </c>
      <c r="R29" s="44">
        <f t="shared" si="4"/>
        <v>188.92</v>
      </c>
      <c r="S29" s="44">
        <f t="shared" si="4"/>
        <v>187.59</v>
      </c>
      <c r="T29" s="44">
        <f t="shared" si="4"/>
        <v>198.76</v>
      </c>
      <c r="U29" s="44">
        <f t="shared" si="4"/>
        <v>198.65000000000003</v>
      </c>
      <c r="V29" s="44">
        <f t="shared" si="4"/>
        <v>189.52</v>
      </c>
      <c r="W29" s="44">
        <f t="shared" si="4"/>
        <v>177.08999999999997</v>
      </c>
      <c r="X29" s="44">
        <f t="shared" si="4"/>
        <v>158.70999999999998</v>
      </c>
      <c r="Y29" s="44">
        <f t="shared" si="4"/>
        <v>139.6</v>
      </c>
      <c r="Z29" s="45">
        <f t="shared" ref="Z29" si="5">SUM(B29:Y29)</f>
        <v>3826.36</v>
      </c>
      <c r="AA29" s="46">
        <f>AA8+AA14+AA19+AA24</f>
        <v>31</v>
      </c>
      <c r="AB29" s="61">
        <f>+AB8+AB14+AB19+AB24</f>
        <v>3826.3599999999992</v>
      </c>
      <c r="AD29" s="79">
        <f t="shared" ref="AD29" si="6">+AB29-Z29</f>
        <v>0</v>
      </c>
    </row>
  </sheetData>
  <conditionalFormatting sqref="B1:Y1048576 AA8:AA9 AA14 AA19 AA24:AA25 AA29">
    <cfRule type="cellIs" dxfId="1" priority="1" operator="lessThan">
      <formula>0</formula>
    </cfRule>
  </conditionalFormatting>
  <pageMargins left="0.75" right="0.75" top="1" bottom="1" header="0" footer="0"/>
  <pageSetup orientation="portrait" r:id="rId1"/>
  <headerFooter alignWithMargins="0"/>
  <ignoredErrors>
    <ignoredError sqref="Z8 Z14 Z19 Z24"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F169-4295-40FA-9232-B9F024AD9364}">
  <sheetPr>
    <tabColor theme="9" tint="0.39997558519241921"/>
  </sheetPr>
  <dimension ref="A1:M33"/>
  <sheetViews>
    <sheetView view="pageBreakPreview" topLeftCell="A4" zoomScale="70" zoomScaleNormal="100" zoomScaleSheetLayoutView="70" zoomScalePageLayoutView="30" workbookViewId="0">
      <selection activeCell="G22" sqref="G22"/>
    </sheetView>
  </sheetViews>
  <sheetFormatPr baseColWidth="10" defaultColWidth="17.81640625" defaultRowHeight="24.5" x14ac:dyDescent="0.45"/>
  <cols>
    <col min="1" max="1" width="11.453125" style="1" customWidth="1"/>
    <col min="2" max="2" width="16.453125" style="1" bestFit="1" customWidth="1"/>
    <col min="3" max="3" width="14.81640625" style="1" customWidth="1"/>
    <col min="4" max="4" width="16.453125" style="1" customWidth="1"/>
    <col min="5" max="5" width="24.26953125" style="1" bestFit="1" customWidth="1"/>
    <col min="6" max="6" width="21.1796875" style="1" customWidth="1"/>
    <col min="7" max="7" width="23" style="1" customWidth="1"/>
    <col min="8" max="10" width="22.7265625" style="1" customWidth="1"/>
    <col min="11" max="11" width="31.26953125" style="1" customWidth="1"/>
    <col min="12" max="12" width="15.453125" style="1" customWidth="1"/>
    <col min="13" max="13" width="8.81640625" style="1" bestFit="1" customWidth="1"/>
    <col min="14" max="16384" width="17.81640625" style="1"/>
  </cols>
  <sheetData>
    <row r="1" spans="1:13" ht="171" customHeight="1" x14ac:dyDescent="0.45"/>
    <row r="2" spans="1:13" x14ac:dyDescent="0.45">
      <c r="A2" s="2"/>
      <c r="B2" s="2"/>
      <c r="C2" s="2"/>
      <c r="D2" s="104" t="s">
        <v>0</v>
      </c>
      <c r="E2" s="104"/>
      <c r="F2" s="104"/>
      <c r="G2" s="104"/>
      <c r="H2" s="104"/>
      <c r="I2" s="104"/>
      <c r="J2" s="104"/>
      <c r="K2" s="2"/>
      <c r="L2" s="2"/>
      <c r="M2" s="2"/>
    </row>
    <row r="3" spans="1:13" ht="89.25" customHeight="1" x14ac:dyDescent="0.45">
      <c r="A3" s="2"/>
      <c r="B3" s="2"/>
      <c r="C3" s="105" t="s">
        <v>57</v>
      </c>
      <c r="D3" s="105"/>
      <c r="E3" s="105"/>
      <c r="F3" s="105"/>
      <c r="G3" s="105"/>
      <c r="H3" s="105"/>
      <c r="I3" s="105"/>
      <c r="J3" s="105"/>
      <c r="K3" s="105"/>
      <c r="L3" s="2"/>
      <c r="M3" s="2"/>
    </row>
    <row r="4" spans="1:13" x14ac:dyDescent="0.45">
      <c r="A4" s="2"/>
      <c r="B4" s="2"/>
      <c r="C4" s="3"/>
      <c r="D4" s="106" t="s">
        <v>54</v>
      </c>
      <c r="E4" s="106"/>
      <c r="F4" s="106"/>
      <c r="G4" s="106"/>
      <c r="H4" s="106"/>
      <c r="I4" s="106"/>
      <c r="J4" s="106"/>
      <c r="K4" s="3"/>
      <c r="L4" s="2"/>
      <c r="M4" s="2"/>
    </row>
    <row r="5" spans="1:13" ht="19.5" customHeight="1" x14ac:dyDescent="0.45">
      <c r="A5" s="4"/>
      <c r="B5" s="5"/>
      <c r="C5" s="5"/>
      <c r="D5" s="6"/>
      <c r="E5" s="7"/>
      <c r="F5" s="7"/>
      <c r="G5" s="7"/>
      <c r="H5" s="7"/>
      <c r="I5" s="7"/>
      <c r="J5" s="8"/>
      <c r="K5" s="9"/>
      <c r="L5" s="4"/>
      <c r="M5" s="4"/>
    </row>
    <row r="6" spans="1:13" x14ac:dyDescent="0.45">
      <c r="A6" s="4"/>
      <c r="B6" s="5"/>
      <c r="C6" s="10" t="s">
        <v>1</v>
      </c>
      <c r="D6" s="5"/>
      <c r="E6" s="5"/>
      <c r="G6" s="5"/>
      <c r="H6" s="5"/>
      <c r="I6" s="5"/>
      <c r="J6" s="5"/>
      <c r="K6" s="9"/>
      <c r="L6" s="4"/>
      <c r="M6" s="4"/>
    </row>
    <row r="7" spans="1:13" x14ac:dyDescent="0.45">
      <c r="A7" s="4"/>
      <c r="B7" s="5"/>
      <c r="C7" s="10" t="s">
        <v>2</v>
      </c>
      <c r="D7" s="5"/>
      <c r="E7" s="5"/>
      <c r="G7" s="5"/>
      <c r="H7" s="5"/>
      <c r="I7" s="5"/>
      <c r="J7" s="5"/>
      <c r="K7" s="9"/>
      <c r="L7" s="4"/>
      <c r="M7" s="4"/>
    </row>
    <row r="8" spans="1:13" x14ac:dyDescent="0.45">
      <c r="B8" s="11"/>
      <c r="C8" s="10" t="s">
        <v>3</v>
      </c>
      <c r="D8" s="5"/>
      <c r="E8" s="5"/>
      <c r="G8" s="11"/>
      <c r="H8" s="11"/>
      <c r="I8" s="11"/>
      <c r="J8" s="11"/>
      <c r="K8" s="12"/>
    </row>
    <row r="9" spans="1:13" x14ac:dyDescent="0.45">
      <c r="B9" s="11"/>
      <c r="C9" s="13" t="str">
        <f>"PRODUCTO OFERTADO: "&amp;D4</f>
        <v>PRODUCTO OFERTADO: PRODUCTO No. 3</v>
      </c>
      <c r="D9" s="5"/>
      <c r="E9" s="5"/>
      <c r="G9" s="11"/>
      <c r="H9" s="11"/>
      <c r="I9" s="11"/>
      <c r="J9" s="11"/>
      <c r="K9" s="12"/>
    </row>
    <row r="10" spans="1:13" x14ac:dyDescent="0.45">
      <c r="B10" s="11"/>
      <c r="C10" s="13"/>
      <c r="D10" s="5"/>
      <c r="E10" s="5"/>
      <c r="G10" s="11"/>
      <c r="H10" s="11"/>
      <c r="I10" s="11"/>
      <c r="J10" s="11"/>
      <c r="K10" s="12"/>
    </row>
    <row r="11" spans="1:13" x14ac:dyDescent="0.45">
      <c r="B11" s="11"/>
      <c r="C11" s="10" t="s">
        <v>56</v>
      </c>
      <c r="D11" s="14"/>
      <c r="E11" s="14"/>
      <c r="F11" s="15"/>
      <c r="G11" s="11"/>
      <c r="H11" s="11"/>
      <c r="I11" s="11"/>
      <c r="J11" s="11"/>
      <c r="K11" s="12"/>
    </row>
    <row r="12" spans="1:13" x14ac:dyDescent="0.45">
      <c r="B12" s="16"/>
      <c r="C12" s="15"/>
    </row>
    <row r="13" spans="1:13" x14ac:dyDescent="0.45">
      <c r="F13" s="107" t="str">
        <f>"Oferta " &amp; PROPER(D4)</f>
        <v>Oferta Producto No. 3</v>
      </c>
      <c r="G13" s="107"/>
      <c r="H13" s="107"/>
      <c r="I13" s="107"/>
      <c r="J13" s="107"/>
    </row>
    <row r="14" spans="1:13" ht="72.75" customHeight="1" x14ac:dyDescent="0.45">
      <c r="E14" s="78"/>
      <c r="F14" s="77" t="s">
        <v>4</v>
      </c>
      <c r="G14" s="17" t="s">
        <v>50</v>
      </c>
      <c r="H14" s="17" t="s">
        <v>38</v>
      </c>
      <c r="I14" s="17" t="s">
        <v>51</v>
      </c>
      <c r="J14" s="18" t="s">
        <v>5</v>
      </c>
    </row>
    <row r="15" spans="1:13" x14ac:dyDescent="0.45">
      <c r="A15" s="19"/>
      <c r="B15" s="20"/>
      <c r="D15" s="37"/>
      <c r="F15" s="21">
        <v>46388</v>
      </c>
      <c r="G15" s="36">
        <f>+SUMIFS('Cantidades Producto No. 3'!$AB$53:$AB$59,'Cantidades Producto No. 3'!$A$53:$A$59,'Oferta Producto No. 3'!F15)</f>
        <v>4608.25</v>
      </c>
      <c r="H15" s="108"/>
      <c r="I15" s="36"/>
      <c r="J15" s="110"/>
      <c r="K15" s="64"/>
      <c r="L15" s="22"/>
      <c r="M15" s="22"/>
    </row>
    <row r="16" spans="1:13" x14ac:dyDescent="0.45">
      <c r="A16" s="19"/>
      <c r="B16" s="20"/>
      <c r="D16" s="37"/>
      <c r="F16" s="21">
        <v>46419</v>
      </c>
      <c r="G16" s="36">
        <f>+SUMIFS('Cantidades Producto No. 3'!$AB$53:$AB$59,'Cantidades Producto No. 3'!$A$53:$A$59,'Oferta Producto No. 3'!F16)</f>
        <v>4324.3600000000006</v>
      </c>
      <c r="H16" s="108"/>
      <c r="I16" s="36"/>
      <c r="J16" s="111"/>
      <c r="K16" s="64"/>
      <c r="L16" s="22"/>
      <c r="M16" s="22"/>
    </row>
    <row r="17" spans="1:13" x14ac:dyDescent="0.45">
      <c r="A17" s="19"/>
      <c r="B17" s="20"/>
      <c r="D17" s="37"/>
      <c r="F17" s="21">
        <v>46447</v>
      </c>
      <c r="G17" s="36">
        <f>+SUMIFS('Cantidades Producto No. 3'!$AB$53:$AB$59,'Cantidades Producto No. 3'!$A$53:$A$59,'Oferta Producto No. 3'!F17)</f>
        <v>4419.2</v>
      </c>
      <c r="H17" s="108"/>
      <c r="I17" s="36"/>
      <c r="J17" s="111"/>
      <c r="K17" s="64"/>
      <c r="L17" s="22"/>
      <c r="M17" s="22"/>
    </row>
    <row r="18" spans="1:13" x14ac:dyDescent="0.45">
      <c r="A18" s="19"/>
      <c r="B18" s="20"/>
      <c r="D18" s="37"/>
      <c r="F18" s="21">
        <v>46478</v>
      </c>
      <c r="G18" s="36">
        <f>+SUMIFS('Cantidades Producto No. 3'!$AB$53:$AB$59,'Cantidades Producto No. 3'!$A$53:$A$59,'Oferta Producto No. 3'!F18)</f>
        <v>4075.9599999999996</v>
      </c>
      <c r="H18" s="108"/>
      <c r="I18" s="36"/>
      <c r="J18" s="111"/>
      <c r="K18" s="64"/>
      <c r="L18" s="22"/>
      <c r="M18" s="22"/>
    </row>
    <row r="19" spans="1:13" x14ac:dyDescent="0.45">
      <c r="A19" s="19"/>
      <c r="B19" s="20"/>
      <c r="D19" s="37"/>
      <c r="F19" s="21">
        <v>46508</v>
      </c>
      <c r="G19" s="36">
        <f>+SUMIFS('Cantidades Producto No. 3'!$AB$53:$AB$59,'Cantidades Producto No. 3'!$A$53:$A$59,'Oferta Producto No. 3'!F19)</f>
        <v>3515.72</v>
      </c>
      <c r="H19" s="108"/>
      <c r="I19" s="36"/>
      <c r="J19" s="111"/>
      <c r="K19" s="64"/>
      <c r="L19" s="22"/>
      <c r="M19" s="22"/>
    </row>
    <row r="20" spans="1:13" x14ac:dyDescent="0.45">
      <c r="A20" s="19"/>
      <c r="B20" s="20"/>
      <c r="D20" s="37"/>
      <c r="F20" s="21">
        <v>46539</v>
      </c>
      <c r="G20" s="36">
        <f>+SUMIFS('Cantidades Producto No. 3'!$AB$53:$AB$59,'Cantidades Producto No. 3'!$A$53:$A$59,'Oferta Producto No. 3'!F20)</f>
        <v>3475.5700000000006</v>
      </c>
      <c r="H20" s="108"/>
      <c r="I20" s="36"/>
      <c r="J20" s="111"/>
      <c r="K20" s="64"/>
      <c r="L20" s="22"/>
      <c r="M20" s="22"/>
    </row>
    <row r="21" spans="1:13" x14ac:dyDescent="0.45">
      <c r="A21" s="19"/>
      <c r="B21" s="20"/>
      <c r="D21" s="37"/>
      <c r="F21" s="21">
        <v>46569</v>
      </c>
      <c r="G21" s="36">
        <f>+SUMIFS('Cantidades Producto No. 3'!$AB$53:$AB$59,'Cantidades Producto No. 3'!$A$53:$A$59,'Oferta Producto No. 3'!F21)</f>
        <v>3924.58</v>
      </c>
      <c r="H21" s="108"/>
      <c r="I21" s="36"/>
      <c r="J21" s="112"/>
      <c r="K21" s="64"/>
      <c r="L21" s="22"/>
      <c r="M21" s="22"/>
    </row>
    <row r="22" spans="1:13" x14ac:dyDescent="0.45">
      <c r="F22" s="23" t="s">
        <v>6</v>
      </c>
      <c r="G22" s="25">
        <f>SUM(G15:G21)</f>
        <v>28343.64</v>
      </c>
      <c r="H22" s="109"/>
      <c r="I22" s="36"/>
      <c r="J22" s="65"/>
    </row>
    <row r="23" spans="1:13" x14ac:dyDescent="0.45">
      <c r="F23" s="26"/>
      <c r="G23" s="24"/>
    </row>
    <row r="24" spans="1:13" x14ac:dyDescent="0.45">
      <c r="B24" s="27" t="s">
        <v>7</v>
      </c>
      <c r="C24" s="28"/>
      <c r="D24" s="28"/>
      <c r="E24" s="28"/>
      <c r="F24" s="28"/>
      <c r="G24" s="28"/>
      <c r="L24" s="28"/>
    </row>
    <row r="25" spans="1:13" x14ac:dyDescent="0.45">
      <c r="B25" s="27"/>
      <c r="C25" s="28"/>
      <c r="D25" s="28"/>
      <c r="E25" s="28"/>
      <c r="F25" s="28"/>
      <c r="G25" s="28"/>
      <c r="H25" s="28"/>
      <c r="I25" s="28"/>
      <c r="J25" s="28"/>
      <c r="K25" s="28"/>
      <c r="L25" s="28"/>
    </row>
    <row r="26" spans="1:13" ht="24.75" customHeight="1" x14ac:dyDescent="0.45">
      <c r="B26" s="103" t="s">
        <v>8</v>
      </c>
      <c r="C26" s="103"/>
      <c r="D26" s="103"/>
      <c r="E26" s="103"/>
      <c r="F26" s="103"/>
      <c r="G26" s="103"/>
      <c r="H26" s="103"/>
      <c r="I26" s="103"/>
      <c r="J26" s="103"/>
      <c r="K26" s="103"/>
      <c r="L26" s="103"/>
    </row>
    <row r="27" spans="1:13" ht="39" customHeight="1" x14ac:dyDescent="0.45">
      <c r="B27" s="103" t="str">
        <f>"(2) Las cantidades se distribuyen de acuerdo a la curva del Anexo 1. Ofertas y Cantidades "&amp; D4 &amp;" de los Pliegos de Condiciones Preliminares."</f>
        <v>(2) Las cantidades se distribuyen de acuerdo a la curva del Anexo 1. Ofertas y Cantidades PRODUCTO No. 3 de los Pliegos de Condiciones Preliminares.</v>
      </c>
      <c r="C27" s="103"/>
      <c r="D27" s="103"/>
      <c r="E27" s="103"/>
      <c r="F27" s="103"/>
      <c r="G27" s="103"/>
      <c r="H27" s="103"/>
      <c r="I27" s="103"/>
      <c r="J27" s="103"/>
      <c r="K27" s="103"/>
      <c r="L27" s="103"/>
    </row>
    <row r="28" spans="1:13" ht="83.25" customHeight="1" x14ac:dyDescent="0.45">
      <c r="B28" s="103" t="s">
        <v>58</v>
      </c>
      <c r="C28" s="103"/>
      <c r="D28" s="103"/>
      <c r="E28" s="103"/>
      <c r="F28" s="103"/>
      <c r="G28" s="103"/>
      <c r="H28" s="103"/>
      <c r="I28" s="103"/>
      <c r="J28" s="103"/>
      <c r="K28" s="103"/>
      <c r="L28" s="103"/>
    </row>
    <row r="29" spans="1:13" ht="43.5" customHeight="1" x14ac:dyDescent="0.45">
      <c r="B29" s="113" t="s">
        <v>39</v>
      </c>
      <c r="C29" s="113"/>
      <c r="D29" s="113"/>
      <c r="E29" s="113"/>
      <c r="F29" s="113"/>
      <c r="G29" s="113"/>
      <c r="H29" s="113"/>
      <c r="I29" s="113"/>
      <c r="J29" s="113"/>
      <c r="K29" s="113"/>
      <c r="L29" s="113"/>
    </row>
    <row r="30" spans="1:13" ht="60" customHeight="1" x14ac:dyDescent="0.45">
      <c r="B30" s="113" t="s">
        <v>40</v>
      </c>
      <c r="C30" s="113"/>
      <c r="D30" s="113"/>
      <c r="E30" s="113"/>
      <c r="F30" s="113"/>
      <c r="G30" s="113"/>
      <c r="H30" s="113"/>
      <c r="I30" s="113"/>
      <c r="J30" s="113"/>
      <c r="K30" s="113"/>
      <c r="L30" s="113"/>
    </row>
    <row r="31" spans="1:13" ht="80.25" customHeight="1" x14ac:dyDescent="0.45">
      <c r="A31" s="15"/>
      <c r="B31" s="113" t="s">
        <v>41</v>
      </c>
      <c r="C31" s="113"/>
      <c r="D31" s="113"/>
      <c r="E31" s="113"/>
      <c r="F31" s="113"/>
      <c r="G31" s="113"/>
      <c r="H31" s="113"/>
      <c r="I31" s="113"/>
      <c r="J31" s="113"/>
      <c r="K31" s="113"/>
      <c r="L31" s="113"/>
    </row>
    <row r="33" spans="2:12" ht="24.75" customHeight="1" x14ac:dyDescent="0.45">
      <c r="B33" s="29"/>
      <c r="C33" s="29"/>
      <c r="D33" s="29"/>
      <c r="E33" s="29"/>
      <c r="F33" s="29"/>
      <c r="G33" s="29"/>
      <c r="H33" s="29"/>
      <c r="I33" s="29"/>
      <c r="J33" s="29"/>
      <c r="K33" s="29"/>
      <c r="L33" s="29"/>
    </row>
  </sheetData>
  <mergeCells count="12">
    <mergeCell ref="B27:L27"/>
    <mergeCell ref="B28:L28"/>
    <mergeCell ref="B29:L29"/>
    <mergeCell ref="B30:L30"/>
    <mergeCell ref="B31:L31"/>
    <mergeCell ref="B26:L26"/>
    <mergeCell ref="D2:J2"/>
    <mergeCell ref="C3:K3"/>
    <mergeCell ref="D4:J4"/>
    <mergeCell ref="F13:J13"/>
    <mergeCell ref="H15:H22"/>
    <mergeCell ref="J15:J21"/>
  </mergeCells>
  <phoneticPr fontId="32" type="noConversion"/>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E3E09-DDE3-4AF6-AB66-46CA3E8F2029}">
  <sheetPr>
    <tabColor theme="9" tint="0.39997558519241921"/>
  </sheetPr>
  <dimension ref="A1:AG59"/>
  <sheetViews>
    <sheetView showGridLines="0" zoomScale="70" zoomScaleNormal="70" workbookViewId="0">
      <selection activeCell="AE20" sqref="AE20"/>
    </sheetView>
  </sheetViews>
  <sheetFormatPr baseColWidth="10" defaultColWidth="14.453125" defaultRowHeight="15.5" x14ac:dyDescent="0.35"/>
  <cols>
    <col min="1" max="1" width="13" style="30" customWidth="1"/>
    <col min="2" max="10" width="8.54296875" style="31" bestFit="1" customWidth="1"/>
    <col min="11" max="23" width="8.81640625" style="31" bestFit="1" customWidth="1"/>
    <col min="24" max="25" width="8.54296875" style="31" bestFit="1" customWidth="1"/>
    <col min="26" max="26" width="9.81640625" style="32" customWidth="1"/>
    <col min="27" max="28" width="9.81640625" style="30" customWidth="1"/>
    <col min="29" max="29" width="5.26953125" style="30" bestFit="1" customWidth="1"/>
    <col min="30" max="16384" width="14.453125" style="30"/>
  </cols>
  <sheetData>
    <row r="1" spans="1:30" ht="93" customHeight="1" x14ac:dyDescent="0.35"/>
    <row r="2" spans="1:30" ht="23" x14ac:dyDescent="0.5">
      <c r="A2" s="101" t="s">
        <v>9</v>
      </c>
    </row>
    <row r="3" spans="1:30" ht="20" x14ac:dyDescent="0.4">
      <c r="A3" s="102" t="s">
        <v>54</v>
      </c>
    </row>
    <row r="4" spans="1:30" ht="16" thickBot="1" x14ac:dyDescent="0.4"/>
    <row r="5" spans="1:30" ht="16" thickBot="1" x14ac:dyDescent="0.4">
      <c r="A5" s="33" t="s">
        <v>42</v>
      </c>
      <c r="B5" s="47"/>
      <c r="C5" s="47"/>
      <c r="D5" s="47"/>
      <c r="E5" s="48"/>
      <c r="F5" s="47"/>
      <c r="G5" s="47"/>
      <c r="H5" s="47"/>
      <c r="I5" s="47"/>
      <c r="J5" s="47"/>
      <c r="K5" s="49"/>
      <c r="L5" s="49"/>
      <c r="M5" s="49"/>
      <c r="N5" s="49"/>
      <c r="O5" s="49"/>
      <c r="P5" s="49"/>
      <c r="Q5" s="49"/>
      <c r="R5" s="49"/>
      <c r="S5" s="49"/>
      <c r="T5" s="49"/>
      <c r="U5" s="49"/>
      <c r="V5" s="49"/>
      <c r="W5" s="49"/>
      <c r="X5" s="49"/>
      <c r="Y5" s="49"/>
      <c r="Z5" s="50"/>
      <c r="AA5"/>
      <c r="AB5" s="51"/>
    </row>
    <row r="6" spans="1:30" ht="16" thickBot="1" x14ac:dyDescent="0.4">
      <c r="A6"/>
      <c r="B6" s="47"/>
      <c r="C6" s="47"/>
      <c r="D6" s="47"/>
      <c r="E6" s="47"/>
      <c r="F6" s="47"/>
      <c r="G6" s="47"/>
      <c r="H6" s="47"/>
      <c r="I6" s="47"/>
      <c r="J6" s="47"/>
      <c r="K6" s="52"/>
      <c r="L6" s="52"/>
      <c r="M6" s="52"/>
      <c r="N6" s="52"/>
      <c r="O6" s="52"/>
      <c r="P6" s="52"/>
      <c r="Q6" s="52"/>
      <c r="R6" s="52"/>
      <c r="S6" s="52"/>
      <c r="T6" s="52"/>
      <c r="U6" s="52"/>
      <c r="V6" s="52"/>
      <c r="W6" s="52"/>
      <c r="X6" s="52"/>
      <c r="Y6" s="52"/>
      <c r="Z6" s="50"/>
      <c r="AA6"/>
      <c r="AB6"/>
    </row>
    <row r="7" spans="1:30" ht="16" customHeight="1" thickBot="1" x14ac:dyDescent="0.4">
      <c r="A7" s="53" t="s">
        <v>10</v>
      </c>
      <c r="B7" s="54" t="s">
        <v>11</v>
      </c>
      <c r="C7" s="54" t="s">
        <v>12</v>
      </c>
      <c r="D7" s="54" t="s">
        <v>13</v>
      </c>
      <c r="E7" s="54" t="s">
        <v>14</v>
      </c>
      <c r="F7" s="54" t="s">
        <v>15</v>
      </c>
      <c r="G7" s="54" t="s">
        <v>16</v>
      </c>
      <c r="H7" s="54" t="s">
        <v>17</v>
      </c>
      <c r="I7" s="54" t="s">
        <v>18</v>
      </c>
      <c r="J7" s="54" t="s">
        <v>19</v>
      </c>
      <c r="K7" s="54" t="s">
        <v>20</v>
      </c>
      <c r="L7" s="54" t="s">
        <v>21</v>
      </c>
      <c r="M7" s="54" t="s">
        <v>22</v>
      </c>
      <c r="N7" s="54" t="s">
        <v>23</v>
      </c>
      <c r="O7" s="54" t="s">
        <v>24</v>
      </c>
      <c r="P7" s="54" t="s">
        <v>25</v>
      </c>
      <c r="Q7" s="54" t="s">
        <v>26</v>
      </c>
      <c r="R7" s="54" t="s">
        <v>27</v>
      </c>
      <c r="S7" s="54" t="s">
        <v>28</v>
      </c>
      <c r="T7" s="54" t="s">
        <v>29</v>
      </c>
      <c r="U7" s="54" t="s">
        <v>30</v>
      </c>
      <c r="V7" s="54" t="s">
        <v>31</v>
      </c>
      <c r="W7" s="54" t="s">
        <v>32</v>
      </c>
      <c r="X7" s="54" t="s">
        <v>33</v>
      </c>
      <c r="Y7" s="54" t="s">
        <v>34</v>
      </c>
      <c r="Z7" s="54" t="s">
        <v>6</v>
      </c>
      <c r="AA7" s="34" t="s">
        <v>35</v>
      </c>
      <c r="AB7" s="89" t="s">
        <v>6</v>
      </c>
    </row>
    <row r="8" spans="1:30" x14ac:dyDescent="0.35">
      <c r="A8" s="56">
        <v>46388</v>
      </c>
      <c r="B8" s="82">
        <v>4.6399999999999997</v>
      </c>
      <c r="C8" s="82">
        <v>4.3099999999999996</v>
      </c>
      <c r="D8" s="82">
        <v>4.1399999999999997</v>
      </c>
      <c r="E8" s="82">
        <v>4.07</v>
      </c>
      <c r="F8" s="82">
        <v>4.1900000000000004</v>
      </c>
      <c r="G8" s="82">
        <v>4.5999999999999996</v>
      </c>
      <c r="H8" s="82">
        <v>5.19</v>
      </c>
      <c r="I8" s="82">
        <v>5.78</v>
      </c>
      <c r="J8" s="82">
        <v>6.5</v>
      </c>
      <c r="K8" s="82">
        <v>7.04</v>
      </c>
      <c r="L8" s="82">
        <v>7.56</v>
      </c>
      <c r="M8" s="82">
        <v>8.02</v>
      </c>
      <c r="N8" s="82">
        <v>7.97</v>
      </c>
      <c r="O8" s="82">
        <v>7.87</v>
      </c>
      <c r="P8" s="82">
        <v>7.98</v>
      </c>
      <c r="Q8" s="82">
        <v>7.96</v>
      </c>
      <c r="R8" s="82">
        <v>7.82</v>
      </c>
      <c r="S8" s="82">
        <v>7.61</v>
      </c>
      <c r="T8" s="82">
        <v>7.86</v>
      </c>
      <c r="U8" s="82">
        <v>8.0500000000000007</v>
      </c>
      <c r="V8" s="82">
        <v>7.69</v>
      </c>
      <c r="W8" s="82">
        <v>7.15</v>
      </c>
      <c r="X8" s="82">
        <v>6.28</v>
      </c>
      <c r="Y8" s="82">
        <v>5.33</v>
      </c>
      <c r="Z8" s="83">
        <f>SUM(B8:Y8)</f>
        <v>155.61000000000004</v>
      </c>
      <c r="AA8" s="40">
        <v>19</v>
      </c>
      <c r="AB8" s="90">
        <f t="shared" ref="AB8:AB14" si="0">+Z8*AA8</f>
        <v>2956.5900000000006</v>
      </c>
      <c r="AD8" s="30" t="s">
        <v>43</v>
      </c>
    </row>
    <row r="9" spans="1:30" x14ac:dyDescent="0.35">
      <c r="A9" s="58">
        <v>46419</v>
      </c>
      <c r="B9" s="41">
        <v>4.66</v>
      </c>
      <c r="C9" s="41">
        <v>4.3499999999999996</v>
      </c>
      <c r="D9" s="41">
        <v>4.18</v>
      </c>
      <c r="E9" s="41">
        <v>4.1399999999999997</v>
      </c>
      <c r="F9" s="41">
        <v>4.32</v>
      </c>
      <c r="G9" s="41">
        <v>5.01</v>
      </c>
      <c r="H9" s="41">
        <v>5.7</v>
      </c>
      <c r="I9" s="41">
        <v>6.15</v>
      </c>
      <c r="J9" s="41">
        <v>6.79</v>
      </c>
      <c r="K9" s="41">
        <v>7.28</v>
      </c>
      <c r="L9" s="41">
        <v>7.79</v>
      </c>
      <c r="M9" s="41">
        <v>8.2100000000000009</v>
      </c>
      <c r="N9" s="41">
        <v>8.02</v>
      </c>
      <c r="O9" s="41">
        <v>7.99</v>
      </c>
      <c r="P9" s="41">
        <v>8.17</v>
      </c>
      <c r="Q9" s="41">
        <v>8.18</v>
      </c>
      <c r="R9" s="41">
        <v>8.0500000000000007</v>
      </c>
      <c r="S9" s="41">
        <v>7.72</v>
      </c>
      <c r="T9" s="41">
        <v>7.79</v>
      </c>
      <c r="U9" s="41">
        <v>8.11</v>
      </c>
      <c r="V9" s="41">
        <v>7.82</v>
      </c>
      <c r="W9" s="41">
        <v>7.25</v>
      </c>
      <c r="X9" s="41">
        <v>6.31</v>
      </c>
      <c r="Y9" s="41">
        <v>5.33</v>
      </c>
      <c r="Z9" s="42">
        <f t="shared" ref="Z9:Z14" si="1">SUM(B9:Y9)</f>
        <v>159.32000000000002</v>
      </c>
      <c r="AA9" s="43">
        <v>20</v>
      </c>
      <c r="AB9" s="91">
        <f t="shared" si="0"/>
        <v>3186.4000000000005</v>
      </c>
      <c r="AD9" s="30" t="s">
        <v>43</v>
      </c>
    </row>
    <row r="10" spans="1:30" x14ac:dyDescent="0.35">
      <c r="A10" s="58">
        <v>46447</v>
      </c>
      <c r="B10" s="41">
        <v>4.34</v>
      </c>
      <c r="C10" s="41">
        <v>4.0599999999999996</v>
      </c>
      <c r="D10" s="41">
        <v>3.91</v>
      </c>
      <c r="E10" s="41">
        <v>3.86</v>
      </c>
      <c r="F10" s="41">
        <v>4.03</v>
      </c>
      <c r="G10" s="41">
        <v>4.66</v>
      </c>
      <c r="H10" s="41">
        <v>5.28</v>
      </c>
      <c r="I10" s="41">
        <v>5.78</v>
      </c>
      <c r="J10" s="41">
        <v>6.39</v>
      </c>
      <c r="K10" s="41">
        <v>6.82</v>
      </c>
      <c r="L10" s="41">
        <v>7.3</v>
      </c>
      <c r="M10" s="41">
        <v>7.68</v>
      </c>
      <c r="N10" s="41">
        <v>7.55</v>
      </c>
      <c r="O10" s="41">
        <v>7.47</v>
      </c>
      <c r="P10" s="41">
        <v>7.62</v>
      </c>
      <c r="Q10" s="41">
        <v>7.6</v>
      </c>
      <c r="R10" s="41">
        <v>7.48</v>
      </c>
      <c r="S10" s="41">
        <v>7.26</v>
      </c>
      <c r="T10" s="41">
        <v>7.37</v>
      </c>
      <c r="U10" s="41">
        <v>7.67</v>
      </c>
      <c r="V10" s="41">
        <v>7.33</v>
      </c>
      <c r="W10" s="41">
        <v>6.78</v>
      </c>
      <c r="X10" s="41">
        <v>5.91</v>
      </c>
      <c r="Y10" s="41">
        <v>5</v>
      </c>
      <c r="Z10" s="42">
        <f t="shared" si="1"/>
        <v>149.15</v>
      </c>
      <c r="AA10" s="43">
        <v>20</v>
      </c>
      <c r="AB10" s="91">
        <f t="shared" si="0"/>
        <v>2983</v>
      </c>
      <c r="AD10" s="30" t="s">
        <v>43</v>
      </c>
    </row>
    <row r="11" spans="1:30" x14ac:dyDescent="0.35">
      <c r="A11" s="58">
        <v>46478</v>
      </c>
      <c r="B11" s="41">
        <v>4.08</v>
      </c>
      <c r="C11" s="41">
        <v>3.8</v>
      </c>
      <c r="D11" s="41">
        <v>3.67</v>
      </c>
      <c r="E11" s="41">
        <v>3.62</v>
      </c>
      <c r="F11" s="41">
        <v>3.78</v>
      </c>
      <c r="G11" s="41">
        <v>4.3</v>
      </c>
      <c r="H11" s="41">
        <v>4.8899999999999997</v>
      </c>
      <c r="I11" s="41">
        <v>5.44</v>
      </c>
      <c r="J11" s="41">
        <v>5.97</v>
      </c>
      <c r="K11" s="41">
        <v>6.49</v>
      </c>
      <c r="L11" s="41">
        <v>6.91</v>
      </c>
      <c r="M11" s="41">
        <v>7.26</v>
      </c>
      <c r="N11" s="41">
        <v>7.14</v>
      </c>
      <c r="O11" s="41">
        <v>7.02</v>
      </c>
      <c r="P11" s="41">
        <v>7.04</v>
      </c>
      <c r="Q11" s="41">
        <v>7.05</v>
      </c>
      <c r="R11" s="41">
        <v>6.97</v>
      </c>
      <c r="S11" s="41">
        <v>6.83</v>
      </c>
      <c r="T11" s="41">
        <v>7.05</v>
      </c>
      <c r="U11" s="41">
        <v>7.21</v>
      </c>
      <c r="V11" s="41">
        <v>6.87</v>
      </c>
      <c r="W11" s="41">
        <v>6.34</v>
      </c>
      <c r="X11" s="41">
        <v>5.53</v>
      </c>
      <c r="Y11" s="41">
        <v>4.7</v>
      </c>
      <c r="Z11" s="42">
        <f t="shared" si="1"/>
        <v>139.95999999999998</v>
      </c>
      <c r="AA11" s="43">
        <v>22</v>
      </c>
      <c r="AB11" s="91">
        <f t="shared" si="0"/>
        <v>3079.1199999999994</v>
      </c>
      <c r="AD11" s="30" t="s">
        <v>43</v>
      </c>
    </row>
    <row r="12" spans="1:30" x14ac:dyDescent="0.35">
      <c r="A12" s="58">
        <v>46508</v>
      </c>
      <c r="B12" s="41">
        <v>3.46</v>
      </c>
      <c r="C12" s="41">
        <v>3.23</v>
      </c>
      <c r="D12" s="41">
        <v>3.11</v>
      </c>
      <c r="E12" s="41">
        <v>3.06</v>
      </c>
      <c r="F12" s="41">
        <v>3.21</v>
      </c>
      <c r="G12" s="41">
        <v>3.62</v>
      </c>
      <c r="H12" s="41">
        <v>4.16</v>
      </c>
      <c r="I12" s="41">
        <v>4.62</v>
      </c>
      <c r="J12" s="41">
        <v>5.12</v>
      </c>
      <c r="K12" s="41">
        <v>5.5</v>
      </c>
      <c r="L12" s="41">
        <v>5.89</v>
      </c>
      <c r="M12" s="41">
        <v>6.21</v>
      </c>
      <c r="N12" s="41">
        <v>6.09</v>
      </c>
      <c r="O12" s="41">
        <v>5.99</v>
      </c>
      <c r="P12" s="41">
        <v>6.06</v>
      </c>
      <c r="Q12" s="41">
        <v>6.03</v>
      </c>
      <c r="R12" s="41">
        <v>5.9</v>
      </c>
      <c r="S12" s="41">
        <v>5.81</v>
      </c>
      <c r="T12" s="41">
        <v>5.99</v>
      </c>
      <c r="U12" s="41">
        <v>6.1</v>
      </c>
      <c r="V12" s="41">
        <v>5.82</v>
      </c>
      <c r="W12" s="41">
        <v>5.34</v>
      </c>
      <c r="X12" s="41">
        <v>4.6399999999999997</v>
      </c>
      <c r="Y12" s="41">
        <v>3.94</v>
      </c>
      <c r="Z12" s="42">
        <f t="shared" si="1"/>
        <v>118.89999999999999</v>
      </c>
      <c r="AA12" s="43">
        <v>19</v>
      </c>
      <c r="AB12" s="91">
        <f t="shared" si="0"/>
        <v>2259.1</v>
      </c>
      <c r="AD12" s="30" t="s">
        <v>43</v>
      </c>
    </row>
    <row r="13" spans="1:30" x14ac:dyDescent="0.35">
      <c r="A13" s="58">
        <v>46539</v>
      </c>
      <c r="B13" s="41">
        <v>3.49</v>
      </c>
      <c r="C13" s="41">
        <v>3.24</v>
      </c>
      <c r="D13" s="41">
        <v>3.11</v>
      </c>
      <c r="E13" s="41">
        <v>3.06</v>
      </c>
      <c r="F13" s="41">
        <v>3.2</v>
      </c>
      <c r="G13" s="41">
        <v>3.55</v>
      </c>
      <c r="H13" s="41">
        <v>4.1399999999999997</v>
      </c>
      <c r="I13" s="41">
        <v>4.6500000000000004</v>
      </c>
      <c r="J13" s="41">
        <v>5.18</v>
      </c>
      <c r="K13" s="41">
        <v>5.57</v>
      </c>
      <c r="L13" s="41">
        <v>5.93</v>
      </c>
      <c r="M13" s="41">
        <v>6.27</v>
      </c>
      <c r="N13" s="41">
        <v>6.18</v>
      </c>
      <c r="O13" s="41">
        <v>6.05</v>
      </c>
      <c r="P13" s="41">
        <v>6.09</v>
      </c>
      <c r="Q13" s="41">
        <v>6.07</v>
      </c>
      <c r="R13" s="41">
        <v>5.98</v>
      </c>
      <c r="S13" s="41">
        <v>5.87</v>
      </c>
      <c r="T13" s="41">
        <v>6.01</v>
      </c>
      <c r="U13" s="41">
        <v>6.24</v>
      </c>
      <c r="V13" s="41">
        <v>5.95</v>
      </c>
      <c r="W13" s="41">
        <v>5.45</v>
      </c>
      <c r="X13" s="41">
        <v>4.71</v>
      </c>
      <c r="Y13" s="41">
        <v>4.01</v>
      </c>
      <c r="Z13" s="42">
        <f t="shared" si="1"/>
        <v>120.00000000000001</v>
      </c>
      <c r="AA13" s="43">
        <v>21</v>
      </c>
      <c r="AB13" s="91">
        <f t="shared" si="0"/>
        <v>2520.0000000000005</v>
      </c>
      <c r="AD13" s="30" t="s">
        <v>43</v>
      </c>
    </row>
    <row r="14" spans="1:30" ht="16" thickBot="1" x14ac:dyDescent="0.4">
      <c r="A14" s="60">
        <v>46569</v>
      </c>
      <c r="B14" s="44">
        <v>3.8</v>
      </c>
      <c r="C14" s="44">
        <v>3.56</v>
      </c>
      <c r="D14" s="44">
        <v>3.41</v>
      </c>
      <c r="E14" s="44">
        <v>3.36</v>
      </c>
      <c r="F14" s="44">
        <v>3.51</v>
      </c>
      <c r="G14" s="44">
        <v>3.96</v>
      </c>
      <c r="H14" s="44">
        <v>4.53</v>
      </c>
      <c r="I14" s="44">
        <v>5.08</v>
      </c>
      <c r="J14" s="44">
        <v>5.67</v>
      </c>
      <c r="K14" s="44">
        <v>6.12</v>
      </c>
      <c r="L14" s="44">
        <v>6.51</v>
      </c>
      <c r="M14" s="44">
        <v>6.89</v>
      </c>
      <c r="N14" s="44">
        <v>6.76</v>
      </c>
      <c r="O14" s="44">
        <v>6.64</v>
      </c>
      <c r="P14" s="44">
        <v>6.72</v>
      </c>
      <c r="Q14" s="44">
        <v>6.74</v>
      </c>
      <c r="R14" s="44">
        <v>6.65</v>
      </c>
      <c r="S14" s="44">
        <v>6.47</v>
      </c>
      <c r="T14" s="44">
        <v>6.52</v>
      </c>
      <c r="U14" s="44">
        <v>6.85</v>
      </c>
      <c r="V14" s="44">
        <v>6.53</v>
      </c>
      <c r="W14" s="44">
        <v>5.99</v>
      </c>
      <c r="X14" s="44">
        <v>5.16</v>
      </c>
      <c r="Y14" s="44">
        <v>4.43</v>
      </c>
      <c r="Z14" s="45">
        <f t="shared" si="1"/>
        <v>131.85999999999999</v>
      </c>
      <c r="AA14" s="46">
        <v>20</v>
      </c>
      <c r="AB14" s="92">
        <f t="shared" si="0"/>
        <v>2637.2</v>
      </c>
      <c r="AD14" s="30" t="s">
        <v>43</v>
      </c>
    </row>
    <row r="15" spans="1:30" x14ac:dyDescent="0.35">
      <c r="A15" s="67"/>
      <c r="B15" s="68"/>
      <c r="C15" s="68"/>
      <c r="D15" s="68"/>
      <c r="E15" s="68"/>
      <c r="F15" s="68"/>
      <c r="G15" s="68"/>
      <c r="H15" s="68"/>
      <c r="I15" s="68"/>
      <c r="J15" s="68"/>
      <c r="K15" s="68"/>
      <c r="L15" s="68"/>
      <c r="M15" s="68"/>
      <c r="N15" s="68"/>
      <c r="O15" s="68"/>
      <c r="P15" s="68"/>
      <c r="Q15" s="68"/>
      <c r="R15" s="68"/>
      <c r="S15" s="68"/>
      <c r="T15" s="68"/>
      <c r="U15" s="68"/>
      <c r="V15" s="68"/>
      <c r="W15" s="68"/>
      <c r="X15" s="68"/>
      <c r="Y15" s="68"/>
      <c r="Z15" s="69"/>
      <c r="AA15" s="70"/>
      <c r="AB15" s="71"/>
    </row>
    <row r="16" spans="1:30" ht="16" thickBot="1" x14ac:dyDescent="0.4">
      <c r="A16"/>
      <c r="B16" s="62"/>
      <c r="C16" s="52"/>
      <c r="D16" s="52"/>
      <c r="E16" s="52"/>
      <c r="F16" s="52"/>
      <c r="G16" s="52"/>
      <c r="H16" s="52"/>
      <c r="I16" s="52"/>
      <c r="J16" s="52"/>
      <c r="K16" s="52"/>
      <c r="L16" s="52"/>
      <c r="M16" s="52"/>
      <c r="N16" s="52"/>
      <c r="O16" s="52"/>
      <c r="P16" s="52"/>
      <c r="Q16" s="52"/>
      <c r="R16" s="52"/>
      <c r="S16" s="52"/>
      <c r="T16" s="52"/>
      <c r="U16" s="52"/>
      <c r="V16" s="52"/>
      <c r="W16" s="52"/>
      <c r="X16" s="52"/>
      <c r="Y16" s="52"/>
      <c r="Z16" s="50"/>
      <c r="AA16" s="35"/>
      <c r="AB16"/>
    </row>
    <row r="17" spans="1:33" ht="16" thickBot="1" x14ac:dyDescent="0.4">
      <c r="A17" s="33" t="s">
        <v>44</v>
      </c>
      <c r="B17" s="52"/>
      <c r="C17" s="52"/>
      <c r="D17" s="52"/>
      <c r="E17" s="63"/>
      <c r="F17" s="52"/>
      <c r="G17" s="52"/>
      <c r="H17" s="52"/>
      <c r="I17" s="52"/>
      <c r="J17" s="52"/>
      <c r="K17" s="52"/>
      <c r="L17" s="52"/>
      <c r="M17" s="52"/>
      <c r="N17" s="52"/>
      <c r="O17" s="52"/>
      <c r="P17" s="52"/>
      <c r="Q17" s="52"/>
      <c r="R17" s="52"/>
      <c r="S17" s="52"/>
      <c r="T17" s="52"/>
      <c r="U17" s="52"/>
      <c r="V17" s="52"/>
      <c r="W17" s="52"/>
      <c r="X17" s="52"/>
      <c r="Y17" s="52"/>
      <c r="Z17" s="50"/>
      <c r="AA17" s="35"/>
      <c r="AB17"/>
    </row>
    <row r="18" spans="1:33" ht="16" thickBot="1" x14ac:dyDescent="0.4">
      <c r="A18"/>
      <c r="B18" s="62"/>
      <c r="C18" s="52"/>
      <c r="D18" s="52"/>
      <c r="E18" s="52"/>
      <c r="F18" s="52"/>
      <c r="G18" s="52"/>
      <c r="H18" s="52"/>
      <c r="I18" s="52"/>
      <c r="J18" s="52"/>
      <c r="K18" s="52"/>
      <c r="L18" s="52"/>
      <c r="M18" s="52"/>
      <c r="N18" s="52"/>
      <c r="O18" s="52"/>
      <c r="P18" s="52"/>
      <c r="Q18" s="52"/>
      <c r="R18" s="52"/>
      <c r="S18" s="52"/>
      <c r="T18" s="52"/>
      <c r="U18" s="52"/>
      <c r="V18" s="52"/>
      <c r="W18" s="52"/>
      <c r="X18" s="52"/>
      <c r="Y18" s="52"/>
      <c r="Z18" s="50"/>
      <c r="AA18"/>
      <c r="AB18"/>
    </row>
    <row r="19" spans="1:33" ht="16" thickBot="1" x14ac:dyDescent="0.4">
      <c r="A19" s="53" t="s">
        <v>10</v>
      </c>
      <c r="B19" s="54" t="s">
        <v>11</v>
      </c>
      <c r="C19" s="54" t="s">
        <v>12</v>
      </c>
      <c r="D19" s="54" t="s">
        <v>13</v>
      </c>
      <c r="E19" s="54" t="s">
        <v>14</v>
      </c>
      <c r="F19" s="54" t="s">
        <v>15</v>
      </c>
      <c r="G19" s="54" t="s">
        <v>16</v>
      </c>
      <c r="H19" s="54" t="s">
        <v>17</v>
      </c>
      <c r="I19" s="54" t="s">
        <v>18</v>
      </c>
      <c r="J19" s="54" t="s">
        <v>19</v>
      </c>
      <c r="K19" s="54" t="s">
        <v>20</v>
      </c>
      <c r="L19" s="54" t="s">
        <v>21</v>
      </c>
      <c r="M19" s="54" t="s">
        <v>22</v>
      </c>
      <c r="N19" s="54" t="s">
        <v>23</v>
      </c>
      <c r="O19" s="54" t="s">
        <v>24</v>
      </c>
      <c r="P19" s="54" t="s">
        <v>25</v>
      </c>
      <c r="Q19" s="54" t="s">
        <v>26</v>
      </c>
      <c r="R19" s="54" t="s">
        <v>27</v>
      </c>
      <c r="S19" s="54" t="s">
        <v>28</v>
      </c>
      <c r="T19" s="54" t="s">
        <v>29</v>
      </c>
      <c r="U19" s="54" t="s">
        <v>30</v>
      </c>
      <c r="V19" s="54" t="s">
        <v>31</v>
      </c>
      <c r="W19" s="54" t="s">
        <v>32</v>
      </c>
      <c r="X19" s="54" t="s">
        <v>33</v>
      </c>
      <c r="Y19" s="54" t="s">
        <v>34</v>
      </c>
      <c r="Z19" s="54" t="s">
        <v>6</v>
      </c>
      <c r="AA19" s="34" t="s">
        <v>35</v>
      </c>
      <c r="AB19" s="89"/>
    </row>
    <row r="20" spans="1:33" x14ac:dyDescent="0.35">
      <c r="A20" s="56">
        <v>46388</v>
      </c>
      <c r="B20" s="82">
        <v>4.74</v>
      </c>
      <c r="C20" s="82">
        <v>4.38</v>
      </c>
      <c r="D20" s="82">
        <v>4.17</v>
      </c>
      <c r="E20" s="82">
        <v>4.0599999999999996</v>
      </c>
      <c r="F20" s="82">
        <v>4.1100000000000003</v>
      </c>
      <c r="G20" s="82">
        <v>4.3099999999999996</v>
      </c>
      <c r="H20" s="82">
        <v>4.74</v>
      </c>
      <c r="I20" s="82">
        <v>5.35</v>
      </c>
      <c r="J20" s="82">
        <v>6.11</v>
      </c>
      <c r="K20" s="82">
        <v>6.75</v>
      </c>
      <c r="L20" s="82">
        <v>7.21</v>
      </c>
      <c r="M20" s="82">
        <v>7.57</v>
      </c>
      <c r="N20" s="82">
        <v>7.6</v>
      </c>
      <c r="O20" s="82">
        <v>7.36</v>
      </c>
      <c r="P20" s="82">
        <v>7.16</v>
      </c>
      <c r="Q20" s="82">
        <v>7.06</v>
      </c>
      <c r="R20" s="82">
        <v>6.93</v>
      </c>
      <c r="S20" s="82">
        <v>6.95</v>
      </c>
      <c r="T20" s="82">
        <v>7.38</v>
      </c>
      <c r="U20" s="82">
        <v>7.57</v>
      </c>
      <c r="V20" s="82">
        <v>7.22</v>
      </c>
      <c r="W20" s="82">
        <v>6.73</v>
      </c>
      <c r="X20" s="82">
        <v>6.06</v>
      </c>
      <c r="Y20" s="82">
        <v>5.37</v>
      </c>
      <c r="Z20" s="83">
        <f t="shared" ref="Z20:Z26" si="2">SUM(B20:Y20)</f>
        <v>146.88999999999999</v>
      </c>
      <c r="AA20" s="40">
        <v>5</v>
      </c>
      <c r="AB20" s="90">
        <f t="shared" ref="AB20:AB26" si="3">+Z20*AA20</f>
        <v>734.44999999999993</v>
      </c>
      <c r="AD20" s="30" t="s">
        <v>45</v>
      </c>
      <c r="AG20" s="66"/>
    </row>
    <row r="21" spans="1:33" x14ac:dyDescent="0.35">
      <c r="A21" s="58">
        <v>46419</v>
      </c>
      <c r="B21" s="41">
        <v>4.74</v>
      </c>
      <c r="C21" s="41">
        <v>4.41</v>
      </c>
      <c r="D21" s="41">
        <v>4.21</v>
      </c>
      <c r="E21" s="41">
        <v>4.1100000000000003</v>
      </c>
      <c r="F21" s="41">
        <v>4.17</v>
      </c>
      <c r="G21" s="41">
        <v>4.46</v>
      </c>
      <c r="H21" s="41">
        <v>5</v>
      </c>
      <c r="I21" s="41">
        <v>5.61</v>
      </c>
      <c r="J21" s="41">
        <v>6.37</v>
      </c>
      <c r="K21" s="41">
        <v>6.95</v>
      </c>
      <c r="L21" s="41">
        <v>7.41</v>
      </c>
      <c r="M21" s="41">
        <v>7.7</v>
      </c>
      <c r="N21" s="41">
        <v>7.67</v>
      </c>
      <c r="O21" s="41">
        <v>7.48</v>
      </c>
      <c r="P21" s="41">
        <v>7.32</v>
      </c>
      <c r="Q21" s="41">
        <v>7.24</v>
      </c>
      <c r="R21" s="41">
        <v>7.14</v>
      </c>
      <c r="S21" s="41">
        <v>7.1</v>
      </c>
      <c r="T21" s="41">
        <v>7.37</v>
      </c>
      <c r="U21" s="41">
        <v>7.76</v>
      </c>
      <c r="V21" s="41">
        <v>7.42</v>
      </c>
      <c r="W21" s="41">
        <v>6.94</v>
      </c>
      <c r="X21" s="41">
        <v>6.24</v>
      </c>
      <c r="Y21" s="41">
        <v>5.54</v>
      </c>
      <c r="Z21" s="42">
        <f t="shared" si="2"/>
        <v>150.36000000000001</v>
      </c>
      <c r="AA21" s="43">
        <v>4</v>
      </c>
      <c r="AB21" s="91">
        <f t="shared" si="3"/>
        <v>601.44000000000005</v>
      </c>
      <c r="AD21" s="30" t="s">
        <v>45</v>
      </c>
      <c r="AG21" s="66"/>
    </row>
    <row r="22" spans="1:33" x14ac:dyDescent="0.35">
      <c r="A22" s="58">
        <v>46447</v>
      </c>
      <c r="B22" s="41">
        <v>4.42</v>
      </c>
      <c r="C22" s="41">
        <v>4.09</v>
      </c>
      <c r="D22" s="41">
        <v>3.91</v>
      </c>
      <c r="E22" s="41">
        <v>3.82</v>
      </c>
      <c r="F22" s="41">
        <v>3.89</v>
      </c>
      <c r="G22" s="41">
        <v>4.16</v>
      </c>
      <c r="H22" s="41">
        <v>4.5999999999999996</v>
      </c>
      <c r="I22" s="41">
        <v>5.25</v>
      </c>
      <c r="J22" s="41">
        <v>5.99</v>
      </c>
      <c r="K22" s="41">
        <v>6.5</v>
      </c>
      <c r="L22" s="41">
        <v>6.91</v>
      </c>
      <c r="M22" s="41">
        <v>7.27</v>
      </c>
      <c r="N22" s="41">
        <v>7.24</v>
      </c>
      <c r="O22" s="41">
        <v>6.99</v>
      </c>
      <c r="P22" s="41">
        <v>6.81</v>
      </c>
      <c r="Q22" s="41">
        <v>6.71</v>
      </c>
      <c r="R22" s="41">
        <v>6.62</v>
      </c>
      <c r="S22" s="41">
        <v>6.65</v>
      </c>
      <c r="T22" s="41">
        <v>6.89</v>
      </c>
      <c r="U22" s="41">
        <v>7.11</v>
      </c>
      <c r="V22" s="41">
        <v>6.79</v>
      </c>
      <c r="W22" s="41">
        <v>6.35</v>
      </c>
      <c r="X22" s="41">
        <v>5.71</v>
      </c>
      <c r="Y22" s="41">
        <v>5.05</v>
      </c>
      <c r="Z22" s="42">
        <f t="shared" si="2"/>
        <v>139.73000000000002</v>
      </c>
      <c r="AA22" s="43">
        <v>4</v>
      </c>
      <c r="AB22" s="91">
        <f t="shared" si="3"/>
        <v>558.92000000000007</v>
      </c>
      <c r="AD22" s="30" t="s">
        <v>45</v>
      </c>
      <c r="AG22" s="66"/>
    </row>
    <row r="23" spans="1:33" x14ac:dyDescent="0.35">
      <c r="A23" s="58">
        <v>46478</v>
      </c>
      <c r="B23" s="41">
        <v>4.1900000000000004</v>
      </c>
      <c r="C23" s="41">
        <v>3.87</v>
      </c>
      <c r="D23" s="41">
        <v>3.68</v>
      </c>
      <c r="E23" s="41">
        <v>3.59</v>
      </c>
      <c r="F23" s="41">
        <v>3.64</v>
      </c>
      <c r="G23" s="41">
        <v>3.78</v>
      </c>
      <c r="H23" s="41">
        <v>4.26</v>
      </c>
      <c r="I23" s="41">
        <v>4.92</v>
      </c>
      <c r="J23" s="41">
        <v>5.59</v>
      </c>
      <c r="K23" s="41">
        <v>6.11</v>
      </c>
      <c r="L23" s="41">
        <v>6.51</v>
      </c>
      <c r="M23" s="41">
        <v>6.81</v>
      </c>
      <c r="N23" s="41">
        <v>6.82</v>
      </c>
      <c r="O23" s="41">
        <v>6.56</v>
      </c>
      <c r="P23" s="41">
        <v>6.4</v>
      </c>
      <c r="Q23" s="41">
        <v>6.32</v>
      </c>
      <c r="R23" s="41">
        <v>6.18</v>
      </c>
      <c r="S23" s="41">
        <v>6.21</v>
      </c>
      <c r="T23" s="41">
        <v>6.56</v>
      </c>
      <c r="U23" s="41">
        <v>6.76</v>
      </c>
      <c r="V23" s="41">
        <v>6.45</v>
      </c>
      <c r="W23" s="41">
        <v>6.01</v>
      </c>
      <c r="X23" s="41">
        <v>5.43</v>
      </c>
      <c r="Y23" s="41">
        <v>4.82</v>
      </c>
      <c r="Z23" s="42">
        <f t="shared" si="2"/>
        <v>131.47000000000003</v>
      </c>
      <c r="AA23" s="43">
        <v>4</v>
      </c>
      <c r="AB23" s="91">
        <f t="shared" si="3"/>
        <v>525.88000000000011</v>
      </c>
      <c r="AD23" s="30" t="s">
        <v>45</v>
      </c>
      <c r="AG23" s="66"/>
    </row>
    <row r="24" spans="1:33" x14ac:dyDescent="0.35">
      <c r="A24" s="58">
        <v>46508</v>
      </c>
      <c r="B24" s="41">
        <v>3.51</v>
      </c>
      <c r="C24" s="41">
        <v>3.26</v>
      </c>
      <c r="D24" s="41">
        <v>3.12</v>
      </c>
      <c r="E24" s="41">
        <v>3.04</v>
      </c>
      <c r="F24" s="41">
        <v>3.1</v>
      </c>
      <c r="G24" s="41">
        <v>3.22</v>
      </c>
      <c r="H24" s="41">
        <v>3.69</v>
      </c>
      <c r="I24" s="41">
        <v>4.2699999999999996</v>
      </c>
      <c r="J24" s="41">
        <v>4.8600000000000003</v>
      </c>
      <c r="K24" s="41">
        <v>5.33</v>
      </c>
      <c r="L24" s="41">
        <v>5.64</v>
      </c>
      <c r="M24" s="41">
        <v>5.88</v>
      </c>
      <c r="N24" s="41">
        <v>5.82</v>
      </c>
      <c r="O24" s="41">
        <v>5.58</v>
      </c>
      <c r="P24" s="41">
        <v>5.45</v>
      </c>
      <c r="Q24" s="41">
        <v>5.37</v>
      </c>
      <c r="R24" s="41">
        <v>5.27</v>
      </c>
      <c r="S24" s="41">
        <v>5.3</v>
      </c>
      <c r="T24" s="41">
        <v>5.62</v>
      </c>
      <c r="U24" s="41">
        <v>5.79</v>
      </c>
      <c r="V24" s="41">
        <v>5.5</v>
      </c>
      <c r="W24" s="41">
        <v>5.12</v>
      </c>
      <c r="X24" s="41">
        <v>4.5999999999999996</v>
      </c>
      <c r="Y24" s="41">
        <v>4.07</v>
      </c>
      <c r="Z24" s="42">
        <f t="shared" si="2"/>
        <v>112.41</v>
      </c>
      <c r="AA24" s="43">
        <v>4</v>
      </c>
      <c r="AB24" s="91">
        <f t="shared" si="3"/>
        <v>449.64</v>
      </c>
      <c r="AD24" s="30" t="s">
        <v>45</v>
      </c>
      <c r="AG24" s="66"/>
    </row>
    <row r="25" spans="1:33" x14ac:dyDescent="0.35">
      <c r="A25" s="58">
        <v>46539</v>
      </c>
      <c r="B25" s="41">
        <v>3.55</v>
      </c>
      <c r="C25" s="41">
        <v>3.28</v>
      </c>
      <c r="D25" s="41">
        <v>3.13</v>
      </c>
      <c r="E25" s="41">
        <v>3.06</v>
      </c>
      <c r="F25" s="41">
        <v>3.12</v>
      </c>
      <c r="G25" s="41">
        <v>3.27</v>
      </c>
      <c r="H25" s="41">
        <v>3.67</v>
      </c>
      <c r="I25" s="41">
        <v>4.24</v>
      </c>
      <c r="J25" s="41">
        <v>4.84</v>
      </c>
      <c r="K25" s="41">
        <v>5.32</v>
      </c>
      <c r="L25" s="41">
        <v>5.63</v>
      </c>
      <c r="M25" s="41">
        <v>5.89</v>
      </c>
      <c r="N25" s="41">
        <v>5.9</v>
      </c>
      <c r="O25" s="41">
        <v>5.71</v>
      </c>
      <c r="P25" s="41">
        <v>5.54</v>
      </c>
      <c r="Q25" s="41">
        <v>5.41</v>
      </c>
      <c r="R25" s="41">
        <v>5.3</v>
      </c>
      <c r="S25" s="41">
        <v>5.33</v>
      </c>
      <c r="T25" s="41">
        <v>5.62</v>
      </c>
      <c r="U25" s="41">
        <v>5.81</v>
      </c>
      <c r="V25" s="41">
        <v>5.53</v>
      </c>
      <c r="W25" s="41">
        <v>5.14</v>
      </c>
      <c r="X25" s="41">
        <v>4.59</v>
      </c>
      <c r="Y25" s="41">
        <v>4.03</v>
      </c>
      <c r="Z25" s="42">
        <f t="shared" si="2"/>
        <v>112.91000000000001</v>
      </c>
      <c r="AA25" s="43">
        <v>4</v>
      </c>
      <c r="AB25" s="91">
        <f t="shared" si="3"/>
        <v>451.64000000000004</v>
      </c>
      <c r="AD25" s="30" t="s">
        <v>45</v>
      </c>
      <c r="AG25" s="66"/>
    </row>
    <row r="26" spans="1:33" ht="16" thickBot="1" x14ac:dyDescent="0.4">
      <c r="A26" s="60">
        <v>46569</v>
      </c>
      <c r="B26" s="44">
        <v>3.95</v>
      </c>
      <c r="C26" s="44">
        <v>3.64</v>
      </c>
      <c r="D26" s="44">
        <v>3.45</v>
      </c>
      <c r="E26" s="44">
        <v>3.37</v>
      </c>
      <c r="F26" s="44">
        <v>3.42</v>
      </c>
      <c r="G26" s="44">
        <v>3.55</v>
      </c>
      <c r="H26" s="44">
        <v>4</v>
      </c>
      <c r="I26" s="44">
        <v>4.5999999999999996</v>
      </c>
      <c r="J26" s="44">
        <v>5.3</v>
      </c>
      <c r="K26" s="44">
        <v>5.83</v>
      </c>
      <c r="L26" s="44">
        <v>6.19</v>
      </c>
      <c r="M26" s="44">
        <v>6.49</v>
      </c>
      <c r="N26" s="44">
        <v>6.5</v>
      </c>
      <c r="O26" s="44">
        <v>6.27</v>
      </c>
      <c r="P26" s="44">
        <v>6.06</v>
      </c>
      <c r="Q26" s="44">
        <v>5.91</v>
      </c>
      <c r="R26" s="44">
        <v>5.8</v>
      </c>
      <c r="S26" s="44">
        <v>5.83</v>
      </c>
      <c r="T26" s="44">
        <v>6.07</v>
      </c>
      <c r="U26" s="44">
        <v>6.41</v>
      </c>
      <c r="V26" s="44">
        <v>6.1</v>
      </c>
      <c r="W26" s="44">
        <v>5.7</v>
      </c>
      <c r="X26" s="44">
        <v>5.13</v>
      </c>
      <c r="Y26" s="44">
        <v>4.53</v>
      </c>
      <c r="Z26" s="45">
        <f t="shared" si="2"/>
        <v>124.09999999999998</v>
      </c>
      <c r="AA26" s="46">
        <v>5</v>
      </c>
      <c r="AB26" s="92">
        <f t="shared" si="3"/>
        <v>620.49999999999989</v>
      </c>
      <c r="AD26" s="30" t="s">
        <v>45</v>
      </c>
      <c r="AG26" s="66"/>
    </row>
    <row r="27" spans="1:33" ht="16" thickBot="1" x14ac:dyDescent="0.4">
      <c r="A27"/>
      <c r="B27" s="62"/>
      <c r="C27" s="52"/>
      <c r="D27" s="52"/>
      <c r="E27" s="52"/>
      <c r="F27" s="52"/>
      <c r="G27" s="52"/>
      <c r="H27" s="52"/>
      <c r="I27" s="52"/>
      <c r="J27" s="52"/>
      <c r="K27" s="52"/>
      <c r="L27" s="52"/>
      <c r="M27" s="52"/>
      <c r="N27" s="52"/>
      <c r="O27" s="52"/>
      <c r="P27" s="52"/>
      <c r="Q27" s="52"/>
      <c r="R27" s="52"/>
      <c r="S27" s="52"/>
      <c r="T27" s="52"/>
      <c r="U27" s="52"/>
      <c r="V27" s="52"/>
      <c r="W27" s="52"/>
      <c r="X27" s="52"/>
      <c r="Y27" s="52"/>
      <c r="Z27" s="50"/>
      <c r="AA27" s="35"/>
      <c r="AB27"/>
    </row>
    <row r="28" spans="1:33" ht="16" thickBot="1" x14ac:dyDescent="0.4">
      <c r="A28" s="33" t="s">
        <v>46</v>
      </c>
      <c r="B28" s="52"/>
      <c r="C28" s="52"/>
      <c r="D28" s="52"/>
      <c r="E28" s="63"/>
      <c r="F28" s="52"/>
      <c r="G28" s="52"/>
      <c r="H28" s="52"/>
      <c r="I28" s="52"/>
      <c r="J28" s="52"/>
      <c r="K28" s="52"/>
      <c r="L28" s="52"/>
      <c r="M28" s="52"/>
      <c r="N28" s="52"/>
      <c r="O28" s="52"/>
      <c r="P28" s="52"/>
      <c r="Q28" s="52"/>
      <c r="R28" s="52"/>
      <c r="S28" s="52"/>
      <c r="T28" s="52"/>
      <c r="U28" s="52"/>
      <c r="V28" s="52"/>
      <c r="W28" s="52"/>
      <c r="X28" s="52"/>
      <c r="Y28" s="52"/>
      <c r="Z28" s="50"/>
      <c r="AA28" s="35"/>
      <c r="AB28"/>
    </row>
    <row r="29" spans="1:33" ht="16" thickBot="1" x14ac:dyDescent="0.4">
      <c r="A29"/>
      <c r="B29" s="62"/>
      <c r="C29" s="52"/>
      <c r="D29" s="52"/>
      <c r="E29" s="52"/>
      <c r="F29" s="52"/>
      <c r="G29" s="52"/>
      <c r="H29" s="52"/>
      <c r="I29" s="52"/>
      <c r="J29" s="52"/>
      <c r="K29" s="52"/>
      <c r="L29" s="52"/>
      <c r="M29" s="52"/>
      <c r="N29" s="52"/>
      <c r="O29" s="52"/>
      <c r="P29" s="52"/>
      <c r="Q29" s="52"/>
      <c r="R29" s="52"/>
      <c r="S29" s="52"/>
      <c r="T29" s="52"/>
      <c r="U29" s="52"/>
      <c r="V29" s="52"/>
      <c r="W29" s="52"/>
      <c r="X29" s="52"/>
      <c r="Y29" s="52"/>
      <c r="Z29" s="50"/>
      <c r="AA29"/>
      <c r="AB29"/>
    </row>
    <row r="30" spans="1:33" ht="16" thickBot="1" x14ac:dyDescent="0.4">
      <c r="A30" s="53" t="s">
        <v>10</v>
      </c>
      <c r="B30" s="54" t="s">
        <v>11</v>
      </c>
      <c r="C30" s="54" t="s">
        <v>12</v>
      </c>
      <c r="D30" s="54" t="s">
        <v>13</v>
      </c>
      <c r="E30" s="54" t="s">
        <v>14</v>
      </c>
      <c r="F30" s="54" t="s">
        <v>15</v>
      </c>
      <c r="G30" s="54" t="s">
        <v>16</v>
      </c>
      <c r="H30" s="54" t="s">
        <v>17</v>
      </c>
      <c r="I30" s="54" t="s">
        <v>18</v>
      </c>
      <c r="J30" s="54" t="s">
        <v>19</v>
      </c>
      <c r="K30" s="54" t="s">
        <v>20</v>
      </c>
      <c r="L30" s="54" t="s">
        <v>21</v>
      </c>
      <c r="M30" s="54" t="s">
        <v>22</v>
      </c>
      <c r="N30" s="54" t="s">
        <v>23</v>
      </c>
      <c r="O30" s="54" t="s">
        <v>24</v>
      </c>
      <c r="P30" s="54" t="s">
        <v>25</v>
      </c>
      <c r="Q30" s="54" t="s">
        <v>26</v>
      </c>
      <c r="R30" s="54" t="s">
        <v>27</v>
      </c>
      <c r="S30" s="54" t="s">
        <v>28</v>
      </c>
      <c r="T30" s="54" t="s">
        <v>29</v>
      </c>
      <c r="U30" s="54" t="s">
        <v>30</v>
      </c>
      <c r="V30" s="54" t="s">
        <v>31</v>
      </c>
      <c r="W30" s="54" t="s">
        <v>32</v>
      </c>
      <c r="X30" s="54" t="s">
        <v>33</v>
      </c>
      <c r="Y30" s="54" t="s">
        <v>34</v>
      </c>
      <c r="Z30" s="54" t="s">
        <v>6</v>
      </c>
      <c r="AA30" s="34" t="s">
        <v>35</v>
      </c>
      <c r="AB30" s="89"/>
    </row>
    <row r="31" spans="1:33" x14ac:dyDescent="0.35">
      <c r="A31" s="56">
        <v>46388</v>
      </c>
      <c r="B31" s="82">
        <v>4.8499999999999996</v>
      </c>
      <c r="C31" s="82">
        <v>4.49</v>
      </c>
      <c r="D31" s="82">
        <v>4.21</v>
      </c>
      <c r="E31" s="82">
        <v>4.09</v>
      </c>
      <c r="F31" s="82">
        <v>4.0199999999999996</v>
      </c>
      <c r="G31" s="82">
        <v>4.04</v>
      </c>
      <c r="H31" s="82">
        <v>4.1500000000000004</v>
      </c>
      <c r="I31" s="82">
        <v>4.38</v>
      </c>
      <c r="J31" s="82">
        <v>4.84</v>
      </c>
      <c r="K31" s="82">
        <v>5.31</v>
      </c>
      <c r="L31" s="82">
        <v>5.71</v>
      </c>
      <c r="M31" s="82">
        <v>6.06</v>
      </c>
      <c r="N31" s="82">
        <v>6.28</v>
      </c>
      <c r="O31" s="82">
        <v>6.28</v>
      </c>
      <c r="P31" s="82">
        <v>6.15</v>
      </c>
      <c r="Q31" s="82">
        <v>6.07</v>
      </c>
      <c r="R31" s="82">
        <v>6.04</v>
      </c>
      <c r="S31" s="82">
        <v>6.09</v>
      </c>
      <c r="T31" s="82">
        <v>6.6</v>
      </c>
      <c r="U31" s="82">
        <v>7.04</v>
      </c>
      <c r="V31" s="82">
        <v>6.91</v>
      </c>
      <c r="W31" s="82">
        <v>6.48</v>
      </c>
      <c r="X31" s="82">
        <v>5.8</v>
      </c>
      <c r="Y31" s="82">
        <v>5.12</v>
      </c>
      <c r="Z31" s="83">
        <f t="shared" ref="Z31:Z37" si="4">SUM(B31:Y31)</f>
        <v>131.01000000000002</v>
      </c>
      <c r="AA31" s="40">
        <v>6</v>
      </c>
      <c r="AB31" s="90">
        <f t="shared" ref="AB31:AB37" si="5">+Z31*AA31</f>
        <v>786.06000000000017</v>
      </c>
      <c r="AD31" s="30" t="s">
        <v>47</v>
      </c>
      <c r="AG31" s="66"/>
    </row>
    <row r="32" spans="1:33" x14ac:dyDescent="0.35">
      <c r="A32" s="58">
        <v>46419</v>
      </c>
      <c r="B32" s="41">
        <v>4.9000000000000004</v>
      </c>
      <c r="C32" s="41">
        <v>4.5199999999999996</v>
      </c>
      <c r="D32" s="41">
        <v>4.26</v>
      </c>
      <c r="E32" s="41">
        <v>4.1100000000000003</v>
      </c>
      <c r="F32" s="41">
        <v>4.09</v>
      </c>
      <c r="G32" s="41">
        <v>4.17</v>
      </c>
      <c r="H32" s="41">
        <v>4.3600000000000003</v>
      </c>
      <c r="I32" s="41">
        <v>4.67</v>
      </c>
      <c r="J32" s="41">
        <v>5.22</v>
      </c>
      <c r="K32" s="41">
        <v>5.74</v>
      </c>
      <c r="L32" s="41">
        <v>6.08</v>
      </c>
      <c r="M32" s="41">
        <v>6.41</v>
      </c>
      <c r="N32" s="41">
        <v>6.57</v>
      </c>
      <c r="O32" s="41">
        <v>6.48</v>
      </c>
      <c r="P32" s="41">
        <v>6.28</v>
      </c>
      <c r="Q32" s="41">
        <v>6.15</v>
      </c>
      <c r="R32" s="41">
        <v>6.07</v>
      </c>
      <c r="S32" s="41">
        <v>6.15</v>
      </c>
      <c r="T32" s="41">
        <v>6.53</v>
      </c>
      <c r="U32" s="41">
        <v>7.17</v>
      </c>
      <c r="V32" s="41">
        <v>7.02</v>
      </c>
      <c r="W32" s="41">
        <v>6.53</v>
      </c>
      <c r="X32" s="41">
        <v>5.72</v>
      </c>
      <c r="Y32" s="41">
        <v>4.93</v>
      </c>
      <c r="Z32" s="42">
        <f t="shared" si="4"/>
        <v>134.13000000000002</v>
      </c>
      <c r="AA32" s="43">
        <v>4</v>
      </c>
      <c r="AB32" s="91">
        <f t="shared" si="5"/>
        <v>536.5200000000001</v>
      </c>
      <c r="AD32" s="30" t="s">
        <v>47</v>
      </c>
      <c r="AG32" s="66"/>
    </row>
    <row r="33" spans="1:33" x14ac:dyDescent="0.35">
      <c r="A33" s="58">
        <v>46447</v>
      </c>
      <c r="B33" s="41">
        <v>4.5199999999999996</v>
      </c>
      <c r="C33" s="41">
        <v>4.17</v>
      </c>
      <c r="D33" s="41">
        <v>3.96</v>
      </c>
      <c r="E33" s="41">
        <v>3.83</v>
      </c>
      <c r="F33" s="41">
        <v>3.79</v>
      </c>
      <c r="G33" s="41">
        <v>3.87</v>
      </c>
      <c r="H33" s="41">
        <v>4.04</v>
      </c>
      <c r="I33" s="41">
        <v>4.3600000000000003</v>
      </c>
      <c r="J33" s="41">
        <v>4.84</v>
      </c>
      <c r="K33" s="41">
        <v>5.29</v>
      </c>
      <c r="L33" s="41">
        <v>5.6</v>
      </c>
      <c r="M33" s="41">
        <v>5.87</v>
      </c>
      <c r="N33" s="41">
        <v>6.06</v>
      </c>
      <c r="O33" s="41">
        <v>6.03</v>
      </c>
      <c r="P33" s="41">
        <v>5.84</v>
      </c>
      <c r="Q33" s="41">
        <v>5.75</v>
      </c>
      <c r="R33" s="41">
        <v>5.73</v>
      </c>
      <c r="S33" s="41">
        <v>5.87</v>
      </c>
      <c r="T33" s="41">
        <v>6.32</v>
      </c>
      <c r="U33" s="41">
        <v>6.73</v>
      </c>
      <c r="V33" s="41">
        <v>6.53</v>
      </c>
      <c r="W33" s="41">
        <v>6.06</v>
      </c>
      <c r="X33" s="41">
        <v>5.37</v>
      </c>
      <c r="Y33" s="41">
        <v>4.66</v>
      </c>
      <c r="Z33" s="42">
        <f t="shared" si="4"/>
        <v>125.09000000000002</v>
      </c>
      <c r="AA33" s="43">
        <v>6</v>
      </c>
      <c r="AB33" s="91">
        <f t="shared" si="5"/>
        <v>750.54000000000008</v>
      </c>
      <c r="AD33" s="30" t="s">
        <v>47</v>
      </c>
      <c r="AG33" s="66"/>
    </row>
    <row r="34" spans="1:33" x14ac:dyDescent="0.35">
      <c r="A34" s="58">
        <v>46478</v>
      </c>
      <c r="B34" s="41">
        <v>4.2</v>
      </c>
      <c r="C34" s="41">
        <v>3.86</v>
      </c>
      <c r="D34" s="41">
        <v>3.65</v>
      </c>
      <c r="E34" s="41">
        <v>3.54</v>
      </c>
      <c r="F34" s="41">
        <v>3.53</v>
      </c>
      <c r="G34" s="41">
        <v>3.53</v>
      </c>
      <c r="H34" s="41">
        <v>3.71</v>
      </c>
      <c r="I34" s="41">
        <v>4.0999999999999996</v>
      </c>
      <c r="J34" s="41">
        <v>4.57</v>
      </c>
      <c r="K34" s="41">
        <v>5.01</v>
      </c>
      <c r="L34" s="41">
        <v>5.36</v>
      </c>
      <c r="M34" s="41">
        <v>5.69</v>
      </c>
      <c r="N34" s="41">
        <v>5.84</v>
      </c>
      <c r="O34" s="41">
        <v>5.75</v>
      </c>
      <c r="P34" s="41">
        <v>5.64</v>
      </c>
      <c r="Q34" s="41">
        <v>5.45</v>
      </c>
      <c r="R34" s="41">
        <v>5.39</v>
      </c>
      <c r="S34" s="41">
        <v>5.53</v>
      </c>
      <c r="T34" s="41">
        <v>5.95</v>
      </c>
      <c r="U34" s="41">
        <v>6.24</v>
      </c>
      <c r="V34" s="41">
        <v>6.08</v>
      </c>
      <c r="W34" s="41">
        <v>5.67</v>
      </c>
      <c r="X34" s="41">
        <v>5.03</v>
      </c>
      <c r="Y34" s="41">
        <v>4.42</v>
      </c>
      <c r="Z34" s="42">
        <f t="shared" si="4"/>
        <v>117.74000000000001</v>
      </c>
      <c r="AA34" s="43">
        <v>4</v>
      </c>
      <c r="AB34" s="91">
        <f t="shared" si="5"/>
        <v>470.96000000000004</v>
      </c>
      <c r="AD34" s="30" t="s">
        <v>47</v>
      </c>
      <c r="AG34" s="66"/>
    </row>
    <row r="35" spans="1:33" x14ac:dyDescent="0.35">
      <c r="A35" s="58">
        <v>46508</v>
      </c>
      <c r="B35" s="41">
        <v>3.59</v>
      </c>
      <c r="C35" s="41">
        <v>3.3</v>
      </c>
      <c r="D35" s="41">
        <v>3.13</v>
      </c>
      <c r="E35" s="41">
        <v>3.02</v>
      </c>
      <c r="F35" s="41">
        <v>2.99</v>
      </c>
      <c r="G35" s="41">
        <v>2.93</v>
      </c>
      <c r="H35" s="41">
        <v>3.19</v>
      </c>
      <c r="I35" s="41">
        <v>3.53</v>
      </c>
      <c r="J35" s="41">
        <v>3.94</v>
      </c>
      <c r="K35" s="41">
        <v>4.3600000000000003</v>
      </c>
      <c r="L35" s="41">
        <v>4.6399999999999997</v>
      </c>
      <c r="M35" s="41">
        <v>4.8600000000000003</v>
      </c>
      <c r="N35" s="41">
        <v>4.91</v>
      </c>
      <c r="O35" s="41">
        <v>4.87</v>
      </c>
      <c r="P35" s="41">
        <v>4.67</v>
      </c>
      <c r="Q35" s="41">
        <v>4.66</v>
      </c>
      <c r="R35" s="41">
        <v>4.6399999999999997</v>
      </c>
      <c r="S35" s="41">
        <v>4.71</v>
      </c>
      <c r="T35" s="41">
        <v>5.05</v>
      </c>
      <c r="U35" s="41">
        <v>5.39</v>
      </c>
      <c r="V35" s="41">
        <v>5.27</v>
      </c>
      <c r="W35" s="41">
        <v>4.91</v>
      </c>
      <c r="X35" s="41">
        <v>4.33</v>
      </c>
      <c r="Y35" s="41">
        <v>3.76</v>
      </c>
      <c r="Z35" s="42">
        <f t="shared" si="4"/>
        <v>100.64999999999999</v>
      </c>
      <c r="AA35" s="43">
        <v>6</v>
      </c>
      <c r="AB35" s="91">
        <f t="shared" si="5"/>
        <v>603.9</v>
      </c>
      <c r="AD35" s="30" t="s">
        <v>47</v>
      </c>
      <c r="AG35" s="66"/>
    </row>
    <row r="36" spans="1:33" x14ac:dyDescent="0.35">
      <c r="A36" s="58">
        <v>46539</v>
      </c>
      <c r="B36" s="41">
        <v>3.56</v>
      </c>
      <c r="C36" s="41">
        <v>3.27</v>
      </c>
      <c r="D36" s="41">
        <v>3.1</v>
      </c>
      <c r="E36" s="41">
        <v>3</v>
      </c>
      <c r="F36" s="41">
        <v>2.98</v>
      </c>
      <c r="G36" s="41">
        <v>2.99</v>
      </c>
      <c r="H36" s="41">
        <v>3.19</v>
      </c>
      <c r="I36" s="41">
        <v>3.53</v>
      </c>
      <c r="J36" s="41">
        <v>3.94</v>
      </c>
      <c r="K36" s="41">
        <v>4.3499999999999996</v>
      </c>
      <c r="L36" s="41">
        <v>4.59</v>
      </c>
      <c r="M36" s="41">
        <v>4.8</v>
      </c>
      <c r="N36" s="41">
        <v>4.92</v>
      </c>
      <c r="O36" s="41">
        <v>4.9000000000000004</v>
      </c>
      <c r="P36" s="41">
        <v>4.76</v>
      </c>
      <c r="Q36" s="41">
        <v>4.6500000000000004</v>
      </c>
      <c r="R36" s="41">
        <v>4.59</v>
      </c>
      <c r="S36" s="41">
        <v>4.6500000000000004</v>
      </c>
      <c r="T36" s="41">
        <v>4.9800000000000004</v>
      </c>
      <c r="U36" s="41">
        <v>5.39</v>
      </c>
      <c r="V36" s="41">
        <v>5.26</v>
      </c>
      <c r="W36" s="41">
        <v>4.9000000000000004</v>
      </c>
      <c r="X36" s="41">
        <v>4.3600000000000003</v>
      </c>
      <c r="Y36" s="41">
        <v>3.79</v>
      </c>
      <c r="Z36" s="42">
        <f t="shared" si="4"/>
        <v>100.45000000000002</v>
      </c>
      <c r="AA36" s="43">
        <v>4</v>
      </c>
      <c r="AB36" s="91">
        <f t="shared" si="5"/>
        <v>401.80000000000007</v>
      </c>
      <c r="AD36" s="30" t="s">
        <v>47</v>
      </c>
      <c r="AG36" s="66"/>
    </row>
    <row r="37" spans="1:33" ht="16" thickBot="1" x14ac:dyDescent="0.4">
      <c r="A37" s="60">
        <v>46569</v>
      </c>
      <c r="B37" s="44">
        <v>3.98</v>
      </c>
      <c r="C37" s="44">
        <v>3.68</v>
      </c>
      <c r="D37" s="44">
        <v>3.49</v>
      </c>
      <c r="E37" s="44">
        <v>3.36</v>
      </c>
      <c r="F37" s="44">
        <v>3.35</v>
      </c>
      <c r="G37" s="44">
        <v>3.34</v>
      </c>
      <c r="H37" s="44">
        <v>3.52</v>
      </c>
      <c r="I37" s="44">
        <v>3.88</v>
      </c>
      <c r="J37" s="44">
        <v>4.34</v>
      </c>
      <c r="K37" s="44">
        <v>4.78</v>
      </c>
      <c r="L37" s="44">
        <v>5.0599999999999996</v>
      </c>
      <c r="M37" s="44">
        <v>5.36</v>
      </c>
      <c r="N37" s="44">
        <v>5.48</v>
      </c>
      <c r="O37" s="44">
        <v>5.38</v>
      </c>
      <c r="P37" s="44">
        <v>5.23</v>
      </c>
      <c r="Q37" s="44">
        <v>5.13</v>
      </c>
      <c r="R37" s="44">
        <v>5.1100000000000003</v>
      </c>
      <c r="S37" s="44">
        <v>5.18</v>
      </c>
      <c r="T37" s="44">
        <v>5.47</v>
      </c>
      <c r="U37" s="44">
        <v>5.94</v>
      </c>
      <c r="V37" s="44">
        <v>5.81</v>
      </c>
      <c r="W37" s="44">
        <v>5.41</v>
      </c>
      <c r="X37" s="44">
        <v>4.79</v>
      </c>
      <c r="Y37" s="44">
        <v>4.16</v>
      </c>
      <c r="Z37" s="45">
        <f t="shared" si="4"/>
        <v>111.23</v>
      </c>
      <c r="AA37" s="46">
        <v>5</v>
      </c>
      <c r="AB37" s="92">
        <f t="shared" si="5"/>
        <v>556.15</v>
      </c>
      <c r="AD37" s="30" t="s">
        <v>47</v>
      </c>
      <c r="AG37" s="66"/>
    </row>
    <row r="38" spans="1:33" ht="16" thickBot="1" x14ac:dyDescent="0.4">
      <c r="A38"/>
      <c r="B38" s="62"/>
      <c r="C38" s="52"/>
      <c r="D38" s="52"/>
      <c r="E38" s="52"/>
      <c r="F38" s="52"/>
      <c r="G38" s="52"/>
      <c r="H38" s="52"/>
      <c r="I38" s="52"/>
      <c r="J38" s="52"/>
      <c r="K38" s="52"/>
      <c r="L38" s="52"/>
      <c r="M38" s="52"/>
      <c r="N38" s="52"/>
      <c r="O38" s="52"/>
      <c r="P38" s="52"/>
      <c r="Q38" s="52"/>
      <c r="R38" s="52"/>
      <c r="S38" s="52"/>
      <c r="T38" s="52"/>
      <c r="U38" s="52"/>
      <c r="V38" s="52"/>
      <c r="W38" s="52"/>
      <c r="X38" s="52"/>
      <c r="Y38" s="52"/>
      <c r="Z38" s="50"/>
      <c r="AA38" s="35"/>
      <c r="AB38"/>
    </row>
    <row r="39" spans="1:33" ht="16" thickBot="1" x14ac:dyDescent="0.4">
      <c r="A39" s="33" t="s">
        <v>48</v>
      </c>
      <c r="B39" s="52"/>
      <c r="C39" s="52"/>
      <c r="D39" s="52"/>
      <c r="E39" s="63"/>
      <c r="F39" s="52"/>
      <c r="G39" s="52"/>
      <c r="H39" s="52"/>
      <c r="I39" s="52"/>
      <c r="J39" s="52"/>
      <c r="K39" s="52"/>
      <c r="L39" s="52"/>
      <c r="M39" s="52"/>
      <c r="N39" s="52"/>
      <c r="O39" s="52"/>
      <c r="P39" s="52"/>
      <c r="Q39" s="52"/>
      <c r="R39" s="52"/>
      <c r="S39" s="52"/>
      <c r="T39" s="52"/>
      <c r="U39" s="52"/>
      <c r="V39" s="52"/>
      <c r="W39" s="52"/>
      <c r="X39" s="52"/>
      <c r="Y39" s="52"/>
      <c r="Z39" s="50"/>
      <c r="AA39" s="35"/>
      <c r="AB39"/>
    </row>
    <row r="40" spans="1:33" ht="16" thickBot="1" x14ac:dyDescent="0.4">
      <c r="A40"/>
      <c r="B40" s="62"/>
      <c r="C40" s="52"/>
      <c r="D40" s="52"/>
      <c r="E40" s="52"/>
      <c r="F40" s="52"/>
      <c r="G40" s="52"/>
      <c r="H40" s="52"/>
      <c r="I40" s="52"/>
      <c r="J40" s="52"/>
      <c r="K40" s="52"/>
      <c r="L40" s="52"/>
      <c r="M40" s="52"/>
      <c r="N40" s="52"/>
      <c r="O40" s="52"/>
      <c r="P40" s="52"/>
      <c r="Q40" s="52"/>
      <c r="R40" s="52"/>
      <c r="S40" s="52"/>
      <c r="T40" s="52"/>
      <c r="U40" s="52"/>
      <c r="V40" s="52"/>
      <c r="W40" s="52"/>
      <c r="X40" s="52"/>
      <c r="Y40" s="52"/>
      <c r="Z40" s="50"/>
      <c r="AA40"/>
      <c r="AB40"/>
    </row>
    <row r="41" spans="1:33" ht="16" thickBot="1" x14ac:dyDescent="0.4">
      <c r="A41" s="53" t="s">
        <v>10</v>
      </c>
      <c r="B41" s="54" t="s">
        <v>11</v>
      </c>
      <c r="C41" s="54" t="s">
        <v>12</v>
      </c>
      <c r="D41" s="54" t="s">
        <v>13</v>
      </c>
      <c r="E41" s="54" t="s">
        <v>14</v>
      </c>
      <c r="F41" s="54" t="s">
        <v>15</v>
      </c>
      <c r="G41" s="54" t="s">
        <v>16</v>
      </c>
      <c r="H41" s="54" t="s">
        <v>17</v>
      </c>
      <c r="I41" s="54" t="s">
        <v>18</v>
      </c>
      <c r="J41" s="54" t="s">
        <v>19</v>
      </c>
      <c r="K41" s="54" t="s">
        <v>20</v>
      </c>
      <c r="L41" s="54" t="s">
        <v>21</v>
      </c>
      <c r="M41" s="54" t="s">
        <v>22</v>
      </c>
      <c r="N41" s="54" t="s">
        <v>23</v>
      </c>
      <c r="O41" s="54" t="s">
        <v>24</v>
      </c>
      <c r="P41" s="54" t="s">
        <v>25</v>
      </c>
      <c r="Q41" s="54" t="s">
        <v>26</v>
      </c>
      <c r="R41" s="54" t="s">
        <v>27</v>
      </c>
      <c r="S41" s="54" t="s">
        <v>28</v>
      </c>
      <c r="T41" s="54" t="s">
        <v>29</v>
      </c>
      <c r="U41" s="54" t="s">
        <v>30</v>
      </c>
      <c r="V41" s="54" t="s">
        <v>31</v>
      </c>
      <c r="W41" s="54" t="s">
        <v>32</v>
      </c>
      <c r="X41" s="54" t="s">
        <v>33</v>
      </c>
      <c r="Y41" s="54" t="s">
        <v>34</v>
      </c>
      <c r="Z41" s="54" t="s">
        <v>6</v>
      </c>
      <c r="AA41" s="34" t="s">
        <v>35</v>
      </c>
      <c r="AB41" s="89"/>
    </row>
    <row r="42" spans="1:33" x14ac:dyDescent="0.35">
      <c r="A42" s="56">
        <v>46388</v>
      </c>
      <c r="B42" s="82">
        <v>4.58</v>
      </c>
      <c r="C42" s="82">
        <v>4.2300000000000004</v>
      </c>
      <c r="D42" s="82">
        <v>4.01</v>
      </c>
      <c r="E42" s="82">
        <v>3.89</v>
      </c>
      <c r="F42" s="82">
        <v>3.89</v>
      </c>
      <c r="G42" s="82">
        <v>3.98</v>
      </c>
      <c r="H42" s="82">
        <v>4.21</v>
      </c>
      <c r="I42" s="82">
        <v>4.5</v>
      </c>
      <c r="J42" s="82">
        <v>5</v>
      </c>
      <c r="K42" s="82">
        <v>5.55</v>
      </c>
      <c r="L42" s="82">
        <v>6.05</v>
      </c>
      <c r="M42" s="82">
        <v>6.45</v>
      </c>
      <c r="N42" s="82">
        <v>6.63</v>
      </c>
      <c r="O42" s="82">
        <v>6.49</v>
      </c>
      <c r="P42" s="82">
        <v>6.17</v>
      </c>
      <c r="Q42" s="82">
        <v>6.03</v>
      </c>
      <c r="R42" s="82">
        <v>6.05</v>
      </c>
      <c r="S42" s="82">
        <v>6.26</v>
      </c>
      <c r="T42" s="82">
        <v>6.81</v>
      </c>
      <c r="U42" s="82">
        <v>7.08</v>
      </c>
      <c r="V42" s="82">
        <v>6.8</v>
      </c>
      <c r="W42" s="82">
        <v>6.26</v>
      </c>
      <c r="X42" s="82">
        <v>5.49</v>
      </c>
      <c r="Y42" s="82">
        <v>4.74</v>
      </c>
      <c r="Z42" s="83">
        <f t="shared" ref="Z42:Z48" si="6">SUM(B42:Y42)</f>
        <v>131.15</v>
      </c>
      <c r="AA42" s="40">
        <v>1</v>
      </c>
      <c r="AB42" s="90">
        <f t="shared" ref="AB42:AB48" si="7">+Z42*AA42</f>
        <v>131.15</v>
      </c>
      <c r="AD42" s="30" t="s">
        <v>49</v>
      </c>
      <c r="AG42" s="66"/>
    </row>
    <row r="43" spans="1:33" x14ac:dyDescent="0.35">
      <c r="A43" s="58">
        <v>46419</v>
      </c>
      <c r="B43" s="41">
        <v>4.9000000000000004</v>
      </c>
      <c r="C43" s="41">
        <v>4.5199999999999996</v>
      </c>
      <c r="D43" s="41">
        <v>4.26</v>
      </c>
      <c r="E43" s="41">
        <v>4.1100000000000003</v>
      </c>
      <c r="F43" s="41">
        <v>4.09</v>
      </c>
      <c r="G43" s="41">
        <v>4.17</v>
      </c>
      <c r="H43" s="41">
        <v>4.3600000000000003</v>
      </c>
      <c r="I43" s="41">
        <v>4.67</v>
      </c>
      <c r="J43" s="41">
        <v>5.22</v>
      </c>
      <c r="K43" s="41">
        <v>5.74</v>
      </c>
      <c r="L43" s="41">
        <v>6.08</v>
      </c>
      <c r="M43" s="41">
        <v>6.41</v>
      </c>
      <c r="N43" s="41">
        <v>6.57</v>
      </c>
      <c r="O43" s="41">
        <v>6.48</v>
      </c>
      <c r="P43" s="41">
        <v>6.28</v>
      </c>
      <c r="Q43" s="41">
        <v>6.15</v>
      </c>
      <c r="R43" s="41">
        <v>6.07</v>
      </c>
      <c r="S43" s="41">
        <v>6.15</v>
      </c>
      <c r="T43" s="41">
        <v>6.53</v>
      </c>
      <c r="U43" s="41">
        <v>7.17</v>
      </c>
      <c r="V43" s="41">
        <v>7.02</v>
      </c>
      <c r="W43" s="41">
        <v>6.53</v>
      </c>
      <c r="X43" s="41">
        <v>5.72</v>
      </c>
      <c r="Y43" s="41">
        <v>4.93</v>
      </c>
      <c r="Z43" s="42">
        <f t="shared" si="6"/>
        <v>134.13000000000002</v>
      </c>
      <c r="AA43" s="43">
        <v>0</v>
      </c>
      <c r="AB43" s="91">
        <f t="shared" si="7"/>
        <v>0</v>
      </c>
      <c r="AD43" s="30" t="s">
        <v>49</v>
      </c>
      <c r="AG43" s="66"/>
    </row>
    <row r="44" spans="1:33" x14ac:dyDescent="0.35">
      <c r="A44" s="58">
        <v>46447</v>
      </c>
      <c r="B44" s="41">
        <v>4.3499999999999996</v>
      </c>
      <c r="C44" s="41">
        <v>4.03</v>
      </c>
      <c r="D44" s="41">
        <v>3.84</v>
      </c>
      <c r="E44" s="41">
        <v>3.73</v>
      </c>
      <c r="F44" s="41">
        <v>3.71</v>
      </c>
      <c r="G44" s="41">
        <v>3.8</v>
      </c>
      <c r="H44" s="41">
        <v>3.95</v>
      </c>
      <c r="I44" s="41">
        <v>4.38</v>
      </c>
      <c r="J44" s="41">
        <v>4.9400000000000004</v>
      </c>
      <c r="K44" s="41">
        <v>5.41</v>
      </c>
      <c r="L44" s="41">
        <v>5.81</v>
      </c>
      <c r="M44" s="41">
        <v>6.17</v>
      </c>
      <c r="N44" s="41">
        <v>6.28</v>
      </c>
      <c r="O44" s="41">
        <v>6.2</v>
      </c>
      <c r="P44" s="41">
        <v>6.05</v>
      </c>
      <c r="Q44" s="41">
        <v>5.94</v>
      </c>
      <c r="R44" s="41">
        <v>5.92</v>
      </c>
      <c r="S44" s="41">
        <v>6.06</v>
      </c>
      <c r="T44" s="41">
        <v>6.47</v>
      </c>
      <c r="U44" s="41">
        <v>6.86</v>
      </c>
      <c r="V44" s="41">
        <v>6.68</v>
      </c>
      <c r="W44" s="41">
        <v>6.18</v>
      </c>
      <c r="X44" s="41">
        <v>5.35</v>
      </c>
      <c r="Y44" s="41">
        <v>4.63</v>
      </c>
      <c r="Z44" s="42">
        <f t="shared" si="6"/>
        <v>126.74000000000001</v>
      </c>
      <c r="AA44" s="43">
        <v>1</v>
      </c>
      <c r="AB44" s="91">
        <f t="shared" si="7"/>
        <v>126.74000000000001</v>
      </c>
      <c r="AD44" s="30" t="s">
        <v>49</v>
      </c>
      <c r="AG44" s="66"/>
    </row>
    <row r="45" spans="1:33" x14ac:dyDescent="0.35">
      <c r="A45" s="58">
        <v>46478</v>
      </c>
      <c r="B45" s="41">
        <v>4.2</v>
      </c>
      <c r="C45" s="41">
        <v>3.86</v>
      </c>
      <c r="D45" s="41">
        <v>3.65</v>
      </c>
      <c r="E45" s="41">
        <v>3.54</v>
      </c>
      <c r="F45" s="41">
        <v>3.53</v>
      </c>
      <c r="G45" s="41">
        <v>3.53</v>
      </c>
      <c r="H45" s="41">
        <v>3.71</v>
      </c>
      <c r="I45" s="41">
        <v>4.0999999999999996</v>
      </c>
      <c r="J45" s="41">
        <v>4.57</v>
      </c>
      <c r="K45" s="41">
        <v>5.01</v>
      </c>
      <c r="L45" s="41">
        <v>5.36</v>
      </c>
      <c r="M45" s="41">
        <v>5.69</v>
      </c>
      <c r="N45" s="41">
        <v>5.84</v>
      </c>
      <c r="O45" s="41">
        <v>5.75</v>
      </c>
      <c r="P45" s="41">
        <v>5.64</v>
      </c>
      <c r="Q45" s="41">
        <v>5.45</v>
      </c>
      <c r="R45" s="41">
        <v>5.39</v>
      </c>
      <c r="S45" s="41">
        <v>5.53</v>
      </c>
      <c r="T45" s="41">
        <v>5.95</v>
      </c>
      <c r="U45" s="41">
        <v>6.24</v>
      </c>
      <c r="V45" s="41">
        <v>6.08</v>
      </c>
      <c r="W45" s="41">
        <v>5.67</v>
      </c>
      <c r="X45" s="41">
        <v>5.03</v>
      </c>
      <c r="Y45" s="41">
        <v>4.42</v>
      </c>
      <c r="Z45" s="42">
        <f t="shared" si="6"/>
        <v>117.74000000000001</v>
      </c>
      <c r="AA45" s="43">
        <v>0</v>
      </c>
      <c r="AB45" s="91">
        <f t="shared" si="7"/>
        <v>0</v>
      </c>
      <c r="AD45" s="30" t="s">
        <v>49</v>
      </c>
      <c r="AG45" s="66"/>
    </row>
    <row r="46" spans="1:33" x14ac:dyDescent="0.35">
      <c r="A46" s="58">
        <v>46508</v>
      </c>
      <c r="B46" s="41">
        <v>3.35</v>
      </c>
      <c r="C46" s="41">
        <v>3.1</v>
      </c>
      <c r="D46" s="41">
        <v>2.98</v>
      </c>
      <c r="E46" s="41">
        <v>2.91</v>
      </c>
      <c r="F46" s="41">
        <v>2.93</v>
      </c>
      <c r="G46" s="41">
        <v>2.95</v>
      </c>
      <c r="H46" s="41">
        <v>3.17</v>
      </c>
      <c r="I46" s="41">
        <v>3.58</v>
      </c>
      <c r="J46" s="41">
        <v>4.07</v>
      </c>
      <c r="K46" s="41">
        <v>4.4400000000000004</v>
      </c>
      <c r="L46" s="41">
        <v>4.72</v>
      </c>
      <c r="M46" s="41">
        <v>5.0999999999999996</v>
      </c>
      <c r="N46" s="41">
        <v>5.32</v>
      </c>
      <c r="O46" s="41">
        <v>5.2</v>
      </c>
      <c r="P46" s="41">
        <v>4.9000000000000004</v>
      </c>
      <c r="Q46" s="41">
        <v>4.78</v>
      </c>
      <c r="R46" s="41">
        <v>4.72</v>
      </c>
      <c r="S46" s="41">
        <v>4.8</v>
      </c>
      <c r="T46" s="41">
        <v>5.0599999999999996</v>
      </c>
      <c r="U46" s="41">
        <v>5.46</v>
      </c>
      <c r="V46" s="41">
        <v>5.28</v>
      </c>
      <c r="W46" s="41">
        <v>4.87</v>
      </c>
      <c r="X46" s="41">
        <v>4.22</v>
      </c>
      <c r="Y46" s="41">
        <v>3.63</v>
      </c>
      <c r="Z46" s="42">
        <f t="shared" si="6"/>
        <v>101.53999999999999</v>
      </c>
      <c r="AA46" s="43">
        <v>2</v>
      </c>
      <c r="AB46" s="91">
        <f t="shared" si="7"/>
        <v>203.07999999999998</v>
      </c>
      <c r="AD46" s="30" t="s">
        <v>49</v>
      </c>
      <c r="AG46" s="66"/>
    </row>
    <row r="47" spans="1:33" x14ac:dyDescent="0.35">
      <c r="A47" s="58">
        <v>46539</v>
      </c>
      <c r="B47" s="41">
        <v>3.42</v>
      </c>
      <c r="C47" s="41">
        <v>3.15</v>
      </c>
      <c r="D47" s="41">
        <v>3</v>
      </c>
      <c r="E47" s="41">
        <v>2.94</v>
      </c>
      <c r="F47" s="41">
        <v>2.95</v>
      </c>
      <c r="G47" s="41">
        <v>2.93</v>
      </c>
      <c r="H47" s="41">
        <v>3.18</v>
      </c>
      <c r="I47" s="41">
        <v>3.53</v>
      </c>
      <c r="J47" s="41">
        <v>3.97</v>
      </c>
      <c r="K47" s="41">
        <v>4.3899999999999997</v>
      </c>
      <c r="L47" s="41">
        <v>4.71</v>
      </c>
      <c r="M47" s="41">
        <v>5.0199999999999996</v>
      </c>
      <c r="N47" s="41">
        <v>5.21</v>
      </c>
      <c r="O47" s="41">
        <v>5.15</v>
      </c>
      <c r="P47" s="41">
        <v>4.9400000000000004</v>
      </c>
      <c r="Q47" s="41">
        <v>4.84</v>
      </c>
      <c r="R47" s="41">
        <v>4.76</v>
      </c>
      <c r="S47" s="41">
        <v>4.88</v>
      </c>
      <c r="T47" s="41">
        <v>5.2</v>
      </c>
      <c r="U47" s="41">
        <v>5.58</v>
      </c>
      <c r="V47" s="41">
        <v>5.4</v>
      </c>
      <c r="W47" s="41">
        <v>4.96</v>
      </c>
      <c r="X47" s="41">
        <v>4.32</v>
      </c>
      <c r="Y47" s="41">
        <v>3.7</v>
      </c>
      <c r="Z47" s="42">
        <f t="shared" si="6"/>
        <v>102.13000000000001</v>
      </c>
      <c r="AA47" s="43">
        <v>1</v>
      </c>
      <c r="AB47" s="91">
        <f t="shared" si="7"/>
        <v>102.13000000000001</v>
      </c>
      <c r="AD47" s="30" t="s">
        <v>49</v>
      </c>
      <c r="AG47" s="66"/>
    </row>
    <row r="48" spans="1:33" ht="16" thickBot="1" x14ac:dyDescent="0.4">
      <c r="A48" s="60">
        <v>46569</v>
      </c>
      <c r="B48" s="44">
        <v>3.88</v>
      </c>
      <c r="C48" s="44">
        <v>3.59</v>
      </c>
      <c r="D48" s="44">
        <v>3.4</v>
      </c>
      <c r="E48" s="44">
        <v>3.31</v>
      </c>
      <c r="F48" s="44">
        <v>3.3</v>
      </c>
      <c r="G48" s="44">
        <v>3.29</v>
      </c>
      <c r="H48" s="44">
        <v>3.51</v>
      </c>
      <c r="I48" s="44">
        <v>3.89</v>
      </c>
      <c r="J48" s="44">
        <v>4.3600000000000003</v>
      </c>
      <c r="K48" s="44">
        <v>4.79</v>
      </c>
      <c r="L48" s="44">
        <v>5.19</v>
      </c>
      <c r="M48" s="44">
        <v>5.58</v>
      </c>
      <c r="N48" s="44">
        <v>5.78</v>
      </c>
      <c r="O48" s="44">
        <v>5.61</v>
      </c>
      <c r="P48" s="44">
        <v>5.24</v>
      </c>
      <c r="Q48" s="44">
        <v>5.0599999999999996</v>
      </c>
      <c r="R48" s="44">
        <v>4.9800000000000004</v>
      </c>
      <c r="S48" s="44">
        <v>5.04</v>
      </c>
      <c r="T48" s="44">
        <v>5.32</v>
      </c>
      <c r="U48" s="44">
        <v>5.89</v>
      </c>
      <c r="V48" s="44">
        <v>5.73</v>
      </c>
      <c r="W48" s="44">
        <v>5.31</v>
      </c>
      <c r="X48" s="44">
        <v>4.67</v>
      </c>
      <c r="Y48" s="44">
        <v>4.01</v>
      </c>
      <c r="Z48" s="45">
        <f t="shared" si="6"/>
        <v>110.73000000000002</v>
      </c>
      <c r="AA48" s="46">
        <v>1</v>
      </c>
      <c r="AB48" s="92">
        <f t="shared" si="7"/>
        <v>110.73000000000002</v>
      </c>
      <c r="AD48" s="30" t="s">
        <v>49</v>
      </c>
      <c r="AG48" s="66"/>
    </row>
    <row r="49" spans="1:33" ht="16" thickBot="1" x14ac:dyDescent="0.4">
      <c r="A49" s="80"/>
      <c r="B49" s="68"/>
      <c r="C49" s="68"/>
      <c r="D49" s="68"/>
      <c r="E49" s="68"/>
      <c r="F49" s="68"/>
      <c r="G49" s="68"/>
      <c r="H49" s="68"/>
      <c r="I49" s="68"/>
      <c r="J49" s="68"/>
      <c r="K49" s="68"/>
      <c r="L49" s="68"/>
      <c r="M49" s="68"/>
      <c r="N49" s="68"/>
      <c r="O49" s="68"/>
      <c r="P49" s="68"/>
      <c r="Q49" s="68"/>
      <c r="R49" s="68"/>
      <c r="S49" s="68"/>
      <c r="T49" s="68"/>
      <c r="U49" s="68"/>
      <c r="V49" s="68"/>
      <c r="W49" s="68"/>
      <c r="X49" s="68"/>
      <c r="Y49" s="68"/>
      <c r="Z49" s="69"/>
      <c r="AA49" s="70"/>
      <c r="AB49" s="71"/>
      <c r="AG49" s="66"/>
    </row>
    <row r="50" spans="1:33" ht="16" thickBot="1" x14ac:dyDescent="0.4">
      <c r="A50" s="33" t="s">
        <v>36</v>
      </c>
      <c r="B50" s="52"/>
      <c r="C50" s="52"/>
      <c r="D50" s="52"/>
      <c r="E50" s="63"/>
      <c r="F50" s="52"/>
      <c r="G50" s="52"/>
      <c r="H50" s="52"/>
      <c r="I50" s="52"/>
      <c r="J50" s="52"/>
      <c r="K50" s="52"/>
      <c r="L50" s="52"/>
      <c r="M50" s="52"/>
      <c r="N50" s="52"/>
      <c r="O50" s="52"/>
      <c r="P50" s="52"/>
      <c r="Q50" s="52"/>
      <c r="R50" s="52"/>
      <c r="S50" s="52"/>
      <c r="T50" s="52"/>
      <c r="U50" s="52"/>
      <c r="V50" s="52"/>
      <c r="W50" s="52"/>
      <c r="X50" s="52"/>
      <c r="Y50" s="52"/>
      <c r="Z50" s="50"/>
      <c r="AA50" s="35"/>
      <c r="AB50"/>
    </row>
    <row r="51" spans="1:33" ht="16" thickBot="1" x14ac:dyDescent="0.4">
      <c r="A51"/>
      <c r="B51" s="62"/>
      <c r="C51" s="52"/>
      <c r="D51" s="52"/>
      <c r="E51" s="52"/>
      <c r="F51" s="52"/>
      <c r="G51" s="52"/>
      <c r="H51" s="52"/>
      <c r="I51" s="52"/>
      <c r="J51" s="52"/>
      <c r="K51" s="52"/>
      <c r="L51" s="52"/>
      <c r="M51" s="52"/>
      <c r="N51" s="52"/>
      <c r="O51" s="52"/>
      <c r="P51" s="52"/>
      <c r="Q51" s="52"/>
      <c r="R51" s="52"/>
      <c r="S51" s="52"/>
      <c r="T51" s="52"/>
      <c r="U51" s="52"/>
      <c r="V51" s="52"/>
      <c r="W51" s="52"/>
      <c r="X51" s="52"/>
      <c r="Y51" s="52"/>
      <c r="Z51" s="50"/>
      <c r="AA51"/>
      <c r="AB51"/>
    </row>
    <row r="52" spans="1:33" ht="16" thickBot="1" x14ac:dyDescent="0.4">
      <c r="A52" s="53" t="s">
        <v>10</v>
      </c>
      <c r="B52" s="54" t="s">
        <v>11</v>
      </c>
      <c r="C52" s="54" t="s">
        <v>12</v>
      </c>
      <c r="D52" s="54" t="s">
        <v>13</v>
      </c>
      <c r="E52" s="54" t="s">
        <v>14</v>
      </c>
      <c r="F52" s="54" t="s">
        <v>15</v>
      </c>
      <c r="G52" s="54" t="s">
        <v>16</v>
      </c>
      <c r="H52" s="54" t="s">
        <v>17</v>
      </c>
      <c r="I52" s="54" t="s">
        <v>18</v>
      </c>
      <c r="J52" s="54" t="s">
        <v>19</v>
      </c>
      <c r="K52" s="54" t="s">
        <v>20</v>
      </c>
      <c r="L52" s="54" t="s">
        <v>21</v>
      </c>
      <c r="M52" s="54" t="s">
        <v>22</v>
      </c>
      <c r="N52" s="54" t="s">
        <v>23</v>
      </c>
      <c r="O52" s="54" t="s">
        <v>24</v>
      </c>
      <c r="P52" s="54" t="s">
        <v>25</v>
      </c>
      <c r="Q52" s="54" t="s">
        <v>26</v>
      </c>
      <c r="R52" s="54" t="s">
        <v>27</v>
      </c>
      <c r="S52" s="54" t="s">
        <v>28</v>
      </c>
      <c r="T52" s="54" t="s">
        <v>29</v>
      </c>
      <c r="U52" s="54" t="s">
        <v>30</v>
      </c>
      <c r="V52" s="54" t="s">
        <v>31</v>
      </c>
      <c r="W52" s="54" t="s">
        <v>32</v>
      </c>
      <c r="X52" s="54" t="s">
        <v>33</v>
      </c>
      <c r="Y52" s="54" t="s">
        <v>34</v>
      </c>
      <c r="Z52" s="54" t="s">
        <v>6</v>
      </c>
      <c r="AA52" s="34" t="s">
        <v>35</v>
      </c>
      <c r="AB52" s="89"/>
    </row>
    <row r="53" spans="1:33" x14ac:dyDescent="0.35">
      <c r="A53" s="56">
        <f t="shared" ref="A53:A59" si="8">+A42</f>
        <v>46388</v>
      </c>
      <c r="B53" s="82">
        <f t="shared" ref="B53:Y53" si="9">+B8*$AA8+B20*$AA20+B31*$AA31+B42*$AA42</f>
        <v>145.54000000000002</v>
      </c>
      <c r="C53" s="82">
        <f t="shared" si="9"/>
        <v>134.95999999999998</v>
      </c>
      <c r="D53" s="82">
        <f t="shared" si="9"/>
        <v>128.77999999999997</v>
      </c>
      <c r="E53" s="82">
        <f t="shared" si="9"/>
        <v>126.06000000000002</v>
      </c>
      <c r="F53" s="82">
        <f t="shared" si="9"/>
        <v>128.16999999999999</v>
      </c>
      <c r="G53" s="82">
        <f t="shared" si="9"/>
        <v>137.16999999999999</v>
      </c>
      <c r="H53" s="82">
        <f t="shared" si="9"/>
        <v>151.42000000000002</v>
      </c>
      <c r="I53" s="82">
        <f t="shared" si="9"/>
        <v>167.35</v>
      </c>
      <c r="J53" s="82">
        <f t="shared" si="9"/>
        <v>188.09</v>
      </c>
      <c r="K53" s="82">
        <f t="shared" si="9"/>
        <v>204.92000000000002</v>
      </c>
      <c r="L53" s="82">
        <f t="shared" si="9"/>
        <v>220</v>
      </c>
      <c r="M53" s="82">
        <f t="shared" si="9"/>
        <v>233.03999999999996</v>
      </c>
      <c r="N53" s="82">
        <f t="shared" si="9"/>
        <v>233.74</v>
      </c>
      <c r="O53" s="82">
        <f t="shared" si="9"/>
        <v>230.50000000000003</v>
      </c>
      <c r="P53" s="82">
        <f t="shared" si="9"/>
        <v>230.49</v>
      </c>
      <c r="Q53" s="82">
        <f t="shared" si="9"/>
        <v>228.99000000000004</v>
      </c>
      <c r="R53" s="82">
        <f t="shared" si="9"/>
        <v>225.52000000000004</v>
      </c>
      <c r="S53" s="82">
        <f t="shared" si="9"/>
        <v>222.14</v>
      </c>
      <c r="T53" s="82">
        <f t="shared" si="9"/>
        <v>232.65</v>
      </c>
      <c r="U53" s="82">
        <f t="shared" si="9"/>
        <v>240.12000000000003</v>
      </c>
      <c r="V53" s="82">
        <f t="shared" si="9"/>
        <v>230.47000000000003</v>
      </c>
      <c r="W53" s="82">
        <f t="shared" si="9"/>
        <v>214.64</v>
      </c>
      <c r="X53" s="82">
        <f t="shared" si="9"/>
        <v>189.91000000000003</v>
      </c>
      <c r="Y53" s="82">
        <f t="shared" si="9"/>
        <v>163.58000000000001</v>
      </c>
      <c r="Z53" s="83">
        <f t="shared" ref="Z53:Z59" si="10">SUM(B53:Y53)</f>
        <v>4608.25</v>
      </c>
      <c r="AA53" s="40">
        <f t="shared" ref="AA53:AA59" si="11">AA8+AA20+AA31+AA42</f>
        <v>31</v>
      </c>
      <c r="AB53" s="90">
        <f t="shared" ref="AB53:AB59" si="12">+AB8+AB20+AB31+AB42</f>
        <v>4608.25</v>
      </c>
      <c r="AD53" s="79">
        <f t="shared" ref="AD53:AD59" si="13">+AB53-Z53</f>
        <v>0</v>
      </c>
    </row>
    <row r="54" spans="1:33" x14ac:dyDescent="0.35">
      <c r="A54" s="58">
        <f t="shared" si="8"/>
        <v>46419</v>
      </c>
      <c r="B54" s="41">
        <f t="shared" ref="B54:Y54" si="14">+B9*$AA9+B21*$AA21+B32*$AA32+B43*$AA43</f>
        <v>131.76</v>
      </c>
      <c r="C54" s="41">
        <f t="shared" si="14"/>
        <v>122.72</v>
      </c>
      <c r="D54" s="41">
        <f t="shared" si="14"/>
        <v>117.47999999999999</v>
      </c>
      <c r="E54" s="41">
        <f t="shared" si="14"/>
        <v>115.67999999999999</v>
      </c>
      <c r="F54" s="41">
        <f t="shared" si="14"/>
        <v>119.44000000000001</v>
      </c>
      <c r="G54" s="41">
        <f t="shared" si="14"/>
        <v>134.72</v>
      </c>
      <c r="H54" s="41">
        <f t="shared" si="14"/>
        <v>151.44</v>
      </c>
      <c r="I54" s="41">
        <f t="shared" si="14"/>
        <v>164.12</v>
      </c>
      <c r="J54" s="41">
        <f t="shared" si="14"/>
        <v>182.16</v>
      </c>
      <c r="K54" s="41">
        <f t="shared" si="14"/>
        <v>196.36</v>
      </c>
      <c r="L54" s="41">
        <f t="shared" si="14"/>
        <v>209.76</v>
      </c>
      <c r="M54" s="41">
        <f t="shared" si="14"/>
        <v>220.64000000000004</v>
      </c>
      <c r="N54" s="41">
        <f t="shared" si="14"/>
        <v>217.35999999999999</v>
      </c>
      <c r="O54" s="41">
        <f t="shared" si="14"/>
        <v>215.64000000000004</v>
      </c>
      <c r="P54" s="41">
        <f t="shared" si="14"/>
        <v>217.8</v>
      </c>
      <c r="Q54" s="41">
        <f t="shared" si="14"/>
        <v>217.16</v>
      </c>
      <c r="R54" s="41">
        <f t="shared" si="14"/>
        <v>213.84</v>
      </c>
      <c r="S54" s="41">
        <f t="shared" si="14"/>
        <v>207.4</v>
      </c>
      <c r="T54" s="41">
        <f t="shared" si="14"/>
        <v>211.4</v>
      </c>
      <c r="U54" s="41">
        <f t="shared" si="14"/>
        <v>221.92</v>
      </c>
      <c r="V54" s="41">
        <f t="shared" si="14"/>
        <v>214.16000000000003</v>
      </c>
      <c r="W54" s="41">
        <f t="shared" si="14"/>
        <v>198.88</v>
      </c>
      <c r="X54" s="41">
        <f t="shared" si="14"/>
        <v>174.04</v>
      </c>
      <c r="Y54" s="41">
        <f t="shared" si="14"/>
        <v>148.47999999999999</v>
      </c>
      <c r="Z54" s="42">
        <f t="shared" si="10"/>
        <v>4324.3600000000006</v>
      </c>
      <c r="AA54" s="43">
        <f t="shared" si="11"/>
        <v>28</v>
      </c>
      <c r="AB54" s="91">
        <f t="shared" si="12"/>
        <v>4324.3600000000006</v>
      </c>
      <c r="AD54" s="79">
        <f t="shared" si="13"/>
        <v>0</v>
      </c>
    </row>
    <row r="55" spans="1:33" x14ac:dyDescent="0.35">
      <c r="A55" s="58">
        <f t="shared" si="8"/>
        <v>46447</v>
      </c>
      <c r="B55" s="41">
        <f t="shared" ref="B55:Y55" si="15">+B10*$AA10+B22*$AA22+B33*$AA33+B44*$AA44</f>
        <v>135.94999999999999</v>
      </c>
      <c r="C55" s="41">
        <f t="shared" si="15"/>
        <v>126.60999999999999</v>
      </c>
      <c r="D55" s="41">
        <f t="shared" si="15"/>
        <v>121.44</v>
      </c>
      <c r="E55" s="41">
        <f t="shared" si="15"/>
        <v>119.19000000000001</v>
      </c>
      <c r="F55" s="41">
        <f t="shared" si="15"/>
        <v>122.61</v>
      </c>
      <c r="G55" s="41">
        <f t="shared" si="15"/>
        <v>136.86000000000001</v>
      </c>
      <c r="H55" s="41">
        <f t="shared" si="15"/>
        <v>152.19</v>
      </c>
      <c r="I55" s="41">
        <f t="shared" si="15"/>
        <v>167.14000000000001</v>
      </c>
      <c r="J55" s="41">
        <f t="shared" si="15"/>
        <v>185.73999999999998</v>
      </c>
      <c r="K55" s="41">
        <f t="shared" si="15"/>
        <v>199.55</v>
      </c>
      <c r="L55" s="41">
        <f t="shared" si="15"/>
        <v>213.04999999999998</v>
      </c>
      <c r="M55" s="41">
        <f t="shared" si="15"/>
        <v>224.07</v>
      </c>
      <c r="N55" s="41">
        <f t="shared" si="15"/>
        <v>222.6</v>
      </c>
      <c r="O55" s="41">
        <f t="shared" si="15"/>
        <v>219.74</v>
      </c>
      <c r="P55" s="41">
        <f t="shared" si="15"/>
        <v>220.73000000000002</v>
      </c>
      <c r="Q55" s="41">
        <f t="shared" si="15"/>
        <v>219.28</v>
      </c>
      <c r="R55" s="41">
        <f t="shared" si="15"/>
        <v>216.38</v>
      </c>
      <c r="S55" s="41">
        <f t="shared" si="15"/>
        <v>213.07999999999998</v>
      </c>
      <c r="T55" s="41">
        <f t="shared" si="15"/>
        <v>219.35</v>
      </c>
      <c r="U55" s="41">
        <f t="shared" si="15"/>
        <v>229.08</v>
      </c>
      <c r="V55" s="41">
        <f t="shared" si="15"/>
        <v>219.62</v>
      </c>
      <c r="W55" s="41">
        <f t="shared" si="15"/>
        <v>203.54000000000002</v>
      </c>
      <c r="X55" s="41">
        <f t="shared" si="15"/>
        <v>178.60999999999999</v>
      </c>
      <c r="Y55" s="41">
        <f t="shared" si="15"/>
        <v>152.79</v>
      </c>
      <c r="Z55" s="42">
        <f t="shared" si="10"/>
        <v>4419.2</v>
      </c>
      <c r="AA55" s="43">
        <f t="shared" si="11"/>
        <v>31</v>
      </c>
      <c r="AB55" s="91">
        <f t="shared" si="12"/>
        <v>4419.2</v>
      </c>
      <c r="AD55" s="79">
        <f t="shared" si="13"/>
        <v>0</v>
      </c>
    </row>
    <row r="56" spans="1:33" x14ac:dyDescent="0.35">
      <c r="A56" s="58">
        <f t="shared" si="8"/>
        <v>46478</v>
      </c>
      <c r="B56" s="41">
        <f t="shared" ref="B56:Y56" si="16">+B11*$AA11+B23*$AA23+B34*$AA34+B45*$AA45</f>
        <v>123.32000000000001</v>
      </c>
      <c r="C56" s="41">
        <f t="shared" si="16"/>
        <v>114.52</v>
      </c>
      <c r="D56" s="41">
        <f t="shared" si="16"/>
        <v>110.05999999999999</v>
      </c>
      <c r="E56" s="41">
        <f t="shared" si="16"/>
        <v>108.16</v>
      </c>
      <c r="F56" s="41">
        <f t="shared" si="16"/>
        <v>111.84</v>
      </c>
      <c r="G56" s="41">
        <f t="shared" si="16"/>
        <v>123.84</v>
      </c>
      <c r="H56" s="41">
        <f t="shared" si="16"/>
        <v>139.46</v>
      </c>
      <c r="I56" s="41">
        <f t="shared" si="16"/>
        <v>155.76000000000002</v>
      </c>
      <c r="J56" s="41">
        <f t="shared" si="16"/>
        <v>171.98</v>
      </c>
      <c r="K56" s="41">
        <f t="shared" si="16"/>
        <v>187.26</v>
      </c>
      <c r="L56" s="41">
        <f t="shared" si="16"/>
        <v>199.5</v>
      </c>
      <c r="M56" s="41">
        <f t="shared" si="16"/>
        <v>209.72</v>
      </c>
      <c r="N56" s="41">
        <f t="shared" si="16"/>
        <v>207.71999999999997</v>
      </c>
      <c r="O56" s="41">
        <f t="shared" si="16"/>
        <v>203.68</v>
      </c>
      <c r="P56" s="41">
        <f t="shared" si="16"/>
        <v>203.04</v>
      </c>
      <c r="Q56" s="41">
        <f t="shared" si="16"/>
        <v>202.18</v>
      </c>
      <c r="R56" s="41">
        <f t="shared" si="16"/>
        <v>199.62</v>
      </c>
      <c r="S56" s="41">
        <f t="shared" si="16"/>
        <v>197.22</v>
      </c>
      <c r="T56" s="41">
        <f t="shared" si="16"/>
        <v>205.14000000000001</v>
      </c>
      <c r="U56" s="41">
        <f t="shared" si="16"/>
        <v>210.62</v>
      </c>
      <c r="V56" s="41">
        <f t="shared" si="16"/>
        <v>201.26000000000002</v>
      </c>
      <c r="W56" s="41">
        <f t="shared" si="16"/>
        <v>186.2</v>
      </c>
      <c r="X56" s="41">
        <f t="shared" si="16"/>
        <v>163.5</v>
      </c>
      <c r="Y56" s="41">
        <f t="shared" si="16"/>
        <v>140.36000000000001</v>
      </c>
      <c r="Z56" s="42">
        <f t="shared" si="10"/>
        <v>4075.9599999999996</v>
      </c>
      <c r="AA56" s="43">
        <f t="shared" si="11"/>
        <v>30</v>
      </c>
      <c r="AB56" s="91">
        <f t="shared" si="12"/>
        <v>4075.9599999999996</v>
      </c>
      <c r="AD56" s="79">
        <f t="shared" si="13"/>
        <v>0</v>
      </c>
    </row>
    <row r="57" spans="1:33" x14ac:dyDescent="0.35">
      <c r="A57" s="58">
        <f t="shared" si="8"/>
        <v>46508</v>
      </c>
      <c r="B57" s="41">
        <f t="shared" ref="B57:Y57" si="17">+B12*$AA12+B24*$AA24+B35*$AA35+B46*$AA46</f>
        <v>108.02</v>
      </c>
      <c r="C57" s="41">
        <f t="shared" si="17"/>
        <v>100.41</v>
      </c>
      <c r="D57" s="41">
        <f t="shared" si="17"/>
        <v>96.309999999999988</v>
      </c>
      <c r="E57" s="41">
        <f t="shared" si="17"/>
        <v>94.240000000000009</v>
      </c>
      <c r="F57" s="41">
        <f t="shared" si="17"/>
        <v>97.19</v>
      </c>
      <c r="G57" s="41">
        <f t="shared" si="17"/>
        <v>105.14</v>
      </c>
      <c r="H57" s="41">
        <f t="shared" si="17"/>
        <v>119.28000000000002</v>
      </c>
      <c r="I57" s="41">
        <f t="shared" si="17"/>
        <v>133.19999999999999</v>
      </c>
      <c r="J57" s="41">
        <f t="shared" si="17"/>
        <v>148.5</v>
      </c>
      <c r="K57" s="41">
        <f t="shared" si="17"/>
        <v>160.85999999999999</v>
      </c>
      <c r="L57" s="41">
        <f t="shared" si="17"/>
        <v>171.75</v>
      </c>
      <c r="M57" s="41">
        <f t="shared" si="17"/>
        <v>180.86999999999998</v>
      </c>
      <c r="N57" s="41">
        <f t="shared" si="17"/>
        <v>179.09000000000003</v>
      </c>
      <c r="O57" s="41">
        <f t="shared" si="17"/>
        <v>175.75</v>
      </c>
      <c r="P57" s="41">
        <f t="shared" si="17"/>
        <v>174.76000000000002</v>
      </c>
      <c r="Q57" s="41">
        <f t="shared" si="17"/>
        <v>173.57000000000002</v>
      </c>
      <c r="R57" s="41">
        <f t="shared" si="17"/>
        <v>170.46</v>
      </c>
      <c r="S57" s="41">
        <f t="shared" si="17"/>
        <v>169.44999999999996</v>
      </c>
      <c r="T57" s="41">
        <f t="shared" si="17"/>
        <v>176.70999999999998</v>
      </c>
      <c r="U57" s="41">
        <f t="shared" si="17"/>
        <v>182.32</v>
      </c>
      <c r="V57" s="41">
        <f t="shared" si="17"/>
        <v>174.76000000000002</v>
      </c>
      <c r="W57" s="41">
        <f t="shared" si="17"/>
        <v>161.14000000000001</v>
      </c>
      <c r="X57" s="41">
        <f t="shared" si="17"/>
        <v>140.97999999999999</v>
      </c>
      <c r="Y57" s="41">
        <f t="shared" si="17"/>
        <v>120.96000000000001</v>
      </c>
      <c r="Z57" s="42">
        <f t="shared" si="10"/>
        <v>3515.72</v>
      </c>
      <c r="AA57" s="43">
        <f t="shared" si="11"/>
        <v>31</v>
      </c>
      <c r="AB57" s="91">
        <f t="shared" si="12"/>
        <v>3515.72</v>
      </c>
      <c r="AD57" s="79">
        <f t="shared" si="13"/>
        <v>0</v>
      </c>
    </row>
    <row r="58" spans="1:33" x14ac:dyDescent="0.35">
      <c r="A58" s="58">
        <f t="shared" si="8"/>
        <v>46539</v>
      </c>
      <c r="B58" s="41">
        <f t="shared" ref="B58:Y58" si="18">+B13*$AA13+B25*$AA25+B36*$AA36+B47*$AA47</f>
        <v>105.15</v>
      </c>
      <c r="C58" s="41">
        <f t="shared" si="18"/>
        <v>97.390000000000015</v>
      </c>
      <c r="D58" s="41">
        <f t="shared" si="18"/>
        <v>93.23</v>
      </c>
      <c r="E58" s="41">
        <f t="shared" si="18"/>
        <v>91.44</v>
      </c>
      <c r="F58" s="41">
        <f t="shared" si="18"/>
        <v>94.550000000000011</v>
      </c>
      <c r="G58" s="41">
        <f t="shared" si="18"/>
        <v>102.52000000000001</v>
      </c>
      <c r="H58" s="41">
        <f t="shared" si="18"/>
        <v>117.56000000000002</v>
      </c>
      <c r="I58" s="41">
        <f t="shared" si="18"/>
        <v>132.26000000000002</v>
      </c>
      <c r="J58" s="41">
        <f t="shared" si="18"/>
        <v>147.86999999999998</v>
      </c>
      <c r="K58" s="41">
        <f t="shared" si="18"/>
        <v>160.04</v>
      </c>
      <c r="L58" s="41">
        <f t="shared" si="18"/>
        <v>170.12000000000003</v>
      </c>
      <c r="M58" s="41">
        <f t="shared" si="18"/>
        <v>179.45</v>
      </c>
      <c r="N58" s="41">
        <f t="shared" si="18"/>
        <v>178.27</v>
      </c>
      <c r="O58" s="41">
        <f t="shared" si="18"/>
        <v>174.64</v>
      </c>
      <c r="P58" s="41">
        <f t="shared" si="18"/>
        <v>174.03</v>
      </c>
      <c r="Q58" s="41">
        <f t="shared" si="18"/>
        <v>172.55</v>
      </c>
      <c r="R58" s="41">
        <f t="shared" si="18"/>
        <v>169.89999999999998</v>
      </c>
      <c r="S58" s="41">
        <f t="shared" si="18"/>
        <v>168.07</v>
      </c>
      <c r="T58" s="41">
        <f t="shared" si="18"/>
        <v>173.81</v>
      </c>
      <c r="U58" s="41">
        <f t="shared" si="18"/>
        <v>181.42000000000002</v>
      </c>
      <c r="V58" s="41">
        <f t="shared" si="18"/>
        <v>173.51</v>
      </c>
      <c r="W58" s="41">
        <f t="shared" si="18"/>
        <v>159.57</v>
      </c>
      <c r="X58" s="41">
        <f t="shared" si="18"/>
        <v>139.03</v>
      </c>
      <c r="Y58" s="41">
        <f t="shared" si="18"/>
        <v>119.19</v>
      </c>
      <c r="Z58" s="42">
        <f t="shared" si="10"/>
        <v>3475.5700000000011</v>
      </c>
      <c r="AA58" s="43">
        <f t="shared" si="11"/>
        <v>30</v>
      </c>
      <c r="AB58" s="91">
        <f t="shared" si="12"/>
        <v>3475.5700000000006</v>
      </c>
      <c r="AD58" s="79">
        <f t="shared" si="13"/>
        <v>0</v>
      </c>
    </row>
    <row r="59" spans="1:33" ht="16" thickBot="1" x14ac:dyDescent="0.4">
      <c r="A59" s="60">
        <f t="shared" si="8"/>
        <v>46569</v>
      </c>
      <c r="B59" s="44">
        <f t="shared" ref="B59:Y59" si="19">+B14*$AA14+B26*$AA26+B37*$AA37+B48*$AA48</f>
        <v>119.53</v>
      </c>
      <c r="C59" s="44">
        <f t="shared" si="19"/>
        <v>111.39000000000001</v>
      </c>
      <c r="D59" s="44">
        <f t="shared" si="19"/>
        <v>106.30000000000001</v>
      </c>
      <c r="E59" s="44">
        <f t="shared" si="19"/>
        <v>104.16000000000001</v>
      </c>
      <c r="F59" s="44">
        <f t="shared" si="19"/>
        <v>107.34999999999998</v>
      </c>
      <c r="G59" s="44">
        <f t="shared" si="19"/>
        <v>116.94000000000001</v>
      </c>
      <c r="H59" s="44">
        <f t="shared" si="19"/>
        <v>131.71</v>
      </c>
      <c r="I59" s="44">
        <f t="shared" si="19"/>
        <v>147.88999999999999</v>
      </c>
      <c r="J59" s="44">
        <f t="shared" si="19"/>
        <v>165.96</v>
      </c>
      <c r="K59" s="44">
        <f t="shared" si="19"/>
        <v>180.24</v>
      </c>
      <c r="L59" s="44">
        <f t="shared" si="19"/>
        <v>191.64</v>
      </c>
      <c r="M59" s="44">
        <f t="shared" si="19"/>
        <v>202.63000000000002</v>
      </c>
      <c r="N59" s="44">
        <f t="shared" si="19"/>
        <v>200.88</v>
      </c>
      <c r="O59" s="44">
        <f t="shared" si="19"/>
        <v>196.66</v>
      </c>
      <c r="P59" s="44">
        <f t="shared" si="19"/>
        <v>196.09</v>
      </c>
      <c r="Q59" s="44">
        <f t="shared" si="19"/>
        <v>195.06000000000003</v>
      </c>
      <c r="R59" s="44">
        <f t="shared" si="19"/>
        <v>192.53</v>
      </c>
      <c r="S59" s="44">
        <f t="shared" si="19"/>
        <v>189.49</v>
      </c>
      <c r="T59" s="44">
        <f t="shared" si="19"/>
        <v>193.41999999999996</v>
      </c>
      <c r="U59" s="44">
        <f t="shared" si="19"/>
        <v>204.64</v>
      </c>
      <c r="V59" s="44">
        <f t="shared" si="19"/>
        <v>195.87999999999997</v>
      </c>
      <c r="W59" s="44">
        <f t="shared" si="19"/>
        <v>180.66000000000003</v>
      </c>
      <c r="X59" s="44">
        <f t="shared" si="19"/>
        <v>157.46999999999997</v>
      </c>
      <c r="Y59" s="44">
        <f t="shared" si="19"/>
        <v>136.06</v>
      </c>
      <c r="Z59" s="45">
        <f t="shared" si="10"/>
        <v>3924.5800000000004</v>
      </c>
      <c r="AA59" s="46">
        <f t="shared" si="11"/>
        <v>31</v>
      </c>
      <c r="AB59" s="92">
        <f t="shared" si="12"/>
        <v>3924.58</v>
      </c>
      <c r="AD59" s="79">
        <f t="shared" si="13"/>
        <v>0</v>
      </c>
    </row>
  </sheetData>
  <conditionalFormatting sqref="B1:Y1048576 AA8:AA15 AA20:AA26 AA31:AA37 AA42:AA49 AA53:AA59">
    <cfRule type="cellIs" dxfId="0" priority="1" operator="lessThan">
      <formula>0</formula>
    </cfRule>
  </conditionalFormatting>
  <pageMargins left="0.75" right="0.75" top="1" bottom="1" header="0" footer="0"/>
  <pageSetup orientation="portrait" r:id="rId1"/>
  <headerFooter alignWithMargins="0"/>
  <ignoredErrors>
    <ignoredError sqref="Z8:Z14 Z20:Z26 Z31:Z37 Z42:Z48"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Oferta Producto No. 1</vt:lpstr>
      <vt:lpstr>Cantidades Producto No. 1</vt:lpstr>
      <vt:lpstr>Oferta Producto No. 2</vt:lpstr>
      <vt:lpstr>Cantidades Producto No. 2</vt:lpstr>
      <vt:lpstr>Oferta Producto No. 3</vt:lpstr>
      <vt:lpstr>Cantidades Producto No.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 Caicedo Aristizabal</dc:creator>
  <cp:lastModifiedBy>John Alexander Perilla Rincon</cp:lastModifiedBy>
  <dcterms:created xsi:type="dcterms:W3CDTF">2023-08-25T18:59:43Z</dcterms:created>
  <dcterms:modified xsi:type="dcterms:W3CDTF">2026-09-29T00:59:11Z</dcterms:modified>
</cp:coreProperties>
</file>