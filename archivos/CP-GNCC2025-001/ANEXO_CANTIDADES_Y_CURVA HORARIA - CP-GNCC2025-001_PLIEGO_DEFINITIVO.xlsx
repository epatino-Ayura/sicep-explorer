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vatiasaesp.sharepoint.com/sites/300.COMERCIAL/Documentos compartidos/330-MEM/Ulises/LICITACIONES/LICITACIONES 2025/VATIA/CP-GNCC2025-001/1. PLIEGOS DE CONDICIONES/Definitivos/"/>
    </mc:Choice>
  </mc:AlternateContent>
  <xr:revisionPtr revIDLastSave="222" documentId="14_{21DD504B-CFE5-4A8C-AA99-75B8C27FF60A}" xr6:coauthVersionLast="47" xr6:coauthVersionMax="47" xr10:uidLastSave="{DB38700F-5FE8-4E35-B2BF-8B2065D2DCBC}"/>
  <bookViews>
    <workbookView minimized="1" xWindow="-28040" yWindow="850" windowWidth="19180" windowHeight="10060" tabRatio="802" activeTab="1" xr2:uid="{00000000-000D-0000-FFFF-FFFF00000000}"/>
  </bookViews>
  <sheets>
    <sheet name="PRODUCTO 01" sheetId="66" r:id="rId1"/>
    <sheet name="Cantidades horarias PROD 01 " sheetId="81" r:id="rId2"/>
    <sheet name="calendario" sheetId="17" state="hidden" r:id="rId3"/>
    <sheet name="curvas típicas de referencia" sheetId="3" state="hidden" r:id="rId4"/>
  </sheets>
  <definedNames>
    <definedName name="_xlnm._FilterDatabase" localSheetId="2" hidden="1">calendario!$A$2:$D$38</definedName>
    <definedName name="_xlnm._FilterDatabase" localSheetId="1" hidden="1">'Cantidades horarias PROD 01 '!$E$8:$AF$136</definedName>
    <definedName name="_xlnm.Print_Area" localSheetId="0">'PRODUCTO 01'!$A$1:$J$150</definedName>
    <definedName name="Z_5E23C26A_5DA4_4377_864E_D3BECE131DEC_.wvu.PrintArea" localSheetId="0" hidden="1">'PRODUCTO 01'!#REF!</definedName>
    <definedName name="Z_66AA70F6_2777_42C7_BDA0_CD16FFB959D9_.wvu.PrintArea" localSheetId="0" hidden="1">'PRODUCTO 01'!#REF!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81" l="1"/>
  <c r="D14" i="66" s="1"/>
  <c r="AF46" i="81"/>
  <c r="D47" i="66" s="1"/>
  <c r="AF30" i="81"/>
  <c r="D31" i="66" s="1"/>
  <c r="AF18" i="81"/>
  <c r="D19" i="66" s="1"/>
  <c r="AF29" i="81"/>
  <c r="D30" i="66" s="1"/>
  <c r="AF55" i="81"/>
  <c r="D56" i="66" s="1"/>
  <c r="AF100" i="81"/>
  <c r="D101" i="66" s="1"/>
  <c r="AF94" i="81"/>
  <c r="D95" i="66" s="1"/>
  <c r="AF124" i="81"/>
  <c r="D125" i="66" s="1"/>
  <c r="AF134" i="81"/>
  <c r="D135" i="66" s="1"/>
  <c r="AF22" i="81"/>
  <c r="D23" i="66" s="1"/>
  <c r="AF14" i="81"/>
  <c r="D15" i="66" s="1"/>
  <c r="AF19" i="81"/>
  <c r="D20" i="66" s="1"/>
  <c r="AF31" i="81"/>
  <c r="D32" i="66" s="1"/>
  <c r="AF112" i="81"/>
  <c r="D113" i="66" s="1"/>
  <c r="AF84" i="81"/>
  <c r="D85" i="66" s="1"/>
  <c r="AF60" i="81"/>
  <c r="D61" i="66" s="1"/>
  <c r="AF32" i="81"/>
  <c r="D33" i="66" s="1"/>
  <c r="AF54" i="81"/>
  <c r="D55" i="66" s="1"/>
  <c r="AF27" i="81"/>
  <c r="D28" i="66" s="1"/>
  <c r="AF34" i="81"/>
  <c r="D35" i="66" s="1"/>
  <c r="AF23" i="81"/>
  <c r="D24" i="66" s="1"/>
  <c r="AF36" i="81"/>
  <c r="D37" i="66" s="1"/>
  <c r="AF42" i="81"/>
  <c r="D43" i="66" s="1"/>
  <c r="AF48" i="81"/>
  <c r="D49" i="66" s="1"/>
  <c r="AF12" i="81"/>
  <c r="D13" i="66" s="1"/>
  <c r="AF61" i="81"/>
  <c r="D62" i="66" s="1"/>
  <c r="AF9" i="81"/>
  <c r="D10" i="66" s="1"/>
  <c r="AF57" i="81"/>
  <c r="D58" i="66" s="1"/>
  <c r="AF96" i="81"/>
  <c r="D97" i="66" s="1"/>
  <c r="AF20" i="81"/>
  <c r="D21" i="66" s="1"/>
  <c r="AF80" i="81"/>
  <c r="D81" i="66" s="1"/>
  <c r="AF28" i="81"/>
  <c r="D29" i="66" s="1"/>
  <c r="AF35" i="81"/>
  <c r="D36" i="66" s="1"/>
  <c r="AF38" i="81"/>
  <c r="D39" i="66" s="1"/>
  <c r="AF45" i="81"/>
  <c r="D46" i="66" s="1"/>
  <c r="AF75" i="81"/>
  <c r="D76" i="66" s="1"/>
  <c r="AF26" i="81"/>
  <c r="D27" i="66" s="1"/>
  <c r="AF10" i="81"/>
  <c r="D11" i="66" s="1"/>
  <c r="AF21" i="81"/>
  <c r="D22" i="66" s="1"/>
  <c r="AF37" i="81"/>
  <c r="D38" i="66" s="1"/>
  <c r="AF15" i="81"/>
  <c r="D16" i="66" s="1"/>
  <c r="AF11" i="81"/>
  <c r="D12" i="66" s="1"/>
  <c r="AF16" i="81"/>
  <c r="D17" i="66" s="1"/>
  <c r="AF39" i="81"/>
  <c r="D40" i="66" s="1"/>
  <c r="AF44" i="81"/>
  <c r="D45" i="66" s="1"/>
  <c r="AF47" i="81"/>
  <c r="D48" i="66" s="1"/>
  <c r="AF76" i="81"/>
  <c r="D77" i="66" s="1"/>
  <c r="AF98" i="81"/>
  <c r="D99" i="66" s="1"/>
  <c r="AF17" i="81"/>
  <c r="D18" i="66" s="1"/>
  <c r="AF67" i="81"/>
  <c r="D68" i="66" s="1"/>
  <c r="AF93" i="81"/>
  <c r="D94" i="66" s="1"/>
  <c r="AF43" i="81"/>
  <c r="D44" i="66" s="1"/>
  <c r="AF73" i="81"/>
  <c r="D74" i="66" s="1"/>
  <c r="AF78" i="81"/>
  <c r="D79" i="66" s="1"/>
  <c r="AF79" i="81"/>
  <c r="D80" i="66" s="1"/>
  <c r="AF85" i="81"/>
  <c r="D86" i="66" s="1"/>
  <c r="AF68" i="81"/>
  <c r="D69" i="66" s="1"/>
  <c r="AF24" i="81"/>
  <c r="D25" i="66" s="1"/>
  <c r="AF41" i="81"/>
  <c r="D42" i="66" s="1"/>
  <c r="AF52" i="81"/>
  <c r="D53" i="66" s="1"/>
  <c r="AF58" i="81"/>
  <c r="D59" i="66" s="1"/>
  <c r="AF64" i="81"/>
  <c r="D65" i="66" s="1"/>
  <c r="AF71" i="81"/>
  <c r="D72" i="66" s="1"/>
  <c r="AF72" i="81"/>
  <c r="D73" i="66" s="1"/>
  <c r="AF74" i="81"/>
  <c r="D75" i="66" s="1"/>
  <c r="AF25" i="81"/>
  <c r="D26" i="66" s="1"/>
  <c r="AF33" i="81"/>
  <c r="D34" i="66" s="1"/>
  <c r="AF53" i="81"/>
  <c r="D54" i="66" s="1"/>
  <c r="AF69" i="81"/>
  <c r="D70" i="66" s="1"/>
  <c r="AF62" i="81"/>
  <c r="D63" i="66" s="1"/>
  <c r="AF49" i="81"/>
  <c r="D50" i="66" s="1"/>
  <c r="AF59" i="81"/>
  <c r="D60" i="66" s="1"/>
  <c r="AF65" i="81"/>
  <c r="D66" i="66" s="1"/>
  <c r="AF40" i="81"/>
  <c r="D41" i="66" s="1"/>
  <c r="AF86" i="81"/>
  <c r="D87" i="66" s="1"/>
  <c r="AF91" i="81"/>
  <c r="D92" i="66" s="1"/>
  <c r="AF92" i="81"/>
  <c r="D93" i="66" s="1"/>
  <c r="AF50" i="81"/>
  <c r="D51" i="66" s="1"/>
  <c r="AF51" i="81"/>
  <c r="D52" i="66" s="1"/>
  <c r="AF56" i="81"/>
  <c r="D57" i="66" s="1"/>
  <c r="AF66" i="81"/>
  <c r="D67" i="66" s="1"/>
  <c r="AF82" i="81"/>
  <c r="D83" i="66" s="1"/>
  <c r="AF120" i="81"/>
  <c r="D121" i="66" s="1"/>
  <c r="AF63" i="81"/>
  <c r="D64" i="66" s="1"/>
  <c r="AF70" i="81"/>
  <c r="D71" i="66" s="1"/>
  <c r="AF81" i="81"/>
  <c r="D82" i="66" s="1"/>
  <c r="AF125" i="81"/>
  <c r="D126" i="66" s="1"/>
  <c r="AF95" i="81"/>
  <c r="D96" i="66" s="1"/>
  <c r="AF115" i="81"/>
  <c r="D116" i="66" s="1"/>
  <c r="AF90" i="81"/>
  <c r="D91" i="66" s="1"/>
  <c r="AF77" i="81"/>
  <c r="D78" i="66" s="1"/>
  <c r="AF83" i="81"/>
  <c r="D84" i="66" s="1"/>
  <c r="AF127" i="81"/>
  <c r="D128" i="66" s="1"/>
  <c r="AF135" i="81"/>
  <c r="D136" i="66" s="1"/>
  <c r="AF97" i="81"/>
  <c r="D98" i="66" s="1"/>
  <c r="AF113" i="81"/>
  <c r="D114" i="66" s="1"/>
  <c r="AF117" i="81"/>
  <c r="D118" i="66" s="1"/>
  <c r="AF89" i="81"/>
  <c r="D90" i="66" s="1"/>
  <c r="AF101" i="81"/>
  <c r="D102" i="66" s="1"/>
  <c r="AF105" i="81"/>
  <c r="D106" i="66" s="1"/>
  <c r="AF122" i="81"/>
  <c r="D123" i="66" s="1"/>
  <c r="AF87" i="81"/>
  <c r="D88" i="66" s="1"/>
  <c r="AF88" i="81"/>
  <c r="D89" i="66" s="1"/>
  <c r="AF104" i="81"/>
  <c r="D105" i="66" s="1"/>
  <c r="AF111" i="81"/>
  <c r="D112" i="66" s="1"/>
  <c r="AF126" i="81"/>
  <c r="D127" i="66" s="1"/>
  <c r="AF107" i="81"/>
  <c r="D108" i="66" s="1"/>
  <c r="AF123" i="81"/>
  <c r="D124" i="66" s="1"/>
  <c r="AF99" i="81"/>
  <c r="D100" i="66" s="1"/>
  <c r="AF103" i="81"/>
  <c r="D104" i="66" s="1"/>
  <c r="AF110" i="81"/>
  <c r="D111" i="66" s="1"/>
  <c r="AF118" i="81"/>
  <c r="D119" i="66" s="1"/>
  <c r="AF128" i="81"/>
  <c r="D129" i="66" s="1"/>
  <c r="AF102" i="81"/>
  <c r="D103" i="66" s="1"/>
  <c r="AF129" i="81"/>
  <c r="D130" i="66" s="1"/>
  <c r="AF106" i="81"/>
  <c r="D107" i="66" s="1"/>
  <c r="AF132" i="81"/>
  <c r="D133" i="66" s="1"/>
  <c r="AF108" i="81"/>
  <c r="D109" i="66" s="1"/>
  <c r="AF116" i="81"/>
  <c r="D117" i="66" s="1"/>
  <c r="AF130" i="81"/>
  <c r="D131" i="66" s="1"/>
  <c r="AF109" i="81"/>
  <c r="D110" i="66" s="1"/>
  <c r="AF121" i="81"/>
  <c r="D122" i="66" s="1"/>
  <c r="AF133" i="81"/>
  <c r="D134" i="66" s="1"/>
  <c r="AF114" i="81"/>
  <c r="D115" i="66" s="1"/>
  <c r="AF119" i="81"/>
  <c r="D120" i="66" s="1"/>
  <c r="AF131" i="81"/>
  <c r="D132" i="66" s="1"/>
  <c r="AF136" i="81"/>
  <c r="D137" i="66" s="1"/>
  <c r="F137" i="66" l="1"/>
  <c r="F136" i="66"/>
  <c r="F135" i="66"/>
  <c r="F134" i="66"/>
  <c r="F133" i="66"/>
  <c r="F132" i="66"/>
  <c r="F131" i="66"/>
  <c r="F130" i="66"/>
  <c r="F129" i="66"/>
  <c r="F128" i="66"/>
  <c r="F127" i="66"/>
  <c r="F126" i="66"/>
  <c r="F125" i="66"/>
  <c r="F124" i="66"/>
  <c r="F123" i="66"/>
  <c r="F122" i="66"/>
  <c r="F121" i="66"/>
  <c r="F120" i="66"/>
  <c r="F119" i="66"/>
  <c r="F118" i="66"/>
  <c r="F117" i="66"/>
  <c r="F116" i="66"/>
  <c r="F115" i="66"/>
  <c r="F114" i="66"/>
  <c r="F113" i="66"/>
  <c r="F112" i="66"/>
  <c r="F111" i="66"/>
  <c r="F110" i="66"/>
  <c r="F109" i="66"/>
  <c r="F108" i="66"/>
  <c r="F107" i="66"/>
  <c r="F106" i="66"/>
  <c r="F105" i="66"/>
  <c r="F104" i="66"/>
  <c r="F103" i="66"/>
  <c r="F102" i="66"/>
  <c r="F101" i="66"/>
  <c r="F100" i="66"/>
  <c r="F99" i="66"/>
  <c r="F98" i="66"/>
  <c r="F97" i="66"/>
  <c r="F96" i="66"/>
  <c r="F95" i="66"/>
  <c r="F94" i="66"/>
  <c r="F93" i="66"/>
  <c r="F92" i="66"/>
  <c r="F91" i="66"/>
  <c r="F90" i="66"/>
  <c r="F89" i="66"/>
  <c r="F88" i="66"/>
  <c r="F87" i="66"/>
  <c r="F86" i="66"/>
  <c r="F85" i="66"/>
  <c r="F84" i="66"/>
  <c r="F83" i="66"/>
  <c r="F82" i="66"/>
  <c r="F81" i="66"/>
  <c r="F80" i="66"/>
  <c r="F79" i="66"/>
  <c r="F78" i="66"/>
  <c r="F77" i="66"/>
  <c r="F76" i="66"/>
  <c r="F75" i="66"/>
  <c r="F74" i="66"/>
  <c r="F73" i="66"/>
  <c r="F72" i="66"/>
  <c r="F71" i="66"/>
  <c r="F70" i="66"/>
  <c r="F69" i="66"/>
  <c r="F68" i="66"/>
  <c r="F67" i="66"/>
  <c r="F66" i="66"/>
  <c r="F65" i="66"/>
  <c r="F64" i="66"/>
  <c r="F63" i="66"/>
  <c r="F62" i="66"/>
  <c r="F61" i="66"/>
  <c r="F60" i="66"/>
  <c r="F59" i="66"/>
  <c r="F58" i="66"/>
  <c r="F57" i="66"/>
  <c r="F56" i="66"/>
  <c r="F55" i="66"/>
  <c r="F54" i="66"/>
  <c r="F53" i="66"/>
  <c r="F52" i="66"/>
  <c r="F51" i="66"/>
  <c r="F50" i="66"/>
  <c r="F49" i="66"/>
  <c r="F48" i="66"/>
  <c r="F47" i="66"/>
  <c r="F46" i="66"/>
  <c r="F45" i="66"/>
  <c r="F44" i="66"/>
  <c r="F43" i="66"/>
  <c r="F42" i="66"/>
  <c r="F41" i="66"/>
  <c r="F40" i="66"/>
  <c r="F39" i="66"/>
  <c r="F38" i="66"/>
  <c r="F37" i="66"/>
  <c r="F36" i="66"/>
  <c r="F35" i="66"/>
  <c r="F34" i="66"/>
  <c r="F33" i="66"/>
  <c r="F32" i="66"/>
  <c r="F31" i="66"/>
  <c r="F30" i="66"/>
  <c r="F29" i="66"/>
  <c r="F28" i="66"/>
  <c r="F27" i="66"/>
  <c r="F26" i="66"/>
  <c r="F25" i="66"/>
  <c r="F24" i="66"/>
  <c r="F23" i="66"/>
  <c r="F22" i="66"/>
  <c r="F21" i="66"/>
  <c r="F20" i="66"/>
  <c r="F19" i="66"/>
  <c r="F18" i="66"/>
  <c r="F11" i="66"/>
  <c r="F14" i="66"/>
  <c r="F17" i="66"/>
  <c r="F12" i="66"/>
  <c r="F16" i="66"/>
  <c r="F15" i="66"/>
  <c r="F13" i="66"/>
  <c r="F63" i="81" l="1"/>
  <c r="F99" i="81"/>
  <c r="F28" i="81"/>
  <c r="F29" i="81"/>
  <c r="F81" i="81"/>
  <c r="F135" i="81"/>
  <c r="F30" i="81"/>
  <c r="F48" i="81"/>
  <c r="F54" i="81"/>
  <c r="F66" i="81"/>
  <c r="F78" i="81"/>
  <c r="F90" i="81"/>
  <c r="F96" i="81"/>
  <c r="F102" i="81"/>
  <c r="F108" i="81"/>
  <c r="F114" i="81"/>
  <c r="F120" i="81"/>
  <c r="F126" i="81"/>
  <c r="F132" i="81"/>
  <c r="F16" i="81"/>
  <c r="F75" i="81"/>
  <c r="F123" i="81"/>
  <c r="F18" i="81"/>
  <c r="F24" i="81"/>
  <c r="F36" i="81"/>
  <c r="F42" i="81"/>
  <c r="F60" i="81"/>
  <c r="F72" i="81"/>
  <c r="F84" i="81"/>
  <c r="F39" i="81"/>
  <c r="F12" i="81"/>
  <c r="F31" i="81"/>
  <c r="F43" i="81"/>
  <c r="F49" i="81"/>
  <c r="F67" i="81"/>
  <c r="F79" i="81"/>
  <c r="F85" i="81"/>
  <c r="F91" i="81"/>
  <c r="F97" i="81"/>
  <c r="F103" i="81"/>
  <c r="F109" i="81"/>
  <c r="F115" i="81"/>
  <c r="F121" i="81"/>
  <c r="F127" i="81"/>
  <c r="F133" i="81"/>
  <c r="F45" i="81"/>
  <c r="F93" i="81"/>
  <c r="F19" i="81"/>
  <c r="F25" i="81"/>
  <c r="F37" i="81"/>
  <c r="F55" i="81"/>
  <c r="F61" i="81"/>
  <c r="F73" i="81"/>
  <c r="F14" i="81"/>
  <c r="F33" i="81"/>
  <c r="F15" i="81"/>
  <c r="F20" i="81"/>
  <c r="F26" i="81"/>
  <c r="F32" i="81"/>
  <c r="F38" i="81"/>
  <c r="F44" i="81"/>
  <c r="F50" i="81"/>
  <c r="F56" i="81"/>
  <c r="F62" i="81"/>
  <c r="F68" i="81"/>
  <c r="F74" i="81"/>
  <c r="F80" i="81"/>
  <c r="F86" i="81"/>
  <c r="F92" i="81"/>
  <c r="F98" i="81"/>
  <c r="F104" i="81"/>
  <c r="F110" i="81"/>
  <c r="F116" i="81"/>
  <c r="F122" i="81"/>
  <c r="F128" i="81"/>
  <c r="F134" i="81"/>
  <c r="F27" i="81"/>
  <c r="F57" i="81"/>
  <c r="F87" i="81"/>
  <c r="F117" i="81"/>
  <c r="F13" i="81"/>
  <c r="F34" i="81"/>
  <c r="F46" i="81"/>
  <c r="F52" i="81"/>
  <c r="F58" i="81"/>
  <c r="F70" i="81"/>
  <c r="F76" i="81"/>
  <c r="F82" i="81"/>
  <c r="F88" i="81"/>
  <c r="F94" i="81"/>
  <c r="F100" i="81"/>
  <c r="F106" i="81"/>
  <c r="F112" i="81"/>
  <c r="F118" i="81"/>
  <c r="F124" i="81"/>
  <c r="F130" i="81"/>
  <c r="F136" i="81"/>
  <c r="F21" i="81"/>
  <c r="F69" i="81"/>
  <c r="F111" i="81"/>
  <c r="F22" i="81"/>
  <c r="F40" i="81"/>
  <c r="F64" i="81"/>
  <c r="D138" i="66"/>
  <c r="F10" i="66"/>
  <c r="F11" i="81"/>
  <c r="F51" i="81"/>
  <c r="F105" i="81"/>
  <c r="F129" i="81"/>
  <c r="F10" i="81"/>
  <c r="F17" i="81"/>
  <c r="F23" i="81"/>
  <c r="F35" i="81"/>
  <c r="F41" i="81"/>
  <c r="F47" i="81"/>
  <c r="F53" i="81"/>
  <c r="F59" i="81"/>
  <c r="F65" i="81"/>
  <c r="F71" i="81"/>
  <c r="F77" i="81"/>
  <c r="F83" i="81"/>
  <c r="F89" i="81"/>
  <c r="F95" i="81"/>
  <c r="F101" i="81"/>
  <c r="F107" i="81"/>
  <c r="F113" i="81"/>
  <c r="F119" i="81"/>
  <c r="F125" i="81"/>
  <c r="F131" i="81"/>
  <c r="F9" i="81" l="1"/>
  <c r="F138" i="66"/>
  <c r="E138" i="66" l="1"/>
  <c r="G138" i="66"/>
  <c r="D36" i="17" l="1"/>
  <c r="C36" i="17"/>
  <c r="D33" i="17"/>
  <c r="C33" i="17"/>
  <c r="D30" i="17"/>
  <c r="C30" i="17"/>
  <c r="D27" i="17"/>
  <c r="C27" i="17"/>
  <c r="D24" i="17"/>
  <c r="C24" i="17"/>
  <c r="D21" i="17"/>
  <c r="C21" i="17"/>
  <c r="D18" i="17"/>
  <c r="C18" i="17"/>
  <c r="D15" i="17"/>
  <c r="C15" i="17"/>
  <c r="D12" i="17"/>
  <c r="C12" i="17"/>
  <c r="D9" i="17"/>
  <c r="C9" i="17"/>
  <c r="D6" i="17"/>
  <c r="C6" i="17"/>
  <c r="D3" i="17"/>
  <c r="C3" i="1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A3E0D4-DE08-44C9-9D2A-53EBE165255F}" keepAlive="1" name="Consulta - PROD1" description="Conexión a la consulta 'PROD1' en el libro." type="5" refreshedVersion="0" background="1">
    <dbPr connection="Provider=Microsoft.Mashup.OleDb.1;Data Source=$Workbook$;Location=PROD1;Extended Properties=&quot;&quot;" command="SELECT * FROM [PROD1]"/>
  </connection>
  <connection id="2" xr16:uid="{5FA8A21C-641D-4A93-B889-E6ADF802C5DA}" keepAlive="1" name="Consulta - PROD10" description="Conexión a la consulta 'PROD10' en el libro." type="5" refreshedVersion="0" background="1">
    <dbPr connection="Provider=Microsoft.Mashup.OleDb.1;Data Source=$Workbook$;Location=PROD10;Extended Properties=&quot;&quot;" command="SELECT * FROM [PROD10]"/>
  </connection>
  <connection id="3" xr16:uid="{F446239A-AC23-475C-904C-54486C698534}" keepAlive="1" name="Consulta - PROD2" description="Conexión a la consulta 'PROD2' en el libro." type="5" refreshedVersion="0" background="1">
    <dbPr connection="Provider=Microsoft.Mashup.OleDb.1;Data Source=$Workbook$;Location=PROD2;Extended Properties=&quot;&quot;" command="SELECT * FROM [PROD2]"/>
  </connection>
  <connection id="4" xr16:uid="{FCF87F2C-C9BF-4B14-B85C-61AF1DCA3940}" keepAlive="1" name="Consulta - PROD3" description="Conexión a la consulta 'PROD3' en el libro." type="5" refreshedVersion="0" background="1">
    <dbPr connection="Provider=Microsoft.Mashup.OleDb.1;Data Source=$Workbook$;Location=PROD3;Extended Properties=&quot;&quot;" command="SELECT * FROM [PROD3]"/>
  </connection>
  <connection id="5" xr16:uid="{B8FA39C5-8B46-4D46-BBED-BA548A17F249}" keepAlive="1" name="Consulta - PROD4" description="Conexión a la consulta 'PROD4' en el libro." type="5" refreshedVersion="0" background="1">
    <dbPr connection="Provider=Microsoft.Mashup.OleDb.1;Data Source=$Workbook$;Location=PROD4;Extended Properties=&quot;&quot;" command="SELECT * FROM [PROD4]"/>
  </connection>
  <connection id="6" xr16:uid="{8C8475CF-9379-4D48-822D-C7D5A52F38A9}" keepAlive="1" name="Consulta - PROD5" description="Conexión a la consulta 'PROD5' en el libro." type="5" refreshedVersion="0" background="1">
    <dbPr connection="Provider=Microsoft.Mashup.OleDb.1;Data Source=$Workbook$;Location=PROD5;Extended Properties=&quot;&quot;" command="SELECT * FROM [PROD5]"/>
  </connection>
  <connection id="7" xr16:uid="{7DD54380-FFD8-4E45-BA62-06FEF9DCA097}" keepAlive="1" name="Consulta - PROD6" description="Conexión a la consulta 'PROD6' en el libro." type="5" refreshedVersion="0" background="1">
    <dbPr connection="Provider=Microsoft.Mashup.OleDb.1;Data Source=$Workbook$;Location=PROD6;Extended Properties=&quot;&quot;" command="SELECT * FROM [PROD6]"/>
  </connection>
  <connection id="8" xr16:uid="{FE6BB54F-53B2-405E-B85A-7B6473ADB1E6}" keepAlive="1" name="Consulta - PROD7" description="Conexión a la consulta 'PROD7' en el libro." type="5" refreshedVersion="0" background="1">
    <dbPr connection="Provider=Microsoft.Mashup.OleDb.1;Data Source=$Workbook$;Location=PROD7;Extended Properties=&quot;&quot;" command="SELECT * FROM [PROD7]"/>
  </connection>
  <connection id="9" xr16:uid="{667A10F4-3319-41ED-B3C6-4E8B7406CD07}" keepAlive="1" name="Consulta - PROD8" description="Conexión a la consulta 'PROD8' en el libro." type="5" refreshedVersion="0" background="1">
    <dbPr connection="Provider=Microsoft.Mashup.OleDb.1;Data Source=$Workbook$;Location=PROD8;Extended Properties=&quot;&quot;" command="SELECT * FROM [PROD8]"/>
  </connection>
  <connection id="10" xr16:uid="{2BFA1283-5640-4897-BBF8-72575EEB46AF}" keepAlive="1" name="Consulta - PROD9" description="Conexión a la consulta 'PROD9' en el libro." type="5" refreshedVersion="0" background="1">
    <dbPr connection="Provider=Microsoft.Mashup.OleDb.1;Data Source=$Workbook$;Location=PROD9;Extended Properties=&quot;&quot;" command="SELECT * FROM [PROD9]"/>
  </connection>
  <connection id="11" xr16:uid="{65868055-7E64-477C-B9B1-1ADC21CEF35A}" keepAlive="1" name="Consulta - RESUMEN" description="Conexión a la consulta 'RESUMEN' en el libro." type="5" refreshedVersion="7" background="1" saveData="1">
    <dbPr connection="Provider=Microsoft.Mashup.OleDb.1;Data Source=$Workbook$;Location=RESUMEN;Extended Properties=&quot;&quot;" command="SELECT * FROM [RESUMEN]"/>
  </connection>
  <connection id="12" xr16:uid="{E5DB1A28-8BB4-4A7D-88F0-7F5321FB06EF}" keepAlive="1" name="Consulta - TIPO" description="Conexión a la consulta 'TIPO' en el libro." type="5" refreshedVersion="0" background="1">
    <dbPr connection="Provider=Microsoft.Mashup.OleDb.1;Data Source=$Workbook$;Location=TIPO;Extended Properties=&quot;&quot;" command="SELECT * FROM [TIPO]"/>
  </connection>
</connections>
</file>

<file path=xl/sharedStrings.xml><?xml version="1.0" encoding="utf-8"?>
<sst xmlns="http://schemas.openxmlformats.org/spreadsheetml/2006/main" count="118" uniqueCount="58">
  <si>
    <t>CANTIDAD EN:</t>
  </si>
  <si>
    <t>KWh</t>
  </si>
  <si>
    <t>MODALIDAD:</t>
  </si>
  <si>
    <t>PAGUE LO CONTRATADO</t>
  </si>
  <si>
    <t>OFERENTE:</t>
  </si>
  <si>
    <t>MES DE SUMINISTRO</t>
  </si>
  <si>
    <t xml:space="preserve">ENERGÍA SOLICITADA (KWh) </t>
  </si>
  <si>
    <t>% ENERGÍA OFRECIDA</t>
  </si>
  <si>
    <t>ENERGÍA OFRECIDA (KWh)</t>
  </si>
  <si>
    <t>PRECIO OFERTADO ($/KWh)</t>
  </si>
  <si>
    <t>TOTAL</t>
  </si>
  <si>
    <t>Nota</t>
  </si>
  <si>
    <t>2. La energia ofertada se despachara conforme a las cantidades horarias de este anexo</t>
  </si>
  <si>
    <t>XXXXXXXXXXXXXXXXXXXXXXXX</t>
  </si>
  <si>
    <t>REPRESENTANTE LEGAL</t>
  </si>
  <si>
    <t xml:space="preserve">XXXXXXXXXXXXXXXXXXXXXX S.A E.S.P </t>
  </si>
  <si>
    <t>CUADRO DE CANTIDADES HORARIAS OFRECIDAS</t>
  </si>
  <si>
    <t xml:space="preserve"> CANTIDADES DE ENERGIA (KWh)  - PRODUCTO 1</t>
  </si>
  <si>
    <t>Cantidad Ofrecida</t>
  </si>
  <si>
    <t>N° días
mes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</si>
  <si>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</si>
  <si>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</si>
  <si>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</si>
  <si>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</si>
  <si>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</si>
  <si>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</si>
  <si>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</si>
  <si>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</si>
  <si>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</si>
  <si>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</si>
  <si>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</si>
  <si>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</si>
  <si>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</si>
  <si>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</si>
  <si>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</si>
  <si>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</si>
  <si>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</si>
  <si>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</si>
  <si>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</si>
  <si>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</si>
  <si>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</si>
  <si>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</si>
  <si>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</si>
  <si>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</si>
  <si>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Cuenta de TIPO</t>
  </si>
  <si>
    <t>MES</t>
  </si>
  <si>
    <t>TIPO</t>
  </si>
  <si>
    <t>1ORD</t>
  </si>
  <si>
    <t>2SÁB</t>
  </si>
  <si>
    <t>3FES</t>
  </si>
  <si>
    <t>tipo día</t>
  </si>
  <si>
    <t>Habil</t>
  </si>
  <si>
    <t>Sabado</t>
  </si>
  <si>
    <t>Festivo</t>
  </si>
  <si>
    <t>CURVA ACTUALIZADA CON DEMANDAS PROYECCION DEMANDA REGULADA MATRICIAL 2014 (Enero 2014)</t>
  </si>
  <si>
    <t>CP-GNCC2025-001</t>
  </si>
  <si>
    <t>CP-GNCC2025-001-PROD01</t>
  </si>
  <si>
    <t>1. $/kWh expresados en pesos de Diciembre de 2024-Indexación 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</si>
</sst>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&quot;$&quot;\ * #,##0_);_(&quot;$&quot;\ * \(#,##0\);_(&quot;$&quot;\ 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#0"/>
    <numFmt numFmtId="169" formatCode="_ * #,##0_ ;_ * \-#,##0_ ;_ * &quot;-&quot;??_ ;_ @_ "/>
    <numFmt numFmtId="170" formatCode="_(* #,##0_);_(* \(#,##0\);_(* &quot;-&quot;??_);_(@_)"/>
    <numFmt numFmtId="171" formatCode="_ * #,##0.00000_ ;_ * \-#,##0.00000_ ;_ * &quot;-&quot;??_ ;_ @_ "/>
    <numFmt numFmtId="172" formatCode="#,##0_ ;\-#,##0\ "/>
    <numFmt numFmtId="173" formatCode="[$-C0A]mmm\-yy;@"/>
    <numFmt numFmtId="174" formatCode="#,##0.0000"/>
  </numFmts>
  <fonts count="2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sz val="11"/>
      <name val="Frutiger CE 55 Roman"/>
    </font>
    <font>
      <b/>
      <sz val="11"/>
      <name val="Frutiger CE 55 Roman"/>
    </font>
    <font>
      <b/>
      <sz val="11"/>
      <color indexed="9"/>
      <name val="Frutiger CE 55 Roman"/>
    </font>
    <font>
      <b/>
      <sz val="18"/>
      <name val="Frutiger CE 55 Roman"/>
    </font>
    <font>
      <sz val="18"/>
      <name val="Frutiger CE 55 Roman"/>
    </font>
    <font>
      <b/>
      <sz val="18"/>
      <color indexed="10"/>
      <name val="Frutiger CE 55 Roman"/>
    </font>
    <font>
      <b/>
      <sz val="10"/>
      <name val="Arial"/>
      <family val="2"/>
    </font>
    <font>
      <b/>
      <sz val="13"/>
      <name val="Frutiger CE 55 Roman"/>
    </font>
    <font>
      <sz val="13"/>
      <name val="Frutiger CE 55 Roman"/>
    </font>
    <font>
      <sz val="13"/>
      <color indexed="10"/>
      <name val="Frutiger CE 55 Roman"/>
    </font>
    <font>
      <i/>
      <sz val="13"/>
      <name val="Frutiger CE 55 Roman"/>
    </font>
    <font>
      <sz val="10"/>
      <name val="Tahoma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3"/>
      <color theme="1"/>
      <name val="Frutiger CE 55 Roman"/>
    </font>
    <font>
      <b/>
      <sz val="13"/>
      <color theme="0"/>
      <name val="Frutiger CE 55 Roman"/>
    </font>
    <font>
      <sz val="10"/>
      <name val="Arial"/>
      <family val="2"/>
    </font>
    <font>
      <b/>
      <sz val="12"/>
      <color theme="0"/>
      <name val="Frutiger CE 55 Roman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22"/>
      </bottom>
      <diagonal/>
    </border>
    <border>
      <left style="dotted">
        <color indexed="64"/>
      </left>
      <right style="dotted">
        <color indexed="64"/>
      </right>
      <top style="hair">
        <color indexed="22"/>
      </top>
      <bottom style="hair">
        <color indexed="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43">
    <xf numFmtId="0" fontId="0" fillId="0" borderId="0"/>
    <xf numFmtId="167" fontId="2" fillId="0" borderId="0" applyFont="0" applyFill="0" applyBorder="0" applyAlignment="0" applyProtection="0"/>
    <xf numFmtId="41" fontId="21" fillId="0" borderId="0" applyFont="0" applyFill="0" applyBorder="0" applyAlignment="0" applyProtection="0"/>
    <xf numFmtId="166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5" fillId="0" borderId="0" applyFont="0" applyFill="0" applyBorder="0" applyAlignment="0" applyProtection="0"/>
    <xf numFmtId="174" fontId="17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43" fontId="21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19" fillId="0" borderId="0" applyFont="0" applyFill="0" applyBorder="0" applyAlignment="0" applyProtection="0"/>
    <xf numFmtId="165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17" fillId="0" borderId="0"/>
    <xf numFmtId="0" fontId="19" fillId="0" borderId="0"/>
    <xf numFmtId="0" fontId="5" fillId="0" borderId="0"/>
    <xf numFmtId="0" fontId="19" fillId="0" borderId="0"/>
    <xf numFmtId="0" fontId="5" fillId="0" borderId="0"/>
    <xf numFmtId="0" fontId="5" fillId="0" borderId="0"/>
    <xf numFmtId="0" fontId="21" fillId="0" borderId="0"/>
    <xf numFmtId="0" fontId="19" fillId="0" borderId="0"/>
    <xf numFmtId="0" fontId="3" fillId="0" borderId="0"/>
    <xf numFmtId="0" fontId="4" fillId="0" borderId="0"/>
    <xf numFmtId="165" fontId="20" fillId="4" borderId="1"/>
    <xf numFmtId="165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1" fillId="0" borderId="0"/>
  </cellStyleXfs>
  <cellXfs count="68">
    <xf numFmtId="0" fontId="0" fillId="0" borderId="0" xfId="0"/>
    <xf numFmtId="0" fontId="0" fillId="0" borderId="0" xfId="0" applyAlignment="1">
      <alignment horizontal="center"/>
    </xf>
    <xf numFmtId="167" fontId="0" fillId="0" borderId="0" xfId="1" applyFont="1"/>
    <xf numFmtId="0" fontId="0" fillId="0" borderId="2" xfId="0" applyBorder="1"/>
    <xf numFmtId="0" fontId="0" fillId="0" borderId="2" xfId="0" applyBorder="1" applyAlignment="1">
      <alignment horizontal="center"/>
    </xf>
    <xf numFmtId="171" fontId="0" fillId="0" borderId="0" xfId="1" applyNumberFormat="1" applyFont="1"/>
    <xf numFmtId="171" fontId="0" fillId="0" borderId="0" xfId="0" applyNumberFormat="1"/>
    <xf numFmtId="167" fontId="12" fillId="0" borderId="0" xfId="1" applyFont="1"/>
    <xf numFmtId="0" fontId="7" fillId="2" borderId="4" xfId="32" applyFont="1" applyFill="1" applyBorder="1" applyAlignment="1" applyProtection="1">
      <alignment horizontal="center" vertical="center" wrapText="1"/>
      <protection locked="0"/>
    </xf>
    <xf numFmtId="0" fontId="7" fillId="2" borderId="5" xfId="32" applyFont="1" applyFill="1" applyBorder="1" applyAlignment="1" applyProtection="1">
      <alignment horizontal="center" vertical="center" wrapText="1"/>
      <protection locked="0"/>
    </xf>
    <xf numFmtId="0" fontId="7" fillId="2" borderId="6" xfId="32" applyFont="1" applyFill="1" applyBorder="1" applyAlignment="1" applyProtection="1">
      <alignment horizontal="center" vertical="center" wrapText="1"/>
      <protection locked="0"/>
    </xf>
    <xf numFmtId="0" fontId="7" fillId="2" borderId="7" xfId="32" applyFont="1" applyFill="1" applyBorder="1" applyAlignment="1" applyProtection="1">
      <alignment horizontal="center" vertical="center" wrapText="1"/>
      <protection locked="0"/>
    </xf>
    <xf numFmtId="0" fontId="7" fillId="2" borderId="8" xfId="32" applyFont="1" applyFill="1" applyBorder="1" applyAlignment="1" applyProtection="1">
      <alignment horizontal="center" vertical="center" wrapText="1"/>
      <protection locked="0"/>
    </xf>
    <xf numFmtId="0" fontId="7" fillId="2" borderId="9" xfId="32" applyFont="1" applyFill="1" applyBorder="1" applyAlignment="1" applyProtection="1">
      <alignment horizontal="center" vertical="center" wrapText="1"/>
      <protection locked="0"/>
    </xf>
    <xf numFmtId="0" fontId="7" fillId="2" borderId="10" xfId="32" applyFont="1" applyFill="1" applyBorder="1" applyAlignment="1" applyProtection="1">
      <alignment horizontal="center" vertical="center" wrapText="1"/>
      <protection locked="0"/>
    </xf>
    <xf numFmtId="0" fontId="13" fillId="2" borderId="0" xfId="33" applyFont="1" applyFill="1" applyAlignment="1">
      <alignment vertical="top"/>
    </xf>
    <xf numFmtId="0" fontId="13" fillId="2" borderId="0" xfId="33" applyFont="1" applyFill="1" applyAlignment="1">
      <alignment vertical="center"/>
    </xf>
    <xf numFmtId="0" fontId="14" fillId="2" borderId="0" xfId="33" applyFont="1" applyFill="1" applyAlignment="1">
      <alignment vertical="top"/>
    </xf>
    <xf numFmtId="0" fontId="14" fillId="2" borderId="0" xfId="33" applyFont="1" applyFill="1"/>
    <xf numFmtId="0" fontId="13" fillId="2" borderId="0" xfId="32" applyFont="1" applyFill="1" applyAlignment="1">
      <alignment horizontal="left"/>
    </xf>
    <xf numFmtId="4" fontId="13" fillId="2" borderId="0" xfId="32" applyNumberFormat="1" applyFont="1" applyFill="1" applyAlignment="1">
      <alignment horizontal="left"/>
    </xf>
    <xf numFmtId="0" fontId="13" fillId="2" borderId="0" xfId="33" applyFont="1" applyFill="1"/>
    <xf numFmtId="4" fontId="13" fillId="2" borderId="0" xfId="33" applyNumberFormat="1" applyFont="1" applyFill="1"/>
    <xf numFmtId="169" fontId="14" fillId="2" borderId="0" xfId="1" applyNumberFormat="1" applyFont="1" applyFill="1" applyProtection="1"/>
    <xf numFmtId="4" fontId="15" fillId="2" borderId="0" xfId="33" applyNumberFormat="1" applyFont="1" applyFill="1" applyAlignment="1">
      <alignment horizontal="center" vertical="center" wrapText="1"/>
    </xf>
    <xf numFmtId="0" fontId="14" fillId="0" borderId="0" xfId="33" applyFont="1"/>
    <xf numFmtId="0" fontId="14" fillId="0" borderId="0" xfId="33" applyFont="1" applyAlignment="1">
      <alignment horizontal="left" wrapText="1"/>
    </xf>
    <xf numFmtId="0" fontId="13" fillId="0" borderId="0" xfId="33" applyFont="1"/>
    <xf numFmtId="0" fontId="16" fillId="0" borderId="0" xfId="33" applyFont="1"/>
    <xf numFmtId="10" fontId="22" fillId="6" borderId="2" xfId="36" applyNumberFormat="1" applyFont="1" applyFill="1" applyBorder="1" applyAlignment="1" applyProtection="1">
      <alignment horizontal="center" vertical="center"/>
      <protection locked="0"/>
    </xf>
    <xf numFmtId="0" fontId="25" fillId="5" borderId="2" xfId="32" applyFont="1" applyFill="1" applyBorder="1" applyAlignment="1">
      <alignment horizontal="center" vertical="center" wrapText="1"/>
    </xf>
    <xf numFmtId="170" fontId="13" fillId="2" borderId="0" xfId="15" applyNumberFormat="1" applyFont="1" applyFill="1" applyBorder="1" applyProtection="1"/>
    <xf numFmtId="169" fontId="22" fillId="2" borderId="2" xfId="1" applyNumberFormat="1" applyFont="1" applyFill="1" applyBorder="1" applyProtection="1"/>
    <xf numFmtId="10" fontId="13" fillId="2" borderId="0" xfId="36" applyNumberFormat="1" applyFont="1" applyFill="1" applyBorder="1" applyAlignment="1" applyProtection="1">
      <alignment horizontal="center"/>
    </xf>
    <xf numFmtId="0" fontId="14" fillId="2" borderId="0" xfId="33" applyFont="1" applyFill="1" applyProtection="1">
      <protection locked="0"/>
    </xf>
    <xf numFmtId="4" fontId="13" fillId="2" borderId="0" xfId="33" applyNumberFormat="1" applyFont="1" applyFill="1" applyProtection="1">
      <protection locked="0"/>
    </xf>
    <xf numFmtId="0" fontId="8" fillId="3" borderId="12" xfId="32" applyFont="1" applyFill="1" applyBorder="1" applyAlignment="1" applyProtection="1">
      <alignment horizontal="center" vertical="center"/>
      <protection locked="0"/>
    </xf>
    <xf numFmtId="170" fontId="6" fillId="2" borderId="13" xfId="41" applyNumberFormat="1" applyFont="1" applyFill="1" applyBorder="1" applyAlignment="1" applyProtection="1">
      <alignment vertical="center"/>
      <protection locked="0"/>
    </xf>
    <xf numFmtId="170" fontId="7" fillId="2" borderId="14" xfId="41" applyNumberFormat="1" applyFont="1" applyFill="1" applyBorder="1" applyAlignment="1" applyProtection="1">
      <alignment vertical="center"/>
      <protection locked="0"/>
    </xf>
    <xf numFmtId="0" fontId="13" fillId="2" borderId="17" xfId="32" applyFont="1" applyFill="1" applyBorder="1" applyAlignment="1">
      <alignment horizontal="center" vertical="center"/>
    </xf>
    <xf numFmtId="170" fontId="13" fillId="2" borderId="17" xfId="15" applyNumberFormat="1" applyFont="1" applyFill="1" applyBorder="1" applyProtection="1"/>
    <xf numFmtId="10" fontId="13" fillId="2" borderId="17" xfId="36" applyNumberFormat="1" applyFont="1" applyFill="1" applyBorder="1" applyAlignment="1" applyProtection="1">
      <alignment horizontal="center"/>
    </xf>
    <xf numFmtId="0" fontId="23" fillId="5" borderId="2" xfId="32" applyFont="1" applyFill="1" applyBorder="1" applyAlignment="1">
      <alignment horizontal="center" vertical="center" wrapText="1"/>
    </xf>
    <xf numFmtId="173" fontId="13" fillId="2" borderId="2" xfId="32" applyNumberFormat="1" applyFont="1" applyFill="1" applyBorder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4" fontId="13" fillId="2" borderId="11" xfId="33" applyNumberFormat="1" applyFont="1" applyFill="1" applyBorder="1"/>
    <xf numFmtId="0" fontId="9" fillId="0" borderId="0" xfId="32" applyFont="1" applyAlignment="1" applyProtection="1">
      <alignment horizontal="left" vertical="center"/>
      <protection locked="0"/>
    </xf>
    <xf numFmtId="0" fontId="10" fillId="0" borderId="0" xfId="33" applyFont="1" applyAlignment="1" applyProtection="1">
      <alignment vertical="center"/>
      <protection locked="0"/>
    </xf>
    <xf numFmtId="3" fontId="11" fillId="0" borderId="0" xfId="32" applyNumberFormat="1" applyFont="1" applyAlignment="1" applyProtection="1">
      <alignment horizontal="left" vertical="center"/>
      <protection locked="0"/>
    </xf>
    <xf numFmtId="0" fontId="6" fillId="0" borderId="0" xfId="33" applyFont="1" applyAlignment="1" applyProtection="1">
      <alignment vertical="center"/>
      <protection locked="0"/>
    </xf>
    <xf numFmtId="14" fontId="0" fillId="0" borderId="0" xfId="0" applyNumberFormat="1"/>
    <xf numFmtId="167" fontId="11" fillId="0" borderId="0" xfId="1" applyFont="1" applyAlignment="1" applyProtection="1">
      <alignment horizontal="left" vertical="center"/>
      <protection locked="0"/>
    </xf>
    <xf numFmtId="167" fontId="10" fillId="0" borderId="0" xfId="1" applyFont="1" applyAlignment="1" applyProtection="1">
      <alignment vertical="center"/>
      <protection locked="0"/>
    </xf>
    <xf numFmtId="43" fontId="6" fillId="0" borderId="0" xfId="33" applyNumberFormat="1" applyFont="1" applyAlignment="1" applyProtection="1">
      <alignment vertical="center"/>
      <protection locked="0"/>
    </xf>
    <xf numFmtId="0" fontId="2" fillId="0" borderId="0" xfId="0" applyFont="1"/>
    <xf numFmtId="0" fontId="2" fillId="0" borderId="2" xfId="0" applyFont="1" applyBorder="1"/>
    <xf numFmtId="172" fontId="7" fillId="0" borderId="15" xfId="40" applyNumberFormat="1" applyFont="1" applyBorder="1" applyAlignment="1" applyProtection="1">
      <alignment horizontal="center" vertical="center"/>
      <protection locked="0"/>
    </xf>
    <xf numFmtId="17" fontId="8" fillId="3" borderId="18" xfId="33" applyNumberFormat="1" applyFont="1" applyFill="1" applyBorder="1" applyAlignment="1" applyProtection="1">
      <alignment horizontal="center" vertical="center"/>
      <protection locked="0"/>
    </xf>
    <xf numFmtId="168" fontId="7" fillId="0" borderId="0" xfId="32" applyNumberFormat="1" applyFont="1" applyAlignment="1" applyProtection="1">
      <alignment horizontal="center" vertical="center"/>
      <protection locked="0"/>
    </xf>
    <xf numFmtId="167" fontId="13" fillId="2" borderId="6" xfId="1" applyFont="1" applyFill="1" applyBorder="1" applyProtection="1"/>
    <xf numFmtId="0" fontId="13" fillId="2" borderId="0" xfId="32" applyFont="1" applyFill="1" applyAlignment="1">
      <alignment horizontal="center" vertical="center"/>
    </xf>
    <xf numFmtId="167" fontId="13" fillId="2" borderId="0" xfId="1" applyFont="1" applyFill="1" applyBorder="1" applyProtection="1"/>
    <xf numFmtId="0" fontId="13" fillId="2" borderId="0" xfId="33" applyFont="1" applyFill="1" applyAlignment="1">
      <alignment horizontal="center" vertical="center"/>
    </xf>
    <xf numFmtId="0" fontId="16" fillId="0" borderId="0" xfId="33" applyFont="1" applyAlignment="1" applyProtection="1">
      <alignment horizontal="left" wrapText="1"/>
      <protection locked="0"/>
    </xf>
    <xf numFmtId="165" fontId="22" fillId="6" borderId="2" xfId="35" applyFont="1" applyFill="1" applyBorder="1" applyAlignment="1" applyProtection="1">
      <alignment horizontal="center" vertical="center"/>
      <protection locked="0"/>
    </xf>
    <xf numFmtId="0" fontId="9" fillId="0" borderId="0" xfId="33" applyFont="1" applyAlignment="1" applyProtection="1">
      <alignment horizontal="center" vertical="center"/>
      <protection locked="0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43">
    <cellStyle name="Millares" xfId="1" builtinId="3"/>
    <cellStyle name="Millares [0] 2" xfId="2" xr:uid="{00000000-0005-0000-0000-000001000000}"/>
    <cellStyle name="Millares 10" xfId="3" xr:uid="{00000000-0005-0000-0000-000002000000}"/>
    <cellStyle name="Millares 11" xfId="4" xr:uid="{00000000-0005-0000-0000-000003000000}"/>
    <cellStyle name="Millares 12" xfId="5" xr:uid="{00000000-0005-0000-0000-000004000000}"/>
    <cellStyle name="Millares 2" xfId="6" xr:uid="{00000000-0005-0000-0000-000005000000}"/>
    <cellStyle name="Millares 2 2" xfId="40" xr:uid="{C4535CAD-B510-4F9C-BDB4-24FC3952C885}"/>
    <cellStyle name="Millares 3" xfId="7" xr:uid="{00000000-0005-0000-0000-000006000000}"/>
    <cellStyle name="Millares 4" xfId="8" xr:uid="{00000000-0005-0000-0000-000007000000}"/>
    <cellStyle name="Millares 4 2" xfId="9" xr:uid="{00000000-0005-0000-0000-000008000000}"/>
    <cellStyle name="Millares 5" xfId="10" xr:uid="{00000000-0005-0000-0000-000009000000}"/>
    <cellStyle name="Millares 6" xfId="11" xr:uid="{00000000-0005-0000-0000-00000A000000}"/>
    <cellStyle name="Millares 7" xfId="12" xr:uid="{00000000-0005-0000-0000-00000B000000}"/>
    <cellStyle name="Millares 8" xfId="13" xr:uid="{00000000-0005-0000-0000-00000C000000}"/>
    <cellStyle name="Millares 9" xfId="14" xr:uid="{00000000-0005-0000-0000-00000D000000}"/>
    <cellStyle name="Millares_DEMANDA COMERCIAL MR(2008-2009) 2 2" xfId="41" xr:uid="{84FEBE0B-726F-4E89-8C0C-1CCDAC1DEF4E}"/>
    <cellStyle name="Millares_PLIEGOS_GR-07-006" xfId="15" xr:uid="{00000000-0005-0000-0000-000010000000}"/>
    <cellStyle name="Moneda" xfId="35" builtinId="4"/>
    <cellStyle name="Moneda [0] 2" xfId="16" xr:uid="{00000000-0005-0000-0000-000011000000}"/>
    <cellStyle name="Moneda 2" xfId="17" xr:uid="{00000000-0005-0000-0000-000012000000}"/>
    <cellStyle name="Moneda 3" xfId="18" xr:uid="{00000000-0005-0000-0000-000013000000}"/>
    <cellStyle name="Moneda 4" xfId="19" xr:uid="{00000000-0005-0000-0000-000014000000}"/>
    <cellStyle name="Moneda 5" xfId="20" xr:uid="{00000000-0005-0000-0000-000015000000}"/>
    <cellStyle name="Moneda 6" xfId="21" xr:uid="{00000000-0005-0000-0000-000016000000}"/>
    <cellStyle name="Moneda 7" xfId="22" xr:uid="{00000000-0005-0000-0000-000017000000}"/>
    <cellStyle name="Moneda 8" xfId="23" xr:uid="{00000000-0005-0000-0000-000018000000}"/>
    <cellStyle name="Moneda 9" xfId="39" xr:uid="{AFB9D481-D75F-4DFA-A693-CA725493BB3F}"/>
    <cellStyle name="Normal" xfId="0" builtinId="0"/>
    <cellStyle name="Normal 2" xfId="24" xr:uid="{00000000-0005-0000-0000-00001A000000}"/>
    <cellStyle name="Normal 2 2 2" xfId="25" xr:uid="{00000000-0005-0000-0000-00001B000000}"/>
    <cellStyle name="Normal 2 2 2 2" xfId="26" xr:uid="{00000000-0005-0000-0000-00001C000000}"/>
    <cellStyle name="Normal 2 3 2" xfId="27" xr:uid="{00000000-0005-0000-0000-00001D000000}"/>
    <cellStyle name="Normal 3" xfId="28" xr:uid="{00000000-0005-0000-0000-00001E000000}"/>
    <cellStyle name="Normal 3 2" xfId="29" xr:uid="{00000000-0005-0000-0000-00001F000000}"/>
    <cellStyle name="Normal 4" xfId="30" xr:uid="{00000000-0005-0000-0000-000020000000}"/>
    <cellStyle name="Normal 5" xfId="31" xr:uid="{00000000-0005-0000-0000-000021000000}"/>
    <cellStyle name="Normal 6" xfId="37" xr:uid="{0B31D6B2-1DA3-4045-B6BF-0AF1E292263B}"/>
    <cellStyle name="Normal 7" xfId="42" xr:uid="{A61CEFDC-F97E-4F68-A712-7CAA996D650B}"/>
    <cellStyle name="Normal_ENE99" xfId="32" xr:uid="{00000000-0005-0000-0000-000022000000}"/>
    <cellStyle name="Normal_GC00-001" xfId="33" xr:uid="{00000000-0005-0000-0000-000023000000}"/>
    <cellStyle name="Opción" xfId="34" xr:uid="{00000000-0005-0000-0000-000024000000}"/>
    <cellStyle name="Porcentaje" xfId="36" builtinId="5"/>
    <cellStyle name="Porcentaje 2" xfId="38" xr:uid="{1D38ABE4-5A48-401C-9A62-33FE9D047E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2009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332F-4D05-B477-0D33C90AA502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332F-4D05-B477-0D33C90AA502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332F-4D05-B477-0D33C90AA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26896"/>
        <c:axId val="1"/>
      </c:lineChart>
      <c:catAx>
        <c:axId val="1419426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268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3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s-CO"/>
              <a:t>Curva típica de referencia 2010  [p.u.]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'curvas típicas de referencia'!#REF!</c:v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DCC0-452A-8A2D-29DC9241F481}"/>
            </c:ext>
          </c:extLst>
        </c:ser>
        <c:ser>
          <c:idx val="1"/>
          <c:order val="1"/>
          <c:tx>
            <c:v>'curvas típicas de referencia'!#REF!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DCC0-452A-8A2D-29DC9241F481}"/>
            </c:ext>
          </c:extLst>
        </c:ser>
        <c:ser>
          <c:idx val="2"/>
          <c:order val="2"/>
          <c:tx>
            <c:v>'curvas típicas de referencia'!#REF!</c:v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'curvas típicas de referencia'!#REF!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'curvas típicas de referencia'!#REF!</c15:sqref>
                        </c15:formulaRef>
                      </c:ext>
                    </c:extLst>
                    <c:strCache>
                      <c:ptCount val="1"/>
                      <c:pt idx="0">
                        <c:v>#¡REF!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DCC0-452A-8A2D-29DC9241F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9436096"/>
        <c:axId val="1"/>
      </c:lineChart>
      <c:catAx>
        <c:axId val="14194360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1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ysDash"/>
            </a:ln>
          </c:spPr>
        </c:majorGridlines>
        <c:numFmt formatCode="#,##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  <c:crossAx val="141943609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MX"/>
          </a:p>
        </c:txPr>
      </c:dTable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MX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9525</xdr:colOff>
      <xdr:row>0</xdr:row>
      <xdr:rowOff>0</xdr:rowOff>
    </xdr:to>
    <xdr:graphicFrame macro="">
      <xdr:nvGraphicFramePr>
        <xdr:cNvPr id="11879" name="Chart 1">
          <a:extLst>
            <a:ext uri="{FF2B5EF4-FFF2-40B4-BE49-F238E27FC236}">
              <a16:creationId xmlns:a16="http://schemas.microsoft.com/office/drawing/2014/main" id="{D59D3E89-6814-4CA2-8941-287393E1B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0</xdr:row>
      <xdr:rowOff>0</xdr:rowOff>
    </xdr:from>
    <xdr:to>
      <xdr:col>16</xdr:col>
      <xdr:colOff>733425</xdr:colOff>
      <xdr:row>0</xdr:row>
      <xdr:rowOff>0</xdr:rowOff>
    </xdr:to>
    <xdr:graphicFrame macro="">
      <xdr:nvGraphicFramePr>
        <xdr:cNvPr id="11880" name="Chart 2">
          <a:extLst>
            <a:ext uri="{FF2B5EF4-FFF2-40B4-BE49-F238E27FC236}">
              <a16:creationId xmlns:a16="http://schemas.microsoft.com/office/drawing/2014/main" id="{14A02008-8B25-44AA-B7DB-8593368B8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11C7A-3C5E-42B3-9B6B-527A39553940}">
  <sheetPr codeName="Hoja5">
    <pageSetUpPr fitToPage="1"/>
  </sheetPr>
  <dimension ref="A1:IU150"/>
  <sheetViews>
    <sheetView showGridLines="0" topLeftCell="A118" zoomScale="85" zoomScaleNormal="85" zoomScaleSheetLayoutView="100" workbookViewId="0">
      <selection activeCell="D139" sqref="D139"/>
    </sheetView>
  </sheetViews>
  <sheetFormatPr baseColWidth="10" defaultColWidth="0" defaultRowHeight="0" customHeight="1" zeroHeight="1"/>
  <cols>
    <col min="1" max="1" width="5.453125" style="18" customWidth="1"/>
    <col min="2" max="2" width="1" style="18" customWidth="1"/>
    <col min="3" max="3" width="19" style="18" customWidth="1"/>
    <col min="4" max="4" width="26.81640625" style="18" customWidth="1"/>
    <col min="5" max="5" width="19.54296875" style="18" customWidth="1"/>
    <col min="6" max="6" width="22.54296875" style="18" bestFit="1" customWidth="1"/>
    <col min="7" max="7" width="16.54296875" style="18" customWidth="1"/>
    <col min="8" max="8" width="1.453125" style="18" customWidth="1"/>
    <col min="9" max="9" width="8.453125" style="18" customWidth="1"/>
    <col min="10" max="10" width="1.54296875" style="18" hidden="1" customWidth="1"/>
    <col min="11" max="255" width="3.453125" style="18" hidden="1" customWidth="1"/>
    <col min="256" max="16384" width="5.54296875" style="18" hidden="1"/>
  </cols>
  <sheetData>
    <row r="1" spans="1:12" s="17" customFormat="1" ht="26.25" customHeight="1">
      <c r="A1" s="15"/>
      <c r="B1" s="15"/>
      <c r="C1" s="62" t="s">
        <v>55</v>
      </c>
      <c r="D1" s="62"/>
      <c r="E1" s="62"/>
      <c r="F1" s="62"/>
      <c r="G1" s="62"/>
      <c r="H1" s="16"/>
      <c r="I1" s="16"/>
    </row>
    <row r="2" spans="1:12" ht="34.5" customHeight="1">
      <c r="C2" s="62" t="s">
        <v>56</v>
      </c>
      <c r="D2" s="62"/>
      <c r="E2" s="62"/>
      <c r="F2" s="62"/>
      <c r="G2" s="62"/>
      <c r="H2" s="16"/>
      <c r="I2" s="16"/>
    </row>
    <row r="3" spans="1:12" ht="16.5">
      <c r="C3" s="19" t="s">
        <v>0</v>
      </c>
      <c r="D3" s="20" t="s">
        <v>1</v>
      </c>
    </row>
    <row r="4" spans="1:12" ht="16.5">
      <c r="C4" s="21" t="s">
        <v>2</v>
      </c>
      <c r="D4" s="22" t="s">
        <v>3</v>
      </c>
    </row>
    <row r="5" spans="1:12" ht="16.5">
      <c r="C5" s="21" t="s">
        <v>4</v>
      </c>
      <c r="D5" s="35"/>
      <c r="E5" s="34"/>
      <c r="F5" s="34"/>
      <c r="G5" s="34"/>
    </row>
    <row r="6" spans="1:12" ht="16.5">
      <c r="C6" s="21"/>
      <c r="D6" s="35"/>
      <c r="E6" s="34"/>
      <c r="F6" s="34"/>
      <c r="G6" s="34"/>
    </row>
    <row r="7" spans="1:12" ht="16.5">
      <c r="B7" s="23"/>
      <c r="C7" s="19"/>
      <c r="D7" s="20"/>
      <c r="E7" s="20"/>
    </row>
    <row r="8" spans="1:12" ht="19.5" customHeight="1">
      <c r="C8"/>
      <c r="D8"/>
      <c r="E8"/>
      <c r="F8"/>
      <c r="G8"/>
      <c r="H8" s="54"/>
      <c r="I8" s="54"/>
      <c r="J8" s="54"/>
      <c r="K8" s="24"/>
      <c r="L8" s="24"/>
    </row>
    <row r="9" spans="1:12" ht="49.5" customHeight="1">
      <c r="C9" s="42" t="s">
        <v>5</v>
      </c>
      <c r="D9" s="30" t="s">
        <v>6</v>
      </c>
      <c r="E9" s="42" t="s">
        <v>7</v>
      </c>
      <c r="F9" s="42" t="s">
        <v>8</v>
      </c>
      <c r="G9" s="42" t="s">
        <v>9</v>
      </c>
      <c r="H9" s="54"/>
      <c r="I9" s="54"/>
      <c r="J9" s="54"/>
      <c r="K9" s="24"/>
      <c r="L9" s="24"/>
    </row>
    <row r="10" spans="1:12" ht="16.5">
      <c r="C10" s="43">
        <v>45778</v>
      </c>
      <c r="D10" s="32">
        <f>+_xlfn.XLOOKUP(C10,'Cantidades horarias PROD 01 '!E9:E136,'Cantidades horarias PROD 01 '!AF9:AF136)</f>
        <v>1893699.13</v>
      </c>
      <c r="E10" s="29">
        <v>1</v>
      </c>
      <c r="F10" s="32">
        <f t="shared" ref="F10:F69" si="0">ROUND(D10*$E10,2)</f>
        <v>1893699.13</v>
      </c>
      <c r="G10" s="64"/>
      <c r="H10" s="54"/>
      <c r="I10" s="54"/>
      <c r="J10" s="54"/>
      <c r="K10" s="24"/>
      <c r="L10" s="24"/>
    </row>
    <row r="11" spans="1:12" ht="16.5">
      <c r="C11" s="43">
        <v>45809</v>
      </c>
      <c r="D11" s="32">
        <f>+_xlfn.XLOOKUP(C11,'Cantidades horarias PROD 01 '!E10:E137,'Cantidades horarias PROD 01 '!AF10:AF137)</f>
        <v>2107364.34</v>
      </c>
      <c r="E11" s="29">
        <v>1</v>
      </c>
      <c r="F11" s="32">
        <f t="shared" si="0"/>
        <v>2107364.34</v>
      </c>
      <c r="G11" s="64"/>
      <c r="H11" s="54"/>
      <c r="I11" s="54"/>
      <c r="J11" s="54"/>
      <c r="K11" s="24"/>
      <c r="L11" s="24"/>
    </row>
    <row r="12" spans="1:12" ht="16.5">
      <c r="C12" s="43">
        <v>45839</v>
      </c>
      <c r="D12" s="32">
        <f>+_xlfn.XLOOKUP(C12,'Cantidades horarias PROD 01 '!E11:E138,'Cantidades horarias PROD 01 '!AF11:AF138)</f>
        <v>2121549.0699999998</v>
      </c>
      <c r="E12" s="29">
        <v>1</v>
      </c>
      <c r="F12" s="32">
        <f t="shared" si="0"/>
        <v>2121549.0699999998</v>
      </c>
      <c r="G12" s="64"/>
      <c r="H12" s="54"/>
      <c r="I12" s="54"/>
      <c r="J12" s="54"/>
      <c r="K12" s="24"/>
      <c r="L12" s="24"/>
    </row>
    <row r="13" spans="1:12" ht="16.5">
      <c r="C13" s="43">
        <v>45870</v>
      </c>
      <c r="D13" s="32">
        <f>+_xlfn.XLOOKUP(C13,'Cantidades horarias PROD 01 '!E12:E139,'Cantidades horarias PROD 01 '!AF12:AF139)</f>
        <v>2040241.93</v>
      </c>
      <c r="E13" s="29">
        <v>1</v>
      </c>
      <c r="F13" s="32">
        <f t="shared" si="0"/>
        <v>2040241.93</v>
      </c>
      <c r="G13" s="64"/>
      <c r="H13" s="54"/>
      <c r="I13" s="54"/>
      <c r="J13" s="54"/>
      <c r="K13" s="24"/>
      <c r="L13" s="24"/>
    </row>
    <row r="14" spans="1:12" ht="16.5">
      <c r="C14" s="43">
        <v>45901</v>
      </c>
      <c r="D14" s="32">
        <f>+_xlfn.XLOOKUP(C14,'Cantidades horarias PROD 01 '!E13:E140,'Cantidades horarias PROD 01 '!AF13:AF140)</f>
        <v>1975952.56</v>
      </c>
      <c r="E14" s="29">
        <v>1</v>
      </c>
      <c r="F14" s="32">
        <f t="shared" si="0"/>
        <v>1975952.56</v>
      </c>
      <c r="G14" s="64"/>
      <c r="H14" s="54"/>
      <c r="I14" s="54"/>
      <c r="J14" s="54"/>
      <c r="K14" s="24"/>
      <c r="L14" s="24"/>
    </row>
    <row r="15" spans="1:12" ht="16.5">
      <c r="C15" s="43">
        <v>45931</v>
      </c>
      <c r="D15" s="32">
        <f>+_xlfn.XLOOKUP(C15,'Cantidades horarias PROD 01 '!E14:E141,'Cantidades horarias PROD 01 '!AF14:AF141)</f>
        <v>1753775.38</v>
      </c>
      <c r="E15" s="29">
        <v>1</v>
      </c>
      <c r="F15" s="32">
        <f t="shared" si="0"/>
        <v>1753775.38</v>
      </c>
      <c r="G15" s="64"/>
      <c r="H15" s="54"/>
      <c r="I15" s="54"/>
      <c r="J15" s="54"/>
      <c r="K15" s="24"/>
      <c r="L15" s="24"/>
    </row>
    <row r="16" spans="1:12" ht="16.5">
      <c r="C16" s="43">
        <v>45962</v>
      </c>
      <c r="D16" s="32">
        <f>+_xlfn.XLOOKUP(C16,'Cantidades horarias PROD 01 '!E15:E142,'Cantidades horarias PROD 01 '!AF15:AF142)</f>
        <v>1680953.74</v>
      </c>
      <c r="E16" s="29">
        <v>1</v>
      </c>
      <c r="F16" s="32">
        <f t="shared" si="0"/>
        <v>1680953.74</v>
      </c>
      <c r="G16" s="64"/>
      <c r="H16" s="54"/>
      <c r="I16" s="54"/>
      <c r="J16" s="54"/>
      <c r="K16" s="24"/>
      <c r="L16" s="24"/>
    </row>
    <row r="17" spans="3:12" ht="16.5">
      <c r="C17" s="43">
        <v>45992</v>
      </c>
      <c r="D17" s="32">
        <f>+_xlfn.XLOOKUP(C17,'Cantidades horarias PROD 01 '!E16:E143,'Cantidades horarias PROD 01 '!AF16:AF143)</f>
        <v>1926789.73</v>
      </c>
      <c r="E17" s="29">
        <v>1</v>
      </c>
      <c r="F17" s="32">
        <f t="shared" si="0"/>
        <v>1926789.73</v>
      </c>
      <c r="G17" s="64"/>
      <c r="H17" s="54"/>
      <c r="I17" s="54"/>
      <c r="J17" s="54"/>
      <c r="K17" s="24"/>
      <c r="L17" s="24"/>
    </row>
    <row r="18" spans="3:12" ht="16.5">
      <c r="C18" s="43">
        <v>46023</v>
      </c>
      <c r="D18" s="32">
        <f>+_xlfn.XLOOKUP(C18,'Cantidades horarias PROD 01 '!E17:E144,'Cantidades horarias PROD 01 '!AF17:AF144)</f>
        <v>2666105.96</v>
      </c>
      <c r="E18" s="29">
        <v>1</v>
      </c>
      <c r="F18" s="32">
        <f t="shared" si="0"/>
        <v>2666105.96</v>
      </c>
      <c r="G18" s="64"/>
      <c r="H18" s="54"/>
      <c r="I18" s="54"/>
      <c r="J18" s="54"/>
      <c r="K18" s="24"/>
      <c r="L18" s="24"/>
    </row>
    <row r="19" spans="3:12" ht="16.5">
      <c r="C19" s="43">
        <v>46054</v>
      </c>
      <c r="D19" s="32">
        <f>+_xlfn.XLOOKUP(C19,'Cantidades horarias PROD 01 '!E18:E145,'Cantidades horarias PROD 01 '!AF18:AF145)</f>
        <v>2463750.23</v>
      </c>
      <c r="E19" s="29">
        <v>1</v>
      </c>
      <c r="F19" s="32">
        <f t="shared" si="0"/>
        <v>2463750.23</v>
      </c>
      <c r="G19" s="64"/>
      <c r="H19" s="54"/>
      <c r="I19" s="54"/>
      <c r="J19" s="54"/>
      <c r="K19" s="24"/>
      <c r="L19" s="24"/>
    </row>
    <row r="20" spans="3:12" ht="16.5">
      <c r="C20" s="43">
        <v>46082</v>
      </c>
      <c r="D20" s="32">
        <f>+_xlfn.XLOOKUP(C20,'Cantidades horarias PROD 01 '!E19:E146,'Cantidades horarias PROD 01 '!AF19:AF146)</f>
        <v>2591921.15</v>
      </c>
      <c r="E20" s="29">
        <v>1</v>
      </c>
      <c r="F20" s="32">
        <f t="shared" si="0"/>
        <v>2591921.15</v>
      </c>
      <c r="G20" s="64"/>
      <c r="H20" s="54"/>
      <c r="I20" s="54"/>
      <c r="J20" s="54"/>
      <c r="K20" s="24"/>
      <c r="L20" s="24"/>
    </row>
    <row r="21" spans="3:12" ht="16.5">
      <c r="C21" s="43">
        <v>46113</v>
      </c>
      <c r="D21" s="32">
        <f>+_xlfn.XLOOKUP(C21,'Cantidades horarias PROD 01 '!E20:E147,'Cantidades horarias PROD 01 '!AF20:AF147)</f>
        <v>2276921.7200000002</v>
      </c>
      <c r="E21" s="29">
        <v>1</v>
      </c>
      <c r="F21" s="32">
        <f t="shared" si="0"/>
        <v>2276921.7200000002</v>
      </c>
      <c r="G21" s="64"/>
      <c r="H21" s="54"/>
      <c r="I21" s="54"/>
      <c r="J21" s="54"/>
      <c r="K21" s="24"/>
      <c r="L21" s="24"/>
    </row>
    <row r="22" spans="3:12" ht="16.5">
      <c r="C22" s="43">
        <v>46143</v>
      </c>
      <c r="D22" s="32">
        <f>+_xlfn.XLOOKUP(C22,'Cantidades horarias PROD 01 '!E21:E148,'Cantidades horarias PROD 01 '!AF21:AF148)</f>
        <v>2185632.02</v>
      </c>
      <c r="E22" s="29">
        <v>1</v>
      </c>
      <c r="F22" s="32">
        <f t="shared" si="0"/>
        <v>2185632.02</v>
      </c>
      <c r="G22" s="64"/>
      <c r="H22" s="54"/>
      <c r="I22" s="54"/>
      <c r="J22" s="54"/>
      <c r="K22" s="24"/>
      <c r="L22" s="24"/>
    </row>
    <row r="23" spans="3:12" ht="16.5">
      <c r="C23" s="43">
        <v>46174</v>
      </c>
      <c r="D23" s="32">
        <f>+_xlfn.XLOOKUP(C23,'Cantidades horarias PROD 01 '!E22:E149,'Cantidades horarias PROD 01 '!AF22:AF149)</f>
        <v>2430945.9</v>
      </c>
      <c r="E23" s="29">
        <v>1</v>
      </c>
      <c r="F23" s="32">
        <f t="shared" si="0"/>
        <v>2430945.9</v>
      </c>
      <c r="G23" s="64"/>
      <c r="H23" s="54"/>
      <c r="I23" s="54"/>
      <c r="J23" s="54"/>
      <c r="K23" s="24"/>
      <c r="L23" s="24"/>
    </row>
    <row r="24" spans="3:12" ht="16.5">
      <c r="C24" s="43">
        <v>46204</v>
      </c>
      <c r="D24" s="32">
        <f>+_xlfn.XLOOKUP(C24,'Cantidades horarias PROD 01 '!E23:E150,'Cantidades horarias PROD 01 '!AF23:AF150)</f>
        <v>2508835.34</v>
      </c>
      <c r="E24" s="29">
        <v>1</v>
      </c>
      <c r="F24" s="32">
        <f t="shared" si="0"/>
        <v>2508835.34</v>
      </c>
      <c r="G24" s="64"/>
      <c r="H24" s="54"/>
      <c r="I24" s="54"/>
      <c r="J24" s="54"/>
      <c r="K24" s="24"/>
      <c r="L24" s="24"/>
    </row>
    <row r="25" spans="3:12" ht="16.5">
      <c r="C25" s="43">
        <v>46235</v>
      </c>
      <c r="D25" s="32">
        <f>+_xlfn.XLOOKUP(C25,'Cantidades horarias PROD 01 '!E24:E151,'Cantidades horarias PROD 01 '!AF24:AF151)</f>
        <v>2400941.3199999998</v>
      </c>
      <c r="E25" s="29">
        <v>1</v>
      </c>
      <c r="F25" s="32">
        <f t="shared" si="0"/>
        <v>2400941.3199999998</v>
      </c>
      <c r="G25" s="64"/>
      <c r="H25" s="54"/>
      <c r="I25" s="54"/>
      <c r="J25" s="54"/>
      <c r="K25" s="24"/>
      <c r="L25" s="24"/>
    </row>
    <row r="26" spans="3:12" ht="16.5">
      <c r="C26" s="43">
        <v>46266</v>
      </c>
      <c r="D26" s="32">
        <f>+_xlfn.XLOOKUP(C26,'Cantidades horarias PROD 01 '!E25:E152,'Cantidades horarias PROD 01 '!AF25:AF152)</f>
        <v>2251391.7599999998</v>
      </c>
      <c r="E26" s="29">
        <v>1</v>
      </c>
      <c r="F26" s="32">
        <f t="shared" si="0"/>
        <v>2251391.7599999998</v>
      </c>
      <c r="G26" s="64"/>
      <c r="H26" s="54"/>
      <c r="I26" s="54"/>
      <c r="J26" s="54"/>
      <c r="K26" s="24"/>
      <c r="L26" s="24"/>
    </row>
    <row r="27" spans="3:12" ht="16.5">
      <c r="C27" s="43">
        <v>46296</v>
      </c>
      <c r="D27" s="32">
        <f>+_xlfn.XLOOKUP(C27,'Cantidades horarias PROD 01 '!E26:E153,'Cantidades horarias PROD 01 '!AF26:AF153)</f>
        <v>2066621.39</v>
      </c>
      <c r="E27" s="29">
        <v>1</v>
      </c>
      <c r="F27" s="32">
        <f t="shared" si="0"/>
        <v>2066621.39</v>
      </c>
      <c r="G27" s="64"/>
      <c r="H27" s="54"/>
      <c r="I27" s="54"/>
      <c r="J27" s="54"/>
      <c r="K27" s="24"/>
      <c r="L27" s="24"/>
    </row>
    <row r="28" spans="3:12" ht="16.5">
      <c r="C28" s="43">
        <v>46327</v>
      </c>
      <c r="D28" s="32">
        <f>+_xlfn.XLOOKUP(C28,'Cantidades horarias PROD 01 '!E27:E154,'Cantidades horarias PROD 01 '!AF27:AF154)</f>
        <v>1962572</v>
      </c>
      <c r="E28" s="29">
        <v>1</v>
      </c>
      <c r="F28" s="32">
        <f t="shared" si="0"/>
        <v>1962572</v>
      </c>
      <c r="G28" s="64"/>
      <c r="H28" s="54"/>
      <c r="I28" s="54"/>
      <c r="J28" s="54"/>
      <c r="K28" s="24"/>
      <c r="L28" s="24"/>
    </row>
    <row r="29" spans="3:12" ht="16.5">
      <c r="C29" s="43">
        <v>46357</v>
      </c>
      <c r="D29" s="32">
        <f>+_xlfn.XLOOKUP(C29,'Cantidades horarias PROD 01 '!E28:E155,'Cantidades horarias PROD 01 '!AF28:AF155)</f>
        <v>2299531.7799999998</v>
      </c>
      <c r="E29" s="29">
        <v>1</v>
      </c>
      <c r="F29" s="32">
        <f t="shared" si="0"/>
        <v>2299531.7799999998</v>
      </c>
      <c r="G29" s="64"/>
      <c r="H29" s="54"/>
      <c r="I29" s="54"/>
      <c r="J29" s="54"/>
      <c r="K29" s="24"/>
      <c r="L29" s="24"/>
    </row>
    <row r="30" spans="3:12" ht="16.5">
      <c r="C30" s="43">
        <v>46388</v>
      </c>
      <c r="D30" s="32">
        <f>+_xlfn.XLOOKUP(C30,'Cantidades horarias PROD 01 '!E29:E156,'Cantidades horarias PROD 01 '!AF29:AF156)</f>
        <v>3335769.64</v>
      </c>
      <c r="E30" s="29">
        <v>1</v>
      </c>
      <c r="F30" s="32">
        <f t="shared" si="0"/>
        <v>3335769.64</v>
      </c>
      <c r="G30" s="64"/>
      <c r="H30" s="54"/>
      <c r="I30" s="54"/>
      <c r="J30" s="54"/>
      <c r="K30" s="24"/>
      <c r="L30" s="24"/>
    </row>
    <row r="31" spans="3:12" ht="16.5">
      <c r="C31" s="43">
        <v>46419</v>
      </c>
      <c r="D31" s="32">
        <f>+_xlfn.XLOOKUP(C31,'Cantidades horarias PROD 01 '!E30:E157,'Cantidades horarias PROD 01 '!AF30:AF157)</f>
        <v>3082586.87</v>
      </c>
      <c r="E31" s="29">
        <v>1</v>
      </c>
      <c r="F31" s="32">
        <f t="shared" si="0"/>
        <v>3082586.87</v>
      </c>
      <c r="G31" s="64"/>
      <c r="H31" s="54"/>
      <c r="I31" s="54"/>
      <c r="J31" s="54"/>
      <c r="K31" s="24"/>
      <c r="L31" s="24"/>
    </row>
    <row r="32" spans="3:12" ht="16.5">
      <c r="C32" s="43">
        <v>46447</v>
      </c>
      <c r="D32" s="32">
        <f>+_xlfn.XLOOKUP(C32,'Cantidades horarias PROD 01 '!E31:E158,'Cantidades horarias PROD 01 '!AF31:AF158)</f>
        <v>3242951.33</v>
      </c>
      <c r="E32" s="29">
        <v>1</v>
      </c>
      <c r="F32" s="32">
        <f t="shared" si="0"/>
        <v>3242951.33</v>
      </c>
      <c r="G32" s="64"/>
      <c r="H32" s="54"/>
      <c r="I32" s="54"/>
      <c r="J32" s="54"/>
      <c r="K32" s="24"/>
      <c r="L32" s="24"/>
    </row>
    <row r="33" spans="3:12" ht="16.5">
      <c r="C33" s="43">
        <v>46478</v>
      </c>
      <c r="D33" s="32">
        <f>+_xlfn.XLOOKUP(C33,'Cantidades horarias PROD 01 '!E32:E159,'Cantidades horarias PROD 01 '!AF32:AF159)</f>
        <v>2848831.39</v>
      </c>
      <c r="E33" s="29">
        <v>1</v>
      </c>
      <c r="F33" s="32">
        <f t="shared" si="0"/>
        <v>2848831.39</v>
      </c>
      <c r="G33" s="64"/>
      <c r="H33" s="54"/>
      <c r="I33" s="54"/>
      <c r="J33" s="54"/>
      <c r="K33" s="24"/>
      <c r="L33" s="24"/>
    </row>
    <row r="34" spans="3:12" ht="16.5">
      <c r="C34" s="43">
        <v>46508</v>
      </c>
      <c r="D34" s="32">
        <f>+_xlfn.XLOOKUP(C34,'Cantidades horarias PROD 01 '!E33:E160,'Cantidades horarias PROD 01 '!AF33:AF160)</f>
        <v>2734611.85</v>
      </c>
      <c r="E34" s="29">
        <v>1</v>
      </c>
      <c r="F34" s="32">
        <f t="shared" si="0"/>
        <v>2734611.85</v>
      </c>
      <c r="G34" s="64"/>
      <c r="H34" s="54"/>
      <c r="I34" s="54"/>
      <c r="J34" s="54"/>
      <c r="K34" s="24"/>
      <c r="L34" s="24"/>
    </row>
    <row r="35" spans="3:12" ht="16.5">
      <c r="C35" s="43">
        <v>46539</v>
      </c>
      <c r="D35" s="32">
        <f>+_xlfn.XLOOKUP(C35,'Cantidades horarias PROD 01 '!E34:E161,'Cantidades horarias PROD 01 '!AF34:AF161)</f>
        <v>3041542.85</v>
      </c>
      <c r="E35" s="29">
        <v>1</v>
      </c>
      <c r="F35" s="32">
        <f t="shared" si="0"/>
        <v>3041542.85</v>
      </c>
      <c r="G35" s="64"/>
      <c r="H35" s="54"/>
      <c r="I35" s="54"/>
      <c r="J35" s="54"/>
      <c r="K35" s="24"/>
      <c r="L35" s="24"/>
    </row>
    <row r="36" spans="3:12" ht="16.5">
      <c r="C36" s="43">
        <v>46569</v>
      </c>
      <c r="D36" s="32">
        <f>+_xlfn.XLOOKUP(C36,'Cantidades horarias PROD 01 '!E35:E162,'Cantidades horarias PROD 01 '!AF35:AF162)</f>
        <v>3138996.31</v>
      </c>
      <c r="E36" s="29">
        <v>1</v>
      </c>
      <c r="F36" s="32">
        <f t="shared" si="0"/>
        <v>3138996.31</v>
      </c>
      <c r="G36" s="64"/>
      <c r="H36" s="54"/>
      <c r="I36" s="54"/>
      <c r="J36" s="54"/>
      <c r="K36" s="24"/>
      <c r="L36" s="24"/>
    </row>
    <row r="37" spans="3:12" ht="16.5">
      <c r="C37" s="43">
        <v>46600</v>
      </c>
      <c r="D37" s="32">
        <f>+_xlfn.XLOOKUP(C37,'Cantidades horarias PROD 01 '!E36:E163,'Cantidades horarias PROD 01 '!AF36:AF163)</f>
        <v>3004001.82</v>
      </c>
      <c r="E37" s="29">
        <v>1</v>
      </c>
      <c r="F37" s="32">
        <f t="shared" si="0"/>
        <v>3004001.82</v>
      </c>
      <c r="G37" s="64"/>
      <c r="H37" s="54"/>
      <c r="I37" s="54"/>
      <c r="J37" s="54"/>
      <c r="K37" s="24"/>
      <c r="L37" s="24"/>
    </row>
    <row r="38" spans="3:12" ht="16.5">
      <c r="C38" s="43">
        <v>46631</v>
      </c>
      <c r="D38" s="32">
        <f>+_xlfn.XLOOKUP(C38,'Cantidades horarias PROD 01 '!E37:E164,'Cantidades horarias PROD 01 '!AF37:AF164)</f>
        <v>2816888.89</v>
      </c>
      <c r="E38" s="29">
        <v>1</v>
      </c>
      <c r="F38" s="32">
        <f t="shared" si="0"/>
        <v>2816888.89</v>
      </c>
      <c r="G38" s="64"/>
      <c r="H38" s="54"/>
      <c r="I38" s="54"/>
      <c r="J38" s="54"/>
      <c r="K38" s="24"/>
      <c r="L38" s="24"/>
    </row>
    <row r="39" spans="3:12" ht="16.5">
      <c r="C39" s="43">
        <v>46661</v>
      </c>
      <c r="D39" s="32">
        <f>+_xlfn.XLOOKUP(C39,'Cantidades horarias PROD 01 '!E38:E165,'Cantidades horarias PROD 01 '!AF38:AF165)</f>
        <v>2585708.52</v>
      </c>
      <c r="E39" s="29">
        <v>1</v>
      </c>
      <c r="F39" s="32">
        <f t="shared" si="0"/>
        <v>2585708.52</v>
      </c>
      <c r="G39" s="64"/>
      <c r="H39" s="54"/>
      <c r="I39" s="54"/>
      <c r="J39" s="54"/>
      <c r="K39" s="24"/>
      <c r="L39" s="24"/>
    </row>
    <row r="40" spans="3:12" ht="16.5">
      <c r="C40" s="43">
        <v>46692</v>
      </c>
      <c r="D40" s="32">
        <f>+_xlfn.XLOOKUP(C40,'Cantidades horarias PROD 01 '!E39:E166,'Cantidades horarias PROD 01 '!AF39:AF166)</f>
        <v>2455524.35</v>
      </c>
      <c r="E40" s="29">
        <v>1</v>
      </c>
      <c r="F40" s="32">
        <f t="shared" si="0"/>
        <v>2455524.35</v>
      </c>
      <c r="G40" s="64"/>
      <c r="H40" s="54"/>
      <c r="I40" s="54"/>
      <c r="J40" s="54"/>
      <c r="K40" s="24"/>
      <c r="L40" s="24"/>
    </row>
    <row r="41" spans="3:12" ht="16.5">
      <c r="C41" s="43">
        <v>46722</v>
      </c>
      <c r="D41" s="32">
        <f>+_xlfn.XLOOKUP(C41,'Cantidades horarias PROD 01 '!E40:E167,'Cantidades horarias PROD 01 '!AF40:AF167)</f>
        <v>2877120.56</v>
      </c>
      <c r="E41" s="29">
        <v>1</v>
      </c>
      <c r="F41" s="32">
        <f t="shared" si="0"/>
        <v>2877120.56</v>
      </c>
      <c r="G41" s="64"/>
      <c r="H41" s="54"/>
      <c r="I41" s="54"/>
      <c r="J41" s="54"/>
      <c r="K41" s="24"/>
      <c r="L41" s="24"/>
    </row>
    <row r="42" spans="3:12" ht="16.5">
      <c r="C42" s="43">
        <v>46753</v>
      </c>
      <c r="D42" s="32">
        <f>+_xlfn.XLOOKUP(C42,'Cantidades horarias PROD 01 '!E41:E168,'Cantidades horarias PROD 01 '!AF41:AF168)</f>
        <v>4012834.17</v>
      </c>
      <c r="E42" s="29">
        <v>1</v>
      </c>
      <c r="F42" s="32">
        <f t="shared" si="0"/>
        <v>4012834.17</v>
      </c>
      <c r="G42" s="64"/>
      <c r="H42" s="54"/>
      <c r="I42" s="54"/>
      <c r="J42" s="54"/>
      <c r="K42" s="24"/>
      <c r="L42" s="24"/>
    </row>
    <row r="43" spans="3:12" ht="16.5">
      <c r="C43" s="43">
        <v>46784</v>
      </c>
      <c r="D43" s="32">
        <f>+_xlfn.XLOOKUP(C43,'Cantidades horarias PROD 01 '!E42:E169,'Cantidades horarias PROD 01 '!AF42:AF169)</f>
        <v>3708262.63</v>
      </c>
      <c r="E43" s="29">
        <v>1</v>
      </c>
      <c r="F43" s="32">
        <f t="shared" si="0"/>
        <v>3708262.63</v>
      </c>
      <c r="G43" s="64"/>
      <c r="H43" s="54"/>
      <c r="I43" s="54"/>
      <c r="J43" s="54"/>
      <c r="K43" s="24"/>
      <c r="L43" s="24"/>
    </row>
    <row r="44" spans="3:12" ht="16.5">
      <c r="C44" s="43">
        <v>46813</v>
      </c>
      <c r="D44" s="32">
        <f>+_xlfn.XLOOKUP(C44,'Cantidades horarias PROD 01 '!E43:E170,'Cantidades horarias PROD 01 '!AF43:AF170)</f>
        <v>3901176.44</v>
      </c>
      <c r="E44" s="29">
        <v>1</v>
      </c>
      <c r="F44" s="32">
        <f t="shared" si="0"/>
        <v>3901176.44</v>
      </c>
      <c r="G44" s="64"/>
      <c r="H44" s="54"/>
      <c r="I44" s="54"/>
      <c r="J44" s="54"/>
      <c r="K44" s="24"/>
      <c r="L44" s="24"/>
    </row>
    <row r="45" spans="3:12" ht="16.5">
      <c r="C45" s="43">
        <v>46844</v>
      </c>
      <c r="D45" s="32">
        <f>+_xlfn.XLOOKUP(C45,'Cantidades horarias PROD 01 '!E44:E171,'Cantidades horarias PROD 01 '!AF44:AF171)</f>
        <v>3427061.56</v>
      </c>
      <c r="E45" s="29">
        <v>1</v>
      </c>
      <c r="F45" s="32">
        <f t="shared" si="0"/>
        <v>3427061.56</v>
      </c>
      <c r="G45" s="64"/>
      <c r="H45" s="54"/>
      <c r="I45" s="54"/>
      <c r="J45" s="54"/>
      <c r="K45" s="24"/>
      <c r="L45" s="24"/>
    </row>
    <row r="46" spans="3:12" ht="16.5">
      <c r="C46" s="43">
        <v>46874</v>
      </c>
      <c r="D46" s="32">
        <f>+_xlfn.XLOOKUP(C46,'Cantidades horarias PROD 01 '!E45:E172,'Cantidades horarias PROD 01 '!AF45:AF172)</f>
        <v>3289658.77</v>
      </c>
      <c r="E46" s="29">
        <v>1</v>
      </c>
      <c r="F46" s="32">
        <f t="shared" si="0"/>
        <v>3289658.77</v>
      </c>
      <c r="G46" s="64"/>
      <c r="H46" s="54"/>
      <c r="I46" s="54"/>
      <c r="J46" s="54"/>
      <c r="K46" s="24"/>
      <c r="L46" s="24"/>
    </row>
    <row r="47" spans="3:12" ht="16.5">
      <c r="C47" s="43">
        <v>46905</v>
      </c>
      <c r="D47" s="32">
        <f>+_xlfn.XLOOKUP(C47,'Cantidades horarias PROD 01 '!E46:E173,'Cantidades horarias PROD 01 '!AF46:AF173)</f>
        <v>3658887.86</v>
      </c>
      <c r="E47" s="29">
        <v>1</v>
      </c>
      <c r="F47" s="32">
        <f t="shared" si="0"/>
        <v>3658887.86</v>
      </c>
      <c r="G47" s="64"/>
      <c r="H47" s="54"/>
      <c r="I47" s="54"/>
      <c r="J47" s="54"/>
      <c r="K47" s="24"/>
      <c r="L47" s="24"/>
    </row>
    <row r="48" spans="3:12" ht="16.5">
      <c r="C48" s="43">
        <v>46935</v>
      </c>
      <c r="D48" s="32">
        <f>+_xlfn.XLOOKUP(C48,'Cantidades horarias PROD 01 '!E47:E174,'Cantidades horarias PROD 01 '!AF47:AF174)</f>
        <v>3776121.55</v>
      </c>
      <c r="E48" s="29">
        <v>1</v>
      </c>
      <c r="F48" s="32">
        <f t="shared" si="0"/>
        <v>3776121.55</v>
      </c>
      <c r="G48" s="64"/>
      <c r="H48" s="54"/>
      <c r="I48" s="54"/>
      <c r="J48" s="54"/>
      <c r="K48" s="24"/>
      <c r="L48" s="24"/>
    </row>
    <row r="49" spans="3:12" ht="16.5">
      <c r="C49" s="43">
        <v>46966</v>
      </c>
      <c r="D49" s="32">
        <f>+_xlfn.XLOOKUP(C49,'Cantidades horarias PROD 01 '!E48:E175,'Cantidades horarias PROD 01 '!AF48:AF175)</f>
        <v>3613727.09</v>
      </c>
      <c r="E49" s="29">
        <v>1</v>
      </c>
      <c r="F49" s="32">
        <f t="shared" si="0"/>
        <v>3613727.09</v>
      </c>
      <c r="G49" s="64"/>
      <c r="H49" s="54"/>
      <c r="I49" s="54"/>
      <c r="J49" s="54"/>
      <c r="K49" s="24"/>
      <c r="L49" s="24"/>
    </row>
    <row r="50" spans="3:12" ht="16.5">
      <c r="C50" s="43">
        <v>46997</v>
      </c>
      <c r="D50" s="32">
        <f>+_xlfn.XLOOKUP(C50,'Cantidades horarias PROD 01 '!E49:E176,'Cantidades horarias PROD 01 '!AF49:AF176)</f>
        <v>3388635.67</v>
      </c>
      <c r="E50" s="29">
        <v>1</v>
      </c>
      <c r="F50" s="32">
        <f t="shared" si="0"/>
        <v>3388635.67</v>
      </c>
      <c r="G50" s="64"/>
      <c r="H50" s="54"/>
      <c r="I50" s="54"/>
      <c r="J50" s="54"/>
      <c r="K50" s="24"/>
      <c r="L50" s="24"/>
    </row>
    <row r="51" spans="3:12" ht="16.5">
      <c r="C51" s="43">
        <v>47027</v>
      </c>
      <c r="D51" s="32">
        <f>+_xlfn.XLOOKUP(C51,'Cantidades horarias PROD 01 '!E50:E177,'Cantidades horarias PROD 01 '!AF50:AF177)</f>
        <v>3110532.38</v>
      </c>
      <c r="E51" s="29">
        <v>1</v>
      </c>
      <c r="F51" s="32">
        <f t="shared" si="0"/>
        <v>3110532.38</v>
      </c>
      <c r="G51" s="64"/>
      <c r="H51" s="54"/>
      <c r="I51" s="54"/>
      <c r="J51" s="54"/>
      <c r="K51" s="24"/>
      <c r="L51" s="24"/>
    </row>
    <row r="52" spans="3:12" ht="16.5">
      <c r="C52" s="43">
        <v>47058</v>
      </c>
      <c r="D52" s="32">
        <f>+_xlfn.XLOOKUP(C52,'Cantidades horarias PROD 01 '!E51:E178,'Cantidades horarias PROD 01 '!AF51:AF178)</f>
        <v>2953924.6</v>
      </c>
      <c r="E52" s="29">
        <v>1</v>
      </c>
      <c r="F52" s="32">
        <f t="shared" si="0"/>
        <v>2953924.6</v>
      </c>
      <c r="G52" s="64"/>
      <c r="H52" s="54"/>
      <c r="I52" s="54"/>
      <c r="J52" s="54"/>
      <c r="K52" s="24"/>
      <c r="L52" s="24"/>
    </row>
    <row r="53" spans="3:12" ht="16.5">
      <c r="C53" s="43">
        <v>47088</v>
      </c>
      <c r="D53" s="32">
        <f>+_xlfn.XLOOKUP(C53,'Cantidades horarias PROD 01 '!E52:E179,'Cantidades horarias PROD 01 '!AF52:AF179)</f>
        <v>3461092.62</v>
      </c>
      <c r="E53" s="29">
        <v>1</v>
      </c>
      <c r="F53" s="32">
        <f t="shared" si="0"/>
        <v>3461092.62</v>
      </c>
      <c r="G53" s="64"/>
      <c r="H53" s="54"/>
      <c r="I53" s="54"/>
      <c r="J53" s="54"/>
      <c r="K53" s="24"/>
      <c r="L53" s="24"/>
    </row>
    <row r="54" spans="3:12" ht="16.5">
      <c r="C54" s="43">
        <v>47119</v>
      </c>
      <c r="D54" s="32">
        <f>+_xlfn.XLOOKUP(C54,'Cantidades horarias PROD 01 '!E53:E180,'Cantidades horarias PROD 01 '!AF53:AF180)</f>
        <v>4400745.0999999996</v>
      </c>
      <c r="E54" s="29">
        <v>1</v>
      </c>
      <c r="F54" s="32">
        <f t="shared" si="0"/>
        <v>4400745.0999999996</v>
      </c>
      <c r="G54" s="64"/>
      <c r="H54" s="54"/>
      <c r="I54" s="54"/>
      <c r="J54" s="54"/>
      <c r="K54" s="24"/>
      <c r="L54" s="24"/>
    </row>
    <row r="55" spans="3:12" ht="16.5">
      <c r="C55" s="43">
        <v>47150</v>
      </c>
      <c r="D55" s="32">
        <f>+_xlfn.XLOOKUP(C55,'Cantidades horarias PROD 01 '!E54:E181,'Cantidades horarias PROD 01 '!AF54:AF181)</f>
        <v>4066731.38</v>
      </c>
      <c r="E55" s="29">
        <v>1</v>
      </c>
      <c r="F55" s="32">
        <f t="shared" si="0"/>
        <v>4066731.38</v>
      </c>
      <c r="G55" s="64"/>
      <c r="H55" s="54"/>
      <c r="I55" s="54"/>
      <c r="J55" s="54"/>
      <c r="K55" s="24"/>
      <c r="L55" s="24"/>
    </row>
    <row r="56" spans="3:12" ht="16.5">
      <c r="C56" s="43">
        <v>47178</v>
      </c>
      <c r="D56" s="32">
        <f>+_xlfn.XLOOKUP(C56,'Cantidades horarias PROD 01 '!E55:E182,'Cantidades horarias PROD 01 '!AF55:AF182)</f>
        <v>4278293.6900000004</v>
      </c>
      <c r="E56" s="29">
        <v>1</v>
      </c>
      <c r="F56" s="32">
        <f t="shared" si="0"/>
        <v>4278293.6900000004</v>
      </c>
      <c r="G56" s="64"/>
      <c r="H56" s="54"/>
      <c r="I56" s="54"/>
      <c r="J56" s="54"/>
      <c r="K56" s="24"/>
      <c r="L56" s="24"/>
    </row>
    <row r="57" spans="3:12" ht="16.5">
      <c r="C57" s="43">
        <v>47209</v>
      </c>
      <c r="D57" s="32">
        <f>+_xlfn.XLOOKUP(C57,'Cantidades horarias PROD 01 '!E56:E183,'Cantidades horarias PROD 01 '!AF56:AF183)</f>
        <v>3758347.28</v>
      </c>
      <c r="E57" s="29">
        <v>1</v>
      </c>
      <c r="F57" s="32">
        <f t="shared" si="0"/>
        <v>3758347.28</v>
      </c>
      <c r="G57" s="64"/>
      <c r="H57" s="54"/>
      <c r="I57" s="54"/>
      <c r="J57" s="54"/>
      <c r="K57" s="24"/>
      <c r="L57" s="24"/>
    </row>
    <row r="58" spans="3:12" ht="16.5">
      <c r="C58" s="43">
        <v>47239</v>
      </c>
      <c r="D58" s="32">
        <f>+_xlfn.XLOOKUP(C58,'Cantidades horarias PROD 01 '!E57:E184,'Cantidades horarias PROD 01 '!AF57:AF184)</f>
        <v>3607662.09</v>
      </c>
      <c r="E58" s="29">
        <v>1</v>
      </c>
      <c r="F58" s="32">
        <f t="shared" si="0"/>
        <v>3607662.09</v>
      </c>
      <c r="G58" s="64"/>
      <c r="H58" s="54"/>
      <c r="I58" s="54"/>
      <c r="J58" s="54"/>
      <c r="K58" s="24"/>
      <c r="L58" s="24"/>
    </row>
    <row r="59" spans="3:12" ht="16.5">
      <c r="C59" s="43">
        <v>47270</v>
      </c>
      <c r="D59" s="32">
        <f>+_xlfn.XLOOKUP(C59,'Cantidades horarias PROD 01 '!E58:E185,'Cantidades horarias PROD 01 '!AF58:AF185)</f>
        <v>4012583.67</v>
      </c>
      <c r="E59" s="29">
        <v>1</v>
      </c>
      <c r="F59" s="32">
        <f t="shared" si="0"/>
        <v>4012583.67</v>
      </c>
      <c r="G59" s="64"/>
      <c r="H59" s="54"/>
      <c r="I59" s="54"/>
      <c r="J59" s="54"/>
      <c r="K59" s="24"/>
      <c r="L59" s="24"/>
    </row>
    <row r="60" spans="3:12" ht="16.5">
      <c r="C60" s="43">
        <v>47300</v>
      </c>
      <c r="D60" s="32">
        <f>+_xlfn.XLOOKUP(C60,'Cantidades horarias PROD 01 '!E59:E186,'Cantidades horarias PROD 01 '!AF59:AF186)</f>
        <v>4141150.05</v>
      </c>
      <c r="E60" s="29">
        <v>1</v>
      </c>
      <c r="F60" s="32">
        <f t="shared" si="0"/>
        <v>4141150.05</v>
      </c>
      <c r="G60" s="64"/>
      <c r="H60" s="54"/>
      <c r="I60" s="54"/>
      <c r="J60" s="54"/>
      <c r="K60" s="24"/>
      <c r="L60" s="24"/>
    </row>
    <row r="61" spans="3:12" ht="16.5">
      <c r="C61" s="43">
        <v>47331</v>
      </c>
      <c r="D61" s="32">
        <f>+_xlfn.XLOOKUP(C61,'Cantidades horarias PROD 01 '!E60:E187,'Cantidades horarias PROD 01 '!AF60:AF187)</f>
        <v>3963057.32</v>
      </c>
      <c r="E61" s="29">
        <v>1</v>
      </c>
      <c r="F61" s="32">
        <f t="shared" si="0"/>
        <v>3963057.32</v>
      </c>
      <c r="G61" s="64"/>
      <c r="H61" s="54"/>
      <c r="I61" s="54"/>
      <c r="J61" s="54"/>
      <c r="K61" s="24"/>
      <c r="L61" s="24"/>
    </row>
    <row r="62" spans="3:12" ht="16.5">
      <c r="C62" s="43">
        <v>47362</v>
      </c>
      <c r="D62" s="32">
        <f>+_xlfn.XLOOKUP(C62,'Cantidades horarias PROD 01 '!E61:E188,'Cantidades horarias PROD 01 '!AF61:AF188)</f>
        <v>3716206.85</v>
      </c>
      <c r="E62" s="29">
        <v>1</v>
      </c>
      <c r="F62" s="32">
        <f t="shared" si="0"/>
        <v>3716206.85</v>
      </c>
      <c r="G62" s="64"/>
      <c r="H62" s="54"/>
      <c r="I62" s="54"/>
      <c r="J62" s="54"/>
      <c r="K62" s="24"/>
      <c r="L62" s="24"/>
    </row>
    <row r="63" spans="3:12" ht="16.5">
      <c r="C63" s="43">
        <v>47392</v>
      </c>
      <c r="D63" s="32">
        <f>+_xlfn.XLOOKUP(C63,'Cantidades horarias PROD 01 '!E62:E189,'Cantidades horarias PROD 01 '!AF62:AF189)</f>
        <v>3411219.99</v>
      </c>
      <c r="E63" s="29">
        <v>1</v>
      </c>
      <c r="F63" s="32">
        <f t="shared" si="0"/>
        <v>3411219.99</v>
      </c>
      <c r="G63" s="64"/>
      <c r="H63" s="54"/>
      <c r="I63" s="54"/>
      <c r="J63" s="54"/>
      <c r="K63" s="24"/>
      <c r="L63" s="24"/>
    </row>
    <row r="64" spans="3:12" ht="16.5">
      <c r="C64" s="43">
        <v>47423</v>
      </c>
      <c r="D64" s="32">
        <f>+_xlfn.XLOOKUP(C64,'Cantidades horarias PROD 01 '!E63:E190,'Cantidades horarias PROD 01 '!AF63:AF190)</f>
        <v>3239473.31</v>
      </c>
      <c r="E64" s="29">
        <v>1</v>
      </c>
      <c r="F64" s="32">
        <f t="shared" si="0"/>
        <v>3239473.31</v>
      </c>
      <c r="G64" s="64"/>
      <c r="H64" s="54"/>
      <c r="I64" s="54"/>
      <c r="J64" s="54"/>
      <c r="K64" s="24"/>
      <c r="L64" s="24"/>
    </row>
    <row r="65" spans="3:12" ht="16.5">
      <c r="C65" s="43">
        <v>47453</v>
      </c>
      <c r="D65" s="32">
        <f>+_xlfn.XLOOKUP(C65,'Cantidades horarias PROD 01 '!E64:E191,'Cantidades horarias PROD 01 '!AF64:AF191)</f>
        <v>3795668.04</v>
      </c>
      <c r="E65" s="29">
        <v>1</v>
      </c>
      <c r="F65" s="32">
        <f t="shared" si="0"/>
        <v>3795668.04</v>
      </c>
      <c r="G65" s="64"/>
      <c r="H65" s="54"/>
      <c r="I65" s="54"/>
      <c r="J65" s="54"/>
      <c r="K65" s="24"/>
      <c r="L65" s="24"/>
    </row>
    <row r="66" spans="3:12" ht="16.5">
      <c r="C66" s="43">
        <v>47484</v>
      </c>
      <c r="D66" s="32">
        <f>+_xlfn.XLOOKUP(C66,'Cantidades horarias PROD 01 '!E65:E192,'Cantidades horarias PROD 01 '!AF65:AF192)</f>
        <v>4383142.12</v>
      </c>
      <c r="E66" s="29">
        <v>1</v>
      </c>
      <c r="F66" s="32">
        <f t="shared" si="0"/>
        <v>4383142.12</v>
      </c>
      <c r="G66" s="64"/>
      <c r="H66" s="54"/>
      <c r="I66" s="54"/>
      <c r="J66" s="54"/>
      <c r="K66" s="24"/>
      <c r="L66" s="24"/>
    </row>
    <row r="67" spans="3:12" ht="16.5">
      <c r="C67" s="43">
        <v>47515</v>
      </c>
      <c r="D67" s="32">
        <f>+_xlfn.XLOOKUP(C67,'Cantidades horarias PROD 01 '!E66:E193,'Cantidades horarias PROD 01 '!AF66:AF193)</f>
        <v>4050464.45</v>
      </c>
      <c r="E67" s="29">
        <v>1</v>
      </c>
      <c r="F67" s="32">
        <f t="shared" si="0"/>
        <v>4050464.45</v>
      </c>
      <c r="G67" s="64"/>
      <c r="H67" s="54"/>
      <c r="I67" s="54"/>
      <c r="J67" s="54"/>
      <c r="K67" s="24"/>
      <c r="L67" s="24"/>
    </row>
    <row r="68" spans="3:12" ht="16.5">
      <c r="C68" s="43">
        <v>47543</v>
      </c>
      <c r="D68" s="32">
        <f>+_xlfn.XLOOKUP(C68,'Cantidades horarias PROD 01 '!E67:E194,'Cantidades horarias PROD 01 '!AF67:AF194)</f>
        <v>4261180.51</v>
      </c>
      <c r="E68" s="29">
        <v>1</v>
      </c>
      <c r="F68" s="32">
        <f t="shared" si="0"/>
        <v>4261180.51</v>
      </c>
      <c r="G68" s="64"/>
      <c r="H68" s="54"/>
      <c r="I68" s="54"/>
      <c r="J68" s="54"/>
      <c r="K68" s="24"/>
      <c r="L68" s="24"/>
    </row>
    <row r="69" spans="3:12" ht="16.5">
      <c r="C69" s="43">
        <v>47574</v>
      </c>
      <c r="D69" s="32">
        <f>+_xlfn.XLOOKUP(C69,'Cantidades horarias PROD 01 '!E68:E195,'Cantidades horarias PROD 01 '!AF68:AF195)</f>
        <v>3743313.89</v>
      </c>
      <c r="E69" s="29">
        <v>1</v>
      </c>
      <c r="F69" s="32">
        <f t="shared" si="0"/>
        <v>3743313.89</v>
      </c>
      <c r="G69" s="64"/>
      <c r="H69" s="54"/>
      <c r="I69" s="54"/>
      <c r="J69" s="54"/>
      <c r="K69" s="24"/>
      <c r="L69" s="24"/>
    </row>
    <row r="70" spans="3:12" ht="16.5">
      <c r="C70" s="43">
        <v>47604</v>
      </c>
      <c r="D70" s="32">
        <f>+_xlfn.XLOOKUP(C70,'Cantidades horarias PROD 01 '!E69:E196,'Cantidades horarias PROD 01 '!AF69:AF196)</f>
        <v>3593231.44</v>
      </c>
      <c r="E70" s="29">
        <v>1</v>
      </c>
      <c r="F70" s="32">
        <f t="shared" ref="F70:F125" si="1">ROUND(D70*$E70,2)</f>
        <v>3593231.44</v>
      </c>
      <c r="G70" s="64"/>
      <c r="H70" s="54"/>
      <c r="I70" s="54"/>
      <c r="J70" s="54"/>
      <c r="K70" s="24"/>
      <c r="L70" s="24"/>
    </row>
    <row r="71" spans="3:12" ht="16.5">
      <c r="C71" s="43">
        <v>47635</v>
      </c>
      <c r="D71" s="32">
        <f>+_xlfn.XLOOKUP(C71,'Cantidades horarias PROD 01 '!E70:E197,'Cantidades horarias PROD 01 '!AF70:AF197)</f>
        <v>3996533.33</v>
      </c>
      <c r="E71" s="29">
        <v>1</v>
      </c>
      <c r="F71" s="32">
        <f t="shared" si="1"/>
        <v>3996533.33</v>
      </c>
      <c r="G71" s="64"/>
      <c r="H71" s="54"/>
      <c r="I71" s="54"/>
      <c r="J71" s="54"/>
      <c r="K71" s="24"/>
      <c r="L71" s="24"/>
    </row>
    <row r="72" spans="3:12" ht="16.5">
      <c r="C72" s="43">
        <v>47665</v>
      </c>
      <c r="D72" s="32">
        <f>+_xlfn.XLOOKUP(C72,'Cantidades horarias PROD 01 '!E71:E198,'Cantidades horarias PROD 01 '!AF71:AF198)</f>
        <v>4124585.45</v>
      </c>
      <c r="E72" s="29">
        <v>1</v>
      </c>
      <c r="F72" s="32">
        <f t="shared" si="1"/>
        <v>4124585.45</v>
      </c>
      <c r="G72" s="64"/>
      <c r="H72" s="54"/>
      <c r="I72" s="54"/>
      <c r="J72" s="54"/>
      <c r="K72" s="24"/>
      <c r="L72" s="24"/>
    </row>
    <row r="73" spans="3:12" ht="16.5">
      <c r="C73" s="43">
        <v>47696</v>
      </c>
      <c r="D73" s="32">
        <f>+_xlfn.XLOOKUP(C73,'Cantidades horarias PROD 01 '!E72:E199,'Cantidades horarias PROD 01 '!AF72:AF199)</f>
        <v>3947205.09</v>
      </c>
      <c r="E73" s="29">
        <v>1</v>
      </c>
      <c r="F73" s="32">
        <f t="shared" si="1"/>
        <v>3947205.09</v>
      </c>
      <c r="G73" s="64"/>
      <c r="H73" s="54"/>
      <c r="I73" s="54"/>
      <c r="J73" s="54"/>
      <c r="K73" s="24"/>
      <c r="L73" s="24"/>
    </row>
    <row r="74" spans="3:12" ht="16.5">
      <c r="C74" s="43">
        <v>47727</v>
      </c>
      <c r="D74" s="32">
        <f>+_xlfn.XLOOKUP(C74,'Cantidades horarias PROD 01 '!E73:E200,'Cantidades horarias PROD 01 '!AF73:AF200)</f>
        <v>3701342.02</v>
      </c>
      <c r="E74" s="29">
        <v>1</v>
      </c>
      <c r="F74" s="32">
        <f t="shared" si="1"/>
        <v>3701342.02</v>
      </c>
      <c r="G74" s="64"/>
      <c r="H74" s="54"/>
      <c r="I74" s="54"/>
      <c r="J74" s="54"/>
      <c r="K74" s="24"/>
      <c r="L74" s="24"/>
    </row>
    <row r="75" spans="3:12" ht="16.5">
      <c r="C75" s="43">
        <v>47757</v>
      </c>
      <c r="D75" s="32">
        <f>+_xlfn.XLOOKUP(C75,'Cantidades horarias PROD 01 '!E74:E201,'Cantidades horarias PROD 01 '!AF74:AF201)</f>
        <v>3397575.11</v>
      </c>
      <c r="E75" s="29">
        <v>1</v>
      </c>
      <c r="F75" s="32">
        <f t="shared" si="1"/>
        <v>3397575.11</v>
      </c>
      <c r="G75" s="64"/>
      <c r="H75" s="54"/>
      <c r="I75" s="54"/>
      <c r="J75" s="54"/>
      <c r="K75" s="24"/>
      <c r="L75" s="24"/>
    </row>
    <row r="76" spans="3:12" ht="16.5">
      <c r="C76" s="43">
        <v>47788</v>
      </c>
      <c r="D76" s="32">
        <f>+_xlfn.XLOOKUP(C76,'Cantidades horarias PROD 01 '!E75:E202,'Cantidades horarias PROD 01 '!AF75:AF202)</f>
        <v>3226515.42</v>
      </c>
      <c r="E76" s="29">
        <v>1</v>
      </c>
      <c r="F76" s="32">
        <f t="shared" si="1"/>
        <v>3226515.42</v>
      </c>
      <c r="G76" s="64"/>
      <c r="H76" s="54"/>
      <c r="I76" s="54"/>
      <c r="J76" s="54"/>
      <c r="K76" s="24"/>
      <c r="L76" s="24"/>
    </row>
    <row r="77" spans="3:12" ht="16.5">
      <c r="C77" s="43">
        <v>47818</v>
      </c>
      <c r="D77" s="32">
        <f>+_xlfn.XLOOKUP(C77,'Cantidades horarias PROD 01 '!E76:E203,'Cantidades horarias PROD 01 '!AF76:AF203)</f>
        <v>3780485.37</v>
      </c>
      <c r="E77" s="29">
        <v>1</v>
      </c>
      <c r="F77" s="32">
        <f t="shared" si="1"/>
        <v>3780485.37</v>
      </c>
      <c r="G77" s="64"/>
      <c r="H77" s="54"/>
      <c r="I77" s="54"/>
      <c r="J77" s="54"/>
      <c r="K77" s="24"/>
      <c r="L77" s="24"/>
    </row>
    <row r="78" spans="3:12" ht="16.5">
      <c r="C78" s="43">
        <v>47849</v>
      </c>
      <c r="D78" s="32">
        <f>+_xlfn.XLOOKUP(C78,'Cantidades horarias PROD 01 '!E77:E204,'Cantidades horarias PROD 01 '!AF77:AF204)</f>
        <v>4365609.55</v>
      </c>
      <c r="E78" s="29">
        <v>1</v>
      </c>
      <c r="F78" s="32">
        <f t="shared" si="1"/>
        <v>4365609.55</v>
      </c>
      <c r="G78" s="64"/>
      <c r="H78" s="54"/>
      <c r="I78" s="54"/>
      <c r="J78" s="54"/>
      <c r="K78" s="24"/>
      <c r="L78" s="24"/>
    </row>
    <row r="79" spans="3:12" ht="16.5">
      <c r="C79" s="43">
        <v>47880</v>
      </c>
      <c r="D79" s="32">
        <f>+_xlfn.XLOOKUP(C79,'Cantidades horarias PROD 01 '!E78:E205,'Cantidades horarias PROD 01 '!AF78:AF205)</f>
        <v>4034262.59</v>
      </c>
      <c r="E79" s="29">
        <v>1</v>
      </c>
      <c r="F79" s="32">
        <f t="shared" si="1"/>
        <v>4034262.59</v>
      </c>
      <c r="G79" s="64"/>
      <c r="H79" s="54"/>
      <c r="I79" s="54"/>
      <c r="J79" s="54"/>
      <c r="K79" s="24"/>
      <c r="L79" s="24"/>
    </row>
    <row r="80" spans="3:12" ht="16.5">
      <c r="C80" s="43">
        <v>47908</v>
      </c>
      <c r="D80" s="32">
        <f>+_xlfn.XLOOKUP(C80,'Cantidades horarias PROD 01 '!E79:E206,'Cantidades horarias PROD 01 '!AF79:AF206)</f>
        <v>4244135.79</v>
      </c>
      <c r="E80" s="29">
        <v>1</v>
      </c>
      <c r="F80" s="32">
        <f t="shared" si="1"/>
        <v>4244135.79</v>
      </c>
      <c r="G80" s="64"/>
      <c r="H80" s="54"/>
      <c r="I80" s="54"/>
      <c r="J80" s="54"/>
      <c r="K80" s="24"/>
      <c r="L80" s="24"/>
    </row>
    <row r="81" spans="3:12" ht="16.5">
      <c r="C81" s="43">
        <v>47939</v>
      </c>
      <c r="D81" s="32">
        <f>+_xlfn.XLOOKUP(C81,'Cantidades horarias PROD 01 '!E80:E207,'Cantidades horarias PROD 01 '!AF80:AF207)</f>
        <v>3728340.64</v>
      </c>
      <c r="E81" s="29">
        <v>1</v>
      </c>
      <c r="F81" s="32">
        <f t="shared" si="1"/>
        <v>3728340.64</v>
      </c>
      <c r="G81" s="64"/>
      <c r="H81" s="54"/>
      <c r="I81" s="54"/>
      <c r="J81" s="54"/>
      <c r="K81" s="24"/>
      <c r="L81" s="24"/>
    </row>
    <row r="82" spans="3:12" ht="16.5">
      <c r="C82" s="43">
        <v>47969</v>
      </c>
      <c r="D82" s="32">
        <f>+_xlfn.XLOOKUP(C82,'Cantidades horarias PROD 01 '!E81:E208,'Cantidades horarias PROD 01 '!AF81:AF208)</f>
        <v>3578858.52</v>
      </c>
      <c r="E82" s="29">
        <v>1</v>
      </c>
      <c r="F82" s="32">
        <f t="shared" si="1"/>
        <v>3578858.52</v>
      </c>
      <c r="G82" s="64"/>
      <c r="H82" s="54"/>
      <c r="I82" s="54"/>
      <c r="J82" s="54"/>
      <c r="K82" s="24"/>
      <c r="L82" s="24"/>
    </row>
    <row r="83" spans="3:12" ht="16.5">
      <c r="C83" s="43">
        <v>48000</v>
      </c>
      <c r="D83" s="32">
        <f>+_xlfn.XLOOKUP(C83,'Cantidades horarias PROD 01 '!E82:E209,'Cantidades horarias PROD 01 '!AF82:AF209)</f>
        <v>3980547.2</v>
      </c>
      <c r="E83" s="29">
        <v>1</v>
      </c>
      <c r="F83" s="32">
        <f t="shared" si="1"/>
        <v>3980547.2</v>
      </c>
      <c r="G83" s="64"/>
      <c r="H83" s="54"/>
      <c r="I83" s="54"/>
      <c r="J83" s="54"/>
      <c r="K83" s="24"/>
      <c r="L83" s="24"/>
    </row>
    <row r="84" spans="3:12" ht="16.5">
      <c r="C84" s="43">
        <v>48030</v>
      </c>
      <c r="D84" s="32">
        <f>+_xlfn.XLOOKUP(C84,'Cantidades horarias PROD 01 '!E83:E210,'Cantidades horarias PROD 01 '!AF83:AF210)</f>
        <v>4108087.11</v>
      </c>
      <c r="E84" s="29">
        <v>1</v>
      </c>
      <c r="F84" s="32">
        <f t="shared" si="1"/>
        <v>4108087.11</v>
      </c>
      <c r="G84" s="64"/>
      <c r="H84" s="54"/>
      <c r="I84" s="54"/>
      <c r="J84" s="54"/>
      <c r="K84" s="24"/>
      <c r="L84" s="24"/>
    </row>
    <row r="85" spans="3:12" ht="16.5">
      <c r="C85" s="43">
        <v>48061</v>
      </c>
      <c r="D85" s="32">
        <f>+_xlfn.XLOOKUP(C85,'Cantidades horarias PROD 01 '!E84:E211,'Cantidades horarias PROD 01 '!AF84:AF211)</f>
        <v>3931416.27</v>
      </c>
      <c r="E85" s="29">
        <v>1</v>
      </c>
      <c r="F85" s="32">
        <f t="shared" si="1"/>
        <v>3931416.27</v>
      </c>
      <c r="G85" s="64"/>
      <c r="H85" s="54"/>
      <c r="I85" s="54"/>
      <c r="J85" s="54"/>
      <c r="K85" s="24"/>
      <c r="L85" s="24"/>
    </row>
    <row r="86" spans="3:12" ht="16.5">
      <c r="C86" s="43">
        <v>48092</v>
      </c>
      <c r="D86" s="32">
        <f>+_xlfn.XLOOKUP(C86,'Cantidades horarias PROD 01 '!E85:E212,'Cantidades horarias PROD 01 '!AF85:AF212)</f>
        <v>3686536.65</v>
      </c>
      <c r="E86" s="29">
        <v>1</v>
      </c>
      <c r="F86" s="32">
        <f t="shared" si="1"/>
        <v>3686536.65</v>
      </c>
      <c r="G86" s="64"/>
      <c r="H86" s="54"/>
      <c r="I86" s="54"/>
      <c r="J86" s="54"/>
      <c r="K86" s="24"/>
      <c r="L86" s="24"/>
    </row>
    <row r="87" spans="3:12" ht="16.5">
      <c r="C87" s="43">
        <v>48122</v>
      </c>
      <c r="D87" s="32">
        <f>+_xlfn.XLOOKUP(C87,'Cantidades horarias PROD 01 '!E86:E213,'Cantidades horarias PROD 01 '!AF86:AF213)</f>
        <v>3383984.81</v>
      </c>
      <c r="E87" s="29">
        <v>1</v>
      </c>
      <c r="F87" s="32">
        <f t="shared" si="1"/>
        <v>3383984.81</v>
      </c>
      <c r="G87" s="64"/>
      <c r="H87" s="54"/>
      <c r="I87" s="54"/>
      <c r="J87" s="54"/>
      <c r="K87" s="24"/>
      <c r="L87" s="24"/>
    </row>
    <row r="88" spans="3:12" ht="16.5">
      <c r="C88" s="43">
        <v>48153</v>
      </c>
      <c r="D88" s="32">
        <f>+_xlfn.XLOOKUP(C88,'Cantidades horarias PROD 01 '!E87:E214,'Cantidades horarias PROD 01 '!AF87:AF214)</f>
        <v>3213609.36</v>
      </c>
      <c r="E88" s="29">
        <v>1</v>
      </c>
      <c r="F88" s="32">
        <f t="shared" si="1"/>
        <v>3213609.36</v>
      </c>
      <c r="G88" s="64"/>
      <c r="H88" s="54"/>
      <c r="I88" s="54"/>
      <c r="J88" s="54"/>
      <c r="K88" s="24"/>
      <c r="L88" s="24"/>
    </row>
    <row r="89" spans="3:12" ht="16.5">
      <c r="C89" s="43">
        <v>48183</v>
      </c>
      <c r="D89" s="32">
        <f>+_xlfn.XLOOKUP(C89,'Cantidades horarias PROD 01 '!E88:E215,'Cantidades horarias PROD 01 '!AF88:AF215)</f>
        <v>3765363.43</v>
      </c>
      <c r="E89" s="29">
        <v>1</v>
      </c>
      <c r="F89" s="32">
        <f t="shared" si="1"/>
        <v>3765363.43</v>
      </c>
      <c r="G89" s="64"/>
      <c r="H89" s="54"/>
      <c r="I89" s="54"/>
      <c r="J89" s="54"/>
      <c r="K89" s="24"/>
      <c r="L89" s="24"/>
    </row>
    <row r="90" spans="3:12" ht="16.5">
      <c r="C90" s="43">
        <v>48214</v>
      </c>
      <c r="D90" s="32">
        <f>+_xlfn.XLOOKUP(C90,'Cantidades horarias PROD 01 '!E89:E216,'Cantidades horarias PROD 01 '!AF89:AF216)</f>
        <v>4348147.1100000003</v>
      </c>
      <c r="E90" s="29">
        <v>1</v>
      </c>
      <c r="F90" s="32">
        <f t="shared" si="1"/>
        <v>4348147.1100000003</v>
      </c>
      <c r="G90" s="64"/>
      <c r="H90" s="54"/>
      <c r="I90" s="54"/>
      <c r="J90" s="54"/>
      <c r="K90" s="24"/>
      <c r="L90" s="24"/>
    </row>
    <row r="91" spans="3:12" ht="16.5">
      <c r="C91" s="43">
        <v>48245</v>
      </c>
      <c r="D91" s="32">
        <f>+_xlfn.XLOOKUP(C91,'Cantidades horarias PROD 01 '!E90:E217,'Cantidades horarias PROD 01 '!AF90:AF217)</f>
        <v>4018125.54</v>
      </c>
      <c r="E91" s="29">
        <v>1</v>
      </c>
      <c r="F91" s="32">
        <f t="shared" si="1"/>
        <v>4018125.54</v>
      </c>
      <c r="G91" s="64"/>
      <c r="H91" s="54"/>
      <c r="I91" s="54"/>
      <c r="J91" s="54"/>
      <c r="K91" s="24"/>
      <c r="L91" s="24"/>
    </row>
    <row r="92" spans="3:12" ht="16.5">
      <c r="C92" s="43">
        <v>48274</v>
      </c>
      <c r="D92" s="32">
        <f>+_xlfn.XLOOKUP(C92,'Cantidades horarias PROD 01 '!E91:E218,'Cantidades horarias PROD 01 '!AF91:AF218)</f>
        <v>4227159.25</v>
      </c>
      <c r="E92" s="29">
        <v>1</v>
      </c>
      <c r="F92" s="32">
        <f t="shared" si="1"/>
        <v>4227159.25</v>
      </c>
      <c r="G92" s="64"/>
      <c r="H92" s="54"/>
      <c r="I92" s="54"/>
      <c r="J92" s="54"/>
      <c r="K92" s="24"/>
      <c r="L92" s="24"/>
    </row>
    <row r="93" spans="3:12" ht="16.5">
      <c r="C93" s="43">
        <v>48305</v>
      </c>
      <c r="D93" s="32">
        <f>+_xlfn.XLOOKUP(C93,'Cantidades horarias PROD 01 '!E92:E219,'Cantidades horarias PROD 01 '!AF92:AF219)</f>
        <v>3713427.28</v>
      </c>
      <c r="E93" s="29">
        <v>1</v>
      </c>
      <c r="F93" s="32">
        <f t="shared" si="1"/>
        <v>3713427.28</v>
      </c>
      <c r="G93" s="64"/>
      <c r="H93" s="54"/>
      <c r="I93" s="54"/>
      <c r="J93" s="54"/>
      <c r="K93" s="24"/>
      <c r="L93" s="24"/>
    </row>
    <row r="94" spans="3:12" ht="16.5">
      <c r="C94" s="43">
        <v>48335</v>
      </c>
      <c r="D94" s="32">
        <f>+_xlfn.XLOOKUP(C94,'Cantidades horarias PROD 01 '!E93:E220,'Cantidades horarias PROD 01 '!AF93:AF220)</f>
        <v>3564543.08</v>
      </c>
      <c r="E94" s="29">
        <v>1</v>
      </c>
      <c r="F94" s="32">
        <f t="shared" si="1"/>
        <v>3564543.08</v>
      </c>
      <c r="G94" s="64"/>
      <c r="H94" s="54"/>
      <c r="I94" s="54"/>
      <c r="J94" s="54"/>
      <c r="K94" s="24"/>
      <c r="L94" s="24"/>
    </row>
    <row r="95" spans="3:12" ht="16.5">
      <c r="C95" s="43">
        <v>48366</v>
      </c>
      <c r="D95" s="32">
        <f>+_xlfn.XLOOKUP(C95,'Cantidades horarias PROD 01 '!E94:E221,'Cantidades horarias PROD 01 '!AF94:AF221)</f>
        <v>3964625.01</v>
      </c>
      <c r="E95" s="29">
        <v>1</v>
      </c>
      <c r="F95" s="32">
        <f t="shared" si="1"/>
        <v>3964625.01</v>
      </c>
      <c r="G95" s="64"/>
      <c r="H95" s="54"/>
      <c r="I95" s="54"/>
      <c r="J95" s="54"/>
      <c r="K95" s="24"/>
      <c r="L95" s="24"/>
    </row>
    <row r="96" spans="3:12" ht="16.5">
      <c r="C96" s="43">
        <v>48396</v>
      </c>
      <c r="D96" s="32">
        <f>+_xlfn.XLOOKUP(C96,'Cantidades horarias PROD 01 '!E95:E222,'Cantidades horarias PROD 01 '!AF95:AF222)</f>
        <v>4091654.76</v>
      </c>
      <c r="E96" s="29">
        <v>1</v>
      </c>
      <c r="F96" s="32">
        <f t="shared" si="1"/>
        <v>4091654.76</v>
      </c>
      <c r="G96" s="64"/>
      <c r="H96" s="54"/>
      <c r="I96" s="54"/>
      <c r="J96" s="54"/>
      <c r="K96" s="24"/>
      <c r="L96" s="24"/>
    </row>
    <row r="97" spans="3:12" ht="16.5">
      <c r="C97" s="43">
        <v>48427</v>
      </c>
      <c r="D97" s="32">
        <f>+_xlfn.XLOOKUP(C97,'Cantidades horarias PROD 01 '!E96:E223,'Cantidades horarias PROD 01 '!AF96:AF223)</f>
        <v>3915690.6</v>
      </c>
      <c r="E97" s="29">
        <v>1</v>
      </c>
      <c r="F97" s="32">
        <f t="shared" si="1"/>
        <v>3915690.6</v>
      </c>
      <c r="G97" s="64"/>
      <c r="H97" s="54"/>
      <c r="I97" s="54"/>
      <c r="J97" s="54"/>
      <c r="K97" s="24"/>
      <c r="L97" s="24"/>
    </row>
    <row r="98" spans="3:12" ht="16.5">
      <c r="C98" s="43">
        <v>48458</v>
      </c>
      <c r="D98" s="32">
        <f>+_xlfn.XLOOKUP(C98,'Cantidades horarias PROD 01 '!E97:E224,'Cantidades horarias PROD 01 '!AF97:AF224)</f>
        <v>3671790.51</v>
      </c>
      <c r="E98" s="29">
        <v>1</v>
      </c>
      <c r="F98" s="32">
        <f t="shared" si="1"/>
        <v>3671790.51</v>
      </c>
      <c r="G98" s="64"/>
      <c r="H98" s="54"/>
      <c r="I98" s="54"/>
      <c r="J98" s="54"/>
      <c r="K98" s="24"/>
      <c r="L98" s="24"/>
    </row>
    <row r="99" spans="3:12" ht="16.5">
      <c r="C99" s="43">
        <v>48488</v>
      </c>
      <c r="D99" s="32">
        <f>+_xlfn.XLOOKUP(C99,'Cantidades horarias PROD 01 '!E98:E225,'Cantidades horarias PROD 01 '!AF98:AF225)</f>
        <v>3370448.87</v>
      </c>
      <c r="E99" s="29">
        <v>1</v>
      </c>
      <c r="F99" s="32">
        <f t="shared" si="1"/>
        <v>3370448.87</v>
      </c>
      <c r="G99" s="64"/>
      <c r="H99" s="54"/>
      <c r="I99" s="54"/>
      <c r="J99" s="54"/>
      <c r="K99" s="24"/>
      <c r="L99" s="24"/>
    </row>
    <row r="100" spans="3:12" ht="16.5">
      <c r="C100" s="43">
        <v>48519</v>
      </c>
      <c r="D100" s="32">
        <f>+_xlfn.XLOOKUP(C100,'Cantidades horarias PROD 01 '!E99:E226,'Cantidades horarias PROD 01 '!AF99:AF226)</f>
        <v>3200754.92</v>
      </c>
      <c r="E100" s="29">
        <v>1</v>
      </c>
      <c r="F100" s="32">
        <f t="shared" si="1"/>
        <v>3200754.92</v>
      </c>
      <c r="G100" s="64"/>
      <c r="H100" s="54"/>
      <c r="I100" s="54"/>
      <c r="J100" s="54"/>
      <c r="K100" s="24"/>
      <c r="L100" s="24"/>
    </row>
    <row r="101" spans="3:12" ht="16.5">
      <c r="C101" s="43">
        <v>48549</v>
      </c>
      <c r="D101" s="32">
        <f>+_xlfn.XLOOKUP(C101,'Cantidades horarias PROD 01 '!E100:E227,'Cantidades horarias PROD 01 '!AF100:AF227)</f>
        <v>3750301.98</v>
      </c>
      <c r="E101" s="29">
        <v>1</v>
      </c>
      <c r="F101" s="32">
        <f t="shared" si="1"/>
        <v>3750301.98</v>
      </c>
      <c r="G101" s="64"/>
      <c r="H101" s="54"/>
      <c r="I101" s="54"/>
      <c r="J101" s="54"/>
      <c r="K101" s="24"/>
      <c r="L101" s="24"/>
    </row>
    <row r="102" spans="3:12" ht="16.5">
      <c r="C102" s="43">
        <v>48580</v>
      </c>
      <c r="D102" s="32">
        <f>+_xlfn.XLOOKUP(C102,'Cantidades horarias PROD 01 '!E101:E228,'Cantidades horarias PROD 01 '!AF101:AF228)</f>
        <v>4330754.53</v>
      </c>
      <c r="E102" s="29">
        <v>1</v>
      </c>
      <c r="F102" s="32">
        <f t="shared" si="1"/>
        <v>4330754.53</v>
      </c>
      <c r="G102" s="64"/>
      <c r="H102" s="54"/>
      <c r="I102" s="54"/>
      <c r="J102" s="54"/>
      <c r="K102" s="24"/>
      <c r="L102" s="24"/>
    </row>
    <row r="103" spans="3:12" ht="16.5">
      <c r="C103" s="43">
        <v>48611</v>
      </c>
      <c r="D103" s="32">
        <f>+_xlfn.XLOOKUP(C103,'Cantidades horarias PROD 01 '!E102:E229,'Cantidades horarias PROD 01 '!AF102:AF229)</f>
        <v>4002053.04</v>
      </c>
      <c r="E103" s="29">
        <v>1</v>
      </c>
      <c r="F103" s="32">
        <f t="shared" si="1"/>
        <v>4002053.04</v>
      </c>
      <c r="G103" s="64"/>
      <c r="H103" s="54"/>
      <c r="I103" s="54"/>
      <c r="J103" s="54"/>
      <c r="K103" s="24"/>
      <c r="L103" s="24"/>
    </row>
    <row r="104" spans="3:12" ht="16.5">
      <c r="C104" s="43">
        <v>48639</v>
      </c>
      <c r="D104" s="32">
        <f>+_xlfn.XLOOKUP(C104,'Cantidades horarias PROD 01 '!E103:E230,'Cantidades horarias PROD 01 '!AF103:AF230)</f>
        <v>4210250.6100000003</v>
      </c>
      <c r="E104" s="29">
        <v>1</v>
      </c>
      <c r="F104" s="32">
        <f t="shared" si="1"/>
        <v>4210250.6100000003</v>
      </c>
      <c r="G104" s="64"/>
      <c r="H104" s="54"/>
      <c r="I104" s="54"/>
      <c r="J104" s="54"/>
      <c r="K104" s="24"/>
      <c r="L104" s="24"/>
    </row>
    <row r="105" spans="3:12" ht="16.5">
      <c r="C105" s="43">
        <v>48670</v>
      </c>
      <c r="D105" s="32">
        <f>+_xlfn.XLOOKUP(C105,'Cantidades horarias PROD 01 '!E104:E231,'Cantidades horarias PROD 01 '!AF104:AF231)</f>
        <v>3698573.57</v>
      </c>
      <c r="E105" s="29">
        <v>1</v>
      </c>
      <c r="F105" s="32">
        <f t="shared" si="1"/>
        <v>3698573.57</v>
      </c>
      <c r="G105" s="64"/>
      <c r="H105" s="54"/>
      <c r="I105" s="54"/>
      <c r="J105" s="54"/>
      <c r="K105" s="24"/>
      <c r="L105" s="24"/>
    </row>
    <row r="106" spans="3:12" ht="16.5">
      <c r="C106" s="43">
        <v>48700</v>
      </c>
      <c r="D106" s="32">
        <f>+_xlfn.XLOOKUP(C106,'Cantidades horarias PROD 01 '!E105:E232,'Cantidades horarias PROD 01 '!AF105:AF232)</f>
        <v>3550284.91</v>
      </c>
      <c r="E106" s="29">
        <v>1</v>
      </c>
      <c r="F106" s="32">
        <f t="shared" si="1"/>
        <v>3550284.91</v>
      </c>
      <c r="G106" s="64"/>
      <c r="H106" s="54"/>
      <c r="I106" s="54"/>
      <c r="J106" s="54"/>
      <c r="K106" s="24"/>
      <c r="L106" s="24"/>
    </row>
    <row r="107" spans="3:12" ht="16.5">
      <c r="C107" s="43">
        <v>48731</v>
      </c>
      <c r="D107" s="32">
        <f>+_xlfn.XLOOKUP(C107,'Cantidades horarias PROD 01 '!E106:E233,'Cantidades horarias PROD 01 '!AF106:AF233)</f>
        <v>3948766.51</v>
      </c>
      <c r="E107" s="29">
        <v>1</v>
      </c>
      <c r="F107" s="32">
        <f t="shared" si="1"/>
        <v>3948766.51</v>
      </c>
      <c r="G107" s="64"/>
      <c r="H107" s="54"/>
      <c r="I107" s="54"/>
      <c r="J107" s="54"/>
      <c r="K107" s="24"/>
      <c r="L107" s="24"/>
    </row>
    <row r="108" spans="3:12" ht="16.5">
      <c r="C108" s="43">
        <v>48761</v>
      </c>
      <c r="D108" s="32">
        <f>+_xlfn.XLOOKUP(C108,'Cantidades horarias PROD 01 '!E107:E234,'Cantidades horarias PROD 01 '!AF107:AF234)</f>
        <v>4075288.14</v>
      </c>
      <c r="E108" s="29">
        <v>1</v>
      </c>
      <c r="F108" s="32">
        <f t="shared" si="1"/>
        <v>4075288.14</v>
      </c>
      <c r="G108" s="64"/>
      <c r="H108" s="54"/>
      <c r="I108" s="54"/>
      <c r="J108" s="54"/>
      <c r="K108" s="24"/>
      <c r="L108" s="24"/>
    </row>
    <row r="109" spans="3:12" ht="16.5">
      <c r="C109" s="43">
        <v>48792</v>
      </c>
      <c r="D109" s="32">
        <f>+_xlfn.XLOOKUP(C109,'Cantidades horarias PROD 01 '!E108:E235,'Cantidades horarias PROD 01 '!AF108:AF235)</f>
        <v>3900027.84</v>
      </c>
      <c r="E109" s="29">
        <v>1</v>
      </c>
      <c r="F109" s="32">
        <f t="shared" si="1"/>
        <v>3900027.84</v>
      </c>
      <c r="G109" s="64"/>
      <c r="H109" s="54"/>
      <c r="I109" s="54"/>
      <c r="J109" s="54"/>
      <c r="K109" s="24"/>
      <c r="L109" s="24"/>
    </row>
    <row r="110" spans="3:12" ht="16.5">
      <c r="C110" s="43">
        <v>48823</v>
      </c>
      <c r="D110" s="32">
        <f>+_xlfn.XLOOKUP(C110,'Cantidades horarias PROD 01 '!E109:E236,'Cantidades horarias PROD 01 '!AF109:AF236)</f>
        <v>3657103.34</v>
      </c>
      <c r="E110" s="29">
        <v>1</v>
      </c>
      <c r="F110" s="32">
        <f t="shared" si="1"/>
        <v>3657103.34</v>
      </c>
      <c r="G110" s="64"/>
      <c r="H110" s="54"/>
      <c r="I110" s="54"/>
      <c r="J110" s="54"/>
      <c r="K110" s="24"/>
      <c r="L110" s="24"/>
    </row>
    <row r="111" spans="3:12" ht="16.5">
      <c r="C111" s="43">
        <v>48853</v>
      </c>
      <c r="D111" s="32">
        <f>+_xlfn.XLOOKUP(C111,'Cantidades horarias PROD 01 '!E110:E237,'Cantidades horarias PROD 01 '!AF110:AF237)</f>
        <v>3356967.08</v>
      </c>
      <c r="E111" s="29">
        <v>1</v>
      </c>
      <c r="F111" s="32">
        <f t="shared" si="1"/>
        <v>3356967.08</v>
      </c>
      <c r="G111" s="64"/>
      <c r="H111" s="54"/>
      <c r="I111" s="54"/>
      <c r="J111" s="54"/>
      <c r="K111" s="24"/>
      <c r="L111" s="24"/>
    </row>
    <row r="112" spans="3:12" ht="16.5">
      <c r="C112" s="43">
        <v>48884</v>
      </c>
      <c r="D112" s="32">
        <f>+_xlfn.XLOOKUP(C112,'Cantidades horarias PROD 01 '!E111:E238,'Cantidades horarias PROD 01 '!AF111:AF238)</f>
        <v>3187951.9</v>
      </c>
      <c r="E112" s="29">
        <v>1</v>
      </c>
      <c r="F112" s="32">
        <f t="shared" si="1"/>
        <v>3187951.9</v>
      </c>
      <c r="G112" s="64"/>
      <c r="H112" s="54"/>
      <c r="I112" s="54"/>
      <c r="J112" s="54"/>
      <c r="K112" s="24"/>
      <c r="L112" s="24"/>
    </row>
    <row r="113" spans="3:12" ht="16.5">
      <c r="C113" s="43">
        <v>48914</v>
      </c>
      <c r="D113" s="32">
        <f>+_xlfn.XLOOKUP(C113,'Cantidades horarias PROD 01 '!E112:E239,'Cantidades horarias PROD 01 '!AF112:AF239)</f>
        <v>3735300.77</v>
      </c>
      <c r="E113" s="29">
        <v>1</v>
      </c>
      <c r="F113" s="32">
        <f t="shared" si="1"/>
        <v>3735300.77</v>
      </c>
      <c r="G113" s="64"/>
      <c r="H113" s="54"/>
      <c r="I113" s="54"/>
      <c r="J113" s="54"/>
      <c r="K113" s="24"/>
      <c r="L113" s="24"/>
    </row>
    <row r="114" spans="3:12" ht="16.5">
      <c r="C114" s="43">
        <v>48945</v>
      </c>
      <c r="D114" s="32">
        <f>+_xlfn.XLOOKUP(C114,'Cantidades horarias PROD 01 '!E113:E240,'Cantidades horarias PROD 01 '!AF113:AF240)</f>
        <v>4313431.51</v>
      </c>
      <c r="E114" s="29">
        <v>1</v>
      </c>
      <c r="F114" s="32">
        <f t="shared" si="1"/>
        <v>4313431.51</v>
      </c>
      <c r="G114" s="64"/>
      <c r="H114" s="54"/>
      <c r="I114" s="54"/>
      <c r="J114" s="54"/>
      <c r="K114" s="24"/>
      <c r="L114" s="24"/>
    </row>
    <row r="115" spans="3:12" ht="16.5">
      <c r="C115" s="43">
        <v>48976</v>
      </c>
      <c r="D115" s="32">
        <f>+_xlfn.XLOOKUP(C115,'Cantidades horarias PROD 01 '!E114:E241,'Cantidades horarias PROD 01 '!AF114:AF241)</f>
        <v>3986044.83</v>
      </c>
      <c r="E115" s="29">
        <v>1</v>
      </c>
      <c r="F115" s="32">
        <f t="shared" si="1"/>
        <v>3986044.83</v>
      </c>
      <c r="G115" s="64"/>
      <c r="H115" s="54"/>
      <c r="I115" s="54"/>
      <c r="J115" s="54"/>
      <c r="K115" s="24"/>
      <c r="L115" s="24"/>
    </row>
    <row r="116" spans="3:12" ht="16.5">
      <c r="C116" s="43">
        <v>49004</v>
      </c>
      <c r="D116" s="32">
        <f>+_xlfn.XLOOKUP(C116,'Cantidades horarias PROD 01 '!E115:E242,'Cantidades horarias PROD 01 '!AF115:AF242)</f>
        <v>4193409.61</v>
      </c>
      <c r="E116" s="29">
        <v>1</v>
      </c>
      <c r="F116" s="32">
        <f t="shared" si="1"/>
        <v>4193409.61</v>
      </c>
      <c r="G116" s="64"/>
      <c r="H116" s="54"/>
      <c r="I116" s="54"/>
      <c r="J116" s="54"/>
      <c r="K116" s="24"/>
      <c r="L116" s="24"/>
    </row>
    <row r="117" spans="3:12" ht="16.5">
      <c r="C117" s="43">
        <v>49035</v>
      </c>
      <c r="D117" s="32">
        <f>+_xlfn.XLOOKUP(C117,'Cantidades horarias PROD 01 '!E116:E243,'Cantidades horarias PROD 01 '!AF116:AF243)</f>
        <v>3683779.27</v>
      </c>
      <c r="E117" s="29">
        <v>1</v>
      </c>
      <c r="F117" s="32">
        <f t="shared" si="1"/>
        <v>3683779.27</v>
      </c>
      <c r="G117" s="64"/>
      <c r="H117" s="54"/>
      <c r="I117" s="54"/>
      <c r="J117" s="54"/>
      <c r="K117" s="24"/>
      <c r="L117" s="24"/>
    </row>
    <row r="118" spans="3:12" ht="16.5">
      <c r="C118" s="43">
        <v>49065</v>
      </c>
      <c r="D118" s="32">
        <f>+_xlfn.XLOOKUP(C118,'Cantidades horarias PROD 01 '!E117:E244,'Cantidades horarias PROD 01 '!AF117:AF244)</f>
        <v>3536083.77</v>
      </c>
      <c r="E118" s="29">
        <v>1</v>
      </c>
      <c r="F118" s="32">
        <f t="shared" si="1"/>
        <v>3536083.77</v>
      </c>
      <c r="G118" s="64"/>
      <c r="H118" s="54"/>
      <c r="I118" s="54"/>
      <c r="J118" s="54"/>
      <c r="K118" s="24"/>
      <c r="L118" s="24"/>
    </row>
    <row r="119" spans="3:12" ht="16.5">
      <c r="C119" s="43">
        <v>49096</v>
      </c>
      <c r="D119" s="32">
        <f>+_xlfn.XLOOKUP(C119,'Cantidades horarias PROD 01 '!E118:E245,'Cantidades horarias PROD 01 '!AF118:AF245)</f>
        <v>3932971.44</v>
      </c>
      <c r="E119" s="29">
        <v>1</v>
      </c>
      <c r="F119" s="32">
        <f t="shared" si="1"/>
        <v>3932971.44</v>
      </c>
      <c r="G119" s="64"/>
      <c r="H119" s="54"/>
      <c r="I119" s="54"/>
      <c r="J119" s="54"/>
      <c r="K119" s="24"/>
      <c r="L119" s="24"/>
    </row>
    <row r="120" spans="3:12" ht="16.5">
      <c r="C120" s="43">
        <v>49126</v>
      </c>
      <c r="D120" s="32">
        <f>+_xlfn.XLOOKUP(C120,'Cantidades horarias PROD 01 '!E119:E246,'Cantidades horarias PROD 01 '!AF119:AF246)</f>
        <v>4058986.99</v>
      </c>
      <c r="E120" s="29">
        <v>1</v>
      </c>
      <c r="F120" s="32">
        <f t="shared" si="1"/>
        <v>4058986.99</v>
      </c>
      <c r="G120" s="64"/>
      <c r="H120" s="54"/>
      <c r="I120" s="54"/>
      <c r="J120" s="54"/>
      <c r="K120" s="24"/>
      <c r="L120" s="24"/>
    </row>
    <row r="121" spans="3:12" ht="16.5">
      <c r="C121" s="43">
        <v>49157</v>
      </c>
      <c r="D121" s="32">
        <f>+_xlfn.XLOOKUP(C121,'Cantidades horarias PROD 01 '!E120:E247,'Cantidades horarias PROD 01 '!AF120:AF247)</f>
        <v>3884427.73</v>
      </c>
      <c r="E121" s="29">
        <v>1</v>
      </c>
      <c r="F121" s="32">
        <f t="shared" si="1"/>
        <v>3884427.73</v>
      </c>
      <c r="G121" s="64"/>
      <c r="H121" s="54"/>
      <c r="I121" s="54"/>
      <c r="J121" s="54"/>
      <c r="K121" s="24"/>
      <c r="L121" s="24"/>
    </row>
    <row r="122" spans="3:12" ht="16.5">
      <c r="C122" s="43">
        <v>49188</v>
      </c>
      <c r="D122" s="32">
        <f>+_xlfn.XLOOKUP(C122,'Cantidades horarias PROD 01 '!E121:E248,'Cantidades horarias PROD 01 '!AF121:AF248)</f>
        <v>3642474.93</v>
      </c>
      <c r="E122" s="29">
        <v>1</v>
      </c>
      <c r="F122" s="32">
        <f t="shared" si="1"/>
        <v>3642474.93</v>
      </c>
      <c r="G122" s="64"/>
      <c r="H122" s="54"/>
      <c r="I122" s="54"/>
      <c r="J122" s="54"/>
      <c r="K122" s="24"/>
      <c r="L122" s="24"/>
    </row>
    <row r="123" spans="3:12" ht="16.5">
      <c r="C123" s="43">
        <v>49218</v>
      </c>
      <c r="D123" s="32">
        <f>+_xlfn.XLOOKUP(C123,'Cantidades horarias PROD 01 '!E122:E249,'Cantidades horarias PROD 01 '!AF122:AF249)</f>
        <v>3343539.21</v>
      </c>
      <c r="E123" s="29">
        <v>1</v>
      </c>
      <c r="F123" s="32">
        <f t="shared" si="1"/>
        <v>3343539.21</v>
      </c>
      <c r="G123" s="64"/>
      <c r="H123" s="54"/>
      <c r="I123" s="54"/>
      <c r="J123" s="54"/>
      <c r="K123" s="24"/>
      <c r="L123" s="24"/>
    </row>
    <row r="124" spans="3:12" ht="16.5">
      <c r="C124" s="43">
        <v>49249</v>
      </c>
      <c r="D124" s="32">
        <f>+_xlfn.XLOOKUP(C124,'Cantidades horarias PROD 01 '!E123:E250,'Cantidades horarias PROD 01 '!AF123:AF250)</f>
        <v>3175200.09</v>
      </c>
      <c r="E124" s="29">
        <v>1</v>
      </c>
      <c r="F124" s="32">
        <f t="shared" si="1"/>
        <v>3175200.09</v>
      </c>
      <c r="G124" s="64"/>
      <c r="H124" s="54"/>
      <c r="I124" s="54"/>
      <c r="J124" s="54"/>
      <c r="K124" s="24"/>
      <c r="L124" s="24"/>
    </row>
    <row r="125" spans="3:12" ht="16.5">
      <c r="C125" s="43">
        <v>49279</v>
      </c>
      <c r="D125" s="32">
        <f>+_xlfn.XLOOKUP(C125,'Cantidades horarias PROD 01 '!E124:E251,'Cantidades horarias PROD 01 '!AF124:AF251)</f>
        <v>3720359.56</v>
      </c>
      <c r="E125" s="29">
        <v>1</v>
      </c>
      <c r="F125" s="32">
        <f t="shared" si="1"/>
        <v>3720359.56</v>
      </c>
      <c r="G125" s="64"/>
      <c r="H125" s="54"/>
      <c r="I125" s="54"/>
      <c r="J125" s="54"/>
      <c r="K125" s="24"/>
      <c r="L125" s="24"/>
    </row>
    <row r="126" spans="3:12" ht="16.5">
      <c r="C126" s="43">
        <v>49310</v>
      </c>
      <c r="D126" s="32">
        <f>+_xlfn.XLOOKUP(C126,'Cantidades horarias PROD 01 '!E125:E252,'Cantidades horarias PROD 01 '!AF125:AF252)</f>
        <v>4296177.78</v>
      </c>
      <c r="E126" s="29">
        <v>1</v>
      </c>
      <c r="F126" s="32">
        <f t="shared" ref="F126:F137" si="2">ROUND(D126*$E126,2)</f>
        <v>4296177.78</v>
      </c>
      <c r="G126" s="64"/>
      <c r="H126" s="54"/>
      <c r="I126" s="54"/>
      <c r="J126" s="54"/>
      <c r="K126" s="24"/>
      <c r="L126" s="24"/>
    </row>
    <row r="127" spans="3:12" ht="16.5">
      <c r="C127" s="43">
        <v>49341</v>
      </c>
      <c r="D127" s="32">
        <f>+_xlfn.XLOOKUP(C127,'Cantidades horarias PROD 01 '!E126:E253,'Cantidades horarias PROD 01 '!AF126:AF253)</f>
        <v>3970100.65</v>
      </c>
      <c r="E127" s="29">
        <v>1</v>
      </c>
      <c r="F127" s="32">
        <f t="shared" si="2"/>
        <v>3970100.65</v>
      </c>
      <c r="G127" s="64"/>
      <c r="H127" s="54"/>
      <c r="I127" s="54"/>
      <c r="J127" s="54"/>
      <c r="K127" s="24"/>
      <c r="L127" s="24"/>
    </row>
    <row r="128" spans="3:12" ht="16.5">
      <c r="C128" s="43">
        <v>49369</v>
      </c>
      <c r="D128" s="32">
        <f>+_xlfn.XLOOKUP(C128,'Cantidades horarias PROD 01 '!E127:E254,'Cantidades horarias PROD 01 '!AF127:AF254)</f>
        <v>4176635.97</v>
      </c>
      <c r="E128" s="29">
        <v>1</v>
      </c>
      <c r="F128" s="32">
        <f t="shared" si="2"/>
        <v>4176635.97</v>
      </c>
      <c r="G128" s="64"/>
      <c r="H128" s="54"/>
      <c r="I128" s="54"/>
      <c r="J128" s="54"/>
      <c r="K128" s="24"/>
      <c r="L128" s="24"/>
    </row>
    <row r="129" spans="3:12" ht="16.5">
      <c r="C129" s="43">
        <v>49400</v>
      </c>
      <c r="D129" s="32">
        <f>+_xlfn.XLOOKUP(C129,'Cantidades horarias PROD 01 '!E128:E255,'Cantidades horarias PROD 01 '!AF128:AF255)</f>
        <v>3669044.15</v>
      </c>
      <c r="E129" s="29">
        <v>1</v>
      </c>
      <c r="F129" s="32">
        <f t="shared" si="2"/>
        <v>3669044.15</v>
      </c>
      <c r="G129" s="64"/>
      <c r="H129" s="54"/>
      <c r="I129" s="54"/>
      <c r="J129" s="54"/>
      <c r="K129" s="24"/>
      <c r="L129" s="24"/>
    </row>
    <row r="130" spans="3:12" ht="16.5">
      <c r="C130" s="43">
        <v>49430</v>
      </c>
      <c r="D130" s="32">
        <f>+_xlfn.XLOOKUP(C130,'Cantidades horarias PROD 01 '!E129:E256,'Cantidades horarias PROD 01 '!AF129:AF256)</f>
        <v>3521939.44</v>
      </c>
      <c r="E130" s="29">
        <v>1</v>
      </c>
      <c r="F130" s="32">
        <f t="shared" si="2"/>
        <v>3521939.44</v>
      </c>
      <c r="G130" s="64"/>
      <c r="H130" s="54"/>
      <c r="I130" s="54"/>
      <c r="J130" s="54"/>
      <c r="K130" s="24"/>
      <c r="L130" s="24"/>
    </row>
    <row r="131" spans="3:12" ht="16.5">
      <c r="C131" s="43">
        <v>49461</v>
      </c>
      <c r="D131" s="32">
        <f>+_xlfn.XLOOKUP(C131,'Cantidades horarias PROD 01 '!E130:E257,'Cantidades horarias PROD 01 '!AF130:AF257)</f>
        <v>3917239.56</v>
      </c>
      <c r="E131" s="29">
        <v>1</v>
      </c>
      <c r="F131" s="32">
        <f t="shared" si="2"/>
        <v>3917239.56</v>
      </c>
      <c r="G131" s="64"/>
      <c r="H131" s="54"/>
      <c r="I131" s="54"/>
      <c r="J131" s="54"/>
      <c r="K131" s="24"/>
      <c r="L131" s="24"/>
    </row>
    <row r="132" spans="3:12" ht="16.5">
      <c r="C132" s="43">
        <v>49491</v>
      </c>
      <c r="D132" s="32">
        <f>+_xlfn.XLOOKUP(C132,'Cantidades horarias PROD 01 '!E131:E258,'Cantidades horarias PROD 01 '!AF131:AF258)</f>
        <v>4042751.04</v>
      </c>
      <c r="E132" s="29">
        <v>1</v>
      </c>
      <c r="F132" s="32">
        <f t="shared" si="2"/>
        <v>4042751.04</v>
      </c>
      <c r="G132" s="64"/>
      <c r="H132" s="54"/>
      <c r="I132" s="54"/>
      <c r="J132" s="54"/>
      <c r="K132" s="24"/>
      <c r="L132" s="24"/>
    </row>
    <row r="133" spans="3:12" ht="16.5">
      <c r="C133" s="43">
        <v>49522</v>
      </c>
      <c r="D133" s="32">
        <f>+_xlfn.XLOOKUP(C133,'Cantidades horarias PROD 01 '!E132:E259,'Cantidades horarias PROD 01 '!AF132:AF259)</f>
        <v>3868890.02</v>
      </c>
      <c r="E133" s="29">
        <v>1</v>
      </c>
      <c r="F133" s="32">
        <f t="shared" si="2"/>
        <v>3868890.02</v>
      </c>
      <c r="G133" s="64"/>
      <c r="H133" s="54"/>
      <c r="I133" s="54"/>
      <c r="J133" s="54"/>
      <c r="K133" s="24"/>
      <c r="L133" s="24"/>
    </row>
    <row r="134" spans="3:12" ht="16.5">
      <c r="C134" s="43">
        <v>49553</v>
      </c>
      <c r="D134" s="32">
        <f>+_xlfn.XLOOKUP(C134,'Cantidades horarias PROD 01 '!E133:E260,'Cantidades horarias PROD 01 '!AF133:AF260)</f>
        <v>3627905.03</v>
      </c>
      <c r="E134" s="29">
        <v>1</v>
      </c>
      <c r="F134" s="32">
        <f t="shared" si="2"/>
        <v>3627905.03</v>
      </c>
      <c r="G134" s="64"/>
      <c r="H134" s="54"/>
      <c r="I134" s="54"/>
      <c r="J134" s="54"/>
      <c r="K134" s="24"/>
      <c r="L134" s="24"/>
    </row>
    <row r="135" spans="3:12" ht="16.5">
      <c r="C135" s="43">
        <v>49583</v>
      </c>
      <c r="D135" s="32">
        <f>+_xlfn.XLOOKUP(C135,'Cantidades horarias PROD 01 '!E134:E261,'Cantidades horarias PROD 01 '!AF134:AF261)</f>
        <v>3330165.05</v>
      </c>
      <c r="E135" s="29">
        <v>1</v>
      </c>
      <c r="F135" s="32">
        <f t="shared" si="2"/>
        <v>3330165.05</v>
      </c>
      <c r="G135" s="64"/>
      <c r="H135" s="54"/>
      <c r="I135" s="54"/>
      <c r="J135" s="54"/>
      <c r="K135" s="24"/>
      <c r="L135" s="24"/>
    </row>
    <row r="136" spans="3:12" ht="16.5">
      <c r="C136" s="43">
        <v>49614</v>
      </c>
      <c r="D136" s="32">
        <f>+_xlfn.XLOOKUP(C136,'Cantidades horarias PROD 01 '!E135:E262,'Cantidades horarias PROD 01 '!AF135:AF262)</f>
        <v>3162499.29</v>
      </c>
      <c r="E136" s="29">
        <v>1</v>
      </c>
      <c r="F136" s="32">
        <f t="shared" si="2"/>
        <v>3162499.29</v>
      </c>
      <c r="G136" s="64"/>
      <c r="H136" s="54"/>
      <c r="I136" s="54"/>
      <c r="J136" s="54"/>
      <c r="K136" s="24"/>
      <c r="L136" s="24"/>
    </row>
    <row r="137" spans="3:12" ht="17" thickBot="1">
      <c r="C137" s="43">
        <v>49644</v>
      </c>
      <c r="D137" s="32">
        <f>+_xlfn.XLOOKUP(C137,'Cantidades horarias PROD 01 '!E136:E263,'Cantidades horarias PROD 01 '!AF136:AF263)</f>
        <v>3705478.13</v>
      </c>
      <c r="E137" s="29">
        <v>1</v>
      </c>
      <c r="F137" s="32">
        <f t="shared" si="2"/>
        <v>3705478.13</v>
      </c>
      <c r="G137" s="64"/>
      <c r="H137" s="54"/>
      <c r="I137" s="54"/>
      <c r="J137" s="54"/>
      <c r="K137" s="24"/>
      <c r="L137" s="24"/>
    </row>
    <row r="138" spans="3:12" ht="17" thickBot="1">
      <c r="C138" s="39" t="s">
        <v>10</v>
      </c>
      <c r="D138" s="40">
        <f>SUM(D10:D137)</f>
        <v>441938937.25999975</v>
      </c>
      <c r="E138" s="41">
        <f>IFERROR(F138/D138,0)</f>
        <v>1</v>
      </c>
      <c r="F138" s="40">
        <f>SUM(F10:F137)</f>
        <v>441938937.25999975</v>
      </c>
      <c r="G138" s="59">
        <f>+(SUM(F10:F17)*G10+SUM(F18:F29)*G18+SUM(F30:F41)*G30+SUM(F42:F53)*G42+SUM(F54:F65)*G54+SUM(F66:F77)*G66+SUM(F78:F89)*G78+SUM(F90:F101)*G90+SUM(F102:F113)*G102+SUM(F114:F125)*G114+SUM(F126:F137)*G126)/F138</f>
        <v>0</v>
      </c>
      <c r="H138" s="54"/>
      <c r="I138" s="54"/>
      <c r="J138" s="54"/>
      <c r="K138" s="24"/>
      <c r="L138" s="24"/>
    </row>
    <row r="139" spans="3:12" ht="16.5">
      <c r="C139" s="60"/>
      <c r="D139" s="31"/>
      <c r="E139" s="33"/>
      <c r="F139" s="31"/>
      <c r="G139" s="61"/>
      <c r="H139" s="54"/>
      <c r="I139" s="54"/>
      <c r="J139" s="54"/>
      <c r="K139" s="24"/>
      <c r="L139" s="24"/>
    </row>
    <row r="140" spans="3:12" ht="16.5">
      <c r="C140" s="60"/>
      <c r="D140" s="31"/>
      <c r="E140" s="33"/>
      <c r="F140" s="31"/>
      <c r="G140" s="61"/>
      <c r="H140" s="54"/>
      <c r="I140" s="54"/>
      <c r="J140" s="54"/>
      <c r="K140" s="24"/>
      <c r="L140" s="24"/>
    </row>
    <row r="141" spans="3:12" ht="16.5">
      <c r="C141" s="27" t="s">
        <v>11</v>
      </c>
      <c r="D141" s="26"/>
      <c r="E141" s="26"/>
      <c r="F141" s="26"/>
      <c r="G141" s="26"/>
      <c r="H141" s="26"/>
      <c r="I141" s="25"/>
      <c r="J141" s="25"/>
    </row>
    <row r="142" spans="3:12" ht="16.5">
      <c r="C142" s="28" t="s">
        <v>57</v>
      </c>
      <c r="D142" s="26"/>
      <c r="E142" s="26"/>
      <c r="F142" s="26"/>
      <c r="G142" s="26"/>
      <c r="H142" s="26"/>
      <c r="I142" s="25"/>
      <c r="J142" s="25"/>
    </row>
    <row r="143" spans="3:12" ht="16.5">
      <c r="C143" s="28" t="s">
        <v>12</v>
      </c>
      <c r="I143" s="25"/>
      <c r="J143" s="25"/>
    </row>
    <row r="144" spans="3:12" ht="16.5">
      <c r="C144" s="63"/>
      <c r="D144" s="63"/>
      <c r="E144" s="63"/>
      <c r="F144" s="63"/>
      <c r="G144" s="63"/>
      <c r="H144" s="25"/>
      <c r="I144" s="25"/>
      <c r="J144" s="25"/>
    </row>
    <row r="145" spans="3:8" ht="16.5">
      <c r="C145" s="63"/>
      <c r="D145" s="63"/>
      <c r="E145" s="63"/>
      <c r="F145" s="63"/>
      <c r="G145" s="63"/>
    </row>
    <row r="146" spans="3:8" ht="16.5">
      <c r="C146"/>
      <c r="D146"/>
      <c r="E146"/>
      <c r="F146" s="44"/>
      <c r="G146" s="44"/>
    </row>
    <row r="147" spans="3:8" ht="15" customHeight="1">
      <c r="C147" s="45" t="s">
        <v>13</v>
      </c>
      <c r="D147"/>
      <c r="E147"/>
      <c r="F147" s="34"/>
      <c r="G147" s="34"/>
    </row>
    <row r="148" spans="3:8" ht="15" customHeight="1">
      <c r="C148" s="22" t="s">
        <v>14</v>
      </c>
      <c r="D148"/>
      <c r="E148"/>
      <c r="F148" s="34"/>
      <c r="G148" s="34"/>
    </row>
    <row r="149" spans="3:8" ht="16.5">
      <c r="C149" s="22" t="s">
        <v>15</v>
      </c>
      <c r="D149"/>
      <c r="E149"/>
    </row>
    <row r="150" spans="3:8" ht="16.5">
      <c r="C150"/>
      <c r="D150"/>
      <c r="E150"/>
      <c r="G150" s="22"/>
      <c r="H150" s="22"/>
    </row>
  </sheetData>
  <sheetProtection selectLockedCells="1"/>
  <protectedRanges>
    <protectedRange algorithmName="SHA-512" hashValue="ae/Js8yeMw6wHjGREqu83BjAYnjwv1NHxpvnTe57rDwDMNDPGlnZwgp89HjM7G0cg/2ItV/6+CjQlsfmX7La6g==" saltValue="fv5wd7mgDmwpGOJN+Z7vlA==" spinCount="100000" sqref="C9:D9 C10:E137" name="Rango1"/>
    <protectedRange algorithmName="SHA-512" hashValue="ae/Js8yeMw6wHjGREqu83BjAYnjwv1NHxpvnTe57rDwDMNDPGlnZwgp89HjM7G0cg/2ItV/6+CjQlsfmX7La6g==" saltValue="fv5wd7mgDmwpGOJN+Z7vlA==" spinCount="100000" sqref="G10:G137" name="Rango1_1_1"/>
    <protectedRange algorithmName="SHA-512" hashValue="ae/Js8yeMw6wHjGREqu83BjAYnjwv1NHxpvnTe57rDwDMNDPGlnZwgp89HjM7G0cg/2ItV/6+CjQlsfmX7La6g==" saltValue="fv5wd7mgDmwpGOJN+Z7vlA==" spinCount="100000" sqref="F9:G9" name="Rango1_1"/>
    <protectedRange algorithmName="SHA-512" hashValue="ae/Js8yeMw6wHjGREqu83BjAYnjwv1NHxpvnTe57rDwDMNDPGlnZwgp89HjM7G0cg/2ItV/6+CjQlsfmX7La6g==" saltValue="fv5wd7mgDmwpGOJN+Z7vlA==" spinCount="100000" sqref="E9" name="Rango1_2"/>
  </protectedRanges>
  <mergeCells count="14">
    <mergeCell ref="C1:G1"/>
    <mergeCell ref="C2:G2"/>
    <mergeCell ref="C144:G145"/>
    <mergeCell ref="G126:G137"/>
    <mergeCell ref="G10:G17"/>
    <mergeCell ref="G18:G29"/>
    <mergeCell ref="G30:G41"/>
    <mergeCell ref="G42:G53"/>
    <mergeCell ref="G54:G65"/>
    <mergeCell ref="G66:G77"/>
    <mergeCell ref="G78:G89"/>
    <mergeCell ref="G90:G101"/>
    <mergeCell ref="G102:G113"/>
    <mergeCell ref="G114:G125"/>
  </mergeCells>
  <dataValidations count="1">
    <dataValidation type="textLength" allowBlank="1" showInputMessage="1" showErrorMessage="1" errorTitle="SOLO 2 DECIMALES" error="Por favor introduzca un valor con maximo 2 decimales" sqref="E10:E137" xr:uid="{6A66CF97-9A7E-4BBE-BD28-41B448E78296}">
      <formula1>1</formula1>
      <formula2>6</formula2>
    </dataValidation>
  </dataValidations>
  <printOptions horizontalCentered="1" verticalCentered="1"/>
  <pageMargins left="0.74803149606299213" right="0.27559055118110237" top="1.5748031496062993" bottom="1.3779527559055118" header="0" footer="0"/>
  <pageSetup scale="82" fitToHeight="0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D9944-F70D-47F8-A535-0E42E8324C87}">
  <dimension ref="A1:AF136"/>
  <sheetViews>
    <sheetView showGridLines="0" tabSelected="1" topLeftCell="A97" zoomScale="84" zoomScaleNormal="84" workbookViewId="0">
      <selection activeCell="AH118" sqref="AH118"/>
    </sheetView>
  </sheetViews>
  <sheetFormatPr baseColWidth="10" defaultColWidth="11.453125" defaultRowHeight="12.5"/>
  <cols>
    <col min="4" max="4" width="3.1796875" customWidth="1"/>
    <col min="6" max="6" width="14.453125" bestFit="1" customWidth="1"/>
    <col min="8" max="31" width="11.81640625" bestFit="1" customWidth="1"/>
    <col min="32" max="32" width="14.453125" bestFit="1" customWidth="1"/>
    <col min="33" max="33" width="2.1796875" customWidth="1"/>
  </cols>
  <sheetData>
    <row r="1" spans="1:32" ht="23">
      <c r="E1" s="65" t="s">
        <v>16</v>
      </c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</row>
    <row r="2" spans="1:32" ht="23">
      <c r="E2" s="65" t="s">
        <v>17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</row>
    <row r="3" spans="1:32" ht="23">
      <c r="E3" s="65" t="s">
        <v>3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5"/>
      <c r="AE3" s="65"/>
      <c r="AF3" s="65"/>
    </row>
    <row r="4" spans="1:32" ht="23"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</row>
    <row r="5" spans="1:32" ht="23">
      <c r="E5" s="65" t="s">
        <v>4</v>
      </c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</row>
    <row r="6" spans="1:32" ht="23">
      <c r="E6" s="46"/>
      <c r="F6" s="47"/>
      <c r="G6" s="48"/>
      <c r="H6" s="51"/>
      <c r="I6" s="51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47"/>
    </row>
    <row r="7" spans="1:32" ht="14.5" thickBot="1">
      <c r="E7" s="49"/>
      <c r="F7" s="49"/>
      <c r="G7" s="58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49"/>
    </row>
    <row r="8" spans="1:32" ht="28.5" thickBot="1">
      <c r="E8" s="8"/>
      <c r="F8" s="9" t="s">
        <v>18</v>
      </c>
      <c r="G8" s="10" t="s">
        <v>19</v>
      </c>
      <c r="H8" s="11" t="s">
        <v>20</v>
      </c>
      <c r="I8" s="12" t="s">
        <v>21</v>
      </c>
      <c r="J8" s="12" t="s">
        <v>22</v>
      </c>
      <c r="K8" s="12" t="s">
        <v>23</v>
      </c>
      <c r="L8" s="12" t="s">
        <v>24</v>
      </c>
      <c r="M8" s="12" t="s">
        <v>25</v>
      </c>
      <c r="N8" s="12" t="s">
        <v>26</v>
      </c>
      <c r="O8" s="12" t="s">
        <v>27</v>
      </c>
      <c r="P8" s="12" t="s">
        <v>28</v>
      </c>
      <c r="Q8" s="12" t="s">
        <v>29</v>
      </c>
      <c r="R8" s="12" t="s">
        <v>30</v>
      </c>
      <c r="S8" s="12" t="s">
        <v>31</v>
      </c>
      <c r="T8" s="12" t="s">
        <v>32</v>
      </c>
      <c r="U8" s="12" t="s">
        <v>33</v>
      </c>
      <c r="V8" s="12" t="s">
        <v>34</v>
      </c>
      <c r="W8" s="12" t="s">
        <v>35</v>
      </c>
      <c r="X8" s="12" t="s">
        <v>36</v>
      </c>
      <c r="Y8" s="12" t="s">
        <v>37</v>
      </c>
      <c r="Z8" s="12" t="s">
        <v>38</v>
      </c>
      <c r="AA8" s="12" t="s">
        <v>39</v>
      </c>
      <c r="AB8" s="12" t="s">
        <v>40</v>
      </c>
      <c r="AC8" s="12" t="s">
        <v>41</v>
      </c>
      <c r="AD8" s="12" t="s">
        <v>42</v>
      </c>
      <c r="AE8" s="13" t="s">
        <v>43</v>
      </c>
      <c r="AF8" s="14" t="s">
        <v>10</v>
      </c>
    </row>
    <row r="9" spans="1:32" ht="14.5" thickBot="1">
      <c r="A9" s="50"/>
      <c r="E9" s="57">
        <v>45778</v>
      </c>
      <c r="F9" s="56">
        <f>+_xlfn.XLOOKUP(E9,'PRODUCTO 01'!$C$10:$C$137,'PRODUCTO 01'!$F$10:$F$137)</f>
        <v>1893699.13</v>
      </c>
      <c r="G9" s="36">
        <v>31</v>
      </c>
      <c r="H9" s="37">
        <v>0</v>
      </c>
      <c r="I9" s="37">
        <v>0</v>
      </c>
      <c r="J9" s="37">
        <v>0</v>
      </c>
      <c r="K9" s="37">
        <v>0</v>
      </c>
      <c r="L9" s="37">
        <v>0</v>
      </c>
      <c r="M9" s="37">
        <v>21.51920828275161</v>
      </c>
      <c r="N9" s="37">
        <v>959.01112447855303</v>
      </c>
      <c r="O9" s="37">
        <v>3300.9176171576032</v>
      </c>
      <c r="P9" s="37">
        <v>5770.5311203636129</v>
      </c>
      <c r="Q9" s="37">
        <v>7892.2842490335934</v>
      </c>
      <c r="R9" s="37">
        <v>8458.8319955775805</v>
      </c>
      <c r="S9" s="37">
        <v>7891.1379345467731</v>
      </c>
      <c r="T9" s="37">
        <v>7741.1664371447323</v>
      </c>
      <c r="U9" s="37">
        <v>6854.0725379485339</v>
      </c>
      <c r="V9" s="37">
        <v>5355.7437367425518</v>
      </c>
      <c r="W9" s="37">
        <v>3759.8386850180236</v>
      </c>
      <c r="X9" s="37">
        <v>2300.6174204923936</v>
      </c>
      <c r="Y9" s="37">
        <v>770.15916422518478</v>
      </c>
      <c r="Z9" s="37">
        <v>11.237341860274968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8">
        <f t="shared" ref="AF9" si="0">ROUND(SUM(H9:AE9)*G9,2)</f>
        <v>1893699.13</v>
      </c>
    </row>
    <row r="10" spans="1:32" ht="14.5" thickBot="1">
      <c r="A10" s="50"/>
      <c r="E10" s="57">
        <v>45809</v>
      </c>
      <c r="F10" s="56">
        <f>+_xlfn.XLOOKUP(E10,'PRODUCTO 01'!$C$10:$C$137,'PRODUCTO 01'!$F$10:$F$137)</f>
        <v>2107364.34</v>
      </c>
      <c r="G10" s="36">
        <v>30</v>
      </c>
      <c r="H10" s="37">
        <v>0</v>
      </c>
      <c r="I10" s="37">
        <v>0</v>
      </c>
      <c r="J10" s="37">
        <v>0</v>
      </c>
      <c r="K10" s="37">
        <v>0</v>
      </c>
      <c r="L10" s="37">
        <v>0</v>
      </c>
      <c r="M10" s="37">
        <v>24.525540292919974</v>
      </c>
      <c r="N10" s="37">
        <v>1031.5954434888999</v>
      </c>
      <c r="O10" s="37">
        <v>3594.8225672872454</v>
      </c>
      <c r="P10" s="37">
        <v>5820.0198510388618</v>
      </c>
      <c r="Q10" s="37">
        <v>7571.0959863535263</v>
      </c>
      <c r="R10" s="37">
        <v>8976.9729696194518</v>
      </c>
      <c r="S10" s="37">
        <v>9917.0493332983096</v>
      </c>
      <c r="T10" s="37">
        <v>9395.3038084776799</v>
      </c>
      <c r="U10" s="37">
        <v>8218.4858723767902</v>
      </c>
      <c r="V10" s="37">
        <v>6738.8191406360984</v>
      </c>
      <c r="W10" s="37">
        <v>5153.8548919838013</v>
      </c>
      <c r="X10" s="37">
        <v>2857.5697860214455</v>
      </c>
      <c r="Y10" s="37">
        <v>905.78187053351678</v>
      </c>
      <c r="Z10" s="37">
        <v>39.581088733619488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8">
        <f t="shared" ref="AF10" si="1">ROUND(SUM(H10:AE10)*G10,2)</f>
        <v>2107364.34</v>
      </c>
    </row>
    <row r="11" spans="1:32" ht="14.5" thickBot="1">
      <c r="A11" s="50"/>
      <c r="E11" s="57">
        <v>45839</v>
      </c>
      <c r="F11" s="56">
        <f>+_xlfn.XLOOKUP(E11,'PRODUCTO 01'!$C$10:$C$137,'PRODUCTO 01'!$F$10:$F$137)</f>
        <v>2121549.0699999998</v>
      </c>
      <c r="G11" s="36">
        <v>31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4.386456372240624</v>
      </c>
      <c r="N11" s="37">
        <v>820.03905031944441</v>
      </c>
      <c r="O11" s="37">
        <v>3399.1485639729281</v>
      </c>
      <c r="P11" s="37">
        <v>6113.9514679907024</v>
      </c>
      <c r="Q11" s="37">
        <v>8089.6903152347168</v>
      </c>
      <c r="R11" s="37">
        <v>9037.8371288652834</v>
      </c>
      <c r="S11" s="37">
        <v>9238.8942394121295</v>
      </c>
      <c r="T11" s="37">
        <v>8640.3657830120155</v>
      </c>
      <c r="U11" s="37">
        <v>7755.91019122736</v>
      </c>
      <c r="V11" s="37">
        <v>6529.2394374405767</v>
      </c>
      <c r="W11" s="37">
        <v>4808.1427304766703</v>
      </c>
      <c r="X11" s="37">
        <v>2895.1655291105803</v>
      </c>
      <c r="Y11" s="37">
        <v>1057.074762066924</v>
      </c>
      <c r="Z11" s="37">
        <v>47.221042709230147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8">
        <f t="shared" ref="AF11" si="2">ROUND(SUM(H11:AE11)*G11,2)</f>
        <v>2121549.0699999998</v>
      </c>
    </row>
    <row r="12" spans="1:32" ht="14.5" thickBot="1">
      <c r="A12" s="50"/>
      <c r="E12" s="57">
        <v>45870</v>
      </c>
      <c r="F12" s="56">
        <f>+_xlfn.XLOOKUP(E12,'PRODUCTO 01'!$C$10:$C$137,'PRODUCTO 01'!$F$10:$F$137)</f>
        <v>2040241.93</v>
      </c>
      <c r="G12" s="36">
        <v>31</v>
      </c>
      <c r="H12" s="37">
        <v>0</v>
      </c>
      <c r="I12" s="37">
        <v>0</v>
      </c>
      <c r="J12" s="37">
        <v>0</v>
      </c>
      <c r="K12" s="37">
        <v>0</v>
      </c>
      <c r="L12" s="37">
        <v>0</v>
      </c>
      <c r="M12" s="37">
        <v>1.2779122389383755</v>
      </c>
      <c r="N12" s="37">
        <v>703.99318485821959</v>
      </c>
      <c r="O12" s="37">
        <v>3092.6933229242227</v>
      </c>
      <c r="P12" s="37">
        <v>5635.3225375573948</v>
      </c>
      <c r="Q12" s="37">
        <v>7496.953179781628</v>
      </c>
      <c r="R12" s="37">
        <v>8772.8338637043926</v>
      </c>
      <c r="S12" s="37">
        <v>8799.176114510441</v>
      </c>
      <c r="T12" s="37">
        <v>8560.2457937785384</v>
      </c>
      <c r="U12" s="37">
        <v>8049.4519961259821</v>
      </c>
      <c r="V12" s="37">
        <v>6480.5264596494417</v>
      </c>
      <c r="W12" s="37">
        <v>4718.8566487554826</v>
      </c>
      <c r="X12" s="37">
        <v>2683.5084268520663</v>
      </c>
      <c r="Y12" s="37">
        <v>804.28287050519054</v>
      </c>
      <c r="Z12" s="37">
        <v>15.133452901953042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8">
        <f t="shared" ref="AF12" si="3">ROUND(SUM(H12:AE12)*G12,2)</f>
        <v>2040241.93</v>
      </c>
    </row>
    <row r="13" spans="1:32" ht="14.5" thickBot="1">
      <c r="A13" s="50"/>
      <c r="E13" s="57">
        <v>45901</v>
      </c>
      <c r="F13" s="56">
        <f>+_xlfn.XLOOKUP(E13,'PRODUCTO 01'!$C$10:$C$137,'PRODUCTO 01'!$F$10:$F$137)</f>
        <v>1975952.56</v>
      </c>
      <c r="G13" s="36">
        <v>30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37">
        <v>0.67472800954077072</v>
      </c>
      <c r="N13" s="37">
        <v>876.30518034678926</v>
      </c>
      <c r="O13" s="37">
        <v>3509.9004153575356</v>
      </c>
      <c r="P13" s="37">
        <v>6121.8683671353456</v>
      </c>
      <c r="Q13" s="37">
        <v>8021.3704657277121</v>
      </c>
      <c r="R13" s="37">
        <v>8931.1522922255954</v>
      </c>
      <c r="S13" s="37">
        <v>9183.7441556436006</v>
      </c>
      <c r="T13" s="37">
        <v>9106.3949579692653</v>
      </c>
      <c r="U13" s="37">
        <v>8191.3539928583314</v>
      </c>
      <c r="V13" s="37">
        <v>6124.3982767434254</v>
      </c>
      <c r="W13" s="37">
        <v>3718.7801809173188</v>
      </c>
      <c r="X13" s="37">
        <v>1689.9336689466886</v>
      </c>
      <c r="Y13" s="37">
        <v>388.60723042444846</v>
      </c>
      <c r="Z13" s="37">
        <v>0.60152110315135565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8">
        <f t="shared" ref="AF13" si="4">ROUND(SUM(H13:AE13)*G13,2)</f>
        <v>1975952.56</v>
      </c>
    </row>
    <row r="14" spans="1:32" ht="14.5" thickBot="1">
      <c r="A14" s="50"/>
      <c r="E14" s="57">
        <v>45931</v>
      </c>
      <c r="F14" s="56">
        <f>+_xlfn.XLOOKUP(E14,'PRODUCTO 01'!$C$10:$C$137,'PRODUCTO 01'!$F$10:$F$137)</f>
        <v>1753775.38</v>
      </c>
      <c r="G14" s="36">
        <v>31</v>
      </c>
      <c r="H14" s="37">
        <v>0</v>
      </c>
      <c r="I14" s="37">
        <v>0</v>
      </c>
      <c r="J14" s="37">
        <v>0</v>
      </c>
      <c r="K14" s="37">
        <v>0</v>
      </c>
      <c r="L14" s="37">
        <v>0</v>
      </c>
      <c r="M14" s="37">
        <v>0.37411627745584475</v>
      </c>
      <c r="N14" s="37">
        <v>656.74317124386857</v>
      </c>
      <c r="O14" s="37">
        <v>2959.9775924342362</v>
      </c>
      <c r="P14" s="37">
        <v>5426.4420515594311</v>
      </c>
      <c r="Q14" s="37">
        <v>6928.1392153568313</v>
      </c>
      <c r="R14" s="37">
        <v>7797.1435739610097</v>
      </c>
      <c r="S14" s="37">
        <v>7597.3102539762358</v>
      </c>
      <c r="T14" s="37">
        <v>7245.3986094901438</v>
      </c>
      <c r="U14" s="37">
        <v>6720.3747963707601</v>
      </c>
      <c r="V14" s="37">
        <v>5585.8168477318995</v>
      </c>
      <c r="W14" s="37">
        <v>3613.5379991265477</v>
      </c>
      <c r="X14" s="37">
        <v>1737.1736055255769</v>
      </c>
      <c r="Y14" s="37">
        <v>304.89506830631183</v>
      </c>
      <c r="Z14" s="37">
        <v>7.2468308565201409E-2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8">
        <f t="shared" ref="AF14" si="5">ROUND(SUM(H14:AE14)*G14,2)</f>
        <v>1753775.38</v>
      </c>
    </row>
    <row r="15" spans="1:32" ht="14.5" thickBot="1">
      <c r="A15" s="50"/>
      <c r="E15" s="57">
        <v>45962</v>
      </c>
      <c r="F15" s="56">
        <f>+_xlfn.XLOOKUP(E15,'PRODUCTO 01'!$C$10:$C$137,'PRODUCTO 01'!$F$10:$F$137)</f>
        <v>1680953.74</v>
      </c>
      <c r="G15" s="36">
        <v>30</v>
      </c>
      <c r="H15" s="37">
        <v>0</v>
      </c>
      <c r="I15" s="37">
        <v>0</v>
      </c>
      <c r="J15" s="37">
        <v>0</v>
      </c>
      <c r="K15" s="37">
        <v>0</v>
      </c>
      <c r="L15" s="37">
        <v>0</v>
      </c>
      <c r="M15" s="37">
        <v>2.4877762590584013E-2</v>
      </c>
      <c r="N15" s="37">
        <v>596.22153709699307</v>
      </c>
      <c r="O15" s="37">
        <v>2695.6028814611323</v>
      </c>
      <c r="P15" s="37">
        <v>5515.9920690665667</v>
      </c>
      <c r="Q15" s="37">
        <v>6979.0403284367003</v>
      </c>
      <c r="R15" s="37">
        <v>7497.2930617254424</v>
      </c>
      <c r="S15" s="37">
        <v>7826.0218742399384</v>
      </c>
      <c r="T15" s="37">
        <v>7420.5056991032307</v>
      </c>
      <c r="U15" s="37">
        <v>6618.0226431743131</v>
      </c>
      <c r="V15" s="37">
        <v>5245.9250469533863</v>
      </c>
      <c r="W15" s="37">
        <v>3651.4098053890293</v>
      </c>
      <c r="X15" s="37">
        <v>1735.9753068731397</v>
      </c>
      <c r="Y15" s="37">
        <v>249.60553850976365</v>
      </c>
      <c r="Z15" s="37">
        <v>0.15052849714546651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8">
        <f t="shared" ref="AF15" si="6">ROUND(SUM(H15:AE15)*G15,2)</f>
        <v>1680953.74</v>
      </c>
    </row>
    <row r="16" spans="1:32" ht="14.5" thickBot="1">
      <c r="A16" s="50"/>
      <c r="E16" s="57">
        <v>45992</v>
      </c>
      <c r="F16" s="56">
        <f>+_xlfn.XLOOKUP(E16,'PRODUCTO 01'!$C$10:$C$137,'PRODUCTO 01'!$F$10:$F$137)</f>
        <v>1926789.73</v>
      </c>
      <c r="G16" s="36">
        <v>31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309.41506585124478</v>
      </c>
      <c r="O16" s="37">
        <v>2198.4154735105321</v>
      </c>
      <c r="P16" s="37">
        <v>5426.4917541820641</v>
      </c>
      <c r="Q16" s="37">
        <v>8007.6472750249386</v>
      </c>
      <c r="R16" s="37">
        <v>9057.3181952858395</v>
      </c>
      <c r="S16" s="37">
        <v>8846.5122551759177</v>
      </c>
      <c r="T16" s="37">
        <v>8568.813617949414</v>
      </c>
      <c r="U16" s="37">
        <v>7644.1646442023057</v>
      </c>
      <c r="V16" s="37">
        <v>6159.6307560872674</v>
      </c>
      <c r="W16" s="37">
        <v>4103.2957110377138</v>
      </c>
      <c r="X16" s="37">
        <v>1670.4045712049669</v>
      </c>
      <c r="Y16" s="37">
        <v>162.39813184560126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8">
        <f t="shared" ref="AF16" si="7">ROUND(SUM(H16:AE16)*G16,2)</f>
        <v>1926789.73</v>
      </c>
    </row>
    <row r="17" spans="5:32" ht="14.5" thickBot="1">
      <c r="E17" s="57">
        <v>46023</v>
      </c>
      <c r="F17" s="56">
        <f>+_xlfn.XLOOKUP(E17,'PRODUCTO 01'!$C$10:$C$137,'PRODUCTO 01'!$F$10:$F$137)</f>
        <v>2666105.96</v>
      </c>
      <c r="G17" s="36">
        <v>31</v>
      </c>
      <c r="H17" s="37">
        <v>0</v>
      </c>
      <c r="I17" s="37">
        <v>0</v>
      </c>
      <c r="J17" s="37">
        <v>0</v>
      </c>
      <c r="K17" s="37">
        <v>0</v>
      </c>
      <c r="L17" s="37">
        <v>0</v>
      </c>
      <c r="M17" s="37">
        <v>0</v>
      </c>
      <c r="N17" s="37">
        <v>149.65921626980878</v>
      </c>
      <c r="O17" s="37">
        <v>2593.7083429748054</v>
      </c>
      <c r="P17" s="37">
        <v>6660.0461952349397</v>
      </c>
      <c r="Q17" s="37">
        <v>9538.7821469976534</v>
      </c>
      <c r="R17" s="37">
        <v>10705.963228564806</v>
      </c>
      <c r="S17" s="37">
        <v>10858.900474033097</v>
      </c>
      <c r="T17" s="37">
        <v>10809.506415283931</v>
      </c>
      <c r="U17" s="37">
        <v>10309.071838304559</v>
      </c>
      <c r="V17" s="37">
        <v>9962.1290956460634</v>
      </c>
      <c r="W17" s="37">
        <v>8444.3463222473729</v>
      </c>
      <c r="X17" s="37">
        <v>5015.5068107948446</v>
      </c>
      <c r="Y17" s="37">
        <v>955.74641256868119</v>
      </c>
      <c r="Z17" s="37">
        <v>5.1671179988551391E-2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8">
        <f>ROUND(SUM(H17:AE17)*G17,2)</f>
        <v>2666105.96</v>
      </c>
    </row>
    <row r="18" spans="5:32" ht="14.5" thickBot="1">
      <c r="E18" s="57">
        <v>46054</v>
      </c>
      <c r="F18" s="56">
        <f>+_xlfn.XLOOKUP(E18,'PRODUCTO 01'!$C$10:$C$137,'PRODUCTO 01'!$F$10:$F$137)</f>
        <v>2463750.23</v>
      </c>
      <c r="G18" s="36">
        <v>28</v>
      </c>
      <c r="H18" s="37">
        <v>0</v>
      </c>
      <c r="I18" s="37">
        <v>0</v>
      </c>
      <c r="J18" s="37">
        <v>0</v>
      </c>
      <c r="K18" s="37">
        <v>0</v>
      </c>
      <c r="L18" s="37">
        <v>0</v>
      </c>
      <c r="M18" s="37">
        <v>0</v>
      </c>
      <c r="N18" s="37">
        <v>206.65239693429029</v>
      </c>
      <c r="O18" s="37">
        <v>3068.098931692648</v>
      </c>
      <c r="P18" s="37">
        <v>7362.0528354221669</v>
      </c>
      <c r="Q18" s="37">
        <v>9360.4141925316526</v>
      </c>
      <c r="R18" s="37">
        <v>10117.615260667011</v>
      </c>
      <c r="S18" s="37">
        <v>10443.881080035815</v>
      </c>
      <c r="T18" s="37">
        <v>10342.542983412248</v>
      </c>
      <c r="U18" s="37">
        <v>10459.248618686272</v>
      </c>
      <c r="V18" s="37">
        <v>10129.082853542954</v>
      </c>
      <c r="W18" s="37">
        <v>9130.8368933416514</v>
      </c>
      <c r="X18" s="37">
        <v>5963.1090150911996</v>
      </c>
      <c r="Y18" s="37">
        <v>1394.2609740627436</v>
      </c>
      <c r="Z18" s="37">
        <v>13.283743825878856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8">
        <f t="shared" ref="AF18" si="8">ROUND(SUM(H18:AE18)*G18,2)</f>
        <v>2463750.23</v>
      </c>
    </row>
    <row r="19" spans="5:32" ht="14.5" thickBot="1">
      <c r="E19" s="57">
        <v>46082</v>
      </c>
      <c r="F19" s="56">
        <f>+_xlfn.XLOOKUP(E19,'PRODUCTO 01'!$C$10:$C$137,'PRODUCTO 01'!$F$10:$F$137)</f>
        <v>2591921.15</v>
      </c>
      <c r="G19" s="36">
        <v>31</v>
      </c>
      <c r="H19" s="37">
        <v>0</v>
      </c>
      <c r="I19" s="37">
        <v>0</v>
      </c>
      <c r="J19" s="37">
        <v>0</v>
      </c>
      <c r="K19" s="37">
        <v>0</v>
      </c>
      <c r="L19" s="37">
        <v>0</v>
      </c>
      <c r="M19" s="37">
        <v>1.69893350342919E-2</v>
      </c>
      <c r="N19" s="37">
        <v>369.13421647051041</v>
      </c>
      <c r="O19" s="37">
        <v>3076.7317102383181</v>
      </c>
      <c r="P19" s="37">
        <v>6899.9281393144565</v>
      </c>
      <c r="Q19" s="37">
        <v>9186.6149469099055</v>
      </c>
      <c r="R19" s="37">
        <v>10276.832161046161</v>
      </c>
      <c r="S19" s="37">
        <v>10281.908040199214</v>
      </c>
      <c r="T19" s="37">
        <v>10051.963001270815</v>
      </c>
      <c r="U19" s="37">
        <v>9602.812518718014</v>
      </c>
      <c r="V19" s="37">
        <v>9202.9663578698892</v>
      </c>
      <c r="W19" s="37">
        <v>8028.8159414800757</v>
      </c>
      <c r="X19" s="37">
        <v>5270.4488534033035</v>
      </c>
      <c r="Y19" s="37">
        <v>1345.9392770679183</v>
      </c>
      <c r="Z19" s="37">
        <v>16.247588715253233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8">
        <f t="shared" ref="AF19" si="9">ROUND(SUM(H19:AE19)*G19,2)</f>
        <v>2591921.15</v>
      </c>
    </row>
    <row r="20" spans="5:32" ht="14.5" thickBot="1">
      <c r="E20" s="57">
        <v>46113</v>
      </c>
      <c r="F20" s="56">
        <f>+_xlfn.XLOOKUP(E20,'PRODUCTO 01'!$C$10:$C$137,'PRODUCTO 01'!$F$10:$F$137)</f>
        <v>2276921.7200000002</v>
      </c>
      <c r="G20" s="36">
        <v>30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37">
        <v>1.7680261255433394</v>
      </c>
      <c r="N20" s="37">
        <v>726.86139440623151</v>
      </c>
      <c r="O20" s="37">
        <v>3449.0587572858499</v>
      </c>
      <c r="P20" s="37">
        <v>6694.5527656946961</v>
      </c>
      <c r="Q20" s="37">
        <v>8540.0337020631541</v>
      </c>
      <c r="R20" s="37">
        <v>9296.0478433972676</v>
      </c>
      <c r="S20" s="37">
        <v>9278.8571377395583</v>
      </c>
      <c r="T20" s="37">
        <v>9201.6696513600236</v>
      </c>
      <c r="U20" s="37">
        <v>8770.8158230886183</v>
      </c>
      <c r="V20" s="37">
        <v>7996.9748722304603</v>
      </c>
      <c r="W20" s="37">
        <v>6627.7596708279443</v>
      </c>
      <c r="X20" s="37">
        <v>4194.4326345073659</v>
      </c>
      <c r="Y20" s="37">
        <v>1104.4549217993015</v>
      </c>
      <c r="Z20" s="37">
        <v>14.103450095352182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8">
        <f t="shared" ref="AF20" si="10">ROUND(SUM(H20:AE20)*G20,2)</f>
        <v>2276921.7200000002</v>
      </c>
    </row>
    <row r="21" spans="5:32" ht="14.5" thickBot="1">
      <c r="E21" s="57">
        <v>46143</v>
      </c>
      <c r="F21" s="56">
        <f>+_xlfn.XLOOKUP(E21,'PRODUCTO 01'!$C$10:$C$137,'PRODUCTO 01'!$F$10:$F$137)</f>
        <v>2185632.02</v>
      </c>
      <c r="G21" s="36">
        <v>31</v>
      </c>
      <c r="H21" s="37">
        <v>0</v>
      </c>
      <c r="I21" s="37">
        <v>0</v>
      </c>
      <c r="J21" s="37">
        <v>0</v>
      </c>
      <c r="K21" s="37">
        <v>0</v>
      </c>
      <c r="L21" s="37">
        <v>0</v>
      </c>
      <c r="M21" s="37">
        <v>15.503619508859265</v>
      </c>
      <c r="N21" s="37">
        <v>958.6704696883578</v>
      </c>
      <c r="O21" s="37">
        <v>3436.025573350269</v>
      </c>
      <c r="P21" s="37">
        <v>5838.9589962078653</v>
      </c>
      <c r="Q21" s="37">
        <v>7902.0427199261767</v>
      </c>
      <c r="R21" s="37">
        <v>8847.6464361613507</v>
      </c>
      <c r="S21" s="37">
        <v>8835.324205575931</v>
      </c>
      <c r="T21" s="37">
        <v>8945.249785786893</v>
      </c>
      <c r="U21" s="37">
        <v>8276.9435204963411</v>
      </c>
      <c r="V21" s="37">
        <v>7094.3953676204828</v>
      </c>
      <c r="W21" s="37">
        <v>5581.78581374849</v>
      </c>
      <c r="X21" s="37">
        <v>3606.3360635879949</v>
      </c>
      <c r="Y21" s="37">
        <v>1146.892187008762</v>
      </c>
      <c r="Z21" s="37">
        <v>18.484062958730245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8">
        <f t="shared" ref="AF21" si="11">ROUND(SUM(H21:AE21)*G21,2)</f>
        <v>2185632.02</v>
      </c>
    </row>
    <row r="22" spans="5:32" ht="14.5" thickBot="1">
      <c r="E22" s="57">
        <v>46174</v>
      </c>
      <c r="F22" s="56">
        <f>+_xlfn.XLOOKUP(E22,'PRODUCTO 01'!$C$10:$C$137,'PRODUCTO 01'!$F$10:$F$137)</f>
        <v>2430945.9</v>
      </c>
      <c r="G22" s="36">
        <v>30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17.108583400684505</v>
      </c>
      <c r="N22" s="37">
        <v>1015.4704354245704</v>
      </c>
      <c r="O22" s="37">
        <v>3689.2084420590354</v>
      </c>
      <c r="P22" s="37">
        <v>6102.6735605330723</v>
      </c>
      <c r="Q22" s="37">
        <v>8234.6347486041777</v>
      </c>
      <c r="R22" s="37">
        <v>9829.7479317692087</v>
      </c>
      <c r="S22" s="37">
        <v>10593.327625499331</v>
      </c>
      <c r="T22" s="37">
        <v>10440.243758236858</v>
      </c>
      <c r="U22" s="37">
        <v>9720.4437919567281</v>
      </c>
      <c r="V22" s="37">
        <v>8416.18214479171</v>
      </c>
      <c r="W22" s="37">
        <v>6861.0831026620217</v>
      </c>
      <c r="X22" s="37">
        <v>4542.0513457819898</v>
      </c>
      <c r="Y22" s="37">
        <v>1516.0939308536699</v>
      </c>
      <c r="Z22" s="37">
        <v>53.260465235862007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8">
        <f t="shared" ref="AF22" si="12">ROUND(SUM(H22:AE22)*G22,2)</f>
        <v>2430945.9</v>
      </c>
    </row>
    <row r="23" spans="5:32" ht="14.5" thickBot="1">
      <c r="E23" s="57">
        <v>46204</v>
      </c>
      <c r="F23" s="56">
        <f>+_xlfn.XLOOKUP(E23,'PRODUCTO 01'!$C$10:$C$137,'PRODUCTO 01'!$F$10:$F$137)</f>
        <v>2508835.34</v>
      </c>
      <c r="G23" s="36">
        <v>31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5.2056446594638217</v>
      </c>
      <c r="N23" s="37">
        <v>885.02601008584759</v>
      </c>
      <c r="O23" s="37">
        <v>3745.431927026304</v>
      </c>
      <c r="P23" s="37">
        <v>6665.0248029314935</v>
      </c>
      <c r="Q23" s="37">
        <v>8625.5927452951437</v>
      </c>
      <c r="R23" s="37">
        <v>9666.0119688473351</v>
      </c>
      <c r="S23" s="37">
        <v>10136.708886980312</v>
      </c>
      <c r="T23" s="37">
        <v>9882.59975025725</v>
      </c>
      <c r="U23" s="37">
        <v>9324.0718322379616</v>
      </c>
      <c r="V23" s="37">
        <v>8472.9073301314656</v>
      </c>
      <c r="W23" s="37">
        <v>7018.7688990105553</v>
      </c>
      <c r="X23" s="37">
        <v>4765.8766535659934</v>
      </c>
      <c r="Y23" s="37">
        <v>1675.0782741284668</v>
      </c>
      <c r="Z23" s="37">
        <v>61.867687119470212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8">
        <f t="shared" ref="AF23" si="13">ROUND(SUM(H23:AE23)*G23,2)</f>
        <v>2508835.34</v>
      </c>
    </row>
    <row r="24" spans="5:32" ht="14.5" thickBot="1">
      <c r="E24" s="57">
        <v>46235</v>
      </c>
      <c r="F24" s="56">
        <f>+_xlfn.XLOOKUP(E24,'PRODUCTO 01'!$C$10:$C$137,'PRODUCTO 01'!$F$10:$F$137)</f>
        <v>2400941.3199999998</v>
      </c>
      <c r="G24" s="36">
        <v>31</v>
      </c>
      <c r="H24" s="37">
        <v>0</v>
      </c>
      <c r="I24" s="37">
        <v>0</v>
      </c>
      <c r="J24" s="37">
        <v>0</v>
      </c>
      <c r="K24" s="37">
        <v>0</v>
      </c>
      <c r="L24" s="37">
        <v>0</v>
      </c>
      <c r="M24" s="37">
        <v>1.7772609051459696</v>
      </c>
      <c r="N24" s="37">
        <v>701.27012728710258</v>
      </c>
      <c r="O24" s="37">
        <v>3279.9249724597603</v>
      </c>
      <c r="P24" s="37">
        <v>6100.6154404076933</v>
      </c>
      <c r="Q24" s="37">
        <v>8236.9061198048694</v>
      </c>
      <c r="R24" s="37">
        <v>9404.6515323317963</v>
      </c>
      <c r="S24" s="37">
        <v>9643.8646788526603</v>
      </c>
      <c r="T24" s="37">
        <v>9720.4597500477594</v>
      </c>
      <c r="U24" s="37">
        <v>9349.0055363216979</v>
      </c>
      <c r="V24" s="37">
        <v>8307.3575166414012</v>
      </c>
      <c r="W24" s="37">
        <v>6800.5355061749606</v>
      </c>
      <c r="X24" s="37">
        <v>4518.3284183055093</v>
      </c>
      <c r="Y24" s="37">
        <v>1365.4020491138665</v>
      </c>
      <c r="Z24" s="37">
        <v>19.621021436730626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8">
        <f t="shared" ref="AF24" si="14">ROUND(SUM(H24:AE24)*G24,2)</f>
        <v>2400941.3199999998</v>
      </c>
    </row>
    <row r="25" spans="5:32" ht="14.5" thickBot="1">
      <c r="E25" s="57">
        <v>46266</v>
      </c>
      <c r="F25" s="56">
        <f>+_xlfn.XLOOKUP(E25,'PRODUCTO 01'!$C$10:$C$137,'PRODUCTO 01'!$F$10:$F$137)</f>
        <v>2251391.7599999998</v>
      </c>
      <c r="G25" s="36">
        <v>30</v>
      </c>
      <c r="H25" s="37">
        <v>0</v>
      </c>
      <c r="I25" s="37">
        <v>0</v>
      </c>
      <c r="J25" s="37">
        <v>0</v>
      </c>
      <c r="K25" s="37">
        <v>0</v>
      </c>
      <c r="L25" s="37">
        <v>0</v>
      </c>
      <c r="M25" s="37">
        <v>1.3332533709539545</v>
      </c>
      <c r="N25" s="37">
        <v>789.68318290527532</v>
      </c>
      <c r="O25" s="37">
        <v>3470.7974449444873</v>
      </c>
      <c r="P25" s="37">
        <v>6823.5622308607153</v>
      </c>
      <c r="Q25" s="37">
        <v>8689.7951500653544</v>
      </c>
      <c r="R25" s="37">
        <v>8889.0001897195307</v>
      </c>
      <c r="S25" s="37">
        <v>9401.8138638509299</v>
      </c>
      <c r="T25" s="37">
        <v>9656.1447146913451</v>
      </c>
      <c r="U25" s="37">
        <v>9322.1503598781637</v>
      </c>
      <c r="V25" s="37">
        <v>7764.6206385302376</v>
      </c>
      <c r="W25" s="37">
        <v>6298.5098587187267</v>
      </c>
      <c r="X25" s="37">
        <v>3216.2931085521923</v>
      </c>
      <c r="Y25" s="37">
        <v>720.42998875991645</v>
      </c>
      <c r="Z25" s="37">
        <v>2.257854109700383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8">
        <f t="shared" ref="AF25" si="15">ROUND(SUM(H25:AE25)*G25,2)</f>
        <v>2251391.7599999998</v>
      </c>
    </row>
    <row r="26" spans="5:32" ht="14.5" thickBot="1">
      <c r="E26" s="57">
        <v>46296</v>
      </c>
      <c r="F26" s="56">
        <f>+_xlfn.XLOOKUP(E26,'PRODUCTO 01'!$C$10:$C$137,'PRODUCTO 01'!$F$10:$F$137)</f>
        <v>2066621.39</v>
      </c>
      <c r="G26" s="36">
        <v>31</v>
      </c>
      <c r="H26" s="37">
        <v>0</v>
      </c>
      <c r="I26" s="37">
        <v>0</v>
      </c>
      <c r="J26" s="37">
        <v>0</v>
      </c>
      <c r="K26" s="37">
        <v>0</v>
      </c>
      <c r="L26" s="37">
        <v>0</v>
      </c>
      <c r="M26" s="37">
        <v>1.2745622779769727</v>
      </c>
      <c r="N26" s="37">
        <v>774.86485899737409</v>
      </c>
      <c r="O26" s="37">
        <v>3349.628867859441</v>
      </c>
      <c r="P26" s="37">
        <v>6143.4328359760084</v>
      </c>
      <c r="Q26" s="37">
        <v>7713.9001969589881</v>
      </c>
      <c r="R26" s="37">
        <v>8680.5170886499218</v>
      </c>
      <c r="S26" s="37">
        <v>8771.0401003602055</v>
      </c>
      <c r="T26" s="37">
        <v>8577.4774545380697</v>
      </c>
      <c r="U26" s="37">
        <v>7934.6490566069688</v>
      </c>
      <c r="V26" s="37">
        <v>6871.2286043810273</v>
      </c>
      <c r="W26" s="37">
        <v>4996.327569649673</v>
      </c>
      <c r="X26" s="37">
        <v>2483.2236379765927</v>
      </c>
      <c r="Y26" s="37">
        <v>367.5976873487748</v>
      </c>
      <c r="Z26" s="37">
        <v>4.3616533300512121E-2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8">
        <f t="shared" ref="AF26" si="16">ROUND(SUM(H26:AE26)*G26,2)</f>
        <v>2066621.39</v>
      </c>
    </row>
    <row r="27" spans="5:32" ht="14.5" thickBot="1">
      <c r="E27" s="57">
        <v>46327</v>
      </c>
      <c r="F27" s="56">
        <f>+_xlfn.XLOOKUP(E27,'PRODUCTO 01'!$C$10:$C$137,'PRODUCTO 01'!$F$10:$F$137)</f>
        <v>1962572</v>
      </c>
      <c r="G27" s="36">
        <v>30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5.2099798936274783E-2</v>
      </c>
      <c r="N27" s="37">
        <v>650.11894166938134</v>
      </c>
      <c r="O27" s="37">
        <v>3196.1275055400874</v>
      </c>
      <c r="P27" s="37">
        <v>5940.0609381689583</v>
      </c>
      <c r="Q27" s="37">
        <v>7579.6391724301557</v>
      </c>
      <c r="R27" s="37">
        <v>8299.321658918785</v>
      </c>
      <c r="S27" s="37">
        <v>8704.2525973309494</v>
      </c>
      <c r="T27" s="37">
        <v>8449.2937689851333</v>
      </c>
      <c r="U27" s="37">
        <v>7857.7593516703682</v>
      </c>
      <c r="V27" s="37">
        <v>6889.6995617739958</v>
      </c>
      <c r="W27" s="37">
        <v>5124.1646286797059</v>
      </c>
      <c r="X27" s="37">
        <v>2421.0101504799404</v>
      </c>
      <c r="Y27" s="37">
        <v>307.47660303235602</v>
      </c>
      <c r="Z27" s="37">
        <v>8.9744382054085609E-2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8">
        <f t="shared" ref="AF27" si="17">ROUND(SUM(H27:AE27)*G27,2)</f>
        <v>1962572</v>
      </c>
    </row>
    <row r="28" spans="5:32" ht="14.5" thickBot="1">
      <c r="E28" s="57">
        <v>46357</v>
      </c>
      <c r="F28" s="56">
        <f>+_xlfn.XLOOKUP(E28,'PRODUCTO 01'!$C$10:$C$137,'PRODUCTO 01'!$F$10:$F$137)</f>
        <v>2299531.7799999998</v>
      </c>
      <c r="G28" s="36">
        <v>31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1.6980513579009449E-3</v>
      </c>
      <c r="N28" s="37">
        <v>365.91704467138834</v>
      </c>
      <c r="O28" s="37">
        <v>2905.7658436136021</v>
      </c>
      <c r="P28" s="37">
        <v>6486.3980065218766</v>
      </c>
      <c r="Q28" s="37">
        <v>8900.6953706680179</v>
      </c>
      <c r="R28" s="37">
        <v>9931.0329209600623</v>
      </c>
      <c r="S28" s="37">
        <v>9938.9232944268624</v>
      </c>
      <c r="T28" s="37">
        <v>9738.3552536610368</v>
      </c>
      <c r="U28" s="37">
        <v>9186.7184854374264</v>
      </c>
      <c r="V28" s="37">
        <v>7906.3900529365328</v>
      </c>
      <c r="W28" s="37">
        <v>5827.774565289611</v>
      </c>
      <c r="X28" s="37">
        <v>2664.9979493721248</v>
      </c>
      <c r="Y28" s="37">
        <v>325.42742542325408</v>
      </c>
      <c r="Z28" s="37">
        <v>4.6526607206485888E-2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8">
        <f t="shared" ref="AF28" si="18">ROUND(SUM(H28:AE28)*G28,2)</f>
        <v>2299531.7799999998</v>
      </c>
    </row>
    <row r="29" spans="5:32" ht="14.5" thickBot="1">
      <c r="E29" s="57">
        <v>46388</v>
      </c>
      <c r="F29" s="56">
        <f>+_xlfn.XLOOKUP(E29,'PRODUCTO 01'!$C$10:$C$137,'PRODUCTO 01'!$F$10:$F$137)</f>
        <v>3335769.64</v>
      </c>
      <c r="G29" s="36">
        <v>31</v>
      </c>
      <c r="H29" s="37">
        <v>0</v>
      </c>
      <c r="I29" s="37">
        <v>0</v>
      </c>
      <c r="J29" s="37">
        <v>0</v>
      </c>
      <c r="K29" s="37">
        <v>0</v>
      </c>
      <c r="L29" s="37">
        <v>0</v>
      </c>
      <c r="M29" s="37">
        <v>0</v>
      </c>
      <c r="N29" s="37">
        <v>187.25012321726115</v>
      </c>
      <c r="O29" s="37">
        <v>3245.1874259189653</v>
      </c>
      <c r="P29" s="37">
        <v>8332.8945705696169</v>
      </c>
      <c r="Q29" s="37">
        <v>11934.701897328085</v>
      </c>
      <c r="R29" s="37">
        <v>13395.051662532589</v>
      </c>
      <c r="S29" s="37">
        <v>13586.403179480385</v>
      </c>
      <c r="T29" s="37">
        <v>13524.602484424573</v>
      </c>
      <c r="U29" s="37">
        <v>12898.470405577993</v>
      </c>
      <c r="V29" s="37">
        <v>12464.383732325494</v>
      </c>
      <c r="W29" s="37">
        <v>10565.369301944069</v>
      </c>
      <c r="X29" s="37">
        <v>6275.2852228306474</v>
      </c>
      <c r="Y29" s="37">
        <v>1195.8076353634076</v>
      </c>
      <c r="Z29" s="37">
        <v>6.4649776076566148E-2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8">
        <f>ROUND(SUM(H29:AE29)*G29,2)</f>
        <v>3335769.64</v>
      </c>
    </row>
    <row r="30" spans="5:32" ht="14.5" thickBot="1">
      <c r="E30" s="57">
        <v>46419</v>
      </c>
      <c r="F30" s="56">
        <f>+_xlfn.XLOOKUP(E30,'PRODUCTO 01'!$C$10:$C$137,'PRODUCTO 01'!$F$10:$F$137)</f>
        <v>3082586.87</v>
      </c>
      <c r="G30" s="36">
        <v>28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258.55866249711477</v>
      </c>
      <c r="O30" s="37">
        <v>3838.7338736725128</v>
      </c>
      <c r="P30" s="37">
        <v>9211.2289167645831</v>
      </c>
      <c r="Q30" s="37">
        <v>11711.532070008152</v>
      </c>
      <c r="R30" s="37">
        <v>12658.924398008674</v>
      </c>
      <c r="S30" s="37">
        <v>13067.140586768135</v>
      </c>
      <c r="T30" s="37">
        <v>12940.348722208613</v>
      </c>
      <c r="U30" s="37">
        <v>13086.368092948949</v>
      </c>
      <c r="V30" s="37">
        <v>12673.272382934339</v>
      </c>
      <c r="W30" s="37">
        <v>11424.290304130445</v>
      </c>
      <c r="X30" s="37">
        <v>7460.9030146247087</v>
      </c>
      <c r="Y30" s="37">
        <v>1744.4668340344288</v>
      </c>
      <c r="Z30" s="37">
        <v>16.620310664316467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8">
        <f t="shared" ref="AF30" si="19">ROUND(SUM(H30:AE30)*G30,2)</f>
        <v>3082586.87</v>
      </c>
    </row>
    <row r="31" spans="5:32" ht="14.5" thickBot="1">
      <c r="E31" s="57">
        <v>46447</v>
      </c>
      <c r="F31" s="56">
        <f>+_xlfn.XLOOKUP(E31,'PRODUCTO 01'!$C$10:$C$137,'PRODUCTO 01'!$F$10:$F$137)</f>
        <v>3242951.33</v>
      </c>
      <c r="G31" s="36">
        <v>31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2.1256660016281619E-2</v>
      </c>
      <c r="N31" s="37">
        <v>461.8521280587118</v>
      </c>
      <c r="O31" s="37">
        <v>3849.535004980522</v>
      </c>
      <c r="P31" s="37">
        <v>8633.0292679577542</v>
      </c>
      <c r="Q31" s="37">
        <v>11494.078504709049</v>
      </c>
      <c r="R31" s="37">
        <v>12858.132872817985</v>
      </c>
      <c r="S31" s="37">
        <v>12864.483694508326</v>
      </c>
      <c r="T31" s="37">
        <v>12576.781821241018</v>
      </c>
      <c r="U31" s="37">
        <v>12014.815206037843</v>
      </c>
      <c r="V31" s="37">
        <v>11514.53700899196</v>
      </c>
      <c r="W31" s="37">
        <v>10045.467374494991</v>
      </c>
      <c r="X31" s="37">
        <v>6594.2627644852228</v>
      </c>
      <c r="Y31" s="37">
        <v>1684.0078530115968</v>
      </c>
      <c r="Z31" s="37">
        <v>20.328604310139589</v>
      </c>
      <c r="AA31" s="37">
        <v>0</v>
      </c>
      <c r="AB31" s="37">
        <v>0</v>
      </c>
      <c r="AC31" s="37">
        <v>0</v>
      </c>
      <c r="AD31" s="37">
        <v>0</v>
      </c>
      <c r="AE31" s="37">
        <v>0</v>
      </c>
      <c r="AF31" s="38">
        <f t="shared" ref="AF31" si="20">ROUND(SUM(H31:AE31)*G31,2)</f>
        <v>3242951.33</v>
      </c>
    </row>
    <row r="32" spans="5:32" ht="14.5" thickBot="1">
      <c r="E32" s="57">
        <v>46478</v>
      </c>
      <c r="F32" s="56">
        <f>+_xlfn.XLOOKUP(E32,'PRODUCTO 01'!$C$10:$C$137,'PRODUCTO 01'!$F$10:$F$137)</f>
        <v>2848831.39</v>
      </c>
      <c r="G32" s="36">
        <v>30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2.2121130800423239</v>
      </c>
      <c r="N32" s="37">
        <v>909.43203537204352</v>
      </c>
      <c r="O32" s="37">
        <v>4315.381928240361</v>
      </c>
      <c r="P32" s="37">
        <v>8376.0683872675836</v>
      </c>
      <c r="Q32" s="37">
        <v>10685.091121337668</v>
      </c>
      <c r="R32" s="37">
        <v>11630.998394188746</v>
      </c>
      <c r="S32" s="37">
        <v>11609.48978394189</v>
      </c>
      <c r="T32" s="37">
        <v>11512.914600029779</v>
      </c>
      <c r="U32" s="37">
        <v>10973.840332214546</v>
      </c>
      <c r="V32" s="37">
        <v>10005.628570785027</v>
      </c>
      <c r="W32" s="37">
        <v>8292.4984237491753</v>
      </c>
      <c r="X32" s="37">
        <v>5247.9763506315248</v>
      </c>
      <c r="Y32" s="37">
        <v>1381.8682560918228</v>
      </c>
      <c r="Z32" s="37">
        <v>17.645908043392176</v>
      </c>
      <c r="AA32" s="37">
        <v>0</v>
      </c>
      <c r="AB32" s="37">
        <v>0</v>
      </c>
      <c r="AC32" s="37">
        <v>0</v>
      </c>
      <c r="AD32" s="37">
        <v>0</v>
      </c>
      <c r="AE32" s="37">
        <v>0</v>
      </c>
      <c r="AF32" s="38">
        <f t="shared" ref="AF32" si="21">ROUND(SUM(H32:AE32)*G32,2)</f>
        <v>2848831.39</v>
      </c>
    </row>
    <row r="33" spans="5:32" ht="14.5" thickBot="1">
      <c r="E33" s="57">
        <v>46508</v>
      </c>
      <c r="F33" s="56">
        <f>+_xlfn.XLOOKUP(E33,'PRODUCTO 01'!$C$10:$C$137,'PRODUCTO 01'!$F$10:$F$137)</f>
        <v>2734611.85</v>
      </c>
      <c r="G33" s="36">
        <v>31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19.397767379148515</v>
      </c>
      <c r="N33" s="37">
        <v>1199.4661474791369</v>
      </c>
      <c r="O33" s="37">
        <v>4299.0751122708662</v>
      </c>
      <c r="P33" s="37">
        <v>7305.5694046222388</v>
      </c>
      <c r="Q33" s="37">
        <v>9886.8516744513636</v>
      </c>
      <c r="R33" s="37">
        <v>11069.969004562998</v>
      </c>
      <c r="S33" s="37">
        <v>11054.551716854694</v>
      </c>
      <c r="T33" s="37">
        <v>11192.088040726141</v>
      </c>
      <c r="U33" s="37">
        <v>10355.918818131004</v>
      </c>
      <c r="V33" s="37">
        <v>8876.3421314727875</v>
      </c>
      <c r="W33" s="37">
        <v>6983.8003127884467</v>
      </c>
      <c r="X33" s="37">
        <v>4512.1636281475839</v>
      </c>
      <c r="Y33" s="37">
        <v>1434.964773216095</v>
      </c>
      <c r="Z33" s="37">
        <v>23.126828756994339</v>
      </c>
      <c r="AA33" s="37">
        <v>0</v>
      </c>
      <c r="AB33" s="37">
        <v>0</v>
      </c>
      <c r="AC33" s="37">
        <v>0</v>
      </c>
      <c r="AD33" s="37">
        <v>0</v>
      </c>
      <c r="AE33" s="37">
        <v>0</v>
      </c>
      <c r="AF33" s="38">
        <f t="shared" ref="AF33" si="22">ROUND(SUM(H33:AE33)*G33,2)</f>
        <v>2734611.85</v>
      </c>
    </row>
    <row r="34" spans="5:32" ht="14.5" thickBot="1">
      <c r="E34" s="57">
        <v>46539</v>
      </c>
      <c r="F34" s="56">
        <f>+_xlfn.XLOOKUP(E34,'PRODUCTO 01'!$C$10:$C$137,'PRODUCTO 01'!$F$10:$F$137)</f>
        <v>3041542.85</v>
      </c>
      <c r="G34" s="36">
        <v>30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21.40586079293287</v>
      </c>
      <c r="N34" s="37">
        <v>1270.5329407440945</v>
      </c>
      <c r="O34" s="37">
        <v>4615.8516165440624</v>
      </c>
      <c r="P34" s="37">
        <v>7635.5229209834188</v>
      </c>
      <c r="Q34" s="37">
        <v>10302.983068850477</v>
      </c>
      <c r="R34" s="37">
        <v>12298.751505554395</v>
      </c>
      <c r="S34" s="37">
        <v>13254.124621229383</v>
      </c>
      <c r="T34" s="37">
        <v>13062.589654510091</v>
      </c>
      <c r="U34" s="37">
        <v>12161.992713425316</v>
      </c>
      <c r="V34" s="37">
        <v>10530.130939547611</v>
      </c>
      <c r="W34" s="37">
        <v>8584.4272634782319</v>
      </c>
      <c r="X34" s="37">
        <v>5682.9087800613988</v>
      </c>
      <c r="Y34" s="37">
        <v>1896.9013899517606</v>
      </c>
      <c r="Z34" s="37">
        <v>66.63825273576353</v>
      </c>
      <c r="AA34" s="37">
        <v>0</v>
      </c>
      <c r="AB34" s="37">
        <v>0</v>
      </c>
      <c r="AC34" s="37">
        <v>0</v>
      </c>
      <c r="AD34" s="37">
        <v>0</v>
      </c>
      <c r="AE34" s="37">
        <v>0</v>
      </c>
      <c r="AF34" s="38">
        <f t="shared" ref="AF34" si="23">ROUND(SUM(H34:AE34)*G34,2)</f>
        <v>3041542.85</v>
      </c>
    </row>
    <row r="35" spans="5:32" ht="14.5" thickBot="1">
      <c r="E35" s="57">
        <v>46569</v>
      </c>
      <c r="F35" s="56">
        <f>+_xlfn.XLOOKUP(E35,'PRODUCTO 01'!$C$10:$C$137,'PRODUCTO 01'!$F$10:$F$137)</f>
        <v>3138996.31</v>
      </c>
      <c r="G35" s="36">
        <v>31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6.5131812674507401</v>
      </c>
      <c r="N35" s="37">
        <v>1107.32391609141</v>
      </c>
      <c r="O35" s="37">
        <v>4686.1971305072302</v>
      </c>
      <c r="P35" s="37">
        <v>8339.1236884807295</v>
      </c>
      <c r="Q35" s="37">
        <v>10792.140602063653</v>
      </c>
      <c r="R35" s="37">
        <v>12093.888885019589</v>
      </c>
      <c r="S35" s="37">
        <v>12682.813898227516</v>
      </c>
      <c r="T35" s="37">
        <v>12364.878469003808</v>
      </c>
      <c r="U35" s="37">
        <v>11666.061355857601</v>
      </c>
      <c r="V35" s="37">
        <v>10601.10416932346</v>
      </c>
      <c r="W35" s="37">
        <v>8781.7200566106203</v>
      </c>
      <c r="X35" s="37">
        <v>5962.9537883563598</v>
      </c>
      <c r="Y35" s="37">
        <v>2095.8188947324302</v>
      </c>
      <c r="Z35" s="37">
        <v>77.407408143863009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8">
        <f t="shared" ref="AF35" si="24">ROUND(SUM(H35:AE35)*G35,2)</f>
        <v>3138996.31</v>
      </c>
    </row>
    <row r="36" spans="5:32" ht="14.5" thickBot="1">
      <c r="E36" s="57">
        <v>46600</v>
      </c>
      <c r="F36" s="56">
        <f>+_xlfn.XLOOKUP(E36,'PRODUCTO 01'!$C$10:$C$137,'PRODUCTO 01'!$F$10:$F$137)</f>
        <v>3004001.82</v>
      </c>
      <c r="G36" s="36">
        <v>31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2.2236674210416738</v>
      </c>
      <c r="N36" s="37">
        <v>877.41283842059306</v>
      </c>
      <c r="O36" s="37">
        <v>4103.765678748643</v>
      </c>
      <c r="P36" s="37">
        <v>7632.9478490521396</v>
      </c>
      <c r="Q36" s="37">
        <v>10305.824955556842</v>
      </c>
      <c r="R36" s="37">
        <v>11766.880798505079</v>
      </c>
      <c r="S36" s="37">
        <v>12066.178711975825</v>
      </c>
      <c r="T36" s="37">
        <v>12162.012679816875</v>
      </c>
      <c r="U36" s="37">
        <v>11697.257825265309</v>
      </c>
      <c r="V36" s="37">
        <v>10393.972101234032</v>
      </c>
      <c r="W36" s="37">
        <v>8508.6715219656508</v>
      </c>
      <c r="X36" s="37">
        <v>5653.2272061245376</v>
      </c>
      <c r="Y36" s="37">
        <v>1708.3592197672742</v>
      </c>
      <c r="Z36" s="37">
        <v>24.549364705028896</v>
      </c>
      <c r="AA36" s="37">
        <v>0</v>
      </c>
      <c r="AB36" s="37">
        <v>0</v>
      </c>
      <c r="AC36" s="37">
        <v>0</v>
      </c>
      <c r="AD36" s="37">
        <v>0</v>
      </c>
      <c r="AE36" s="37">
        <v>0</v>
      </c>
      <c r="AF36" s="38">
        <f t="shared" ref="AF36" si="25">ROUND(SUM(H36:AE36)*G36,2)</f>
        <v>3004001.82</v>
      </c>
    </row>
    <row r="37" spans="5:32" ht="14.5" thickBot="1">
      <c r="E37" s="57">
        <v>46631</v>
      </c>
      <c r="F37" s="56">
        <f>+_xlfn.XLOOKUP(E37,'PRODUCTO 01'!$C$10:$C$137,'PRODUCTO 01'!$F$10:$F$137)</f>
        <v>2816888.89</v>
      </c>
      <c r="G37" s="36">
        <v>30</v>
      </c>
      <c r="H37" s="37">
        <v>0</v>
      </c>
      <c r="I37" s="37">
        <v>0</v>
      </c>
      <c r="J37" s="37">
        <v>0</v>
      </c>
      <c r="K37" s="37">
        <v>0</v>
      </c>
      <c r="L37" s="37">
        <v>0</v>
      </c>
      <c r="M37" s="37">
        <v>1.6681355429583378</v>
      </c>
      <c r="N37" s="37">
        <v>988.0331929243282</v>
      </c>
      <c r="O37" s="37">
        <v>4342.5808675647731</v>
      </c>
      <c r="P37" s="37">
        <v>8537.4820231974918</v>
      </c>
      <c r="Q37" s="37">
        <v>10872.469154515737</v>
      </c>
      <c r="R37" s="37">
        <v>11121.70985716312</v>
      </c>
      <c r="S37" s="37">
        <v>11763.33037384073</v>
      </c>
      <c r="T37" s="37">
        <v>12081.543206600471</v>
      </c>
      <c r="U37" s="37">
        <v>11663.657254425709</v>
      </c>
      <c r="V37" s="37">
        <v>9714.9123691714831</v>
      </c>
      <c r="W37" s="37">
        <v>7880.548732822268</v>
      </c>
      <c r="X37" s="37">
        <v>4024.1509737260312</v>
      </c>
      <c r="Y37" s="37">
        <v>901.38521052724684</v>
      </c>
      <c r="Z37" s="37">
        <v>2.8249744371625818</v>
      </c>
      <c r="AA37" s="37">
        <v>0</v>
      </c>
      <c r="AB37" s="37">
        <v>0</v>
      </c>
      <c r="AC37" s="37">
        <v>0</v>
      </c>
      <c r="AD37" s="37">
        <v>0</v>
      </c>
      <c r="AE37" s="37">
        <v>0</v>
      </c>
      <c r="AF37" s="38">
        <f t="shared" ref="AF37" si="26">ROUND(SUM(H37:AE37)*G37,2)</f>
        <v>2816888.89</v>
      </c>
    </row>
    <row r="38" spans="5:32" ht="14.5" thickBot="1">
      <c r="E38" s="57">
        <v>46661</v>
      </c>
      <c r="F38" s="56">
        <f>+_xlfn.XLOOKUP(E38,'PRODUCTO 01'!$C$10:$C$137,'PRODUCTO 01'!$F$10:$F$137)</f>
        <v>2585708.52</v>
      </c>
      <c r="G38" s="36">
        <v>31</v>
      </c>
      <c r="H38" s="37">
        <v>0</v>
      </c>
      <c r="I38" s="37">
        <v>0</v>
      </c>
      <c r="J38" s="37">
        <v>0</v>
      </c>
      <c r="K38" s="37">
        <v>0</v>
      </c>
      <c r="L38" s="37">
        <v>0</v>
      </c>
      <c r="M38" s="37">
        <v>1.5947026153671442</v>
      </c>
      <c r="N38" s="37">
        <v>969.49285142858321</v>
      </c>
      <c r="O38" s="37">
        <v>4190.977568050419</v>
      </c>
      <c r="P38" s="37">
        <v>7686.5199764215313</v>
      </c>
      <c r="Q38" s="37">
        <v>9651.4521348433245</v>
      </c>
      <c r="R38" s="37">
        <v>10860.860660320997</v>
      </c>
      <c r="S38" s="37">
        <v>10974.120942709416</v>
      </c>
      <c r="T38" s="37">
        <v>10731.939871714689</v>
      </c>
      <c r="U38" s="37">
        <v>9927.6479629347559</v>
      </c>
      <c r="V38" s="37">
        <v>8597.1210787629516</v>
      </c>
      <c r="W38" s="37">
        <v>6251.288603329629</v>
      </c>
      <c r="X38" s="37">
        <v>3106.9515381454999</v>
      </c>
      <c r="Y38" s="37">
        <v>459.9296586342216</v>
      </c>
      <c r="Z38" s="37">
        <v>5.457198987402595E-2</v>
      </c>
      <c r="AA38" s="37">
        <v>0</v>
      </c>
      <c r="AB38" s="37">
        <v>0</v>
      </c>
      <c r="AC38" s="37">
        <v>0</v>
      </c>
      <c r="AD38" s="37">
        <v>0</v>
      </c>
      <c r="AE38" s="37">
        <v>0</v>
      </c>
      <c r="AF38" s="38">
        <f t="shared" ref="AF38" si="27">ROUND(SUM(H38:AE38)*G38,2)</f>
        <v>2585708.52</v>
      </c>
    </row>
    <row r="39" spans="5:32" ht="14.5" thickBot="1">
      <c r="E39" s="57">
        <v>46692</v>
      </c>
      <c r="F39" s="56">
        <f>+_xlfn.XLOOKUP(E39,'PRODUCTO 01'!$C$10:$C$137,'PRODUCTO 01'!$F$10:$F$137)</f>
        <v>2455524.35</v>
      </c>
      <c r="G39" s="36">
        <v>30</v>
      </c>
      <c r="H39" s="37">
        <v>0</v>
      </c>
      <c r="I39" s="37">
        <v>0</v>
      </c>
      <c r="J39" s="37">
        <v>0</v>
      </c>
      <c r="K39" s="37">
        <v>0</v>
      </c>
      <c r="L39" s="37">
        <v>0</v>
      </c>
      <c r="M39" s="37">
        <v>6.5186054113929151E-2</v>
      </c>
      <c r="N39" s="37">
        <v>813.41366718105007</v>
      </c>
      <c r="O39" s="37">
        <v>3998.9202412467193</v>
      </c>
      <c r="P39" s="37">
        <v>7432.0657979722419</v>
      </c>
      <c r="Q39" s="37">
        <v>9483.4678702392957</v>
      </c>
      <c r="R39" s="37">
        <v>10383.917823347103</v>
      </c>
      <c r="S39" s="37">
        <v>10890.557975567754</v>
      </c>
      <c r="T39" s="37">
        <v>10571.55943198983</v>
      </c>
      <c r="U39" s="37">
        <v>9831.4453562235121</v>
      </c>
      <c r="V39" s="37">
        <v>8620.2315101415206</v>
      </c>
      <c r="W39" s="37">
        <v>6411.2353520280249</v>
      </c>
      <c r="X39" s="37">
        <v>3029.1114726294418</v>
      </c>
      <c r="Y39" s="37">
        <v>384.7075592086228</v>
      </c>
      <c r="Z39" s="37">
        <v>0.11228607911048201</v>
      </c>
      <c r="AA39" s="37">
        <v>0</v>
      </c>
      <c r="AB39" s="37">
        <v>0</v>
      </c>
      <c r="AC39" s="37">
        <v>0</v>
      </c>
      <c r="AD39" s="37">
        <v>0</v>
      </c>
      <c r="AE39" s="37">
        <v>0</v>
      </c>
      <c r="AF39" s="38">
        <f t="shared" ref="AF39" si="28">ROUND(SUM(H39:AE39)*G39,2)</f>
        <v>2455524.35</v>
      </c>
    </row>
    <row r="40" spans="5:32" ht="14.5" thickBot="1">
      <c r="E40" s="57">
        <v>46722</v>
      </c>
      <c r="F40" s="56">
        <f>+_xlfn.XLOOKUP(E40,'PRODUCTO 01'!$C$10:$C$137,'PRODUCTO 01'!$F$10:$F$137)</f>
        <v>2877120.56</v>
      </c>
      <c r="G40" s="36">
        <v>31</v>
      </c>
      <c r="H40" s="37">
        <v>0</v>
      </c>
      <c r="I40" s="37">
        <v>0</v>
      </c>
      <c r="J40" s="37">
        <v>0</v>
      </c>
      <c r="K40" s="37">
        <v>0</v>
      </c>
      <c r="L40" s="37">
        <v>0</v>
      </c>
      <c r="M40" s="37">
        <v>2.1245622817038135E-3</v>
      </c>
      <c r="N40" s="37">
        <v>457.82687768782506</v>
      </c>
      <c r="O40" s="37">
        <v>3635.6264974435767</v>
      </c>
      <c r="P40" s="37">
        <v>8115.6300041539034</v>
      </c>
      <c r="Q40" s="37">
        <v>11136.342594980644</v>
      </c>
      <c r="R40" s="37">
        <v>12425.476923331906</v>
      </c>
      <c r="S40" s="37">
        <v>12435.349174708828</v>
      </c>
      <c r="T40" s="37">
        <v>12184.40311683867</v>
      </c>
      <c r="U40" s="37">
        <v>11494.208049701463</v>
      </c>
      <c r="V40" s="37">
        <v>9892.2909561885353</v>
      </c>
      <c r="W40" s="37">
        <v>7291.5757053382449</v>
      </c>
      <c r="X40" s="37">
        <v>3334.3833198620569</v>
      </c>
      <c r="Y40" s="37">
        <v>407.16720979564042</v>
      </c>
      <c r="Z40" s="37">
        <v>5.8213006518684496E-2</v>
      </c>
      <c r="AA40" s="37">
        <v>0</v>
      </c>
      <c r="AB40" s="37">
        <v>0</v>
      </c>
      <c r="AC40" s="37">
        <v>0</v>
      </c>
      <c r="AD40" s="37">
        <v>0</v>
      </c>
      <c r="AE40" s="37">
        <v>0</v>
      </c>
      <c r="AF40" s="38">
        <f t="shared" ref="AF40" si="29">ROUND(SUM(H40:AE40)*G40,2)</f>
        <v>2877120.56</v>
      </c>
    </row>
    <row r="41" spans="5:32" ht="14.5" thickBot="1">
      <c r="E41" s="57">
        <v>46753</v>
      </c>
      <c r="F41" s="56">
        <f>+_xlfn.XLOOKUP(E41,'PRODUCTO 01'!$C$10:$C$137,'PRODUCTO 01'!$F$10:$F$137)</f>
        <v>4012834.17</v>
      </c>
      <c r="G41" s="36">
        <v>31</v>
      </c>
      <c r="H41" s="37">
        <v>0</v>
      </c>
      <c r="I41" s="37">
        <v>0</v>
      </c>
      <c r="J41" s="37">
        <v>0</v>
      </c>
      <c r="K41" s="37">
        <v>0</v>
      </c>
      <c r="L41" s="37">
        <v>0</v>
      </c>
      <c r="M41" s="37">
        <v>0</v>
      </c>
      <c r="N41" s="37">
        <v>225.25646947338933</v>
      </c>
      <c r="O41" s="37">
        <v>3903.8663888823385</v>
      </c>
      <c r="P41" s="37">
        <v>10024.2305810534</v>
      </c>
      <c r="Q41" s="37">
        <v>14357.100371518822</v>
      </c>
      <c r="R41" s="37">
        <v>16113.858800588503</v>
      </c>
      <c r="S41" s="37">
        <v>16344.049127812088</v>
      </c>
      <c r="T41" s="37">
        <v>16269.70468338616</v>
      </c>
      <c r="U41" s="37">
        <v>15516.485945359649</v>
      </c>
      <c r="V41" s="37">
        <v>14994.292262480978</v>
      </c>
      <c r="W41" s="37">
        <v>12709.832958972722</v>
      </c>
      <c r="X41" s="37">
        <v>7548.9861899490515</v>
      </c>
      <c r="Y41" s="37">
        <v>1438.5219164782518</v>
      </c>
      <c r="Z41" s="37">
        <v>7.7771806293316481E-2</v>
      </c>
      <c r="AA41" s="37">
        <v>0</v>
      </c>
      <c r="AB41" s="37">
        <v>0</v>
      </c>
      <c r="AC41" s="37">
        <v>0</v>
      </c>
      <c r="AD41" s="37">
        <v>0</v>
      </c>
      <c r="AE41" s="37">
        <v>0</v>
      </c>
      <c r="AF41" s="38">
        <f>ROUND(SUM(H41:AE41)*G41,2)</f>
        <v>4012834.17</v>
      </c>
    </row>
    <row r="42" spans="5:32" ht="14.5" thickBot="1">
      <c r="E42" s="57">
        <v>46784</v>
      </c>
      <c r="F42" s="56">
        <f>+_xlfn.XLOOKUP(E42,'PRODUCTO 01'!$C$10:$C$137,'PRODUCTO 01'!$F$10:$F$137)</f>
        <v>3708262.63</v>
      </c>
      <c r="G42" s="36">
        <v>29</v>
      </c>
      <c r="H42" s="37">
        <v>0</v>
      </c>
      <c r="I42" s="37">
        <v>0</v>
      </c>
      <c r="J42" s="37">
        <v>0</v>
      </c>
      <c r="K42" s="37">
        <v>0</v>
      </c>
      <c r="L42" s="37">
        <v>0</v>
      </c>
      <c r="M42" s="37">
        <v>0</v>
      </c>
      <c r="N42" s="37">
        <v>300.31310675109467</v>
      </c>
      <c r="O42" s="37">
        <v>4458.6481244120778</v>
      </c>
      <c r="P42" s="37">
        <v>10698.743357786203</v>
      </c>
      <c r="Q42" s="37">
        <v>13602.818589759967</v>
      </c>
      <c r="R42" s="37">
        <v>14703.204593408802</v>
      </c>
      <c r="S42" s="37">
        <v>15177.343307959945</v>
      </c>
      <c r="T42" s="37">
        <v>15030.075920401205</v>
      </c>
      <c r="U42" s="37">
        <v>15199.675849675896</v>
      </c>
      <c r="V42" s="37">
        <v>14719.869623646158</v>
      </c>
      <c r="W42" s="37">
        <v>13269.190366801597</v>
      </c>
      <c r="X42" s="37">
        <v>8665.7586400361142</v>
      </c>
      <c r="Y42" s="37">
        <v>2026.1794731358937</v>
      </c>
      <c r="Z42" s="37">
        <v>19.304312153242684</v>
      </c>
      <c r="AA42" s="37">
        <v>0</v>
      </c>
      <c r="AB42" s="37">
        <v>0</v>
      </c>
      <c r="AC42" s="37">
        <v>0</v>
      </c>
      <c r="AD42" s="37">
        <v>0</v>
      </c>
      <c r="AE42" s="37">
        <v>0</v>
      </c>
      <c r="AF42" s="38">
        <f t="shared" ref="AF42" si="30">ROUND(SUM(H42:AE42)*G42,2)</f>
        <v>3708262.63</v>
      </c>
    </row>
    <row r="43" spans="5:32" ht="14.5" thickBot="1">
      <c r="E43" s="57">
        <v>46813</v>
      </c>
      <c r="F43" s="56">
        <f>+_xlfn.XLOOKUP(E43,'PRODUCTO 01'!$C$10:$C$137,'PRODUCTO 01'!$F$10:$F$137)</f>
        <v>3901176.44</v>
      </c>
      <c r="G43" s="36">
        <v>31</v>
      </c>
      <c r="H43" s="37">
        <v>0</v>
      </c>
      <c r="I43" s="37">
        <v>0</v>
      </c>
      <c r="J43" s="37">
        <v>0</v>
      </c>
      <c r="K43" s="37">
        <v>0</v>
      </c>
      <c r="L43" s="37">
        <v>0</v>
      </c>
      <c r="M43" s="37">
        <v>2.5571145726340273E-2</v>
      </c>
      <c r="N43" s="37">
        <v>555.59472003427197</v>
      </c>
      <c r="O43" s="37">
        <v>4630.8790052438499</v>
      </c>
      <c r="P43" s="37">
        <v>10385.283920503936</v>
      </c>
      <c r="Q43" s="37">
        <v>13827.043204754824</v>
      </c>
      <c r="R43" s="37">
        <v>15467.961062915412</v>
      </c>
      <c r="S43" s="37">
        <v>15475.600917285821</v>
      </c>
      <c r="T43" s="37">
        <v>15129.503904800116</v>
      </c>
      <c r="U43" s="37">
        <v>14453.474359251019</v>
      </c>
      <c r="V43" s="37">
        <v>13851.654192274056</v>
      </c>
      <c r="W43" s="37">
        <v>12084.406013252057</v>
      </c>
      <c r="X43" s="37">
        <v>7932.7069247602285</v>
      </c>
      <c r="Y43" s="37">
        <v>2025.8126244046543</v>
      </c>
      <c r="Z43" s="37">
        <v>24.454721618049398</v>
      </c>
      <c r="AA43" s="37">
        <v>0</v>
      </c>
      <c r="AB43" s="37">
        <v>0</v>
      </c>
      <c r="AC43" s="37">
        <v>0</v>
      </c>
      <c r="AD43" s="37">
        <v>0</v>
      </c>
      <c r="AE43" s="37">
        <v>0</v>
      </c>
      <c r="AF43" s="38">
        <f t="shared" ref="AF43" si="31">ROUND(SUM(H43:AE43)*G43,2)</f>
        <v>3901176.44</v>
      </c>
    </row>
    <row r="44" spans="5:32" ht="14.5" thickBot="1">
      <c r="E44" s="57">
        <v>46844</v>
      </c>
      <c r="F44" s="56">
        <f>+_xlfn.XLOOKUP(E44,'PRODUCTO 01'!$C$10:$C$137,'PRODUCTO 01'!$F$10:$F$137)</f>
        <v>3427061.56</v>
      </c>
      <c r="G44" s="36">
        <v>30</v>
      </c>
      <c r="H44" s="37">
        <v>0</v>
      </c>
      <c r="I44" s="37">
        <v>0</v>
      </c>
      <c r="J44" s="37">
        <v>0</v>
      </c>
      <c r="K44" s="37">
        <v>0</v>
      </c>
      <c r="L44" s="37">
        <v>0</v>
      </c>
      <c r="M44" s="37">
        <v>2.6611079016919192</v>
      </c>
      <c r="N44" s="37">
        <v>1094.0203722921822</v>
      </c>
      <c r="O44" s="37">
        <v>5191.2793480879463</v>
      </c>
      <c r="P44" s="37">
        <v>10076.16743084544</v>
      </c>
      <c r="Q44" s="37">
        <v>12853.854836727336</v>
      </c>
      <c r="R44" s="37">
        <v>13991.753862216441</v>
      </c>
      <c r="S44" s="37">
        <v>13965.87962766726</v>
      </c>
      <c r="T44" s="37">
        <v>13849.70248132945</v>
      </c>
      <c r="U44" s="37">
        <v>13201.211765992937</v>
      </c>
      <c r="V44" s="37">
        <v>12036.481087395872</v>
      </c>
      <c r="W44" s="37">
        <v>9975.6351875938017</v>
      </c>
      <c r="X44" s="37">
        <v>6313.1634004400312</v>
      </c>
      <c r="Y44" s="37">
        <v>1662.3474489436248</v>
      </c>
      <c r="Z44" s="37">
        <v>21.227515785902529</v>
      </c>
      <c r="AA44" s="37">
        <v>0</v>
      </c>
      <c r="AB44" s="37">
        <v>0</v>
      </c>
      <c r="AC44" s="37">
        <v>0</v>
      </c>
      <c r="AD44" s="37">
        <v>0</v>
      </c>
      <c r="AE44" s="37">
        <v>0</v>
      </c>
      <c r="AF44" s="38">
        <f t="shared" ref="AF44" si="32">ROUND(SUM(H44:AE44)*G44,2)</f>
        <v>3427061.56</v>
      </c>
    </row>
    <row r="45" spans="5:32" ht="14.5" thickBot="1">
      <c r="E45" s="57">
        <v>46874</v>
      </c>
      <c r="F45" s="56">
        <f>+_xlfn.XLOOKUP(E45,'PRODUCTO 01'!$C$10:$C$137,'PRODUCTO 01'!$F$10:$F$137)</f>
        <v>3289658.77</v>
      </c>
      <c r="G45" s="36">
        <v>31</v>
      </c>
      <c r="H45" s="37">
        <v>0</v>
      </c>
      <c r="I45" s="37">
        <v>0</v>
      </c>
      <c r="J45" s="37">
        <v>0</v>
      </c>
      <c r="K45" s="37">
        <v>0</v>
      </c>
      <c r="L45" s="37">
        <v>0</v>
      </c>
      <c r="M45" s="37">
        <v>23.334951776898414</v>
      </c>
      <c r="N45" s="37">
        <v>1442.9230004858637</v>
      </c>
      <c r="O45" s="37">
        <v>5171.6627212439735</v>
      </c>
      <c r="P45" s="37">
        <v>8788.3881906376155</v>
      </c>
      <c r="Q45" s="37">
        <v>11893.595924687137</v>
      </c>
      <c r="R45" s="37">
        <v>13316.851771864933</v>
      </c>
      <c r="S45" s="37">
        <v>13298.305221729963</v>
      </c>
      <c r="T45" s="37">
        <v>13463.757431893182</v>
      </c>
      <c r="U45" s="37">
        <v>12457.8700993356</v>
      </c>
      <c r="V45" s="37">
        <v>10677.982241184158</v>
      </c>
      <c r="W45" s="37">
        <v>8401.3093018934869</v>
      </c>
      <c r="X45" s="37">
        <v>5428.0020279798155</v>
      </c>
      <c r="Y45" s="37">
        <v>1726.2210196695012</v>
      </c>
      <c r="Z45" s="37">
        <v>27.820904501471524</v>
      </c>
      <c r="AA45" s="37">
        <v>0</v>
      </c>
      <c r="AB45" s="37">
        <v>0</v>
      </c>
      <c r="AC45" s="37">
        <v>0</v>
      </c>
      <c r="AD45" s="37">
        <v>0</v>
      </c>
      <c r="AE45" s="37">
        <v>0</v>
      </c>
      <c r="AF45" s="38">
        <f t="shared" ref="AF45" si="33">ROUND(SUM(H45:AE45)*G45,2)</f>
        <v>3289658.77</v>
      </c>
    </row>
    <row r="46" spans="5:32" ht="14.5" thickBot="1">
      <c r="E46" s="57">
        <v>46905</v>
      </c>
      <c r="F46" s="56">
        <f>+_xlfn.XLOOKUP(E46,'PRODUCTO 01'!$C$10:$C$137,'PRODUCTO 01'!$F$10:$F$137)</f>
        <v>3658887.86</v>
      </c>
      <c r="G46" s="36">
        <v>30</v>
      </c>
      <c r="H46" s="37">
        <v>0</v>
      </c>
      <c r="I46" s="37">
        <v>0</v>
      </c>
      <c r="J46" s="37">
        <v>0</v>
      </c>
      <c r="K46" s="37">
        <v>0</v>
      </c>
      <c r="L46" s="37">
        <v>0</v>
      </c>
      <c r="M46" s="37">
        <v>25.750629935021692</v>
      </c>
      <c r="N46" s="37">
        <v>1528.4142924146042</v>
      </c>
      <c r="O46" s="37">
        <v>5552.7356718978426</v>
      </c>
      <c r="P46" s="37">
        <v>9185.3127048052957</v>
      </c>
      <c r="Q46" s="37">
        <v>12394.189927664767</v>
      </c>
      <c r="R46" s="37">
        <v>14795.041495686104</v>
      </c>
      <c r="S46" s="37">
        <v>15944.327655658582</v>
      </c>
      <c r="T46" s="37">
        <v>15713.916643678467</v>
      </c>
      <c r="U46" s="37">
        <v>14630.524633666748</v>
      </c>
      <c r="V46" s="37">
        <v>12667.442230640649</v>
      </c>
      <c r="W46" s="37">
        <v>10326.817118184748</v>
      </c>
      <c r="X46" s="37">
        <v>6836.3745034799149</v>
      </c>
      <c r="Y46" s="37">
        <v>2281.9173771326523</v>
      </c>
      <c r="Z46" s="37">
        <v>80.163886064400742</v>
      </c>
      <c r="AA46" s="37">
        <v>0</v>
      </c>
      <c r="AB46" s="37">
        <v>0</v>
      </c>
      <c r="AC46" s="37">
        <v>0</v>
      </c>
      <c r="AD46" s="37">
        <v>0</v>
      </c>
      <c r="AE46" s="37">
        <v>0</v>
      </c>
      <c r="AF46" s="38">
        <f t="shared" ref="AF46" si="34">ROUND(SUM(H46:AE46)*G46,2)</f>
        <v>3658887.86</v>
      </c>
    </row>
    <row r="47" spans="5:32" ht="14.5" thickBot="1">
      <c r="E47" s="57">
        <v>46935</v>
      </c>
      <c r="F47" s="56">
        <f>+_xlfn.XLOOKUP(E47,'PRODUCTO 01'!$C$10:$C$137,'PRODUCTO 01'!$F$10:$F$137)</f>
        <v>3776121.55</v>
      </c>
      <c r="G47" s="36">
        <v>31</v>
      </c>
      <c r="H47" s="37">
        <v>0</v>
      </c>
      <c r="I47" s="37">
        <v>0</v>
      </c>
      <c r="J47" s="37">
        <v>0</v>
      </c>
      <c r="K47" s="37">
        <v>0</v>
      </c>
      <c r="L47" s="37">
        <v>0</v>
      </c>
      <c r="M47" s="37">
        <v>7.8351682345431186</v>
      </c>
      <c r="N47" s="37">
        <v>1332.0785675146913</v>
      </c>
      <c r="O47" s="37">
        <v>5637.3592857378671</v>
      </c>
      <c r="P47" s="37">
        <v>10031.72402930584</v>
      </c>
      <c r="Q47" s="37">
        <v>12982.63225846135</v>
      </c>
      <c r="R47" s="37">
        <v>14548.59770256137</v>
      </c>
      <c r="S47" s="37">
        <v>15257.057419332104</v>
      </c>
      <c r="T47" s="37">
        <v>14874.590315562333</v>
      </c>
      <c r="U47" s="37">
        <v>14033.933588558424</v>
      </c>
      <c r="V47" s="37">
        <v>12752.820968404589</v>
      </c>
      <c r="W47" s="37">
        <v>10564.154628408873</v>
      </c>
      <c r="X47" s="37">
        <v>7173.260529391775</v>
      </c>
      <c r="Y47" s="37">
        <v>2521.2093683660091</v>
      </c>
      <c r="Z47" s="37">
        <v>93.118867800910124</v>
      </c>
      <c r="AA47" s="37">
        <v>0</v>
      </c>
      <c r="AB47" s="37">
        <v>0</v>
      </c>
      <c r="AC47" s="37">
        <v>0</v>
      </c>
      <c r="AD47" s="37">
        <v>0</v>
      </c>
      <c r="AE47" s="37">
        <v>0</v>
      </c>
      <c r="AF47" s="38">
        <f t="shared" ref="AF47" si="35">ROUND(SUM(H47:AE47)*G47,2)</f>
        <v>3776121.55</v>
      </c>
    </row>
    <row r="48" spans="5:32" ht="14.5" thickBot="1">
      <c r="E48" s="57">
        <v>46966</v>
      </c>
      <c r="F48" s="56">
        <f>+_xlfn.XLOOKUP(E48,'PRODUCTO 01'!$C$10:$C$137,'PRODUCTO 01'!$F$10:$F$137)</f>
        <v>3613727.09</v>
      </c>
      <c r="G48" s="36">
        <v>31</v>
      </c>
      <c r="H48" s="37">
        <v>0</v>
      </c>
      <c r="I48" s="37">
        <v>0</v>
      </c>
      <c r="J48" s="37">
        <v>0</v>
      </c>
      <c r="K48" s="37">
        <v>0</v>
      </c>
      <c r="L48" s="37">
        <v>0</v>
      </c>
      <c r="M48" s="37">
        <v>2.6750074389305949</v>
      </c>
      <c r="N48" s="37">
        <v>1055.5022066603856</v>
      </c>
      <c r="O48" s="37">
        <v>4936.7111351293006</v>
      </c>
      <c r="P48" s="37">
        <v>9182.2149679284739</v>
      </c>
      <c r="Q48" s="37">
        <v>12397.608634980523</v>
      </c>
      <c r="R48" s="37">
        <v>14155.216455105305</v>
      </c>
      <c r="S48" s="37">
        <v>14515.263167763258</v>
      </c>
      <c r="T48" s="37">
        <v>14630.548652656928</v>
      </c>
      <c r="U48" s="37">
        <v>14071.462036807621</v>
      </c>
      <c r="V48" s="37">
        <v>12503.647095667475</v>
      </c>
      <c r="W48" s="37">
        <v>10235.685157456139</v>
      </c>
      <c r="X48" s="37">
        <v>6800.6684305622857</v>
      </c>
      <c r="Y48" s="37">
        <v>2055.1066126167261</v>
      </c>
      <c r="Z48" s="37">
        <v>29.532174004784224</v>
      </c>
      <c r="AA48" s="37">
        <v>0</v>
      </c>
      <c r="AB48" s="37">
        <v>0</v>
      </c>
      <c r="AC48" s="37">
        <v>0</v>
      </c>
      <c r="AD48" s="37">
        <v>0</v>
      </c>
      <c r="AE48" s="37">
        <v>0</v>
      </c>
      <c r="AF48" s="38">
        <f t="shared" ref="AF48" si="36">ROUND(SUM(H48:AE48)*G48,2)</f>
        <v>3613727.09</v>
      </c>
    </row>
    <row r="49" spans="5:32" ht="14.5" thickBot="1">
      <c r="E49" s="57">
        <v>46997</v>
      </c>
      <c r="F49" s="56">
        <f>+_xlfn.XLOOKUP(E49,'PRODUCTO 01'!$C$10:$C$137,'PRODUCTO 01'!$F$10:$F$137)</f>
        <v>3388635.67</v>
      </c>
      <c r="G49" s="36">
        <v>30</v>
      </c>
      <c r="H49" s="37">
        <v>0</v>
      </c>
      <c r="I49" s="37">
        <v>0</v>
      </c>
      <c r="J49" s="37">
        <v>0</v>
      </c>
      <c r="K49" s="37">
        <v>0</v>
      </c>
      <c r="L49" s="37">
        <v>0</v>
      </c>
      <c r="M49" s="37">
        <v>2.006718695580715</v>
      </c>
      <c r="N49" s="37">
        <v>1188.5752860222317</v>
      </c>
      <c r="O49" s="37">
        <v>5223.9988835433605</v>
      </c>
      <c r="P49" s="37">
        <v>10270.343355163772</v>
      </c>
      <c r="Q49" s="37">
        <v>13079.265178175208</v>
      </c>
      <c r="R49" s="37">
        <v>13379.094517471691</v>
      </c>
      <c r="S49" s="37">
        <v>14150.945397168027</v>
      </c>
      <c r="T49" s="37">
        <v>14533.746209349159</v>
      </c>
      <c r="U49" s="37">
        <v>14031.041524235579</v>
      </c>
      <c r="V49" s="37">
        <v>11686.75792530107</v>
      </c>
      <c r="W49" s="37">
        <v>9480.0716526572596</v>
      </c>
      <c r="X49" s="37">
        <v>4840.9369531772218</v>
      </c>
      <c r="Y49" s="37">
        <v>1084.3402752974982</v>
      </c>
      <c r="Z49" s="37">
        <v>3.3983623462265289</v>
      </c>
      <c r="AA49" s="37">
        <v>0</v>
      </c>
      <c r="AB49" s="37">
        <v>0</v>
      </c>
      <c r="AC49" s="37">
        <v>0</v>
      </c>
      <c r="AD49" s="37">
        <v>0</v>
      </c>
      <c r="AE49" s="37">
        <v>0</v>
      </c>
      <c r="AF49" s="38">
        <f t="shared" ref="AF49" si="37">ROUND(SUM(H49:AE49)*G49,2)</f>
        <v>3388635.67</v>
      </c>
    </row>
    <row r="50" spans="5:32" ht="14.5" thickBot="1">
      <c r="E50" s="57">
        <v>47027</v>
      </c>
      <c r="F50" s="56">
        <f>+_xlfn.XLOOKUP(E50,'PRODUCTO 01'!$C$10:$C$137,'PRODUCTO 01'!$F$10:$F$137)</f>
        <v>3110532.38</v>
      </c>
      <c r="G50" s="36">
        <v>31</v>
      </c>
      <c r="H50" s="37">
        <v>0</v>
      </c>
      <c r="I50" s="37">
        <v>0</v>
      </c>
      <c r="J50" s="37">
        <v>0</v>
      </c>
      <c r="K50" s="37">
        <v>0</v>
      </c>
      <c r="L50" s="37">
        <v>0</v>
      </c>
      <c r="M50" s="37">
        <v>1.9183810126564969</v>
      </c>
      <c r="N50" s="37">
        <v>1166.2717927245701</v>
      </c>
      <c r="O50" s="37">
        <v>5041.6245095115883</v>
      </c>
      <c r="P50" s="37">
        <v>9246.6606839903307</v>
      </c>
      <c r="Q50" s="37">
        <v>11610.417103243884</v>
      </c>
      <c r="R50" s="37">
        <v>13065.300496212487</v>
      </c>
      <c r="S50" s="37">
        <v>13201.549332282801</v>
      </c>
      <c r="T50" s="37">
        <v>12910.212525191568</v>
      </c>
      <c r="U50" s="37">
        <v>11942.672676966358</v>
      </c>
      <c r="V50" s="37">
        <v>10342.087409953077</v>
      </c>
      <c r="W50" s="37">
        <v>7520.118952399499</v>
      </c>
      <c r="X50" s="37">
        <v>3737.5726236267546</v>
      </c>
      <c r="Y50" s="37">
        <v>553.28204505285805</v>
      </c>
      <c r="Z50" s="37">
        <v>6.5648521666913776E-2</v>
      </c>
      <c r="AA50" s="37">
        <v>0</v>
      </c>
      <c r="AB50" s="37">
        <v>0</v>
      </c>
      <c r="AC50" s="37">
        <v>0</v>
      </c>
      <c r="AD50" s="37">
        <v>0</v>
      </c>
      <c r="AE50" s="37">
        <v>0</v>
      </c>
      <c r="AF50" s="38">
        <f t="shared" ref="AF50" si="38">ROUND(SUM(H50:AE50)*G50,2)</f>
        <v>3110532.38</v>
      </c>
    </row>
    <row r="51" spans="5:32" ht="14.5" thickBot="1">
      <c r="E51" s="57">
        <v>47058</v>
      </c>
      <c r="F51" s="56">
        <f>+_xlfn.XLOOKUP(E51,'PRODUCTO 01'!$C$10:$C$137,'PRODUCTO 01'!$F$10:$F$137)</f>
        <v>2953924.6</v>
      </c>
      <c r="G51" s="36">
        <v>30</v>
      </c>
      <c r="H51" s="37">
        <v>0</v>
      </c>
      <c r="I51" s="37">
        <v>0</v>
      </c>
      <c r="J51" s="37">
        <v>0</v>
      </c>
      <c r="K51" s="37">
        <v>0</v>
      </c>
      <c r="L51" s="37">
        <v>0</v>
      </c>
      <c r="M51" s="37">
        <v>7.8416933224487284E-2</v>
      </c>
      <c r="N51" s="37">
        <v>978.51305912366729</v>
      </c>
      <c r="O51" s="37">
        <v>4810.585113494194</v>
      </c>
      <c r="P51" s="37">
        <v>8940.5596844532829</v>
      </c>
      <c r="Q51" s="37">
        <v>11408.336903126294</v>
      </c>
      <c r="R51" s="37">
        <v>12491.552090863197</v>
      </c>
      <c r="S51" s="37">
        <v>13101.025505469548</v>
      </c>
      <c r="T51" s="37">
        <v>12717.279505953471</v>
      </c>
      <c r="U51" s="37">
        <v>11826.943730199426</v>
      </c>
      <c r="V51" s="37">
        <v>10369.888588883694</v>
      </c>
      <c r="W51" s="37">
        <v>7712.5302539063323</v>
      </c>
      <c r="X51" s="37">
        <v>3643.9332815506991</v>
      </c>
      <c r="Y51" s="37">
        <v>462.79204028353297</v>
      </c>
      <c r="Z51" s="37">
        <v>0.13507689777106266</v>
      </c>
      <c r="AA51" s="37">
        <v>0</v>
      </c>
      <c r="AB51" s="37">
        <v>0</v>
      </c>
      <c r="AC51" s="37">
        <v>0</v>
      </c>
      <c r="AD51" s="37">
        <v>0</v>
      </c>
      <c r="AE51" s="37">
        <v>0</v>
      </c>
      <c r="AF51" s="38">
        <f t="shared" ref="AF51" si="39">ROUND(SUM(H51:AE51)*G51,2)</f>
        <v>2953924.6</v>
      </c>
    </row>
    <row r="52" spans="5:32" ht="14.5" thickBot="1">
      <c r="E52" s="57">
        <v>47088</v>
      </c>
      <c r="F52" s="56">
        <f>+_xlfn.XLOOKUP(E52,'PRODUCTO 01'!$C$10:$C$137,'PRODUCTO 01'!$F$10:$F$137)</f>
        <v>3461092.62</v>
      </c>
      <c r="G52" s="36">
        <v>31</v>
      </c>
      <c r="H52" s="37">
        <v>0</v>
      </c>
      <c r="I52" s="37">
        <v>0</v>
      </c>
      <c r="J52" s="37">
        <v>0</v>
      </c>
      <c r="K52" s="37">
        <v>0</v>
      </c>
      <c r="L52" s="37">
        <v>0</v>
      </c>
      <c r="M52" s="37">
        <v>2.5557868295640923E-3</v>
      </c>
      <c r="N52" s="37">
        <v>550.75246053818398</v>
      </c>
      <c r="O52" s="37">
        <v>4373.5532723139577</v>
      </c>
      <c r="P52" s="37">
        <v>9762.8676065912368</v>
      </c>
      <c r="Q52" s="37">
        <v>13396.697276833729</v>
      </c>
      <c r="R52" s="37">
        <v>14947.488499248189</v>
      </c>
      <c r="S52" s="37">
        <v>14959.364531438241</v>
      </c>
      <c r="T52" s="37">
        <v>14657.48369925043</v>
      </c>
      <c r="U52" s="37">
        <v>13827.199043624929</v>
      </c>
      <c r="V52" s="37">
        <v>11900.139222921258</v>
      </c>
      <c r="W52" s="37">
        <v>8771.554176104406</v>
      </c>
      <c r="X52" s="37">
        <v>4011.1664633278529</v>
      </c>
      <c r="Y52" s="37">
        <v>489.81034878935725</v>
      </c>
      <c r="Z52" s="37">
        <v>7.0028559130056109E-2</v>
      </c>
      <c r="AA52" s="37">
        <v>0</v>
      </c>
      <c r="AB52" s="37">
        <v>0</v>
      </c>
      <c r="AC52" s="37">
        <v>0</v>
      </c>
      <c r="AD52" s="37">
        <v>0</v>
      </c>
      <c r="AE52" s="37">
        <v>0</v>
      </c>
      <c r="AF52" s="38">
        <f t="shared" ref="AF52" si="40">ROUND(SUM(H52:AE52)*G52,2)</f>
        <v>3461092.62</v>
      </c>
    </row>
    <row r="53" spans="5:32" ht="14.5" thickBot="1">
      <c r="E53" s="57">
        <v>47119</v>
      </c>
      <c r="F53" s="56">
        <f>+_xlfn.XLOOKUP(E53,'PRODUCTO 01'!$C$10:$C$137,'PRODUCTO 01'!$F$10:$F$137)</f>
        <v>4400745.0999999996</v>
      </c>
      <c r="G53" s="36">
        <v>31</v>
      </c>
      <c r="H53" s="37">
        <v>0</v>
      </c>
      <c r="I53" s="37">
        <v>0</v>
      </c>
      <c r="J53" s="37">
        <v>0</v>
      </c>
      <c r="K53" s="37">
        <v>0</v>
      </c>
      <c r="L53" s="37">
        <v>0</v>
      </c>
      <c r="M53" s="37">
        <v>0</v>
      </c>
      <c r="N53" s="37">
        <v>247.03146531829887</v>
      </c>
      <c r="O53" s="37">
        <v>4281.243671744518</v>
      </c>
      <c r="P53" s="37">
        <v>10993.248606423098</v>
      </c>
      <c r="Q53" s="37">
        <v>15744.966396701748</v>
      </c>
      <c r="R53" s="37">
        <v>17671.54639663655</v>
      </c>
      <c r="S53" s="37">
        <v>17923.988663751366</v>
      </c>
      <c r="T53" s="37">
        <v>17842.457522436103</v>
      </c>
      <c r="U53" s="37">
        <v>17016.426958275679</v>
      </c>
      <c r="V53" s="37">
        <v>16443.754080275536</v>
      </c>
      <c r="W53" s="37">
        <v>13938.461643947387</v>
      </c>
      <c r="X53" s="37">
        <v>8278.7283514226401</v>
      </c>
      <c r="Y53" s="37">
        <v>1577.5803365420793</v>
      </c>
      <c r="Z53" s="37">
        <v>8.528981793066101E-2</v>
      </c>
      <c r="AA53" s="37">
        <v>0</v>
      </c>
      <c r="AB53" s="37">
        <v>0</v>
      </c>
      <c r="AC53" s="37">
        <v>0</v>
      </c>
      <c r="AD53" s="37">
        <v>0</v>
      </c>
      <c r="AE53" s="37">
        <v>0</v>
      </c>
      <c r="AF53" s="38">
        <f>ROUND(SUM(H53:AE53)*G53,2)</f>
        <v>4400745.0999999996</v>
      </c>
    </row>
    <row r="54" spans="5:32" ht="14.5" thickBot="1">
      <c r="E54" s="57">
        <v>47150</v>
      </c>
      <c r="F54" s="56">
        <f>+_xlfn.XLOOKUP(E54,'PRODUCTO 01'!$C$10:$C$137,'PRODUCTO 01'!$F$10:$F$137)</f>
        <v>4066731.38</v>
      </c>
      <c r="G54" s="36">
        <v>28</v>
      </c>
      <c r="H54" s="37">
        <v>0</v>
      </c>
      <c r="I54" s="37">
        <v>0</v>
      </c>
      <c r="J54" s="37">
        <v>0</v>
      </c>
      <c r="K54" s="37">
        <v>0</v>
      </c>
      <c r="L54" s="37">
        <v>0</v>
      </c>
      <c r="M54" s="37">
        <v>0</v>
      </c>
      <c r="N54" s="37">
        <v>341.10591849006539</v>
      </c>
      <c r="O54" s="37">
        <v>5064.2853392413435</v>
      </c>
      <c r="P54" s="37">
        <v>12151.999355698608</v>
      </c>
      <c r="Q54" s="37">
        <v>15450.547527915704</v>
      </c>
      <c r="R54" s="37">
        <v>16700.403661498793</v>
      </c>
      <c r="S54" s="37">
        <v>17238.946662396556</v>
      </c>
      <c r="T54" s="37">
        <v>17071.675316699042</v>
      </c>
      <c r="U54" s="37">
        <v>17264.31272862207</v>
      </c>
      <c r="V54" s="37">
        <v>16719.33237395918</v>
      </c>
      <c r="W54" s="37">
        <v>15071.601158715956</v>
      </c>
      <c r="X54" s="37">
        <v>9842.8656421335618</v>
      </c>
      <c r="Y54" s="37">
        <v>2301.4040835139695</v>
      </c>
      <c r="Z54" s="37">
        <v>21.926499309630202</v>
      </c>
      <c r="AA54" s="37">
        <v>0</v>
      </c>
      <c r="AB54" s="37">
        <v>0</v>
      </c>
      <c r="AC54" s="37">
        <v>0</v>
      </c>
      <c r="AD54" s="37">
        <v>0</v>
      </c>
      <c r="AE54" s="37">
        <v>0</v>
      </c>
      <c r="AF54" s="38">
        <f t="shared" ref="AF54" si="41">ROUND(SUM(H54:AE54)*G54,2)</f>
        <v>4066731.38</v>
      </c>
    </row>
    <row r="55" spans="5:32" ht="14.5" thickBot="1">
      <c r="E55" s="57">
        <v>47178</v>
      </c>
      <c r="F55" s="56">
        <f>+_xlfn.XLOOKUP(E55,'PRODUCTO 01'!$C$10:$C$137,'PRODUCTO 01'!$F$10:$F$137)</f>
        <v>4278293.6900000004</v>
      </c>
      <c r="G55" s="36">
        <v>31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2.8043046281482444E-2</v>
      </c>
      <c r="N55" s="37">
        <v>609.30271229963591</v>
      </c>
      <c r="O55" s="37">
        <v>5078.534832102916</v>
      </c>
      <c r="P55" s="37">
        <v>11389.20409534222</v>
      </c>
      <c r="Q55" s="37">
        <v>15163.669890926383</v>
      </c>
      <c r="R55" s="37">
        <v>16963.211293293352</v>
      </c>
      <c r="S55" s="37">
        <v>16971.589673831557</v>
      </c>
      <c r="T55" s="37">
        <v>16592.03630368194</v>
      </c>
      <c r="U55" s="37">
        <v>15850.65662377363</v>
      </c>
      <c r="V55" s="37">
        <v>15190.659962838723</v>
      </c>
      <c r="W55" s="37">
        <v>13252.576194299176</v>
      </c>
      <c r="X55" s="37">
        <v>8699.5424377617564</v>
      </c>
      <c r="Y55" s="37">
        <v>2221.6430109063303</v>
      </c>
      <c r="Z55" s="37">
        <v>26.818700165996731</v>
      </c>
      <c r="AA55" s="37">
        <v>0</v>
      </c>
      <c r="AB55" s="37">
        <v>0</v>
      </c>
      <c r="AC55" s="37">
        <v>0</v>
      </c>
      <c r="AD55" s="37">
        <v>0</v>
      </c>
      <c r="AE55" s="37">
        <v>0</v>
      </c>
      <c r="AF55" s="38">
        <f t="shared" ref="AF55" si="42">ROUND(SUM(H55:AE55)*G55,2)</f>
        <v>4278293.6900000004</v>
      </c>
    </row>
    <row r="56" spans="5:32" ht="14.5" thickBot="1">
      <c r="E56" s="57">
        <v>47209</v>
      </c>
      <c r="F56" s="56">
        <f>+_xlfn.XLOOKUP(E56,'PRODUCTO 01'!$C$10:$C$137,'PRODUCTO 01'!$F$10:$F$137)</f>
        <v>3758347.28</v>
      </c>
      <c r="G56" s="36">
        <v>30</v>
      </c>
      <c r="H56" s="37">
        <v>0</v>
      </c>
      <c r="I56" s="37">
        <v>0</v>
      </c>
      <c r="J56" s="37">
        <v>0</v>
      </c>
      <c r="K56" s="37">
        <v>0</v>
      </c>
      <c r="L56" s="37">
        <v>0</v>
      </c>
      <c r="M56" s="37">
        <v>2.9183507397674</v>
      </c>
      <c r="N56" s="37">
        <v>1199.7766647378603</v>
      </c>
      <c r="O56" s="37">
        <v>5693.1077150984393</v>
      </c>
      <c r="P56" s="37">
        <v>11050.20606535042</v>
      </c>
      <c r="Q56" s="37">
        <v>14096.405766852229</v>
      </c>
      <c r="R56" s="37">
        <v>15344.302727627619</v>
      </c>
      <c r="S56" s="37">
        <v>15315.927293662877</v>
      </c>
      <c r="T56" s="37">
        <v>15188.519584737038</v>
      </c>
      <c r="U56" s="37">
        <v>14477.340846877009</v>
      </c>
      <c r="V56" s="37">
        <v>13200.018482251206</v>
      </c>
      <c r="W56" s="37">
        <v>10939.955614296796</v>
      </c>
      <c r="X56" s="37">
        <v>6923.4415741777102</v>
      </c>
      <c r="Y56" s="37">
        <v>1823.0425396469782</v>
      </c>
      <c r="Z56" s="37">
        <v>23.279528183665811</v>
      </c>
      <c r="AA56" s="37">
        <v>0</v>
      </c>
      <c r="AB56" s="37">
        <v>0</v>
      </c>
      <c r="AC56" s="37">
        <v>0</v>
      </c>
      <c r="AD56" s="37">
        <v>0</v>
      </c>
      <c r="AE56" s="37">
        <v>0</v>
      </c>
      <c r="AF56" s="38">
        <f t="shared" ref="AF56" si="43">ROUND(SUM(H56:AE56)*G56,2)</f>
        <v>3758347.28</v>
      </c>
    </row>
    <row r="57" spans="5:32" ht="14.5" thickBot="1">
      <c r="E57" s="57">
        <v>47239</v>
      </c>
      <c r="F57" s="56">
        <f>+_xlfn.XLOOKUP(E57,'PRODUCTO 01'!$C$10:$C$137,'PRODUCTO 01'!$F$10:$F$137)</f>
        <v>3607662.09</v>
      </c>
      <c r="G57" s="36">
        <v>31</v>
      </c>
      <c r="H57" s="37">
        <v>0</v>
      </c>
      <c r="I57" s="37">
        <v>0</v>
      </c>
      <c r="J57" s="37">
        <v>0</v>
      </c>
      <c r="K57" s="37">
        <v>0</v>
      </c>
      <c r="L57" s="37">
        <v>0</v>
      </c>
      <c r="M57" s="37">
        <v>25.590684893780793</v>
      </c>
      <c r="N57" s="37">
        <v>1582.4068626522107</v>
      </c>
      <c r="O57" s="37">
        <v>5671.5947965785062</v>
      </c>
      <c r="P57" s="37">
        <v>9637.9403334993494</v>
      </c>
      <c r="Q57" s="37">
        <v>13043.320957875099</v>
      </c>
      <c r="R57" s="37">
        <v>14604.159491272709</v>
      </c>
      <c r="S57" s="37">
        <v>14583.820091178441</v>
      </c>
      <c r="T57" s="37">
        <v>14765.266164680004</v>
      </c>
      <c r="U57" s="37">
        <v>13662.142146587512</v>
      </c>
      <c r="V57" s="37">
        <v>11710.196851833869</v>
      </c>
      <c r="W57" s="37">
        <v>9213.4434686422137</v>
      </c>
      <c r="X57" s="37">
        <v>5952.7138015494729</v>
      </c>
      <c r="Y57" s="37">
        <v>1893.0906133312255</v>
      </c>
      <c r="Z57" s="37">
        <v>30.510283773629283</v>
      </c>
      <c r="AA57" s="37">
        <v>0</v>
      </c>
      <c r="AB57" s="37">
        <v>0</v>
      </c>
      <c r="AC57" s="37">
        <v>0</v>
      </c>
      <c r="AD57" s="37">
        <v>0</v>
      </c>
      <c r="AE57" s="37">
        <v>0</v>
      </c>
      <c r="AF57" s="38">
        <f t="shared" ref="AF57" si="44">ROUND(SUM(H57:AE57)*G57,2)</f>
        <v>3607662.09</v>
      </c>
    </row>
    <row r="58" spans="5:32" ht="14.5" thickBot="1">
      <c r="E58" s="57">
        <v>47270</v>
      </c>
      <c r="F58" s="56">
        <f>+_xlfn.XLOOKUP(E58,'PRODUCTO 01'!$C$10:$C$137,'PRODUCTO 01'!$F$10:$F$137)</f>
        <v>4012583.67</v>
      </c>
      <c r="G58" s="36">
        <v>30</v>
      </c>
      <c r="H58" s="37">
        <v>0</v>
      </c>
      <c r="I58" s="37">
        <v>0</v>
      </c>
      <c r="J58" s="37">
        <v>0</v>
      </c>
      <c r="K58" s="37">
        <v>0</v>
      </c>
      <c r="L58" s="37">
        <v>0</v>
      </c>
      <c r="M58" s="37">
        <v>28.239880792720768</v>
      </c>
      <c r="N58" s="37">
        <v>1676.162390147088</v>
      </c>
      <c r="O58" s="37">
        <v>6089.505143896251</v>
      </c>
      <c r="P58" s="37">
        <v>10073.234576478591</v>
      </c>
      <c r="Q58" s="37">
        <v>13592.306167375267</v>
      </c>
      <c r="R58" s="37">
        <v>16225.242225756094</v>
      </c>
      <c r="S58" s="37">
        <v>17485.627087650515</v>
      </c>
      <c r="T58" s="37">
        <v>17232.942802719714</v>
      </c>
      <c r="U58" s="37">
        <v>16044.821918231872</v>
      </c>
      <c r="V58" s="37">
        <v>13891.973106857804</v>
      </c>
      <c r="W58" s="37">
        <v>11325.08544923563</v>
      </c>
      <c r="X58" s="37">
        <v>7497.2302238751363</v>
      </c>
      <c r="Y58" s="37">
        <v>2502.5047881031524</v>
      </c>
      <c r="Z58" s="37">
        <v>87.913134243798069</v>
      </c>
      <c r="AA58" s="37">
        <v>0</v>
      </c>
      <c r="AB58" s="37">
        <v>0</v>
      </c>
      <c r="AC58" s="37">
        <v>0</v>
      </c>
      <c r="AD58" s="37">
        <v>0</v>
      </c>
      <c r="AE58" s="37">
        <v>0</v>
      </c>
      <c r="AF58" s="38">
        <f t="shared" ref="AF58" si="45">ROUND(SUM(H58:AE58)*G58,2)</f>
        <v>4012583.67</v>
      </c>
    </row>
    <row r="59" spans="5:32" ht="14.5" thickBot="1">
      <c r="E59" s="57">
        <v>47300</v>
      </c>
      <c r="F59" s="56">
        <f>+_xlfn.XLOOKUP(E59,'PRODUCTO 01'!$C$10:$C$137,'PRODUCTO 01'!$F$10:$F$137)</f>
        <v>4141150.05</v>
      </c>
      <c r="G59" s="36">
        <v>31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8.592574919244349</v>
      </c>
      <c r="N59" s="37">
        <v>1460.8473675431055</v>
      </c>
      <c r="O59" s="37">
        <v>6182.3091169688232</v>
      </c>
      <c r="P59" s="37">
        <v>11001.466428119471</v>
      </c>
      <c r="Q59" s="37">
        <v>14237.631789195722</v>
      </c>
      <c r="R59" s="37">
        <v>15954.97530966472</v>
      </c>
      <c r="S59" s="37">
        <v>16731.920106686572</v>
      </c>
      <c r="T59" s="37">
        <v>16312.480836857059</v>
      </c>
      <c r="U59" s="37">
        <v>15390.559865677171</v>
      </c>
      <c r="V59" s="37">
        <v>13985.605199850119</v>
      </c>
      <c r="W59" s="37">
        <v>11585.365800173957</v>
      </c>
      <c r="X59" s="37">
        <v>7866.6822037486654</v>
      </c>
      <c r="Y59" s="37">
        <v>2764.9285549832102</v>
      </c>
      <c r="Z59" s="37">
        <v>102.12044260223692</v>
      </c>
      <c r="AA59" s="37">
        <v>0</v>
      </c>
      <c r="AB59" s="37">
        <v>0</v>
      </c>
      <c r="AC59" s="37">
        <v>0</v>
      </c>
      <c r="AD59" s="37">
        <v>0</v>
      </c>
      <c r="AE59" s="37">
        <v>0</v>
      </c>
      <c r="AF59" s="38">
        <f t="shared" ref="AF59" si="46">ROUND(SUM(H59:AE59)*G59,2)</f>
        <v>4141150.05</v>
      </c>
    </row>
    <row r="60" spans="5:32" ht="14.5" thickBot="1">
      <c r="E60" s="57">
        <v>47331</v>
      </c>
      <c r="F60" s="56">
        <f>+_xlfn.XLOOKUP(E60,'PRODUCTO 01'!$C$10:$C$137,'PRODUCTO 01'!$F$10:$F$137)</f>
        <v>3963057.32</v>
      </c>
      <c r="G60" s="36">
        <v>31</v>
      </c>
      <c r="H60" s="37">
        <v>0</v>
      </c>
      <c r="I60" s="37">
        <v>0</v>
      </c>
      <c r="J60" s="37">
        <v>0</v>
      </c>
      <c r="K60" s="37">
        <v>0</v>
      </c>
      <c r="L60" s="37">
        <v>0</v>
      </c>
      <c r="M60" s="37">
        <v>2.9335939115144476</v>
      </c>
      <c r="N60" s="37">
        <v>1157.5350415798634</v>
      </c>
      <c r="O60" s="37">
        <v>5413.931011238823</v>
      </c>
      <c r="P60" s="37">
        <v>10069.837388901069</v>
      </c>
      <c r="Q60" s="37">
        <v>13596.055352824544</v>
      </c>
      <c r="R60" s="37">
        <v>15523.566852384909</v>
      </c>
      <c r="S60" s="37">
        <v>15918.41840634411</v>
      </c>
      <c r="T60" s="37">
        <v>16044.848259079499</v>
      </c>
      <c r="U60" s="37">
        <v>15431.716097876824</v>
      </c>
      <c r="V60" s="37">
        <v>13712.344293980525</v>
      </c>
      <c r="W60" s="37">
        <v>11225.143983186957</v>
      </c>
      <c r="X60" s="37">
        <v>7458.0725316045227</v>
      </c>
      <c r="Y60" s="37">
        <v>2253.7687778153245</v>
      </c>
      <c r="Z60" s="37">
        <v>32.38697754382882</v>
      </c>
      <c r="AA60" s="37">
        <v>0</v>
      </c>
      <c r="AB60" s="37">
        <v>0</v>
      </c>
      <c r="AC60" s="37">
        <v>0</v>
      </c>
      <c r="AD60" s="37">
        <v>0</v>
      </c>
      <c r="AE60" s="37">
        <v>0</v>
      </c>
      <c r="AF60" s="38">
        <f t="shared" ref="AF60" si="47">ROUND(SUM(H60:AE60)*G60,2)</f>
        <v>3963057.32</v>
      </c>
    </row>
    <row r="61" spans="5:32" ht="14.5" thickBot="1">
      <c r="E61" s="57">
        <v>47362</v>
      </c>
      <c r="F61" s="56">
        <f>+_xlfn.XLOOKUP(E61,'PRODUCTO 01'!$C$10:$C$137,'PRODUCTO 01'!$F$10:$F$137)</f>
        <v>3716206.85</v>
      </c>
      <c r="G61" s="36">
        <v>30</v>
      </c>
      <c r="H61" s="37">
        <v>0</v>
      </c>
      <c r="I61" s="37">
        <v>0</v>
      </c>
      <c r="J61" s="37">
        <v>0</v>
      </c>
      <c r="K61" s="37">
        <v>0</v>
      </c>
      <c r="L61" s="37">
        <v>0</v>
      </c>
      <c r="M61" s="37">
        <v>2.2007033183545999</v>
      </c>
      <c r="N61" s="37">
        <v>1303.4719723416176</v>
      </c>
      <c r="O61" s="37">
        <v>5728.9901685834866</v>
      </c>
      <c r="P61" s="37">
        <v>11263.152504695903</v>
      </c>
      <c r="Q61" s="37">
        <v>14343.605978575088</v>
      </c>
      <c r="R61" s="37">
        <v>14672.4190919342</v>
      </c>
      <c r="S61" s="37">
        <v>15518.882921649552</v>
      </c>
      <c r="T61" s="37">
        <v>15938.68815867211</v>
      </c>
      <c r="U61" s="37">
        <v>15387.388232519923</v>
      </c>
      <c r="V61" s="37">
        <v>12816.48843141627</v>
      </c>
      <c r="W61" s="37">
        <v>10396.487155966226</v>
      </c>
      <c r="X61" s="37">
        <v>5308.8985717151363</v>
      </c>
      <c r="Y61" s="37">
        <v>1189.1608162758362</v>
      </c>
      <c r="Z61" s="37">
        <v>3.7268737809550299</v>
      </c>
      <c r="AA61" s="37">
        <v>0</v>
      </c>
      <c r="AB61" s="37">
        <v>0</v>
      </c>
      <c r="AC61" s="37">
        <v>0</v>
      </c>
      <c r="AD61" s="37">
        <v>0</v>
      </c>
      <c r="AE61" s="37">
        <v>0</v>
      </c>
      <c r="AF61" s="38">
        <f t="shared" ref="AF61" si="48">ROUND(SUM(H61:AE61)*G61,2)</f>
        <v>3716206.85</v>
      </c>
    </row>
    <row r="62" spans="5:32" ht="14.5" thickBot="1">
      <c r="E62" s="57">
        <v>47392</v>
      </c>
      <c r="F62" s="56">
        <f>+_xlfn.XLOOKUP(E62,'PRODUCTO 01'!$C$10:$C$137,'PRODUCTO 01'!$F$10:$F$137)</f>
        <v>3411219.99</v>
      </c>
      <c r="G62" s="36">
        <v>31</v>
      </c>
      <c r="H62" s="37">
        <v>0</v>
      </c>
      <c r="I62" s="37">
        <v>0</v>
      </c>
      <c r="J62" s="37">
        <v>0</v>
      </c>
      <c r="K62" s="37">
        <v>0</v>
      </c>
      <c r="L62" s="37">
        <v>0</v>
      </c>
      <c r="M62" s="37">
        <v>2.103826246159473</v>
      </c>
      <c r="N62" s="37">
        <v>1279.0124545132562</v>
      </c>
      <c r="O62" s="37">
        <v>5528.9861067294578</v>
      </c>
      <c r="P62" s="37">
        <v>10140.512915821411</v>
      </c>
      <c r="Q62" s="37">
        <v>12732.76792749255</v>
      </c>
      <c r="R62" s="37">
        <v>14328.291364721732</v>
      </c>
      <c r="S62" s="37">
        <v>14477.711044880301</v>
      </c>
      <c r="T62" s="37">
        <v>14158.211416189708</v>
      </c>
      <c r="U62" s="37">
        <v>13097.141840609085</v>
      </c>
      <c r="V62" s="37">
        <v>11341.831883023689</v>
      </c>
      <c r="W62" s="37">
        <v>8247.070588126302</v>
      </c>
      <c r="X62" s="37">
        <v>4098.8746920636167</v>
      </c>
      <c r="Y62" s="37">
        <v>606.76647664434381</v>
      </c>
      <c r="Z62" s="37">
        <v>7.1994604822098685E-2</v>
      </c>
      <c r="AA62" s="37">
        <v>0</v>
      </c>
      <c r="AB62" s="37">
        <v>0</v>
      </c>
      <c r="AC62" s="37">
        <v>0</v>
      </c>
      <c r="AD62" s="37">
        <v>0</v>
      </c>
      <c r="AE62" s="37">
        <v>0</v>
      </c>
      <c r="AF62" s="38">
        <f t="shared" ref="AF62" si="49">ROUND(SUM(H62:AE62)*G62,2)</f>
        <v>3411219.99</v>
      </c>
    </row>
    <row r="63" spans="5:32" ht="14.5" thickBot="1">
      <c r="E63" s="57">
        <v>47423</v>
      </c>
      <c r="F63" s="56">
        <f>+_xlfn.XLOOKUP(E63,'PRODUCTO 01'!$C$10:$C$137,'PRODUCTO 01'!$F$10:$F$137)</f>
        <v>3239473.31</v>
      </c>
      <c r="G63" s="36">
        <v>30</v>
      </c>
      <c r="H63" s="37">
        <v>0</v>
      </c>
      <c r="I63" s="37">
        <v>0</v>
      </c>
      <c r="J63" s="37">
        <v>0</v>
      </c>
      <c r="K63" s="37">
        <v>0</v>
      </c>
      <c r="L63" s="37">
        <v>0</v>
      </c>
      <c r="M63" s="37">
        <v>8.5997307715509327E-2</v>
      </c>
      <c r="N63" s="37">
        <v>1073.1035401270319</v>
      </c>
      <c r="O63" s="37">
        <v>5275.6126934025915</v>
      </c>
      <c r="P63" s="37">
        <v>9804.8218760576638</v>
      </c>
      <c r="Q63" s="37">
        <v>12511.153125202662</v>
      </c>
      <c r="R63" s="37">
        <v>13699.080094435812</v>
      </c>
      <c r="S63" s="37">
        <v>14367.469823861722</v>
      </c>
      <c r="T63" s="37">
        <v>13946.628030540043</v>
      </c>
      <c r="U63" s="37">
        <v>12970.225657618143</v>
      </c>
      <c r="V63" s="37">
        <v>11372.320534403436</v>
      </c>
      <c r="W63" s="37">
        <v>8458.0818228586704</v>
      </c>
      <c r="X63" s="37">
        <v>3996.1834622020824</v>
      </c>
      <c r="Y63" s="37">
        <v>507.52902287848417</v>
      </c>
      <c r="Z63" s="37">
        <v>0.14813445343010506</v>
      </c>
      <c r="AA63" s="37">
        <v>0</v>
      </c>
      <c r="AB63" s="37">
        <v>0</v>
      </c>
      <c r="AC63" s="37">
        <v>0</v>
      </c>
      <c r="AD63" s="37">
        <v>0</v>
      </c>
      <c r="AE63" s="37">
        <v>0</v>
      </c>
      <c r="AF63" s="38">
        <f t="shared" ref="AF63" si="50">ROUND(SUM(H63:AE63)*G63,2)</f>
        <v>3239473.31</v>
      </c>
    </row>
    <row r="64" spans="5:32" ht="14.5" thickBot="1">
      <c r="E64" s="57">
        <v>47453</v>
      </c>
      <c r="F64" s="56">
        <f>+_xlfn.XLOOKUP(E64,'PRODUCTO 01'!$C$10:$C$137,'PRODUCTO 01'!$F$10:$F$137)</f>
        <v>3795668.04</v>
      </c>
      <c r="G64" s="36">
        <v>31</v>
      </c>
      <c r="H64" s="37">
        <v>0</v>
      </c>
      <c r="I64" s="37">
        <v>0</v>
      </c>
      <c r="J64" s="37">
        <v>0</v>
      </c>
      <c r="K64" s="37">
        <v>0</v>
      </c>
      <c r="L64" s="37">
        <v>0</v>
      </c>
      <c r="M64" s="37">
        <v>2.8028485353803036E-3</v>
      </c>
      <c r="N64" s="37">
        <v>603.99236333799888</v>
      </c>
      <c r="O64" s="37">
        <v>4796.3340455133603</v>
      </c>
      <c r="P64" s="37">
        <v>10706.620307967214</v>
      </c>
      <c r="Q64" s="37">
        <v>14691.72346729361</v>
      </c>
      <c r="R64" s="37">
        <v>16392.425910918908</v>
      </c>
      <c r="S64" s="37">
        <v>16405.449970298574</v>
      </c>
      <c r="T64" s="37">
        <v>16074.387051212594</v>
      </c>
      <c r="U64" s="37">
        <v>15163.840794361593</v>
      </c>
      <c r="V64" s="37">
        <v>13050.496780858426</v>
      </c>
      <c r="W64" s="37">
        <v>9619.479015664394</v>
      </c>
      <c r="X64" s="37">
        <v>4398.9161837971378</v>
      </c>
      <c r="Y64" s="37">
        <v>537.15912565075598</v>
      </c>
      <c r="Z64" s="37">
        <v>7.6798049869420307E-2</v>
      </c>
      <c r="AA64" s="37">
        <v>0</v>
      </c>
      <c r="AB64" s="37">
        <v>0</v>
      </c>
      <c r="AC64" s="37">
        <v>0</v>
      </c>
      <c r="AD64" s="37">
        <v>0</v>
      </c>
      <c r="AE64" s="37">
        <v>0</v>
      </c>
      <c r="AF64" s="38">
        <f t="shared" ref="AF64" si="51">ROUND(SUM(H64:AE64)*G64,2)</f>
        <v>3795668.04</v>
      </c>
    </row>
    <row r="65" spans="5:32" ht="14.5" thickBot="1">
      <c r="E65" s="57">
        <v>47484</v>
      </c>
      <c r="F65" s="56">
        <f>+_xlfn.XLOOKUP(E65,'PRODUCTO 01'!$C$10:$C$137,'PRODUCTO 01'!$F$10:$F$137)</f>
        <v>4383142.12</v>
      </c>
      <c r="G65" s="36">
        <v>31</v>
      </c>
      <c r="H65" s="37">
        <v>0</v>
      </c>
      <c r="I65" s="37">
        <v>0</v>
      </c>
      <c r="J65" s="37">
        <v>0</v>
      </c>
      <c r="K65" s="37">
        <v>0</v>
      </c>
      <c r="L65" s="37">
        <v>0</v>
      </c>
      <c r="M65" s="37">
        <v>0</v>
      </c>
      <c r="N65" s="37">
        <v>246.04333945702572</v>
      </c>
      <c r="O65" s="37">
        <v>4264.1186970575409</v>
      </c>
      <c r="P65" s="37">
        <v>10949.275611997407</v>
      </c>
      <c r="Q65" s="37">
        <v>15681.986531114944</v>
      </c>
      <c r="R65" s="37">
        <v>17600.860211050007</v>
      </c>
      <c r="S65" s="37">
        <v>17852.292709096364</v>
      </c>
      <c r="T65" s="37">
        <v>17771.087692346358</v>
      </c>
      <c r="U65" s="37">
        <v>16948.361250442576</v>
      </c>
      <c r="V65" s="37">
        <v>16377.979063954434</v>
      </c>
      <c r="W65" s="37">
        <v>13882.707797371599</v>
      </c>
      <c r="X65" s="37">
        <v>8245.6134380169515</v>
      </c>
      <c r="Y65" s="37">
        <v>1571.2700151959111</v>
      </c>
      <c r="Z65" s="37">
        <v>8.4948658658938372E-2</v>
      </c>
      <c r="AA65" s="37">
        <v>0</v>
      </c>
      <c r="AB65" s="37">
        <v>0</v>
      </c>
      <c r="AC65" s="37">
        <v>0</v>
      </c>
      <c r="AD65" s="37">
        <v>0</v>
      </c>
      <c r="AE65" s="37">
        <v>0</v>
      </c>
      <c r="AF65" s="38">
        <f>ROUND(SUM(H65:AE65)*G65,2)</f>
        <v>4383142.12</v>
      </c>
    </row>
    <row r="66" spans="5:32" ht="14.5" thickBot="1">
      <c r="E66" s="57">
        <v>47515</v>
      </c>
      <c r="F66" s="56">
        <f>+_xlfn.XLOOKUP(E66,'PRODUCTO 01'!$C$10:$C$137,'PRODUCTO 01'!$F$10:$F$137)</f>
        <v>4050464.45</v>
      </c>
      <c r="G66" s="36">
        <v>28</v>
      </c>
      <c r="H66" s="37">
        <v>0</v>
      </c>
      <c r="I66" s="37">
        <v>0</v>
      </c>
      <c r="J66" s="37">
        <v>0</v>
      </c>
      <c r="K66" s="37">
        <v>0</v>
      </c>
      <c r="L66" s="37">
        <v>0</v>
      </c>
      <c r="M66" s="37">
        <v>0</v>
      </c>
      <c r="N66" s="37">
        <v>339.74149481610516</v>
      </c>
      <c r="O66" s="37">
        <v>5044.0281978843777</v>
      </c>
      <c r="P66" s="37">
        <v>12103.391358275814</v>
      </c>
      <c r="Q66" s="37">
        <v>15388.745337804041</v>
      </c>
      <c r="R66" s="37">
        <v>16633.602046852797</v>
      </c>
      <c r="S66" s="37">
        <v>17169.990875746968</v>
      </c>
      <c r="T66" s="37">
        <v>17003.388615432246</v>
      </c>
      <c r="U66" s="37">
        <v>17195.255477707582</v>
      </c>
      <c r="V66" s="37">
        <v>16652.455044463342</v>
      </c>
      <c r="W66" s="37">
        <v>15011.314754081093</v>
      </c>
      <c r="X66" s="37">
        <v>9803.4941795650266</v>
      </c>
      <c r="Y66" s="37">
        <v>2292.1984671799137</v>
      </c>
      <c r="Z66" s="37">
        <v>21.838793312391683</v>
      </c>
      <c r="AA66" s="37">
        <v>0</v>
      </c>
      <c r="AB66" s="37">
        <v>0</v>
      </c>
      <c r="AC66" s="37">
        <v>0</v>
      </c>
      <c r="AD66" s="37">
        <v>0</v>
      </c>
      <c r="AE66" s="37">
        <v>0</v>
      </c>
      <c r="AF66" s="38">
        <f t="shared" ref="AF66" si="52">ROUND(SUM(H66:AE66)*G66,2)</f>
        <v>4050464.45</v>
      </c>
    </row>
    <row r="67" spans="5:32" ht="14.5" thickBot="1">
      <c r="E67" s="57">
        <v>47543</v>
      </c>
      <c r="F67" s="56">
        <f>+_xlfn.XLOOKUP(E67,'PRODUCTO 01'!$C$10:$C$137,'PRODUCTO 01'!$F$10:$F$137)</f>
        <v>4261180.51</v>
      </c>
      <c r="G67" s="36">
        <v>31</v>
      </c>
      <c r="H67" s="37">
        <v>0</v>
      </c>
      <c r="I67" s="37">
        <v>0</v>
      </c>
      <c r="J67" s="37">
        <v>0</v>
      </c>
      <c r="K67" s="37">
        <v>0</v>
      </c>
      <c r="L67" s="37">
        <v>0</v>
      </c>
      <c r="M67" s="37">
        <v>2.7930874096356518E-2</v>
      </c>
      <c r="N67" s="37">
        <v>606.86550145043736</v>
      </c>
      <c r="O67" s="37">
        <v>5058.2206927745037</v>
      </c>
      <c r="P67" s="37">
        <v>11343.647278960852</v>
      </c>
      <c r="Q67" s="37">
        <v>15103.015211362679</v>
      </c>
      <c r="R67" s="37">
        <v>16895.358448120176</v>
      </c>
      <c r="S67" s="37">
        <v>16903.70331513623</v>
      </c>
      <c r="T67" s="37">
        <v>16525.668158467211</v>
      </c>
      <c r="U67" s="37">
        <v>15787.253997278534</v>
      </c>
      <c r="V67" s="37">
        <v>15129.897322987368</v>
      </c>
      <c r="W67" s="37">
        <v>13199.565889521979</v>
      </c>
      <c r="X67" s="37">
        <v>8664.7442680107088</v>
      </c>
      <c r="Y67" s="37">
        <v>2212.7564388627047</v>
      </c>
      <c r="Z67" s="37">
        <v>26.711425365332747</v>
      </c>
      <c r="AA67" s="37">
        <v>0</v>
      </c>
      <c r="AB67" s="37">
        <v>0</v>
      </c>
      <c r="AC67" s="37">
        <v>0</v>
      </c>
      <c r="AD67" s="37">
        <v>0</v>
      </c>
      <c r="AE67" s="37">
        <v>0</v>
      </c>
      <c r="AF67" s="38">
        <f t="shared" ref="AF67" si="53">ROUND(SUM(H67:AE67)*G67,2)</f>
        <v>4261180.51</v>
      </c>
    </row>
    <row r="68" spans="5:32" ht="14.5" thickBot="1">
      <c r="E68" s="57">
        <v>47574</v>
      </c>
      <c r="F68" s="56">
        <f>+_xlfn.XLOOKUP(E68,'PRODUCTO 01'!$C$10:$C$137,'PRODUCTO 01'!$F$10:$F$137)</f>
        <v>3743313.89</v>
      </c>
      <c r="G68" s="36">
        <v>30</v>
      </c>
      <c r="H68" s="37">
        <v>0</v>
      </c>
      <c r="I68" s="37">
        <v>0</v>
      </c>
      <c r="J68" s="37">
        <v>0</v>
      </c>
      <c r="K68" s="37">
        <v>0</v>
      </c>
      <c r="L68" s="37">
        <v>0</v>
      </c>
      <c r="M68" s="37">
        <v>2.9066773368083298</v>
      </c>
      <c r="N68" s="37">
        <v>1194.9775580789089</v>
      </c>
      <c r="O68" s="37">
        <v>5670.3352842380464</v>
      </c>
      <c r="P68" s="37">
        <v>11006.005241089017</v>
      </c>
      <c r="Q68" s="37">
        <v>14040.020143784819</v>
      </c>
      <c r="R68" s="37">
        <v>15282.925516717109</v>
      </c>
      <c r="S68" s="37">
        <v>15254.663584488224</v>
      </c>
      <c r="T68" s="37">
        <v>15127.765506398089</v>
      </c>
      <c r="U68" s="37">
        <v>14419.431483489501</v>
      </c>
      <c r="V68" s="37">
        <v>13147.218408322202</v>
      </c>
      <c r="W68" s="37">
        <v>10896.195791839611</v>
      </c>
      <c r="X68" s="37">
        <v>6895.7478078809982</v>
      </c>
      <c r="Y68" s="37">
        <v>1815.7503694883908</v>
      </c>
      <c r="Z68" s="37">
        <v>23.186410070931149</v>
      </c>
      <c r="AA68" s="37">
        <v>0</v>
      </c>
      <c r="AB68" s="37">
        <v>0</v>
      </c>
      <c r="AC68" s="37">
        <v>0</v>
      </c>
      <c r="AD68" s="37">
        <v>0</v>
      </c>
      <c r="AE68" s="37">
        <v>0</v>
      </c>
      <c r="AF68" s="38">
        <f t="shared" ref="AF68" si="54">ROUND(SUM(H68:AE68)*G68,2)</f>
        <v>3743313.89</v>
      </c>
    </row>
    <row r="69" spans="5:32" ht="14.5" thickBot="1">
      <c r="E69" s="57">
        <v>47604</v>
      </c>
      <c r="F69" s="56">
        <f>+_xlfn.XLOOKUP(E69,'PRODUCTO 01'!$C$10:$C$137,'PRODUCTO 01'!$F$10:$F$137)</f>
        <v>3593231.44</v>
      </c>
      <c r="G69" s="36">
        <v>31</v>
      </c>
      <c r="H69" s="37">
        <v>0</v>
      </c>
      <c r="I69" s="37">
        <v>0</v>
      </c>
      <c r="J69" s="37">
        <v>0</v>
      </c>
      <c r="K69" s="37">
        <v>0</v>
      </c>
      <c r="L69" s="37">
        <v>0</v>
      </c>
      <c r="M69" s="37">
        <v>25.488322154205672</v>
      </c>
      <c r="N69" s="37">
        <v>1576.077235201602</v>
      </c>
      <c r="O69" s="37">
        <v>5648.9084173921929</v>
      </c>
      <c r="P69" s="37">
        <v>9599.3885721653533</v>
      </c>
      <c r="Q69" s="37">
        <v>12991.147674043603</v>
      </c>
      <c r="R69" s="37">
        <v>14545.74285330762</v>
      </c>
      <c r="S69" s="37">
        <v>14525.48481081373</v>
      </c>
      <c r="T69" s="37">
        <v>14706.205100021285</v>
      </c>
      <c r="U69" s="37">
        <v>13607.493578001166</v>
      </c>
      <c r="V69" s="37">
        <v>11663.356064426536</v>
      </c>
      <c r="W69" s="37">
        <v>9176.5896947676465</v>
      </c>
      <c r="X69" s="37">
        <v>5928.9029463432753</v>
      </c>
      <c r="Y69" s="37">
        <v>1885.5182508779008</v>
      </c>
      <c r="Z69" s="37">
        <v>30.388242638534763</v>
      </c>
      <c r="AA69" s="37">
        <v>0</v>
      </c>
      <c r="AB69" s="37">
        <v>0</v>
      </c>
      <c r="AC69" s="37">
        <v>0</v>
      </c>
      <c r="AD69" s="37">
        <v>0</v>
      </c>
      <c r="AE69" s="37">
        <v>0</v>
      </c>
      <c r="AF69" s="38">
        <f t="shared" ref="AF69" si="55">ROUND(SUM(H69:AE69)*G69,2)</f>
        <v>3593231.44</v>
      </c>
    </row>
    <row r="70" spans="5:32" ht="14.5" thickBot="1">
      <c r="E70" s="57">
        <v>47635</v>
      </c>
      <c r="F70" s="56">
        <f>+_xlfn.XLOOKUP(E70,'PRODUCTO 01'!$C$10:$C$137,'PRODUCTO 01'!$F$10:$F$137)</f>
        <v>3996533.33</v>
      </c>
      <c r="G70" s="36">
        <v>30</v>
      </c>
      <c r="H70" s="37">
        <v>0</v>
      </c>
      <c r="I70" s="37">
        <v>0</v>
      </c>
      <c r="J70" s="37">
        <v>0</v>
      </c>
      <c r="K70" s="37">
        <v>0</v>
      </c>
      <c r="L70" s="37">
        <v>0</v>
      </c>
      <c r="M70" s="37">
        <v>28.126921269549889</v>
      </c>
      <c r="N70" s="37">
        <v>1669.4577405864993</v>
      </c>
      <c r="O70" s="37">
        <v>6065.1471233206657</v>
      </c>
      <c r="P70" s="37">
        <v>10032.941638172677</v>
      </c>
      <c r="Q70" s="37">
        <v>13537.936942705768</v>
      </c>
      <c r="R70" s="37">
        <v>16160.341256853069</v>
      </c>
      <c r="S70" s="37">
        <v>17415.684579299912</v>
      </c>
      <c r="T70" s="37">
        <v>17164.011031508835</v>
      </c>
      <c r="U70" s="37">
        <v>15980.642630558945</v>
      </c>
      <c r="V70" s="37">
        <v>13836.405214430371</v>
      </c>
      <c r="W70" s="37">
        <v>11279.785107438687</v>
      </c>
      <c r="X70" s="37">
        <v>7467.2413029796362</v>
      </c>
      <c r="Y70" s="37">
        <v>2492.4947689507403</v>
      </c>
      <c r="Z70" s="37">
        <v>87.561481706822875</v>
      </c>
      <c r="AA70" s="37">
        <v>0</v>
      </c>
      <c r="AB70" s="37">
        <v>0</v>
      </c>
      <c r="AC70" s="37">
        <v>0</v>
      </c>
      <c r="AD70" s="37">
        <v>0</v>
      </c>
      <c r="AE70" s="37">
        <v>0</v>
      </c>
      <c r="AF70" s="38">
        <f t="shared" ref="AF70" si="56">ROUND(SUM(H70:AE70)*G70,2)</f>
        <v>3996533.33</v>
      </c>
    </row>
    <row r="71" spans="5:32" ht="14.5" thickBot="1">
      <c r="E71" s="57">
        <v>47665</v>
      </c>
      <c r="F71" s="56">
        <f>+_xlfn.XLOOKUP(E71,'PRODUCTO 01'!$C$10:$C$137,'PRODUCTO 01'!$F$10:$F$137)</f>
        <v>4124585.45</v>
      </c>
      <c r="G71" s="36">
        <v>31</v>
      </c>
      <c r="H71" s="37">
        <v>0</v>
      </c>
      <c r="I71" s="37">
        <v>0</v>
      </c>
      <c r="J71" s="37">
        <v>0</v>
      </c>
      <c r="K71" s="37">
        <v>0</v>
      </c>
      <c r="L71" s="37">
        <v>0</v>
      </c>
      <c r="M71" s="37">
        <v>8.5582046195673698</v>
      </c>
      <c r="N71" s="37">
        <v>1455.003978072933</v>
      </c>
      <c r="O71" s="37">
        <v>6157.5798805009472</v>
      </c>
      <c r="P71" s="37">
        <v>10957.460562406992</v>
      </c>
      <c r="Q71" s="37">
        <v>14180.681262038939</v>
      </c>
      <c r="R71" s="37">
        <v>15891.155408426061</v>
      </c>
      <c r="S71" s="37">
        <v>16664.992426259829</v>
      </c>
      <c r="T71" s="37">
        <v>16247.230913509631</v>
      </c>
      <c r="U71" s="37">
        <v>15328.997626214463</v>
      </c>
      <c r="V71" s="37">
        <v>13929.662779050719</v>
      </c>
      <c r="W71" s="37">
        <v>11539.02433697326</v>
      </c>
      <c r="X71" s="37">
        <v>7835.2154749336714</v>
      </c>
      <c r="Y71" s="37">
        <v>2753.8688407632771</v>
      </c>
      <c r="Z71" s="37">
        <v>101.71196083182798</v>
      </c>
      <c r="AA71" s="37">
        <v>0</v>
      </c>
      <c r="AB71" s="37">
        <v>0</v>
      </c>
      <c r="AC71" s="37">
        <v>0</v>
      </c>
      <c r="AD71" s="37">
        <v>0</v>
      </c>
      <c r="AE71" s="37">
        <v>0</v>
      </c>
      <c r="AF71" s="38">
        <f t="shared" ref="AF71" si="57">ROUND(SUM(H71:AE71)*G71,2)</f>
        <v>4124585.45</v>
      </c>
    </row>
    <row r="72" spans="5:32" ht="14.5" thickBot="1">
      <c r="E72" s="57">
        <v>47696</v>
      </c>
      <c r="F72" s="56">
        <f>+_xlfn.XLOOKUP(E72,'PRODUCTO 01'!$C$10:$C$137,'PRODUCTO 01'!$F$10:$F$137)</f>
        <v>3947205.09</v>
      </c>
      <c r="G72" s="36">
        <v>31</v>
      </c>
      <c r="H72" s="37">
        <v>0</v>
      </c>
      <c r="I72" s="37">
        <v>0</v>
      </c>
      <c r="J72" s="37">
        <v>0</v>
      </c>
      <c r="K72" s="37">
        <v>0</v>
      </c>
      <c r="L72" s="37">
        <v>0</v>
      </c>
      <c r="M72" s="37">
        <v>2.9218595358683901</v>
      </c>
      <c r="N72" s="37">
        <v>1152.9049014135439</v>
      </c>
      <c r="O72" s="37">
        <v>5392.2752871938683</v>
      </c>
      <c r="P72" s="37">
        <v>10029.558039345466</v>
      </c>
      <c r="Q72" s="37">
        <v>13541.671131413248</v>
      </c>
      <c r="R72" s="37">
        <v>15461.47258497537</v>
      </c>
      <c r="S72" s="37">
        <v>15854.744732718736</v>
      </c>
      <c r="T72" s="37">
        <v>15980.668866043181</v>
      </c>
      <c r="U72" s="37">
        <v>15369.989233485318</v>
      </c>
      <c r="V72" s="37">
        <v>13657.494916804604</v>
      </c>
      <c r="W72" s="37">
        <v>11180.243407254209</v>
      </c>
      <c r="X72" s="37">
        <v>7428.2402414781036</v>
      </c>
      <c r="Y72" s="37">
        <v>2244.7537027040635</v>
      </c>
      <c r="Z72" s="37">
        <v>32.257429633653508</v>
      </c>
      <c r="AA72" s="37">
        <v>0</v>
      </c>
      <c r="AB72" s="37">
        <v>0</v>
      </c>
      <c r="AC72" s="37">
        <v>0</v>
      </c>
      <c r="AD72" s="37">
        <v>0</v>
      </c>
      <c r="AE72" s="37">
        <v>0</v>
      </c>
      <c r="AF72" s="38">
        <f t="shared" ref="AF72" si="58">ROUND(SUM(H72:AE72)*G72,2)</f>
        <v>3947205.09</v>
      </c>
    </row>
    <row r="73" spans="5:32" ht="14.5" thickBot="1">
      <c r="E73" s="57">
        <v>47727</v>
      </c>
      <c r="F73" s="56">
        <f>+_xlfn.XLOOKUP(E73,'PRODUCTO 01'!$C$10:$C$137,'PRODUCTO 01'!$F$10:$F$137)</f>
        <v>3701342.02</v>
      </c>
      <c r="G73" s="36">
        <v>30</v>
      </c>
      <c r="H73" s="37">
        <v>0</v>
      </c>
      <c r="I73" s="37">
        <v>0</v>
      </c>
      <c r="J73" s="37">
        <v>0</v>
      </c>
      <c r="K73" s="37">
        <v>0</v>
      </c>
      <c r="L73" s="37">
        <v>0</v>
      </c>
      <c r="M73" s="37">
        <v>2.1919005050811808</v>
      </c>
      <c r="N73" s="37">
        <v>1298.2580844522513</v>
      </c>
      <c r="O73" s="37">
        <v>5706.0742079091533</v>
      </c>
      <c r="P73" s="37">
        <v>11218.099894677121</v>
      </c>
      <c r="Q73" s="37">
        <v>14286.231554660786</v>
      </c>
      <c r="R73" s="37">
        <v>14613.729415566464</v>
      </c>
      <c r="S73" s="37">
        <v>15456.807389962953</v>
      </c>
      <c r="T73" s="37">
        <v>15874.93340603742</v>
      </c>
      <c r="U73" s="37">
        <v>15325.838679589844</v>
      </c>
      <c r="V73" s="37">
        <v>12765.222477690604</v>
      </c>
      <c r="W73" s="37">
        <v>10354.901207342362</v>
      </c>
      <c r="X73" s="37">
        <v>5287.6629774282756</v>
      </c>
      <c r="Y73" s="37">
        <v>1184.4041730107328</v>
      </c>
      <c r="Z73" s="37">
        <v>3.7119662858312097</v>
      </c>
      <c r="AA73" s="37">
        <v>0</v>
      </c>
      <c r="AB73" s="37">
        <v>0</v>
      </c>
      <c r="AC73" s="37">
        <v>0</v>
      </c>
      <c r="AD73" s="37">
        <v>0</v>
      </c>
      <c r="AE73" s="37">
        <v>0</v>
      </c>
      <c r="AF73" s="38">
        <f t="shared" ref="AF73" si="59">ROUND(SUM(H73:AE73)*G73,2)</f>
        <v>3701342.02</v>
      </c>
    </row>
    <row r="74" spans="5:32" ht="14.5" thickBot="1">
      <c r="E74" s="57">
        <v>47757</v>
      </c>
      <c r="F74" s="56">
        <f>+_xlfn.XLOOKUP(E74,'PRODUCTO 01'!$C$10:$C$137,'PRODUCTO 01'!$F$10:$F$137)</f>
        <v>3397575.11</v>
      </c>
      <c r="G74" s="36">
        <v>31</v>
      </c>
      <c r="H74" s="37">
        <v>0</v>
      </c>
      <c r="I74" s="37">
        <v>0</v>
      </c>
      <c r="J74" s="37">
        <v>0</v>
      </c>
      <c r="K74" s="37">
        <v>0</v>
      </c>
      <c r="L74" s="37">
        <v>0</v>
      </c>
      <c r="M74" s="37">
        <v>2.0954109411748352</v>
      </c>
      <c r="N74" s="37">
        <v>1273.896404695203</v>
      </c>
      <c r="O74" s="37">
        <v>5506.870162302539</v>
      </c>
      <c r="P74" s="37">
        <v>10099.950864158127</v>
      </c>
      <c r="Q74" s="37">
        <v>12681.83685578258</v>
      </c>
      <c r="R74" s="37">
        <v>14270.978199262845</v>
      </c>
      <c r="S74" s="37">
        <v>14419.800200700782</v>
      </c>
      <c r="T74" s="37">
        <v>14101.578570524949</v>
      </c>
      <c r="U74" s="37">
        <v>13044.75327324665</v>
      </c>
      <c r="V74" s="37">
        <v>11296.464555491595</v>
      </c>
      <c r="W74" s="37">
        <v>8214.082305773798</v>
      </c>
      <c r="X74" s="37">
        <v>4082.4791932953622</v>
      </c>
      <c r="Y74" s="37">
        <v>604.33941073776646</v>
      </c>
      <c r="Z74" s="37">
        <v>7.1706626402810295E-2</v>
      </c>
      <c r="AA74" s="37">
        <v>0</v>
      </c>
      <c r="AB74" s="37">
        <v>0</v>
      </c>
      <c r="AC74" s="37">
        <v>0</v>
      </c>
      <c r="AD74" s="37">
        <v>0</v>
      </c>
      <c r="AE74" s="37">
        <v>0</v>
      </c>
      <c r="AF74" s="38">
        <f t="shared" ref="AF74" si="60">ROUND(SUM(H74:AE74)*G74,2)</f>
        <v>3397575.11</v>
      </c>
    </row>
    <row r="75" spans="5:32" ht="14.5" thickBot="1">
      <c r="E75" s="57">
        <v>47788</v>
      </c>
      <c r="F75" s="56">
        <f>+_xlfn.XLOOKUP(E75,'PRODUCTO 01'!$C$10:$C$137,'PRODUCTO 01'!$F$10:$F$137)</f>
        <v>3226515.42</v>
      </c>
      <c r="G75" s="36">
        <v>30</v>
      </c>
      <c r="H75" s="37">
        <v>0</v>
      </c>
      <c r="I75" s="37">
        <v>0</v>
      </c>
      <c r="J75" s="37">
        <v>0</v>
      </c>
      <c r="K75" s="37">
        <v>0</v>
      </c>
      <c r="L75" s="37">
        <v>0</v>
      </c>
      <c r="M75" s="37">
        <v>8.5653318484647301E-2</v>
      </c>
      <c r="N75" s="37">
        <v>1068.8111259665241</v>
      </c>
      <c r="O75" s="37">
        <v>5254.5102426289814</v>
      </c>
      <c r="P75" s="37">
        <v>9765.6025885534327</v>
      </c>
      <c r="Q75" s="37">
        <v>12461.108512701852</v>
      </c>
      <c r="R75" s="37">
        <v>13644.283774058073</v>
      </c>
      <c r="S75" s="37">
        <v>14309.999944566276</v>
      </c>
      <c r="T75" s="37">
        <v>13890.841518417881</v>
      </c>
      <c r="U75" s="37">
        <v>12918.344754987673</v>
      </c>
      <c r="V75" s="37">
        <v>11326.831252265823</v>
      </c>
      <c r="W75" s="37">
        <v>8424.2494955672373</v>
      </c>
      <c r="X75" s="37">
        <v>3980.1987283532744</v>
      </c>
      <c r="Y75" s="37">
        <v>505.49890678697028</v>
      </c>
      <c r="Z75" s="37">
        <v>0.14754191561638463</v>
      </c>
      <c r="AA75" s="37">
        <v>0</v>
      </c>
      <c r="AB75" s="37">
        <v>0</v>
      </c>
      <c r="AC75" s="37">
        <v>0</v>
      </c>
      <c r="AD75" s="37">
        <v>0</v>
      </c>
      <c r="AE75" s="37">
        <v>0</v>
      </c>
      <c r="AF75" s="38">
        <f t="shared" ref="AF75" si="61">ROUND(SUM(H75:AE75)*G75,2)</f>
        <v>3226515.42</v>
      </c>
    </row>
    <row r="76" spans="5:32" ht="14.5" thickBot="1">
      <c r="E76" s="57">
        <v>47818</v>
      </c>
      <c r="F76" s="56">
        <f>+_xlfn.XLOOKUP(E76,'PRODUCTO 01'!$C$10:$C$137,'PRODUCTO 01'!$F$10:$F$137)</f>
        <v>3780485.37</v>
      </c>
      <c r="G76" s="36">
        <v>31</v>
      </c>
      <c r="H76" s="37">
        <v>0</v>
      </c>
      <c r="I76" s="37">
        <v>0</v>
      </c>
      <c r="J76" s="37">
        <v>0</v>
      </c>
      <c r="K76" s="37">
        <v>0</v>
      </c>
      <c r="L76" s="37">
        <v>0</v>
      </c>
      <c r="M76" s="37">
        <v>2.7916371412387815E-3</v>
      </c>
      <c r="N76" s="37">
        <v>601.57639388464679</v>
      </c>
      <c r="O76" s="37">
        <v>4777.1487093313081</v>
      </c>
      <c r="P76" s="37">
        <v>10663.793826735346</v>
      </c>
      <c r="Q76" s="37">
        <v>14632.956573424439</v>
      </c>
      <c r="R76" s="37">
        <v>16326.856207275232</v>
      </c>
      <c r="S76" s="37">
        <v>16339.828170417382</v>
      </c>
      <c r="T76" s="37">
        <v>16010.089503007744</v>
      </c>
      <c r="U76" s="37">
        <v>15103.185431184147</v>
      </c>
      <c r="V76" s="37">
        <v>12998.294793734993</v>
      </c>
      <c r="W76" s="37">
        <v>9581.0010996017354</v>
      </c>
      <c r="X76" s="37">
        <v>4381.3205190619492</v>
      </c>
      <c r="Y76" s="37">
        <v>535.01048914815294</v>
      </c>
      <c r="Z76" s="37">
        <v>7.6490857669942625E-2</v>
      </c>
      <c r="AA76" s="37">
        <v>0</v>
      </c>
      <c r="AB76" s="37">
        <v>0</v>
      </c>
      <c r="AC76" s="37">
        <v>0</v>
      </c>
      <c r="AD76" s="37">
        <v>0</v>
      </c>
      <c r="AE76" s="37">
        <v>0</v>
      </c>
      <c r="AF76" s="38">
        <f t="shared" ref="AF76" si="62">ROUND(SUM(H76:AE76)*G76,2)</f>
        <v>3780485.37</v>
      </c>
    </row>
    <row r="77" spans="5:32" ht="14.5" thickBot="1">
      <c r="E77" s="57">
        <v>47849</v>
      </c>
      <c r="F77" s="56">
        <f>+_xlfn.XLOOKUP(E77,'PRODUCTO 01'!$C$10:$C$137,'PRODUCTO 01'!$F$10:$F$137)</f>
        <v>4365609.55</v>
      </c>
      <c r="G77" s="36">
        <v>31</v>
      </c>
      <c r="H77" s="37">
        <v>0</v>
      </c>
      <c r="I77" s="37">
        <v>0</v>
      </c>
      <c r="J77" s="37">
        <v>0</v>
      </c>
      <c r="K77" s="37">
        <v>0</v>
      </c>
      <c r="L77" s="37">
        <v>0</v>
      </c>
      <c r="M77" s="37">
        <v>0</v>
      </c>
      <c r="N77" s="37">
        <v>245.05916609919763</v>
      </c>
      <c r="O77" s="37">
        <v>4247.062222269311</v>
      </c>
      <c r="P77" s="37">
        <v>10905.478509549419</v>
      </c>
      <c r="Q77" s="37">
        <v>15619.258584990486</v>
      </c>
      <c r="R77" s="37">
        <v>17530.456770205805</v>
      </c>
      <c r="S77" s="37">
        <v>17780.883538259979</v>
      </c>
      <c r="T77" s="37">
        <v>17700.003341576979</v>
      </c>
      <c r="U77" s="37">
        <v>16880.567805440809</v>
      </c>
      <c r="V77" s="37">
        <v>16312.467147698617</v>
      </c>
      <c r="W77" s="37">
        <v>13827.176966182113</v>
      </c>
      <c r="X77" s="37">
        <v>8212.6309842648843</v>
      </c>
      <c r="Y77" s="37">
        <v>1564.9849351351277</v>
      </c>
      <c r="Z77" s="37">
        <v>8.4608864024302635E-2</v>
      </c>
      <c r="AA77" s="37">
        <v>0</v>
      </c>
      <c r="AB77" s="37">
        <v>0</v>
      </c>
      <c r="AC77" s="37">
        <v>0</v>
      </c>
      <c r="AD77" s="37">
        <v>0</v>
      </c>
      <c r="AE77" s="37">
        <v>0</v>
      </c>
      <c r="AF77" s="38">
        <f>ROUND(SUM(H77:AE77)*G77,2)</f>
        <v>4365609.55</v>
      </c>
    </row>
    <row r="78" spans="5:32" ht="14.5" thickBot="1">
      <c r="E78" s="57">
        <v>47880</v>
      </c>
      <c r="F78" s="56">
        <f>+_xlfn.XLOOKUP(E78,'PRODUCTO 01'!$C$10:$C$137,'PRODUCTO 01'!$F$10:$F$137)</f>
        <v>4034262.59</v>
      </c>
      <c r="G78" s="36">
        <v>28</v>
      </c>
      <c r="H78" s="37">
        <v>0</v>
      </c>
      <c r="I78" s="37">
        <v>0</v>
      </c>
      <c r="J78" s="37">
        <v>0</v>
      </c>
      <c r="K78" s="37">
        <v>0</v>
      </c>
      <c r="L78" s="37">
        <v>0</v>
      </c>
      <c r="M78" s="37">
        <v>0</v>
      </c>
      <c r="N78" s="37">
        <v>338.38252883684072</v>
      </c>
      <c r="O78" s="37">
        <v>5023.8520850928398</v>
      </c>
      <c r="P78" s="37">
        <v>12054.977792842708</v>
      </c>
      <c r="Q78" s="37">
        <v>15327.190356452822</v>
      </c>
      <c r="R78" s="37">
        <v>16567.067638665387</v>
      </c>
      <c r="S78" s="37">
        <v>17101.310912243986</v>
      </c>
      <c r="T78" s="37">
        <v>16935.375060970517</v>
      </c>
      <c r="U78" s="37">
        <v>17126.474455796753</v>
      </c>
      <c r="V78" s="37">
        <v>16585.845224285491</v>
      </c>
      <c r="W78" s="37">
        <v>14951.269495064769</v>
      </c>
      <c r="X78" s="37">
        <v>9764.2802028467668</v>
      </c>
      <c r="Y78" s="37">
        <v>2283.0296733111936</v>
      </c>
      <c r="Z78" s="37">
        <v>21.751438139142113</v>
      </c>
      <c r="AA78" s="37">
        <v>0</v>
      </c>
      <c r="AB78" s="37">
        <v>0</v>
      </c>
      <c r="AC78" s="37">
        <v>0</v>
      </c>
      <c r="AD78" s="37">
        <v>0</v>
      </c>
      <c r="AE78" s="37">
        <v>0</v>
      </c>
      <c r="AF78" s="38">
        <f t="shared" ref="AF78" si="63">ROUND(SUM(H78:AE78)*G78,2)</f>
        <v>4034262.59</v>
      </c>
    </row>
    <row r="79" spans="5:32" ht="14.5" thickBot="1">
      <c r="E79" s="57">
        <v>47908</v>
      </c>
      <c r="F79" s="56">
        <f>+_xlfn.XLOOKUP(E79,'PRODUCTO 01'!$C$10:$C$137,'PRODUCTO 01'!$F$10:$F$137)</f>
        <v>4244135.79</v>
      </c>
      <c r="G79" s="36">
        <v>31</v>
      </c>
      <c r="H79" s="37">
        <v>0</v>
      </c>
      <c r="I79" s="37">
        <v>0</v>
      </c>
      <c r="J79" s="37">
        <v>0</v>
      </c>
      <c r="K79" s="37">
        <v>0</v>
      </c>
      <c r="L79" s="37">
        <v>0</v>
      </c>
      <c r="M79" s="37">
        <v>2.7819150599971094E-2</v>
      </c>
      <c r="N79" s="37">
        <v>604.43803944463571</v>
      </c>
      <c r="O79" s="37">
        <v>5037.9878100034057</v>
      </c>
      <c r="P79" s="37">
        <v>11298.272689845009</v>
      </c>
      <c r="Q79" s="37">
        <v>15042.603150517229</v>
      </c>
      <c r="R79" s="37">
        <v>16827.777014327698</v>
      </c>
      <c r="S79" s="37">
        <v>16836.088501875685</v>
      </c>
      <c r="T79" s="37">
        <v>16459.565485833344</v>
      </c>
      <c r="U79" s="37">
        <v>15724.10498128942</v>
      </c>
      <c r="V79" s="37">
        <v>15069.377733695419</v>
      </c>
      <c r="W79" s="37">
        <v>13146.767625963892</v>
      </c>
      <c r="X79" s="37">
        <v>8630.0852909386649</v>
      </c>
      <c r="Y79" s="37">
        <v>2203.9054131072544</v>
      </c>
      <c r="Z79" s="37">
        <v>26.604579663871412</v>
      </c>
      <c r="AA79" s="37">
        <v>0</v>
      </c>
      <c r="AB79" s="37">
        <v>0</v>
      </c>
      <c r="AC79" s="37">
        <v>0</v>
      </c>
      <c r="AD79" s="37">
        <v>0</v>
      </c>
      <c r="AE79" s="37">
        <v>0</v>
      </c>
      <c r="AF79" s="38">
        <f t="shared" ref="AF79" si="64">ROUND(SUM(H79:AE79)*G79,2)</f>
        <v>4244135.79</v>
      </c>
    </row>
    <row r="80" spans="5:32" ht="14.5" thickBot="1">
      <c r="E80" s="57">
        <v>47939</v>
      </c>
      <c r="F80" s="56">
        <f>+_xlfn.XLOOKUP(E80,'PRODUCTO 01'!$C$10:$C$137,'PRODUCTO 01'!$F$10:$F$137)</f>
        <v>3728340.64</v>
      </c>
      <c r="G80" s="36">
        <v>30</v>
      </c>
      <c r="H80" s="37">
        <v>0</v>
      </c>
      <c r="I80" s="37">
        <v>0</v>
      </c>
      <c r="J80" s="37">
        <v>0</v>
      </c>
      <c r="K80" s="37">
        <v>0</v>
      </c>
      <c r="L80" s="37">
        <v>0</v>
      </c>
      <c r="M80" s="37">
        <v>2.8950506274610963</v>
      </c>
      <c r="N80" s="37">
        <v>1190.1976478465931</v>
      </c>
      <c r="O80" s="37">
        <v>5647.6539431010933</v>
      </c>
      <c r="P80" s="37">
        <v>10961.98122012466</v>
      </c>
      <c r="Q80" s="37">
        <v>13983.860063209679</v>
      </c>
      <c r="R80" s="37">
        <v>15221.793814650238</v>
      </c>
      <c r="S80" s="37">
        <v>15193.644930150273</v>
      </c>
      <c r="T80" s="37">
        <v>15067.254444372496</v>
      </c>
      <c r="U80" s="37">
        <v>14361.753757555543</v>
      </c>
      <c r="V80" s="37">
        <v>13094.629534688913</v>
      </c>
      <c r="W80" s="37">
        <v>10852.611008672251</v>
      </c>
      <c r="X80" s="37">
        <v>6868.1648166494742</v>
      </c>
      <c r="Y80" s="37">
        <v>1808.487368010437</v>
      </c>
      <c r="Z80" s="37">
        <v>23.093664430647422</v>
      </c>
      <c r="AA80" s="37">
        <v>0</v>
      </c>
      <c r="AB80" s="37">
        <v>0</v>
      </c>
      <c r="AC80" s="37">
        <v>0</v>
      </c>
      <c r="AD80" s="37">
        <v>0</v>
      </c>
      <c r="AE80" s="37">
        <v>0</v>
      </c>
      <c r="AF80" s="38">
        <f t="shared" ref="AF80" si="65">ROUND(SUM(H80:AE80)*G80,2)</f>
        <v>3728340.64</v>
      </c>
    </row>
    <row r="81" spans="5:32" ht="14.5" thickBot="1">
      <c r="E81" s="57">
        <v>47969</v>
      </c>
      <c r="F81" s="56">
        <f>+_xlfn.XLOOKUP(E81,'PRODUCTO 01'!$C$10:$C$137,'PRODUCTO 01'!$F$10:$F$137)</f>
        <v>3578858.52</v>
      </c>
      <c r="G81" s="36">
        <v>31</v>
      </c>
      <c r="H81" s="37">
        <v>0</v>
      </c>
      <c r="I81" s="37">
        <v>0</v>
      </c>
      <c r="J81" s="37">
        <v>0</v>
      </c>
      <c r="K81" s="37">
        <v>0</v>
      </c>
      <c r="L81" s="37">
        <v>0</v>
      </c>
      <c r="M81" s="37">
        <v>25.38636886558885</v>
      </c>
      <c r="N81" s="37">
        <v>1569.7729262607954</v>
      </c>
      <c r="O81" s="37">
        <v>5626.3127837226239</v>
      </c>
      <c r="P81" s="37">
        <v>9560.9910178766913</v>
      </c>
      <c r="Q81" s="37">
        <v>12939.183083347425</v>
      </c>
      <c r="R81" s="37">
        <v>14487.559881894387</v>
      </c>
      <c r="S81" s="37">
        <v>14467.382871570473</v>
      </c>
      <c r="T81" s="37">
        <v>14647.3802796212</v>
      </c>
      <c r="U81" s="37">
        <v>13553.063603689157</v>
      </c>
      <c r="V81" s="37">
        <v>11616.702640168829</v>
      </c>
      <c r="W81" s="37">
        <v>9139.8833359885739</v>
      </c>
      <c r="X81" s="37">
        <v>5905.1873345579006</v>
      </c>
      <c r="Y81" s="37">
        <v>1877.9761778743887</v>
      </c>
      <c r="Z81" s="37">
        <v>30.266689667980629</v>
      </c>
      <c r="AA81" s="37">
        <v>0</v>
      </c>
      <c r="AB81" s="37">
        <v>0</v>
      </c>
      <c r="AC81" s="37">
        <v>0</v>
      </c>
      <c r="AD81" s="37">
        <v>0</v>
      </c>
      <c r="AE81" s="37">
        <v>0</v>
      </c>
      <c r="AF81" s="38">
        <f t="shared" ref="AF81" si="66">ROUND(SUM(H81:AE81)*G81,2)</f>
        <v>3578858.52</v>
      </c>
    </row>
    <row r="82" spans="5:32" ht="14.5" thickBot="1">
      <c r="E82" s="57">
        <v>48000</v>
      </c>
      <c r="F82" s="56">
        <f>+_xlfn.XLOOKUP(E82,'PRODUCTO 01'!$C$10:$C$137,'PRODUCTO 01'!$F$10:$F$137)</f>
        <v>3980547.2</v>
      </c>
      <c r="G82" s="36">
        <v>30</v>
      </c>
      <c r="H82" s="37">
        <v>0</v>
      </c>
      <c r="I82" s="37">
        <v>0</v>
      </c>
      <c r="J82" s="37">
        <v>0</v>
      </c>
      <c r="K82" s="37">
        <v>0</v>
      </c>
      <c r="L82" s="37">
        <v>0</v>
      </c>
      <c r="M82" s="37">
        <v>28.01441358447169</v>
      </c>
      <c r="N82" s="37">
        <v>1662.7799096241533</v>
      </c>
      <c r="O82" s="37">
        <v>6040.886534827383</v>
      </c>
      <c r="P82" s="37">
        <v>9992.8098716199856</v>
      </c>
      <c r="Q82" s="37">
        <v>13483.785194934946</v>
      </c>
      <c r="R82" s="37">
        <v>16095.699891825658</v>
      </c>
      <c r="S82" s="37">
        <v>17346.021840982714</v>
      </c>
      <c r="T82" s="37">
        <v>17095.354987382801</v>
      </c>
      <c r="U82" s="37">
        <v>15916.720060036707</v>
      </c>
      <c r="V82" s="37">
        <v>13781.059593572651</v>
      </c>
      <c r="W82" s="37">
        <v>11234.665967008932</v>
      </c>
      <c r="X82" s="37">
        <v>7437.3723377677179</v>
      </c>
      <c r="Y82" s="37">
        <v>2482.5247898749367</v>
      </c>
      <c r="Z82" s="37">
        <v>87.211235779995576</v>
      </c>
      <c r="AA82" s="37">
        <v>0</v>
      </c>
      <c r="AB82" s="37">
        <v>0</v>
      </c>
      <c r="AC82" s="37">
        <v>0</v>
      </c>
      <c r="AD82" s="37">
        <v>0</v>
      </c>
      <c r="AE82" s="37">
        <v>0</v>
      </c>
      <c r="AF82" s="38">
        <f t="shared" ref="AF82" si="67">ROUND(SUM(H82:AE82)*G82,2)</f>
        <v>3980547.2</v>
      </c>
    </row>
    <row r="83" spans="5:32" ht="14.5" thickBot="1">
      <c r="E83" s="57">
        <v>48030</v>
      </c>
      <c r="F83" s="56">
        <f>+_xlfn.XLOOKUP(E83,'PRODUCTO 01'!$C$10:$C$137,'PRODUCTO 01'!$F$10:$F$137)</f>
        <v>4108087.11</v>
      </c>
      <c r="G83" s="36">
        <v>31</v>
      </c>
      <c r="H83" s="37">
        <v>0</v>
      </c>
      <c r="I83" s="37">
        <v>0</v>
      </c>
      <c r="J83" s="37">
        <v>0</v>
      </c>
      <c r="K83" s="37">
        <v>0</v>
      </c>
      <c r="L83" s="37">
        <v>0</v>
      </c>
      <c r="M83" s="37">
        <v>8.5239718010891004</v>
      </c>
      <c r="N83" s="37">
        <v>1449.1839621606414</v>
      </c>
      <c r="O83" s="37">
        <v>6132.9495609789437</v>
      </c>
      <c r="P83" s="37">
        <v>10913.630720157365</v>
      </c>
      <c r="Q83" s="37">
        <v>14123.958536990784</v>
      </c>
      <c r="R83" s="37">
        <v>15827.590786792358</v>
      </c>
      <c r="S83" s="37">
        <v>16598.332456554788</v>
      </c>
      <c r="T83" s="37">
        <v>16182.241989855593</v>
      </c>
      <c r="U83" s="37">
        <v>15267.681635709603</v>
      </c>
      <c r="V83" s="37">
        <v>13873.944127934516</v>
      </c>
      <c r="W83" s="37">
        <v>11492.868239625368</v>
      </c>
      <c r="X83" s="37">
        <v>7803.8746130339377</v>
      </c>
      <c r="Y83" s="37">
        <v>2742.853365400224</v>
      </c>
      <c r="Z83" s="37">
        <v>101.30511298850067</v>
      </c>
      <c r="AA83" s="37">
        <v>0</v>
      </c>
      <c r="AB83" s="37">
        <v>0</v>
      </c>
      <c r="AC83" s="37">
        <v>0</v>
      </c>
      <c r="AD83" s="37">
        <v>0</v>
      </c>
      <c r="AE83" s="37">
        <v>0</v>
      </c>
      <c r="AF83" s="38">
        <f t="shared" ref="AF83" si="68">ROUND(SUM(H83:AE83)*G83,2)</f>
        <v>4108087.11</v>
      </c>
    </row>
    <row r="84" spans="5:32" ht="14.5" thickBot="1">
      <c r="E84" s="57">
        <v>48061</v>
      </c>
      <c r="F84" s="56">
        <f>+_xlfn.XLOOKUP(E84,'PRODUCTO 01'!$C$10:$C$137,'PRODUCTO 01'!$F$10:$F$137)</f>
        <v>3931416.27</v>
      </c>
      <c r="G84" s="36">
        <v>31</v>
      </c>
      <c r="H84" s="37">
        <v>0</v>
      </c>
      <c r="I84" s="37">
        <v>0</v>
      </c>
      <c r="J84" s="37">
        <v>0</v>
      </c>
      <c r="K84" s="37">
        <v>0</v>
      </c>
      <c r="L84" s="37">
        <v>0</v>
      </c>
      <c r="M84" s="37">
        <v>2.9101720977249164</v>
      </c>
      <c r="N84" s="37">
        <v>1148.29328180789</v>
      </c>
      <c r="O84" s="37">
        <v>5370.7061860450922</v>
      </c>
      <c r="P84" s="37">
        <v>9989.4398071880823</v>
      </c>
      <c r="Q84" s="37">
        <v>13487.504446887597</v>
      </c>
      <c r="R84" s="37">
        <v>15399.62669463547</v>
      </c>
      <c r="S84" s="37">
        <v>15791.32575378786</v>
      </c>
      <c r="T84" s="37">
        <v>15916.746190579008</v>
      </c>
      <c r="U84" s="37">
        <v>15308.509276551376</v>
      </c>
      <c r="V84" s="37">
        <v>13602.864937137385</v>
      </c>
      <c r="W84" s="37">
        <v>11135.522433625192</v>
      </c>
      <c r="X84" s="37">
        <v>7398.5272805121931</v>
      </c>
      <c r="Y84" s="37">
        <v>2235.7746878932467</v>
      </c>
      <c r="Z84" s="37">
        <v>32.128399915118898</v>
      </c>
      <c r="AA84" s="37">
        <v>0</v>
      </c>
      <c r="AB84" s="37">
        <v>0</v>
      </c>
      <c r="AC84" s="37">
        <v>0</v>
      </c>
      <c r="AD84" s="37">
        <v>0</v>
      </c>
      <c r="AE84" s="37">
        <v>0</v>
      </c>
      <c r="AF84" s="38">
        <f t="shared" ref="AF84" si="69">ROUND(SUM(H84:AE84)*G84,2)</f>
        <v>3931416.27</v>
      </c>
    </row>
    <row r="85" spans="5:32" ht="14.5" thickBot="1">
      <c r="E85" s="57">
        <v>48092</v>
      </c>
      <c r="F85" s="56">
        <f>+_xlfn.XLOOKUP(E85,'PRODUCTO 01'!$C$10:$C$137,'PRODUCTO 01'!$F$10:$F$137)</f>
        <v>3686536.65</v>
      </c>
      <c r="G85" s="36">
        <v>30</v>
      </c>
      <c r="H85" s="37">
        <v>0</v>
      </c>
      <c r="I85" s="37">
        <v>0</v>
      </c>
      <c r="J85" s="37">
        <v>0</v>
      </c>
      <c r="K85" s="37">
        <v>0</v>
      </c>
      <c r="L85" s="37">
        <v>0</v>
      </c>
      <c r="M85" s="37">
        <v>2.1831329030608568</v>
      </c>
      <c r="N85" s="37">
        <v>1293.0650521144423</v>
      </c>
      <c r="O85" s="37">
        <v>5683.249911077517</v>
      </c>
      <c r="P85" s="37">
        <v>11173.227495098414</v>
      </c>
      <c r="Q85" s="37">
        <v>14229.086628442145</v>
      </c>
      <c r="R85" s="37">
        <v>14555.2744979042</v>
      </c>
      <c r="S85" s="37">
        <v>15394.980160403102</v>
      </c>
      <c r="T85" s="37">
        <v>15811.433672413274</v>
      </c>
      <c r="U85" s="37">
        <v>15264.535324871485</v>
      </c>
      <c r="V85" s="37">
        <v>12714.161587779843</v>
      </c>
      <c r="W85" s="37">
        <v>10313.481602512993</v>
      </c>
      <c r="X85" s="37">
        <v>5266.5123255185626</v>
      </c>
      <c r="Y85" s="37">
        <v>1179.6665563186898</v>
      </c>
      <c r="Z85" s="37">
        <v>3.6971184206878851</v>
      </c>
      <c r="AA85" s="37">
        <v>0</v>
      </c>
      <c r="AB85" s="37">
        <v>0</v>
      </c>
      <c r="AC85" s="37">
        <v>0</v>
      </c>
      <c r="AD85" s="37">
        <v>0</v>
      </c>
      <c r="AE85" s="37">
        <v>0</v>
      </c>
      <c r="AF85" s="38">
        <f t="shared" ref="AF85" si="70">ROUND(SUM(H85:AE85)*G85,2)</f>
        <v>3686536.65</v>
      </c>
    </row>
    <row r="86" spans="5:32" ht="14.5" thickBot="1">
      <c r="E86" s="57">
        <v>48122</v>
      </c>
      <c r="F86" s="56">
        <f>+_xlfn.XLOOKUP(E86,'PRODUCTO 01'!$C$10:$C$137,'PRODUCTO 01'!$F$10:$F$137)</f>
        <v>3383984.81</v>
      </c>
      <c r="G86" s="36">
        <v>31</v>
      </c>
      <c r="H86" s="37">
        <v>0</v>
      </c>
      <c r="I86" s="37">
        <v>0</v>
      </c>
      <c r="J86" s="37">
        <v>0</v>
      </c>
      <c r="K86" s="37">
        <v>0</v>
      </c>
      <c r="L86" s="37">
        <v>0</v>
      </c>
      <c r="M86" s="37">
        <v>2.0870292974101359</v>
      </c>
      <c r="N86" s="37">
        <v>1268.8008190764222</v>
      </c>
      <c r="O86" s="37">
        <v>5484.8426816533283</v>
      </c>
      <c r="P86" s="37">
        <v>10059.551060701495</v>
      </c>
      <c r="Q86" s="37">
        <v>12631.10950835945</v>
      </c>
      <c r="R86" s="37">
        <v>14213.894286465793</v>
      </c>
      <c r="S86" s="37">
        <v>14362.120999897978</v>
      </c>
      <c r="T86" s="37">
        <v>14045.172256242851</v>
      </c>
      <c r="U86" s="37">
        <v>12992.574260153666</v>
      </c>
      <c r="V86" s="37">
        <v>11251.278697269627</v>
      </c>
      <c r="W86" s="37">
        <v>8181.2259765507024</v>
      </c>
      <c r="X86" s="37">
        <v>4066.1492765221801</v>
      </c>
      <c r="Y86" s="37">
        <v>601.92205309481528</v>
      </c>
      <c r="Z86" s="37">
        <v>7.1419799897199043E-2</v>
      </c>
      <c r="AA86" s="37">
        <v>0</v>
      </c>
      <c r="AB86" s="37">
        <v>0</v>
      </c>
      <c r="AC86" s="37">
        <v>0</v>
      </c>
      <c r="AD86" s="37">
        <v>0</v>
      </c>
      <c r="AE86" s="37">
        <v>0</v>
      </c>
      <c r="AF86" s="38">
        <f t="shared" ref="AF86" si="71">ROUND(SUM(H86:AE86)*G86,2)</f>
        <v>3383984.81</v>
      </c>
    </row>
    <row r="87" spans="5:32" ht="14.5" thickBot="1">
      <c r="E87" s="57">
        <v>48153</v>
      </c>
      <c r="F87" s="56">
        <f>+_xlfn.XLOOKUP(E87,'PRODUCTO 01'!$C$10:$C$137,'PRODUCTO 01'!$F$10:$F$137)</f>
        <v>3213609.36</v>
      </c>
      <c r="G87" s="36">
        <v>30</v>
      </c>
      <c r="H87" s="37">
        <v>0</v>
      </c>
      <c r="I87" s="37">
        <v>0</v>
      </c>
      <c r="J87" s="37">
        <v>0</v>
      </c>
      <c r="K87" s="37">
        <v>0</v>
      </c>
      <c r="L87" s="37">
        <v>0</v>
      </c>
      <c r="M87" s="37">
        <v>8.5310705210708701E-2</v>
      </c>
      <c r="N87" s="37">
        <v>1064.5358814626579</v>
      </c>
      <c r="O87" s="37">
        <v>5233.492201658466</v>
      </c>
      <c r="P87" s="37">
        <v>9726.5401781992186</v>
      </c>
      <c r="Q87" s="37">
        <v>12411.264078651044</v>
      </c>
      <c r="R87" s="37">
        <v>13589.706638961838</v>
      </c>
      <c r="S87" s="37">
        <v>14252.759944788011</v>
      </c>
      <c r="T87" s="37">
        <v>13835.27815234421</v>
      </c>
      <c r="U87" s="37">
        <v>12866.67137596772</v>
      </c>
      <c r="V87" s="37">
        <v>11281.52392725676</v>
      </c>
      <c r="W87" s="37">
        <v>8390.5524975849676</v>
      </c>
      <c r="X87" s="37">
        <v>3964.277933439861</v>
      </c>
      <c r="Y87" s="37">
        <v>503.47691115982241</v>
      </c>
      <c r="Z87" s="37">
        <v>0.14695174795391913</v>
      </c>
      <c r="AA87" s="37">
        <v>0</v>
      </c>
      <c r="AB87" s="37">
        <v>0</v>
      </c>
      <c r="AC87" s="37">
        <v>0</v>
      </c>
      <c r="AD87" s="37">
        <v>0</v>
      </c>
      <c r="AE87" s="37">
        <v>0</v>
      </c>
      <c r="AF87" s="38">
        <f t="shared" ref="AF87" si="72">ROUND(SUM(H87:AE87)*G87,2)</f>
        <v>3213609.36</v>
      </c>
    </row>
    <row r="88" spans="5:32" ht="14.5" thickBot="1">
      <c r="E88" s="57">
        <v>48183</v>
      </c>
      <c r="F88" s="56">
        <f>+_xlfn.XLOOKUP(E88,'PRODUCTO 01'!$C$10:$C$137,'PRODUCTO 01'!$F$10:$F$137)</f>
        <v>3765363.43</v>
      </c>
      <c r="G88" s="36">
        <v>31</v>
      </c>
      <c r="H88" s="37">
        <v>0</v>
      </c>
      <c r="I88" s="37">
        <v>0</v>
      </c>
      <c r="J88" s="37">
        <v>0</v>
      </c>
      <c r="K88" s="37">
        <v>0</v>
      </c>
      <c r="L88" s="37">
        <v>0</v>
      </c>
      <c r="M88" s="37">
        <v>2.7804705926738268E-3</v>
      </c>
      <c r="N88" s="37">
        <v>599.17008830910834</v>
      </c>
      <c r="O88" s="37">
        <v>4758.0401144939824</v>
      </c>
      <c r="P88" s="37">
        <v>10621.138651428404</v>
      </c>
      <c r="Q88" s="37">
        <v>14574.424747130741</v>
      </c>
      <c r="R88" s="37">
        <v>16261.548782446132</v>
      </c>
      <c r="S88" s="37">
        <v>16274.468857735712</v>
      </c>
      <c r="T88" s="37">
        <v>15946.049144995715</v>
      </c>
      <c r="U88" s="37">
        <v>15042.772689459413</v>
      </c>
      <c r="V88" s="37">
        <v>12946.301614560054</v>
      </c>
      <c r="W88" s="37">
        <v>9542.6770952033294</v>
      </c>
      <c r="X88" s="37">
        <v>4363.7952369857021</v>
      </c>
      <c r="Y88" s="37">
        <v>532.87044719156029</v>
      </c>
      <c r="Z88" s="37">
        <v>7.6184894239262849E-2</v>
      </c>
      <c r="AA88" s="37">
        <v>0</v>
      </c>
      <c r="AB88" s="37">
        <v>0</v>
      </c>
      <c r="AC88" s="37">
        <v>0</v>
      </c>
      <c r="AD88" s="37">
        <v>0</v>
      </c>
      <c r="AE88" s="37">
        <v>0</v>
      </c>
      <c r="AF88" s="38">
        <f t="shared" ref="AF88" si="73">ROUND(SUM(H88:AE88)*G88,2)</f>
        <v>3765363.43</v>
      </c>
    </row>
    <row r="89" spans="5:32" ht="14.5" thickBot="1">
      <c r="E89" s="57">
        <v>48214</v>
      </c>
      <c r="F89" s="56">
        <f>+_xlfn.XLOOKUP(E89,'PRODUCTO 01'!$C$10:$C$137,'PRODUCTO 01'!$F$10:$F$137)</f>
        <v>4348147.1100000003</v>
      </c>
      <c r="G89" s="36">
        <v>31</v>
      </c>
      <c r="H89" s="37">
        <v>0</v>
      </c>
      <c r="I89" s="37">
        <v>0</v>
      </c>
      <c r="J89" s="37">
        <v>0</v>
      </c>
      <c r="K89" s="37">
        <v>0</v>
      </c>
      <c r="L89" s="37">
        <v>0</v>
      </c>
      <c r="M89" s="37">
        <v>0</v>
      </c>
      <c r="N89" s="37">
        <v>244.07892943480081</v>
      </c>
      <c r="O89" s="37">
        <v>4230.0739733802329</v>
      </c>
      <c r="P89" s="37">
        <v>10861.856595511221</v>
      </c>
      <c r="Q89" s="37">
        <v>15556.781550650521</v>
      </c>
      <c r="R89" s="37">
        <v>17460.334943124981</v>
      </c>
      <c r="S89" s="37">
        <v>17709.760004106931</v>
      </c>
      <c r="T89" s="37">
        <v>17629.203328210664</v>
      </c>
      <c r="U89" s="37">
        <v>16813.045534219043</v>
      </c>
      <c r="V89" s="37">
        <v>16247.217279107819</v>
      </c>
      <c r="W89" s="37">
        <v>13771.868258317383</v>
      </c>
      <c r="X89" s="37">
        <v>8179.7804603278237</v>
      </c>
      <c r="Y89" s="37">
        <v>1558.724995394587</v>
      </c>
      <c r="Z89" s="37">
        <v>8.4270428568205408E-2</v>
      </c>
      <c r="AA89" s="37">
        <v>0</v>
      </c>
      <c r="AB89" s="37">
        <v>0</v>
      </c>
      <c r="AC89" s="37">
        <v>0</v>
      </c>
      <c r="AD89" s="37">
        <v>0</v>
      </c>
      <c r="AE89" s="37">
        <v>0</v>
      </c>
      <c r="AF89" s="38">
        <f>ROUND(SUM(H89:AE89)*G89,2)</f>
        <v>4348147.1100000003</v>
      </c>
    </row>
    <row r="90" spans="5:32" ht="14.5" thickBot="1">
      <c r="E90" s="57">
        <v>48245</v>
      </c>
      <c r="F90" s="56">
        <f>+_xlfn.XLOOKUP(E90,'PRODUCTO 01'!$C$10:$C$137,'PRODUCTO 01'!$F$10:$F$137)</f>
        <v>4018125.54</v>
      </c>
      <c r="G90" s="36">
        <v>29</v>
      </c>
      <c r="H90" s="37">
        <v>0</v>
      </c>
      <c r="I90" s="37">
        <v>0</v>
      </c>
      <c r="J90" s="37">
        <v>0</v>
      </c>
      <c r="K90" s="37">
        <v>0</v>
      </c>
      <c r="L90" s="37">
        <v>0</v>
      </c>
      <c r="M90" s="37">
        <v>0</v>
      </c>
      <c r="N90" s="37">
        <v>325.40730911040737</v>
      </c>
      <c r="O90" s="37">
        <v>4831.2133430713502</v>
      </c>
      <c r="P90" s="37">
        <v>11592.731747820602</v>
      </c>
      <c r="Q90" s="37">
        <v>14739.471884853669</v>
      </c>
      <c r="R90" s="37">
        <v>15931.806286451734</v>
      </c>
      <c r="S90" s="37">
        <v>16445.564093815872</v>
      </c>
      <c r="T90" s="37">
        <v>16285.991024149855</v>
      </c>
      <c r="U90" s="37">
        <v>16469.762745629647</v>
      </c>
      <c r="V90" s="37">
        <v>15949.863848788749</v>
      </c>
      <c r="W90" s="37">
        <v>14377.965644081596</v>
      </c>
      <c r="X90" s="37">
        <v>9389.8705619651955</v>
      </c>
      <c r="Y90" s="37">
        <v>2195.4872941138819</v>
      </c>
      <c r="Z90" s="37">
        <v>20.917382993944663</v>
      </c>
      <c r="AA90" s="37">
        <v>0</v>
      </c>
      <c r="AB90" s="37">
        <v>0</v>
      </c>
      <c r="AC90" s="37">
        <v>0</v>
      </c>
      <c r="AD90" s="37">
        <v>0</v>
      </c>
      <c r="AE90" s="37">
        <v>0</v>
      </c>
      <c r="AF90" s="38">
        <f t="shared" ref="AF90" si="74">ROUND(SUM(H90:AE90)*G90,2)</f>
        <v>4018125.54</v>
      </c>
    </row>
    <row r="91" spans="5:32" ht="14.5" thickBot="1">
      <c r="E91" s="57">
        <v>48274</v>
      </c>
      <c r="F91" s="56">
        <f>+_xlfn.XLOOKUP(E91,'PRODUCTO 01'!$C$10:$C$137,'PRODUCTO 01'!$F$10:$F$137)</f>
        <v>4227159.25</v>
      </c>
      <c r="G91" s="36">
        <v>31</v>
      </c>
      <c r="H91" s="37">
        <v>0</v>
      </c>
      <c r="I91" s="37">
        <v>0</v>
      </c>
      <c r="J91" s="37">
        <v>0</v>
      </c>
      <c r="K91" s="37">
        <v>0</v>
      </c>
      <c r="L91" s="37">
        <v>0</v>
      </c>
      <c r="M91" s="37">
        <v>2.7707873997571207E-2</v>
      </c>
      <c r="N91" s="37">
        <v>602.02028728685718</v>
      </c>
      <c r="O91" s="37">
        <v>5017.8358587633929</v>
      </c>
      <c r="P91" s="37">
        <v>11253.079599085628</v>
      </c>
      <c r="Q91" s="37">
        <v>14982.432737915158</v>
      </c>
      <c r="R91" s="37">
        <v>16760.465906270387</v>
      </c>
      <c r="S91" s="37">
        <v>16768.744147868183</v>
      </c>
      <c r="T91" s="37">
        <v>16393.727223890011</v>
      </c>
      <c r="U91" s="37">
        <v>15661.208561364263</v>
      </c>
      <c r="V91" s="37">
        <v>15009.100222760639</v>
      </c>
      <c r="W91" s="37">
        <v>13094.180555460038</v>
      </c>
      <c r="X91" s="37">
        <v>8595.5649497749109</v>
      </c>
      <c r="Y91" s="37">
        <v>2195.089791454825</v>
      </c>
      <c r="Z91" s="37">
        <v>26.498161345215927</v>
      </c>
      <c r="AA91" s="37">
        <v>0</v>
      </c>
      <c r="AB91" s="37">
        <v>0</v>
      </c>
      <c r="AC91" s="37">
        <v>0</v>
      </c>
      <c r="AD91" s="37">
        <v>0</v>
      </c>
      <c r="AE91" s="37">
        <v>0</v>
      </c>
      <c r="AF91" s="38">
        <f t="shared" ref="AF91" si="75">ROUND(SUM(H91:AE91)*G91,2)</f>
        <v>4227159.25</v>
      </c>
    </row>
    <row r="92" spans="5:32" ht="14.5" thickBot="1">
      <c r="E92" s="57">
        <v>48305</v>
      </c>
      <c r="F92" s="56">
        <f>+_xlfn.XLOOKUP(E92,'PRODUCTO 01'!$C$10:$C$137,'PRODUCTO 01'!$F$10:$F$137)</f>
        <v>3713427.28</v>
      </c>
      <c r="G92" s="36">
        <v>30</v>
      </c>
      <c r="H92" s="37">
        <v>0</v>
      </c>
      <c r="I92" s="37">
        <v>0</v>
      </c>
      <c r="J92" s="37">
        <v>0</v>
      </c>
      <c r="K92" s="37">
        <v>0</v>
      </c>
      <c r="L92" s="37">
        <v>0</v>
      </c>
      <c r="M92" s="37">
        <v>2.8834704249512524</v>
      </c>
      <c r="N92" s="37">
        <v>1185.4368572552069</v>
      </c>
      <c r="O92" s="37">
        <v>5625.0633273286894</v>
      </c>
      <c r="P92" s="37">
        <v>10918.133295244163</v>
      </c>
      <c r="Q92" s="37">
        <v>13927.924622956842</v>
      </c>
      <c r="R92" s="37">
        <v>15160.90663939164</v>
      </c>
      <c r="S92" s="37">
        <v>15132.870350429672</v>
      </c>
      <c r="T92" s="37">
        <v>15006.985426595007</v>
      </c>
      <c r="U92" s="37">
        <v>14304.306742525321</v>
      </c>
      <c r="V92" s="37">
        <v>13042.251016550159</v>
      </c>
      <c r="W92" s="37">
        <v>10809.200564637562</v>
      </c>
      <c r="X92" s="37">
        <v>6840.6921573828768</v>
      </c>
      <c r="Y92" s="37">
        <v>1801.2534185383952</v>
      </c>
      <c r="Z92" s="37">
        <v>23.001289772924832</v>
      </c>
      <c r="AA92" s="37">
        <v>0</v>
      </c>
      <c r="AB92" s="37">
        <v>0</v>
      </c>
      <c r="AC92" s="37">
        <v>0</v>
      </c>
      <c r="AD92" s="37">
        <v>0</v>
      </c>
      <c r="AE92" s="37">
        <v>0</v>
      </c>
      <c r="AF92" s="38">
        <f t="shared" ref="AF92" si="76">ROUND(SUM(H92:AE92)*G92,2)</f>
        <v>3713427.28</v>
      </c>
    </row>
    <row r="93" spans="5:32" ht="14.5" thickBot="1">
      <c r="E93" s="57">
        <v>48335</v>
      </c>
      <c r="F93" s="56">
        <f>+_xlfn.XLOOKUP(E93,'PRODUCTO 01'!$C$10:$C$137,'PRODUCTO 01'!$F$10:$F$137)</f>
        <v>3564543.08</v>
      </c>
      <c r="G93" s="36">
        <v>31</v>
      </c>
      <c r="H93" s="37">
        <v>0</v>
      </c>
      <c r="I93" s="37">
        <v>0</v>
      </c>
      <c r="J93" s="37">
        <v>0</v>
      </c>
      <c r="K93" s="37">
        <v>0</v>
      </c>
      <c r="L93" s="37">
        <v>0</v>
      </c>
      <c r="M93" s="37">
        <v>25.284823390126494</v>
      </c>
      <c r="N93" s="37">
        <v>1563.4938345557523</v>
      </c>
      <c r="O93" s="37">
        <v>5603.8075325877335</v>
      </c>
      <c r="P93" s="37">
        <v>9522.7470538051839</v>
      </c>
      <c r="Q93" s="37">
        <v>12887.426351014037</v>
      </c>
      <c r="R93" s="37">
        <v>14429.60964236681</v>
      </c>
      <c r="S93" s="37">
        <v>14409.513340084191</v>
      </c>
      <c r="T93" s="37">
        <v>14588.790758502715</v>
      </c>
      <c r="U93" s="37">
        <v>13498.8513492744</v>
      </c>
      <c r="V93" s="37">
        <v>11570.235829608153</v>
      </c>
      <c r="W93" s="37">
        <v>9103.3238026446197</v>
      </c>
      <c r="X93" s="37">
        <v>5881.5665852196689</v>
      </c>
      <c r="Y93" s="37">
        <v>1870.4642731628915</v>
      </c>
      <c r="Z93" s="37">
        <v>30.145622909308706</v>
      </c>
      <c r="AA93" s="37">
        <v>0</v>
      </c>
      <c r="AB93" s="37">
        <v>0</v>
      </c>
      <c r="AC93" s="37">
        <v>0</v>
      </c>
      <c r="AD93" s="37">
        <v>0</v>
      </c>
      <c r="AE93" s="37">
        <v>0</v>
      </c>
      <c r="AF93" s="38">
        <f t="shared" ref="AF93" si="77">ROUND(SUM(H93:AE93)*G93,2)</f>
        <v>3564543.08</v>
      </c>
    </row>
    <row r="94" spans="5:32" ht="14.5" thickBot="1">
      <c r="E94" s="57">
        <v>48366</v>
      </c>
      <c r="F94" s="56">
        <f>+_xlfn.XLOOKUP(E94,'PRODUCTO 01'!$C$10:$C$137,'PRODUCTO 01'!$F$10:$F$137)</f>
        <v>3964625.01</v>
      </c>
      <c r="G94" s="36">
        <v>30</v>
      </c>
      <c r="H94" s="37">
        <v>0</v>
      </c>
      <c r="I94" s="37">
        <v>0</v>
      </c>
      <c r="J94" s="37">
        <v>0</v>
      </c>
      <c r="K94" s="37">
        <v>0</v>
      </c>
      <c r="L94" s="37">
        <v>0</v>
      </c>
      <c r="M94" s="37">
        <v>27.902355930133805</v>
      </c>
      <c r="N94" s="37">
        <v>1656.128789985657</v>
      </c>
      <c r="O94" s="37">
        <v>6016.7229886880741</v>
      </c>
      <c r="P94" s="37">
        <v>9952.8386321335056</v>
      </c>
      <c r="Q94" s="37">
        <v>13429.850054155206</v>
      </c>
      <c r="R94" s="37">
        <v>16031.317092258356</v>
      </c>
      <c r="S94" s="37">
        <v>17276.637753618779</v>
      </c>
      <c r="T94" s="37">
        <v>17026.97356743327</v>
      </c>
      <c r="U94" s="37">
        <v>15853.053179796561</v>
      </c>
      <c r="V94" s="37">
        <v>13725.935355198362</v>
      </c>
      <c r="W94" s="37">
        <v>11189.727303140895</v>
      </c>
      <c r="X94" s="37">
        <v>7407.6228484166468</v>
      </c>
      <c r="Y94" s="37">
        <v>2472.5946907154375</v>
      </c>
      <c r="Z94" s="37">
        <v>86.862390836875591</v>
      </c>
      <c r="AA94" s="37">
        <v>0</v>
      </c>
      <c r="AB94" s="37">
        <v>0</v>
      </c>
      <c r="AC94" s="37">
        <v>0</v>
      </c>
      <c r="AD94" s="37">
        <v>0</v>
      </c>
      <c r="AE94" s="37">
        <v>0</v>
      </c>
      <c r="AF94" s="38">
        <f t="shared" ref="AF94" si="78">ROUND(SUM(H94:AE94)*G94,2)</f>
        <v>3964625.01</v>
      </c>
    </row>
    <row r="95" spans="5:32" ht="14.5" thickBot="1">
      <c r="E95" s="57">
        <v>48396</v>
      </c>
      <c r="F95" s="56">
        <f>+_xlfn.XLOOKUP(E95,'PRODUCTO 01'!$C$10:$C$137,'PRODUCTO 01'!$F$10:$F$137)</f>
        <v>4091654.76</v>
      </c>
      <c r="G95" s="36">
        <v>31</v>
      </c>
      <c r="H95" s="37">
        <v>0</v>
      </c>
      <c r="I95" s="37">
        <v>0</v>
      </c>
      <c r="J95" s="37">
        <v>0</v>
      </c>
      <c r="K95" s="37">
        <v>0</v>
      </c>
      <c r="L95" s="37">
        <v>0</v>
      </c>
      <c r="M95" s="37">
        <v>8.4898759138847453</v>
      </c>
      <c r="N95" s="37">
        <v>1443.387226311999</v>
      </c>
      <c r="O95" s="37">
        <v>6108.4177627350282</v>
      </c>
      <c r="P95" s="37">
        <v>10869.976197276737</v>
      </c>
      <c r="Q95" s="37">
        <v>14067.462702842822</v>
      </c>
      <c r="R95" s="37">
        <v>15764.28042364519</v>
      </c>
      <c r="S95" s="37">
        <v>16531.939126728572</v>
      </c>
      <c r="T95" s="37">
        <v>16117.513021896173</v>
      </c>
      <c r="U95" s="37">
        <v>15206.610909166768</v>
      </c>
      <c r="V95" s="37">
        <v>13818.44835142278</v>
      </c>
      <c r="W95" s="37">
        <v>11446.896766666865</v>
      </c>
      <c r="X95" s="37">
        <v>7772.659114581802</v>
      </c>
      <c r="Y95" s="37">
        <v>2731.8819519386234</v>
      </c>
      <c r="Z95" s="37">
        <v>100.89989253654667</v>
      </c>
      <c r="AA95" s="37">
        <v>0</v>
      </c>
      <c r="AB95" s="37">
        <v>0</v>
      </c>
      <c r="AC95" s="37">
        <v>0</v>
      </c>
      <c r="AD95" s="37">
        <v>0</v>
      </c>
      <c r="AE95" s="37">
        <v>0</v>
      </c>
      <c r="AF95" s="38">
        <f t="shared" ref="AF95" si="79">ROUND(SUM(H95:AE95)*G95,2)</f>
        <v>4091654.76</v>
      </c>
    </row>
    <row r="96" spans="5:32" ht="14.5" thickBot="1">
      <c r="E96" s="57">
        <v>48427</v>
      </c>
      <c r="F96" s="56">
        <f>+_xlfn.XLOOKUP(E96,'PRODUCTO 01'!$C$10:$C$137,'PRODUCTO 01'!$F$10:$F$137)</f>
        <v>3915690.6</v>
      </c>
      <c r="G96" s="36">
        <v>31</v>
      </c>
      <c r="H96" s="37">
        <v>0</v>
      </c>
      <c r="I96" s="37">
        <v>0</v>
      </c>
      <c r="J96" s="37">
        <v>0</v>
      </c>
      <c r="K96" s="37">
        <v>0</v>
      </c>
      <c r="L96" s="37">
        <v>0</v>
      </c>
      <c r="M96" s="37">
        <v>2.8985314093340167</v>
      </c>
      <c r="N96" s="37">
        <v>1143.7001086806583</v>
      </c>
      <c r="O96" s="37">
        <v>5349.2233613009121</v>
      </c>
      <c r="P96" s="37">
        <v>9949.4820479593309</v>
      </c>
      <c r="Q96" s="37">
        <v>13433.554429100044</v>
      </c>
      <c r="R96" s="37">
        <v>15338.028187856928</v>
      </c>
      <c r="S96" s="37">
        <v>15728.16045077271</v>
      </c>
      <c r="T96" s="37">
        <v>15853.079205816692</v>
      </c>
      <c r="U96" s="37">
        <v>15247.275239445171</v>
      </c>
      <c r="V96" s="37">
        <v>13548.453477388837</v>
      </c>
      <c r="W96" s="37">
        <v>11090.980343890693</v>
      </c>
      <c r="X96" s="37">
        <v>7368.9331713901438</v>
      </c>
      <c r="Y96" s="37">
        <v>2226.8315891416742</v>
      </c>
      <c r="Z96" s="37">
        <v>31.999886315458419</v>
      </c>
      <c r="AA96" s="37">
        <v>0</v>
      </c>
      <c r="AB96" s="37">
        <v>0</v>
      </c>
      <c r="AC96" s="37">
        <v>0</v>
      </c>
      <c r="AD96" s="37">
        <v>0</v>
      </c>
      <c r="AE96" s="37">
        <v>0</v>
      </c>
      <c r="AF96" s="38">
        <f t="shared" ref="AF96" si="80">ROUND(SUM(H96:AE96)*G96,2)</f>
        <v>3915690.6</v>
      </c>
    </row>
    <row r="97" spans="5:32" ht="14.5" thickBot="1">
      <c r="E97" s="57">
        <v>48458</v>
      </c>
      <c r="F97" s="56">
        <f>+_xlfn.XLOOKUP(E97,'PRODUCTO 01'!$C$10:$C$137,'PRODUCTO 01'!$F$10:$F$137)</f>
        <v>3671790.51</v>
      </c>
      <c r="G97" s="36">
        <v>30</v>
      </c>
      <c r="H97" s="37">
        <v>0</v>
      </c>
      <c r="I97" s="37">
        <v>0</v>
      </c>
      <c r="J97" s="37">
        <v>0</v>
      </c>
      <c r="K97" s="37">
        <v>0</v>
      </c>
      <c r="L97" s="37">
        <v>0</v>
      </c>
      <c r="M97" s="37">
        <v>2.1744003714486131</v>
      </c>
      <c r="N97" s="37">
        <v>1287.8927919059845</v>
      </c>
      <c r="O97" s="37">
        <v>5660.5169114332066</v>
      </c>
      <c r="P97" s="37">
        <v>11128.534585118017</v>
      </c>
      <c r="Q97" s="37">
        <v>14172.170281928375</v>
      </c>
      <c r="R97" s="37">
        <v>14497.05339991258</v>
      </c>
      <c r="S97" s="37">
        <v>15333.400239761488</v>
      </c>
      <c r="T97" s="37">
        <v>15748.187937723618</v>
      </c>
      <c r="U97" s="37">
        <v>15203.477183571998</v>
      </c>
      <c r="V97" s="37">
        <v>12663.304941428723</v>
      </c>
      <c r="W97" s="37">
        <v>10272.227676102939</v>
      </c>
      <c r="X97" s="37">
        <v>5245.4462762164885</v>
      </c>
      <c r="Y97" s="37">
        <v>1174.947890093415</v>
      </c>
      <c r="Z97" s="37">
        <v>3.6823299470051332</v>
      </c>
      <c r="AA97" s="37">
        <v>0</v>
      </c>
      <c r="AB97" s="37">
        <v>0</v>
      </c>
      <c r="AC97" s="37">
        <v>0</v>
      </c>
      <c r="AD97" s="37">
        <v>0</v>
      </c>
      <c r="AE97" s="37">
        <v>0</v>
      </c>
      <c r="AF97" s="38">
        <f t="shared" ref="AF97" si="81">ROUND(SUM(H97:AE97)*G97,2)</f>
        <v>3671790.51</v>
      </c>
    </row>
    <row r="98" spans="5:32" ht="14.5" thickBot="1">
      <c r="E98" s="57">
        <v>48488</v>
      </c>
      <c r="F98" s="56">
        <f>+_xlfn.XLOOKUP(E98,'PRODUCTO 01'!$C$10:$C$137,'PRODUCTO 01'!$F$10:$F$137)</f>
        <v>3370448.87</v>
      </c>
      <c r="G98" s="36">
        <v>31</v>
      </c>
      <c r="H98" s="37">
        <v>0</v>
      </c>
      <c r="I98" s="37">
        <v>0</v>
      </c>
      <c r="J98" s="37">
        <v>0</v>
      </c>
      <c r="K98" s="37">
        <v>0</v>
      </c>
      <c r="L98" s="37">
        <v>0</v>
      </c>
      <c r="M98" s="37">
        <v>2.078681180220495</v>
      </c>
      <c r="N98" s="37">
        <v>1263.7256158001164</v>
      </c>
      <c r="O98" s="37">
        <v>5462.9033109267157</v>
      </c>
      <c r="P98" s="37">
        <v>10019.312856458688</v>
      </c>
      <c r="Q98" s="37">
        <v>12580.585070326011</v>
      </c>
      <c r="R98" s="37">
        <v>14157.03870931993</v>
      </c>
      <c r="S98" s="37">
        <v>14304.672515898386</v>
      </c>
      <c r="T98" s="37">
        <v>13988.991567217878</v>
      </c>
      <c r="U98" s="37">
        <v>12940.603963113048</v>
      </c>
      <c r="V98" s="37">
        <v>11206.27358248055</v>
      </c>
      <c r="W98" s="37">
        <v>8148.5010726444998</v>
      </c>
      <c r="X98" s="37">
        <v>4049.8846794160922</v>
      </c>
      <c r="Y98" s="37">
        <v>599.5143648824361</v>
      </c>
      <c r="Z98" s="37">
        <v>7.1134120697610256E-2</v>
      </c>
      <c r="AA98" s="37">
        <v>0</v>
      </c>
      <c r="AB98" s="37">
        <v>0</v>
      </c>
      <c r="AC98" s="37">
        <v>0</v>
      </c>
      <c r="AD98" s="37">
        <v>0</v>
      </c>
      <c r="AE98" s="37">
        <v>0</v>
      </c>
      <c r="AF98" s="38">
        <f t="shared" ref="AF98" si="82">ROUND(SUM(H98:AE98)*G98,2)</f>
        <v>3370448.87</v>
      </c>
    </row>
    <row r="99" spans="5:32" ht="14.5" thickBot="1">
      <c r="E99" s="57">
        <v>48519</v>
      </c>
      <c r="F99" s="56">
        <f>+_xlfn.XLOOKUP(E99,'PRODUCTO 01'!$C$10:$C$137,'PRODUCTO 01'!$F$10:$F$137)</f>
        <v>3200754.92</v>
      </c>
      <c r="G99" s="36">
        <v>30</v>
      </c>
      <c r="H99" s="37">
        <v>0</v>
      </c>
      <c r="I99" s="37">
        <v>0</v>
      </c>
      <c r="J99" s="37">
        <v>0</v>
      </c>
      <c r="K99" s="37">
        <v>0</v>
      </c>
      <c r="L99" s="37">
        <v>0</v>
      </c>
      <c r="M99" s="37">
        <v>8.4969462389865871E-2</v>
      </c>
      <c r="N99" s="37">
        <v>1060.2777379368072</v>
      </c>
      <c r="O99" s="37">
        <v>5212.5582328518321</v>
      </c>
      <c r="P99" s="37">
        <v>9687.6340174864235</v>
      </c>
      <c r="Q99" s="37">
        <v>12361.619022336441</v>
      </c>
      <c r="R99" s="37">
        <v>13535.347812405991</v>
      </c>
      <c r="S99" s="37">
        <v>14195.748905008859</v>
      </c>
      <c r="T99" s="37">
        <v>13779.937039734834</v>
      </c>
      <c r="U99" s="37">
        <v>12815.20469046385</v>
      </c>
      <c r="V99" s="37">
        <v>11236.397831547732</v>
      </c>
      <c r="W99" s="37">
        <v>8356.9902875946282</v>
      </c>
      <c r="X99" s="37">
        <v>3948.4208217061023</v>
      </c>
      <c r="Y99" s="37">
        <v>501.46300351518312</v>
      </c>
      <c r="Z99" s="37">
        <v>0.14636394096210342</v>
      </c>
      <c r="AA99" s="37">
        <v>0</v>
      </c>
      <c r="AB99" s="37">
        <v>0</v>
      </c>
      <c r="AC99" s="37">
        <v>0</v>
      </c>
      <c r="AD99" s="37">
        <v>0</v>
      </c>
      <c r="AE99" s="37">
        <v>0</v>
      </c>
      <c r="AF99" s="38">
        <f t="shared" ref="AF99" si="83">ROUND(SUM(H99:AE99)*G99,2)</f>
        <v>3200754.92</v>
      </c>
    </row>
    <row r="100" spans="5:32" ht="14.5" thickBot="1">
      <c r="E100" s="57">
        <v>48549</v>
      </c>
      <c r="F100" s="56">
        <f>+_xlfn.XLOOKUP(E100,'PRODUCTO 01'!$C$10:$C$137,'PRODUCTO 01'!$F$10:$F$137)</f>
        <v>3750301.98</v>
      </c>
      <c r="G100" s="36">
        <v>31</v>
      </c>
      <c r="H100" s="37">
        <v>0</v>
      </c>
      <c r="I100" s="37">
        <v>0</v>
      </c>
      <c r="J100" s="37">
        <v>0</v>
      </c>
      <c r="K100" s="37">
        <v>0</v>
      </c>
      <c r="L100" s="37">
        <v>0</v>
      </c>
      <c r="M100" s="37">
        <v>2.769348710303131E-3</v>
      </c>
      <c r="N100" s="37">
        <v>596.77340795587179</v>
      </c>
      <c r="O100" s="37">
        <v>4739.0079540360057</v>
      </c>
      <c r="P100" s="37">
        <v>10578.654096822691</v>
      </c>
      <c r="Q100" s="37">
        <v>14516.127048142218</v>
      </c>
      <c r="R100" s="37">
        <v>16196.502587316347</v>
      </c>
      <c r="S100" s="37">
        <v>16209.37098230477</v>
      </c>
      <c r="T100" s="37">
        <v>15882.26494841573</v>
      </c>
      <c r="U100" s="37">
        <v>14982.601598701573</v>
      </c>
      <c r="V100" s="37">
        <v>12894.516408101812</v>
      </c>
      <c r="W100" s="37">
        <v>9504.5063868225152</v>
      </c>
      <c r="X100" s="37">
        <v>4346.3400560377586</v>
      </c>
      <c r="Y100" s="37">
        <v>530.73896540279407</v>
      </c>
      <c r="Z100" s="37">
        <v>7.5880154662305799E-2</v>
      </c>
      <c r="AA100" s="37">
        <v>0</v>
      </c>
      <c r="AB100" s="37">
        <v>0</v>
      </c>
      <c r="AC100" s="37">
        <v>0</v>
      </c>
      <c r="AD100" s="37">
        <v>0</v>
      </c>
      <c r="AE100" s="37">
        <v>0</v>
      </c>
      <c r="AF100" s="38">
        <f t="shared" ref="AF100" si="84">ROUND(SUM(H100:AE100)*G100,2)</f>
        <v>3750301.98</v>
      </c>
    </row>
    <row r="101" spans="5:32" ht="14.5" thickBot="1">
      <c r="E101" s="57">
        <v>48580</v>
      </c>
      <c r="F101" s="56">
        <f>+_xlfn.XLOOKUP(E101,'PRODUCTO 01'!$C$10:$C$137,'PRODUCTO 01'!$F$10:$F$137)</f>
        <v>4330754.53</v>
      </c>
      <c r="G101" s="36">
        <v>31</v>
      </c>
      <c r="H101" s="37">
        <v>0</v>
      </c>
      <c r="I101" s="37">
        <v>0</v>
      </c>
      <c r="J101" s="37">
        <v>0</v>
      </c>
      <c r="K101" s="37">
        <v>0</v>
      </c>
      <c r="L101" s="37">
        <v>0</v>
      </c>
      <c r="M101" s="37">
        <v>0</v>
      </c>
      <c r="N101" s="37">
        <v>243.10261371706156</v>
      </c>
      <c r="O101" s="37">
        <v>4213.1536774867118</v>
      </c>
      <c r="P101" s="37">
        <v>10818.409169129172</v>
      </c>
      <c r="Q101" s="37">
        <v>15494.554424447917</v>
      </c>
      <c r="R101" s="37">
        <v>17390.493603352479</v>
      </c>
      <c r="S101" s="37">
        <v>17638.920964090503</v>
      </c>
      <c r="T101" s="37">
        <v>17558.686514897825</v>
      </c>
      <c r="U101" s="37">
        <v>16745.793352082168</v>
      </c>
      <c r="V101" s="37">
        <v>16182.228409991389</v>
      </c>
      <c r="W101" s="37">
        <v>13716.780785284111</v>
      </c>
      <c r="X101" s="37">
        <v>8147.061338486511</v>
      </c>
      <c r="Y101" s="37">
        <v>1552.4900954130085</v>
      </c>
      <c r="Z101" s="37">
        <v>8.3933346853932569E-2</v>
      </c>
      <c r="AA101" s="37">
        <v>0</v>
      </c>
      <c r="AB101" s="37">
        <v>0</v>
      </c>
      <c r="AC101" s="37">
        <v>0</v>
      </c>
      <c r="AD101" s="37">
        <v>0</v>
      </c>
      <c r="AE101" s="37">
        <v>0</v>
      </c>
      <c r="AF101" s="38">
        <f>ROUND(SUM(H101:AE101)*G101,2)</f>
        <v>4330754.53</v>
      </c>
    </row>
    <row r="102" spans="5:32" ht="14.5" thickBot="1">
      <c r="E102" s="57">
        <v>48611</v>
      </c>
      <c r="F102" s="56">
        <f>+_xlfn.XLOOKUP(E102,'PRODUCTO 01'!$C$10:$C$137,'PRODUCTO 01'!$F$10:$F$137)</f>
        <v>4002053.04</v>
      </c>
      <c r="G102" s="36">
        <v>28</v>
      </c>
      <c r="H102" s="37">
        <v>0</v>
      </c>
      <c r="I102" s="37">
        <v>0</v>
      </c>
      <c r="J102" s="37">
        <v>0</v>
      </c>
      <c r="K102" s="37">
        <v>0</v>
      </c>
      <c r="L102" s="37">
        <v>0</v>
      </c>
      <c r="M102" s="37">
        <v>0</v>
      </c>
      <c r="N102" s="37">
        <v>335.68088272660731</v>
      </c>
      <c r="O102" s="37">
        <v>4983.7416500454592</v>
      </c>
      <c r="P102" s="37">
        <v>11958.730850144651</v>
      </c>
      <c r="Q102" s="37">
        <v>15204.818068646902</v>
      </c>
      <c r="R102" s="37">
        <v>16434.796170638278</v>
      </c>
      <c r="S102" s="37">
        <v>16964.774045920625</v>
      </c>
      <c r="T102" s="37">
        <v>16800.163026483726</v>
      </c>
      <c r="U102" s="37">
        <v>16989.73668374167</v>
      </c>
      <c r="V102" s="37">
        <v>16453.42383601479</v>
      </c>
      <c r="W102" s="37">
        <v>14831.898559416171</v>
      </c>
      <c r="X102" s="37">
        <v>9686.3221897072381</v>
      </c>
      <c r="Y102" s="37">
        <v>2264.8019643994771</v>
      </c>
      <c r="Z102" s="37">
        <v>21.577774657039203</v>
      </c>
      <c r="AA102" s="37">
        <v>0</v>
      </c>
      <c r="AB102" s="37">
        <v>0</v>
      </c>
      <c r="AC102" s="37">
        <v>0</v>
      </c>
      <c r="AD102" s="37">
        <v>0</v>
      </c>
      <c r="AE102" s="37">
        <v>0</v>
      </c>
      <c r="AF102" s="38">
        <f t="shared" ref="AF102" si="85">ROUND(SUM(H102:AE102)*G102,2)</f>
        <v>4002053.04</v>
      </c>
    </row>
    <row r="103" spans="5:32" ht="14.5" thickBot="1">
      <c r="E103" s="57">
        <v>48639</v>
      </c>
      <c r="F103" s="56">
        <f>+_xlfn.XLOOKUP(E103,'PRODUCTO 01'!$C$10:$C$137,'PRODUCTO 01'!$F$10:$F$137)</f>
        <v>4210250.6100000003</v>
      </c>
      <c r="G103" s="36">
        <v>31</v>
      </c>
      <c r="H103" s="37">
        <v>0</v>
      </c>
      <c r="I103" s="37">
        <v>0</v>
      </c>
      <c r="J103" s="37">
        <v>0</v>
      </c>
      <c r="K103" s="37">
        <v>0</v>
      </c>
      <c r="L103" s="37">
        <v>0</v>
      </c>
      <c r="M103" s="37">
        <v>2.7597042501580921E-2</v>
      </c>
      <c r="N103" s="37">
        <v>599.61220613770956</v>
      </c>
      <c r="O103" s="37">
        <v>4997.7645153283393</v>
      </c>
      <c r="P103" s="37">
        <v>11208.067280689285</v>
      </c>
      <c r="Q103" s="37">
        <v>14922.503006963496</v>
      </c>
      <c r="R103" s="37">
        <v>16693.424042645303</v>
      </c>
      <c r="S103" s="37">
        <v>16701.669171276706</v>
      </c>
      <c r="T103" s="37">
        <v>16328.152314994448</v>
      </c>
      <c r="U103" s="37">
        <v>15598.563727118802</v>
      </c>
      <c r="V103" s="37">
        <v>14949.063821869593</v>
      </c>
      <c r="W103" s="37">
        <v>13041.803833238195</v>
      </c>
      <c r="X103" s="37">
        <v>8561.1826899758107</v>
      </c>
      <c r="Y103" s="37">
        <v>2186.3094322890056</v>
      </c>
      <c r="Z103" s="37">
        <v>26.392168699835068</v>
      </c>
      <c r="AA103" s="37">
        <v>0</v>
      </c>
      <c r="AB103" s="37">
        <v>0</v>
      </c>
      <c r="AC103" s="37">
        <v>0</v>
      </c>
      <c r="AD103" s="37">
        <v>0</v>
      </c>
      <c r="AE103" s="37">
        <v>0</v>
      </c>
      <c r="AF103" s="38">
        <f t="shared" ref="AF103" si="86">ROUND(SUM(H103:AE103)*G103,2)</f>
        <v>4210250.6100000003</v>
      </c>
    </row>
    <row r="104" spans="5:32" ht="14.5" thickBot="1">
      <c r="E104" s="57">
        <v>48670</v>
      </c>
      <c r="F104" s="56">
        <f>+_xlfn.XLOOKUP(E104,'PRODUCTO 01'!$C$10:$C$137,'PRODUCTO 01'!$F$10:$F$137)</f>
        <v>3698573.57</v>
      </c>
      <c r="G104" s="36">
        <v>30</v>
      </c>
      <c r="H104" s="37">
        <v>0</v>
      </c>
      <c r="I104" s="37">
        <v>0</v>
      </c>
      <c r="J104" s="37">
        <v>0</v>
      </c>
      <c r="K104" s="37">
        <v>0</v>
      </c>
      <c r="L104" s="37">
        <v>0</v>
      </c>
      <c r="M104" s="37">
        <v>2.8719365432514472</v>
      </c>
      <c r="N104" s="37">
        <v>1180.6951098261859</v>
      </c>
      <c r="O104" s="37">
        <v>5602.5630740193737</v>
      </c>
      <c r="P104" s="37">
        <v>10874.460762063187</v>
      </c>
      <c r="Q104" s="37">
        <v>13872.212924465013</v>
      </c>
      <c r="R104" s="37">
        <v>15100.263012834072</v>
      </c>
      <c r="S104" s="37">
        <v>15072.33886902795</v>
      </c>
      <c r="T104" s="37">
        <v>14946.957484888626</v>
      </c>
      <c r="U104" s="37">
        <v>14247.089515555217</v>
      </c>
      <c r="V104" s="37">
        <v>12990.082012483956</v>
      </c>
      <c r="W104" s="37">
        <v>10765.963762379011</v>
      </c>
      <c r="X104" s="37">
        <v>6813.3293887533446</v>
      </c>
      <c r="Y104" s="37">
        <v>1794.0484048642415</v>
      </c>
      <c r="Z104" s="37">
        <v>22.90928461383313</v>
      </c>
      <c r="AA104" s="37">
        <v>0</v>
      </c>
      <c r="AB104" s="37">
        <v>0</v>
      </c>
      <c r="AC104" s="37">
        <v>0</v>
      </c>
      <c r="AD104" s="37">
        <v>0</v>
      </c>
      <c r="AE104" s="37">
        <v>0</v>
      </c>
      <c r="AF104" s="38">
        <f t="shared" ref="AF104" si="87">ROUND(SUM(H104:AE104)*G104,2)</f>
        <v>3698573.57</v>
      </c>
    </row>
    <row r="105" spans="5:32" ht="14.5" thickBot="1">
      <c r="E105" s="57">
        <v>48700</v>
      </c>
      <c r="F105" s="56">
        <f>+_xlfn.XLOOKUP(E105,'PRODUCTO 01'!$C$10:$C$137,'PRODUCTO 01'!$F$10:$F$137)</f>
        <v>3550284.91</v>
      </c>
      <c r="G105" s="36">
        <v>31</v>
      </c>
      <c r="H105" s="37">
        <v>0</v>
      </c>
      <c r="I105" s="37">
        <v>0</v>
      </c>
      <c r="J105" s="37">
        <v>0</v>
      </c>
      <c r="K105" s="37">
        <v>0</v>
      </c>
      <c r="L105" s="37">
        <v>0</v>
      </c>
      <c r="M105" s="37">
        <v>25.18368409656599</v>
      </c>
      <c r="N105" s="37">
        <v>1557.2398592175293</v>
      </c>
      <c r="O105" s="37">
        <v>5581.3923024573824</v>
      </c>
      <c r="P105" s="37">
        <v>9484.656065589963</v>
      </c>
      <c r="Q105" s="37">
        <v>12835.87664560998</v>
      </c>
      <c r="R105" s="37">
        <v>14371.891203797342</v>
      </c>
      <c r="S105" s="37">
        <v>14351.875286723855</v>
      </c>
      <c r="T105" s="37">
        <v>14530.435595468703</v>
      </c>
      <c r="U105" s="37">
        <v>13444.855943877305</v>
      </c>
      <c r="V105" s="37">
        <v>11523.954886289721</v>
      </c>
      <c r="W105" s="37">
        <v>9066.9105074340423</v>
      </c>
      <c r="X105" s="37">
        <v>5858.0403188787914</v>
      </c>
      <c r="Y105" s="37">
        <v>1862.9824160702401</v>
      </c>
      <c r="Z105" s="37">
        <v>30.02504041767147</v>
      </c>
      <c r="AA105" s="37">
        <v>0</v>
      </c>
      <c r="AB105" s="37">
        <v>0</v>
      </c>
      <c r="AC105" s="37">
        <v>0</v>
      </c>
      <c r="AD105" s="37">
        <v>0</v>
      </c>
      <c r="AE105" s="37">
        <v>0</v>
      </c>
      <c r="AF105" s="38">
        <f t="shared" ref="AF105" si="88">ROUND(SUM(H105:AE105)*G105,2)</f>
        <v>3550284.91</v>
      </c>
    </row>
    <row r="106" spans="5:32" ht="14.5" thickBot="1">
      <c r="E106" s="57">
        <v>48731</v>
      </c>
      <c r="F106" s="56">
        <f>+_xlfn.XLOOKUP(E106,'PRODUCTO 01'!$C$10:$C$137,'PRODUCTO 01'!$F$10:$F$137)</f>
        <v>3948766.51</v>
      </c>
      <c r="G106" s="36">
        <v>30</v>
      </c>
      <c r="H106" s="37">
        <v>0</v>
      </c>
      <c r="I106" s="37">
        <v>0</v>
      </c>
      <c r="J106" s="37">
        <v>0</v>
      </c>
      <c r="K106" s="37">
        <v>0</v>
      </c>
      <c r="L106" s="37">
        <v>0</v>
      </c>
      <c r="M106" s="37">
        <v>27.790746506413271</v>
      </c>
      <c r="N106" s="37">
        <v>1649.5042748257142</v>
      </c>
      <c r="O106" s="37">
        <v>5992.6560967333216</v>
      </c>
      <c r="P106" s="37">
        <v>9913.0272776049715</v>
      </c>
      <c r="Q106" s="37">
        <v>13376.130653938584</v>
      </c>
      <c r="R106" s="37">
        <v>15967.191823889321</v>
      </c>
      <c r="S106" s="37">
        <v>17207.531202604307</v>
      </c>
      <c r="T106" s="37">
        <v>16958.865673163535</v>
      </c>
      <c r="U106" s="37">
        <v>15789.640967077376</v>
      </c>
      <c r="V106" s="37">
        <v>13671.031613777568</v>
      </c>
      <c r="W106" s="37">
        <v>11144.968393928335</v>
      </c>
      <c r="X106" s="37">
        <v>7377.9923570229803</v>
      </c>
      <c r="Y106" s="37">
        <v>2462.7043119525761</v>
      </c>
      <c r="Z106" s="37">
        <v>86.514941273528081</v>
      </c>
      <c r="AA106" s="37">
        <v>0</v>
      </c>
      <c r="AB106" s="37">
        <v>0</v>
      </c>
      <c r="AC106" s="37">
        <v>0</v>
      </c>
      <c r="AD106" s="37">
        <v>0</v>
      </c>
      <c r="AE106" s="37">
        <v>0</v>
      </c>
      <c r="AF106" s="38">
        <f t="shared" ref="AF106" si="89">ROUND(SUM(H106:AE106)*G106,2)</f>
        <v>3948766.51</v>
      </c>
    </row>
    <row r="107" spans="5:32" ht="14.5" thickBot="1">
      <c r="E107" s="57">
        <v>48761</v>
      </c>
      <c r="F107" s="56">
        <f>+_xlfn.XLOOKUP(E107,'PRODUCTO 01'!$C$10:$C$137,'PRODUCTO 01'!$F$10:$F$137)</f>
        <v>4075288.14</v>
      </c>
      <c r="G107" s="36">
        <v>31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8.4559164102292055</v>
      </c>
      <c r="N107" s="37">
        <v>1437.6136774067509</v>
      </c>
      <c r="O107" s="37">
        <v>6083.9840916840876</v>
      </c>
      <c r="P107" s="37">
        <v>10826.496292487631</v>
      </c>
      <c r="Q107" s="37">
        <v>14011.19285203145</v>
      </c>
      <c r="R107" s="37">
        <v>15701.223301950607</v>
      </c>
      <c r="S107" s="37">
        <v>16465.811370221658</v>
      </c>
      <c r="T107" s="37">
        <v>16053.042969808588</v>
      </c>
      <c r="U107" s="37">
        <v>15145.7844655301</v>
      </c>
      <c r="V107" s="37">
        <v>13763.174558017088</v>
      </c>
      <c r="W107" s="37">
        <v>11401.109179600198</v>
      </c>
      <c r="X107" s="37">
        <v>7741.5684781234741</v>
      </c>
      <c r="Y107" s="37">
        <v>2720.954424130869</v>
      </c>
      <c r="Z107" s="37">
        <v>100.49629296640049</v>
      </c>
      <c r="AA107" s="37">
        <v>0</v>
      </c>
      <c r="AB107" s="37">
        <v>0</v>
      </c>
      <c r="AC107" s="37">
        <v>0</v>
      </c>
      <c r="AD107" s="37">
        <v>0</v>
      </c>
      <c r="AE107" s="37">
        <v>0</v>
      </c>
      <c r="AF107" s="38">
        <f t="shared" ref="AF107" si="90">ROUND(SUM(H107:AE107)*G107,2)</f>
        <v>4075288.14</v>
      </c>
    </row>
    <row r="108" spans="5:32" ht="14.5" thickBot="1">
      <c r="E108" s="57">
        <v>48792</v>
      </c>
      <c r="F108" s="56">
        <f>+_xlfn.XLOOKUP(E108,'PRODUCTO 01'!$C$10:$C$137,'PRODUCTO 01'!$F$10:$F$137)</f>
        <v>3900027.84</v>
      </c>
      <c r="G108" s="36">
        <v>31</v>
      </c>
      <c r="H108" s="37">
        <v>0</v>
      </c>
      <c r="I108" s="37">
        <v>0</v>
      </c>
      <c r="J108" s="37">
        <v>0</v>
      </c>
      <c r="K108" s="37">
        <v>0</v>
      </c>
      <c r="L108" s="37">
        <v>0</v>
      </c>
      <c r="M108" s="37">
        <v>2.8869372836966805</v>
      </c>
      <c r="N108" s="37">
        <v>1139.1253082459357</v>
      </c>
      <c r="O108" s="37">
        <v>5327.826467855708</v>
      </c>
      <c r="P108" s="37">
        <v>9909.6841197674912</v>
      </c>
      <c r="Q108" s="37">
        <v>13379.820211383643</v>
      </c>
      <c r="R108" s="37">
        <v>15276.676075105497</v>
      </c>
      <c r="S108" s="37">
        <v>15665.247808969616</v>
      </c>
      <c r="T108" s="37">
        <v>15789.666888993423</v>
      </c>
      <c r="U108" s="37">
        <v>15186.286138487389</v>
      </c>
      <c r="V108" s="37">
        <v>13494.259663479279</v>
      </c>
      <c r="W108" s="37">
        <v>11046.61642251513</v>
      </c>
      <c r="X108" s="37">
        <v>7339.4574387045814</v>
      </c>
      <c r="Y108" s="37">
        <v>2217.9242627851072</v>
      </c>
      <c r="Z108" s="37">
        <v>31.871886770196582</v>
      </c>
      <c r="AA108" s="37">
        <v>0</v>
      </c>
      <c r="AB108" s="37">
        <v>0</v>
      </c>
      <c r="AC108" s="37">
        <v>0</v>
      </c>
      <c r="AD108" s="37">
        <v>0</v>
      </c>
      <c r="AE108" s="37">
        <v>0</v>
      </c>
      <c r="AF108" s="38">
        <f t="shared" ref="AF108" si="91">ROUND(SUM(H108:AE108)*G108,2)</f>
        <v>3900027.84</v>
      </c>
    </row>
    <row r="109" spans="5:32" ht="14.5" thickBot="1">
      <c r="E109" s="57">
        <v>48823</v>
      </c>
      <c r="F109" s="56">
        <f>+_xlfn.XLOOKUP(E109,'PRODUCTO 01'!$C$10:$C$137,'PRODUCTO 01'!$F$10:$F$137)</f>
        <v>3657103.34</v>
      </c>
      <c r="G109" s="36">
        <v>30</v>
      </c>
      <c r="H109" s="37">
        <v>0</v>
      </c>
      <c r="I109" s="37">
        <v>0</v>
      </c>
      <c r="J109" s="37">
        <v>0</v>
      </c>
      <c r="K109" s="37">
        <v>0</v>
      </c>
      <c r="L109" s="37">
        <v>0</v>
      </c>
      <c r="M109" s="37">
        <v>2.1657027699628189</v>
      </c>
      <c r="N109" s="37">
        <v>1282.7412207383604</v>
      </c>
      <c r="O109" s="37">
        <v>5637.8748437874747</v>
      </c>
      <c r="P109" s="37">
        <v>11084.020446777546</v>
      </c>
      <c r="Q109" s="37">
        <v>14115.481600800662</v>
      </c>
      <c r="R109" s="37">
        <v>14439.065186312931</v>
      </c>
      <c r="S109" s="37">
        <v>15272.066638802442</v>
      </c>
      <c r="T109" s="37">
        <v>15685.195185972723</v>
      </c>
      <c r="U109" s="37">
        <v>15142.663274837711</v>
      </c>
      <c r="V109" s="37">
        <v>12612.651721663009</v>
      </c>
      <c r="W109" s="37">
        <v>10231.138765398529</v>
      </c>
      <c r="X109" s="37">
        <v>5224.4644911116229</v>
      </c>
      <c r="Y109" s="37">
        <v>1170.2480985330415</v>
      </c>
      <c r="Z109" s="37">
        <v>3.6676006272171122</v>
      </c>
      <c r="AA109" s="37">
        <v>0</v>
      </c>
      <c r="AB109" s="37">
        <v>0</v>
      </c>
      <c r="AC109" s="37">
        <v>0</v>
      </c>
      <c r="AD109" s="37">
        <v>0</v>
      </c>
      <c r="AE109" s="37">
        <v>0</v>
      </c>
      <c r="AF109" s="38">
        <f t="shared" ref="AF109" si="92">ROUND(SUM(H109:AE109)*G109,2)</f>
        <v>3657103.34</v>
      </c>
    </row>
    <row r="110" spans="5:32" ht="14.5" thickBot="1">
      <c r="E110" s="57">
        <v>48853</v>
      </c>
      <c r="F110" s="56">
        <f>+_xlfn.XLOOKUP(E110,'PRODUCTO 01'!$C$10:$C$137,'PRODUCTO 01'!$F$10:$F$137)</f>
        <v>3356967.08</v>
      </c>
      <c r="G110" s="36">
        <v>31</v>
      </c>
      <c r="H110" s="37">
        <v>0</v>
      </c>
      <c r="I110" s="37">
        <v>0</v>
      </c>
      <c r="J110" s="37">
        <v>0</v>
      </c>
      <c r="K110" s="37">
        <v>0</v>
      </c>
      <c r="L110" s="37">
        <v>0</v>
      </c>
      <c r="M110" s="37">
        <v>2.0703664554996135</v>
      </c>
      <c r="N110" s="37">
        <v>1258.6707133369159</v>
      </c>
      <c r="O110" s="37">
        <v>5441.0516976830086</v>
      </c>
      <c r="P110" s="37">
        <v>9979.2356050328508</v>
      </c>
      <c r="Q110" s="37">
        <v>12530.262730044706</v>
      </c>
      <c r="R110" s="37">
        <v>14100.410554482649</v>
      </c>
      <c r="S110" s="37">
        <v>14247.453825834793</v>
      </c>
      <c r="T110" s="37">
        <v>13933.035600949006</v>
      </c>
      <c r="U110" s="37">
        <v>12888.841547260596</v>
      </c>
      <c r="V110" s="37">
        <v>11161.448488150625</v>
      </c>
      <c r="W110" s="37">
        <v>8115.9070683539212</v>
      </c>
      <c r="X110" s="37">
        <v>4033.6851406984269</v>
      </c>
      <c r="Y110" s="37">
        <v>597.11630742290629</v>
      </c>
      <c r="Z110" s="37">
        <v>7.0849584214819808E-2</v>
      </c>
      <c r="AA110" s="37">
        <v>0</v>
      </c>
      <c r="AB110" s="37">
        <v>0</v>
      </c>
      <c r="AC110" s="37">
        <v>0</v>
      </c>
      <c r="AD110" s="37">
        <v>0</v>
      </c>
      <c r="AE110" s="37">
        <v>0</v>
      </c>
      <c r="AF110" s="38">
        <f t="shared" ref="AF110" si="93">ROUND(SUM(H110:AE110)*G110,2)</f>
        <v>3356967.08</v>
      </c>
    </row>
    <row r="111" spans="5:32" ht="14.5" thickBot="1">
      <c r="E111" s="57">
        <v>48884</v>
      </c>
      <c r="F111" s="56">
        <f>+_xlfn.XLOOKUP(E111,'PRODUCTO 01'!$C$10:$C$137,'PRODUCTO 01'!$F$10:$F$137)</f>
        <v>3187951.9</v>
      </c>
      <c r="G111" s="36">
        <v>30</v>
      </c>
      <c r="H111" s="37">
        <v>0</v>
      </c>
      <c r="I111" s="37">
        <v>0</v>
      </c>
      <c r="J111" s="37">
        <v>0</v>
      </c>
      <c r="K111" s="37">
        <v>0</v>
      </c>
      <c r="L111" s="37">
        <v>0</v>
      </c>
      <c r="M111" s="37">
        <v>8.4629584540306418E-2</v>
      </c>
      <c r="N111" s="37">
        <v>1056.0366269850601</v>
      </c>
      <c r="O111" s="37">
        <v>5191.7079999204252</v>
      </c>
      <c r="P111" s="37">
        <v>9648.8834814164766</v>
      </c>
      <c r="Q111" s="37">
        <v>12312.172546247095</v>
      </c>
      <c r="R111" s="37">
        <v>13481.206421156367</v>
      </c>
      <c r="S111" s="37">
        <v>14138.965909388822</v>
      </c>
      <c r="T111" s="37">
        <v>13724.817291575895</v>
      </c>
      <c r="U111" s="37">
        <v>12763.943871701995</v>
      </c>
      <c r="V111" s="37">
        <v>11191.452240221541</v>
      </c>
      <c r="W111" s="37">
        <v>8323.5623264442493</v>
      </c>
      <c r="X111" s="37">
        <v>3932.6271384192778</v>
      </c>
      <c r="Y111" s="37">
        <v>499.45715150112238</v>
      </c>
      <c r="Z111" s="37">
        <v>0.14577848519825501</v>
      </c>
      <c r="AA111" s="37">
        <v>0</v>
      </c>
      <c r="AB111" s="37">
        <v>0</v>
      </c>
      <c r="AC111" s="37">
        <v>0</v>
      </c>
      <c r="AD111" s="37">
        <v>0</v>
      </c>
      <c r="AE111" s="37">
        <v>0</v>
      </c>
      <c r="AF111" s="38">
        <f t="shared" ref="AF111" si="94">ROUND(SUM(H111:AE111)*G111,2)</f>
        <v>3187951.9</v>
      </c>
    </row>
    <row r="112" spans="5:32" ht="14.5" thickBot="1">
      <c r="E112" s="57">
        <v>48914</v>
      </c>
      <c r="F112" s="56">
        <f>+_xlfn.XLOOKUP(E112,'PRODUCTO 01'!$C$10:$C$137,'PRODUCTO 01'!$F$10:$F$137)</f>
        <v>3735300.77</v>
      </c>
      <c r="G112" s="36">
        <v>31</v>
      </c>
      <c r="H112" s="37">
        <v>0</v>
      </c>
      <c r="I112" s="37">
        <v>0</v>
      </c>
      <c r="J112" s="37">
        <v>0</v>
      </c>
      <c r="K112" s="37">
        <v>0</v>
      </c>
      <c r="L112" s="37">
        <v>0</v>
      </c>
      <c r="M112" s="37">
        <v>2.7582713154619188E-3</v>
      </c>
      <c r="N112" s="37">
        <v>594.38631432404839</v>
      </c>
      <c r="O112" s="37">
        <v>4720.0519222198618</v>
      </c>
      <c r="P112" s="37">
        <v>10536.339480435399</v>
      </c>
      <c r="Q112" s="37">
        <v>14458.062539949648</v>
      </c>
      <c r="R112" s="37">
        <v>16131.716576967079</v>
      </c>
      <c r="S112" s="37">
        <v>16144.533498375549</v>
      </c>
      <c r="T112" s="37">
        <v>15818.735888622068</v>
      </c>
      <c r="U112" s="37">
        <v>14922.671192306767</v>
      </c>
      <c r="V112" s="37">
        <v>12842.938342469406</v>
      </c>
      <c r="W112" s="37">
        <v>9466.4883612752255</v>
      </c>
      <c r="X112" s="37">
        <v>4328.954695813607</v>
      </c>
      <c r="Y112" s="37">
        <v>528.61600954118285</v>
      </c>
      <c r="Z112" s="37">
        <v>7.5576634043656568E-2</v>
      </c>
      <c r="AA112" s="37">
        <v>0</v>
      </c>
      <c r="AB112" s="37">
        <v>0</v>
      </c>
      <c r="AC112" s="37">
        <v>0</v>
      </c>
      <c r="AD112" s="37">
        <v>0</v>
      </c>
      <c r="AE112" s="37">
        <v>0</v>
      </c>
      <c r="AF112" s="38">
        <f t="shared" ref="AF112" si="95">ROUND(SUM(H112:AE112)*G112,2)</f>
        <v>3735300.77</v>
      </c>
    </row>
    <row r="113" spans="5:32" ht="14.5" thickBot="1">
      <c r="E113" s="57">
        <v>48945</v>
      </c>
      <c r="F113" s="56">
        <f>+_xlfn.XLOOKUP(E113,'PRODUCTO 01'!$C$10:$C$137,'PRODUCTO 01'!$F$10:$F$137)</f>
        <v>4313431.51</v>
      </c>
      <c r="G113" s="36">
        <v>31</v>
      </c>
      <c r="H113" s="37">
        <v>0</v>
      </c>
      <c r="I113" s="37">
        <v>0</v>
      </c>
      <c r="J113" s="37">
        <v>0</v>
      </c>
      <c r="K113" s="37">
        <v>0</v>
      </c>
      <c r="L113" s="37">
        <v>0</v>
      </c>
      <c r="M113" s="37">
        <v>0</v>
      </c>
      <c r="N113" s="37">
        <v>242.13020326219336</v>
      </c>
      <c r="O113" s="37">
        <v>4196.3010627767653</v>
      </c>
      <c r="P113" s="37">
        <v>10775.135532452656</v>
      </c>
      <c r="Q113" s="37">
        <v>15432.576206750127</v>
      </c>
      <c r="R113" s="37">
        <v>17320.931628939074</v>
      </c>
      <c r="S113" s="37">
        <v>17568.365280234146</v>
      </c>
      <c r="T113" s="37">
        <v>17488.451768838233</v>
      </c>
      <c r="U113" s="37">
        <v>16678.810178673841</v>
      </c>
      <c r="V113" s="37">
        <v>16117.499496351424</v>
      </c>
      <c r="W113" s="37">
        <v>13661.913662142977</v>
      </c>
      <c r="X113" s="37">
        <v>8114.4730931325648</v>
      </c>
      <c r="Y113" s="37">
        <v>1546.2801350313566</v>
      </c>
      <c r="Z113" s="37">
        <v>8.3597613466516854E-2</v>
      </c>
      <c r="AA113" s="37">
        <v>0</v>
      </c>
      <c r="AB113" s="37">
        <v>0</v>
      </c>
      <c r="AC113" s="37">
        <v>0</v>
      </c>
      <c r="AD113" s="37">
        <v>0</v>
      </c>
      <c r="AE113" s="37">
        <v>0</v>
      </c>
      <c r="AF113" s="38">
        <f>ROUND(SUM(H113:AE113)*G113,2)</f>
        <v>4313431.51</v>
      </c>
    </row>
    <row r="114" spans="5:32" ht="14.5" thickBot="1">
      <c r="E114" s="57">
        <v>48976</v>
      </c>
      <c r="F114" s="56">
        <f>+_xlfn.XLOOKUP(E114,'PRODUCTO 01'!$C$10:$C$137,'PRODUCTO 01'!$F$10:$F$137)</f>
        <v>3986044.83</v>
      </c>
      <c r="G114" s="36">
        <v>28</v>
      </c>
      <c r="H114" s="37">
        <v>0</v>
      </c>
      <c r="I114" s="37">
        <v>0</v>
      </c>
      <c r="J114" s="37">
        <v>0</v>
      </c>
      <c r="K114" s="37">
        <v>0</v>
      </c>
      <c r="L114" s="37">
        <v>0</v>
      </c>
      <c r="M114" s="37">
        <v>0</v>
      </c>
      <c r="N114" s="37">
        <v>334.33815919570088</v>
      </c>
      <c r="O114" s="37">
        <v>4963.8066834452775</v>
      </c>
      <c r="P114" s="37">
        <v>11910.895926744073</v>
      </c>
      <c r="Q114" s="37">
        <v>15143.998796372318</v>
      </c>
      <c r="R114" s="37">
        <v>16369.056985955725</v>
      </c>
      <c r="S114" s="37">
        <v>16896.914949736947</v>
      </c>
      <c r="T114" s="37">
        <v>16732.962374377792</v>
      </c>
      <c r="U114" s="37">
        <v>16921.777737006705</v>
      </c>
      <c r="V114" s="37">
        <v>16387.610140670731</v>
      </c>
      <c r="W114" s="37">
        <v>14772.570965178507</v>
      </c>
      <c r="X114" s="37">
        <v>9647.5769009484102</v>
      </c>
      <c r="Y114" s="37">
        <v>2255.7427565418793</v>
      </c>
      <c r="Z114" s="37">
        <v>21.491463558411045</v>
      </c>
      <c r="AA114" s="37">
        <v>0</v>
      </c>
      <c r="AB114" s="37">
        <v>0</v>
      </c>
      <c r="AC114" s="37">
        <v>0</v>
      </c>
      <c r="AD114" s="37">
        <v>0</v>
      </c>
      <c r="AE114" s="37">
        <v>0</v>
      </c>
      <c r="AF114" s="38">
        <f t="shared" ref="AF114" si="96">ROUND(SUM(H114:AE114)*G114,2)</f>
        <v>3986044.83</v>
      </c>
    </row>
    <row r="115" spans="5:32" ht="14.5" thickBot="1">
      <c r="E115" s="57">
        <v>49004</v>
      </c>
      <c r="F115" s="56">
        <f>+_xlfn.XLOOKUP(E115,'PRODUCTO 01'!$C$10:$C$137,'PRODUCTO 01'!$F$10:$F$137)</f>
        <v>4193409.61</v>
      </c>
      <c r="G115" s="36">
        <v>31</v>
      </c>
      <c r="H115" s="37">
        <v>0</v>
      </c>
      <c r="I115" s="37">
        <v>0</v>
      </c>
      <c r="J115" s="37">
        <v>0</v>
      </c>
      <c r="K115" s="37">
        <v>0</v>
      </c>
      <c r="L115" s="37">
        <v>0</v>
      </c>
      <c r="M115" s="37">
        <v>2.74866543315746E-2</v>
      </c>
      <c r="N115" s="37">
        <v>597.21375731315879</v>
      </c>
      <c r="O115" s="37">
        <v>4977.7734572670252</v>
      </c>
      <c r="P115" s="37">
        <v>11163.235011566527</v>
      </c>
      <c r="Q115" s="37">
        <v>14862.812994935644</v>
      </c>
      <c r="R115" s="37">
        <v>16626.650346474722</v>
      </c>
      <c r="S115" s="37">
        <v>16634.862494591602</v>
      </c>
      <c r="T115" s="37">
        <v>16262.83970573447</v>
      </c>
      <c r="U115" s="37">
        <v>15536.169472210331</v>
      </c>
      <c r="V115" s="37">
        <v>14889.267566582115</v>
      </c>
      <c r="W115" s="37">
        <v>12989.636617905242</v>
      </c>
      <c r="X115" s="37">
        <v>8526.9379592159075</v>
      </c>
      <c r="Y115" s="37">
        <v>2177.5641945598495</v>
      </c>
      <c r="Z115" s="37">
        <v>26.286600025035725</v>
      </c>
      <c r="AA115" s="37">
        <v>0</v>
      </c>
      <c r="AB115" s="37">
        <v>0</v>
      </c>
      <c r="AC115" s="37">
        <v>0</v>
      </c>
      <c r="AD115" s="37">
        <v>0</v>
      </c>
      <c r="AE115" s="37">
        <v>0</v>
      </c>
      <c r="AF115" s="38">
        <f t="shared" ref="AF115" si="97">ROUND(SUM(H115:AE115)*G115,2)</f>
        <v>4193409.61</v>
      </c>
    </row>
    <row r="116" spans="5:32" ht="14.5" thickBot="1">
      <c r="E116" s="57">
        <v>49035</v>
      </c>
      <c r="F116" s="56">
        <f>+_xlfn.XLOOKUP(E116,'PRODUCTO 01'!$C$10:$C$137,'PRODUCTO 01'!$F$10:$F$137)</f>
        <v>3683779.27</v>
      </c>
      <c r="G116" s="36">
        <v>30</v>
      </c>
      <c r="H116" s="37">
        <v>0</v>
      </c>
      <c r="I116" s="37">
        <v>0</v>
      </c>
      <c r="J116" s="37">
        <v>0</v>
      </c>
      <c r="K116" s="37">
        <v>0</v>
      </c>
      <c r="L116" s="37">
        <v>0</v>
      </c>
      <c r="M116" s="37">
        <v>2.8604487970784418</v>
      </c>
      <c r="N116" s="37">
        <v>1175.9723293868815</v>
      </c>
      <c r="O116" s="37">
        <v>5580.1528217232972</v>
      </c>
      <c r="P116" s="37">
        <v>10830.962919014934</v>
      </c>
      <c r="Q116" s="37">
        <v>13816.724072767152</v>
      </c>
      <c r="R116" s="37">
        <v>15039.861960782737</v>
      </c>
      <c r="S116" s="37">
        <v>15012.049513551839</v>
      </c>
      <c r="T116" s="37">
        <v>14887.169654949072</v>
      </c>
      <c r="U116" s="37">
        <v>14190.101157492996</v>
      </c>
      <c r="V116" s="37">
        <v>12938.12168443402</v>
      </c>
      <c r="W116" s="37">
        <v>10722.899907329494</v>
      </c>
      <c r="X116" s="37">
        <v>6786.0760711983312</v>
      </c>
      <c r="Y116" s="37">
        <v>1786.8722112447845</v>
      </c>
      <c r="Z116" s="37">
        <v>22.817647475377804</v>
      </c>
      <c r="AA116" s="37">
        <v>0</v>
      </c>
      <c r="AB116" s="37">
        <v>0</v>
      </c>
      <c r="AC116" s="37">
        <v>0</v>
      </c>
      <c r="AD116" s="37">
        <v>0</v>
      </c>
      <c r="AE116" s="37">
        <v>0</v>
      </c>
      <c r="AF116" s="38">
        <f t="shared" ref="AF116" si="98">ROUND(SUM(H116:AE116)*G116,2)</f>
        <v>3683779.27</v>
      </c>
    </row>
    <row r="117" spans="5:32" ht="14.5" thickBot="1">
      <c r="E117" s="57">
        <v>49065</v>
      </c>
      <c r="F117" s="56">
        <f>+_xlfn.XLOOKUP(E117,'PRODUCTO 01'!$C$10:$C$137,'PRODUCTO 01'!$F$10:$F$137)</f>
        <v>3536083.77</v>
      </c>
      <c r="G117" s="36">
        <v>31</v>
      </c>
      <c r="H117" s="37">
        <v>0</v>
      </c>
      <c r="I117" s="37">
        <v>0</v>
      </c>
      <c r="J117" s="37">
        <v>0</v>
      </c>
      <c r="K117" s="37">
        <v>0</v>
      </c>
      <c r="L117" s="37">
        <v>0</v>
      </c>
      <c r="M117" s="37">
        <v>25.082949360179725</v>
      </c>
      <c r="N117" s="37">
        <v>1551.010899780659</v>
      </c>
      <c r="O117" s="37">
        <v>5559.0667332475523</v>
      </c>
      <c r="P117" s="37">
        <v>9446.7174413276043</v>
      </c>
      <c r="Q117" s="37">
        <v>12784.533139027539</v>
      </c>
      <c r="R117" s="37">
        <v>14314.403638982152</v>
      </c>
      <c r="S117" s="37">
        <v>14294.467785576959</v>
      </c>
      <c r="T117" s="37">
        <v>14472.313853086829</v>
      </c>
      <c r="U117" s="37">
        <v>13391.076520101793</v>
      </c>
      <c r="V117" s="37">
        <v>11477.859066744562</v>
      </c>
      <c r="W117" s="37">
        <v>9030.6428654043048</v>
      </c>
      <c r="X117" s="37">
        <v>5834.6081576032757</v>
      </c>
      <c r="Y117" s="37">
        <v>1855.530486405959</v>
      </c>
      <c r="Z117" s="37">
        <v>29.904940256000781</v>
      </c>
      <c r="AA117" s="37">
        <v>0</v>
      </c>
      <c r="AB117" s="37">
        <v>0</v>
      </c>
      <c r="AC117" s="37">
        <v>0</v>
      </c>
      <c r="AD117" s="37">
        <v>0</v>
      </c>
      <c r="AE117" s="37">
        <v>0</v>
      </c>
      <c r="AF117" s="38">
        <f t="shared" ref="AF117" si="99">ROUND(SUM(H117:AE117)*G117,2)</f>
        <v>3536083.77</v>
      </c>
    </row>
    <row r="118" spans="5:32" ht="14.5" thickBot="1">
      <c r="E118" s="57">
        <v>49096</v>
      </c>
      <c r="F118" s="56">
        <f>+_xlfn.XLOOKUP(E118,'PRODUCTO 01'!$C$10:$C$137,'PRODUCTO 01'!$F$10:$F$137)</f>
        <v>3932971.44</v>
      </c>
      <c r="G118" s="36">
        <v>30</v>
      </c>
      <c r="H118" s="37">
        <v>0</v>
      </c>
      <c r="I118" s="37">
        <v>0</v>
      </c>
      <c r="J118" s="37">
        <v>0</v>
      </c>
      <c r="K118" s="37">
        <v>0</v>
      </c>
      <c r="L118" s="37">
        <v>0</v>
      </c>
      <c r="M118" s="37">
        <v>27.679583520387617</v>
      </c>
      <c r="N118" s="37">
        <v>1642.9062577264112</v>
      </c>
      <c r="O118" s="37">
        <v>5968.6854723463875</v>
      </c>
      <c r="P118" s="37">
        <v>9873.3751684945528</v>
      </c>
      <c r="Q118" s="37">
        <v>13322.626131322831</v>
      </c>
      <c r="R118" s="37">
        <v>15903.323056593763</v>
      </c>
      <c r="S118" s="37">
        <v>17138.701077793889</v>
      </c>
      <c r="T118" s="37">
        <v>16891.030210470883</v>
      </c>
      <c r="U118" s="37">
        <v>15726.482403209066</v>
      </c>
      <c r="V118" s="37">
        <v>13616.347487322457</v>
      </c>
      <c r="W118" s="37">
        <v>11100.388520352619</v>
      </c>
      <c r="X118" s="37">
        <v>7348.4803875948874</v>
      </c>
      <c r="Y118" s="37">
        <v>2452.8534947047651</v>
      </c>
      <c r="Z118" s="37">
        <v>86.168881508433998</v>
      </c>
      <c r="AA118" s="37">
        <v>0</v>
      </c>
      <c r="AB118" s="37">
        <v>0</v>
      </c>
      <c r="AC118" s="37">
        <v>0</v>
      </c>
      <c r="AD118" s="37">
        <v>0</v>
      </c>
      <c r="AE118" s="37">
        <v>0</v>
      </c>
      <c r="AF118" s="38">
        <f t="shared" ref="AF118" si="100">ROUND(SUM(H118:AE118)*G118,2)</f>
        <v>3932971.44</v>
      </c>
    </row>
    <row r="119" spans="5:32" ht="14.5" thickBot="1">
      <c r="E119" s="57">
        <v>49126</v>
      </c>
      <c r="F119" s="56">
        <f>+_xlfn.XLOOKUP(E119,'PRODUCTO 01'!$C$10:$C$137,'PRODUCTO 01'!$F$10:$F$137)</f>
        <v>4058986.99</v>
      </c>
      <c r="G119" s="36">
        <v>31</v>
      </c>
      <c r="H119" s="37">
        <v>0</v>
      </c>
      <c r="I119" s="37">
        <v>0</v>
      </c>
      <c r="J119" s="37">
        <v>0</v>
      </c>
      <c r="K119" s="37">
        <v>0</v>
      </c>
      <c r="L119" s="37">
        <v>0</v>
      </c>
      <c r="M119" s="37">
        <v>8.4220927445882872</v>
      </c>
      <c r="N119" s="37">
        <v>1431.863222697124</v>
      </c>
      <c r="O119" s="37">
        <v>6059.6481553173508</v>
      </c>
      <c r="P119" s="37">
        <v>10783.190307317676</v>
      </c>
      <c r="Q119" s="37">
        <v>13955.148080623323</v>
      </c>
      <c r="R119" s="37">
        <v>15638.418408742806</v>
      </c>
      <c r="S119" s="37">
        <v>16399.948124740768</v>
      </c>
      <c r="T119" s="37">
        <v>15988.830797929353</v>
      </c>
      <c r="U119" s="37">
        <v>15085.201327667979</v>
      </c>
      <c r="V119" s="37">
        <v>13708.121859785018</v>
      </c>
      <c r="W119" s="37">
        <v>11355.504742881798</v>
      </c>
      <c r="X119" s="37">
        <v>7710.6022042109798</v>
      </c>
      <c r="Y119" s="37">
        <v>2710.0706064343453</v>
      </c>
      <c r="Z119" s="37">
        <v>100.09430779453487</v>
      </c>
      <c r="AA119" s="37">
        <v>0</v>
      </c>
      <c r="AB119" s="37">
        <v>0</v>
      </c>
      <c r="AC119" s="37">
        <v>0</v>
      </c>
      <c r="AD119" s="37">
        <v>0</v>
      </c>
      <c r="AE119" s="37">
        <v>0</v>
      </c>
      <c r="AF119" s="38">
        <f t="shared" ref="AF119" si="101">ROUND(SUM(H119:AE119)*G119,2)</f>
        <v>4058986.99</v>
      </c>
    </row>
    <row r="120" spans="5:32" ht="14.5" thickBot="1">
      <c r="E120" s="57">
        <v>49157</v>
      </c>
      <c r="F120" s="56">
        <f>+_xlfn.XLOOKUP(E120,'PRODUCTO 01'!$C$10:$C$137,'PRODUCTO 01'!$F$10:$F$137)</f>
        <v>3884427.73</v>
      </c>
      <c r="G120" s="36">
        <v>31</v>
      </c>
      <c r="H120" s="37">
        <v>0</v>
      </c>
      <c r="I120" s="37">
        <v>0</v>
      </c>
      <c r="J120" s="37">
        <v>0</v>
      </c>
      <c r="K120" s="37">
        <v>0</v>
      </c>
      <c r="L120" s="37">
        <v>0</v>
      </c>
      <c r="M120" s="37">
        <v>2.8753895345618936</v>
      </c>
      <c r="N120" s="37">
        <v>1134.5688070129518</v>
      </c>
      <c r="O120" s="37">
        <v>5306.5151619842854</v>
      </c>
      <c r="P120" s="37">
        <v>9870.0453832884232</v>
      </c>
      <c r="Q120" s="37">
        <v>13326.300930538109</v>
      </c>
      <c r="R120" s="37">
        <v>15215.569370805079</v>
      </c>
      <c r="S120" s="37">
        <v>15602.58681773374</v>
      </c>
      <c r="T120" s="37">
        <v>15726.508221437452</v>
      </c>
      <c r="U120" s="37">
        <v>15125.540993933439</v>
      </c>
      <c r="V120" s="37">
        <v>13440.282624825362</v>
      </c>
      <c r="W120" s="37">
        <v>11002.429956825066</v>
      </c>
      <c r="X120" s="37">
        <v>7310.0996089497639</v>
      </c>
      <c r="Y120" s="37">
        <v>2209.0525657339667</v>
      </c>
      <c r="Z120" s="37">
        <v>31.744399223115799</v>
      </c>
      <c r="AA120" s="37">
        <v>0</v>
      </c>
      <c r="AB120" s="37">
        <v>0</v>
      </c>
      <c r="AC120" s="37">
        <v>0</v>
      </c>
      <c r="AD120" s="37">
        <v>0</v>
      </c>
      <c r="AE120" s="37">
        <v>0</v>
      </c>
      <c r="AF120" s="38">
        <f t="shared" ref="AF120" si="102">ROUND(SUM(H120:AE120)*G120,2)</f>
        <v>3884427.73</v>
      </c>
    </row>
    <row r="121" spans="5:32" ht="14.5" thickBot="1">
      <c r="E121" s="57">
        <v>49188</v>
      </c>
      <c r="F121" s="56">
        <f>+_xlfn.XLOOKUP(E121,'PRODUCTO 01'!$C$10:$C$137,'PRODUCTO 01'!$F$10:$F$137)</f>
        <v>3642474.93</v>
      </c>
      <c r="G121" s="36">
        <v>30</v>
      </c>
      <c r="H121" s="37">
        <v>0</v>
      </c>
      <c r="I121" s="37">
        <v>0</v>
      </c>
      <c r="J121" s="37">
        <v>0</v>
      </c>
      <c r="K121" s="37">
        <v>0</v>
      </c>
      <c r="L121" s="37">
        <v>0</v>
      </c>
      <c r="M121" s="37">
        <v>2.157039958882967</v>
      </c>
      <c r="N121" s="37">
        <v>1277.6102558554071</v>
      </c>
      <c r="O121" s="37">
        <v>5615.3233444123243</v>
      </c>
      <c r="P121" s="37">
        <v>11039.684364990435</v>
      </c>
      <c r="Q121" s="37">
        <v>14059.019674397459</v>
      </c>
      <c r="R121" s="37">
        <v>14381.308925567679</v>
      </c>
      <c r="S121" s="37">
        <v>15210.978372247233</v>
      </c>
      <c r="T121" s="37">
        <v>15622.454405228833</v>
      </c>
      <c r="U121" s="37">
        <v>15082.09262173836</v>
      </c>
      <c r="V121" s="37">
        <v>12562.201114776355</v>
      </c>
      <c r="W121" s="37">
        <v>10190.214210336933</v>
      </c>
      <c r="X121" s="37">
        <v>5203.5666331471757</v>
      </c>
      <c r="Y121" s="37">
        <v>1165.5671061389094</v>
      </c>
      <c r="Z121" s="37">
        <v>3.652930224708244</v>
      </c>
      <c r="AA121" s="37">
        <v>0</v>
      </c>
      <c r="AB121" s="37">
        <v>0</v>
      </c>
      <c r="AC121" s="37">
        <v>0</v>
      </c>
      <c r="AD121" s="37">
        <v>0</v>
      </c>
      <c r="AE121" s="37">
        <v>0</v>
      </c>
      <c r="AF121" s="38">
        <f t="shared" ref="AF121" si="103">ROUND(SUM(H121:AE121)*G121,2)</f>
        <v>3642474.93</v>
      </c>
    </row>
    <row r="122" spans="5:32" ht="14.5" thickBot="1">
      <c r="E122" s="57">
        <v>49218</v>
      </c>
      <c r="F122" s="56">
        <f>+_xlfn.XLOOKUP(E122,'PRODUCTO 01'!$C$10:$C$137,'PRODUCTO 01'!$F$10:$F$137)</f>
        <v>3343539.21</v>
      </c>
      <c r="G122" s="36">
        <v>31</v>
      </c>
      <c r="H122" s="37">
        <v>0</v>
      </c>
      <c r="I122" s="37">
        <v>0</v>
      </c>
      <c r="J122" s="37">
        <v>0</v>
      </c>
      <c r="K122" s="37">
        <v>0</v>
      </c>
      <c r="L122" s="37">
        <v>0</v>
      </c>
      <c r="M122" s="37">
        <v>2.062084989677615</v>
      </c>
      <c r="N122" s="37">
        <v>1253.6360304835682</v>
      </c>
      <c r="O122" s="37">
        <v>5419.2874908922768</v>
      </c>
      <c r="P122" s="37">
        <v>9939.3186626127208</v>
      </c>
      <c r="Q122" s="37">
        <v>12480.141679124528</v>
      </c>
      <c r="R122" s="37">
        <v>14044.008912264719</v>
      </c>
      <c r="S122" s="37">
        <v>14190.464010531454</v>
      </c>
      <c r="T122" s="37">
        <v>13877.303458545211</v>
      </c>
      <c r="U122" s="37">
        <v>12837.286181071555</v>
      </c>
      <c r="V122" s="37">
        <v>11116.802694198024</v>
      </c>
      <c r="W122" s="37">
        <v>8083.4434400805048</v>
      </c>
      <c r="X122" s="37">
        <v>4017.550400135633</v>
      </c>
      <c r="Y122" s="37">
        <v>594.72784219321466</v>
      </c>
      <c r="Z122" s="37">
        <v>7.0566185877960555E-2</v>
      </c>
      <c r="AA122" s="37">
        <v>0</v>
      </c>
      <c r="AB122" s="37">
        <v>0</v>
      </c>
      <c r="AC122" s="37">
        <v>0</v>
      </c>
      <c r="AD122" s="37">
        <v>0</v>
      </c>
      <c r="AE122" s="37">
        <v>0</v>
      </c>
      <c r="AF122" s="38">
        <f t="shared" ref="AF122" si="104">ROUND(SUM(H122:AE122)*G122,2)</f>
        <v>3343539.21</v>
      </c>
    </row>
    <row r="123" spans="5:32" ht="14.5" thickBot="1">
      <c r="E123" s="57">
        <v>49249</v>
      </c>
      <c r="F123" s="56">
        <f>+_xlfn.XLOOKUP(E123,'PRODUCTO 01'!$C$10:$C$137,'PRODUCTO 01'!$F$10:$F$137)</f>
        <v>3175200.09</v>
      </c>
      <c r="G123" s="36">
        <v>30</v>
      </c>
      <c r="H123" s="37">
        <v>0</v>
      </c>
      <c r="I123" s="37">
        <v>0</v>
      </c>
      <c r="J123" s="37">
        <v>0</v>
      </c>
      <c r="K123" s="37">
        <v>0</v>
      </c>
      <c r="L123" s="37">
        <v>0</v>
      </c>
      <c r="M123" s="37">
        <v>8.429106620214516E-2</v>
      </c>
      <c r="N123" s="37">
        <v>1051.8124804771196</v>
      </c>
      <c r="O123" s="37">
        <v>5170.9411679207424</v>
      </c>
      <c r="P123" s="37">
        <v>9610.2879474908113</v>
      </c>
      <c r="Q123" s="37">
        <v>12262.923856062105</v>
      </c>
      <c r="R123" s="37">
        <v>13427.281595471741</v>
      </c>
      <c r="S123" s="37">
        <v>14082.410045751267</v>
      </c>
      <c r="T123" s="37">
        <v>13669.918022409591</v>
      </c>
      <c r="U123" s="37">
        <v>12712.888096215185</v>
      </c>
      <c r="V123" s="37">
        <v>11146.686431260654</v>
      </c>
      <c r="W123" s="37">
        <v>8290.2680771384712</v>
      </c>
      <c r="X123" s="37">
        <v>3916.8966298656001</v>
      </c>
      <c r="Y123" s="37">
        <v>497.45932289511779</v>
      </c>
      <c r="Z123" s="37">
        <v>0.14519537125746196</v>
      </c>
      <c r="AA123" s="37">
        <v>0</v>
      </c>
      <c r="AB123" s="37">
        <v>0</v>
      </c>
      <c r="AC123" s="37">
        <v>0</v>
      </c>
      <c r="AD123" s="37">
        <v>0</v>
      </c>
      <c r="AE123" s="37">
        <v>0</v>
      </c>
      <c r="AF123" s="38">
        <f t="shared" ref="AF123" si="105">ROUND(SUM(H123:AE123)*G123,2)</f>
        <v>3175200.09</v>
      </c>
    </row>
    <row r="124" spans="5:32" ht="14.5" thickBot="1">
      <c r="E124" s="57">
        <v>49279</v>
      </c>
      <c r="F124" s="56">
        <f>+_xlfn.XLOOKUP(E124,'PRODUCTO 01'!$C$10:$C$137,'PRODUCTO 01'!$F$10:$F$137)</f>
        <v>3720359.56</v>
      </c>
      <c r="G124" s="36">
        <v>31</v>
      </c>
      <c r="H124" s="37">
        <v>0</v>
      </c>
      <c r="I124" s="37">
        <v>0</v>
      </c>
      <c r="J124" s="37">
        <v>0</v>
      </c>
      <c r="K124" s="37">
        <v>0</v>
      </c>
      <c r="L124" s="37">
        <v>0</v>
      </c>
      <c r="M124" s="37">
        <v>2.7472382302000707E-3</v>
      </c>
      <c r="N124" s="37">
        <v>592.00876906675217</v>
      </c>
      <c r="O124" s="37">
        <v>4701.1717145309822</v>
      </c>
      <c r="P124" s="37">
        <v>10494.194122513658</v>
      </c>
      <c r="Q124" s="37">
        <v>14400.230289789848</v>
      </c>
      <c r="R124" s="37">
        <v>16067.189710659211</v>
      </c>
      <c r="S124" s="37">
        <v>16079.955364382047</v>
      </c>
      <c r="T124" s="37">
        <v>15755.460945067578</v>
      </c>
      <c r="U124" s="37">
        <v>14862.980507537541</v>
      </c>
      <c r="V124" s="37">
        <v>12791.566589099526</v>
      </c>
      <c r="W124" s="37">
        <v>9428.6224078301238</v>
      </c>
      <c r="X124" s="37">
        <v>4311.6388770303529</v>
      </c>
      <c r="Y124" s="37">
        <v>526.50154550301806</v>
      </c>
      <c r="Z124" s="37">
        <v>7.5274327507481933E-2</v>
      </c>
      <c r="AA124" s="37">
        <v>0</v>
      </c>
      <c r="AB124" s="37">
        <v>0</v>
      </c>
      <c r="AC124" s="37">
        <v>0</v>
      </c>
      <c r="AD124" s="37">
        <v>0</v>
      </c>
      <c r="AE124" s="37">
        <v>0</v>
      </c>
      <c r="AF124" s="38">
        <f t="shared" ref="AF124" si="106">ROUND(SUM(H124:AE124)*G124,2)</f>
        <v>3720359.56</v>
      </c>
    </row>
    <row r="125" spans="5:32" ht="14.5" thickBot="1">
      <c r="E125" s="57">
        <v>49310</v>
      </c>
      <c r="F125" s="56">
        <f>+_xlfn.XLOOKUP(E125,'PRODUCTO 01'!$C$10:$C$137,'PRODUCTO 01'!$F$10:$F$137)</f>
        <v>4296177.78</v>
      </c>
      <c r="G125" s="36">
        <v>31</v>
      </c>
      <c r="H125" s="37">
        <v>0</v>
      </c>
      <c r="I125" s="37">
        <v>0</v>
      </c>
      <c r="J125" s="37">
        <v>0</v>
      </c>
      <c r="K125" s="37">
        <v>0</v>
      </c>
      <c r="L125" s="37">
        <v>0</v>
      </c>
      <c r="M125" s="37">
        <v>0</v>
      </c>
      <c r="N125" s="37">
        <v>241.16168244914456</v>
      </c>
      <c r="O125" s="37">
        <v>4179.5158585256586</v>
      </c>
      <c r="P125" s="37">
        <v>10732.034990322845</v>
      </c>
      <c r="Q125" s="37">
        <v>15370.845901923127</v>
      </c>
      <c r="R125" s="37">
        <v>17251.647902423316</v>
      </c>
      <c r="S125" s="37">
        <v>17498.091819113208</v>
      </c>
      <c r="T125" s="37">
        <v>17418.497961762878</v>
      </c>
      <c r="U125" s="37">
        <v>16612.094937959148</v>
      </c>
      <c r="V125" s="37">
        <v>16053.029498366019</v>
      </c>
      <c r="W125" s="37">
        <v>13607.266007494405</v>
      </c>
      <c r="X125" s="37">
        <v>8082.0152007600354</v>
      </c>
      <c r="Y125" s="37">
        <v>1540.0950144912313</v>
      </c>
      <c r="Z125" s="37">
        <v>8.3263223012650808E-2</v>
      </c>
      <c r="AA125" s="37">
        <v>0</v>
      </c>
      <c r="AB125" s="37">
        <v>0</v>
      </c>
      <c r="AC125" s="37">
        <v>0</v>
      </c>
      <c r="AD125" s="37">
        <v>0</v>
      </c>
      <c r="AE125" s="37">
        <v>0</v>
      </c>
      <c r="AF125" s="38">
        <f>ROUND(SUM(H125:AE125)*G125,2)</f>
        <v>4296177.78</v>
      </c>
    </row>
    <row r="126" spans="5:32" ht="14.5" thickBot="1">
      <c r="E126" s="57">
        <v>49341</v>
      </c>
      <c r="F126" s="56">
        <f>+_xlfn.XLOOKUP(E126,'PRODUCTO 01'!$C$10:$C$137,'PRODUCTO 01'!$F$10:$F$137)</f>
        <v>3970100.65</v>
      </c>
      <c r="G126" s="36">
        <v>28</v>
      </c>
      <c r="H126" s="37">
        <v>0</v>
      </c>
      <c r="I126" s="37">
        <v>0</v>
      </c>
      <c r="J126" s="37">
        <v>0</v>
      </c>
      <c r="K126" s="37">
        <v>0</v>
      </c>
      <c r="L126" s="37">
        <v>0</v>
      </c>
      <c r="M126" s="37">
        <v>0</v>
      </c>
      <c r="N126" s="37">
        <v>333.00080655891816</v>
      </c>
      <c r="O126" s="37">
        <v>4943.9514567114966</v>
      </c>
      <c r="P126" s="37">
        <v>11863.2523430371</v>
      </c>
      <c r="Q126" s="37">
        <v>15083.422801186827</v>
      </c>
      <c r="R126" s="37">
        <v>16303.580758011904</v>
      </c>
      <c r="S126" s="37">
        <v>16829.327289937995</v>
      </c>
      <c r="T126" s="37">
        <v>16666.030524880283</v>
      </c>
      <c r="U126" s="37">
        <v>16854.090626058678</v>
      </c>
      <c r="V126" s="37">
        <v>16322.05970010805</v>
      </c>
      <c r="W126" s="37">
        <v>14713.480681317793</v>
      </c>
      <c r="X126" s="37">
        <v>9608.9865933446163</v>
      </c>
      <c r="Y126" s="37">
        <v>2246.7197855157119</v>
      </c>
      <c r="Z126" s="37">
        <v>21.405497704177403</v>
      </c>
      <c r="AA126" s="37">
        <v>0</v>
      </c>
      <c r="AB126" s="37">
        <v>0</v>
      </c>
      <c r="AC126" s="37">
        <v>0</v>
      </c>
      <c r="AD126" s="37">
        <v>0</v>
      </c>
      <c r="AE126" s="37">
        <v>0</v>
      </c>
      <c r="AF126" s="38">
        <f t="shared" ref="AF126" si="107">ROUND(SUM(H126:AE126)*G126,2)</f>
        <v>3970100.65</v>
      </c>
    </row>
    <row r="127" spans="5:32" ht="14.5" thickBot="1">
      <c r="E127" s="57">
        <v>49369</v>
      </c>
      <c r="F127" s="56">
        <f>+_xlfn.XLOOKUP(E127,'PRODUCTO 01'!$C$10:$C$137,'PRODUCTO 01'!$F$10:$F$137)</f>
        <v>4176635.97</v>
      </c>
      <c r="G127" s="36">
        <v>31</v>
      </c>
      <c r="H127" s="37">
        <v>0</v>
      </c>
      <c r="I127" s="37">
        <v>0</v>
      </c>
      <c r="J127" s="37">
        <v>0</v>
      </c>
      <c r="K127" s="37">
        <v>0</v>
      </c>
      <c r="L127" s="37">
        <v>0</v>
      </c>
      <c r="M127" s="37">
        <v>2.73767077142483E-2</v>
      </c>
      <c r="N127" s="37">
        <v>594.82490228390611</v>
      </c>
      <c r="O127" s="37">
        <v>4957.8623634379574</v>
      </c>
      <c r="P127" s="37">
        <v>11118.582071520263</v>
      </c>
      <c r="Q127" s="37">
        <v>14803.361742955902</v>
      </c>
      <c r="R127" s="37">
        <v>16560.143745088822</v>
      </c>
      <c r="S127" s="37">
        <v>16568.323044613237</v>
      </c>
      <c r="T127" s="37">
        <v>16197.788346911533</v>
      </c>
      <c r="U127" s="37">
        <v>15474.024794321489</v>
      </c>
      <c r="V127" s="37">
        <v>14829.710496315791</v>
      </c>
      <c r="W127" s="37">
        <v>12937.678071433622</v>
      </c>
      <c r="X127" s="37">
        <v>8492.8302073790437</v>
      </c>
      <c r="Y127" s="37">
        <v>2168.8539377816105</v>
      </c>
      <c r="Z127" s="37">
        <v>26.181453624935582</v>
      </c>
      <c r="AA127" s="37">
        <v>0</v>
      </c>
      <c r="AB127" s="37">
        <v>0</v>
      </c>
      <c r="AC127" s="37">
        <v>0</v>
      </c>
      <c r="AD127" s="37">
        <v>0</v>
      </c>
      <c r="AE127" s="37">
        <v>0</v>
      </c>
      <c r="AF127" s="38">
        <f t="shared" ref="AF127" si="108">ROUND(SUM(H127:AE127)*G127,2)</f>
        <v>4176635.97</v>
      </c>
    </row>
    <row r="128" spans="5:32" ht="14.5" thickBot="1">
      <c r="E128" s="57">
        <v>49400</v>
      </c>
      <c r="F128" s="56">
        <f>+_xlfn.XLOOKUP(E128,'PRODUCTO 01'!$C$10:$C$137,'PRODUCTO 01'!$F$10:$F$137)</f>
        <v>3669044.15</v>
      </c>
      <c r="G128" s="36">
        <v>30</v>
      </c>
      <c r="H128" s="37">
        <v>0</v>
      </c>
      <c r="I128" s="37">
        <v>0</v>
      </c>
      <c r="J128" s="37">
        <v>0</v>
      </c>
      <c r="K128" s="37">
        <v>0</v>
      </c>
      <c r="L128" s="37">
        <v>0</v>
      </c>
      <c r="M128" s="37">
        <v>2.8490070018901279</v>
      </c>
      <c r="N128" s="37">
        <v>1171.2684400693338</v>
      </c>
      <c r="O128" s="37">
        <v>5557.8322104364033</v>
      </c>
      <c r="P128" s="37">
        <v>10787.639067338874</v>
      </c>
      <c r="Q128" s="37">
        <v>13761.457176476084</v>
      </c>
      <c r="R128" s="37">
        <v>14979.702512939604</v>
      </c>
      <c r="S128" s="37">
        <v>14952.001315497633</v>
      </c>
      <c r="T128" s="37">
        <v>14827.620976329275</v>
      </c>
      <c r="U128" s="37">
        <v>14133.340752863027</v>
      </c>
      <c r="V128" s="37">
        <v>12886.369197696284</v>
      </c>
      <c r="W128" s="37">
        <v>10680.008307700176</v>
      </c>
      <c r="X128" s="37">
        <v>6758.931766913538</v>
      </c>
      <c r="Y128" s="37">
        <v>1779.7247223998054</v>
      </c>
      <c r="Z128" s="37">
        <v>22.726376885476292</v>
      </c>
      <c r="AA128" s="37">
        <v>0</v>
      </c>
      <c r="AB128" s="37">
        <v>0</v>
      </c>
      <c r="AC128" s="37">
        <v>0</v>
      </c>
      <c r="AD128" s="37">
        <v>0</v>
      </c>
      <c r="AE128" s="37">
        <v>0</v>
      </c>
      <c r="AF128" s="38">
        <f t="shared" ref="AF128" si="109">ROUND(SUM(H128:AE128)*G128,2)</f>
        <v>3669044.15</v>
      </c>
    </row>
    <row r="129" spans="5:32" ht="14.5" thickBot="1">
      <c r="E129" s="57">
        <v>49430</v>
      </c>
      <c r="F129" s="56">
        <f>+_xlfn.XLOOKUP(E129,'PRODUCTO 01'!$C$10:$C$137,'PRODUCTO 01'!$F$10:$F$137)</f>
        <v>3521939.44</v>
      </c>
      <c r="G129" s="36">
        <v>31</v>
      </c>
      <c r="H129" s="37">
        <v>0</v>
      </c>
      <c r="I129" s="37">
        <v>0</v>
      </c>
      <c r="J129" s="37">
        <v>0</v>
      </c>
      <c r="K129" s="37">
        <v>0</v>
      </c>
      <c r="L129" s="37">
        <v>0</v>
      </c>
      <c r="M129" s="37">
        <v>24.982617562739005</v>
      </c>
      <c r="N129" s="37">
        <v>1544.8068561815367</v>
      </c>
      <c r="O129" s="37">
        <v>5536.8304663145627</v>
      </c>
      <c r="P129" s="37">
        <v>9408.9305715622941</v>
      </c>
      <c r="Q129" s="37">
        <v>12733.395006471432</v>
      </c>
      <c r="R129" s="37">
        <v>14257.146024426225</v>
      </c>
      <c r="S129" s="37">
        <v>14237.289914434652</v>
      </c>
      <c r="T129" s="37">
        <v>14414.424597674482</v>
      </c>
      <c r="U129" s="37">
        <v>13337.512214021386</v>
      </c>
      <c r="V129" s="37">
        <v>11431.947630477585</v>
      </c>
      <c r="W129" s="37">
        <v>8994.5202939426872</v>
      </c>
      <c r="X129" s="37">
        <v>5811.2697249728626</v>
      </c>
      <c r="Y129" s="37">
        <v>1848.108364460335</v>
      </c>
      <c r="Z129" s="37">
        <v>29.78532049497678</v>
      </c>
      <c r="AA129" s="37">
        <v>0</v>
      </c>
      <c r="AB129" s="37">
        <v>0</v>
      </c>
      <c r="AC129" s="37">
        <v>0</v>
      </c>
      <c r="AD129" s="37">
        <v>0</v>
      </c>
      <c r="AE129" s="37">
        <v>0</v>
      </c>
      <c r="AF129" s="38">
        <f t="shared" ref="AF129" si="110">ROUND(SUM(H129:AE129)*G129,2)</f>
        <v>3521939.44</v>
      </c>
    </row>
    <row r="130" spans="5:32" ht="14.5" thickBot="1">
      <c r="E130" s="57">
        <v>49461</v>
      </c>
      <c r="F130" s="56">
        <f>+_xlfn.XLOOKUP(E130,'PRODUCTO 01'!$C$10:$C$137,'PRODUCTO 01'!$F$10:$F$137)</f>
        <v>3917239.56</v>
      </c>
      <c r="G130" s="36">
        <v>30</v>
      </c>
      <c r="H130" s="37">
        <v>0</v>
      </c>
      <c r="I130" s="37">
        <v>0</v>
      </c>
      <c r="J130" s="37">
        <v>0</v>
      </c>
      <c r="K130" s="37">
        <v>0</v>
      </c>
      <c r="L130" s="37">
        <v>0</v>
      </c>
      <c r="M130" s="37">
        <v>27.568865186306063</v>
      </c>
      <c r="N130" s="37">
        <v>1636.3346326955057</v>
      </c>
      <c r="O130" s="37">
        <v>5944.8107304570021</v>
      </c>
      <c r="P130" s="37">
        <v>9833.8816678205731</v>
      </c>
      <c r="Q130" s="37">
        <v>13269.33562679754</v>
      </c>
      <c r="R130" s="37">
        <v>15839.709764367388</v>
      </c>
      <c r="S130" s="37">
        <v>17070.146273482715</v>
      </c>
      <c r="T130" s="37">
        <v>16823.466089628997</v>
      </c>
      <c r="U130" s="37">
        <v>15663.576473596229</v>
      </c>
      <c r="V130" s="37">
        <v>13561.882097373167</v>
      </c>
      <c r="W130" s="37">
        <v>11055.986966271208</v>
      </c>
      <c r="X130" s="37">
        <v>7319.0864660445077</v>
      </c>
      <c r="Y130" s="37">
        <v>2443.0420807259461</v>
      </c>
      <c r="Z130" s="37">
        <v>85.824205982400244</v>
      </c>
      <c r="AA130" s="37">
        <v>0</v>
      </c>
      <c r="AB130" s="37">
        <v>0</v>
      </c>
      <c r="AC130" s="37">
        <v>0</v>
      </c>
      <c r="AD130" s="37">
        <v>0</v>
      </c>
      <c r="AE130" s="37">
        <v>0</v>
      </c>
      <c r="AF130" s="38">
        <f t="shared" ref="AF130" si="111">ROUND(SUM(H130:AE130)*G130,2)</f>
        <v>3917239.56</v>
      </c>
    </row>
    <row r="131" spans="5:32" ht="14.5" thickBot="1">
      <c r="E131" s="57">
        <v>49491</v>
      </c>
      <c r="F131" s="56">
        <f>+_xlfn.XLOOKUP(E131,'PRODUCTO 01'!$C$10:$C$137,'PRODUCTO 01'!$F$10:$F$137)</f>
        <v>4042751.04</v>
      </c>
      <c r="G131" s="36">
        <v>31</v>
      </c>
      <c r="H131" s="37">
        <v>0</v>
      </c>
      <c r="I131" s="37">
        <v>0</v>
      </c>
      <c r="J131" s="37">
        <v>0</v>
      </c>
      <c r="K131" s="37">
        <v>0</v>
      </c>
      <c r="L131" s="37">
        <v>0</v>
      </c>
      <c r="M131" s="37">
        <v>8.3884043736099354</v>
      </c>
      <c r="N131" s="37">
        <v>1426.1357698063352</v>
      </c>
      <c r="O131" s="37">
        <v>6035.4095626960816</v>
      </c>
      <c r="P131" s="37">
        <v>10740.057546088407</v>
      </c>
      <c r="Q131" s="37">
        <v>13899.327488300831</v>
      </c>
      <c r="R131" s="37">
        <v>15575.864735107834</v>
      </c>
      <c r="S131" s="37">
        <v>16334.348332241803</v>
      </c>
      <c r="T131" s="37">
        <v>15924.875474737633</v>
      </c>
      <c r="U131" s="37">
        <v>15024.860522357307</v>
      </c>
      <c r="V131" s="37">
        <v>13653.28937234588</v>
      </c>
      <c r="W131" s="37">
        <v>11310.082723910271</v>
      </c>
      <c r="X131" s="37">
        <v>7679.7597953941367</v>
      </c>
      <c r="Y131" s="37">
        <v>2699.230324008608</v>
      </c>
      <c r="Z131" s="37">
        <v>99.69393056335673</v>
      </c>
      <c r="AA131" s="37">
        <v>0</v>
      </c>
      <c r="AB131" s="37">
        <v>0</v>
      </c>
      <c r="AC131" s="37">
        <v>0</v>
      </c>
      <c r="AD131" s="37">
        <v>0</v>
      </c>
      <c r="AE131" s="37">
        <v>0</v>
      </c>
      <c r="AF131" s="38">
        <f t="shared" ref="AF131" si="112">ROUND(SUM(H131:AE131)*G131,2)</f>
        <v>4042751.04</v>
      </c>
    </row>
    <row r="132" spans="5:32" ht="14.5" thickBot="1">
      <c r="E132" s="57">
        <v>49522</v>
      </c>
      <c r="F132" s="56">
        <f>+_xlfn.XLOOKUP(E132,'PRODUCTO 01'!$C$10:$C$137,'PRODUCTO 01'!$F$10:$F$137)</f>
        <v>3868890.02</v>
      </c>
      <c r="G132" s="36">
        <v>31</v>
      </c>
      <c r="H132" s="37">
        <v>0</v>
      </c>
      <c r="I132" s="37">
        <v>0</v>
      </c>
      <c r="J132" s="37">
        <v>0</v>
      </c>
      <c r="K132" s="37">
        <v>0</v>
      </c>
      <c r="L132" s="37">
        <v>0</v>
      </c>
      <c r="M132" s="37">
        <v>2.863887976423646</v>
      </c>
      <c r="N132" s="37">
        <v>1130.0305317849002</v>
      </c>
      <c r="O132" s="37">
        <v>5285.2891013363478</v>
      </c>
      <c r="P132" s="37">
        <v>9830.5652017552711</v>
      </c>
      <c r="Q132" s="37">
        <v>13272.995726815958</v>
      </c>
      <c r="R132" s="37">
        <v>15154.707093321857</v>
      </c>
      <c r="S132" s="37">
        <v>15540.176470462804</v>
      </c>
      <c r="T132" s="37">
        <v>15663.602188551704</v>
      </c>
      <c r="U132" s="37">
        <v>15065.038829957708</v>
      </c>
      <c r="V132" s="37">
        <v>13386.521494326062</v>
      </c>
      <c r="W132" s="37">
        <v>10958.420236997768</v>
      </c>
      <c r="X132" s="37">
        <v>7280.8592105139651</v>
      </c>
      <c r="Y132" s="37">
        <v>2200.216355471031</v>
      </c>
      <c r="Z132" s="37">
        <v>31.617421626223337</v>
      </c>
      <c r="AA132" s="37">
        <v>0</v>
      </c>
      <c r="AB132" s="37">
        <v>0</v>
      </c>
      <c r="AC132" s="37">
        <v>0</v>
      </c>
      <c r="AD132" s="37">
        <v>0</v>
      </c>
      <c r="AE132" s="37">
        <v>0</v>
      </c>
      <c r="AF132" s="38">
        <f t="shared" ref="AF132" si="113">ROUND(SUM(H132:AE132)*G132,2)</f>
        <v>3868890.02</v>
      </c>
    </row>
    <row r="133" spans="5:32" ht="14.5" thickBot="1">
      <c r="E133" s="57">
        <v>49553</v>
      </c>
      <c r="F133" s="56">
        <f>+_xlfn.XLOOKUP(E133,'PRODUCTO 01'!$C$10:$C$137,'PRODUCTO 01'!$F$10:$F$137)</f>
        <v>3627905.03</v>
      </c>
      <c r="G133" s="36">
        <v>30</v>
      </c>
      <c r="H133" s="37">
        <v>0</v>
      </c>
      <c r="I133" s="37">
        <v>0</v>
      </c>
      <c r="J133" s="37">
        <v>0</v>
      </c>
      <c r="K133" s="37">
        <v>0</v>
      </c>
      <c r="L133" s="37">
        <v>0</v>
      </c>
      <c r="M133" s="37">
        <v>2.1484117990474352</v>
      </c>
      <c r="N133" s="37">
        <v>1272.4998148319855</v>
      </c>
      <c r="O133" s="37">
        <v>5592.8620510346746</v>
      </c>
      <c r="P133" s="37">
        <v>10995.525627530475</v>
      </c>
      <c r="Q133" s="37">
        <v>14002.78359569987</v>
      </c>
      <c r="R133" s="37">
        <v>14323.78368986541</v>
      </c>
      <c r="S133" s="37">
        <v>15150.134458758244</v>
      </c>
      <c r="T133" s="37">
        <v>15559.964587607918</v>
      </c>
      <c r="U133" s="37">
        <v>15021.764251251407</v>
      </c>
      <c r="V133" s="37">
        <v>12511.952310317251</v>
      </c>
      <c r="W133" s="37">
        <v>10149.453353495584</v>
      </c>
      <c r="X133" s="37">
        <v>5182.7523666145871</v>
      </c>
      <c r="Y133" s="37">
        <v>1160.9048377143536</v>
      </c>
      <c r="Z133" s="37">
        <v>3.6383185038094106</v>
      </c>
      <c r="AA133" s="37">
        <v>0</v>
      </c>
      <c r="AB133" s="37">
        <v>0</v>
      </c>
      <c r="AC133" s="37">
        <v>0</v>
      </c>
      <c r="AD133" s="37">
        <v>0</v>
      </c>
      <c r="AE133" s="37">
        <v>0</v>
      </c>
      <c r="AF133" s="38">
        <f t="shared" ref="AF133" si="114">ROUND(SUM(H133:AE133)*G133,2)</f>
        <v>3627905.03</v>
      </c>
    </row>
    <row r="134" spans="5:32" ht="14.5" thickBot="1">
      <c r="E134" s="57">
        <v>49583</v>
      </c>
      <c r="F134" s="56">
        <f>+_xlfn.XLOOKUP(E134,'PRODUCTO 01'!$C$10:$C$137,'PRODUCTO 01'!$F$10:$F$137)</f>
        <v>3330165.05</v>
      </c>
      <c r="G134" s="36">
        <v>31</v>
      </c>
      <c r="H134" s="37">
        <v>0</v>
      </c>
      <c r="I134" s="37">
        <v>0</v>
      </c>
      <c r="J134" s="37">
        <v>0</v>
      </c>
      <c r="K134" s="37">
        <v>0</v>
      </c>
      <c r="L134" s="37">
        <v>0</v>
      </c>
      <c r="M134" s="37">
        <v>2.0538366497189045</v>
      </c>
      <c r="N134" s="37">
        <v>1248.6214863616342</v>
      </c>
      <c r="O134" s="37">
        <v>5397.610340928708</v>
      </c>
      <c r="P134" s="37">
        <v>9899.5613879622706</v>
      </c>
      <c r="Q134" s="37">
        <v>12430.221112408031</v>
      </c>
      <c r="R134" s="37">
        <v>13987.832876615663</v>
      </c>
      <c r="S134" s="37">
        <v>14133.702154489329</v>
      </c>
      <c r="T134" s="37">
        <v>13821.794244711031</v>
      </c>
      <c r="U134" s="37">
        <v>12785.93703634727</v>
      </c>
      <c r="V134" s="37">
        <v>11072.335483421233</v>
      </c>
      <c r="W134" s="37">
        <v>8051.1096663201824</v>
      </c>
      <c r="X134" s="37">
        <v>4001.4801985350914</v>
      </c>
      <c r="Y134" s="37">
        <v>592.34893082444182</v>
      </c>
      <c r="Z134" s="37">
        <v>7.0283921134448715E-2</v>
      </c>
      <c r="AA134" s="37">
        <v>0</v>
      </c>
      <c r="AB134" s="37">
        <v>0</v>
      </c>
      <c r="AC134" s="37">
        <v>0</v>
      </c>
      <c r="AD134" s="37">
        <v>0</v>
      </c>
      <c r="AE134" s="37">
        <v>0</v>
      </c>
      <c r="AF134" s="38">
        <f t="shared" ref="AF134" si="115">ROUND(SUM(H134:AE134)*G134,2)</f>
        <v>3330165.05</v>
      </c>
    </row>
    <row r="135" spans="5:32" ht="14.5" thickBot="1">
      <c r="E135" s="57">
        <v>49614</v>
      </c>
      <c r="F135" s="56">
        <f>+_xlfn.XLOOKUP(E135,'PRODUCTO 01'!$C$10:$C$137,'PRODUCTO 01'!$F$10:$F$137)</f>
        <v>3162499.29</v>
      </c>
      <c r="G135" s="36">
        <v>30</v>
      </c>
      <c r="H135" s="37">
        <v>0</v>
      </c>
      <c r="I135" s="37">
        <v>0</v>
      </c>
      <c r="J135" s="37">
        <v>0</v>
      </c>
      <c r="K135" s="37">
        <v>0</v>
      </c>
      <c r="L135" s="37">
        <v>0</v>
      </c>
      <c r="M135" s="37">
        <v>8.3953901937336595E-2</v>
      </c>
      <c r="N135" s="37">
        <v>1047.6052305552112</v>
      </c>
      <c r="O135" s="37">
        <v>5150.2574032490602</v>
      </c>
      <c r="P135" s="37">
        <v>9571.846795700847</v>
      </c>
      <c r="Q135" s="37">
        <v>12213.872160637857</v>
      </c>
      <c r="R135" s="37">
        <v>13373.572469089853</v>
      </c>
      <c r="S135" s="37">
        <v>14026.080405568264</v>
      </c>
      <c r="T135" s="37">
        <v>13615.238350319951</v>
      </c>
      <c r="U135" s="37">
        <v>12662.036543830325</v>
      </c>
      <c r="V135" s="37">
        <v>11102.099685535612</v>
      </c>
      <c r="W135" s="37">
        <v>8257.1070048299171</v>
      </c>
      <c r="X135" s="37">
        <v>3901.2290433461376</v>
      </c>
      <c r="Y135" s="37">
        <v>495.46948560353735</v>
      </c>
      <c r="Z135" s="37">
        <v>0.14461458977243216</v>
      </c>
      <c r="AA135" s="37">
        <v>0</v>
      </c>
      <c r="AB135" s="37">
        <v>0</v>
      </c>
      <c r="AC135" s="37">
        <v>0</v>
      </c>
      <c r="AD135" s="37">
        <v>0</v>
      </c>
      <c r="AE135" s="37">
        <v>0</v>
      </c>
      <c r="AF135" s="38">
        <f t="shared" ref="AF135" si="116">ROUND(SUM(H135:AE135)*G135,2)</f>
        <v>3162499.29</v>
      </c>
    </row>
    <row r="136" spans="5:32" ht="14">
      <c r="E136" s="57">
        <v>49644</v>
      </c>
      <c r="F136" s="56">
        <f>+_xlfn.XLOOKUP(E136,'PRODUCTO 01'!$C$10:$C$137,'PRODUCTO 01'!$F$10:$F$137)</f>
        <v>3705478.13</v>
      </c>
      <c r="G136" s="36">
        <v>31</v>
      </c>
      <c r="H136" s="37">
        <v>0</v>
      </c>
      <c r="I136" s="37">
        <v>0</v>
      </c>
      <c r="J136" s="37">
        <v>0</v>
      </c>
      <c r="K136" s="37">
        <v>0</v>
      </c>
      <c r="L136" s="37">
        <v>0</v>
      </c>
      <c r="M136" s="37">
        <v>2.7362492772792708E-3</v>
      </c>
      <c r="N136" s="37">
        <v>589.64073399048516</v>
      </c>
      <c r="O136" s="37">
        <v>4682.3670276728581</v>
      </c>
      <c r="P136" s="37">
        <v>10452.217346023603</v>
      </c>
      <c r="Q136" s="37">
        <v>14342.629368630691</v>
      </c>
      <c r="R136" s="37">
        <v>16002.920951816574</v>
      </c>
      <c r="S136" s="37">
        <v>16015.63554292452</v>
      </c>
      <c r="T136" s="37">
        <v>15692.439101287309</v>
      </c>
      <c r="U136" s="37">
        <v>14803.528585507389</v>
      </c>
      <c r="V136" s="37">
        <v>12740.400322743128</v>
      </c>
      <c r="W136" s="37">
        <v>9390.9079181988036</v>
      </c>
      <c r="X136" s="37">
        <v>4294.3923215222312</v>
      </c>
      <c r="Y136" s="37">
        <v>524.39553932100603</v>
      </c>
      <c r="Z136" s="37">
        <v>7.4973230197452015E-2</v>
      </c>
      <c r="AA136" s="37">
        <v>0</v>
      </c>
      <c r="AB136" s="37">
        <v>0</v>
      </c>
      <c r="AC136" s="37">
        <v>0</v>
      </c>
      <c r="AD136" s="37">
        <v>0</v>
      </c>
      <c r="AE136" s="37">
        <v>0</v>
      </c>
      <c r="AF136" s="38">
        <f t="shared" ref="AF136" si="117">ROUND(SUM(H136:AE136)*G136,2)</f>
        <v>3705478.13</v>
      </c>
    </row>
  </sheetData>
  <protectedRanges>
    <protectedRange algorithmName="SHA-512" hashValue="ddMXVrQS0fgB43c0atEM6OKu6oDWAMpeJLqJjfuwWmQe8OHAIs2JeDVHZWeRY9WToyZdUZnhWoqdJcb06CPmZw==" saltValue="nLR4AFgxssXjR1gopeih9Q==" spinCount="100000" sqref="E10:G137 E1:AF9 AF18:AF28 AF30:AF40 AF42:AF52 AF54:AF64 AF66:AF76 AF78:AF88 AF90:AF100 AF102:AF112 AF114:AF124 AF126:AF137 AF10:AF16 H10:AE136" name="Rango2_1"/>
    <protectedRange algorithmName="SHA-512" hashValue="ddMXVrQS0fgB43c0atEM6OKu6oDWAMpeJLqJjfuwWmQe8OHAIs2JeDVHZWeRY9WToyZdUZnhWoqdJcb06CPmZw==" saltValue="nLR4AFgxssXjR1gopeih9Q==" spinCount="100000" sqref="AF125 AF17 AF29 AF41 AF53 AF65 AF77 AF89 AF101 AF113" name="Rango2_1_2"/>
  </protectedRanges>
  <mergeCells count="5">
    <mergeCell ref="E1:AF1"/>
    <mergeCell ref="E2:AF2"/>
    <mergeCell ref="E3:AF3"/>
    <mergeCell ref="E4:AF4"/>
    <mergeCell ref="E5:AF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21"/>
  <dimension ref="A1:G38"/>
  <sheetViews>
    <sheetView workbookViewId="0">
      <selection activeCell="G36" sqref="G36"/>
    </sheetView>
  </sheetViews>
  <sheetFormatPr baseColWidth="10" defaultColWidth="11.453125" defaultRowHeight="12.5"/>
  <cols>
    <col min="1" max="1" width="6.453125" style="1" customWidth="1"/>
    <col min="2" max="2" width="6" style="1" bestFit="1" customWidth="1"/>
    <col min="3" max="3" width="9.54296875" style="1" bestFit="1" customWidth="1"/>
    <col min="4" max="4" width="9.54296875" bestFit="1" customWidth="1"/>
  </cols>
  <sheetData>
    <row r="1" spans="1:7">
      <c r="A1" s="66" t="s">
        <v>44</v>
      </c>
      <c r="B1" s="67"/>
      <c r="C1" s="67"/>
      <c r="D1" s="67"/>
    </row>
    <row r="2" spans="1:7">
      <c r="A2" s="4" t="s">
        <v>45</v>
      </c>
      <c r="B2" s="4" t="s">
        <v>46</v>
      </c>
      <c r="C2" s="4">
        <v>2014</v>
      </c>
      <c r="D2" s="4">
        <v>2015</v>
      </c>
      <c r="E2" s="4">
        <v>2016</v>
      </c>
      <c r="F2" s="4">
        <v>2017</v>
      </c>
      <c r="G2" s="4">
        <v>2018</v>
      </c>
    </row>
    <row r="3" spans="1:7">
      <c r="A3" s="4">
        <v>1</v>
      </c>
      <c r="B3" s="4" t="s">
        <v>47</v>
      </c>
      <c r="C3" s="3">
        <f>31-C4-C5</f>
        <v>21</v>
      </c>
      <c r="D3" s="3">
        <f>31-D4-D5</f>
        <v>20</v>
      </c>
      <c r="E3" s="3">
        <v>19</v>
      </c>
      <c r="F3" s="55">
        <v>21</v>
      </c>
      <c r="G3" s="55">
        <v>21</v>
      </c>
    </row>
    <row r="4" spans="1:7">
      <c r="A4" s="4">
        <v>1</v>
      </c>
      <c r="B4" s="4" t="s">
        <v>48</v>
      </c>
      <c r="C4" s="3">
        <v>4</v>
      </c>
      <c r="D4" s="3">
        <v>5</v>
      </c>
      <c r="E4" s="3">
        <v>5</v>
      </c>
      <c r="F4" s="55">
        <v>4</v>
      </c>
      <c r="G4" s="55">
        <v>4</v>
      </c>
    </row>
    <row r="5" spans="1:7">
      <c r="A5" s="4">
        <v>1</v>
      </c>
      <c r="B5" s="4" t="s">
        <v>49</v>
      </c>
      <c r="C5" s="3">
        <v>6</v>
      </c>
      <c r="D5" s="3">
        <v>6</v>
      </c>
      <c r="E5" s="3">
        <v>7</v>
      </c>
      <c r="F5" s="55">
        <v>6</v>
      </c>
      <c r="G5" s="55">
        <v>6</v>
      </c>
    </row>
    <row r="6" spans="1:7">
      <c r="A6" s="4">
        <v>2</v>
      </c>
      <c r="B6" s="4" t="s">
        <v>47</v>
      </c>
      <c r="C6" s="3">
        <f>28-C7-C8</f>
        <v>20</v>
      </c>
      <c r="D6" s="3">
        <f>28-D7-D8</f>
        <v>20</v>
      </c>
      <c r="E6" s="3">
        <v>21</v>
      </c>
      <c r="F6" s="55">
        <v>20</v>
      </c>
      <c r="G6" s="55">
        <v>20</v>
      </c>
    </row>
    <row r="7" spans="1:7">
      <c r="A7" s="4">
        <v>2</v>
      </c>
      <c r="B7" s="4" t="s">
        <v>48</v>
      </c>
      <c r="C7" s="3">
        <v>4</v>
      </c>
      <c r="D7" s="3">
        <v>4</v>
      </c>
      <c r="E7" s="3">
        <v>4</v>
      </c>
      <c r="F7" s="55">
        <v>4</v>
      </c>
      <c r="G7" s="55">
        <v>4</v>
      </c>
    </row>
    <row r="8" spans="1:7">
      <c r="A8" s="4">
        <v>2</v>
      </c>
      <c r="B8" s="4" t="s">
        <v>49</v>
      </c>
      <c r="C8" s="3">
        <v>4</v>
      </c>
      <c r="D8" s="3">
        <v>4</v>
      </c>
      <c r="E8" s="3">
        <v>4</v>
      </c>
      <c r="F8" s="55">
        <v>4</v>
      </c>
      <c r="G8" s="55">
        <v>4</v>
      </c>
    </row>
    <row r="9" spans="1:7">
      <c r="A9" s="4">
        <v>3</v>
      </c>
      <c r="B9" s="4" t="s">
        <v>47</v>
      </c>
      <c r="C9" s="3">
        <f>31-C10-C11</f>
        <v>20</v>
      </c>
      <c r="D9" s="3">
        <f>31-D10-D11</f>
        <v>21</v>
      </c>
      <c r="E9" s="3">
        <v>20</v>
      </c>
      <c r="F9" s="55">
        <v>22</v>
      </c>
      <c r="G9" s="55">
        <v>19</v>
      </c>
    </row>
    <row r="10" spans="1:7">
      <c r="A10" s="4">
        <v>3</v>
      </c>
      <c r="B10" s="4" t="s">
        <v>48</v>
      </c>
      <c r="C10" s="3">
        <v>5</v>
      </c>
      <c r="D10" s="3">
        <v>4</v>
      </c>
      <c r="E10" s="3">
        <v>4</v>
      </c>
      <c r="F10" s="55">
        <v>4</v>
      </c>
      <c r="G10" s="55">
        <v>5</v>
      </c>
    </row>
    <row r="11" spans="1:7">
      <c r="A11" s="4">
        <v>3</v>
      </c>
      <c r="B11" s="4" t="s">
        <v>49</v>
      </c>
      <c r="C11" s="3">
        <v>6</v>
      </c>
      <c r="D11" s="3">
        <v>6</v>
      </c>
      <c r="E11" s="3">
        <v>7</v>
      </c>
      <c r="F11" s="55">
        <v>5</v>
      </c>
      <c r="G11" s="55">
        <v>7</v>
      </c>
    </row>
    <row r="12" spans="1:7">
      <c r="A12" s="4">
        <v>4</v>
      </c>
      <c r="B12" s="4" t="s">
        <v>47</v>
      </c>
      <c r="C12" s="3">
        <f>30-C13-C14</f>
        <v>20</v>
      </c>
      <c r="D12" s="3">
        <f>30-D13-D14</f>
        <v>20</v>
      </c>
      <c r="E12" s="3">
        <v>21</v>
      </c>
      <c r="F12" s="55">
        <v>18</v>
      </c>
      <c r="G12" s="55">
        <v>21</v>
      </c>
    </row>
    <row r="13" spans="1:7">
      <c r="A13" s="4">
        <v>4</v>
      </c>
      <c r="B13" s="4" t="s">
        <v>48</v>
      </c>
      <c r="C13" s="3">
        <v>4</v>
      </c>
      <c r="D13" s="3">
        <v>4</v>
      </c>
      <c r="E13" s="3">
        <v>5</v>
      </c>
      <c r="F13" s="55">
        <v>5</v>
      </c>
      <c r="G13" s="55">
        <v>4</v>
      </c>
    </row>
    <row r="14" spans="1:7">
      <c r="A14" s="4">
        <v>4</v>
      </c>
      <c r="B14" s="4" t="s">
        <v>49</v>
      </c>
      <c r="C14" s="3">
        <v>6</v>
      </c>
      <c r="D14" s="3">
        <v>6</v>
      </c>
      <c r="E14" s="3">
        <v>4</v>
      </c>
      <c r="F14" s="55">
        <v>7</v>
      </c>
      <c r="G14" s="55">
        <v>5</v>
      </c>
    </row>
    <row r="15" spans="1:7">
      <c r="A15" s="4">
        <v>5</v>
      </c>
      <c r="B15" s="4" t="s">
        <v>47</v>
      </c>
      <c r="C15" s="3">
        <f>31-C16-C17</f>
        <v>21</v>
      </c>
      <c r="D15" s="3">
        <f>31-D16-D17</f>
        <v>19</v>
      </c>
      <c r="E15" s="3">
        <v>20</v>
      </c>
      <c r="F15" s="55">
        <v>21</v>
      </c>
      <c r="G15" s="55">
        <v>21</v>
      </c>
    </row>
    <row r="16" spans="1:7">
      <c r="A16" s="4">
        <v>5</v>
      </c>
      <c r="B16" s="4" t="s">
        <v>48</v>
      </c>
      <c r="C16" s="3">
        <v>5</v>
      </c>
      <c r="D16" s="3">
        <v>5</v>
      </c>
      <c r="E16" s="3">
        <v>4</v>
      </c>
      <c r="F16" s="55">
        <v>4</v>
      </c>
      <c r="G16" s="55">
        <v>4</v>
      </c>
    </row>
    <row r="17" spans="1:7">
      <c r="A17" s="4">
        <v>5</v>
      </c>
      <c r="B17" s="4" t="s">
        <v>49</v>
      </c>
      <c r="C17" s="3">
        <v>5</v>
      </c>
      <c r="D17" s="3">
        <v>7</v>
      </c>
      <c r="E17" s="3">
        <v>7</v>
      </c>
      <c r="F17" s="55">
        <v>6</v>
      </c>
      <c r="G17" s="55">
        <v>6</v>
      </c>
    </row>
    <row r="18" spans="1:7">
      <c r="A18" s="4">
        <v>6</v>
      </c>
      <c r="B18" s="4" t="s">
        <v>47</v>
      </c>
      <c r="C18" s="3">
        <f>30-C19-C20</f>
        <v>18</v>
      </c>
      <c r="D18" s="3">
        <f>30-D19-D20</f>
        <v>19</v>
      </c>
      <c r="E18" s="3">
        <v>21</v>
      </c>
      <c r="F18" s="55">
        <v>20</v>
      </c>
      <c r="G18" s="55">
        <v>19</v>
      </c>
    </row>
    <row r="19" spans="1:7">
      <c r="A19" s="4">
        <v>6</v>
      </c>
      <c r="B19" s="4" t="s">
        <v>48</v>
      </c>
      <c r="C19" s="3">
        <v>4</v>
      </c>
      <c r="D19" s="3">
        <v>4</v>
      </c>
      <c r="E19" s="3">
        <v>4</v>
      </c>
      <c r="F19" s="55">
        <v>4</v>
      </c>
      <c r="G19" s="55">
        <v>5</v>
      </c>
    </row>
    <row r="20" spans="1:7">
      <c r="A20" s="4">
        <v>6</v>
      </c>
      <c r="B20" s="4" t="s">
        <v>49</v>
      </c>
      <c r="C20" s="3">
        <v>8</v>
      </c>
      <c r="D20" s="3">
        <v>7</v>
      </c>
      <c r="E20" s="3">
        <v>5</v>
      </c>
      <c r="F20" s="55">
        <v>6</v>
      </c>
      <c r="G20" s="55">
        <v>6</v>
      </c>
    </row>
    <row r="21" spans="1:7">
      <c r="A21" s="4">
        <v>7</v>
      </c>
      <c r="B21" s="4" t="s">
        <v>47</v>
      </c>
      <c r="C21" s="3">
        <f>31-C22-C23</f>
        <v>23</v>
      </c>
      <c r="D21" s="3">
        <f>31-D22-D23</f>
        <v>22</v>
      </c>
      <c r="E21" s="3">
        <v>19</v>
      </c>
      <c r="F21" s="55">
        <v>19</v>
      </c>
      <c r="G21" s="55">
        <v>20</v>
      </c>
    </row>
    <row r="22" spans="1:7">
      <c r="A22" s="4">
        <v>7</v>
      </c>
      <c r="B22" s="4" t="s">
        <v>48</v>
      </c>
      <c r="C22" s="3">
        <v>4</v>
      </c>
      <c r="D22" s="3">
        <v>4</v>
      </c>
      <c r="E22" s="3">
        <v>5</v>
      </c>
      <c r="F22" s="55">
        <v>5</v>
      </c>
      <c r="G22" s="55">
        <v>4</v>
      </c>
    </row>
    <row r="23" spans="1:7">
      <c r="A23" s="4">
        <v>7</v>
      </c>
      <c r="B23" s="4" t="s">
        <v>49</v>
      </c>
      <c r="C23" s="3">
        <v>4</v>
      </c>
      <c r="D23" s="3">
        <v>5</v>
      </c>
      <c r="E23" s="3">
        <v>7</v>
      </c>
      <c r="F23" s="55">
        <v>7</v>
      </c>
      <c r="G23" s="55">
        <v>7</v>
      </c>
    </row>
    <row r="24" spans="1:7">
      <c r="A24" s="4">
        <v>8</v>
      </c>
      <c r="B24" s="4" t="s">
        <v>47</v>
      </c>
      <c r="C24" s="3">
        <f>31-C25-C26</f>
        <v>19</v>
      </c>
      <c r="D24" s="3">
        <f>31-D25-D26</f>
        <v>19</v>
      </c>
      <c r="E24" s="3">
        <v>22</v>
      </c>
      <c r="F24" s="55">
        <v>21</v>
      </c>
      <c r="G24" s="55">
        <v>21</v>
      </c>
    </row>
    <row r="25" spans="1:7">
      <c r="A25" s="4">
        <v>8</v>
      </c>
      <c r="B25" s="4" t="s">
        <v>48</v>
      </c>
      <c r="C25" s="3">
        <v>5</v>
      </c>
      <c r="D25" s="3">
        <v>5</v>
      </c>
      <c r="E25" s="3">
        <v>4</v>
      </c>
      <c r="F25" s="55">
        <v>4</v>
      </c>
      <c r="G25" s="55">
        <v>4</v>
      </c>
    </row>
    <row r="26" spans="1:7">
      <c r="A26" s="4">
        <v>8</v>
      </c>
      <c r="B26" s="4" t="s">
        <v>49</v>
      </c>
      <c r="C26" s="3">
        <v>7</v>
      </c>
      <c r="D26" s="3">
        <v>7</v>
      </c>
      <c r="E26" s="3">
        <v>5</v>
      </c>
      <c r="F26" s="55">
        <v>6</v>
      </c>
      <c r="G26" s="55">
        <v>6</v>
      </c>
    </row>
    <row r="27" spans="1:7">
      <c r="A27" s="4">
        <v>9</v>
      </c>
      <c r="B27" s="4" t="s">
        <v>47</v>
      </c>
      <c r="C27" s="3">
        <f>30-C28-C29</f>
        <v>22</v>
      </c>
      <c r="D27" s="3">
        <f>30-D28-D29</f>
        <v>22</v>
      </c>
      <c r="E27" s="3">
        <v>22</v>
      </c>
      <c r="F27" s="55">
        <v>21</v>
      </c>
      <c r="G27" s="55">
        <v>20</v>
      </c>
    </row>
    <row r="28" spans="1:7">
      <c r="A28" s="4">
        <v>9</v>
      </c>
      <c r="B28" s="4" t="s">
        <v>48</v>
      </c>
      <c r="C28" s="3">
        <v>4</v>
      </c>
      <c r="D28" s="3">
        <v>4</v>
      </c>
      <c r="E28" s="3">
        <v>4</v>
      </c>
      <c r="F28" s="55">
        <v>5</v>
      </c>
      <c r="G28" s="55">
        <v>5</v>
      </c>
    </row>
    <row r="29" spans="1:7">
      <c r="A29" s="4">
        <v>9</v>
      </c>
      <c r="B29" s="4" t="s">
        <v>49</v>
      </c>
      <c r="C29" s="3">
        <v>4</v>
      </c>
      <c r="D29" s="3">
        <v>4</v>
      </c>
      <c r="E29" s="3">
        <v>4</v>
      </c>
      <c r="F29" s="55">
        <v>4</v>
      </c>
      <c r="G29" s="55">
        <v>5</v>
      </c>
    </row>
    <row r="30" spans="1:7">
      <c r="A30" s="4">
        <v>10</v>
      </c>
      <c r="B30" s="4" t="s">
        <v>47</v>
      </c>
      <c r="C30" s="3">
        <f>31-C31-C32</f>
        <v>22</v>
      </c>
      <c r="D30" s="3">
        <f>31-D31-D32</f>
        <v>21</v>
      </c>
      <c r="E30" s="3">
        <v>20</v>
      </c>
      <c r="F30" s="55">
        <v>21</v>
      </c>
      <c r="G30" s="55">
        <v>22</v>
      </c>
    </row>
    <row r="31" spans="1:7">
      <c r="A31" s="4">
        <v>10</v>
      </c>
      <c r="B31" s="4" t="s">
        <v>48</v>
      </c>
      <c r="C31" s="3">
        <v>4</v>
      </c>
      <c r="D31" s="3">
        <v>5</v>
      </c>
      <c r="E31" s="3">
        <v>5</v>
      </c>
      <c r="F31" s="55">
        <v>4</v>
      </c>
      <c r="G31" s="55">
        <v>4</v>
      </c>
    </row>
    <row r="32" spans="1:7">
      <c r="A32" s="4">
        <v>10</v>
      </c>
      <c r="B32" s="4" t="s">
        <v>49</v>
      </c>
      <c r="C32" s="3">
        <v>5</v>
      </c>
      <c r="D32" s="3">
        <v>5</v>
      </c>
      <c r="E32" s="3">
        <v>6</v>
      </c>
      <c r="F32" s="55">
        <v>6</v>
      </c>
      <c r="G32" s="55">
        <v>5</v>
      </c>
    </row>
    <row r="33" spans="1:7">
      <c r="A33" s="4">
        <v>11</v>
      </c>
      <c r="B33" s="4" t="s">
        <v>47</v>
      </c>
      <c r="C33" s="3">
        <f>30-C34-C35</f>
        <v>18</v>
      </c>
      <c r="D33" s="3">
        <f>30-D34-D35</f>
        <v>19</v>
      </c>
      <c r="E33" s="3">
        <v>20</v>
      </c>
      <c r="F33" s="55">
        <v>20</v>
      </c>
      <c r="G33" s="55">
        <v>20</v>
      </c>
    </row>
    <row r="34" spans="1:7">
      <c r="A34" s="4">
        <v>11</v>
      </c>
      <c r="B34" s="4" t="s">
        <v>48</v>
      </c>
      <c r="C34" s="3">
        <v>5</v>
      </c>
      <c r="D34" s="3">
        <v>4</v>
      </c>
      <c r="E34" s="3">
        <v>4</v>
      </c>
      <c r="F34" s="55">
        <v>4</v>
      </c>
      <c r="G34" s="55">
        <v>4</v>
      </c>
    </row>
    <row r="35" spans="1:7">
      <c r="A35" s="4">
        <v>11</v>
      </c>
      <c r="B35" s="4" t="s">
        <v>49</v>
      </c>
      <c r="C35" s="3">
        <v>7</v>
      </c>
      <c r="D35" s="3">
        <v>7</v>
      </c>
      <c r="E35" s="3">
        <v>6</v>
      </c>
      <c r="F35" s="55">
        <v>6</v>
      </c>
      <c r="G35" s="55">
        <v>6</v>
      </c>
    </row>
    <row r="36" spans="1:7">
      <c r="A36" s="4">
        <v>12</v>
      </c>
      <c r="B36" s="4" t="s">
        <v>47</v>
      </c>
      <c r="C36" s="3">
        <f>31-C37-C38</f>
        <v>21</v>
      </c>
      <c r="D36" s="3">
        <f>31-D37-D38</f>
        <v>21</v>
      </c>
      <c r="E36" s="3">
        <v>21</v>
      </c>
      <c r="F36" s="55">
        <v>19</v>
      </c>
      <c r="G36" s="55">
        <v>20</v>
      </c>
    </row>
    <row r="37" spans="1:7">
      <c r="A37" s="4">
        <v>12</v>
      </c>
      <c r="B37" s="4" t="s">
        <v>48</v>
      </c>
      <c r="C37" s="3">
        <v>4</v>
      </c>
      <c r="D37" s="3">
        <v>4</v>
      </c>
      <c r="E37" s="3">
        <v>5</v>
      </c>
      <c r="F37" s="55">
        <v>5</v>
      </c>
      <c r="G37" s="55">
        <v>5</v>
      </c>
    </row>
    <row r="38" spans="1:7">
      <c r="A38" s="4">
        <v>12</v>
      </c>
      <c r="B38" s="4" t="s">
        <v>49</v>
      </c>
      <c r="C38" s="3">
        <v>6</v>
      </c>
      <c r="D38" s="3">
        <v>6</v>
      </c>
      <c r="E38" s="3">
        <v>5</v>
      </c>
      <c r="F38" s="55">
        <v>7</v>
      </c>
      <c r="G38" s="55">
        <v>6</v>
      </c>
    </row>
  </sheetData>
  <mergeCells count="1">
    <mergeCell ref="A1:D1"/>
  </mergeCells>
  <phoneticPr fontId="3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22"/>
  <dimension ref="A2:Z8"/>
  <sheetViews>
    <sheetView workbookViewId="0">
      <selection activeCell="G18" sqref="G18"/>
    </sheetView>
  </sheetViews>
  <sheetFormatPr baseColWidth="10" defaultColWidth="11.453125" defaultRowHeight="12.5"/>
  <cols>
    <col min="1" max="1" width="8.453125" bestFit="1" customWidth="1"/>
  </cols>
  <sheetData>
    <row r="2" spans="1:26">
      <c r="A2" t="s">
        <v>50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43</v>
      </c>
    </row>
    <row r="3" spans="1:26">
      <c r="A3" s="2" t="s">
        <v>51</v>
      </c>
      <c r="B3" s="5">
        <v>2.783452681817198E-2</v>
      </c>
      <c r="C3" s="5">
        <v>2.668252126108818E-2</v>
      </c>
      <c r="D3" s="5">
        <v>2.5923893384829134E-2</v>
      </c>
      <c r="E3" s="5">
        <v>2.5439158181316032E-2</v>
      </c>
      <c r="F3" s="5">
        <v>2.5556096856230455E-2</v>
      </c>
      <c r="G3" s="5">
        <v>2.7259444786907006E-2</v>
      </c>
      <c r="H3" s="5">
        <v>3.2350134566888754E-2</v>
      </c>
      <c r="I3" s="5">
        <v>4.045576103192499E-2</v>
      </c>
      <c r="J3" s="5">
        <v>4.7464292858427598E-2</v>
      </c>
      <c r="K3" s="5">
        <v>5.169277716438446E-2</v>
      </c>
      <c r="L3" s="5">
        <v>5.4607079437588628E-2</v>
      </c>
      <c r="M3" s="5">
        <v>5.4936429550185031E-2</v>
      </c>
      <c r="N3" s="5">
        <v>5.2911056418191681E-2</v>
      </c>
      <c r="O3" s="5">
        <v>5.4485015191331893E-2</v>
      </c>
      <c r="P3" s="5">
        <v>5.6958238973630178E-2</v>
      </c>
      <c r="Q3" s="5">
        <v>5.7105703269245391E-2</v>
      </c>
      <c r="R3" s="5">
        <v>5.4820803913341029E-2</v>
      </c>
      <c r="S3" s="5">
        <v>5.108054271396599E-2</v>
      </c>
      <c r="T3" s="5">
        <v>4.7845563950176334E-2</v>
      </c>
      <c r="U3" s="5">
        <v>4.457508769852557E-2</v>
      </c>
      <c r="V3" s="5">
        <v>4.0435267573066501E-2</v>
      </c>
      <c r="W3" s="5">
        <v>3.6298963462989185E-2</v>
      </c>
      <c r="X3" s="5">
        <v>3.2954022238606676E-2</v>
      </c>
      <c r="Y3" s="5">
        <v>3.032761869898741E-2</v>
      </c>
      <c r="Z3" s="6"/>
    </row>
    <row r="4" spans="1:26">
      <c r="A4" s="2" t="s">
        <v>52</v>
      </c>
      <c r="B4" s="5">
        <v>3.1933620692589905E-2</v>
      </c>
      <c r="C4" s="5">
        <v>3.028507916146447E-2</v>
      </c>
      <c r="D4" s="5">
        <v>2.9353180394062206E-2</v>
      </c>
      <c r="E4" s="5">
        <v>2.8733579354856629E-2</v>
      </c>
      <c r="F4" s="5">
        <v>2.8654972019213198E-2</v>
      </c>
      <c r="G4" s="5">
        <v>2.9977252709770662E-2</v>
      </c>
      <c r="H4" s="5">
        <v>3.4030119073676562E-2</v>
      </c>
      <c r="I4" s="5">
        <v>4.0020468312107316E-2</v>
      </c>
      <c r="J4" s="5">
        <v>4.6345254196304329E-2</v>
      </c>
      <c r="K4" s="5">
        <v>5.1632170995532432E-2</v>
      </c>
      <c r="L4" s="5">
        <v>5.5400723466864081E-2</v>
      </c>
      <c r="M4" s="5">
        <v>5.5432950534748331E-2</v>
      </c>
      <c r="N4" s="5">
        <v>5.2958110753523802E-2</v>
      </c>
      <c r="O4" s="5">
        <v>5.1848023271953363E-2</v>
      </c>
      <c r="P4" s="5">
        <v>5.0438564407365091E-2</v>
      </c>
      <c r="Q4" s="5">
        <v>4.9277928088675836E-2</v>
      </c>
      <c r="R4" s="5">
        <v>4.7857003747290683E-2</v>
      </c>
      <c r="S4" s="5">
        <v>4.7139299793538647E-2</v>
      </c>
      <c r="T4" s="5">
        <v>4.6673457030399823E-2</v>
      </c>
      <c r="U4" s="5">
        <v>4.4979657301066199E-2</v>
      </c>
      <c r="V4" s="5">
        <v>4.2158325011537622E-2</v>
      </c>
      <c r="W4" s="5">
        <v>3.8032949074158828E-2</v>
      </c>
      <c r="X4" s="5">
        <v>3.4562919866015868E-2</v>
      </c>
      <c r="Y4" s="5">
        <v>3.2274390743284039E-2</v>
      </c>
      <c r="Z4" s="6"/>
    </row>
    <row r="5" spans="1:26">
      <c r="A5" s="2" t="s">
        <v>53</v>
      </c>
      <c r="B5" s="5">
        <v>3.6926199666856431E-2</v>
      </c>
      <c r="C5" s="5">
        <v>3.5565247268949142E-2</v>
      </c>
      <c r="D5" s="5">
        <v>3.4193693308989387E-2</v>
      </c>
      <c r="E5" s="5">
        <v>3.3394424684678396E-2</v>
      </c>
      <c r="F5" s="5">
        <v>3.2854151350900668E-2</v>
      </c>
      <c r="G5" s="5">
        <v>3.2653618991756707E-2</v>
      </c>
      <c r="H5" s="5">
        <v>3.3632199282738529E-2</v>
      </c>
      <c r="I5" s="5">
        <v>3.6341608036133136E-2</v>
      </c>
      <c r="J5" s="5">
        <v>4.0377423292748481E-2</v>
      </c>
      <c r="K5" s="5">
        <v>4.3732240795238811E-2</v>
      </c>
      <c r="L5" s="5">
        <v>4.7238598159283107E-2</v>
      </c>
      <c r="M5" s="5">
        <v>4.9884901021565071E-2</v>
      </c>
      <c r="N5" s="5">
        <v>5.0097655159372999E-2</v>
      </c>
      <c r="O5" s="5">
        <v>4.9054338067127098E-2</v>
      </c>
      <c r="P5" s="5">
        <v>4.794935081160881E-2</v>
      </c>
      <c r="Q5" s="5">
        <v>4.7121268851251244E-2</v>
      </c>
      <c r="R5" s="5">
        <v>4.674481308955606E-2</v>
      </c>
      <c r="S5" s="5">
        <v>4.6327024665165285E-2</v>
      </c>
      <c r="T5" s="5">
        <v>4.7122858145358215E-2</v>
      </c>
      <c r="U5" s="5">
        <v>4.6196154090168702E-2</v>
      </c>
      <c r="V5" s="5">
        <v>4.4346623846216106E-2</v>
      </c>
      <c r="W5" s="5">
        <v>4.1928398559943049E-2</v>
      </c>
      <c r="X5" s="5">
        <v>3.9253216982729003E-2</v>
      </c>
      <c r="Y5" s="5">
        <v>3.7063991871665793E-2</v>
      </c>
      <c r="Z5" s="6"/>
    </row>
    <row r="6" spans="1:2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8" spans="1:26" ht="13">
      <c r="A8" s="7" t="s">
        <v>54</v>
      </c>
    </row>
  </sheetData>
  <phoneticPr fontId="3" type="noConversion"/>
  <pageMargins left="0.75" right="0.75" top="1" bottom="1" header="0" footer="0"/>
  <pageSetup orientation="portrait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2acecb-3b57-4957-8fda-f6aa1cc77d9c">
      <Terms xmlns="http://schemas.microsoft.com/office/infopath/2007/PartnerControls"/>
    </lcf76f155ced4ddcb4097134ff3c332f>
    <TaxCatchAll xmlns="f3c667da-9417-4ddc-85c8-f81090c15048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6F128B553CF4D45A32557018C565B05" ma:contentTypeVersion="12" ma:contentTypeDescription="Crear nuevo documento." ma:contentTypeScope="" ma:versionID="9f30e72a29f001e941a1c3ccb0b281d6">
  <xsd:schema xmlns:xsd="http://www.w3.org/2001/XMLSchema" xmlns:xs="http://www.w3.org/2001/XMLSchema" xmlns:p="http://schemas.microsoft.com/office/2006/metadata/properties" xmlns:ns2="392acecb-3b57-4957-8fda-f6aa1cc77d9c" xmlns:ns3="f3c667da-9417-4ddc-85c8-f81090c15048" targetNamespace="http://schemas.microsoft.com/office/2006/metadata/properties" ma:root="true" ma:fieldsID="b640d99ced99b780c2a5ce552686ecbe" ns2:_="" ns3:_="">
    <xsd:import namespace="392acecb-3b57-4957-8fda-f6aa1cc77d9c"/>
    <xsd:import namespace="f3c667da-9417-4ddc-85c8-f81090c150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2acecb-3b57-4957-8fda-f6aa1cc77d9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9e25b11-b3c7-4f85-8ccd-351089f079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c667da-9417-4ddc-85c8-f81090c1504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6d04c72-668a-4dc8-8232-5e0773635f0f}" ma:internalName="TaxCatchAll" ma:showField="CatchAllData" ma:web="f3c667da-9417-4ddc-85c8-f81090c1504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4D02478-90EC-468F-9F9C-14A89ABA6CD1}">
  <ds:schemaRefs>
    <ds:schemaRef ds:uri="http://schemas.microsoft.com/office/2006/metadata/properties"/>
    <ds:schemaRef ds:uri="http://schemas.microsoft.com/office/infopath/2007/PartnerControls"/>
    <ds:schemaRef ds:uri="392acecb-3b57-4957-8fda-f6aa1cc77d9c"/>
    <ds:schemaRef ds:uri="f3c667da-9417-4ddc-85c8-f81090c15048"/>
  </ds:schemaRefs>
</ds:datastoreItem>
</file>

<file path=customXml/itemProps2.xml><?xml version="1.0" encoding="utf-8"?>
<ds:datastoreItem xmlns:ds="http://schemas.openxmlformats.org/officeDocument/2006/customXml" ds:itemID="{63285D7F-B4FB-4ADD-AC8D-74C77A1FF4D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2C70ECC4-AA86-4E17-A3E0-04C76E8065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2acecb-3b57-4957-8fda-f6aa1cc77d9c"/>
    <ds:schemaRef ds:uri="f3c667da-9417-4ddc-85c8-f81090c150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808B470-77AE-4F45-A3C5-2E42492EEC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PRODUCTO 01</vt:lpstr>
      <vt:lpstr>Cantidades horarias PROD 01 </vt:lpstr>
      <vt:lpstr>calendario</vt:lpstr>
      <vt:lpstr>curvas típicas de referencia</vt:lpstr>
      <vt:lpstr>'PRODUCTO 01'!Área_de_impresión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Ruiz Morales</dc:creator>
  <cp:keywords/>
  <dc:description/>
  <cp:lastModifiedBy>Eder Ortiz Hungría</cp:lastModifiedBy>
  <cp:revision/>
  <dcterms:created xsi:type="dcterms:W3CDTF">2008-04-02T00:00:31Z</dcterms:created>
  <dcterms:modified xsi:type="dcterms:W3CDTF">2025-02-17T13:37:48Z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0x010100EB222227814A704C8B1B1D6EF4F2AD12</vt:lpwstr>
  </property>
  <property fmtid="{D5CDD505-2E9C-101B-9397-08002B2CF9AE}" pid="3" name="MediaServiceImageTags">
    <vt:lpwstr/>
  </property>
</Properties>
</file>